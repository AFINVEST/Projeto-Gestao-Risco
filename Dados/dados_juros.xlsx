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sset Management\Equipe\Emanuel\21.0-Risco\DashRisco\Dados\"/>
    </mc:Choice>
  </mc:AlternateContent>
  <xr:revisionPtr revIDLastSave="0" documentId="13_ncr:1_{1877A19A-E54E-4B57-A527-5EF76854DD7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Planilha1" sheetId="2" r:id="rId2"/>
    <sheet name="Planilha2" sheetId="3" r:id="rId3"/>
  </sheets>
  <definedNames>
    <definedName name="_xlnm._FilterDatabase" localSheetId="1" hidden="1">Planilha1!$A$2:$L$244</definedName>
    <definedName name="_xlnm._FilterDatabase" localSheetId="2" hidden="1">Planilha2!$A$2:$C$366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5" i="2" l="1"/>
  <c r="F245" i="2"/>
  <c r="E245" i="2"/>
  <c r="D245" i="2"/>
  <c r="E244" i="2"/>
  <c r="H1" i="2"/>
  <c r="D3" i="2"/>
  <c r="E3" i="2"/>
  <c r="F244" i="2"/>
  <c r="G244" i="2" s="1"/>
  <c r="D244" i="2"/>
  <c r="F228" i="2"/>
  <c r="F225" i="2"/>
  <c r="F216" i="2"/>
  <c r="F213" i="2"/>
  <c r="F204" i="2"/>
  <c r="F201" i="2"/>
  <c r="F194" i="2"/>
  <c r="F192" i="2"/>
  <c r="F189" i="2"/>
  <c r="F180" i="2"/>
  <c r="F177" i="2"/>
  <c r="F168" i="2"/>
  <c r="F165" i="2"/>
  <c r="F156" i="2"/>
  <c r="F153" i="2"/>
  <c r="F144" i="2"/>
  <c r="F141" i="2"/>
  <c r="F132" i="2"/>
  <c r="F129" i="2"/>
  <c r="F120" i="2"/>
  <c r="F117" i="2"/>
  <c r="F109" i="2"/>
  <c r="F108" i="2"/>
  <c r="F105" i="2"/>
  <c r="F96" i="2"/>
  <c r="F93" i="2"/>
  <c r="F84" i="2"/>
  <c r="F81" i="2"/>
  <c r="F72" i="2"/>
  <c r="F69" i="2"/>
  <c r="F60" i="2"/>
  <c r="F57" i="2"/>
  <c r="F48" i="2"/>
  <c r="F45" i="2"/>
  <c r="F36" i="2"/>
  <c r="F33" i="2"/>
  <c r="F24" i="2"/>
  <c r="F21" i="2"/>
  <c r="F12" i="2"/>
  <c r="F9" i="2"/>
  <c r="F3" i="2"/>
  <c r="E243" i="2"/>
  <c r="F243" i="2" s="1"/>
  <c r="E242" i="2"/>
  <c r="F242" i="2" s="1"/>
  <c r="E241" i="2"/>
  <c r="F241" i="2" s="1"/>
  <c r="E240" i="2"/>
  <c r="F240" i="2" s="1"/>
  <c r="E239" i="2"/>
  <c r="F239" i="2" s="1"/>
  <c r="E238" i="2"/>
  <c r="F238" i="2" s="1"/>
  <c r="E237" i="2"/>
  <c r="F237" i="2" s="1"/>
  <c r="E236" i="2"/>
  <c r="F236" i="2" s="1"/>
  <c r="E235" i="2"/>
  <c r="F235" i="2" s="1"/>
  <c r="E234" i="2"/>
  <c r="F234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E227" i="2"/>
  <c r="F227" i="2" s="1"/>
  <c r="E226" i="2"/>
  <c r="F226" i="2" s="1"/>
  <c r="E225" i="2"/>
  <c r="E224" i="2"/>
  <c r="F224" i="2" s="1"/>
  <c r="E223" i="2"/>
  <c r="F223" i="2" s="1"/>
  <c r="E222" i="2"/>
  <c r="F222" i="2" s="1"/>
  <c r="E221" i="2"/>
  <c r="F221" i="2" s="1"/>
  <c r="E220" i="2"/>
  <c r="F220" i="2" s="1"/>
  <c r="E219" i="2"/>
  <c r="F219" i="2" s="1"/>
  <c r="E218" i="2"/>
  <c r="F218" i="2" s="1"/>
  <c r="E217" i="2"/>
  <c r="F217" i="2" s="1"/>
  <c r="E216" i="2"/>
  <c r="E215" i="2"/>
  <c r="F215" i="2" s="1"/>
  <c r="E214" i="2"/>
  <c r="F214" i="2" s="1"/>
  <c r="E213" i="2"/>
  <c r="E212" i="2"/>
  <c r="F212" i="2" s="1"/>
  <c r="E211" i="2"/>
  <c r="F211" i="2" s="1"/>
  <c r="E210" i="2"/>
  <c r="F210" i="2" s="1"/>
  <c r="E209" i="2"/>
  <c r="F209" i="2" s="1"/>
  <c r="E208" i="2"/>
  <c r="F208" i="2" s="1"/>
  <c r="E207" i="2"/>
  <c r="F207" i="2" s="1"/>
  <c r="E206" i="2"/>
  <c r="F206" i="2" s="1"/>
  <c r="E205" i="2"/>
  <c r="F205" i="2" s="1"/>
  <c r="E204" i="2"/>
  <c r="E203" i="2"/>
  <c r="F203" i="2" s="1"/>
  <c r="E202" i="2"/>
  <c r="F202" i="2" s="1"/>
  <c r="E201" i="2"/>
  <c r="E200" i="2"/>
  <c r="F200" i="2" s="1"/>
  <c r="E199" i="2"/>
  <c r="F199" i="2" s="1"/>
  <c r="E198" i="2"/>
  <c r="F198" i="2" s="1"/>
  <c r="E197" i="2"/>
  <c r="F197" i="2" s="1"/>
  <c r="E196" i="2"/>
  <c r="F196" i="2" s="1"/>
  <c r="E195" i="2"/>
  <c r="F195" i="2" s="1"/>
  <c r="E194" i="2"/>
  <c r="E193" i="2"/>
  <c r="F193" i="2" s="1"/>
  <c r="E192" i="2"/>
  <c r="E191" i="2"/>
  <c r="F191" i="2" s="1"/>
  <c r="E190" i="2"/>
  <c r="F190" i="2" s="1"/>
  <c r="E189" i="2"/>
  <c r="E188" i="2"/>
  <c r="F188" i="2" s="1"/>
  <c r="E187" i="2"/>
  <c r="F187" i="2" s="1"/>
  <c r="E186" i="2"/>
  <c r="F186" i="2" s="1"/>
  <c r="E185" i="2"/>
  <c r="F185" i="2" s="1"/>
  <c r="E184" i="2"/>
  <c r="F184" i="2" s="1"/>
  <c r="E183" i="2"/>
  <c r="F183" i="2" s="1"/>
  <c r="E182" i="2"/>
  <c r="F182" i="2" s="1"/>
  <c r="E181" i="2"/>
  <c r="F181" i="2" s="1"/>
  <c r="E180" i="2"/>
  <c r="E179" i="2"/>
  <c r="F179" i="2" s="1"/>
  <c r="E178" i="2"/>
  <c r="F178" i="2" s="1"/>
  <c r="E177" i="2"/>
  <c r="E176" i="2"/>
  <c r="F176" i="2" s="1"/>
  <c r="E175" i="2"/>
  <c r="F175" i="2" s="1"/>
  <c r="E174" i="2"/>
  <c r="F174" i="2" s="1"/>
  <c r="E173" i="2"/>
  <c r="F173" i="2" s="1"/>
  <c r="E172" i="2"/>
  <c r="F172" i="2" s="1"/>
  <c r="E171" i="2"/>
  <c r="F171" i="2" s="1"/>
  <c r="E170" i="2"/>
  <c r="F170" i="2" s="1"/>
  <c r="E169" i="2"/>
  <c r="F169" i="2" s="1"/>
  <c r="E168" i="2"/>
  <c r="E167" i="2"/>
  <c r="F167" i="2" s="1"/>
  <c r="E166" i="2"/>
  <c r="F166" i="2" s="1"/>
  <c r="E165" i="2"/>
  <c r="E164" i="2"/>
  <c r="F164" i="2" s="1"/>
  <c r="E163" i="2"/>
  <c r="F163" i="2" s="1"/>
  <c r="E162" i="2"/>
  <c r="F162" i="2" s="1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E155" i="2"/>
  <c r="F155" i="2" s="1"/>
  <c r="E154" i="2"/>
  <c r="F154" i="2" s="1"/>
  <c r="E153" i="2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F146" i="2" s="1"/>
  <c r="E145" i="2"/>
  <c r="F145" i="2" s="1"/>
  <c r="E144" i="2"/>
  <c r="E143" i="2"/>
  <c r="F143" i="2" s="1"/>
  <c r="E142" i="2"/>
  <c r="F142" i="2" s="1"/>
  <c r="E141" i="2"/>
  <c r="E140" i="2"/>
  <c r="F140" i="2" s="1"/>
  <c r="E139" i="2"/>
  <c r="F139" i="2" s="1"/>
  <c r="E138" i="2"/>
  <c r="F138" i="2" s="1"/>
  <c r="E137" i="2"/>
  <c r="F137" i="2" s="1"/>
  <c r="E136" i="2"/>
  <c r="F136" i="2" s="1"/>
  <c r="E135" i="2"/>
  <c r="F135" i="2" s="1"/>
  <c r="E134" i="2"/>
  <c r="F134" i="2" s="1"/>
  <c r="E133" i="2"/>
  <c r="F133" i="2" s="1"/>
  <c r="E132" i="2"/>
  <c r="E131" i="2"/>
  <c r="F131" i="2" s="1"/>
  <c r="E130" i="2"/>
  <c r="F130" i="2" s="1"/>
  <c r="E129" i="2"/>
  <c r="E128" i="2"/>
  <c r="F128" i="2" s="1"/>
  <c r="E127" i="2"/>
  <c r="F127" i="2" s="1"/>
  <c r="E126" i="2"/>
  <c r="F126" i="2" s="1"/>
  <c r="E125" i="2"/>
  <c r="F125" i="2" s="1"/>
  <c r="E124" i="2"/>
  <c r="F124" i="2" s="1"/>
  <c r="E123" i="2"/>
  <c r="F123" i="2" s="1"/>
  <c r="E122" i="2"/>
  <c r="F122" i="2" s="1"/>
  <c r="E121" i="2"/>
  <c r="F121" i="2" s="1"/>
  <c r="E120" i="2"/>
  <c r="E119" i="2"/>
  <c r="F119" i="2" s="1"/>
  <c r="E118" i="2"/>
  <c r="F118" i="2" s="1"/>
  <c r="E117" i="2"/>
  <c r="E116" i="2"/>
  <c r="F116" i="2" s="1"/>
  <c r="E115" i="2"/>
  <c r="F115" i="2" s="1"/>
  <c r="E114" i="2"/>
  <c r="F114" i="2" s="1"/>
  <c r="E113" i="2"/>
  <c r="F113" i="2" s="1"/>
  <c r="E112" i="2"/>
  <c r="F112" i="2" s="1"/>
  <c r="E111" i="2"/>
  <c r="F111" i="2" s="1"/>
  <c r="E110" i="2"/>
  <c r="F110" i="2" s="1"/>
  <c r="E109" i="2"/>
  <c r="E108" i="2"/>
  <c r="E107" i="2"/>
  <c r="F107" i="2" s="1"/>
  <c r="E106" i="2"/>
  <c r="F106" i="2" s="1"/>
  <c r="E105" i="2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E95" i="2"/>
  <c r="F95" i="2" s="1"/>
  <c r="E94" i="2"/>
  <c r="F94" i="2" s="1"/>
  <c r="E93" i="2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E83" i="2"/>
  <c r="F83" i="2" s="1"/>
  <c r="E82" i="2"/>
  <c r="F82" i="2" s="1"/>
  <c r="E81" i="2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E71" i="2"/>
  <c r="F71" i="2" s="1"/>
  <c r="E70" i="2"/>
  <c r="F70" i="2" s="1"/>
  <c r="E69" i="2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E59" i="2"/>
  <c r="F59" i="2" s="1"/>
  <c r="E58" i="2"/>
  <c r="F58" i="2" s="1"/>
  <c r="E57" i="2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E47" i="2"/>
  <c r="F47" i="2" s="1"/>
  <c r="E46" i="2"/>
  <c r="F46" i="2" s="1"/>
  <c r="E45" i="2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E35" i="2"/>
  <c r="F35" i="2" s="1"/>
  <c r="E34" i="2"/>
  <c r="F34" i="2" s="1"/>
  <c r="E33" i="2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E23" i="2"/>
  <c r="F23" i="2" s="1"/>
  <c r="E22" i="2"/>
  <c r="F22" i="2" s="1"/>
  <c r="E21" i="2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E11" i="2"/>
  <c r="F11" i="2" s="1"/>
  <c r="E10" i="2"/>
  <c r="F10" i="2" s="1"/>
  <c r="E9" i="2"/>
  <c r="E8" i="2"/>
  <c r="F8" i="2" s="1"/>
  <c r="E7" i="2"/>
  <c r="F7" i="2" s="1"/>
  <c r="E6" i="2"/>
  <c r="F6" i="2" s="1"/>
  <c r="E5" i="2"/>
  <c r="F5" i="2" s="1"/>
  <c r="E4" i="2"/>
  <c r="F4" i="2" s="1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<sst xmlns="http://schemas.openxmlformats.org/spreadsheetml/2006/main" count="58" uniqueCount="52">
  <si>
    <t>Datas</t>
  </si>
  <si>
    <t>ODU25 Comdty</t>
  </si>
  <si>
    <t>ODV25 Comdty</t>
  </si>
  <si>
    <t>ODX25 Comdty</t>
  </si>
  <si>
    <t>ODZ25 Comdty</t>
  </si>
  <si>
    <t>ODF26 Comdty</t>
  </si>
  <si>
    <t>ODG26 Comdty</t>
  </si>
  <si>
    <t>ODH26 Comdty</t>
  </si>
  <si>
    <t>ODJ26 Comdty</t>
  </si>
  <si>
    <t>ODK26 Comdty</t>
  </si>
  <si>
    <t>ODM26 Comdty</t>
  </si>
  <si>
    <t>ODN26 Comdty</t>
  </si>
  <si>
    <t>ODQ26 Comdty</t>
  </si>
  <si>
    <t>ODU26 Comdty</t>
  </si>
  <si>
    <t>ODV26 Comdty</t>
  </si>
  <si>
    <t>ODZ26 Comdty</t>
  </si>
  <si>
    <t>ODF27 Comdty</t>
  </si>
  <si>
    <t>ODJ27 Comdty</t>
  </si>
  <si>
    <t>ODN27 Comdty</t>
  </si>
  <si>
    <t>ODQ27 Comdty</t>
  </si>
  <si>
    <t>ODV27 Comdty</t>
  </si>
  <si>
    <t>ODF28 Comdty</t>
  </si>
  <si>
    <t>ODJ28 Comdty</t>
  </si>
  <si>
    <t>ODN28 Comdty</t>
  </si>
  <si>
    <t>ODV28 Comdty</t>
  </si>
  <si>
    <t>ODF29 Comdty</t>
  </si>
  <si>
    <t>ODJ29 Comdty</t>
  </si>
  <si>
    <t>ODN29 Comdty</t>
  </si>
  <si>
    <t>ODV29 Comdty</t>
  </si>
  <si>
    <t>ODF30 Comdty</t>
  </si>
  <si>
    <t>ODJ30 Comdty</t>
  </si>
  <si>
    <t>ODN30 Comdty</t>
  </si>
  <si>
    <t>ODV30 Comdty</t>
  </si>
  <si>
    <t>ODF31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</si>
  <si>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</si>
  <si>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</si>
  <si>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</si>
  <si>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</si>
  <si>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</si>
  <si>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</si>
  <si>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</si>
  <si>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</si>
  <si>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</si>
  <si>
    <t>Quantidades</t>
  </si>
  <si>
    <t>DATES</t>
  </si>
  <si>
    <t>ODF28 TAXA</t>
  </si>
  <si>
    <t>ODF28 CTT</t>
  </si>
  <si>
    <t>ODF29 CTT</t>
  </si>
  <si>
    <t>CDI =</t>
  </si>
  <si>
    <t>Taxa D</t>
  </si>
  <si>
    <t>DIF</t>
  </si>
  <si>
    <t>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</si>
</sst>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7" formatCode="_-&quot;R$&quot;\ * #,##0.00_-;\-&quot;R$&quot;\ * #,##0.00_-;_-&quot;R$&quot;\ * &quot;-&quot;??_-;_-@_-"/>
    <numFmt numFmtId="168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168" fontId="2" fillId="0" borderId="0" applyFont="0" applyFill="0" applyBorder="0" applyAlignment="0" applyProtection="0"/>
    <xf numFmtId="0" fontId="3" fillId="2" borderId="0"/>
    <xf numFmtId="0" fontId="4" fillId="0" borderId="0"/>
    <xf numFmtId="168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4" fillId="0" borderId="0"/>
    <xf numFmtId="168" fontId="2" fillId="0" borderId="0" applyFont="0" applyFill="0" applyBorder="0" applyAlignment="0" applyProtection="0"/>
    <xf numFmtId="0" fontId="6" fillId="0" borderId="0"/>
    <xf numFmtId="167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14" fontId="0" fillId="0" borderId="0" xfId="0" applyNumberFormat="1"/>
    <xf numFmtId="168" fontId="0" fillId="0" borderId="0" xfId="1" applyFont="1"/>
    <xf numFmtId="4" fontId="0" fillId="0" borderId="0" xfId="0" applyNumberFormat="1"/>
    <xf numFmtId="0" fontId="0" fillId="0" borderId="0" xfId="0"/>
  </cellXfs>
  <cellStyles count="10">
    <cellStyle name="blp_column_header" xfId="2" xr:uid="{6DCF0C52-5092-436F-83C7-A6A40D3D41AA}"/>
    <cellStyle name="Comma 12 3 2 2" xfId="5" xr:uid="{127C0356-3ABF-464E-BF4E-F7003520AFE9}"/>
    <cellStyle name="Comma 2" xfId="4" xr:uid="{47D81DEA-8D37-4357-ABF4-B58083A56203}"/>
    <cellStyle name="Moeda 2" xfId="9" xr:uid="{182DE5A8-3D2C-4D91-B6E5-1B09EDBF582D}"/>
    <cellStyle name="Normal" xfId="0" builtinId="0"/>
    <cellStyle name="Normal 144" xfId="6" xr:uid="{95DDFE35-7E28-4A2B-89E3-2783B4944301}"/>
    <cellStyle name="Normal 2" xfId="3" xr:uid="{1EF617BF-D3EC-446A-BD01-D204D562C240}"/>
    <cellStyle name="Normal 3" xfId="8" xr:uid="{C5634F3A-E7C7-4D3C-9E4F-AAAC6FEF54CF}"/>
    <cellStyle name="Vírgula 2" xfId="7" xr:uid="{A68CF0A5-1F40-4B00-A768-332C2A25A4F9}"/>
    <cellStyle name="Vírgula 3" xfId="1" xr:uid="{522B0C76-B3CA-4EA1-A1D5-15DCAAB776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7"/>
  <sheetViews>
    <sheetView tabSelected="1" workbookViewId="0">
      <selection activeCell="A2" sqref="A2"/>
    </sheetView>
  </sheetViews>
  <sheetFormatPr defaultRowHeight="14.5" x14ac:dyDescent="0.35"/>
  <cols>
    <col min="1" max="1" width="17.81640625" bestFit="1" customWidth="1"/>
  </cols>
  <sheetData>
    <row r="1" spans="1:43" x14ac:dyDescent="0.35"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31</v>
      </c>
      <c r="W1">
        <v>0</v>
      </c>
      <c r="X1">
        <v>0</v>
      </c>
      <c r="Y1">
        <v>0</v>
      </c>
      <c r="Z1">
        <v>37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</row>
    <row r="2" spans="1:4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</row>
    <row r="3" spans="1:43" x14ac:dyDescent="0.35">
      <c r="A3" s="2">
        <v>45510</v>
      </c>
      <c r="C3">
        <v>11.445</v>
      </c>
      <c r="F3">
        <v>11.545</v>
      </c>
      <c r="I3">
        <v>11.605</v>
      </c>
      <c r="L3">
        <v>11.645</v>
      </c>
      <c r="O3">
        <v>11.51</v>
      </c>
      <c r="Q3">
        <v>11.68</v>
      </c>
      <c r="R3">
        <v>11.685</v>
      </c>
      <c r="S3">
        <v>11.725</v>
      </c>
      <c r="U3">
        <v>11.76</v>
      </c>
      <c r="V3">
        <v>11.775</v>
      </c>
      <c r="W3">
        <v>11.795</v>
      </c>
      <c r="X3">
        <v>11.824999999999999</v>
      </c>
      <c r="Y3">
        <v>11.83</v>
      </c>
      <c r="Z3">
        <v>11.84</v>
      </c>
      <c r="AA3">
        <v>11.83</v>
      </c>
      <c r="AB3">
        <v>11.84</v>
      </c>
      <c r="AD3">
        <v>11.87</v>
      </c>
      <c r="AH3">
        <v>11.87</v>
      </c>
      <c r="AI3">
        <v>11.87</v>
      </c>
      <c r="AJ3">
        <v>11.87</v>
      </c>
      <c r="AK3">
        <v>11.83</v>
      </c>
      <c r="AL3">
        <v>11.85</v>
      </c>
      <c r="AM3">
        <v>11.76</v>
      </c>
    </row>
    <row r="4" spans="1:43" x14ac:dyDescent="0.35">
      <c r="A4" s="2">
        <v>45511</v>
      </c>
      <c r="C4">
        <v>11.435</v>
      </c>
      <c r="F4">
        <v>11.535</v>
      </c>
      <c r="I4">
        <v>11.6</v>
      </c>
      <c r="L4">
        <v>11.64</v>
      </c>
      <c r="O4">
        <v>11.654999999999999</v>
      </c>
      <c r="Q4">
        <v>11.68</v>
      </c>
      <c r="R4">
        <v>11.7</v>
      </c>
      <c r="S4">
        <v>11.725</v>
      </c>
      <c r="U4">
        <v>11.755000000000001</v>
      </c>
      <c r="V4">
        <v>11.775</v>
      </c>
      <c r="W4">
        <v>11.79</v>
      </c>
      <c r="X4">
        <v>11.82</v>
      </c>
      <c r="Y4">
        <v>11.835000000000001</v>
      </c>
      <c r="Z4">
        <v>11.84</v>
      </c>
      <c r="AA4">
        <v>11.82</v>
      </c>
      <c r="AB4">
        <v>11.85</v>
      </c>
      <c r="AD4">
        <v>11.87</v>
      </c>
      <c r="AH4">
        <v>11.87</v>
      </c>
      <c r="AI4">
        <v>11.85</v>
      </c>
      <c r="AJ4">
        <v>11.86</v>
      </c>
      <c r="AK4">
        <v>11.83</v>
      </c>
      <c r="AL4">
        <v>11.84</v>
      </c>
      <c r="AM4">
        <v>11.76</v>
      </c>
    </row>
    <row r="5" spans="1:43" x14ac:dyDescent="0.35">
      <c r="A5" s="2">
        <v>45512</v>
      </c>
      <c r="C5">
        <v>11.52</v>
      </c>
      <c r="F5">
        <v>11.635</v>
      </c>
      <c r="I5">
        <v>11.685</v>
      </c>
      <c r="L5">
        <v>11.69</v>
      </c>
      <c r="O5">
        <v>11.7</v>
      </c>
      <c r="Q5">
        <v>11.734999999999999</v>
      </c>
      <c r="R5">
        <v>11.744999999999999</v>
      </c>
      <c r="S5">
        <v>11.775</v>
      </c>
      <c r="U5">
        <v>11.795</v>
      </c>
      <c r="V5">
        <v>11.815</v>
      </c>
      <c r="W5">
        <v>11.81</v>
      </c>
      <c r="X5">
        <v>11.725</v>
      </c>
      <c r="Y5">
        <v>11.835000000000001</v>
      </c>
      <c r="Z5">
        <v>11.855</v>
      </c>
      <c r="AA5">
        <v>11.815</v>
      </c>
      <c r="AB5">
        <v>11.824999999999999</v>
      </c>
      <c r="AD5">
        <v>11.87</v>
      </c>
      <c r="AH5">
        <v>11.86</v>
      </c>
      <c r="AI5">
        <v>11.84</v>
      </c>
      <c r="AJ5">
        <v>11.84</v>
      </c>
      <c r="AK5">
        <v>11.79</v>
      </c>
      <c r="AL5">
        <v>11.8</v>
      </c>
      <c r="AM5">
        <v>11.63</v>
      </c>
    </row>
    <row r="6" spans="1:43" x14ac:dyDescent="0.35">
      <c r="A6" s="2">
        <v>45513</v>
      </c>
      <c r="C6">
        <v>11.41</v>
      </c>
      <c r="F6">
        <v>11.5</v>
      </c>
      <c r="I6">
        <v>11.53</v>
      </c>
      <c r="L6">
        <v>11.53</v>
      </c>
      <c r="O6">
        <v>11.51</v>
      </c>
      <c r="Q6">
        <v>11.5</v>
      </c>
      <c r="R6">
        <v>11.49</v>
      </c>
      <c r="S6">
        <v>11.505000000000001</v>
      </c>
      <c r="U6">
        <v>11.52</v>
      </c>
      <c r="V6">
        <v>11.52</v>
      </c>
      <c r="W6">
        <v>11.535</v>
      </c>
      <c r="X6">
        <v>11.55</v>
      </c>
      <c r="Y6">
        <v>11.555</v>
      </c>
      <c r="Z6">
        <v>11.56</v>
      </c>
      <c r="AA6">
        <v>11.55</v>
      </c>
      <c r="AB6">
        <v>11.545</v>
      </c>
      <c r="AD6">
        <v>11.57</v>
      </c>
      <c r="AH6">
        <v>11.57</v>
      </c>
      <c r="AI6">
        <v>11.54</v>
      </c>
      <c r="AJ6">
        <v>11.55</v>
      </c>
      <c r="AK6">
        <v>11.51</v>
      </c>
      <c r="AL6">
        <v>11.52</v>
      </c>
      <c r="AM6">
        <v>11.47</v>
      </c>
      <c r="AN6">
        <v>11.39</v>
      </c>
      <c r="AO6">
        <v>11.42</v>
      </c>
      <c r="AP6">
        <v>11.2</v>
      </c>
    </row>
    <row r="7" spans="1:43" x14ac:dyDescent="0.35">
      <c r="A7" s="2">
        <v>45514</v>
      </c>
    </row>
    <row r="8" spans="1:43" x14ac:dyDescent="0.35">
      <c r="A8" s="2">
        <v>45515</v>
      </c>
    </row>
    <row r="9" spans="1:43" x14ac:dyDescent="0.35">
      <c r="A9" s="2">
        <v>45516</v>
      </c>
      <c r="C9">
        <v>11.484999999999999</v>
      </c>
      <c r="F9">
        <v>11.55</v>
      </c>
      <c r="I9">
        <v>11.465</v>
      </c>
      <c r="L9">
        <v>11.574999999999999</v>
      </c>
      <c r="O9">
        <v>11.55</v>
      </c>
      <c r="Q9">
        <v>11.545</v>
      </c>
      <c r="R9">
        <v>11.55</v>
      </c>
      <c r="S9">
        <v>11.555</v>
      </c>
      <c r="U9">
        <v>11.57</v>
      </c>
      <c r="V9">
        <v>11.57</v>
      </c>
      <c r="W9">
        <v>11.58</v>
      </c>
      <c r="X9">
        <v>11.6</v>
      </c>
      <c r="Y9">
        <v>11.62</v>
      </c>
      <c r="Z9">
        <v>11.62</v>
      </c>
      <c r="AA9">
        <v>11.6</v>
      </c>
      <c r="AB9">
        <v>11.605</v>
      </c>
      <c r="AD9">
        <v>11.62</v>
      </c>
      <c r="AH9">
        <v>11.61</v>
      </c>
      <c r="AI9">
        <v>11.59</v>
      </c>
      <c r="AJ9">
        <v>11.6</v>
      </c>
      <c r="AK9">
        <v>11.54</v>
      </c>
      <c r="AL9">
        <v>11.56</v>
      </c>
      <c r="AM9">
        <v>11.42</v>
      </c>
    </row>
    <row r="10" spans="1:43" x14ac:dyDescent="0.35">
      <c r="A10" s="2">
        <v>45517</v>
      </c>
      <c r="C10">
        <v>11.35</v>
      </c>
      <c r="F10">
        <v>11.385</v>
      </c>
      <c r="I10">
        <v>11.404999999999999</v>
      </c>
      <c r="L10">
        <v>11.375</v>
      </c>
      <c r="O10">
        <v>11.35</v>
      </c>
      <c r="Q10">
        <v>11.335000000000001</v>
      </c>
      <c r="R10">
        <v>11.34</v>
      </c>
      <c r="S10">
        <v>11.355</v>
      </c>
      <c r="U10">
        <v>11.35</v>
      </c>
      <c r="V10">
        <v>11.37</v>
      </c>
      <c r="W10">
        <v>11.37</v>
      </c>
      <c r="X10">
        <v>11.39</v>
      </c>
      <c r="Y10">
        <v>11.404999999999999</v>
      </c>
      <c r="Z10">
        <v>11.404999999999999</v>
      </c>
      <c r="AA10">
        <v>11.375</v>
      </c>
      <c r="AB10">
        <v>11.38</v>
      </c>
      <c r="AD10">
        <v>11.4</v>
      </c>
      <c r="AH10">
        <v>11.39</v>
      </c>
      <c r="AI10">
        <v>11.37</v>
      </c>
      <c r="AJ10">
        <v>11.37</v>
      </c>
      <c r="AK10">
        <v>11.32</v>
      </c>
      <c r="AL10">
        <v>11.33</v>
      </c>
      <c r="AM10">
        <v>11.27</v>
      </c>
    </row>
    <row r="11" spans="1:43" x14ac:dyDescent="0.35">
      <c r="A11" s="2">
        <v>45518</v>
      </c>
      <c r="C11">
        <v>11.25</v>
      </c>
      <c r="F11">
        <v>11.4</v>
      </c>
      <c r="I11">
        <v>11.425000000000001</v>
      </c>
      <c r="L11">
        <v>11.404999999999999</v>
      </c>
      <c r="O11">
        <v>11.38</v>
      </c>
      <c r="Q11">
        <v>11.37</v>
      </c>
      <c r="R11">
        <v>11.36</v>
      </c>
      <c r="S11">
        <v>11.375</v>
      </c>
      <c r="U11">
        <v>11.385</v>
      </c>
      <c r="V11">
        <v>11.39</v>
      </c>
      <c r="W11">
        <v>11.395</v>
      </c>
      <c r="X11">
        <v>11.41</v>
      </c>
      <c r="Y11">
        <v>11.425000000000001</v>
      </c>
      <c r="Z11">
        <v>11.425000000000001</v>
      </c>
      <c r="AA11">
        <v>11.395</v>
      </c>
      <c r="AB11">
        <v>11.39</v>
      </c>
      <c r="AD11">
        <v>11.44</v>
      </c>
      <c r="AH11">
        <v>11.43</v>
      </c>
      <c r="AI11">
        <v>11.41</v>
      </c>
      <c r="AJ11">
        <v>11.42</v>
      </c>
      <c r="AK11">
        <v>11.37</v>
      </c>
      <c r="AL11">
        <v>11.38</v>
      </c>
      <c r="AM11">
        <v>11.27</v>
      </c>
    </row>
    <row r="12" spans="1:43" x14ac:dyDescent="0.35">
      <c r="A12" s="2">
        <v>45519</v>
      </c>
      <c r="C12">
        <v>11.46</v>
      </c>
      <c r="F12">
        <v>11.525</v>
      </c>
      <c r="I12">
        <v>11.545</v>
      </c>
      <c r="L12">
        <v>11.35</v>
      </c>
      <c r="O12">
        <v>11.494999999999999</v>
      </c>
      <c r="Q12">
        <v>11.475</v>
      </c>
      <c r="R12">
        <v>11.435</v>
      </c>
      <c r="S12">
        <v>11.44</v>
      </c>
      <c r="U12">
        <v>11.45</v>
      </c>
      <c r="V12">
        <v>11.45</v>
      </c>
      <c r="W12">
        <v>11.45</v>
      </c>
      <c r="X12">
        <v>11.365</v>
      </c>
      <c r="Y12">
        <v>11.475</v>
      </c>
      <c r="Z12">
        <v>11.47</v>
      </c>
      <c r="AA12">
        <v>11.455</v>
      </c>
      <c r="AB12">
        <v>11.46</v>
      </c>
      <c r="AD12">
        <v>11.46</v>
      </c>
      <c r="AH12">
        <v>11.43</v>
      </c>
      <c r="AI12">
        <v>11.39</v>
      </c>
      <c r="AJ12">
        <v>11.39</v>
      </c>
      <c r="AK12">
        <v>11.34</v>
      </c>
      <c r="AL12">
        <v>11.35</v>
      </c>
      <c r="AM12">
        <v>11.23</v>
      </c>
    </row>
    <row r="13" spans="1:43" x14ac:dyDescent="0.35">
      <c r="A13" s="2">
        <v>45520</v>
      </c>
    </row>
    <row r="14" spans="1:43" x14ac:dyDescent="0.35">
      <c r="A14" s="2">
        <v>45521</v>
      </c>
    </row>
    <row r="15" spans="1:43" x14ac:dyDescent="0.35">
      <c r="A15" s="2">
        <v>45522</v>
      </c>
    </row>
    <row r="16" spans="1:43" x14ac:dyDescent="0.35">
      <c r="A16" s="2">
        <v>45523</v>
      </c>
      <c r="C16">
        <v>11.57</v>
      </c>
      <c r="F16">
        <v>11.574999999999999</v>
      </c>
      <c r="I16">
        <v>11.555</v>
      </c>
      <c r="L16">
        <v>11.52</v>
      </c>
      <c r="O16">
        <v>11.46</v>
      </c>
      <c r="Q16">
        <v>11.414999999999999</v>
      </c>
      <c r="R16">
        <v>11.375</v>
      </c>
      <c r="S16">
        <v>11.38</v>
      </c>
      <c r="U16">
        <v>11.375</v>
      </c>
      <c r="V16">
        <v>11.244999999999999</v>
      </c>
      <c r="W16">
        <v>11.36</v>
      </c>
      <c r="X16">
        <v>11.365</v>
      </c>
      <c r="Y16">
        <v>11.385</v>
      </c>
      <c r="Z16">
        <v>11.37</v>
      </c>
      <c r="AA16">
        <v>11.365</v>
      </c>
      <c r="AB16">
        <v>11.35</v>
      </c>
      <c r="AD16">
        <v>11.38</v>
      </c>
      <c r="AH16">
        <v>11.36</v>
      </c>
      <c r="AI16">
        <v>11.31</v>
      </c>
      <c r="AJ16">
        <v>11.35</v>
      </c>
      <c r="AK16">
        <v>11.27</v>
      </c>
      <c r="AL16">
        <v>11.31</v>
      </c>
      <c r="AM16">
        <v>11.15</v>
      </c>
    </row>
    <row r="17" spans="1:39" x14ac:dyDescent="0.35">
      <c r="A17" s="2">
        <v>45524</v>
      </c>
      <c r="C17">
        <v>11.465</v>
      </c>
      <c r="F17">
        <v>11.484999999999999</v>
      </c>
      <c r="I17">
        <v>11.494999999999999</v>
      </c>
      <c r="L17">
        <v>11.465</v>
      </c>
      <c r="O17">
        <v>11.435</v>
      </c>
      <c r="Q17">
        <v>11.41</v>
      </c>
      <c r="R17">
        <v>11.375</v>
      </c>
      <c r="S17">
        <v>11.404999999999999</v>
      </c>
      <c r="U17">
        <v>11.39</v>
      </c>
      <c r="V17">
        <v>11.404999999999999</v>
      </c>
      <c r="W17">
        <v>11.42</v>
      </c>
      <c r="X17">
        <v>11.365</v>
      </c>
      <c r="Y17">
        <v>11.455</v>
      </c>
      <c r="Z17">
        <v>11.45</v>
      </c>
      <c r="AA17">
        <v>11.435</v>
      </c>
      <c r="AB17">
        <v>11.445</v>
      </c>
      <c r="AD17">
        <v>11.47</v>
      </c>
      <c r="AH17">
        <v>11.46</v>
      </c>
      <c r="AI17">
        <v>11.42</v>
      </c>
      <c r="AJ17">
        <v>11.44</v>
      </c>
      <c r="AK17">
        <v>11.39</v>
      </c>
      <c r="AL17">
        <v>11.4</v>
      </c>
      <c r="AM17">
        <v>11.29</v>
      </c>
    </row>
    <row r="18" spans="1:39" x14ac:dyDescent="0.35">
      <c r="A18" s="2">
        <v>45525</v>
      </c>
      <c r="C18">
        <v>11.42</v>
      </c>
      <c r="F18">
        <v>11.45</v>
      </c>
      <c r="I18">
        <v>11.44</v>
      </c>
      <c r="L18">
        <v>11.455</v>
      </c>
      <c r="O18">
        <v>11.445</v>
      </c>
      <c r="Q18">
        <v>11.42</v>
      </c>
      <c r="R18">
        <v>11.43</v>
      </c>
      <c r="S18">
        <v>11.435</v>
      </c>
      <c r="U18">
        <v>11.414999999999999</v>
      </c>
      <c r="V18">
        <v>11.46</v>
      </c>
      <c r="W18">
        <v>11.47</v>
      </c>
      <c r="X18">
        <v>11.475</v>
      </c>
      <c r="Y18">
        <v>11.5</v>
      </c>
      <c r="Z18">
        <v>11.494999999999999</v>
      </c>
      <c r="AA18">
        <v>11.5</v>
      </c>
      <c r="AB18">
        <v>11.5</v>
      </c>
      <c r="AD18">
        <v>11.53</v>
      </c>
      <c r="AH18">
        <v>11.51</v>
      </c>
      <c r="AI18">
        <v>11.49</v>
      </c>
      <c r="AJ18">
        <v>11.48</v>
      </c>
      <c r="AK18">
        <v>11.44</v>
      </c>
      <c r="AL18">
        <v>11.45</v>
      </c>
      <c r="AM18">
        <v>11.33</v>
      </c>
    </row>
    <row r="19" spans="1:39" x14ac:dyDescent="0.35">
      <c r="A19" s="2">
        <v>45526</v>
      </c>
      <c r="C19">
        <v>11.54</v>
      </c>
      <c r="F19">
        <v>11.574999999999999</v>
      </c>
      <c r="I19">
        <v>11.54</v>
      </c>
      <c r="L19">
        <v>11.595000000000001</v>
      </c>
      <c r="O19">
        <v>11.595000000000001</v>
      </c>
      <c r="Q19">
        <v>11.574999999999999</v>
      </c>
      <c r="R19">
        <v>11.585000000000001</v>
      </c>
      <c r="S19">
        <v>11.595000000000001</v>
      </c>
      <c r="U19">
        <v>11.615</v>
      </c>
      <c r="V19">
        <v>11.61</v>
      </c>
      <c r="W19">
        <v>11.625</v>
      </c>
      <c r="X19">
        <v>11.65</v>
      </c>
      <c r="Y19">
        <v>11.664999999999999</v>
      </c>
      <c r="Z19">
        <v>11.664999999999999</v>
      </c>
      <c r="AA19">
        <v>11.66</v>
      </c>
      <c r="AB19">
        <v>11.66</v>
      </c>
      <c r="AD19">
        <v>11.68</v>
      </c>
      <c r="AH19">
        <v>11.67</v>
      </c>
      <c r="AI19">
        <v>11.64</v>
      </c>
      <c r="AJ19">
        <v>11.65</v>
      </c>
      <c r="AK19">
        <v>11.6</v>
      </c>
      <c r="AL19">
        <v>11.62</v>
      </c>
      <c r="AM19">
        <v>11.53</v>
      </c>
    </row>
    <row r="20" spans="1:39" x14ac:dyDescent="0.35">
      <c r="A20" s="2">
        <v>45527</v>
      </c>
      <c r="C20">
        <v>11.435</v>
      </c>
      <c r="F20">
        <v>11.465</v>
      </c>
      <c r="I20">
        <v>11.48</v>
      </c>
      <c r="L20">
        <v>11.49</v>
      </c>
      <c r="O20">
        <v>11.47</v>
      </c>
      <c r="Q20">
        <v>11.45</v>
      </c>
      <c r="R20">
        <v>11.43</v>
      </c>
      <c r="S20">
        <v>11.475</v>
      </c>
      <c r="U20">
        <v>11.484999999999999</v>
      </c>
      <c r="V20">
        <v>11.494999999999999</v>
      </c>
      <c r="W20">
        <v>11.5</v>
      </c>
      <c r="X20">
        <v>11.535</v>
      </c>
      <c r="Y20">
        <v>11.54</v>
      </c>
      <c r="Z20">
        <v>11.55</v>
      </c>
      <c r="AA20">
        <v>11.55</v>
      </c>
      <c r="AB20">
        <v>11.555</v>
      </c>
      <c r="AD20">
        <v>11.57</v>
      </c>
      <c r="AH20">
        <v>11.55</v>
      </c>
      <c r="AI20">
        <v>11.47</v>
      </c>
      <c r="AJ20">
        <v>11.54</v>
      </c>
      <c r="AK20">
        <v>11.48</v>
      </c>
      <c r="AL20">
        <v>11.52</v>
      </c>
      <c r="AM20">
        <v>11.4</v>
      </c>
    </row>
    <row r="21" spans="1:39" x14ac:dyDescent="0.35">
      <c r="A21" s="2">
        <v>45528</v>
      </c>
    </row>
    <row r="22" spans="1:39" x14ac:dyDescent="0.35">
      <c r="A22" s="2">
        <v>45529</v>
      </c>
    </row>
    <row r="23" spans="1:39" x14ac:dyDescent="0.35">
      <c r="A23" s="2">
        <v>45530</v>
      </c>
      <c r="C23">
        <v>11.414999999999999</v>
      </c>
      <c r="F23">
        <v>11.42</v>
      </c>
      <c r="I23">
        <v>11.41</v>
      </c>
      <c r="L23">
        <v>11.41</v>
      </c>
      <c r="O23">
        <v>11.39</v>
      </c>
      <c r="Q23">
        <v>11.375</v>
      </c>
      <c r="R23">
        <v>11.385</v>
      </c>
      <c r="S23">
        <v>11.4</v>
      </c>
      <c r="U23">
        <v>11.425000000000001</v>
      </c>
      <c r="V23">
        <v>11.43</v>
      </c>
      <c r="W23">
        <v>11.43</v>
      </c>
      <c r="X23">
        <v>11.48</v>
      </c>
      <c r="Y23">
        <v>11.494999999999999</v>
      </c>
      <c r="Z23">
        <v>11.494999999999999</v>
      </c>
      <c r="AA23">
        <v>11.5</v>
      </c>
      <c r="AB23">
        <v>11.5</v>
      </c>
      <c r="AD23">
        <v>11.54</v>
      </c>
      <c r="AH23">
        <v>11.52</v>
      </c>
      <c r="AI23">
        <v>11.51</v>
      </c>
      <c r="AJ23">
        <v>11.51</v>
      </c>
      <c r="AK23">
        <v>11.48</v>
      </c>
      <c r="AL23">
        <v>11.5</v>
      </c>
      <c r="AM23">
        <v>11.36</v>
      </c>
    </row>
    <row r="24" spans="1:39" x14ac:dyDescent="0.35">
      <c r="A24" s="2">
        <v>45531</v>
      </c>
      <c r="C24">
        <v>11.56</v>
      </c>
      <c r="F24">
        <v>11.574999999999999</v>
      </c>
      <c r="I24">
        <v>11.574999999999999</v>
      </c>
      <c r="L24">
        <v>11.574999999999999</v>
      </c>
      <c r="O24">
        <v>11.55</v>
      </c>
      <c r="Q24">
        <v>11.52</v>
      </c>
      <c r="R24">
        <v>11.51</v>
      </c>
      <c r="S24">
        <v>11.535</v>
      </c>
      <c r="U24">
        <v>11.545</v>
      </c>
      <c r="V24">
        <v>11.555</v>
      </c>
      <c r="W24">
        <v>11.56</v>
      </c>
      <c r="X24">
        <v>11.595000000000001</v>
      </c>
      <c r="Y24">
        <v>11.574999999999999</v>
      </c>
      <c r="Z24">
        <v>11.605</v>
      </c>
      <c r="AA24">
        <v>11.605</v>
      </c>
      <c r="AB24">
        <v>11.605</v>
      </c>
      <c r="AD24">
        <v>11.63</v>
      </c>
      <c r="AH24">
        <v>11.63</v>
      </c>
      <c r="AI24">
        <v>11.59</v>
      </c>
      <c r="AJ24">
        <v>11.61</v>
      </c>
      <c r="AK24">
        <v>11.55</v>
      </c>
      <c r="AL24">
        <v>11.58</v>
      </c>
      <c r="AM24">
        <v>11.45</v>
      </c>
    </row>
    <row r="25" spans="1:39" x14ac:dyDescent="0.35">
      <c r="A25" s="2">
        <v>45532</v>
      </c>
      <c r="C25">
        <v>11.685</v>
      </c>
      <c r="F25">
        <v>11.71</v>
      </c>
      <c r="I25">
        <v>11.71</v>
      </c>
      <c r="L25">
        <v>11.695</v>
      </c>
      <c r="O25">
        <v>11.67</v>
      </c>
      <c r="Q25">
        <v>11.64</v>
      </c>
      <c r="R25">
        <v>11.615</v>
      </c>
      <c r="S25">
        <v>11.654999999999999</v>
      </c>
      <c r="U25">
        <v>11.675000000000001</v>
      </c>
      <c r="V25">
        <v>11.68</v>
      </c>
      <c r="W25">
        <v>11.695</v>
      </c>
      <c r="X25">
        <v>11.715</v>
      </c>
      <c r="Y25">
        <v>11.734999999999999</v>
      </c>
      <c r="Z25">
        <v>11.734999999999999</v>
      </c>
      <c r="AA25">
        <v>11.73</v>
      </c>
      <c r="AB25">
        <v>11.72</v>
      </c>
      <c r="AD25">
        <v>11.77</v>
      </c>
      <c r="AH25">
        <v>11.76</v>
      </c>
      <c r="AI25">
        <v>11.72</v>
      </c>
      <c r="AJ25">
        <v>11.74</v>
      </c>
      <c r="AK25">
        <v>11.7</v>
      </c>
      <c r="AL25">
        <v>11.71</v>
      </c>
      <c r="AM25">
        <v>11.61</v>
      </c>
    </row>
    <row r="26" spans="1:39" x14ac:dyDescent="0.35">
      <c r="A26" s="2">
        <v>45533</v>
      </c>
      <c r="C26">
        <v>11.8</v>
      </c>
      <c r="F26">
        <v>11.83</v>
      </c>
      <c r="I26">
        <v>11.835000000000001</v>
      </c>
      <c r="L26">
        <v>11.84</v>
      </c>
      <c r="O26">
        <v>11.824999999999999</v>
      </c>
      <c r="Q26">
        <v>11.8</v>
      </c>
      <c r="R26">
        <v>11.8</v>
      </c>
      <c r="S26">
        <v>11.715</v>
      </c>
      <c r="U26">
        <v>11.83</v>
      </c>
      <c r="V26">
        <v>11.82</v>
      </c>
      <c r="W26">
        <v>11.835000000000001</v>
      </c>
      <c r="X26">
        <v>11.865</v>
      </c>
      <c r="Y26">
        <v>11.875</v>
      </c>
      <c r="Z26">
        <v>11.87</v>
      </c>
      <c r="AA26">
        <v>11.865</v>
      </c>
      <c r="AB26">
        <v>11.865</v>
      </c>
      <c r="AD26">
        <v>11.87</v>
      </c>
      <c r="AH26">
        <v>11.86</v>
      </c>
      <c r="AI26">
        <v>11.81</v>
      </c>
      <c r="AJ26">
        <v>11.82</v>
      </c>
      <c r="AK26">
        <v>11.78</v>
      </c>
      <c r="AL26">
        <v>11.78</v>
      </c>
      <c r="AM26">
        <v>11.65</v>
      </c>
    </row>
    <row r="27" spans="1:39" x14ac:dyDescent="0.35">
      <c r="A27" s="2">
        <v>45534</v>
      </c>
      <c r="C27">
        <v>11.805</v>
      </c>
      <c r="F27">
        <v>11.875</v>
      </c>
      <c r="I27">
        <v>11.92</v>
      </c>
      <c r="L27">
        <v>11.96</v>
      </c>
      <c r="O27">
        <v>11.97</v>
      </c>
      <c r="Q27">
        <v>11.98</v>
      </c>
      <c r="R27">
        <v>12.01</v>
      </c>
      <c r="S27">
        <v>12.04</v>
      </c>
      <c r="U27">
        <v>12.05</v>
      </c>
      <c r="V27">
        <v>12.095000000000001</v>
      </c>
      <c r="W27">
        <v>12.105</v>
      </c>
      <c r="X27">
        <v>12.14</v>
      </c>
      <c r="Y27">
        <v>12.15</v>
      </c>
      <c r="Z27">
        <v>12.16</v>
      </c>
      <c r="AA27">
        <v>12.15</v>
      </c>
      <c r="AB27">
        <v>12.154999999999999</v>
      </c>
      <c r="AD27">
        <v>12.19</v>
      </c>
      <c r="AH27">
        <v>12.17</v>
      </c>
      <c r="AI27">
        <v>12.07</v>
      </c>
      <c r="AJ27">
        <v>12.14</v>
      </c>
      <c r="AK27">
        <v>12.07</v>
      </c>
      <c r="AL27">
        <v>12.1</v>
      </c>
      <c r="AM27">
        <v>11.97</v>
      </c>
    </row>
    <row r="28" spans="1:39" x14ac:dyDescent="0.35">
      <c r="A28" s="2">
        <v>45535</v>
      </c>
    </row>
    <row r="29" spans="1:39" x14ac:dyDescent="0.35">
      <c r="A29" s="2">
        <v>45536</v>
      </c>
    </row>
    <row r="30" spans="1:39" x14ac:dyDescent="0.35">
      <c r="A30" s="2">
        <v>45537</v>
      </c>
      <c r="B30">
        <v>11.744999999999999</v>
      </c>
      <c r="C30">
        <v>11.82</v>
      </c>
      <c r="F30">
        <v>11.895</v>
      </c>
      <c r="I30">
        <v>11.935</v>
      </c>
      <c r="L30">
        <v>11.975</v>
      </c>
      <c r="O30">
        <v>11.975</v>
      </c>
      <c r="Q30">
        <v>11.97</v>
      </c>
      <c r="R30">
        <v>11.965</v>
      </c>
      <c r="S30">
        <v>12.025</v>
      </c>
      <c r="U30">
        <v>12.07</v>
      </c>
      <c r="V30">
        <v>12.074999999999999</v>
      </c>
      <c r="W30">
        <v>12.1</v>
      </c>
      <c r="X30">
        <v>12.125</v>
      </c>
      <c r="Y30">
        <v>12.15</v>
      </c>
      <c r="Z30">
        <v>12.15</v>
      </c>
      <c r="AA30">
        <v>12.14</v>
      </c>
      <c r="AB30">
        <v>12.145</v>
      </c>
      <c r="AD30">
        <v>12.16</v>
      </c>
      <c r="AH30">
        <v>12.13</v>
      </c>
      <c r="AI30">
        <v>12.09</v>
      </c>
      <c r="AJ30">
        <v>12.1</v>
      </c>
      <c r="AK30">
        <v>12.05</v>
      </c>
      <c r="AL30">
        <v>12.07</v>
      </c>
      <c r="AM30">
        <v>11.97</v>
      </c>
    </row>
    <row r="31" spans="1:39" x14ac:dyDescent="0.35">
      <c r="A31" s="2">
        <v>45538</v>
      </c>
      <c r="B31">
        <v>11.775</v>
      </c>
      <c r="C31">
        <v>11.84</v>
      </c>
      <c r="F31">
        <v>11.925000000000001</v>
      </c>
      <c r="I31">
        <v>11.95</v>
      </c>
      <c r="L31">
        <v>11.965</v>
      </c>
      <c r="O31">
        <v>11.97</v>
      </c>
      <c r="Q31">
        <v>11.96</v>
      </c>
      <c r="R31">
        <v>11.975</v>
      </c>
      <c r="S31">
        <v>12</v>
      </c>
      <c r="U31">
        <v>12</v>
      </c>
      <c r="V31">
        <v>12.035</v>
      </c>
      <c r="W31">
        <v>12.06</v>
      </c>
      <c r="X31">
        <v>12.1</v>
      </c>
      <c r="Y31">
        <v>12.125</v>
      </c>
      <c r="Z31">
        <v>12.13</v>
      </c>
      <c r="AA31">
        <v>12.12</v>
      </c>
      <c r="AB31">
        <v>12.12</v>
      </c>
      <c r="AD31">
        <v>12.16</v>
      </c>
      <c r="AH31">
        <v>12.12</v>
      </c>
      <c r="AI31">
        <v>12.08</v>
      </c>
      <c r="AJ31">
        <v>12.08</v>
      </c>
      <c r="AK31">
        <v>12.03</v>
      </c>
      <c r="AL31">
        <v>12.05</v>
      </c>
      <c r="AM31">
        <v>11.95</v>
      </c>
    </row>
    <row r="32" spans="1:39" x14ac:dyDescent="0.35">
      <c r="A32" s="2">
        <v>45539</v>
      </c>
      <c r="B32">
        <v>11.41</v>
      </c>
      <c r="C32">
        <v>11.36</v>
      </c>
      <c r="F32">
        <v>11.765000000000001</v>
      </c>
      <c r="I32">
        <v>11.79</v>
      </c>
      <c r="L32">
        <v>11.795</v>
      </c>
      <c r="O32">
        <v>11.785</v>
      </c>
      <c r="Q32">
        <v>11.775</v>
      </c>
      <c r="R32">
        <v>11.78</v>
      </c>
      <c r="S32">
        <v>11.824999999999999</v>
      </c>
      <c r="U32">
        <v>11.855</v>
      </c>
      <c r="V32">
        <v>11.88</v>
      </c>
      <c r="W32">
        <v>11.89</v>
      </c>
      <c r="X32">
        <v>11.925000000000001</v>
      </c>
      <c r="Y32">
        <v>11.94</v>
      </c>
      <c r="Z32">
        <v>11.955</v>
      </c>
      <c r="AA32">
        <v>11.95</v>
      </c>
      <c r="AB32">
        <v>11.955</v>
      </c>
      <c r="AD32">
        <v>11.98</v>
      </c>
      <c r="AH32">
        <v>11.96</v>
      </c>
      <c r="AI32">
        <v>11.92</v>
      </c>
      <c r="AJ32">
        <v>11.92</v>
      </c>
      <c r="AK32">
        <v>11.85</v>
      </c>
      <c r="AL32">
        <v>11.89</v>
      </c>
      <c r="AM32">
        <v>11.74</v>
      </c>
    </row>
    <row r="33" spans="1:39" x14ac:dyDescent="0.35">
      <c r="A33" s="2">
        <v>45540</v>
      </c>
      <c r="B33">
        <v>11.55</v>
      </c>
      <c r="C33">
        <v>11.605</v>
      </c>
      <c r="F33">
        <v>11.66</v>
      </c>
      <c r="I33">
        <v>11.65</v>
      </c>
      <c r="L33">
        <v>11.68</v>
      </c>
      <c r="O33">
        <v>11.67</v>
      </c>
      <c r="Q33">
        <v>11.645</v>
      </c>
      <c r="R33">
        <v>11.64</v>
      </c>
      <c r="S33">
        <v>11.675000000000001</v>
      </c>
      <c r="U33">
        <v>11.7</v>
      </c>
      <c r="V33">
        <v>11.71</v>
      </c>
      <c r="W33">
        <v>11.73</v>
      </c>
      <c r="X33">
        <v>11.775</v>
      </c>
      <c r="Y33">
        <v>11.775</v>
      </c>
      <c r="Z33">
        <v>11.78</v>
      </c>
      <c r="AA33">
        <v>11.78</v>
      </c>
      <c r="AB33">
        <v>11.78</v>
      </c>
      <c r="AD33">
        <v>11.81</v>
      </c>
      <c r="AH33">
        <v>11.79</v>
      </c>
      <c r="AI33">
        <v>11.73</v>
      </c>
      <c r="AJ33">
        <v>11.75</v>
      </c>
      <c r="AK33">
        <v>11.71</v>
      </c>
      <c r="AL33">
        <v>11.72</v>
      </c>
      <c r="AM33">
        <v>11.6</v>
      </c>
    </row>
    <row r="34" spans="1:39" x14ac:dyDescent="0.35">
      <c r="A34" s="2">
        <v>45541</v>
      </c>
    </row>
    <row r="35" spans="1:39" x14ac:dyDescent="0.35">
      <c r="A35" s="2">
        <v>45542</v>
      </c>
    </row>
    <row r="36" spans="1:39" x14ac:dyDescent="0.35">
      <c r="A36" s="2">
        <v>45543</v>
      </c>
    </row>
    <row r="37" spans="1:39" x14ac:dyDescent="0.35">
      <c r="A37" s="2">
        <v>45544</v>
      </c>
      <c r="B37">
        <v>11.625</v>
      </c>
      <c r="C37">
        <v>11.685</v>
      </c>
      <c r="F37">
        <v>11.755000000000001</v>
      </c>
      <c r="I37">
        <v>11.78</v>
      </c>
      <c r="L37">
        <v>11.765000000000001</v>
      </c>
      <c r="O37">
        <v>11.74</v>
      </c>
      <c r="Q37">
        <v>11.71</v>
      </c>
      <c r="R37">
        <v>11.715</v>
      </c>
      <c r="S37">
        <v>11.725</v>
      </c>
      <c r="U37">
        <v>11.74</v>
      </c>
      <c r="V37">
        <v>11.744999999999999</v>
      </c>
      <c r="W37">
        <v>11.77</v>
      </c>
      <c r="X37">
        <v>11.785</v>
      </c>
      <c r="Y37">
        <v>11.805</v>
      </c>
      <c r="Z37">
        <v>11.8</v>
      </c>
      <c r="AA37">
        <v>11.785</v>
      </c>
      <c r="AB37">
        <v>11.795</v>
      </c>
      <c r="AD37">
        <v>11.82</v>
      </c>
      <c r="AH37">
        <v>11.79</v>
      </c>
      <c r="AI37">
        <v>11.74</v>
      </c>
      <c r="AJ37">
        <v>11.76</v>
      </c>
      <c r="AK37">
        <v>11.72</v>
      </c>
      <c r="AL37">
        <v>11.72</v>
      </c>
      <c r="AM37">
        <v>11.62</v>
      </c>
    </row>
    <row r="38" spans="1:39" x14ac:dyDescent="0.35">
      <c r="A38" s="2">
        <v>45545</v>
      </c>
      <c r="B38">
        <v>11.59</v>
      </c>
      <c r="C38">
        <v>11.65</v>
      </c>
      <c r="F38">
        <v>11.74</v>
      </c>
      <c r="I38">
        <v>11.775</v>
      </c>
      <c r="L38">
        <v>11.765000000000001</v>
      </c>
      <c r="O38">
        <v>11.75</v>
      </c>
      <c r="Q38">
        <v>11.725</v>
      </c>
      <c r="R38">
        <v>11.72</v>
      </c>
      <c r="S38">
        <v>11.744999999999999</v>
      </c>
      <c r="U38">
        <v>11.76</v>
      </c>
      <c r="V38">
        <v>11.76</v>
      </c>
      <c r="W38">
        <v>11.77</v>
      </c>
      <c r="X38">
        <v>11.8</v>
      </c>
      <c r="Y38">
        <v>11.805</v>
      </c>
      <c r="Z38">
        <v>11.81</v>
      </c>
      <c r="AA38">
        <v>11.795</v>
      </c>
      <c r="AB38">
        <v>11.79</v>
      </c>
      <c r="AD38">
        <v>11.82</v>
      </c>
      <c r="AH38">
        <v>11.79</v>
      </c>
      <c r="AI38">
        <v>11.75</v>
      </c>
      <c r="AJ38">
        <v>11.75</v>
      </c>
      <c r="AK38">
        <v>11.7</v>
      </c>
      <c r="AL38">
        <v>11.71</v>
      </c>
      <c r="AM38">
        <v>11.6</v>
      </c>
    </row>
    <row r="39" spans="1:39" x14ac:dyDescent="0.35">
      <c r="A39" s="2">
        <v>45546</v>
      </c>
      <c r="B39">
        <v>11.645</v>
      </c>
      <c r="C39">
        <v>11.72</v>
      </c>
      <c r="F39">
        <v>11.79</v>
      </c>
      <c r="I39">
        <v>11.82</v>
      </c>
      <c r="L39">
        <v>11.805</v>
      </c>
      <c r="O39">
        <v>11.78</v>
      </c>
      <c r="Q39">
        <v>11.75</v>
      </c>
      <c r="R39">
        <v>11.715</v>
      </c>
      <c r="S39">
        <v>11.74</v>
      </c>
      <c r="U39">
        <v>11.78</v>
      </c>
      <c r="V39">
        <v>11.78</v>
      </c>
      <c r="W39">
        <v>11.765000000000001</v>
      </c>
      <c r="X39">
        <v>11.82</v>
      </c>
      <c r="Y39">
        <v>11.79</v>
      </c>
      <c r="Z39">
        <v>11.83</v>
      </c>
      <c r="AA39">
        <v>11.824999999999999</v>
      </c>
      <c r="AB39">
        <v>11.824999999999999</v>
      </c>
      <c r="AD39">
        <v>11.84</v>
      </c>
      <c r="AH39">
        <v>11.81</v>
      </c>
      <c r="AI39">
        <v>11.76</v>
      </c>
      <c r="AJ39">
        <v>11.78</v>
      </c>
      <c r="AK39">
        <v>11.74</v>
      </c>
      <c r="AL39">
        <v>11.75</v>
      </c>
      <c r="AM39">
        <v>11.59</v>
      </c>
    </row>
    <row r="40" spans="1:39" x14ac:dyDescent="0.35">
      <c r="A40" s="2">
        <v>45547</v>
      </c>
      <c r="B40">
        <v>11.7</v>
      </c>
      <c r="C40">
        <v>11.79</v>
      </c>
      <c r="F40">
        <v>11.87</v>
      </c>
      <c r="I40">
        <v>11.925000000000001</v>
      </c>
      <c r="L40">
        <v>11.904999999999999</v>
      </c>
      <c r="O40">
        <v>11.885</v>
      </c>
      <c r="Q40">
        <v>11.855</v>
      </c>
      <c r="R40">
        <v>11.835000000000001</v>
      </c>
      <c r="S40">
        <v>11.875</v>
      </c>
      <c r="U40">
        <v>11.895</v>
      </c>
      <c r="V40">
        <v>11.904999999999999</v>
      </c>
      <c r="W40">
        <v>11.914999999999999</v>
      </c>
      <c r="X40">
        <v>11.945</v>
      </c>
      <c r="Y40">
        <v>11.94</v>
      </c>
      <c r="Z40">
        <v>11.96</v>
      </c>
      <c r="AA40">
        <v>11.965</v>
      </c>
      <c r="AB40">
        <v>11.96</v>
      </c>
      <c r="AD40">
        <v>11.98</v>
      </c>
      <c r="AH40">
        <v>11.95</v>
      </c>
      <c r="AI40">
        <v>11.94</v>
      </c>
      <c r="AJ40">
        <v>11.92</v>
      </c>
      <c r="AK40">
        <v>11.87</v>
      </c>
      <c r="AL40">
        <v>11.88</v>
      </c>
      <c r="AM40">
        <v>11.74</v>
      </c>
    </row>
    <row r="41" spans="1:39" x14ac:dyDescent="0.35">
      <c r="A41" s="2">
        <v>45548</v>
      </c>
      <c r="B41">
        <v>11.635</v>
      </c>
      <c r="C41">
        <v>11.705</v>
      </c>
      <c r="F41">
        <v>11.785</v>
      </c>
      <c r="I41">
        <v>11.82</v>
      </c>
      <c r="L41">
        <v>11.824999999999999</v>
      </c>
      <c r="O41">
        <v>11.805</v>
      </c>
      <c r="Q41">
        <v>11.78</v>
      </c>
      <c r="R41">
        <v>11.775</v>
      </c>
      <c r="S41">
        <v>11.795</v>
      </c>
      <c r="U41">
        <v>11.805</v>
      </c>
      <c r="V41">
        <v>11.82</v>
      </c>
      <c r="W41">
        <v>11.83</v>
      </c>
      <c r="X41">
        <v>11.86</v>
      </c>
      <c r="Y41">
        <v>11.88</v>
      </c>
      <c r="Z41">
        <v>11.875</v>
      </c>
      <c r="AA41">
        <v>11.88</v>
      </c>
      <c r="AB41">
        <v>11.865</v>
      </c>
      <c r="AD41">
        <v>11.89</v>
      </c>
      <c r="AH41">
        <v>11.86</v>
      </c>
      <c r="AI41">
        <v>11.84</v>
      </c>
      <c r="AJ41">
        <v>11.83</v>
      </c>
      <c r="AK41">
        <v>11.79</v>
      </c>
      <c r="AL41">
        <v>11.79</v>
      </c>
      <c r="AM41">
        <v>11.65</v>
      </c>
    </row>
    <row r="42" spans="1:39" x14ac:dyDescent="0.35">
      <c r="A42" s="2">
        <v>45549</v>
      </c>
    </row>
    <row r="43" spans="1:39" x14ac:dyDescent="0.35">
      <c r="A43" s="2">
        <v>45550</v>
      </c>
    </row>
    <row r="44" spans="1:39" x14ac:dyDescent="0.35">
      <c r="A44" s="2">
        <v>45551</v>
      </c>
      <c r="B44">
        <v>11.69</v>
      </c>
      <c r="C44">
        <v>11.744999999999999</v>
      </c>
      <c r="F44">
        <v>11.824999999999999</v>
      </c>
      <c r="I44">
        <v>11.87</v>
      </c>
      <c r="L44">
        <v>11.885</v>
      </c>
      <c r="O44">
        <v>11.875</v>
      </c>
      <c r="Q44">
        <v>11.855</v>
      </c>
      <c r="R44">
        <v>11.845000000000001</v>
      </c>
      <c r="S44">
        <v>11.88</v>
      </c>
      <c r="U44">
        <v>11.895</v>
      </c>
      <c r="V44">
        <v>11.904999999999999</v>
      </c>
      <c r="W44">
        <v>11.92</v>
      </c>
      <c r="X44">
        <v>11.955</v>
      </c>
      <c r="Y44">
        <v>11.97</v>
      </c>
      <c r="Z44">
        <v>11.965</v>
      </c>
      <c r="AA44">
        <v>11.955</v>
      </c>
      <c r="AB44">
        <v>11.965</v>
      </c>
      <c r="AD44">
        <v>11.99</v>
      </c>
      <c r="AH44">
        <v>11.97</v>
      </c>
      <c r="AI44">
        <v>11.94</v>
      </c>
      <c r="AJ44">
        <v>11.94</v>
      </c>
      <c r="AK44">
        <v>11.9</v>
      </c>
      <c r="AL44">
        <v>11.91</v>
      </c>
      <c r="AM44">
        <v>11.82</v>
      </c>
    </row>
    <row r="45" spans="1:39" x14ac:dyDescent="0.35">
      <c r="A45" s="2">
        <v>45552</v>
      </c>
      <c r="B45">
        <v>11.635</v>
      </c>
      <c r="C45">
        <v>11.695</v>
      </c>
      <c r="F45">
        <v>11.765000000000001</v>
      </c>
      <c r="I45">
        <v>11.81</v>
      </c>
      <c r="L45">
        <v>11.835000000000001</v>
      </c>
      <c r="O45">
        <v>11.835000000000001</v>
      </c>
      <c r="Q45">
        <v>11.81</v>
      </c>
      <c r="R45">
        <v>11.775</v>
      </c>
      <c r="S45">
        <v>11.84</v>
      </c>
      <c r="U45">
        <v>11.87</v>
      </c>
      <c r="V45">
        <v>11.88</v>
      </c>
      <c r="W45">
        <v>11.9</v>
      </c>
      <c r="X45">
        <v>11.935</v>
      </c>
      <c r="Y45">
        <v>11.955</v>
      </c>
      <c r="Z45">
        <v>11.96</v>
      </c>
      <c r="AA45">
        <v>11.955</v>
      </c>
      <c r="AB45">
        <v>11.96</v>
      </c>
      <c r="AD45">
        <v>12</v>
      </c>
      <c r="AH45">
        <v>11.99</v>
      </c>
      <c r="AI45">
        <v>11.95</v>
      </c>
      <c r="AJ45">
        <v>11.96</v>
      </c>
      <c r="AK45">
        <v>11.92</v>
      </c>
      <c r="AL45">
        <v>11.94</v>
      </c>
      <c r="AM45">
        <v>11.81</v>
      </c>
    </row>
    <row r="46" spans="1:39" x14ac:dyDescent="0.35">
      <c r="A46" s="2">
        <v>45553</v>
      </c>
      <c r="B46">
        <v>11.565</v>
      </c>
      <c r="F46">
        <v>11.765000000000001</v>
      </c>
      <c r="I46">
        <v>11.805</v>
      </c>
      <c r="L46">
        <v>11.824999999999999</v>
      </c>
      <c r="O46">
        <v>11.815</v>
      </c>
      <c r="Q46">
        <v>11.795</v>
      </c>
      <c r="R46">
        <v>11.765000000000001</v>
      </c>
      <c r="S46">
        <v>11.815</v>
      </c>
      <c r="U46">
        <v>11.845000000000001</v>
      </c>
      <c r="V46">
        <v>11.88</v>
      </c>
      <c r="W46">
        <v>11.9</v>
      </c>
      <c r="X46">
        <v>11.93</v>
      </c>
      <c r="Y46">
        <v>11.955</v>
      </c>
      <c r="Z46">
        <v>11.95</v>
      </c>
      <c r="AA46">
        <v>11.95</v>
      </c>
      <c r="AB46">
        <v>11.97</v>
      </c>
      <c r="AD46">
        <v>12</v>
      </c>
      <c r="AH46">
        <v>11.98</v>
      </c>
      <c r="AI46">
        <v>11.97</v>
      </c>
      <c r="AJ46">
        <v>11.96</v>
      </c>
      <c r="AK46">
        <v>11.91</v>
      </c>
      <c r="AL46">
        <v>11.93</v>
      </c>
      <c r="AM46">
        <v>11.82</v>
      </c>
    </row>
    <row r="47" spans="1:39" x14ac:dyDescent="0.35">
      <c r="A47" s="2">
        <v>45554</v>
      </c>
      <c r="B47">
        <v>11.885</v>
      </c>
      <c r="C47">
        <v>11.95</v>
      </c>
      <c r="F47">
        <v>12.04</v>
      </c>
      <c r="I47">
        <v>12.08</v>
      </c>
      <c r="L47">
        <v>12.085000000000001</v>
      </c>
      <c r="O47">
        <v>12.045</v>
      </c>
      <c r="Q47">
        <v>12.01</v>
      </c>
      <c r="R47">
        <v>12.02</v>
      </c>
      <c r="S47">
        <v>12.005000000000001</v>
      </c>
      <c r="U47">
        <v>12.02</v>
      </c>
      <c r="V47">
        <v>12.03</v>
      </c>
      <c r="W47">
        <v>12.03</v>
      </c>
      <c r="X47">
        <v>12.07</v>
      </c>
      <c r="Y47">
        <v>12.074999999999999</v>
      </c>
      <c r="Z47">
        <v>12.074999999999999</v>
      </c>
      <c r="AA47">
        <v>12.074999999999999</v>
      </c>
      <c r="AB47">
        <v>12.07</v>
      </c>
      <c r="AD47">
        <v>12.1</v>
      </c>
      <c r="AH47">
        <v>12.08</v>
      </c>
      <c r="AI47">
        <v>12</v>
      </c>
      <c r="AJ47">
        <v>12.05</v>
      </c>
      <c r="AK47">
        <v>12</v>
      </c>
      <c r="AL47">
        <v>12.02</v>
      </c>
      <c r="AM47">
        <v>11.94</v>
      </c>
    </row>
    <row r="48" spans="1:39" x14ac:dyDescent="0.35">
      <c r="A48" s="2">
        <v>45555</v>
      </c>
      <c r="B48">
        <v>11.955</v>
      </c>
      <c r="C48">
        <v>12.045</v>
      </c>
      <c r="F48">
        <v>12.15</v>
      </c>
      <c r="I48">
        <v>12.215</v>
      </c>
      <c r="L48">
        <v>12.24</v>
      </c>
      <c r="O48">
        <v>12.225</v>
      </c>
      <c r="Q48">
        <v>12.205</v>
      </c>
      <c r="R48">
        <v>12.21</v>
      </c>
      <c r="S48">
        <v>12.12</v>
      </c>
      <c r="U48">
        <v>12.244999999999999</v>
      </c>
      <c r="V48">
        <v>12.25</v>
      </c>
      <c r="W48">
        <v>12.26</v>
      </c>
      <c r="X48">
        <v>12.285</v>
      </c>
      <c r="Y48">
        <v>12.31</v>
      </c>
      <c r="Z48">
        <v>12.31</v>
      </c>
      <c r="AA48">
        <v>12.315</v>
      </c>
      <c r="AB48">
        <v>12.32</v>
      </c>
      <c r="AD48">
        <v>12.35</v>
      </c>
      <c r="AH48">
        <v>12.33</v>
      </c>
      <c r="AI48">
        <v>12.14</v>
      </c>
      <c r="AJ48">
        <v>12.3</v>
      </c>
      <c r="AK48">
        <v>12.26</v>
      </c>
      <c r="AL48">
        <v>12.26</v>
      </c>
      <c r="AM48">
        <v>12.12</v>
      </c>
    </row>
    <row r="49" spans="1:40" x14ac:dyDescent="0.35">
      <c r="A49" s="2">
        <v>45556</v>
      </c>
    </row>
    <row r="50" spans="1:40" x14ac:dyDescent="0.35">
      <c r="A50" s="2">
        <v>45557</v>
      </c>
    </row>
    <row r="51" spans="1:40" x14ac:dyDescent="0.35">
      <c r="A51" s="2">
        <v>45558</v>
      </c>
      <c r="B51">
        <v>12</v>
      </c>
      <c r="C51">
        <v>12.11</v>
      </c>
      <c r="F51">
        <v>12.234999999999999</v>
      </c>
      <c r="I51">
        <v>12.315</v>
      </c>
      <c r="L51">
        <v>12.36</v>
      </c>
      <c r="O51">
        <v>12.36</v>
      </c>
      <c r="Q51">
        <v>12.345000000000001</v>
      </c>
      <c r="R51">
        <v>12.355</v>
      </c>
      <c r="S51">
        <v>12.375</v>
      </c>
      <c r="U51">
        <v>12.4</v>
      </c>
      <c r="V51">
        <v>12.41</v>
      </c>
      <c r="W51">
        <v>12.425000000000001</v>
      </c>
      <c r="X51">
        <v>12.395</v>
      </c>
      <c r="Y51">
        <v>12.475</v>
      </c>
      <c r="Z51">
        <v>12.475</v>
      </c>
      <c r="AA51">
        <v>12.35</v>
      </c>
      <c r="AB51">
        <v>12.48</v>
      </c>
      <c r="AD51">
        <v>12.5</v>
      </c>
      <c r="AH51">
        <v>12.49</v>
      </c>
      <c r="AI51">
        <v>12.44</v>
      </c>
      <c r="AJ51">
        <v>12.45</v>
      </c>
      <c r="AK51">
        <v>12.39</v>
      </c>
      <c r="AL51">
        <v>12.41</v>
      </c>
      <c r="AM51">
        <v>12.24</v>
      </c>
    </row>
    <row r="52" spans="1:40" x14ac:dyDescent="0.35">
      <c r="A52" s="2">
        <v>45559</v>
      </c>
      <c r="B52">
        <v>11.975</v>
      </c>
      <c r="C52">
        <v>12.04</v>
      </c>
      <c r="F52">
        <v>12.14</v>
      </c>
      <c r="I52">
        <v>12.18</v>
      </c>
      <c r="L52">
        <v>12.21</v>
      </c>
      <c r="O52">
        <v>12.19</v>
      </c>
      <c r="Q52">
        <v>12.16</v>
      </c>
      <c r="R52">
        <v>12.17</v>
      </c>
      <c r="S52">
        <v>12.17</v>
      </c>
      <c r="U52">
        <v>12.195</v>
      </c>
      <c r="V52">
        <v>12.205</v>
      </c>
      <c r="W52">
        <v>12.22</v>
      </c>
      <c r="X52">
        <v>12.244999999999999</v>
      </c>
      <c r="Y52">
        <v>12.27</v>
      </c>
      <c r="Z52">
        <v>12.265000000000001</v>
      </c>
      <c r="AA52">
        <v>12.2</v>
      </c>
      <c r="AB52">
        <v>12.265000000000001</v>
      </c>
      <c r="AD52">
        <v>12.29</v>
      </c>
      <c r="AH52">
        <v>12.27</v>
      </c>
      <c r="AI52">
        <v>12.24</v>
      </c>
      <c r="AJ52">
        <v>12.23</v>
      </c>
      <c r="AK52">
        <v>12.18</v>
      </c>
      <c r="AL52">
        <v>12.19</v>
      </c>
      <c r="AM52">
        <v>12.23</v>
      </c>
    </row>
    <row r="53" spans="1:40" x14ac:dyDescent="0.35">
      <c r="A53" s="2">
        <v>45560</v>
      </c>
      <c r="B53">
        <v>11.94</v>
      </c>
      <c r="C53">
        <v>12.01</v>
      </c>
      <c r="F53">
        <v>12.105</v>
      </c>
      <c r="I53">
        <v>12.17</v>
      </c>
      <c r="L53">
        <v>12.18</v>
      </c>
      <c r="O53">
        <v>12.164999999999999</v>
      </c>
      <c r="Q53">
        <v>12.135</v>
      </c>
      <c r="R53">
        <v>12.145</v>
      </c>
      <c r="S53">
        <v>12.16</v>
      </c>
      <c r="U53">
        <v>12.18</v>
      </c>
      <c r="V53">
        <v>12.19</v>
      </c>
      <c r="W53">
        <v>12.215</v>
      </c>
      <c r="X53">
        <v>12.24</v>
      </c>
      <c r="Y53">
        <v>12.26</v>
      </c>
      <c r="Z53">
        <v>12.26</v>
      </c>
      <c r="AA53">
        <v>12.26</v>
      </c>
      <c r="AB53">
        <v>12.265000000000001</v>
      </c>
      <c r="AD53">
        <v>12.29</v>
      </c>
      <c r="AH53">
        <v>12.27</v>
      </c>
      <c r="AI53">
        <v>12.24</v>
      </c>
      <c r="AJ53">
        <v>12.22</v>
      </c>
      <c r="AK53">
        <v>12.16</v>
      </c>
      <c r="AL53">
        <v>12.15</v>
      </c>
      <c r="AM53">
        <v>12.14</v>
      </c>
      <c r="AN53">
        <v>12.03</v>
      </c>
    </row>
    <row r="54" spans="1:40" x14ac:dyDescent="0.35">
      <c r="A54" s="2">
        <v>45561</v>
      </c>
      <c r="B54">
        <v>12.005000000000001</v>
      </c>
      <c r="C54">
        <v>12.074999999999999</v>
      </c>
      <c r="F54">
        <v>12.2</v>
      </c>
      <c r="I54">
        <v>12.275</v>
      </c>
      <c r="L54">
        <v>12.295</v>
      </c>
      <c r="O54">
        <v>12.275</v>
      </c>
      <c r="Q54">
        <v>12.24</v>
      </c>
      <c r="R54">
        <v>12.22</v>
      </c>
      <c r="S54">
        <v>12.244999999999999</v>
      </c>
      <c r="U54">
        <v>12.27</v>
      </c>
      <c r="V54">
        <v>12.275</v>
      </c>
      <c r="W54">
        <v>12.28</v>
      </c>
      <c r="X54">
        <v>12.315</v>
      </c>
      <c r="Y54">
        <v>12.35</v>
      </c>
      <c r="Z54">
        <v>12.335000000000001</v>
      </c>
      <c r="AA54">
        <v>12.2</v>
      </c>
      <c r="AB54">
        <v>12.324999999999999</v>
      </c>
      <c r="AD54">
        <v>12.35</v>
      </c>
      <c r="AH54">
        <v>12.31</v>
      </c>
      <c r="AI54">
        <v>12.27</v>
      </c>
      <c r="AJ54">
        <v>12.25</v>
      </c>
      <c r="AK54">
        <v>12.18</v>
      </c>
      <c r="AL54">
        <v>12.17</v>
      </c>
      <c r="AM54">
        <v>11.98</v>
      </c>
    </row>
    <row r="55" spans="1:40" x14ac:dyDescent="0.35">
      <c r="A55" s="2">
        <v>45562</v>
      </c>
      <c r="B55">
        <v>12.04</v>
      </c>
      <c r="C55">
        <v>12.125</v>
      </c>
      <c r="F55">
        <v>12.26</v>
      </c>
      <c r="I55">
        <v>12.25</v>
      </c>
      <c r="L55">
        <v>12.355</v>
      </c>
      <c r="O55">
        <v>12.335000000000001</v>
      </c>
      <c r="Q55">
        <v>12.3</v>
      </c>
      <c r="R55">
        <v>12.28</v>
      </c>
      <c r="S55">
        <v>12.3</v>
      </c>
      <c r="U55">
        <v>12.315</v>
      </c>
      <c r="V55">
        <v>12.315</v>
      </c>
      <c r="W55">
        <v>12.32</v>
      </c>
      <c r="X55">
        <v>12.35</v>
      </c>
      <c r="Y55">
        <v>12.355</v>
      </c>
      <c r="Z55">
        <v>12.355</v>
      </c>
      <c r="AA55">
        <v>12.345000000000001</v>
      </c>
      <c r="AB55">
        <v>12.345000000000001</v>
      </c>
      <c r="AD55">
        <v>12.37</v>
      </c>
      <c r="AH55">
        <v>12.34</v>
      </c>
      <c r="AI55">
        <v>12.28</v>
      </c>
      <c r="AJ55">
        <v>12.28</v>
      </c>
      <c r="AK55">
        <v>12.21</v>
      </c>
      <c r="AL55">
        <v>12.2</v>
      </c>
      <c r="AM55">
        <v>12.09</v>
      </c>
    </row>
    <row r="56" spans="1:40" x14ac:dyDescent="0.35">
      <c r="A56" s="2">
        <v>45563</v>
      </c>
    </row>
    <row r="57" spans="1:40" x14ac:dyDescent="0.35">
      <c r="A57" s="2">
        <v>45564</v>
      </c>
    </row>
    <row r="58" spans="1:40" x14ac:dyDescent="0.35">
      <c r="A58" s="2">
        <v>45565</v>
      </c>
      <c r="B58">
        <v>12.095000000000001</v>
      </c>
      <c r="C58">
        <v>12.175000000000001</v>
      </c>
      <c r="F58">
        <v>12.324999999999999</v>
      </c>
      <c r="I58">
        <v>12.39</v>
      </c>
      <c r="L58">
        <v>12.435</v>
      </c>
      <c r="O58">
        <v>12.425000000000001</v>
      </c>
      <c r="Q58">
        <v>12.395</v>
      </c>
      <c r="R58">
        <v>12.39</v>
      </c>
      <c r="S58">
        <v>12.395</v>
      </c>
      <c r="U58">
        <v>12.43</v>
      </c>
      <c r="V58">
        <v>12.425000000000001</v>
      </c>
      <c r="W58">
        <v>12.435</v>
      </c>
      <c r="X58">
        <v>12.43</v>
      </c>
      <c r="Y58">
        <v>12.484999999999999</v>
      </c>
      <c r="Z58">
        <v>12.475</v>
      </c>
      <c r="AA58">
        <v>12.47</v>
      </c>
      <c r="AB58">
        <v>12.48</v>
      </c>
      <c r="AC58">
        <v>12.49</v>
      </c>
      <c r="AD58">
        <v>12.51</v>
      </c>
      <c r="AH58">
        <v>12.47</v>
      </c>
      <c r="AI58">
        <v>12.39</v>
      </c>
      <c r="AJ58">
        <v>12.41</v>
      </c>
      <c r="AK58">
        <v>12.33</v>
      </c>
      <c r="AL58">
        <v>12.33</v>
      </c>
      <c r="AM58">
        <v>12.22</v>
      </c>
    </row>
    <row r="59" spans="1:40" x14ac:dyDescent="0.35">
      <c r="A59" s="2">
        <v>45566</v>
      </c>
      <c r="B59">
        <v>12.03</v>
      </c>
      <c r="C59">
        <v>12.105</v>
      </c>
      <c r="F59">
        <v>12.225</v>
      </c>
      <c r="I59">
        <v>12.28</v>
      </c>
      <c r="L59">
        <v>12.31</v>
      </c>
      <c r="O59">
        <v>12.29</v>
      </c>
      <c r="Q59">
        <v>12.255000000000001</v>
      </c>
      <c r="R59">
        <v>12.21</v>
      </c>
      <c r="S59">
        <v>12.255000000000001</v>
      </c>
      <c r="U59">
        <v>12.265000000000001</v>
      </c>
      <c r="V59">
        <v>12.29</v>
      </c>
      <c r="W59">
        <v>12.3</v>
      </c>
      <c r="X59">
        <v>12.324999999999999</v>
      </c>
      <c r="Y59">
        <v>12.34</v>
      </c>
      <c r="Z59">
        <v>12.34</v>
      </c>
      <c r="AA59">
        <v>12.33</v>
      </c>
      <c r="AB59">
        <v>12.34</v>
      </c>
      <c r="AC59">
        <v>12.34</v>
      </c>
      <c r="AD59">
        <v>12.36</v>
      </c>
      <c r="AH59">
        <v>12.34</v>
      </c>
      <c r="AI59">
        <v>12.3</v>
      </c>
      <c r="AJ59">
        <v>12.29</v>
      </c>
      <c r="AK59">
        <v>12.22</v>
      </c>
      <c r="AL59">
        <v>12.22</v>
      </c>
      <c r="AM59">
        <v>12.23</v>
      </c>
    </row>
    <row r="60" spans="1:40" x14ac:dyDescent="0.35">
      <c r="A60" s="2">
        <v>45567</v>
      </c>
      <c r="B60">
        <v>12.005000000000001</v>
      </c>
      <c r="C60">
        <v>12.07</v>
      </c>
      <c r="F60">
        <v>12.2</v>
      </c>
      <c r="I60">
        <v>12.255000000000001</v>
      </c>
      <c r="L60">
        <v>12.3</v>
      </c>
      <c r="O60">
        <v>12.28</v>
      </c>
      <c r="Q60">
        <v>12.244999999999999</v>
      </c>
      <c r="R60">
        <v>12.244999999999999</v>
      </c>
      <c r="S60">
        <v>12.255000000000001</v>
      </c>
      <c r="U60">
        <v>12.275</v>
      </c>
      <c r="V60">
        <v>12.285</v>
      </c>
      <c r="W60">
        <v>12.305</v>
      </c>
      <c r="X60">
        <v>12.335000000000001</v>
      </c>
      <c r="Y60">
        <v>12.34</v>
      </c>
      <c r="Z60">
        <v>12.335000000000001</v>
      </c>
      <c r="AA60">
        <v>12.324999999999999</v>
      </c>
      <c r="AB60">
        <v>12.335000000000001</v>
      </c>
      <c r="AC60">
        <v>12.335000000000001</v>
      </c>
      <c r="AD60">
        <v>12.36</v>
      </c>
      <c r="AH60">
        <v>12.33</v>
      </c>
      <c r="AI60">
        <v>12.31</v>
      </c>
      <c r="AJ60">
        <v>12.28</v>
      </c>
      <c r="AK60">
        <v>12.22</v>
      </c>
      <c r="AL60">
        <v>12.21</v>
      </c>
      <c r="AM60">
        <v>12.09</v>
      </c>
    </row>
    <row r="61" spans="1:40" x14ac:dyDescent="0.35">
      <c r="A61" s="2">
        <v>45568</v>
      </c>
      <c r="B61">
        <v>12.08</v>
      </c>
      <c r="C61">
        <v>12.16</v>
      </c>
      <c r="F61">
        <v>12.3</v>
      </c>
      <c r="I61">
        <v>12.37</v>
      </c>
      <c r="L61">
        <v>12.4</v>
      </c>
      <c r="O61">
        <v>12.385</v>
      </c>
      <c r="Q61">
        <v>12.35</v>
      </c>
      <c r="R61">
        <v>12.345000000000001</v>
      </c>
      <c r="S61">
        <v>12.36</v>
      </c>
      <c r="U61">
        <v>12.375</v>
      </c>
      <c r="V61">
        <v>12.385</v>
      </c>
      <c r="W61">
        <v>12.395</v>
      </c>
      <c r="X61">
        <v>12.42</v>
      </c>
      <c r="Y61">
        <v>12.425000000000001</v>
      </c>
      <c r="Z61">
        <v>12.414999999999999</v>
      </c>
      <c r="AA61">
        <v>12.4</v>
      </c>
      <c r="AB61">
        <v>12.404999999999999</v>
      </c>
      <c r="AC61">
        <v>12.41</v>
      </c>
      <c r="AD61">
        <v>12.42</v>
      </c>
      <c r="AH61">
        <v>12.38</v>
      </c>
      <c r="AI61">
        <v>12.34</v>
      </c>
      <c r="AJ61">
        <v>12.31</v>
      </c>
      <c r="AK61">
        <v>12.24</v>
      </c>
      <c r="AL61">
        <v>12.25</v>
      </c>
      <c r="AM61">
        <v>12.16</v>
      </c>
    </row>
    <row r="62" spans="1:40" x14ac:dyDescent="0.35">
      <c r="A62" s="2">
        <v>45569</v>
      </c>
      <c r="B62">
        <v>12.15</v>
      </c>
      <c r="C62">
        <v>12.234999999999999</v>
      </c>
      <c r="F62">
        <v>12.37</v>
      </c>
      <c r="I62">
        <v>12.445</v>
      </c>
      <c r="L62">
        <v>12.465</v>
      </c>
      <c r="O62">
        <v>12.455</v>
      </c>
      <c r="Q62">
        <v>12.42</v>
      </c>
      <c r="R62">
        <v>12.41</v>
      </c>
      <c r="S62">
        <v>12.43</v>
      </c>
      <c r="U62">
        <v>12.435</v>
      </c>
      <c r="V62">
        <v>12.435</v>
      </c>
      <c r="W62">
        <v>12.43</v>
      </c>
      <c r="X62">
        <v>12.465</v>
      </c>
      <c r="Y62">
        <v>12.465</v>
      </c>
      <c r="Z62">
        <v>12.46</v>
      </c>
      <c r="AA62">
        <v>12.45</v>
      </c>
      <c r="AB62">
        <v>12.445</v>
      </c>
      <c r="AC62">
        <v>12.45</v>
      </c>
      <c r="AD62">
        <v>12.47</v>
      </c>
      <c r="AH62">
        <v>12.42</v>
      </c>
      <c r="AI62">
        <v>12.37</v>
      </c>
      <c r="AJ62">
        <v>12.35</v>
      </c>
      <c r="AK62">
        <v>12.26</v>
      </c>
      <c r="AL62">
        <v>12.24</v>
      </c>
      <c r="AM62">
        <v>12.14</v>
      </c>
    </row>
    <row r="63" spans="1:40" x14ac:dyDescent="0.35">
      <c r="A63" s="2">
        <v>45570</v>
      </c>
    </row>
    <row r="64" spans="1:40" x14ac:dyDescent="0.35">
      <c r="A64" s="2">
        <v>45571</v>
      </c>
    </row>
    <row r="65" spans="1:42" x14ac:dyDescent="0.35">
      <c r="A65" s="2">
        <v>45572</v>
      </c>
      <c r="B65">
        <v>12.105</v>
      </c>
      <c r="C65">
        <v>12.175000000000001</v>
      </c>
      <c r="F65">
        <v>12.295</v>
      </c>
      <c r="I65">
        <v>12.36</v>
      </c>
      <c r="L65">
        <v>12.375</v>
      </c>
      <c r="O65">
        <v>12.36</v>
      </c>
      <c r="Q65">
        <v>12.324999999999999</v>
      </c>
      <c r="R65">
        <v>12.315</v>
      </c>
      <c r="S65">
        <v>12.32</v>
      </c>
      <c r="U65">
        <v>12.335000000000001</v>
      </c>
      <c r="V65">
        <v>12.324999999999999</v>
      </c>
      <c r="W65">
        <v>12.33</v>
      </c>
      <c r="X65">
        <v>12.35</v>
      </c>
      <c r="Y65">
        <v>12.355</v>
      </c>
      <c r="Z65">
        <v>12.34</v>
      </c>
      <c r="AA65">
        <v>12.324999999999999</v>
      </c>
      <c r="AB65">
        <v>12.315</v>
      </c>
      <c r="AC65">
        <v>12.32</v>
      </c>
      <c r="AD65">
        <v>12.33</v>
      </c>
      <c r="AH65">
        <v>12.28</v>
      </c>
      <c r="AI65">
        <v>12.24</v>
      </c>
      <c r="AJ65">
        <v>12.2</v>
      </c>
      <c r="AK65">
        <v>12.1</v>
      </c>
      <c r="AL65">
        <v>12.12</v>
      </c>
    </row>
    <row r="66" spans="1:42" x14ac:dyDescent="0.35">
      <c r="A66" s="2">
        <v>45573</v>
      </c>
      <c r="B66">
        <v>12.07</v>
      </c>
      <c r="C66">
        <v>12.15</v>
      </c>
      <c r="F66">
        <v>12.265000000000001</v>
      </c>
      <c r="I66">
        <v>12.3</v>
      </c>
      <c r="L66">
        <v>12.365</v>
      </c>
      <c r="O66">
        <v>12.355</v>
      </c>
      <c r="Q66">
        <v>12.324999999999999</v>
      </c>
      <c r="R66">
        <v>12.32</v>
      </c>
      <c r="S66">
        <v>12.31</v>
      </c>
      <c r="U66">
        <v>12.3</v>
      </c>
      <c r="V66">
        <v>12.324999999999999</v>
      </c>
      <c r="W66">
        <v>12.324999999999999</v>
      </c>
      <c r="X66">
        <v>12.345000000000001</v>
      </c>
      <c r="Y66">
        <v>12.355</v>
      </c>
      <c r="Z66">
        <v>12.345000000000001</v>
      </c>
      <c r="AA66">
        <v>12.324999999999999</v>
      </c>
      <c r="AB66">
        <v>12.324999999999999</v>
      </c>
      <c r="AC66">
        <v>12.32</v>
      </c>
      <c r="AD66">
        <v>12.34</v>
      </c>
      <c r="AH66">
        <v>12.3</v>
      </c>
      <c r="AI66">
        <v>12.24</v>
      </c>
      <c r="AJ66">
        <v>12.23</v>
      </c>
      <c r="AK66">
        <v>12.16</v>
      </c>
      <c r="AL66">
        <v>12.15</v>
      </c>
      <c r="AM66">
        <v>12.03</v>
      </c>
    </row>
    <row r="67" spans="1:42" x14ac:dyDescent="0.35">
      <c r="A67" s="2">
        <v>45574</v>
      </c>
      <c r="B67">
        <v>12.255000000000001</v>
      </c>
      <c r="C67">
        <v>12.345000000000001</v>
      </c>
      <c r="F67">
        <v>12.505000000000001</v>
      </c>
      <c r="I67">
        <v>12.59</v>
      </c>
      <c r="L67">
        <v>12.62</v>
      </c>
      <c r="O67">
        <v>12.61</v>
      </c>
      <c r="Q67">
        <v>12.57</v>
      </c>
      <c r="R67">
        <v>12.555</v>
      </c>
      <c r="S67">
        <v>12.56</v>
      </c>
      <c r="U67">
        <v>12.565</v>
      </c>
      <c r="V67">
        <v>12.545</v>
      </c>
      <c r="W67">
        <v>12.545</v>
      </c>
      <c r="X67">
        <v>12.555</v>
      </c>
      <c r="Y67">
        <v>12.56</v>
      </c>
      <c r="Z67">
        <v>12.535</v>
      </c>
      <c r="AA67">
        <v>12.52</v>
      </c>
      <c r="AB67">
        <v>12.51</v>
      </c>
      <c r="AC67">
        <v>12.505000000000001</v>
      </c>
      <c r="AD67">
        <v>12.51</v>
      </c>
      <c r="AH67">
        <v>12.46</v>
      </c>
      <c r="AI67">
        <v>12.41</v>
      </c>
      <c r="AJ67">
        <v>12.37</v>
      </c>
      <c r="AK67">
        <v>12.3</v>
      </c>
      <c r="AL67">
        <v>12.29</v>
      </c>
      <c r="AM67">
        <v>12.25</v>
      </c>
    </row>
    <row r="68" spans="1:42" x14ac:dyDescent="0.35">
      <c r="A68" s="2">
        <v>45575</v>
      </c>
      <c r="B68">
        <v>12.29</v>
      </c>
      <c r="C68">
        <v>12.38</v>
      </c>
      <c r="F68">
        <v>12.55</v>
      </c>
      <c r="I68">
        <v>12.645</v>
      </c>
      <c r="L68">
        <v>12.68</v>
      </c>
      <c r="O68">
        <v>12.685</v>
      </c>
      <c r="Q68">
        <v>12.66</v>
      </c>
      <c r="R68">
        <v>12.65</v>
      </c>
      <c r="S68">
        <v>12.64</v>
      </c>
      <c r="U68">
        <v>12.66</v>
      </c>
      <c r="V68">
        <v>12.64</v>
      </c>
      <c r="W68">
        <v>12.64</v>
      </c>
      <c r="X68">
        <v>12.645</v>
      </c>
      <c r="Y68">
        <v>12.645</v>
      </c>
      <c r="Z68">
        <v>12.625</v>
      </c>
      <c r="AA68">
        <v>12.595000000000001</v>
      </c>
      <c r="AB68">
        <v>12.595000000000001</v>
      </c>
      <c r="AC68">
        <v>12.58</v>
      </c>
      <c r="AD68">
        <v>12.59</v>
      </c>
      <c r="AH68">
        <v>12.53</v>
      </c>
      <c r="AI68">
        <v>12.48</v>
      </c>
      <c r="AJ68">
        <v>12.44</v>
      </c>
      <c r="AK68">
        <v>12.32</v>
      </c>
      <c r="AL68">
        <v>12.35</v>
      </c>
      <c r="AM68">
        <v>12.35</v>
      </c>
    </row>
    <row r="69" spans="1:42" x14ac:dyDescent="0.35">
      <c r="A69" s="2">
        <v>45576</v>
      </c>
      <c r="B69">
        <v>12.31</v>
      </c>
      <c r="C69">
        <v>12.41</v>
      </c>
      <c r="F69">
        <v>12.595000000000001</v>
      </c>
      <c r="I69">
        <v>12.705</v>
      </c>
      <c r="L69">
        <v>12.755000000000001</v>
      </c>
      <c r="O69">
        <v>12.755000000000001</v>
      </c>
      <c r="Q69">
        <v>12.765000000000001</v>
      </c>
      <c r="R69">
        <v>12.765000000000001</v>
      </c>
      <c r="S69">
        <v>12.77</v>
      </c>
      <c r="U69">
        <v>12.78</v>
      </c>
      <c r="V69">
        <v>12.76</v>
      </c>
      <c r="W69">
        <v>12.76</v>
      </c>
      <c r="X69">
        <v>12.77</v>
      </c>
      <c r="Y69">
        <v>12.765000000000001</v>
      </c>
      <c r="Z69">
        <v>12.75</v>
      </c>
      <c r="AA69">
        <v>12.734999999999999</v>
      </c>
      <c r="AB69">
        <v>12.73</v>
      </c>
      <c r="AC69">
        <v>12.72</v>
      </c>
      <c r="AD69">
        <v>12.73</v>
      </c>
      <c r="AH69">
        <v>12.68</v>
      </c>
      <c r="AI69">
        <v>12.62</v>
      </c>
      <c r="AJ69">
        <v>12.58</v>
      </c>
      <c r="AK69">
        <v>12.51</v>
      </c>
      <c r="AL69">
        <v>12.5</v>
      </c>
      <c r="AM69">
        <v>12.37</v>
      </c>
    </row>
    <row r="70" spans="1:42" x14ac:dyDescent="0.35">
      <c r="A70" s="2">
        <v>45577</v>
      </c>
    </row>
    <row r="71" spans="1:42" x14ac:dyDescent="0.35">
      <c r="A71" s="2">
        <v>45578</v>
      </c>
    </row>
    <row r="72" spans="1:42" x14ac:dyDescent="0.35">
      <c r="A72" s="2">
        <v>45579</v>
      </c>
      <c r="B72">
        <v>12.275</v>
      </c>
      <c r="C72">
        <v>12.37</v>
      </c>
      <c r="F72">
        <v>12.53</v>
      </c>
      <c r="I72">
        <v>12.62</v>
      </c>
      <c r="L72">
        <v>12.675000000000001</v>
      </c>
      <c r="O72">
        <v>12.67</v>
      </c>
      <c r="Q72">
        <v>12.645</v>
      </c>
      <c r="R72">
        <v>12.64</v>
      </c>
      <c r="S72">
        <v>12.645</v>
      </c>
      <c r="U72">
        <v>12.65</v>
      </c>
      <c r="V72">
        <v>12.63</v>
      </c>
      <c r="W72">
        <v>12.63</v>
      </c>
      <c r="X72">
        <v>12.64</v>
      </c>
      <c r="Y72">
        <v>12.64</v>
      </c>
      <c r="Z72">
        <v>12.62</v>
      </c>
      <c r="AA72">
        <v>12.6</v>
      </c>
      <c r="AB72">
        <v>12.605</v>
      </c>
      <c r="AC72">
        <v>12.595000000000001</v>
      </c>
      <c r="AD72">
        <v>12.61</v>
      </c>
      <c r="AH72">
        <v>12.57</v>
      </c>
      <c r="AI72">
        <v>12.53</v>
      </c>
      <c r="AJ72">
        <v>12.49</v>
      </c>
      <c r="AK72">
        <v>12.42</v>
      </c>
      <c r="AL72">
        <v>12.4</v>
      </c>
      <c r="AM72">
        <v>12.34</v>
      </c>
      <c r="AN72">
        <v>12.3</v>
      </c>
      <c r="AO72">
        <v>12.28</v>
      </c>
      <c r="AP72">
        <v>12.26</v>
      </c>
    </row>
    <row r="73" spans="1:42" x14ac:dyDescent="0.35">
      <c r="A73" s="2">
        <v>45580</v>
      </c>
      <c r="B73">
        <v>12.37</v>
      </c>
      <c r="C73">
        <v>12.47</v>
      </c>
      <c r="F73">
        <v>12.64</v>
      </c>
      <c r="I73">
        <v>12.75</v>
      </c>
      <c r="L73">
        <v>12.78</v>
      </c>
      <c r="O73">
        <v>12.785</v>
      </c>
      <c r="Q73">
        <v>12.77</v>
      </c>
      <c r="R73">
        <v>12.765000000000001</v>
      </c>
      <c r="S73">
        <v>12.76</v>
      </c>
      <c r="U73">
        <v>12.715</v>
      </c>
      <c r="V73">
        <v>12.67</v>
      </c>
      <c r="W73">
        <v>12.744999999999999</v>
      </c>
      <c r="X73">
        <v>12.765000000000001</v>
      </c>
      <c r="Y73">
        <v>12.775</v>
      </c>
      <c r="Z73">
        <v>12.76</v>
      </c>
      <c r="AA73">
        <v>12.74</v>
      </c>
      <c r="AB73">
        <v>12.74</v>
      </c>
      <c r="AC73">
        <v>12.73</v>
      </c>
      <c r="AD73">
        <v>12.76</v>
      </c>
      <c r="AH73">
        <v>12.71</v>
      </c>
      <c r="AI73">
        <v>12.67</v>
      </c>
      <c r="AJ73">
        <v>12.62</v>
      </c>
      <c r="AK73">
        <v>12.55</v>
      </c>
      <c r="AL73">
        <v>12.54</v>
      </c>
    </row>
    <row r="74" spans="1:42" x14ac:dyDescent="0.35">
      <c r="A74" s="2">
        <v>45581</v>
      </c>
      <c r="B74">
        <v>12.365</v>
      </c>
      <c r="C74">
        <v>12.46</v>
      </c>
      <c r="F74">
        <v>12.63</v>
      </c>
      <c r="I74">
        <v>12.734999999999999</v>
      </c>
      <c r="L74">
        <v>12.795</v>
      </c>
      <c r="O74">
        <v>12.81</v>
      </c>
      <c r="Q74">
        <v>12.79</v>
      </c>
      <c r="R74">
        <v>12.8</v>
      </c>
      <c r="S74">
        <v>12.81</v>
      </c>
      <c r="U74">
        <v>12.82</v>
      </c>
      <c r="V74">
        <v>12.81</v>
      </c>
      <c r="W74">
        <v>12.815</v>
      </c>
      <c r="X74">
        <v>12.83</v>
      </c>
      <c r="Y74">
        <v>12.83</v>
      </c>
      <c r="Z74">
        <v>12.824999999999999</v>
      </c>
      <c r="AA74">
        <v>12.81</v>
      </c>
      <c r="AB74">
        <v>12.81</v>
      </c>
      <c r="AC74">
        <v>12.805</v>
      </c>
      <c r="AD74">
        <v>12.82</v>
      </c>
      <c r="AH74">
        <v>12.79</v>
      </c>
      <c r="AI74">
        <v>12.76</v>
      </c>
      <c r="AJ74">
        <v>12.72</v>
      </c>
      <c r="AK74">
        <v>12.65</v>
      </c>
      <c r="AL74">
        <v>12.64</v>
      </c>
    </row>
    <row r="75" spans="1:42" x14ac:dyDescent="0.35">
      <c r="A75" s="2">
        <v>45582</v>
      </c>
      <c r="B75">
        <v>12.37</v>
      </c>
      <c r="C75">
        <v>12.47</v>
      </c>
      <c r="F75">
        <v>12.645</v>
      </c>
      <c r="I75">
        <v>12.76</v>
      </c>
      <c r="L75">
        <v>12.815</v>
      </c>
      <c r="O75">
        <v>12.83</v>
      </c>
      <c r="Q75">
        <v>12.8</v>
      </c>
      <c r="R75">
        <v>12.805</v>
      </c>
      <c r="S75">
        <v>12.815</v>
      </c>
      <c r="U75">
        <v>12.835000000000001</v>
      </c>
      <c r="V75">
        <v>12.83</v>
      </c>
      <c r="W75">
        <v>12.835000000000001</v>
      </c>
      <c r="X75">
        <v>12.85</v>
      </c>
      <c r="Y75">
        <v>12.855</v>
      </c>
      <c r="Z75">
        <v>12.84</v>
      </c>
      <c r="AA75">
        <v>12.835000000000001</v>
      </c>
      <c r="AB75">
        <v>12.83</v>
      </c>
      <c r="AC75">
        <v>12.83</v>
      </c>
      <c r="AD75">
        <v>12.84</v>
      </c>
      <c r="AH75">
        <v>12.81</v>
      </c>
      <c r="AI75">
        <v>12.78</v>
      </c>
      <c r="AJ75">
        <v>12.75</v>
      </c>
      <c r="AK75">
        <v>12.64</v>
      </c>
      <c r="AL75">
        <v>12.67</v>
      </c>
      <c r="AM75">
        <v>12.7</v>
      </c>
    </row>
    <row r="76" spans="1:42" x14ac:dyDescent="0.35">
      <c r="A76" s="2">
        <v>45583</v>
      </c>
      <c r="B76">
        <v>12.41</v>
      </c>
      <c r="C76">
        <v>12.51</v>
      </c>
      <c r="F76">
        <v>12.705</v>
      </c>
      <c r="I76">
        <v>12.815</v>
      </c>
      <c r="L76">
        <v>12.88</v>
      </c>
      <c r="O76">
        <v>12.914999999999999</v>
      </c>
      <c r="Q76">
        <v>12.89</v>
      </c>
      <c r="R76">
        <v>12.895</v>
      </c>
      <c r="S76">
        <v>12.91</v>
      </c>
      <c r="U76">
        <v>12.92</v>
      </c>
      <c r="V76">
        <v>12.914999999999999</v>
      </c>
      <c r="W76">
        <v>12.914999999999999</v>
      </c>
      <c r="X76">
        <v>12.93</v>
      </c>
      <c r="Y76">
        <v>12.93</v>
      </c>
      <c r="Z76">
        <v>12.914999999999999</v>
      </c>
      <c r="AA76">
        <v>12.895</v>
      </c>
      <c r="AB76">
        <v>12.9</v>
      </c>
      <c r="AC76">
        <v>12.89</v>
      </c>
      <c r="AD76">
        <v>12.91</v>
      </c>
      <c r="AH76">
        <v>12.87</v>
      </c>
      <c r="AI76">
        <v>12.83</v>
      </c>
      <c r="AJ76">
        <v>12.79</v>
      </c>
      <c r="AK76">
        <v>12.71</v>
      </c>
      <c r="AL76">
        <v>12.71</v>
      </c>
      <c r="AM76">
        <v>12.64</v>
      </c>
      <c r="AN76">
        <v>12.55</v>
      </c>
    </row>
    <row r="77" spans="1:42" x14ac:dyDescent="0.35">
      <c r="A77" s="2">
        <v>45584</v>
      </c>
    </row>
    <row r="78" spans="1:42" x14ac:dyDescent="0.35">
      <c r="A78" s="2">
        <v>45585</v>
      </c>
    </row>
    <row r="79" spans="1:42" x14ac:dyDescent="0.35">
      <c r="A79" s="2">
        <v>45586</v>
      </c>
      <c r="B79">
        <v>12.385</v>
      </c>
      <c r="C79">
        <v>12.484999999999999</v>
      </c>
      <c r="F79">
        <v>12.664999999999999</v>
      </c>
      <c r="I79">
        <v>12.77</v>
      </c>
      <c r="L79">
        <v>12.83</v>
      </c>
      <c r="O79">
        <v>12.85</v>
      </c>
      <c r="Q79">
        <v>12.835000000000001</v>
      </c>
      <c r="R79">
        <v>12.835000000000001</v>
      </c>
      <c r="S79">
        <v>12.85</v>
      </c>
      <c r="U79">
        <v>12.865</v>
      </c>
      <c r="V79">
        <v>12.86</v>
      </c>
      <c r="W79">
        <v>12.87</v>
      </c>
      <c r="X79">
        <v>12.885</v>
      </c>
      <c r="Y79">
        <v>12.89</v>
      </c>
      <c r="Z79">
        <v>12.88</v>
      </c>
      <c r="AA79">
        <v>12.86</v>
      </c>
      <c r="AB79">
        <v>12.85</v>
      </c>
      <c r="AC79">
        <v>12.855</v>
      </c>
      <c r="AD79">
        <v>12.88</v>
      </c>
      <c r="AH79">
        <v>12.85</v>
      </c>
      <c r="AI79">
        <v>12.82</v>
      </c>
      <c r="AJ79">
        <v>12.78</v>
      </c>
      <c r="AK79">
        <v>12.7</v>
      </c>
      <c r="AL79">
        <v>12.69</v>
      </c>
      <c r="AN79">
        <v>12.55</v>
      </c>
    </row>
    <row r="80" spans="1:42" x14ac:dyDescent="0.35">
      <c r="A80" s="2">
        <v>45587</v>
      </c>
      <c r="B80">
        <v>12.395</v>
      </c>
      <c r="C80">
        <v>12.494999999999999</v>
      </c>
      <c r="F80">
        <v>12.685</v>
      </c>
      <c r="I80">
        <v>12.795</v>
      </c>
      <c r="L80">
        <v>12.855</v>
      </c>
      <c r="O80">
        <v>12.86</v>
      </c>
      <c r="Q80">
        <v>12.85</v>
      </c>
      <c r="R80">
        <v>12.85</v>
      </c>
      <c r="S80">
        <v>12.855</v>
      </c>
      <c r="U80">
        <v>12.865</v>
      </c>
      <c r="V80">
        <v>12.855</v>
      </c>
      <c r="W80">
        <v>12.86</v>
      </c>
      <c r="X80">
        <v>12.87</v>
      </c>
      <c r="Y80">
        <v>12.87</v>
      </c>
      <c r="Z80">
        <v>12.85</v>
      </c>
      <c r="AA80">
        <v>12.835000000000001</v>
      </c>
      <c r="AB80">
        <v>12.82</v>
      </c>
      <c r="AC80">
        <v>12.835000000000001</v>
      </c>
      <c r="AD80">
        <v>12.85</v>
      </c>
      <c r="AH80">
        <v>12.8</v>
      </c>
      <c r="AI80">
        <v>12.77</v>
      </c>
      <c r="AJ80">
        <v>12.73</v>
      </c>
      <c r="AK80">
        <v>12.63</v>
      </c>
      <c r="AL80">
        <v>12.65</v>
      </c>
      <c r="AN80">
        <v>12.55</v>
      </c>
      <c r="AO80">
        <v>12.52</v>
      </c>
    </row>
    <row r="81" spans="1:41" x14ac:dyDescent="0.35">
      <c r="A81" s="2">
        <v>45588</v>
      </c>
      <c r="B81">
        <v>12.445</v>
      </c>
      <c r="C81">
        <v>12.555</v>
      </c>
      <c r="F81">
        <v>12.755000000000001</v>
      </c>
      <c r="I81">
        <v>12.88</v>
      </c>
      <c r="L81">
        <v>12.93</v>
      </c>
      <c r="O81">
        <v>12.97</v>
      </c>
      <c r="Q81">
        <v>12.945</v>
      </c>
      <c r="R81">
        <v>12.95</v>
      </c>
      <c r="S81">
        <v>12.965</v>
      </c>
      <c r="U81">
        <v>12.975</v>
      </c>
      <c r="V81">
        <v>12.965</v>
      </c>
      <c r="W81">
        <v>12.97</v>
      </c>
      <c r="X81">
        <v>12.984999999999999</v>
      </c>
      <c r="Y81">
        <v>12.984999999999999</v>
      </c>
      <c r="Z81">
        <v>12.965</v>
      </c>
      <c r="AA81">
        <v>12.945</v>
      </c>
      <c r="AB81">
        <v>12.955</v>
      </c>
      <c r="AC81">
        <v>12.955</v>
      </c>
      <c r="AD81">
        <v>12.97</v>
      </c>
      <c r="AH81">
        <v>12.92</v>
      </c>
      <c r="AI81">
        <v>12.88</v>
      </c>
      <c r="AJ81">
        <v>12.84</v>
      </c>
      <c r="AK81">
        <v>12.76</v>
      </c>
      <c r="AL81">
        <v>12.74</v>
      </c>
      <c r="AN81">
        <v>12.55</v>
      </c>
      <c r="AO81">
        <v>12.52</v>
      </c>
    </row>
    <row r="82" spans="1:41" x14ac:dyDescent="0.35">
      <c r="A82" s="2">
        <v>45589</v>
      </c>
      <c r="B82">
        <v>12.32</v>
      </c>
      <c r="C82">
        <v>12.414999999999999</v>
      </c>
      <c r="F82">
        <v>12.59</v>
      </c>
      <c r="I82">
        <v>12.685</v>
      </c>
      <c r="L82">
        <v>12.72</v>
      </c>
      <c r="O82">
        <v>12.715</v>
      </c>
      <c r="Q82">
        <v>12.69</v>
      </c>
      <c r="R82">
        <v>12.69</v>
      </c>
      <c r="S82">
        <v>12.7</v>
      </c>
      <c r="U82">
        <v>12.705</v>
      </c>
      <c r="V82">
        <v>12.695</v>
      </c>
      <c r="W82">
        <v>12.695</v>
      </c>
      <c r="X82">
        <v>12.71</v>
      </c>
      <c r="Y82">
        <v>12.705</v>
      </c>
      <c r="Z82">
        <v>12.685</v>
      </c>
      <c r="AA82">
        <v>12.67</v>
      </c>
      <c r="AB82">
        <v>12.654999999999999</v>
      </c>
      <c r="AC82">
        <v>12.66</v>
      </c>
      <c r="AD82">
        <v>12.68</v>
      </c>
      <c r="AH82">
        <v>12.64</v>
      </c>
      <c r="AI82">
        <v>12.59</v>
      </c>
      <c r="AJ82">
        <v>12.56</v>
      </c>
      <c r="AK82">
        <v>12.48</v>
      </c>
      <c r="AL82">
        <v>12.47</v>
      </c>
      <c r="AN82">
        <v>12.55</v>
      </c>
      <c r="AO82">
        <v>12.52</v>
      </c>
    </row>
    <row r="83" spans="1:41" x14ac:dyDescent="0.35">
      <c r="A83" s="2">
        <v>45590</v>
      </c>
      <c r="B83">
        <v>12.404999999999999</v>
      </c>
      <c r="C83">
        <v>12.51</v>
      </c>
      <c r="F83">
        <v>12.69</v>
      </c>
      <c r="I83">
        <v>12.79</v>
      </c>
      <c r="L83">
        <v>12.835000000000001</v>
      </c>
      <c r="O83">
        <v>12.845000000000001</v>
      </c>
      <c r="Q83">
        <v>12.83</v>
      </c>
      <c r="R83">
        <v>12.83</v>
      </c>
      <c r="S83">
        <v>12.84</v>
      </c>
      <c r="U83">
        <v>12.85</v>
      </c>
      <c r="V83">
        <v>12.835000000000001</v>
      </c>
      <c r="W83">
        <v>12.824999999999999</v>
      </c>
      <c r="X83">
        <v>12.845000000000001</v>
      </c>
      <c r="Y83">
        <v>12.85</v>
      </c>
      <c r="Z83">
        <v>12.84</v>
      </c>
      <c r="AA83">
        <v>12.815</v>
      </c>
      <c r="AB83">
        <v>12.81</v>
      </c>
      <c r="AC83">
        <v>12.81</v>
      </c>
      <c r="AD83">
        <v>12.82</v>
      </c>
      <c r="AH83">
        <v>12.78</v>
      </c>
      <c r="AI83">
        <v>12.73</v>
      </c>
      <c r="AJ83">
        <v>12.7</v>
      </c>
      <c r="AK83">
        <v>12.61</v>
      </c>
      <c r="AL83">
        <v>12.61</v>
      </c>
      <c r="AN83">
        <v>12.4</v>
      </c>
      <c r="AO83">
        <v>12.45</v>
      </c>
    </row>
    <row r="84" spans="1:41" x14ac:dyDescent="0.35">
      <c r="A84" s="2">
        <v>45591</v>
      </c>
    </row>
    <row r="85" spans="1:41" x14ac:dyDescent="0.35">
      <c r="A85" s="2">
        <v>45592</v>
      </c>
    </row>
    <row r="86" spans="1:41" x14ac:dyDescent="0.35">
      <c r="A86" s="2">
        <v>45593</v>
      </c>
      <c r="B86">
        <v>12.425000000000001</v>
      </c>
      <c r="C86">
        <v>12.515000000000001</v>
      </c>
      <c r="F86">
        <v>12.69</v>
      </c>
      <c r="I86">
        <v>12.785</v>
      </c>
      <c r="L86">
        <v>12.83</v>
      </c>
      <c r="O86">
        <v>12.835000000000001</v>
      </c>
      <c r="Q86">
        <v>12.815</v>
      </c>
      <c r="R86">
        <v>12.82</v>
      </c>
      <c r="S86">
        <v>12.83</v>
      </c>
      <c r="U86">
        <v>12.845000000000001</v>
      </c>
      <c r="V86">
        <v>12.83</v>
      </c>
      <c r="W86">
        <v>12.835000000000001</v>
      </c>
      <c r="X86">
        <v>12.86</v>
      </c>
      <c r="Y86">
        <v>12.85</v>
      </c>
      <c r="Z86">
        <v>12.84</v>
      </c>
      <c r="AA86">
        <v>12.824999999999999</v>
      </c>
      <c r="AB86">
        <v>12.82</v>
      </c>
      <c r="AC86">
        <v>12.81</v>
      </c>
      <c r="AD86">
        <v>12.83</v>
      </c>
      <c r="AH86">
        <v>12.79</v>
      </c>
      <c r="AI86">
        <v>12.75</v>
      </c>
      <c r="AJ86">
        <v>12.72</v>
      </c>
      <c r="AK86">
        <v>12.61</v>
      </c>
      <c r="AL86">
        <v>12.64</v>
      </c>
      <c r="AN86">
        <v>12.4</v>
      </c>
    </row>
    <row r="87" spans="1:41" x14ac:dyDescent="0.35">
      <c r="A87" s="2">
        <v>45594</v>
      </c>
      <c r="B87">
        <v>12.455</v>
      </c>
      <c r="C87">
        <v>12.56</v>
      </c>
      <c r="F87">
        <v>12.734999999999999</v>
      </c>
      <c r="I87">
        <v>12.84</v>
      </c>
      <c r="L87">
        <v>12.895</v>
      </c>
      <c r="O87">
        <v>12.91</v>
      </c>
      <c r="Q87">
        <v>12.91</v>
      </c>
      <c r="R87">
        <v>12.91</v>
      </c>
      <c r="S87">
        <v>12.94</v>
      </c>
      <c r="U87">
        <v>12.935</v>
      </c>
      <c r="V87">
        <v>12.925000000000001</v>
      </c>
      <c r="W87">
        <v>12.93</v>
      </c>
      <c r="X87">
        <v>12.94</v>
      </c>
      <c r="Y87">
        <v>12.95</v>
      </c>
      <c r="Z87">
        <v>12.93</v>
      </c>
      <c r="AA87">
        <v>12.925000000000001</v>
      </c>
      <c r="AB87">
        <v>12.904999999999999</v>
      </c>
      <c r="AC87">
        <v>12.904999999999999</v>
      </c>
      <c r="AD87">
        <v>12.92</v>
      </c>
      <c r="AH87">
        <v>12.87</v>
      </c>
      <c r="AI87">
        <v>12.83</v>
      </c>
      <c r="AJ87">
        <v>12.8</v>
      </c>
      <c r="AK87">
        <v>12.7</v>
      </c>
      <c r="AL87">
        <v>12.71</v>
      </c>
      <c r="AN87">
        <v>12.4</v>
      </c>
      <c r="AO87">
        <v>12.37</v>
      </c>
    </row>
    <row r="88" spans="1:41" x14ac:dyDescent="0.35">
      <c r="A88" s="2">
        <v>45595</v>
      </c>
      <c r="B88">
        <v>12.435</v>
      </c>
      <c r="C88">
        <v>12.54</v>
      </c>
      <c r="F88">
        <v>12.725</v>
      </c>
      <c r="I88">
        <v>12.824999999999999</v>
      </c>
      <c r="L88">
        <v>12.875</v>
      </c>
      <c r="O88">
        <v>12.885</v>
      </c>
      <c r="Q88">
        <v>12.88</v>
      </c>
      <c r="R88">
        <v>12.88</v>
      </c>
      <c r="S88">
        <v>12.89</v>
      </c>
      <c r="U88">
        <v>12.9</v>
      </c>
      <c r="V88">
        <v>12.885</v>
      </c>
      <c r="W88">
        <v>12.885</v>
      </c>
      <c r="X88">
        <v>12.9</v>
      </c>
      <c r="Y88">
        <v>12.904999999999999</v>
      </c>
      <c r="Z88">
        <v>12.89</v>
      </c>
      <c r="AA88">
        <v>12.875</v>
      </c>
      <c r="AB88">
        <v>12.865</v>
      </c>
      <c r="AC88">
        <v>12.865</v>
      </c>
      <c r="AD88">
        <v>12.88</v>
      </c>
      <c r="AH88">
        <v>12.82</v>
      </c>
      <c r="AI88">
        <v>12.78</v>
      </c>
      <c r="AJ88">
        <v>12.73</v>
      </c>
      <c r="AK88">
        <v>12.65</v>
      </c>
      <c r="AL88">
        <v>12.63</v>
      </c>
      <c r="AM88">
        <v>12.62</v>
      </c>
      <c r="AO88">
        <v>12.37</v>
      </c>
    </row>
    <row r="89" spans="1:41" x14ac:dyDescent="0.35">
      <c r="A89" s="2">
        <v>45596</v>
      </c>
      <c r="B89">
        <v>12.52</v>
      </c>
      <c r="C89">
        <v>12.63</v>
      </c>
      <c r="F89">
        <v>12.824999999999999</v>
      </c>
      <c r="I89">
        <v>12.925000000000001</v>
      </c>
      <c r="L89">
        <v>12.98</v>
      </c>
      <c r="O89">
        <v>12.994999999999999</v>
      </c>
      <c r="Q89">
        <v>12.994999999999999</v>
      </c>
      <c r="R89">
        <v>13</v>
      </c>
      <c r="S89">
        <v>13.015000000000001</v>
      </c>
      <c r="U89">
        <v>13.02</v>
      </c>
      <c r="V89">
        <v>13.005000000000001</v>
      </c>
      <c r="W89">
        <v>13.005000000000001</v>
      </c>
      <c r="X89">
        <v>13.015000000000001</v>
      </c>
      <c r="Y89">
        <v>13.015000000000001</v>
      </c>
      <c r="Z89">
        <v>12.994999999999999</v>
      </c>
      <c r="AA89">
        <v>12.97</v>
      </c>
      <c r="AB89">
        <v>12.96</v>
      </c>
      <c r="AC89">
        <v>12.965</v>
      </c>
      <c r="AD89">
        <v>12.98</v>
      </c>
      <c r="AH89">
        <v>12.93</v>
      </c>
      <c r="AI89">
        <v>12.87</v>
      </c>
      <c r="AJ89">
        <v>12.83</v>
      </c>
      <c r="AK89">
        <v>12.74</v>
      </c>
      <c r="AL89">
        <v>12.72</v>
      </c>
      <c r="AM89">
        <v>12.61</v>
      </c>
      <c r="AN89">
        <v>12.4</v>
      </c>
      <c r="AO89">
        <v>12.37</v>
      </c>
    </row>
    <row r="90" spans="1:41" x14ac:dyDescent="0.35">
      <c r="A90" s="2">
        <v>45597</v>
      </c>
      <c r="B90">
        <v>12.725</v>
      </c>
      <c r="C90">
        <v>12.87</v>
      </c>
      <c r="D90">
        <v>12.775</v>
      </c>
      <c r="F90">
        <v>13.08</v>
      </c>
      <c r="I90">
        <v>13.185</v>
      </c>
      <c r="L90">
        <v>13.22</v>
      </c>
      <c r="O90">
        <v>13.23</v>
      </c>
      <c r="Q90">
        <v>13.22</v>
      </c>
      <c r="R90">
        <v>13.205</v>
      </c>
      <c r="S90">
        <v>13.225</v>
      </c>
      <c r="U90">
        <v>13.244999999999999</v>
      </c>
      <c r="V90">
        <v>13.22</v>
      </c>
      <c r="W90">
        <v>13.244999999999999</v>
      </c>
      <c r="X90">
        <v>13.215</v>
      </c>
      <c r="Y90">
        <v>13.215</v>
      </c>
      <c r="Z90">
        <v>13.195</v>
      </c>
      <c r="AA90">
        <v>13.23</v>
      </c>
      <c r="AB90">
        <v>13.145</v>
      </c>
      <c r="AC90">
        <v>13.205</v>
      </c>
      <c r="AD90">
        <v>13.17</v>
      </c>
      <c r="AH90">
        <v>13.12</v>
      </c>
      <c r="AI90">
        <v>13.06</v>
      </c>
      <c r="AJ90">
        <v>13.03</v>
      </c>
      <c r="AK90">
        <v>12.94</v>
      </c>
      <c r="AL90">
        <v>12.91</v>
      </c>
      <c r="AM90">
        <v>12.75</v>
      </c>
      <c r="AN90">
        <v>12.7</v>
      </c>
    </row>
    <row r="91" spans="1:41" x14ac:dyDescent="0.35">
      <c r="A91" s="2">
        <v>45598</v>
      </c>
    </row>
    <row r="92" spans="1:41" x14ac:dyDescent="0.35">
      <c r="A92" s="2">
        <v>45599</v>
      </c>
    </row>
    <row r="93" spans="1:41" x14ac:dyDescent="0.35">
      <c r="A93" s="2">
        <v>45600</v>
      </c>
      <c r="B93">
        <v>12.6</v>
      </c>
      <c r="C93">
        <v>12.7</v>
      </c>
      <c r="D93">
        <v>12.76</v>
      </c>
      <c r="F93">
        <v>12.88</v>
      </c>
      <c r="I93">
        <v>12.975</v>
      </c>
      <c r="L93">
        <v>13.02</v>
      </c>
      <c r="O93">
        <v>13.03</v>
      </c>
      <c r="Q93">
        <v>13.025</v>
      </c>
      <c r="R93">
        <v>13.02</v>
      </c>
      <c r="S93">
        <v>13.045</v>
      </c>
      <c r="U93">
        <v>13.045</v>
      </c>
      <c r="V93">
        <v>13.04</v>
      </c>
      <c r="W93">
        <v>13.02</v>
      </c>
      <c r="X93">
        <v>13.05</v>
      </c>
      <c r="Y93">
        <v>13.045</v>
      </c>
      <c r="Z93">
        <v>13.035</v>
      </c>
      <c r="AA93">
        <v>13.015000000000001</v>
      </c>
      <c r="AB93">
        <v>13.01</v>
      </c>
      <c r="AC93">
        <v>13</v>
      </c>
      <c r="AD93">
        <v>13.01</v>
      </c>
      <c r="AH93">
        <v>12.96</v>
      </c>
      <c r="AI93">
        <v>12.88</v>
      </c>
      <c r="AJ93">
        <v>12.87</v>
      </c>
      <c r="AK93">
        <v>12.78</v>
      </c>
      <c r="AL93">
        <v>12.75</v>
      </c>
      <c r="AM93">
        <v>12.69</v>
      </c>
      <c r="AO93">
        <v>12.47</v>
      </c>
    </row>
    <row r="94" spans="1:41" x14ac:dyDescent="0.35">
      <c r="A94" s="2">
        <v>45601</v>
      </c>
      <c r="B94">
        <v>12.545</v>
      </c>
      <c r="C94">
        <v>12.645</v>
      </c>
      <c r="D94">
        <v>12.7</v>
      </c>
      <c r="F94">
        <v>12.815</v>
      </c>
      <c r="I94">
        <v>12.895</v>
      </c>
      <c r="L94">
        <v>12.93</v>
      </c>
      <c r="O94">
        <v>12.93</v>
      </c>
      <c r="Q94">
        <v>12.92</v>
      </c>
      <c r="R94">
        <v>12.945</v>
      </c>
      <c r="S94">
        <v>12.93</v>
      </c>
      <c r="U94">
        <v>12.94</v>
      </c>
      <c r="V94">
        <v>12.93</v>
      </c>
      <c r="W94">
        <v>12.93</v>
      </c>
      <c r="X94">
        <v>12.93</v>
      </c>
      <c r="Y94">
        <v>12.94</v>
      </c>
      <c r="Z94">
        <v>12.925000000000001</v>
      </c>
      <c r="AA94">
        <v>12.89</v>
      </c>
      <c r="AB94">
        <v>12.895</v>
      </c>
      <c r="AC94">
        <v>12.89</v>
      </c>
      <c r="AD94">
        <v>12.9</v>
      </c>
      <c r="AH94">
        <v>12.85</v>
      </c>
      <c r="AI94">
        <v>12.79</v>
      </c>
      <c r="AJ94">
        <v>12.75</v>
      </c>
      <c r="AK94">
        <v>12.66</v>
      </c>
      <c r="AL94">
        <v>12.63</v>
      </c>
      <c r="AM94">
        <v>12.68</v>
      </c>
    </row>
    <row r="95" spans="1:41" x14ac:dyDescent="0.35">
      <c r="A95" s="2">
        <v>45602</v>
      </c>
      <c r="B95">
        <v>12.645</v>
      </c>
      <c r="C95">
        <v>12.765000000000001</v>
      </c>
      <c r="D95">
        <v>12.82</v>
      </c>
      <c r="F95">
        <v>12.96</v>
      </c>
      <c r="I95">
        <v>13.06</v>
      </c>
      <c r="L95">
        <v>13.06</v>
      </c>
      <c r="Q95">
        <v>13.045</v>
      </c>
      <c r="R95">
        <v>13.015000000000001</v>
      </c>
      <c r="S95">
        <v>13.035</v>
      </c>
      <c r="V95">
        <v>12.93</v>
      </c>
      <c r="W95">
        <v>12.99</v>
      </c>
      <c r="X95">
        <v>13.015000000000001</v>
      </c>
      <c r="Z95">
        <v>12.99</v>
      </c>
      <c r="AA95">
        <v>12.96</v>
      </c>
      <c r="AB95">
        <v>12.93</v>
      </c>
      <c r="AD95">
        <v>12.95</v>
      </c>
      <c r="AM95">
        <v>12.72</v>
      </c>
    </row>
    <row r="96" spans="1:41" x14ac:dyDescent="0.35">
      <c r="A96" s="2">
        <v>45603</v>
      </c>
      <c r="B96">
        <v>12.67</v>
      </c>
      <c r="C96">
        <v>12.835000000000001</v>
      </c>
      <c r="D96">
        <v>12.83</v>
      </c>
      <c r="F96">
        <v>13.005000000000001</v>
      </c>
      <c r="I96">
        <v>13.08</v>
      </c>
      <c r="L96">
        <v>13.074999999999999</v>
      </c>
      <c r="O96">
        <v>13.055</v>
      </c>
      <c r="Q96">
        <v>13.005000000000001</v>
      </c>
      <c r="R96">
        <v>12.965</v>
      </c>
      <c r="S96">
        <v>12.96</v>
      </c>
      <c r="U96">
        <v>12.94</v>
      </c>
      <c r="V96">
        <v>12.91</v>
      </c>
      <c r="W96">
        <v>12.88</v>
      </c>
      <c r="X96">
        <v>12.8</v>
      </c>
      <c r="Y96">
        <v>12.865</v>
      </c>
      <c r="Z96">
        <v>12.84</v>
      </c>
      <c r="AA96">
        <v>12.81</v>
      </c>
      <c r="AB96">
        <v>12.795</v>
      </c>
      <c r="AC96">
        <v>12.775</v>
      </c>
      <c r="AD96">
        <v>12.78</v>
      </c>
      <c r="AH96">
        <v>12.71</v>
      </c>
      <c r="AI96">
        <v>12.64</v>
      </c>
      <c r="AJ96">
        <v>12.59</v>
      </c>
      <c r="AK96">
        <v>12.49</v>
      </c>
      <c r="AL96">
        <v>12.47</v>
      </c>
      <c r="AM96">
        <v>12.45</v>
      </c>
      <c r="AN96">
        <v>12.4</v>
      </c>
      <c r="AO96">
        <v>12.37</v>
      </c>
    </row>
    <row r="97" spans="1:42" x14ac:dyDescent="0.35">
      <c r="A97" s="2">
        <v>45604</v>
      </c>
      <c r="B97">
        <v>12.75</v>
      </c>
      <c r="C97">
        <v>12.87</v>
      </c>
      <c r="D97">
        <v>12.93</v>
      </c>
      <c r="F97">
        <v>13.06</v>
      </c>
      <c r="I97">
        <v>13.135</v>
      </c>
      <c r="L97">
        <v>13.154999999999999</v>
      </c>
      <c r="O97">
        <v>13.08</v>
      </c>
      <c r="Q97">
        <v>13.09</v>
      </c>
      <c r="R97">
        <v>13.065</v>
      </c>
      <c r="S97">
        <v>13.05</v>
      </c>
      <c r="U97">
        <v>13</v>
      </c>
      <c r="V97">
        <v>12.994999999999999</v>
      </c>
      <c r="W97">
        <v>12.965</v>
      </c>
      <c r="X97">
        <v>12.955</v>
      </c>
      <c r="Y97">
        <v>12.94</v>
      </c>
      <c r="Z97">
        <v>12.914999999999999</v>
      </c>
      <c r="AA97">
        <v>12.88</v>
      </c>
      <c r="AB97">
        <v>12.855</v>
      </c>
      <c r="AC97">
        <v>12.845000000000001</v>
      </c>
      <c r="AD97">
        <v>12.84</v>
      </c>
      <c r="AH97">
        <v>12.75</v>
      </c>
      <c r="AI97">
        <v>12.61</v>
      </c>
      <c r="AJ97">
        <v>12.61</v>
      </c>
      <c r="AK97">
        <v>12.49</v>
      </c>
      <c r="AL97">
        <v>12.48</v>
      </c>
      <c r="AM97">
        <v>12.52</v>
      </c>
      <c r="AN97">
        <v>12.4</v>
      </c>
      <c r="AO97">
        <v>12.37</v>
      </c>
    </row>
    <row r="98" spans="1:42" x14ac:dyDescent="0.35">
      <c r="A98" s="2">
        <v>45605</v>
      </c>
    </row>
    <row r="99" spans="1:42" x14ac:dyDescent="0.35">
      <c r="A99" s="2">
        <v>45606</v>
      </c>
    </row>
    <row r="100" spans="1:42" x14ac:dyDescent="0.35">
      <c r="A100" s="2">
        <v>45607</v>
      </c>
      <c r="B100">
        <v>12.79</v>
      </c>
      <c r="C100">
        <v>12.904999999999999</v>
      </c>
      <c r="D100">
        <v>12.975</v>
      </c>
      <c r="F100">
        <v>13.105</v>
      </c>
      <c r="I100">
        <v>13.2</v>
      </c>
      <c r="L100">
        <v>13.234999999999999</v>
      </c>
      <c r="O100">
        <v>13.225</v>
      </c>
      <c r="Q100">
        <v>13.2</v>
      </c>
      <c r="R100">
        <v>13.17</v>
      </c>
      <c r="S100">
        <v>13.135</v>
      </c>
      <c r="U100">
        <v>13.115</v>
      </c>
      <c r="V100">
        <v>13.07</v>
      </c>
      <c r="W100">
        <v>13.03</v>
      </c>
      <c r="X100">
        <v>13.04</v>
      </c>
      <c r="Y100">
        <v>13.005000000000001</v>
      </c>
      <c r="Z100">
        <v>12.975</v>
      </c>
      <c r="AA100">
        <v>12.95</v>
      </c>
      <c r="AB100">
        <v>12.925000000000001</v>
      </c>
      <c r="AC100">
        <v>12.89</v>
      </c>
      <c r="AD100">
        <v>12.88</v>
      </c>
      <c r="AH100">
        <v>12.79</v>
      </c>
      <c r="AI100">
        <v>12.71</v>
      </c>
      <c r="AJ100">
        <v>12.65</v>
      </c>
      <c r="AK100">
        <v>12.54</v>
      </c>
      <c r="AL100">
        <v>12.51</v>
      </c>
      <c r="AM100">
        <v>12.47</v>
      </c>
      <c r="AN100">
        <v>12.4</v>
      </c>
      <c r="AO100">
        <v>12.37</v>
      </c>
    </row>
    <row r="101" spans="1:42" x14ac:dyDescent="0.35">
      <c r="A101" s="2">
        <v>45608</v>
      </c>
      <c r="B101">
        <v>12.84</v>
      </c>
      <c r="C101">
        <v>12.96</v>
      </c>
      <c r="D101">
        <v>13.03</v>
      </c>
      <c r="F101">
        <v>13.185</v>
      </c>
      <c r="I101">
        <v>13.305</v>
      </c>
      <c r="L101">
        <v>13.36</v>
      </c>
      <c r="O101">
        <v>13.355</v>
      </c>
      <c r="Q101">
        <v>13.34</v>
      </c>
      <c r="R101">
        <v>13.305</v>
      </c>
      <c r="S101">
        <v>13.3</v>
      </c>
      <c r="U101">
        <v>13.28</v>
      </c>
      <c r="V101">
        <v>13.25</v>
      </c>
      <c r="W101">
        <v>13.215</v>
      </c>
      <c r="X101">
        <v>13.205</v>
      </c>
      <c r="Y101">
        <v>13.19</v>
      </c>
      <c r="Z101">
        <v>13.16</v>
      </c>
      <c r="AA101">
        <v>13.12</v>
      </c>
      <c r="AB101">
        <v>13.1</v>
      </c>
      <c r="AC101">
        <v>13.08</v>
      </c>
      <c r="AD101">
        <v>13.08</v>
      </c>
      <c r="AH101">
        <v>13</v>
      </c>
      <c r="AI101">
        <v>12.92</v>
      </c>
      <c r="AJ101">
        <v>12.87</v>
      </c>
      <c r="AK101">
        <v>12.77</v>
      </c>
      <c r="AL101">
        <v>12.73</v>
      </c>
      <c r="AM101">
        <v>12.63</v>
      </c>
      <c r="AN101">
        <v>12.4</v>
      </c>
      <c r="AO101">
        <v>12.37</v>
      </c>
    </row>
    <row r="102" spans="1:42" x14ac:dyDescent="0.35">
      <c r="A102" s="2">
        <v>45609</v>
      </c>
      <c r="B102">
        <v>12.86</v>
      </c>
      <c r="C102">
        <v>12.98</v>
      </c>
      <c r="D102">
        <v>13.06</v>
      </c>
      <c r="F102">
        <v>13.21</v>
      </c>
      <c r="I102">
        <v>13.324999999999999</v>
      </c>
      <c r="L102">
        <v>13.38</v>
      </c>
      <c r="O102">
        <v>13.38</v>
      </c>
      <c r="Q102">
        <v>13.36</v>
      </c>
      <c r="R102">
        <v>13.33</v>
      </c>
      <c r="S102">
        <v>13.324999999999999</v>
      </c>
      <c r="U102">
        <v>13.28</v>
      </c>
      <c r="V102">
        <v>13.26</v>
      </c>
      <c r="W102">
        <v>13.225</v>
      </c>
      <c r="X102">
        <v>13.215</v>
      </c>
      <c r="Y102">
        <v>13.19</v>
      </c>
      <c r="Z102">
        <v>13.16</v>
      </c>
      <c r="AA102">
        <v>13.12</v>
      </c>
      <c r="AB102">
        <v>13.1</v>
      </c>
      <c r="AC102">
        <v>13.07</v>
      </c>
      <c r="AD102">
        <v>13.06</v>
      </c>
      <c r="AH102">
        <v>12.97</v>
      </c>
      <c r="AI102">
        <v>12.86</v>
      </c>
      <c r="AJ102">
        <v>12.83</v>
      </c>
      <c r="AK102">
        <v>12.71</v>
      </c>
      <c r="AL102">
        <v>12.7</v>
      </c>
      <c r="AM102">
        <v>12.83</v>
      </c>
      <c r="AN102">
        <v>12.4</v>
      </c>
      <c r="AO102">
        <v>12.37</v>
      </c>
    </row>
    <row r="103" spans="1:42" x14ac:dyDescent="0.35">
      <c r="A103" s="2">
        <v>45610</v>
      </c>
      <c r="B103">
        <v>12.865</v>
      </c>
      <c r="C103">
        <v>12.994999999999999</v>
      </c>
      <c r="D103">
        <v>13.07</v>
      </c>
      <c r="F103">
        <v>13.234999999999999</v>
      </c>
      <c r="I103">
        <v>13.365</v>
      </c>
      <c r="L103">
        <v>13.435</v>
      </c>
      <c r="O103">
        <v>13.44</v>
      </c>
      <c r="Q103">
        <v>13.43</v>
      </c>
      <c r="R103">
        <v>13.395</v>
      </c>
      <c r="S103">
        <v>13.414999999999999</v>
      </c>
      <c r="U103">
        <v>13.26</v>
      </c>
      <c r="V103">
        <v>13.33</v>
      </c>
      <c r="W103">
        <v>13.285</v>
      </c>
      <c r="X103">
        <v>13.3</v>
      </c>
      <c r="Y103">
        <v>13.265000000000001</v>
      </c>
      <c r="Z103">
        <v>13.24</v>
      </c>
      <c r="AA103">
        <v>13.2</v>
      </c>
      <c r="AB103">
        <v>13.175000000000001</v>
      </c>
      <c r="AC103">
        <v>13.16</v>
      </c>
      <c r="AD103">
        <v>13.16</v>
      </c>
      <c r="AH103">
        <v>13.08</v>
      </c>
      <c r="AI103">
        <v>12.94</v>
      </c>
      <c r="AJ103">
        <v>12.95</v>
      </c>
      <c r="AK103">
        <v>12.85</v>
      </c>
      <c r="AL103">
        <v>12.84</v>
      </c>
      <c r="AM103">
        <v>12.63</v>
      </c>
      <c r="AN103">
        <v>12.74</v>
      </c>
      <c r="AO103">
        <v>12.71</v>
      </c>
    </row>
    <row r="104" spans="1:42" x14ac:dyDescent="0.35">
      <c r="A104" s="2">
        <v>45611</v>
      </c>
    </row>
    <row r="105" spans="1:42" x14ac:dyDescent="0.35">
      <c r="A105" s="2">
        <v>45612</v>
      </c>
    </row>
    <row r="106" spans="1:42" x14ac:dyDescent="0.35">
      <c r="A106" s="2">
        <v>45613</v>
      </c>
    </row>
    <row r="107" spans="1:42" x14ac:dyDescent="0.35">
      <c r="A107" s="2">
        <v>45614</v>
      </c>
      <c r="B107">
        <v>12.91</v>
      </c>
      <c r="C107">
        <v>13.05</v>
      </c>
      <c r="D107">
        <v>13.125</v>
      </c>
      <c r="F107">
        <v>13.29</v>
      </c>
      <c r="I107">
        <v>13.42</v>
      </c>
      <c r="L107">
        <v>13.48</v>
      </c>
      <c r="O107">
        <v>13.455</v>
      </c>
      <c r="Q107">
        <v>13.45</v>
      </c>
      <c r="R107">
        <v>13.43</v>
      </c>
      <c r="S107">
        <v>13.414999999999999</v>
      </c>
      <c r="U107">
        <v>13.36</v>
      </c>
      <c r="V107">
        <v>13.35</v>
      </c>
      <c r="W107">
        <v>13.315</v>
      </c>
      <c r="X107">
        <v>13.285</v>
      </c>
      <c r="Y107">
        <v>13.275</v>
      </c>
      <c r="Z107">
        <v>13.24</v>
      </c>
      <c r="AA107">
        <v>13.21</v>
      </c>
      <c r="AB107">
        <v>13.17</v>
      </c>
      <c r="AC107">
        <v>13.15</v>
      </c>
      <c r="AD107">
        <v>13.15</v>
      </c>
      <c r="AH107">
        <v>13.07</v>
      </c>
      <c r="AI107">
        <v>12.94</v>
      </c>
      <c r="AJ107">
        <v>12.92</v>
      </c>
      <c r="AK107">
        <v>12.82</v>
      </c>
      <c r="AL107">
        <v>12.8</v>
      </c>
      <c r="AN107">
        <v>12.4</v>
      </c>
      <c r="AO107">
        <v>12.37</v>
      </c>
      <c r="AP107">
        <v>12.67</v>
      </c>
    </row>
    <row r="108" spans="1:42" x14ac:dyDescent="0.35">
      <c r="A108" s="2">
        <v>45615</v>
      </c>
      <c r="B108">
        <v>12.835000000000001</v>
      </c>
      <c r="C108">
        <v>12.965</v>
      </c>
      <c r="D108">
        <v>13.025</v>
      </c>
      <c r="F108">
        <v>13.18</v>
      </c>
      <c r="I108">
        <v>13.3</v>
      </c>
      <c r="L108">
        <v>13.355</v>
      </c>
      <c r="O108">
        <v>13.35</v>
      </c>
      <c r="Q108">
        <v>13.335000000000001</v>
      </c>
      <c r="R108">
        <v>13.315</v>
      </c>
      <c r="S108">
        <v>13.31</v>
      </c>
      <c r="U108">
        <v>13.29</v>
      </c>
      <c r="V108">
        <v>13.25</v>
      </c>
      <c r="W108">
        <v>13.225</v>
      </c>
      <c r="X108">
        <v>13.2</v>
      </c>
      <c r="Y108">
        <v>13.185</v>
      </c>
      <c r="Z108">
        <v>13.16</v>
      </c>
      <c r="AA108">
        <v>13.12</v>
      </c>
      <c r="AB108">
        <v>13.095000000000001</v>
      </c>
      <c r="AC108">
        <v>13.08</v>
      </c>
      <c r="AD108">
        <v>13.07</v>
      </c>
      <c r="AH108">
        <v>12.98</v>
      </c>
      <c r="AI108">
        <v>12.88</v>
      </c>
      <c r="AJ108">
        <v>12.85</v>
      </c>
      <c r="AK108">
        <v>12.76</v>
      </c>
      <c r="AL108">
        <v>12.73</v>
      </c>
      <c r="AN108">
        <v>12.4</v>
      </c>
      <c r="AO108">
        <v>12.37</v>
      </c>
    </row>
    <row r="109" spans="1:42" x14ac:dyDescent="0.35">
      <c r="A109" s="2">
        <v>45616</v>
      </c>
    </row>
    <row r="110" spans="1:42" x14ac:dyDescent="0.35">
      <c r="A110" s="2">
        <v>45617</v>
      </c>
      <c r="B110">
        <v>12.85</v>
      </c>
      <c r="C110">
        <v>12.965</v>
      </c>
      <c r="D110">
        <v>13.04</v>
      </c>
      <c r="F110">
        <v>13.185</v>
      </c>
      <c r="I110">
        <v>13.305</v>
      </c>
      <c r="L110">
        <v>13.36</v>
      </c>
      <c r="O110">
        <v>13.365</v>
      </c>
      <c r="Q110">
        <v>13.34</v>
      </c>
      <c r="R110">
        <v>13.31</v>
      </c>
      <c r="S110">
        <v>13.315</v>
      </c>
      <c r="U110">
        <v>13.255000000000001</v>
      </c>
      <c r="V110">
        <v>13.25</v>
      </c>
      <c r="W110">
        <v>13.215</v>
      </c>
      <c r="X110">
        <v>13.195</v>
      </c>
      <c r="Y110">
        <v>13.175000000000001</v>
      </c>
      <c r="Z110">
        <v>13.145</v>
      </c>
      <c r="AA110">
        <v>13.115</v>
      </c>
      <c r="AB110">
        <v>13.09</v>
      </c>
      <c r="AC110">
        <v>13.07</v>
      </c>
      <c r="AD110">
        <v>13.06</v>
      </c>
      <c r="AH110">
        <v>12.98</v>
      </c>
      <c r="AI110">
        <v>12.9</v>
      </c>
      <c r="AJ110">
        <v>12.85</v>
      </c>
      <c r="AK110">
        <v>12.76</v>
      </c>
      <c r="AL110">
        <v>12.74</v>
      </c>
      <c r="AN110">
        <v>12.4</v>
      </c>
    </row>
    <row r="111" spans="1:42" x14ac:dyDescent="0.35">
      <c r="A111" s="2">
        <v>45618</v>
      </c>
      <c r="B111">
        <v>12.9</v>
      </c>
      <c r="C111">
        <v>13.03</v>
      </c>
      <c r="D111">
        <v>13.095000000000001</v>
      </c>
      <c r="F111">
        <v>13.244999999999999</v>
      </c>
      <c r="I111">
        <v>13.365</v>
      </c>
      <c r="L111">
        <v>13.395</v>
      </c>
      <c r="O111">
        <v>13.395</v>
      </c>
      <c r="Q111">
        <v>13.365</v>
      </c>
      <c r="R111">
        <v>13.305</v>
      </c>
      <c r="S111">
        <v>13.335000000000001</v>
      </c>
      <c r="U111">
        <v>13.3</v>
      </c>
      <c r="V111">
        <v>13.27</v>
      </c>
      <c r="W111">
        <v>13.24</v>
      </c>
      <c r="X111">
        <v>13.23</v>
      </c>
      <c r="Y111">
        <v>13.19</v>
      </c>
      <c r="Z111">
        <v>13.17</v>
      </c>
      <c r="AA111">
        <v>13.135</v>
      </c>
      <c r="AB111">
        <v>13.115</v>
      </c>
      <c r="AC111">
        <v>13.09</v>
      </c>
      <c r="AD111">
        <v>13.09</v>
      </c>
      <c r="AH111">
        <v>13</v>
      </c>
      <c r="AI111">
        <v>12.89</v>
      </c>
      <c r="AJ111">
        <v>12.88</v>
      </c>
      <c r="AK111">
        <v>12.77</v>
      </c>
      <c r="AL111">
        <v>12.77</v>
      </c>
      <c r="AM111">
        <v>12.63</v>
      </c>
      <c r="AN111">
        <v>12.64</v>
      </c>
      <c r="AP111">
        <v>12.62</v>
      </c>
    </row>
    <row r="112" spans="1:42" x14ac:dyDescent="0.35">
      <c r="A112" s="2">
        <v>45619</v>
      </c>
    </row>
    <row r="113" spans="1:42" x14ac:dyDescent="0.35">
      <c r="A113" s="2">
        <v>45620</v>
      </c>
    </row>
    <row r="114" spans="1:42" x14ac:dyDescent="0.35">
      <c r="A114" s="2">
        <v>45621</v>
      </c>
      <c r="B114">
        <v>12.955</v>
      </c>
      <c r="C114">
        <v>13.07</v>
      </c>
      <c r="D114">
        <v>13.135</v>
      </c>
      <c r="F114">
        <v>13.28</v>
      </c>
      <c r="I114">
        <v>13.38</v>
      </c>
      <c r="L114">
        <v>13.4</v>
      </c>
      <c r="O114">
        <v>13.305</v>
      </c>
      <c r="Q114">
        <v>13.335000000000001</v>
      </c>
      <c r="R114">
        <v>13.305</v>
      </c>
      <c r="S114">
        <v>13.285</v>
      </c>
      <c r="U114">
        <v>13.265000000000001</v>
      </c>
      <c r="V114">
        <v>13.215</v>
      </c>
      <c r="W114">
        <v>13.185</v>
      </c>
      <c r="X114">
        <v>13.18</v>
      </c>
      <c r="Y114">
        <v>13.17</v>
      </c>
      <c r="Z114">
        <v>13.125</v>
      </c>
      <c r="AA114">
        <v>13.08</v>
      </c>
      <c r="AB114">
        <v>13.065</v>
      </c>
      <c r="AC114">
        <v>13.035</v>
      </c>
      <c r="AD114">
        <v>13.03</v>
      </c>
      <c r="AH114">
        <v>12.95</v>
      </c>
      <c r="AI114">
        <v>12.87</v>
      </c>
      <c r="AJ114">
        <v>12.84</v>
      </c>
      <c r="AK114">
        <v>12.74</v>
      </c>
      <c r="AL114">
        <v>12.71</v>
      </c>
      <c r="AM114">
        <v>12.68</v>
      </c>
      <c r="AP114">
        <v>12.55</v>
      </c>
    </row>
    <row r="115" spans="1:42" x14ac:dyDescent="0.35">
      <c r="A115" s="2">
        <v>45622</v>
      </c>
      <c r="B115">
        <v>12.93</v>
      </c>
      <c r="C115">
        <v>13.05</v>
      </c>
      <c r="D115">
        <v>13.12</v>
      </c>
      <c r="F115">
        <v>13.27</v>
      </c>
      <c r="I115">
        <v>13.36</v>
      </c>
      <c r="L115">
        <v>13.39</v>
      </c>
      <c r="O115">
        <v>13.36</v>
      </c>
      <c r="Q115">
        <v>13.32</v>
      </c>
      <c r="R115">
        <v>13.285</v>
      </c>
      <c r="S115">
        <v>13.234999999999999</v>
      </c>
      <c r="U115">
        <v>13.215</v>
      </c>
      <c r="V115">
        <v>13.185</v>
      </c>
      <c r="W115">
        <v>13.145</v>
      </c>
      <c r="X115">
        <v>13.135</v>
      </c>
      <c r="Y115">
        <v>13.1</v>
      </c>
      <c r="Z115">
        <v>13.074999999999999</v>
      </c>
      <c r="AA115">
        <v>13.035</v>
      </c>
      <c r="AB115">
        <v>13.01</v>
      </c>
      <c r="AC115">
        <v>12.99</v>
      </c>
      <c r="AD115">
        <v>12.99</v>
      </c>
      <c r="AH115">
        <v>12.9</v>
      </c>
      <c r="AI115">
        <v>12.83</v>
      </c>
      <c r="AJ115">
        <v>12.79</v>
      </c>
      <c r="AK115">
        <v>12.68</v>
      </c>
      <c r="AL115">
        <v>12.68</v>
      </c>
      <c r="AM115">
        <v>12.61</v>
      </c>
    </row>
    <row r="116" spans="1:42" x14ac:dyDescent="0.35">
      <c r="A116" s="2">
        <v>45623</v>
      </c>
      <c r="B116">
        <v>13.125</v>
      </c>
      <c r="C116">
        <v>13.25</v>
      </c>
      <c r="D116">
        <v>13.32</v>
      </c>
      <c r="F116">
        <v>13.49</v>
      </c>
      <c r="I116">
        <v>13.6</v>
      </c>
      <c r="L116">
        <v>13.645</v>
      </c>
      <c r="O116">
        <v>13.63</v>
      </c>
      <c r="Q116">
        <v>13.61</v>
      </c>
      <c r="R116">
        <v>13.59</v>
      </c>
      <c r="S116">
        <v>13.58</v>
      </c>
      <c r="U116">
        <v>13.53</v>
      </c>
      <c r="V116">
        <v>13.52</v>
      </c>
      <c r="W116">
        <v>13.5</v>
      </c>
      <c r="X116">
        <v>13.305</v>
      </c>
      <c r="Y116">
        <v>13.47</v>
      </c>
      <c r="Z116">
        <v>13.445</v>
      </c>
      <c r="AA116">
        <v>13.41</v>
      </c>
      <c r="AB116">
        <v>13.38</v>
      </c>
      <c r="AC116">
        <v>13.36</v>
      </c>
      <c r="AD116">
        <v>13.33</v>
      </c>
      <c r="AH116">
        <v>13.28</v>
      </c>
      <c r="AI116">
        <v>13.16</v>
      </c>
      <c r="AJ116">
        <v>13.15</v>
      </c>
      <c r="AK116">
        <v>13.06</v>
      </c>
      <c r="AL116">
        <v>13.03</v>
      </c>
      <c r="AM116">
        <v>12.99</v>
      </c>
      <c r="AN116">
        <v>12.91</v>
      </c>
    </row>
    <row r="117" spans="1:42" x14ac:dyDescent="0.35">
      <c r="A117" s="2">
        <v>45624</v>
      </c>
      <c r="B117">
        <v>13.46</v>
      </c>
      <c r="C117">
        <v>13.62</v>
      </c>
      <c r="D117">
        <v>13.71</v>
      </c>
      <c r="F117">
        <v>13.895</v>
      </c>
      <c r="I117">
        <v>14.025</v>
      </c>
      <c r="L117">
        <v>14.06</v>
      </c>
      <c r="O117">
        <v>14.05</v>
      </c>
      <c r="Q117">
        <v>14.03</v>
      </c>
      <c r="R117">
        <v>14.02</v>
      </c>
      <c r="S117">
        <v>13.994999999999999</v>
      </c>
      <c r="U117">
        <v>14.005000000000001</v>
      </c>
      <c r="V117">
        <v>13.86</v>
      </c>
      <c r="W117">
        <v>13.94</v>
      </c>
      <c r="X117">
        <v>13.775</v>
      </c>
      <c r="Y117">
        <v>13.93</v>
      </c>
      <c r="Z117">
        <v>13.855</v>
      </c>
      <c r="AA117">
        <v>13.84</v>
      </c>
      <c r="AB117">
        <v>13.56</v>
      </c>
      <c r="AC117">
        <v>13.795</v>
      </c>
      <c r="AD117">
        <v>13.79</v>
      </c>
      <c r="AH117">
        <v>13.7</v>
      </c>
      <c r="AI117">
        <v>13.65</v>
      </c>
      <c r="AJ117">
        <v>13.63</v>
      </c>
      <c r="AK117">
        <v>13.5</v>
      </c>
      <c r="AL117">
        <v>13.5</v>
      </c>
      <c r="AN117">
        <v>13.2</v>
      </c>
    </row>
    <row r="118" spans="1:42" x14ac:dyDescent="0.35">
      <c r="A118" s="2">
        <v>45625</v>
      </c>
      <c r="B118">
        <v>13.42</v>
      </c>
      <c r="C118">
        <v>13.595000000000001</v>
      </c>
      <c r="D118">
        <v>13.66</v>
      </c>
      <c r="F118">
        <v>13.89</v>
      </c>
      <c r="I118">
        <v>14.005000000000001</v>
      </c>
      <c r="L118">
        <v>14.045</v>
      </c>
      <c r="O118">
        <v>13.87</v>
      </c>
      <c r="Q118">
        <v>14.01</v>
      </c>
      <c r="R118">
        <v>14.01</v>
      </c>
      <c r="S118">
        <v>13.975</v>
      </c>
      <c r="U118">
        <v>13.95</v>
      </c>
      <c r="V118">
        <v>13.91</v>
      </c>
      <c r="W118">
        <v>13.86</v>
      </c>
      <c r="X118">
        <v>13.855</v>
      </c>
      <c r="Y118">
        <v>13.815</v>
      </c>
      <c r="Z118">
        <v>13.8</v>
      </c>
      <c r="AA118">
        <v>13.73</v>
      </c>
      <c r="AB118">
        <v>13.705</v>
      </c>
      <c r="AC118">
        <v>13.68</v>
      </c>
      <c r="AD118">
        <v>13.68</v>
      </c>
      <c r="AH118">
        <v>13.59</v>
      </c>
      <c r="AI118">
        <v>13.5</v>
      </c>
      <c r="AJ118">
        <v>13.44</v>
      </c>
      <c r="AK118">
        <v>13.32</v>
      </c>
      <c r="AL118">
        <v>13.3</v>
      </c>
      <c r="AM118">
        <v>13.26</v>
      </c>
      <c r="AN118">
        <v>13.19</v>
      </c>
    </row>
    <row r="119" spans="1:42" x14ac:dyDescent="0.35">
      <c r="A119" s="2">
        <v>45626</v>
      </c>
    </row>
    <row r="120" spans="1:42" x14ac:dyDescent="0.35">
      <c r="A120" s="2">
        <v>45627</v>
      </c>
    </row>
    <row r="121" spans="1:42" x14ac:dyDescent="0.35">
      <c r="A121" s="2">
        <v>45628</v>
      </c>
      <c r="B121">
        <v>13.455</v>
      </c>
      <c r="C121">
        <v>13.6</v>
      </c>
      <c r="D121">
        <v>13.695</v>
      </c>
      <c r="E121">
        <v>13.74</v>
      </c>
      <c r="F121">
        <v>13.88</v>
      </c>
      <c r="I121">
        <v>14.01</v>
      </c>
      <c r="L121">
        <v>14.07</v>
      </c>
      <c r="O121">
        <v>14.08</v>
      </c>
      <c r="Q121">
        <v>14.08</v>
      </c>
      <c r="R121">
        <v>14.065</v>
      </c>
      <c r="S121">
        <v>14.055</v>
      </c>
      <c r="U121">
        <v>14.03</v>
      </c>
      <c r="V121">
        <v>13.99</v>
      </c>
      <c r="W121">
        <v>13.94</v>
      </c>
      <c r="X121">
        <v>13.93</v>
      </c>
      <c r="Y121">
        <v>13.89</v>
      </c>
      <c r="Z121">
        <v>13.865</v>
      </c>
      <c r="AA121">
        <v>13.815</v>
      </c>
      <c r="AB121">
        <v>13.8</v>
      </c>
      <c r="AC121">
        <v>13.755000000000001</v>
      </c>
      <c r="AD121">
        <v>13.75</v>
      </c>
      <c r="AH121">
        <v>13.67</v>
      </c>
      <c r="AI121">
        <v>13.59</v>
      </c>
      <c r="AJ121">
        <v>13.53</v>
      </c>
      <c r="AK121">
        <v>13.42</v>
      </c>
      <c r="AL121">
        <v>13.4</v>
      </c>
      <c r="AM121">
        <v>13.27</v>
      </c>
      <c r="AN121">
        <v>13.28</v>
      </c>
    </row>
    <row r="122" spans="1:42" x14ac:dyDescent="0.35">
      <c r="A122" s="2">
        <v>45629</v>
      </c>
      <c r="B122">
        <v>13.484999999999999</v>
      </c>
      <c r="C122">
        <v>13.69</v>
      </c>
      <c r="D122">
        <v>13.675000000000001</v>
      </c>
      <c r="E122">
        <v>13.87</v>
      </c>
      <c r="F122">
        <v>13.994999999999999</v>
      </c>
      <c r="I122">
        <v>14.13</v>
      </c>
      <c r="L122">
        <v>14.215</v>
      </c>
      <c r="O122">
        <v>14.234999999999999</v>
      </c>
      <c r="Q122">
        <v>14.25</v>
      </c>
      <c r="R122">
        <v>14.25</v>
      </c>
      <c r="S122">
        <v>14.255000000000001</v>
      </c>
      <c r="U122">
        <v>14.225</v>
      </c>
      <c r="V122">
        <v>14.185</v>
      </c>
      <c r="W122">
        <v>14.154999999999999</v>
      </c>
      <c r="X122">
        <v>14.135</v>
      </c>
      <c r="Y122">
        <v>14.12</v>
      </c>
      <c r="Z122">
        <v>14.09</v>
      </c>
      <c r="AA122">
        <v>14.05</v>
      </c>
      <c r="AB122">
        <v>14.01</v>
      </c>
      <c r="AC122">
        <v>13.994999999999999</v>
      </c>
      <c r="AD122">
        <v>13.99</v>
      </c>
      <c r="AH122">
        <v>13.91</v>
      </c>
      <c r="AI122">
        <v>13.82</v>
      </c>
      <c r="AJ122">
        <v>13.75</v>
      </c>
      <c r="AK122">
        <v>13.64</v>
      </c>
      <c r="AL122">
        <v>13.62</v>
      </c>
      <c r="AM122">
        <v>13.57</v>
      </c>
      <c r="AN122">
        <v>12.9</v>
      </c>
    </row>
    <row r="123" spans="1:42" x14ac:dyDescent="0.35">
      <c r="A123" s="2">
        <v>45630</v>
      </c>
      <c r="B123">
        <v>13.525</v>
      </c>
      <c r="C123">
        <v>13.78</v>
      </c>
      <c r="D123">
        <v>13.8</v>
      </c>
      <c r="E123">
        <v>13.97</v>
      </c>
      <c r="F123">
        <v>14.09</v>
      </c>
      <c r="I123">
        <v>14.24</v>
      </c>
      <c r="L123">
        <v>14.29</v>
      </c>
      <c r="O123">
        <v>14.3</v>
      </c>
      <c r="Q123">
        <v>14.31</v>
      </c>
      <c r="R123">
        <v>14.275</v>
      </c>
      <c r="S123">
        <v>14.28</v>
      </c>
      <c r="U123">
        <v>14.244999999999999</v>
      </c>
      <c r="V123">
        <v>14.21</v>
      </c>
      <c r="W123">
        <v>14.15</v>
      </c>
      <c r="X123">
        <v>14.145</v>
      </c>
      <c r="Y123">
        <v>14.105</v>
      </c>
      <c r="Z123">
        <v>14.07</v>
      </c>
      <c r="AA123">
        <v>14.03</v>
      </c>
      <c r="AB123">
        <v>13.99</v>
      </c>
      <c r="AC123">
        <v>13.97</v>
      </c>
      <c r="AD123">
        <v>13.97</v>
      </c>
      <c r="AH123">
        <v>13.88</v>
      </c>
      <c r="AI123">
        <v>13.79</v>
      </c>
      <c r="AJ123">
        <v>13.73</v>
      </c>
      <c r="AK123">
        <v>13.62</v>
      </c>
      <c r="AL123">
        <v>13.59</v>
      </c>
      <c r="AM123">
        <v>13.52</v>
      </c>
    </row>
    <row r="124" spans="1:42" x14ac:dyDescent="0.35">
      <c r="A124" s="2">
        <v>45631</v>
      </c>
      <c r="B124">
        <v>13.615</v>
      </c>
      <c r="C124">
        <v>13.83</v>
      </c>
      <c r="D124">
        <v>13.904999999999999</v>
      </c>
      <c r="E124">
        <v>14.025</v>
      </c>
      <c r="F124">
        <v>14.17</v>
      </c>
      <c r="I124">
        <v>14.33</v>
      </c>
      <c r="L124">
        <v>14.41</v>
      </c>
      <c r="O124">
        <v>14.425000000000001</v>
      </c>
      <c r="Q124">
        <v>14.43</v>
      </c>
      <c r="R124">
        <v>14.395</v>
      </c>
      <c r="S124">
        <v>14.39</v>
      </c>
      <c r="U124">
        <v>14.345000000000001</v>
      </c>
      <c r="V124">
        <v>14.285</v>
      </c>
      <c r="W124">
        <v>14.21</v>
      </c>
      <c r="X124">
        <v>14.2</v>
      </c>
      <c r="Y124">
        <v>14.16</v>
      </c>
      <c r="Z124">
        <v>14.13</v>
      </c>
      <c r="AA124">
        <v>14.095000000000001</v>
      </c>
      <c r="AB124">
        <v>13.83</v>
      </c>
      <c r="AC124">
        <v>14.035</v>
      </c>
      <c r="AD124">
        <v>13.61</v>
      </c>
      <c r="AH124">
        <v>13.89</v>
      </c>
      <c r="AI124">
        <v>13.76</v>
      </c>
      <c r="AJ124">
        <v>13.74</v>
      </c>
      <c r="AK124">
        <v>13.59</v>
      </c>
      <c r="AL124">
        <v>13.58</v>
      </c>
      <c r="AM124">
        <v>13.42</v>
      </c>
      <c r="AN124">
        <v>13.4</v>
      </c>
    </row>
    <row r="125" spans="1:42" x14ac:dyDescent="0.35">
      <c r="A125" s="2">
        <v>45632</v>
      </c>
      <c r="B125">
        <v>13.765000000000001</v>
      </c>
      <c r="C125">
        <v>13.955</v>
      </c>
      <c r="D125">
        <v>14.09</v>
      </c>
      <c r="E125">
        <v>14.195</v>
      </c>
      <c r="F125">
        <v>14.345000000000001</v>
      </c>
      <c r="I125">
        <v>14.535</v>
      </c>
      <c r="L125">
        <v>14.63</v>
      </c>
      <c r="O125">
        <v>14.664999999999999</v>
      </c>
      <c r="Q125">
        <v>14.685</v>
      </c>
      <c r="R125">
        <v>14.664999999999999</v>
      </c>
      <c r="S125">
        <v>14.65</v>
      </c>
      <c r="U125">
        <v>14.615</v>
      </c>
      <c r="V125">
        <v>14.545</v>
      </c>
      <c r="W125">
        <v>14.465</v>
      </c>
      <c r="X125">
        <v>14.25</v>
      </c>
      <c r="Y125">
        <v>14.39</v>
      </c>
      <c r="Z125">
        <v>14.345000000000001</v>
      </c>
      <c r="AA125">
        <v>14.3</v>
      </c>
      <c r="AB125">
        <v>14.24</v>
      </c>
      <c r="AC125">
        <v>14.215</v>
      </c>
      <c r="AD125">
        <v>14.02</v>
      </c>
      <c r="AH125">
        <v>14.08</v>
      </c>
      <c r="AI125">
        <v>13.95</v>
      </c>
      <c r="AJ125">
        <v>13.9</v>
      </c>
      <c r="AK125">
        <v>13.79</v>
      </c>
      <c r="AL125">
        <v>13.75</v>
      </c>
      <c r="AM125">
        <v>13.59</v>
      </c>
      <c r="AN125">
        <v>13.54</v>
      </c>
    </row>
    <row r="126" spans="1:42" x14ac:dyDescent="0.35">
      <c r="A126" s="2">
        <v>45633</v>
      </c>
    </row>
    <row r="127" spans="1:42" x14ac:dyDescent="0.35">
      <c r="A127" s="2">
        <v>45634</v>
      </c>
    </row>
    <row r="128" spans="1:42" x14ac:dyDescent="0.35">
      <c r="A128" s="2">
        <v>45635</v>
      </c>
      <c r="B128">
        <v>13.98</v>
      </c>
      <c r="C128">
        <v>14.18</v>
      </c>
      <c r="D128">
        <v>14.315</v>
      </c>
      <c r="E128">
        <v>14.445</v>
      </c>
      <c r="F128">
        <v>14.59</v>
      </c>
      <c r="I128">
        <v>14.82</v>
      </c>
      <c r="L128">
        <v>14.72</v>
      </c>
      <c r="O128">
        <v>14.975</v>
      </c>
      <c r="Q128">
        <v>15.005000000000001</v>
      </c>
      <c r="R128">
        <v>14.994999999999999</v>
      </c>
      <c r="S128">
        <v>14.88</v>
      </c>
      <c r="U128">
        <v>14.955</v>
      </c>
      <c r="V128">
        <v>14.895</v>
      </c>
      <c r="W128">
        <v>14.82</v>
      </c>
      <c r="X128">
        <v>14.785</v>
      </c>
      <c r="Y128">
        <v>14.725</v>
      </c>
      <c r="Z128">
        <v>14.685</v>
      </c>
      <c r="AA128">
        <v>14.615</v>
      </c>
      <c r="AB128">
        <v>14.58</v>
      </c>
      <c r="AC128">
        <v>14.52</v>
      </c>
      <c r="AD128">
        <v>14.48</v>
      </c>
      <c r="AH128">
        <v>14.34</v>
      </c>
      <c r="AI128">
        <v>14.21</v>
      </c>
      <c r="AJ128">
        <v>14.1</v>
      </c>
      <c r="AK128">
        <v>13.99</v>
      </c>
      <c r="AL128">
        <v>13.93</v>
      </c>
      <c r="AM128">
        <v>13.76</v>
      </c>
      <c r="AN128">
        <v>12.9</v>
      </c>
    </row>
    <row r="129" spans="1:42" x14ac:dyDescent="0.35">
      <c r="A129" s="2">
        <v>45636</v>
      </c>
      <c r="B129">
        <v>13.835000000000001</v>
      </c>
      <c r="C129">
        <v>14.025</v>
      </c>
      <c r="D129">
        <v>14.145</v>
      </c>
      <c r="E129">
        <v>14.244999999999999</v>
      </c>
      <c r="F129">
        <v>14.37</v>
      </c>
      <c r="I129">
        <v>14.555</v>
      </c>
      <c r="L129">
        <v>14.635</v>
      </c>
      <c r="O129">
        <v>14.6</v>
      </c>
      <c r="Q129">
        <v>14.64</v>
      </c>
      <c r="R129">
        <v>14.625</v>
      </c>
      <c r="S129">
        <v>14.6</v>
      </c>
      <c r="U129">
        <v>14.535</v>
      </c>
      <c r="V129">
        <v>14.445</v>
      </c>
      <c r="W129">
        <v>14.375</v>
      </c>
      <c r="X129">
        <v>14.345000000000001</v>
      </c>
      <c r="Y129">
        <v>14.285</v>
      </c>
      <c r="Z129">
        <v>14.23</v>
      </c>
      <c r="AA129">
        <v>14.115</v>
      </c>
      <c r="AB129">
        <v>14.115</v>
      </c>
      <c r="AC129">
        <v>14.065</v>
      </c>
      <c r="AD129">
        <v>13.82</v>
      </c>
      <c r="AH129">
        <v>13.89</v>
      </c>
      <c r="AI129">
        <v>13.74</v>
      </c>
      <c r="AJ129">
        <v>13.65</v>
      </c>
      <c r="AK129">
        <v>13.53</v>
      </c>
      <c r="AL129">
        <v>13.49</v>
      </c>
    </row>
    <row r="130" spans="1:42" x14ac:dyDescent="0.35">
      <c r="A130" s="2">
        <v>45637</v>
      </c>
      <c r="B130">
        <v>13.664999999999999</v>
      </c>
      <c r="C130">
        <v>13.904999999999999</v>
      </c>
      <c r="D130">
        <v>13.945</v>
      </c>
      <c r="E130">
        <v>14.055</v>
      </c>
      <c r="F130">
        <v>14.205</v>
      </c>
      <c r="I130">
        <v>14.324999999999999</v>
      </c>
      <c r="L130">
        <v>14.38</v>
      </c>
      <c r="O130">
        <v>14.35</v>
      </c>
      <c r="Q130">
        <v>14.35</v>
      </c>
      <c r="R130">
        <v>14.315</v>
      </c>
      <c r="S130">
        <v>14.28</v>
      </c>
      <c r="U130">
        <v>14.215</v>
      </c>
      <c r="V130">
        <v>14.13</v>
      </c>
      <c r="W130">
        <v>14.07</v>
      </c>
      <c r="X130">
        <v>14.025</v>
      </c>
      <c r="Y130">
        <v>13.96</v>
      </c>
      <c r="Z130">
        <v>13.904999999999999</v>
      </c>
      <c r="AA130">
        <v>13.84</v>
      </c>
      <c r="AB130">
        <v>13.795</v>
      </c>
      <c r="AC130">
        <v>13.734999999999999</v>
      </c>
      <c r="AD130">
        <v>13.73</v>
      </c>
      <c r="AH130">
        <v>13.57</v>
      </c>
      <c r="AI130">
        <v>13.44</v>
      </c>
      <c r="AJ130">
        <v>13.36</v>
      </c>
      <c r="AK130">
        <v>13.24</v>
      </c>
      <c r="AL130">
        <v>13.2</v>
      </c>
      <c r="AM130">
        <v>13.23</v>
      </c>
      <c r="AP130">
        <v>13.31</v>
      </c>
    </row>
    <row r="131" spans="1:42" x14ac:dyDescent="0.35">
      <c r="A131" s="2">
        <v>45638</v>
      </c>
      <c r="B131">
        <v>14.14</v>
      </c>
      <c r="C131">
        <v>14.324999999999999</v>
      </c>
      <c r="D131">
        <v>14.425000000000001</v>
      </c>
      <c r="E131">
        <v>14.5</v>
      </c>
      <c r="F131">
        <v>14.65</v>
      </c>
      <c r="I131">
        <v>14.7</v>
      </c>
      <c r="L131">
        <v>14.79</v>
      </c>
      <c r="O131">
        <v>14.75</v>
      </c>
      <c r="Q131">
        <v>14.685</v>
      </c>
      <c r="R131">
        <v>14.65</v>
      </c>
      <c r="S131">
        <v>14.61</v>
      </c>
      <c r="U131">
        <v>14.515000000000001</v>
      </c>
      <c r="V131">
        <v>14.43</v>
      </c>
      <c r="W131">
        <v>14.34</v>
      </c>
      <c r="X131">
        <v>14.21</v>
      </c>
      <c r="Y131">
        <v>14.234999999999999</v>
      </c>
      <c r="Z131">
        <v>14.164999999999999</v>
      </c>
      <c r="AA131">
        <v>14.11</v>
      </c>
      <c r="AB131">
        <v>14.05</v>
      </c>
      <c r="AC131">
        <v>14.02</v>
      </c>
      <c r="AD131">
        <v>13.94</v>
      </c>
      <c r="AH131">
        <v>13.85</v>
      </c>
      <c r="AI131">
        <v>13.67</v>
      </c>
      <c r="AJ131">
        <v>13.62</v>
      </c>
      <c r="AK131">
        <v>13.49</v>
      </c>
      <c r="AL131">
        <v>13.45</v>
      </c>
      <c r="AM131">
        <v>13.2</v>
      </c>
    </row>
    <row r="132" spans="1:42" x14ac:dyDescent="0.35">
      <c r="A132" s="2">
        <v>45639</v>
      </c>
    </row>
    <row r="133" spans="1:42" x14ac:dyDescent="0.35">
      <c r="A133" s="2">
        <v>45640</v>
      </c>
    </row>
    <row r="134" spans="1:42" x14ac:dyDescent="0.35">
      <c r="A134" s="2">
        <v>45641</v>
      </c>
    </row>
    <row r="135" spans="1:42" x14ac:dyDescent="0.35">
      <c r="A135" s="2">
        <v>45642</v>
      </c>
      <c r="B135">
        <v>14.42</v>
      </c>
      <c r="C135">
        <v>14.645</v>
      </c>
      <c r="D135">
        <v>14.715</v>
      </c>
      <c r="E135">
        <v>14.895</v>
      </c>
      <c r="F135">
        <v>15.06</v>
      </c>
      <c r="I135">
        <v>15.32</v>
      </c>
      <c r="L135">
        <v>15.425000000000001</v>
      </c>
      <c r="O135">
        <v>15.49</v>
      </c>
      <c r="Q135">
        <v>15.52</v>
      </c>
      <c r="R135">
        <v>15.52</v>
      </c>
      <c r="S135">
        <v>14.8</v>
      </c>
      <c r="U135">
        <v>15.47</v>
      </c>
      <c r="V135">
        <v>15.28</v>
      </c>
      <c r="W135">
        <v>15.365</v>
      </c>
      <c r="X135">
        <v>15.315</v>
      </c>
      <c r="Y135">
        <v>15.305</v>
      </c>
      <c r="Z135">
        <v>15.265000000000001</v>
      </c>
      <c r="AA135">
        <v>15.19</v>
      </c>
      <c r="AB135">
        <v>15.17</v>
      </c>
      <c r="AC135">
        <v>15.3</v>
      </c>
      <c r="AD135">
        <v>15.12</v>
      </c>
      <c r="AH135">
        <v>14.97</v>
      </c>
      <c r="AI135">
        <v>14.77</v>
      </c>
      <c r="AJ135">
        <v>14.75</v>
      </c>
      <c r="AK135">
        <v>14.29</v>
      </c>
      <c r="AL135">
        <v>14.57</v>
      </c>
      <c r="AM135">
        <v>14.33</v>
      </c>
      <c r="AN135">
        <v>14.4</v>
      </c>
      <c r="AP135">
        <v>14.2</v>
      </c>
    </row>
    <row r="136" spans="1:42" x14ac:dyDescent="0.35">
      <c r="A136" s="2">
        <v>45643</v>
      </c>
      <c r="B136">
        <v>14.49</v>
      </c>
      <c r="C136">
        <v>14.71</v>
      </c>
      <c r="D136">
        <v>14.84</v>
      </c>
      <c r="E136">
        <v>14.97</v>
      </c>
      <c r="F136">
        <v>15.11</v>
      </c>
      <c r="I136">
        <v>15.335000000000001</v>
      </c>
      <c r="L136">
        <v>15.43</v>
      </c>
      <c r="O136">
        <v>15.275</v>
      </c>
      <c r="Q136">
        <v>15.4</v>
      </c>
      <c r="R136">
        <v>15.38</v>
      </c>
      <c r="S136">
        <v>15.355</v>
      </c>
      <c r="U136">
        <v>15.305</v>
      </c>
      <c r="V136">
        <v>15.25</v>
      </c>
      <c r="W136">
        <v>15.164999999999999</v>
      </c>
      <c r="X136">
        <v>15.12</v>
      </c>
      <c r="Y136">
        <v>15.095000000000001</v>
      </c>
      <c r="Z136">
        <v>15.035</v>
      </c>
      <c r="AA136">
        <v>14.97</v>
      </c>
      <c r="AB136">
        <v>14.925000000000001</v>
      </c>
      <c r="AC136">
        <v>14.744999999999999</v>
      </c>
      <c r="AD136">
        <v>14.86</v>
      </c>
      <c r="AH136">
        <v>14.71</v>
      </c>
      <c r="AI136">
        <v>14.54</v>
      </c>
      <c r="AJ136">
        <v>14.44</v>
      </c>
      <c r="AK136">
        <v>14.31</v>
      </c>
      <c r="AL136">
        <v>14.27</v>
      </c>
      <c r="AM136">
        <v>14.09</v>
      </c>
      <c r="AN136">
        <v>14.09</v>
      </c>
    </row>
    <row r="137" spans="1:42" x14ac:dyDescent="0.35">
      <c r="A137" s="2">
        <v>45644</v>
      </c>
      <c r="B137">
        <v>14.605</v>
      </c>
      <c r="C137">
        <v>14.94</v>
      </c>
      <c r="D137">
        <v>14.97</v>
      </c>
      <c r="E137">
        <v>15.22</v>
      </c>
      <c r="F137">
        <v>15.37</v>
      </c>
      <c r="I137">
        <v>15.65</v>
      </c>
      <c r="L137">
        <v>15.79</v>
      </c>
      <c r="O137">
        <v>15.84</v>
      </c>
      <c r="Q137">
        <v>15.86</v>
      </c>
      <c r="R137">
        <v>15.855</v>
      </c>
      <c r="S137">
        <v>15.815</v>
      </c>
      <c r="U137">
        <v>15.765000000000001</v>
      </c>
      <c r="V137">
        <v>15.64</v>
      </c>
      <c r="W137">
        <v>15.654999999999999</v>
      </c>
      <c r="X137">
        <v>14.955</v>
      </c>
      <c r="Y137">
        <v>15.58</v>
      </c>
      <c r="Z137">
        <v>15.54</v>
      </c>
      <c r="AA137">
        <v>15.43</v>
      </c>
      <c r="AB137">
        <v>15.43</v>
      </c>
      <c r="AC137">
        <v>15.32</v>
      </c>
      <c r="AD137">
        <v>15.28</v>
      </c>
      <c r="AH137">
        <v>15.21</v>
      </c>
      <c r="AI137">
        <v>15.04</v>
      </c>
      <c r="AJ137">
        <v>14.91</v>
      </c>
      <c r="AK137">
        <v>14.81</v>
      </c>
      <c r="AL137">
        <v>14.67</v>
      </c>
      <c r="AM137">
        <v>14.47</v>
      </c>
      <c r="AN137">
        <v>14.52</v>
      </c>
    </row>
    <row r="138" spans="1:42" x14ac:dyDescent="0.35">
      <c r="A138" s="2">
        <v>45645</v>
      </c>
      <c r="B138">
        <v>14.44</v>
      </c>
      <c r="C138">
        <v>14.61</v>
      </c>
      <c r="D138">
        <v>14.765000000000001</v>
      </c>
      <c r="E138">
        <v>14.9</v>
      </c>
      <c r="F138">
        <v>15.095000000000001</v>
      </c>
      <c r="I138">
        <v>15.24</v>
      </c>
      <c r="L138">
        <v>15.404999999999999</v>
      </c>
      <c r="O138">
        <v>15.414999999999999</v>
      </c>
      <c r="Q138">
        <v>15.4</v>
      </c>
      <c r="R138">
        <v>15.36</v>
      </c>
      <c r="S138">
        <v>15.04</v>
      </c>
      <c r="U138">
        <v>15.29</v>
      </c>
      <c r="V138">
        <v>15.09</v>
      </c>
      <c r="W138">
        <v>15.23</v>
      </c>
      <c r="X138">
        <v>15.135</v>
      </c>
      <c r="Y138">
        <v>15.095000000000001</v>
      </c>
      <c r="Z138">
        <v>15.05</v>
      </c>
      <c r="AA138">
        <v>15.01</v>
      </c>
      <c r="AB138">
        <v>14.955</v>
      </c>
      <c r="AC138">
        <v>14.99</v>
      </c>
      <c r="AD138">
        <v>14.88</v>
      </c>
      <c r="AH138">
        <v>14.73</v>
      </c>
      <c r="AI138">
        <v>14.56</v>
      </c>
      <c r="AJ138">
        <v>14.46</v>
      </c>
      <c r="AK138">
        <v>14.34</v>
      </c>
      <c r="AL138">
        <v>14.27</v>
      </c>
      <c r="AM138">
        <v>14.24</v>
      </c>
      <c r="AN138">
        <v>14.1</v>
      </c>
      <c r="AP138">
        <v>14.9</v>
      </c>
    </row>
    <row r="139" spans="1:42" x14ac:dyDescent="0.35">
      <c r="A139" s="2">
        <v>45646</v>
      </c>
      <c r="B139">
        <v>14.38</v>
      </c>
      <c r="C139">
        <v>14.615</v>
      </c>
      <c r="D139">
        <v>14.664999999999999</v>
      </c>
      <c r="E139">
        <v>14.82</v>
      </c>
      <c r="F139">
        <v>14.945</v>
      </c>
      <c r="I139">
        <v>15.09</v>
      </c>
      <c r="L139">
        <v>15.16</v>
      </c>
      <c r="O139">
        <v>14.935</v>
      </c>
      <c r="Q139">
        <v>15.09</v>
      </c>
      <c r="R139">
        <v>15.025</v>
      </c>
      <c r="S139">
        <v>14.98</v>
      </c>
      <c r="U139">
        <v>14.925000000000001</v>
      </c>
      <c r="V139">
        <v>14.875</v>
      </c>
      <c r="W139">
        <v>14.81</v>
      </c>
      <c r="X139">
        <v>14.664999999999999</v>
      </c>
      <c r="Y139">
        <v>14.7</v>
      </c>
      <c r="Z139">
        <v>14.664999999999999</v>
      </c>
      <c r="AA139">
        <v>14.6</v>
      </c>
      <c r="AB139">
        <v>14.55</v>
      </c>
      <c r="AC139">
        <v>14.51</v>
      </c>
      <c r="AD139">
        <v>14.49</v>
      </c>
      <c r="AH139">
        <v>14.34</v>
      </c>
      <c r="AI139">
        <v>14.21</v>
      </c>
      <c r="AJ139">
        <v>14.13</v>
      </c>
      <c r="AK139">
        <v>13.96</v>
      </c>
      <c r="AL139">
        <v>13.92</v>
      </c>
      <c r="AM139">
        <v>13.82</v>
      </c>
      <c r="AN139">
        <v>13.75</v>
      </c>
    </row>
    <row r="140" spans="1:42" x14ac:dyDescent="0.35">
      <c r="A140" s="2">
        <v>45647</v>
      </c>
    </row>
    <row r="141" spans="1:42" x14ac:dyDescent="0.35">
      <c r="A141" s="2">
        <v>45648</v>
      </c>
    </row>
    <row r="142" spans="1:42" x14ac:dyDescent="0.35">
      <c r="A142" s="2">
        <v>45649</v>
      </c>
      <c r="B142">
        <v>14.585000000000001</v>
      </c>
      <c r="C142">
        <v>14.81</v>
      </c>
      <c r="D142">
        <v>14.94</v>
      </c>
      <c r="E142">
        <v>15.04</v>
      </c>
      <c r="F142">
        <v>15.2</v>
      </c>
      <c r="I142">
        <v>15.41</v>
      </c>
      <c r="L142">
        <v>15.484999999999999</v>
      </c>
      <c r="O142">
        <v>15.43</v>
      </c>
      <c r="Q142">
        <v>15.44</v>
      </c>
      <c r="R142">
        <v>15.37</v>
      </c>
      <c r="S142">
        <v>15.195</v>
      </c>
      <c r="U142">
        <v>15.29</v>
      </c>
      <c r="V142">
        <v>15.205</v>
      </c>
      <c r="W142">
        <v>15.164999999999999</v>
      </c>
      <c r="X142">
        <v>15.13</v>
      </c>
      <c r="Y142">
        <v>15.055</v>
      </c>
      <c r="Z142">
        <v>15.02</v>
      </c>
      <c r="AA142">
        <v>14.975</v>
      </c>
      <c r="AB142">
        <v>14.9</v>
      </c>
      <c r="AC142">
        <v>14.865</v>
      </c>
      <c r="AD142">
        <v>14.84</v>
      </c>
      <c r="AH142">
        <v>14.68</v>
      </c>
      <c r="AI142">
        <v>14.5</v>
      </c>
      <c r="AJ142">
        <v>14.43</v>
      </c>
      <c r="AK142">
        <v>14.3</v>
      </c>
      <c r="AL142">
        <v>14.21</v>
      </c>
      <c r="AM142">
        <v>13</v>
      </c>
      <c r="AN142">
        <v>14.04</v>
      </c>
      <c r="AO142">
        <v>13.98</v>
      </c>
      <c r="AP142">
        <v>13.94</v>
      </c>
    </row>
    <row r="143" spans="1:42" x14ac:dyDescent="0.35">
      <c r="A143" s="2">
        <v>45650</v>
      </c>
    </row>
    <row r="144" spans="1:42" x14ac:dyDescent="0.35">
      <c r="A144" s="2">
        <v>45651</v>
      </c>
    </row>
    <row r="145" spans="1:42" x14ac:dyDescent="0.35">
      <c r="A145" s="2">
        <v>45652</v>
      </c>
      <c r="B145">
        <v>14.68</v>
      </c>
      <c r="C145">
        <v>14.965</v>
      </c>
      <c r="D145">
        <v>15.125</v>
      </c>
      <c r="E145">
        <v>15.25</v>
      </c>
      <c r="F145">
        <v>15.41</v>
      </c>
      <c r="I145">
        <v>15.66</v>
      </c>
      <c r="L145">
        <v>15.74</v>
      </c>
      <c r="O145">
        <v>15.72</v>
      </c>
      <c r="Q145">
        <v>15.7</v>
      </c>
      <c r="R145">
        <v>15.67</v>
      </c>
      <c r="S145">
        <v>15.46</v>
      </c>
      <c r="U145">
        <v>15.605</v>
      </c>
      <c r="V145">
        <v>15.465</v>
      </c>
      <c r="W145">
        <v>15.54</v>
      </c>
      <c r="X145">
        <v>15.47</v>
      </c>
      <c r="Y145">
        <v>15.42</v>
      </c>
      <c r="Z145">
        <v>15.38</v>
      </c>
      <c r="AA145">
        <v>15.37</v>
      </c>
      <c r="AB145">
        <v>15.315</v>
      </c>
      <c r="AC145">
        <v>15.215</v>
      </c>
      <c r="AD145">
        <v>15.1</v>
      </c>
      <c r="AH145">
        <v>15.09</v>
      </c>
      <c r="AI145">
        <v>14.8</v>
      </c>
      <c r="AJ145">
        <v>14.84</v>
      </c>
      <c r="AK145">
        <v>14.69</v>
      </c>
      <c r="AL145">
        <v>14.62</v>
      </c>
      <c r="AM145">
        <v>14.56</v>
      </c>
      <c r="AN145">
        <v>14.43</v>
      </c>
      <c r="AO145">
        <v>14.31</v>
      </c>
      <c r="AP145">
        <v>14.36</v>
      </c>
    </row>
    <row r="146" spans="1:42" x14ac:dyDescent="0.35">
      <c r="A146" s="2">
        <v>45653</v>
      </c>
      <c r="B146">
        <v>14.73</v>
      </c>
      <c r="C146">
        <v>14.98</v>
      </c>
      <c r="D146">
        <v>15.125</v>
      </c>
      <c r="E146">
        <v>15.255000000000001</v>
      </c>
      <c r="F146">
        <v>15.425000000000001</v>
      </c>
      <c r="I146">
        <v>15.734999999999999</v>
      </c>
      <c r="L146">
        <v>15.765000000000001</v>
      </c>
      <c r="O146">
        <v>15.835000000000001</v>
      </c>
      <c r="Q146">
        <v>15.85</v>
      </c>
      <c r="R146">
        <v>15.805</v>
      </c>
      <c r="S146">
        <v>15.785</v>
      </c>
      <c r="U146">
        <v>15.76</v>
      </c>
      <c r="V146">
        <v>15.74</v>
      </c>
      <c r="W146">
        <v>15.705</v>
      </c>
      <c r="X146">
        <v>15.685</v>
      </c>
      <c r="Y146">
        <v>15.64</v>
      </c>
      <c r="Z146">
        <v>15.625</v>
      </c>
      <c r="AA146">
        <v>15.56</v>
      </c>
      <c r="AB146">
        <v>15.53</v>
      </c>
      <c r="AC146">
        <v>15.475</v>
      </c>
      <c r="AD146">
        <v>15.4</v>
      </c>
      <c r="AH146">
        <v>15.35</v>
      </c>
      <c r="AI146">
        <v>15.16</v>
      </c>
      <c r="AJ146">
        <v>15.04</v>
      </c>
      <c r="AK146">
        <v>14.89</v>
      </c>
      <c r="AL146">
        <v>14.84</v>
      </c>
      <c r="AM146">
        <v>14.74</v>
      </c>
      <c r="AN146">
        <v>14.65</v>
      </c>
      <c r="AO146">
        <v>14.55</v>
      </c>
      <c r="AP146">
        <v>14.39</v>
      </c>
    </row>
    <row r="147" spans="1:42" x14ac:dyDescent="0.35">
      <c r="A147" s="2">
        <v>45654</v>
      </c>
    </row>
    <row r="148" spans="1:42" x14ac:dyDescent="0.35">
      <c r="A148" s="2">
        <v>45655</v>
      </c>
    </row>
    <row r="149" spans="1:42" x14ac:dyDescent="0.35">
      <c r="A149" s="2">
        <v>45656</v>
      </c>
      <c r="B149">
        <v>14.64</v>
      </c>
      <c r="C149">
        <v>14.89</v>
      </c>
      <c r="D149">
        <v>15.035</v>
      </c>
      <c r="E149">
        <v>15.19</v>
      </c>
      <c r="F149">
        <v>15.37</v>
      </c>
      <c r="I149">
        <v>15.68</v>
      </c>
      <c r="L149">
        <v>15.835000000000001</v>
      </c>
      <c r="O149">
        <v>15.865</v>
      </c>
      <c r="Q149">
        <v>15.89</v>
      </c>
      <c r="R149">
        <v>15.88</v>
      </c>
      <c r="S149">
        <v>15.845000000000001</v>
      </c>
      <c r="U149">
        <v>15.84</v>
      </c>
      <c r="V149">
        <v>15.824999999999999</v>
      </c>
      <c r="W149">
        <v>15.77</v>
      </c>
      <c r="X149">
        <v>15.755000000000001</v>
      </c>
      <c r="Y149">
        <v>15.725</v>
      </c>
      <c r="Z149">
        <v>15.695</v>
      </c>
      <c r="AA149">
        <v>15.625</v>
      </c>
      <c r="AB149">
        <v>15.595000000000001</v>
      </c>
      <c r="AC149">
        <v>15.55</v>
      </c>
      <c r="AD149">
        <v>15.25</v>
      </c>
      <c r="AH149">
        <v>15.4</v>
      </c>
      <c r="AI149">
        <v>15.24</v>
      </c>
      <c r="AJ149">
        <v>15.12</v>
      </c>
      <c r="AK149">
        <v>14.99</v>
      </c>
      <c r="AL149">
        <v>14.93</v>
      </c>
      <c r="AM149">
        <v>14.85</v>
      </c>
      <c r="AN149">
        <v>13.9</v>
      </c>
      <c r="AO149">
        <v>14.65</v>
      </c>
      <c r="AP149">
        <v>14.59</v>
      </c>
    </row>
    <row r="150" spans="1:42" x14ac:dyDescent="0.35">
      <c r="A150" s="2">
        <v>45657</v>
      </c>
    </row>
    <row r="151" spans="1:42" x14ac:dyDescent="0.35">
      <c r="A151" s="2">
        <v>45658</v>
      </c>
    </row>
    <row r="152" spans="1:42" x14ac:dyDescent="0.35">
      <c r="A152" s="2">
        <v>45659</v>
      </c>
      <c r="B152">
        <v>14.49</v>
      </c>
      <c r="C152">
        <v>14.71</v>
      </c>
      <c r="D152">
        <v>14.84</v>
      </c>
      <c r="E152">
        <v>14.98</v>
      </c>
      <c r="F152">
        <v>15.14</v>
      </c>
      <c r="I152">
        <v>15.445</v>
      </c>
      <c r="L152">
        <v>15.59</v>
      </c>
      <c r="O152">
        <v>15.44</v>
      </c>
      <c r="Q152">
        <v>15.605</v>
      </c>
      <c r="R152">
        <v>15.585000000000001</v>
      </c>
      <c r="S152">
        <v>15.574999999999999</v>
      </c>
      <c r="U152">
        <v>15.555</v>
      </c>
      <c r="V152">
        <v>15.53</v>
      </c>
      <c r="W152">
        <v>15.484999999999999</v>
      </c>
      <c r="X152">
        <v>15.445</v>
      </c>
      <c r="Y152">
        <v>15.41</v>
      </c>
      <c r="Z152">
        <v>15.375</v>
      </c>
      <c r="AA152">
        <v>15.305</v>
      </c>
      <c r="AB152">
        <v>15.26</v>
      </c>
      <c r="AC152">
        <v>15.225</v>
      </c>
      <c r="AD152">
        <v>15.22</v>
      </c>
      <c r="AF152">
        <v>15.11</v>
      </c>
      <c r="AH152">
        <v>15.03</v>
      </c>
      <c r="AI152">
        <v>14.89</v>
      </c>
      <c r="AJ152">
        <v>14.79</v>
      </c>
      <c r="AK152">
        <v>14.61</v>
      </c>
      <c r="AL152">
        <v>14.55</v>
      </c>
      <c r="AN152">
        <v>14.3</v>
      </c>
      <c r="AO152">
        <v>14.4</v>
      </c>
      <c r="AP152">
        <v>14.65</v>
      </c>
    </row>
    <row r="153" spans="1:42" x14ac:dyDescent="0.35">
      <c r="A153" s="2">
        <v>45660</v>
      </c>
      <c r="B153">
        <v>14.46</v>
      </c>
      <c r="C153">
        <v>14.67</v>
      </c>
      <c r="D153">
        <v>14.795</v>
      </c>
      <c r="E153">
        <v>14.914999999999999</v>
      </c>
      <c r="F153">
        <v>15.06</v>
      </c>
      <c r="I153">
        <v>15.324999999999999</v>
      </c>
      <c r="L153">
        <v>15.455</v>
      </c>
      <c r="O153">
        <v>15.475</v>
      </c>
      <c r="Q153">
        <v>15.49</v>
      </c>
      <c r="R153">
        <v>15.48</v>
      </c>
      <c r="S153">
        <v>15.484999999999999</v>
      </c>
      <c r="U153">
        <v>15.465</v>
      </c>
      <c r="V153">
        <v>15.435</v>
      </c>
      <c r="W153">
        <v>15.38</v>
      </c>
      <c r="X153">
        <v>15.375</v>
      </c>
      <c r="Y153">
        <v>15.33</v>
      </c>
      <c r="Z153">
        <v>15.31</v>
      </c>
      <c r="AA153">
        <v>15.244999999999999</v>
      </c>
      <c r="AB153">
        <v>15.21</v>
      </c>
      <c r="AC153">
        <v>15.17</v>
      </c>
      <c r="AD153">
        <v>15.17</v>
      </c>
      <c r="AF153">
        <v>15.08</v>
      </c>
      <c r="AH153">
        <v>15.03</v>
      </c>
      <c r="AI153">
        <v>14.87</v>
      </c>
      <c r="AJ153">
        <v>14.77</v>
      </c>
      <c r="AK153">
        <v>14.63</v>
      </c>
      <c r="AL153">
        <v>14.56</v>
      </c>
      <c r="AN153">
        <v>13.9</v>
      </c>
    </row>
    <row r="154" spans="1:42" x14ac:dyDescent="0.35">
      <c r="A154" s="2">
        <v>45661</v>
      </c>
    </row>
    <row r="155" spans="1:42" x14ac:dyDescent="0.35">
      <c r="A155" s="2">
        <v>45662</v>
      </c>
    </row>
    <row r="156" spans="1:42" x14ac:dyDescent="0.35">
      <c r="A156" s="2">
        <v>45663</v>
      </c>
      <c r="B156">
        <v>14.175000000000001</v>
      </c>
      <c r="C156">
        <v>13.935</v>
      </c>
      <c r="D156">
        <v>14.275</v>
      </c>
      <c r="E156">
        <v>14.61</v>
      </c>
      <c r="F156">
        <v>14.97</v>
      </c>
      <c r="I156">
        <v>15.234999999999999</v>
      </c>
      <c r="L156">
        <v>15.34</v>
      </c>
      <c r="O156">
        <v>15.34</v>
      </c>
      <c r="Q156">
        <v>15.335000000000001</v>
      </c>
      <c r="R156">
        <v>15.295</v>
      </c>
      <c r="S156">
        <v>15.265000000000001</v>
      </c>
      <c r="U156">
        <v>15.25</v>
      </c>
      <c r="V156">
        <v>15.205</v>
      </c>
      <c r="W156">
        <v>15.15</v>
      </c>
      <c r="X156">
        <v>15.125</v>
      </c>
      <c r="Y156">
        <v>15.08</v>
      </c>
      <c r="Z156">
        <v>15.05</v>
      </c>
      <c r="AA156">
        <v>14.97</v>
      </c>
      <c r="AB156">
        <v>14.945</v>
      </c>
      <c r="AC156">
        <v>14.9</v>
      </c>
      <c r="AD156">
        <v>14.89</v>
      </c>
      <c r="AF156">
        <v>14.81</v>
      </c>
      <c r="AH156">
        <v>14.73</v>
      </c>
      <c r="AI156">
        <v>14.58</v>
      </c>
      <c r="AJ156">
        <v>14.49</v>
      </c>
      <c r="AK156">
        <v>14.32</v>
      </c>
      <c r="AL156">
        <v>14.26</v>
      </c>
      <c r="AN156">
        <v>13.9</v>
      </c>
    </row>
    <row r="157" spans="1:42" x14ac:dyDescent="0.35">
      <c r="A157" s="2">
        <v>45664</v>
      </c>
      <c r="B157">
        <v>14.414999999999999</v>
      </c>
      <c r="C157">
        <v>14.61</v>
      </c>
      <c r="D157">
        <v>14.744999999999999</v>
      </c>
      <c r="E157">
        <v>14.835000000000001</v>
      </c>
      <c r="F157">
        <v>14.98</v>
      </c>
      <c r="I157">
        <v>15.24</v>
      </c>
      <c r="L157">
        <v>15.37</v>
      </c>
      <c r="O157">
        <v>15.38</v>
      </c>
      <c r="Q157">
        <v>15.38</v>
      </c>
      <c r="R157">
        <v>15.35</v>
      </c>
      <c r="S157">
        <v>15.355</v>
      </c>
      <c r="U157">
        <v>15.335000000000001</v>
      </c>
      <c r="V157">
        <v>15.28</v>
      </c>
      <c r="W157">
        <v>15.27</v>
      </c>
      <c r="X157">
        <v>15.234999999999999</v>
      </c>
      <c r="Y157">
        <v>15.22</v>
      </c>
      <c r="Z157">
        <v>15.18</v>
      </c>
      <c r="AA157">
        <v>15.12</v>
      </c>
      <c r="AB157">
        <v>15.095000000000001</v>
      </c>
      <c r="AC157">
        <v>15.06</v>
      </c>
      <c r="AD157">
        <v>15.045</v>
      </c>
      <c r="AF157">
        <v>14.96</v>
      </c>
      <c r="AH157">
        <v>14.91</v>
      </c>
      <c r="AI157">
        <v>14.76</v>
      </c>
      <c r="AJ157">
        <v>14.68</v>
      </c>
      <c r="AK157">
        <v>14.51</v>
      </c>
      <c r="AL157">
        <v>14.46</v>
      </c>
      <c r="AN157">
        <v>13.9</v>
      </c>
    </row>
    <row r="158" spans="1:42" x14ac:dyDescent="0.35">
      <c r="A158" s="2">
        <v>45665</v>
      </c>
      <c r="B158">
        <v>14.385</v>
      </c>
      <c r="C158">
        <v>14.56</v>
      </c>
      <c r="D158">
        <v>14.66</v>
      </c>
      <c r="E158">
        <v>14.795</v>
      </c>
      <c r="F158">
        <v>14.97</v>
      </c>
      <c r="I158">
        <v>15.21</v>
      </c>
      <c r="L158">
        <v>15.33</v>
      </c>
      <c r="Q158">
        <v>15.355</v>
      </c>
      <c r="V158">
        <v>15.305</v>
      </c>
      <c r="W158">
        <v>15.29</v>
      </c>
      <c r="X158">
        <v>15.26</v>
      </c>
      <c r="Z158">
        <v>15.225</v>
      </c>
      <c r="AA158">
        <v>15.185</v>
      </c>
      <c r="AB158">
        <v>15.145</v>
      </c>
      <c r="AC158">
        <v>15.13</v>
      </c>
      <c r="AD158">
        <v>14.95</v>
      </c>
      <c r="AF158">
        <v>15.06</v>
      </c>
      <c r="AN158">
        <v>14.2</v>
      </c>
      <c r="AP158">
        <v>14.3</v>
      </c>
    </row>
    <row r="159" spans="1:42" x14ac:dyDescent="0.35">
      <c r="A159" s="2">
        <v>45666</v>
      </c>
      <c r="B159">
        <v>14.41</v>
      </c>
      <c r="C159">
        <v>14.59</v>
      </c>
      <c r="D159">
        <v>14.715</v>
      </c>
      <c r="E159">
        <v>14.815</v>
      </c>
      <c r="F159">
        <v>14.96</v>
      </c>
      <c r="I159">
        <v>15.19</v>
      </c>
      <c r="L159">
        <v>15.315</v>
      </c>
      <c r="O159">
        <v>15.3</v>
      </c>
      <c r="Q159">
        <v>15.315</v>
      </c>
      <c r="R159">
        <v>15.2</v>
      </c>
      <c r="S159">
        <v>15.26</v>
      </c>
      <c r="U159">
        <v>15.24</v>
      </c>
      <c r="V159">
        <v>15.24</v>
      </c>
      <c r="W159">
        <v>15.205</v>
      </c>
      <c r="X159">
        <v>15.18</v>
      </c>
      <c r="Y159">
        <v>15.164999999999999</v>
      </c>
      <c r="Z159">
        <v>15.12</v>
      </c>
      <c r="AA159">
        <v>15.074999999999999</v>
      </c>
      <c r="AB159">
        <v>15.065</v>
      </c>
      <c r="AC159">
        <v>15.04</v>
      </c>
      <c r="AD159">
        <v>14.9</v>
      </c>
      <c r="AF159">
        <v>15</v>
      </c>
      <c r="AH159">
        <v>14.95</v>
      </c>
      <c r="AI159">
        <v>14.85</v>
      </c>
      <c r="AJ159">
        <v>14.78</v>
      </c>
      <c r="AK159">
        <v>14.63</v>
      </c>
      <c r="AL159">
        <v>14.59</v>
      </c>
      <c r="AM159">
        <v>14.49</v>
      </c>
      <c r="AN159">
        <v>14.2</v>
      </c>
    </row>
    <row r="160" spans="1:42" x14ac:dyDescent="0.35">
      <c r="A160" s="2">
        <v>45667</v>
      </c>
      <c r="B160">
        <v>14.505000000000001</v>
      </c>
      <c r="C160">
        <v>14.7</v>
      </c>
      <c r="D160">
        <v>14.84</v>
      </c>
      <c r="E160">
        <v>14.95</v>
      </c>
      <c r="F160">
        <v>15.09</v>
      </c>
      <c r="I160">
        <v>15.33</v>
      </c>
      <c r="L160">
        <v>15.445</v>
      </c>
      <c r="O160">
        <v>15.404999999999999</v>
      </c>
      <c r="Q160">
        <v>15.435</v>
      </c>
      <c r="R160">
        <v>15.435</v>
      </c>
      <c r="S160">
        <v>15.42</v>
      </c>
      <c r="U160">
        <v>15.45</v>
      </c>
      <c r="V160">
        <v>15.425000000000001</v>
      </c>
      <c r="W160">
        <v>15.435</v>
      </c>
      <c r="X160">
        <v>15.45</v>
      </c>
      <c r="Y160">
        <v>15.41</v>
      </c>
      <c r="Z160">
        <v>15.4</v>
      </c>
      <c r="AA160">
        <v>15.365</v>
      </c>
      <c r="AB160">
        <v>15.335000000000001</v>
      </c>
      <c r="AC160">
        <v>15.315</v>
      </c>
      <c r="AD160">
        <v>15.1</v>
      </c>
      <c r="AF160">
        <v>15.21</v>
      </c>
      <c r="AH160">
        <v>15.23</v>
      </c>
      <c r="AI160">
        <v>15.14</v>
      </c>
      <c r="AJ160">
        <v>15.05</v>
      </c>
      <c r="AK160">
        <v>14.9</v>
      </c>
      <c r="AL160">
        <v>14.87</v>
      </c>
      <c r="AM160">
        <v>14.2</v>
      </c>
      <c r="AN160">
        <v>14.2</v>
      </c>
    </row>
    <row r="161" spans="1:41" x14ac:dyDescent="0.35">
      <c r="A161" s="2">
        <v>45668</v>
      </c>
    </row>
    <row r="162" spans="1:41" x14ac:dyDescent="0.35">
      <c r="A162" s="2">
        <v>45669</v>
      </c>
    </row>
    <row r="163" spans="1:41" x14ac:dyDescent="0.35">
      <c r="A163" s="2">
        <v>45670</v>
      </c>
      <c r="B163">
        <v>14.39</v>
      </c>
      <c r="C163">
        <v>14.58</v>
      </c>
      <c r="D163">
        <v>14.715</v>
      </c>
      <c r="E163">
        <v>14.815</v>
      </c>
      <c r="F163">
        <v>14.95</v>
      </c>
      <c r="I163">
        <v>15.175000000000001</v>
      </c>
      <c r="L163">
        <v>15.205</v>
      </c>
      <c r="O163">
        <v>15.28</v>
      </c>
      <c r="Q163">
        <v>15.28</v>
      </c>
      <c r="R163">
        <v>15.275</v>
      </c>
      <c r="S163">
        <v>15.27</v>
      </c>
      <c r="U163">
        <v>15.31</v>
      </c>
      <c r="V163">
        <v>15.25</v>
      </c>
      <c r="W163">
        <v>15.305</v>
      </c>
      <c r="X163">
        <v>15.275</v>
      </c>
      <c r="Y163">
        <v>15.315</v>
      </c>
      <c r="Z163">
        <v>15.324999999999999</v>
      </c>
      <c r="AA163">
        <v>15.295</v>
      </c>
      <c r="AB163">
        <v>15.24</v>
      </c>
      <c r="AC163">
        <v>15.29</v>
      </c>
      <c r="AD163">
        <v>15.11</v>
      </c>
      <c r="AF163">
        <v>15.25</v>
      </c>
      <c r="AH163">
        <v>15.24</v>
      </c>
      <c r="AI163">
        <v>15.17</v>
      </c>
      <c r="AJ163">
        <v>15.08</v>
      </c>
      <c r="AK163">
        <v>14.94</v>
      </c>
      <c r="AL163">
        <v>14.91</v>
      </c>
      <c r="AN163">
        <v>14.71</v>
      </c>
    </row>
    <row r="164" spans="1:41" x14ac:dyDescent="0.35">
      <c r="A164" s="2">
        <v>45671</v>
      </c>
      <c r="B164">
        <v>14.36</v>
      </c>
      <c r="C164">
        <v>14.54</v>
      </c>
      <c r="D164">
        <v>14.645</v>
      </c>
      <c r="E164">
        <v>14.74</v>
      </c>
      <c r="F164">
        <v>14.86</v>
      </c>
      <c r="I164">
        <v>15.065</v>
      </c>
      <c r="L164">
        <v>15.15</v>
      </c>
      <c r="O164">
        <v>15.09</v>
      </c>
      <c r="Q164">
        <v>15.14</v>
      </c>
      <c r="R164">
        <v>15.115</v>
      </c>
      <c r="S164">
        <v>15.09</v>
      </c>
      <c r="U164">
        <v>15.1</v>
      </c>
      <c r="V164">
        <v>15.1</v>
      </c>
      <c r="W164">
        <v>15.09</v>
      </c>
      <c r="X164">
        <v>15.08</v>
      </c>
      <c r="Y164">
        <v>15.085000000000001</v>
      </c>
      <c r="Z164">
        <v>15.055</v>
      </c>
      <c r="AA164">
        <v>15.03</v>
      </c>
      <c r="AB164">
        <v>15.02</v>
      </c>
      <c r="AC164">
        <v>15.005000000000001</v>
      </c>
      <c r="AD164">
        <v>15.01</v>
      </c>
      <c r="AF164">
        <v>14.92</v>
      </c>
      <c r="AH164">
        <v>14.95</v>
      </c>
      <c r="AI164">
        <v>14.88</v>
      </c>
      <c r="AJ164">
        <v>14.8</v>
      </c>
      <c r="AK164">
        <v>14.67</v>
      </c>
      <c r="AL164">
        <v>14.62</v>
      </c>
      <c r="AN164">
        <v>14.43</v>
      </c>
    </row>
    <row r="165" spans="1:41" x14ac:dyDescent="0.35">
      <c r="A165" s="2">
        <v>45672</v>
      </c>
      <c r="B165">
        <v>14.34</v>
      </c>
      <c r="C165">
        <v>14.5</v>
      </c>
      <c r="D165">
        <v>14.615</v>
      </c>
      <c r="E165">
        <v>14.705</v>
      </c>
      <c r="F165">
        <v>14.815</v>
      </c>
      <c r="I165">
        <v>14.994999999999999</v>
      </c>
      <c r="L165">
        <v>15.06</v>
      </c>
      <c r="O165">
        <v>15.02</v>
      </c>
      <c r="Q165">
        <v>14.99</v>
      </c>
      <c r="R165">
        <v>14.96</v>
      </c>
      <c r="S165">
        <v>14.94</v>
      </c>
      <c r="U165">
        <v>14.91</v>
      </c>
      <c r="V165">
        <v>14.895</v>
      </c>
      <c r="W165">
        <v>14.86</v>
      </c>
      <c r="X165">
        <v>14.86</v>
      </c>
      <c r="Y165">
        <v>14.845000000000001</v>
      </c>
      <c r="Z165">
        <v>14.81</v>
      </c>
      <c r="AA165">
        <v>14.775</v>
      </c>
      <c r="AB165">
        <v>14.765000000000001</v>
      </c>
      <c r="AC165">
        <v>14.765000000000001</v>
      </c>
      <c r="AD165">
        <v>14.74</v>
      </c>
      <c r="AF165">
        <v>14.73</v>
      </c>
      <c r="AH165">
        <v>14.72</v>
      </c>
      <c r="AI165">
        <v>14.67</v>
      </c>
      <c r="AJ165">
        <v>14.59</v>
      </c>
      <c r="AK165">
        <v>14.47</v>
      </c>
      <c r="AL165">
        <v>14.43</v>
      </c>
      <c r="AM165">
        <v>14.33</v>
      </c>
      <c r="AN165">
        <v>14.25</v>
      </c>
    </row>
    <row r="166" spans="1:41" x14ac:dyDescent="0.35">
      <c r="A166" s="2">
        <v>45673</v>
      </c>
      <c r="B166">
        <v>14.385</v>
      </c>
      <c r="C166">
        <v>14.555</v>
      </c>
      <c r="D166">
        <v>14.67</v>
      </c>
      <c r="E166">
        <v>14.775</v>
      </c>
      <c r="F166">
        <v>14.9</v>
      </c>
      <c r="I166">
        <v>15.085000000000001</v>
      </c>
      <c r="L166">
        <v>15.135</v>
      </c>
      <c r="O166">
        <v>14.99</v>
      </c>
      <c r="Q166">
        <v>15.13</v>
      </c>
      <c r="R166">
        <v>15.12</v>
      </c>
      <c r="S166">
        <v>15.09</v>
      </c>
      <c r="U166">
        <v>15.085000000000001</v>
      </c>
      <c r="V166">
        <v>15.07</v>
      </c>
      <c r="W166">
        <v>15.045</v>
      </c>
      <c r="X166">
        <v>15.045</v>
      </c>
      <c r="Y166">
        <v>15.025</v>
      </c>
      <c r="Z166">
        <v>15.005000000000001</v>
      </c>
      <c r="AA166">
        <v>14.975</v>
      </c>
      <c r="AB166">
        <v>14.975</v>
      </c>
      <c r="AC166">
        <v>14.97</v>
      </c>
      <c r="AD166">
        <v>14.98</v>
      </c>
      <c r="AF166">
        <v>14.95</v>
      </c>
      <c r="AH166">
        <v>14.95</v>
      </c>
      <c r="AI166">
        <v>14.92</v>
      </c>
      <c r="AJ166">
        <v>14.84</v>
      </c>
      <c r="AK166">
        <v>14.73</v>
      </c>
      <c r="AL166">
        <v>14.69</v>
      </c>
      <c r="AM166">
        <v>14.51</v>
      </c>
      <c r="AN166">
        <v>14.52</v>
      </c>
    </row>
    <row r="167" spans="1:41" x14ac:dyDescent="0.35">
      <c r="A167" s="2">
        <v>45674</v>
      </c>
      <c r="B167">
        <v>14.435</v>
      </c>
      <c r="C167">
        <v>14.615</v>
      </c>
      <c r="D167">
        <v>14.73</v>
      </c>
      <c r="E167">
        <v>14.824999999999999</v>
      </c>
      <c r="F167">
        <v>14.96</v>
      </c>
      <c r="I167">
        <v>15.17</v>
      </c>
      <c r="L167">
        <v>15.244999999999999</v>
      </c>
      <c r="O167">
        <v>15.244999999999999</v>
      </c>
      <c r="Q167">
        <v>15.244999999999999</v>
      </c>
      <c r="R167">
        <v>15.244999999999999</v>
      </c>
      <c r="S167">
        <v>15.21</v>
      </c>
      <c r="U167">
        <v>15.21</v>
      </c>
      <c r="V167">
        <v>15.21</v>
      </c>
      <c r="W167">
        <v>15.19</v>
      </c>
      <c r="X167">
        <v>15.195</v>
      </c>
      <c r="Y167">
        <v>15.19</v>
      </c>
      <c r="Z167">
        <v>15.18</v>
      </c>
      <c r="AA167">
        <v>15.15</v>
      </c>
      <c r="AB167">
        <v>15.145</v>
      </c>
      <c r="AC167">
        <v>15.16</v>
      </c>
      <c r="AD167">
        <v>15.15</v>
      </c>
      <c r="AF167">
        <v>15.16</v>
      </c>
      <c r="AH167">
        <v>15.16</v>
      </c>
      <c r="AI167">
        <v>15.13</v>
      </c>
      <c r="AJ167">
        <v>15.07</v>
      </c>
      <c r="AK167">
        <v>14.96</v>
      </c>
      <c r="AL167">
        <v>14.98</v>
      </c>
      <c r="AM167">
        <v>14.75</v>
      </c>
      <c r="AN167">
        <v>14.79</v>
      </c>
    </row>
    <row r="168" spans="1:41" x14ac:dyDescent="0.35">
      <c r="A168" s="2">
        <v>45675</v>
      </c>
    </row>
    <row r="169" spans="1:41" x14ac:dyDescent="0.35">
      <c r="A169" s="2">
        <v>45676</v>
      </c>
    </row>
    <row r="170" spans="1:41" x14ac:dyDescent="0.35">
      <c r="A170" s="2">
        <v>45677</v>
      </c>
      <c r="B170">
        <v>14.42</v>
      </c>
      <c r="C170">
        <v>14.58</v>
      </c>
      <c r="D170">
        <v>14.7</v>
      </c>
      <c r="E170">
        <v>14.79</v>
      </c>
      <c r="F170">
        <v>14.914999999999999</v>
      </c>
      <c r="I170">
        <v>15.105</v>
      </c>
      <c r="L170">
        <v>15.175000000000001</v>
      </c>
      <c r="Q170">
        <v>15.13</v>
      </c>
      <c r="S170">
        <v>15.06</v>
      </c>
      <c r="V170">
        <v>15.06</v>
      </c>
      <c r="W170">
        <v>15.04</v>
      </c>
      <c r="Z170">
        <v>15.01</v>
      </c>
      <c r="AA170">
        <v>14.994999999999999</v>
      </c>
      <c r="AB170">
        <v>15</v>
      </c>
      <c r="AC170">
        <v>15</v>
      </c>
      <c r="AD170">
        <v>15.02</v>
      </c>
      <c r="AF170">
        <v>15</v>
      </c>
    </row>
    <row r="171" spans="1:41" x14ac:dyDescent="0.35">
      <c r="A171" s="2">
        <v>45678</v>
      </c>
      <c r="B171">
        <v>14.43</v>
      </c>
      <c r="C171">
        <v>14.595000000000001</v>
      </c>
      <c r="D171">
        <v>14.715</v>
      </c>
      <c r="E171">
        <v>14.805</v>
      </c>
      <c r="F171">
        <v>14.92</v>
      </c>
      <c r="I171">
        <v>15.105</v>
      </c>
      <c r="L171">
        <v>15.18</v>
      </c>
      <c r="O171">
        <v>15.164999999999999</v>
      </c>
      <c r="Q171">
        <v>15.15</v>
      </c>
      <c r="R171">
        <v>15.135</v>
      </c>
      <c r="S171">
        <v>15.105</v>
      </c>
      <c r="U171">
        <v>15.095000000000001</v>
      </c>
      <c r="V171">
        <v>15.085000000000001</v>
      </c>
      <c r="W171">
        <v>15.045</v>
      </c>
      <c r="X171">
        <v>15.045</v>
      </c>
      <c r="Y171">
        <v>15.03</v>
      </c>
      <c r="Z171">
        <v>15.02</v>
      </c>
      <c r="AA171">
        <v>14.994999999999999</v>
      </c>
      <c r="AB171">
        <v>15</v>
      </c>
      <c r="AC171">
        <v>15</v>
      </c>
      <c r="AD171">
        <v>14.9</v>
      </c>
      <c r="AF171">
        <v>15</v>
      </c>
      <c r="AH171">
        <v>15</v>
      </c>
      <c r="AI171">
        <v>14.99</v>
      </c>
      <c r="AJ171">
        <v>14.93</v>
      </c>
      <c r="AK171">
        <v>14.85</v>
      </c>
      <c r="AL171">
        <v>14.85</v>
      </c>
      <c r="AM171">
        <v>14.8</v>
      </c>
      <c r="AN171">
        <v>14.72</v>
      </c>
    </row>
    <row r="172" spans="1:41" x14ac:dyDescent="0.35">
      <c r="A172" s="2">
        <v>45679</v>
      </c>
      <c r="B172">
        <v>14.435</v>
      </c>
      <c r="C172">
        <v>14.59</v>
      </c>
      <c r="D172">
        <v>14.715</v>
      </c>
      <c r="E172">
        <v>14.805</v>
      </c>
      <c r="F172">
        <v>14.92</v>
      </c>
      <c r="I172">
        <v>15.11</v>
      </c>
      <c r="L172">
        <v>15.18</v>
      </c>
      <c r="O172">
        <v>15.17</v>
      </c>
      <c r="Q172">
        <v>15.164999999999999</v>
      </c>
      <c r="R172">
        <v>15.16</v>
      </c>
      <c r="S172">
        <v>15.125</v>
      </c>
      <c r="U172">
        <v>15.09</v>
      </c>
      <c r="V172">
        <v>15.07</v>
      </c>
      <c r="W172">
        <v>15.035</v>
      </c>
      <c r="X172">
        <v>15.025</v>
      </c>
      <c r="Y172">
        <v>15.01</v>
      </c>
      <c r="Z172">
        <v>14.994999999999999</v>
      </c>
      <c r="AA172">
        <v>14.945</v>
      </c>
      <c r="AB172">
        <v>14.91</v>
      </c>
      <c r="AC172">
        <v>14.965</v>
      </c>
      <c r="AD172">
        <v>14.875</v>
      </c>
      <c r="AF172">
        <v>14.91</v>
      </c>
      <c r="AH172">
        <v>14.96</v>
      </c>
      <c r="AI172">
        <v>14.94</v>
      </c>
      <c r="AJ172">
        <v>14.88</v>
      </c>
      <c r="AK172">
        <v>14.78</v>
      </c>
      <c r="AL172">
        <v>14.77</v>
      </c>
      <c r="AM172">
        <v>14.75</v>
      </c>
      <c r="AN172">
        <v>14.64</v>
      </c>
    </row>
    <row r="173" spans="1:41" x14ac:dyDescent="0.35">
      <c r="A173" s="2">
        <v>45680</v>
      </c>
      <c r="B173">
        <v>14.525</v>
      </c>
      <c r="D173">
        <v>14.835000000000001</v>
      </c>
      <c r="E173">
        <v>14.94</v>
      </c>
      <c r="I173">
        <v>15.28</v>
      </c>
      <c r="O173">
        <v>15.36</v>
      </c>
      <c r="R173">
        <v>15.34</v>
      </c>
      <c r="S173">
        <v>15.3</v>
      </c>
      <c r="U173">
        <v>15.295</v>
      </c>
      <c r="W173">
        <v>15.244999999999999</v>
      </c>
      <c r="Y173">
        <v>15.225</v>
      </c>
      <c r="Z173">
        <v>15.205</v>
      </c>
      <c r="AA173">
        <v>15.18</v>
      </c>
      <c r="AB173">
        <v>15.17</v>
      </c>
      <c r="AC173">
        <v>15.175000000000001</v>
      </c>
      <c r="AD173">
        <v>15.175000000000001</v>
      </c>
      <c r="AF173">
        <v>15.15</v>
      </c>
      <c r="AH173">
        <v>15.17</v>
      </c>
      <c r="AI173">
        <v>15.16</v>
      </c>
      <c r="AJ173">
        <v>15.1</v>
      </c>
      <c r="AK173">
        <v>15</v>
      </c>
      <c r="AL173">
        <v>15.01</v>
      </c>
      <c r="AO173">
        <v>14.78</v>
      </c>
    </row>
    <row r="174" spans="1:41" x14ac:dyDescent="0.35">
      <c r="A174" s="2">
        <v>45681</v>
      </c>
      <c r="B174">
        <v>14.574999999999999</v>
      </c>
      <c r="C174">
        <v>14.75</v>
      </c>
      <c r="D174">
        <v>14.89</v>
      </c>
      <c r="E174">
        <v>15.005000000000001</v>
      </c>
      <c r="F174">
        <v>15.135</v>
      </c>
      <c r="I174">
        <v>15.335000000000001</v>
      </c>
      <c r="L174">
        <v>15.395</v>
      </c>
      <c r="O174">
        <v>15.375</v>
      </c>
      <c r="Q174">
        <v>15.365</v>
      </c>
      <c r="R174">
        <v>15.34</v>
      </c>
      <c r="S174">
        <v>15.29</v>
      </c>
      <c r="U174">
        <v>15.26</v>
      </c>
      <c r="V174">
        <v>15.225</v>
      </c>
      <c r="W174">
        <v>15.185</v>
      </c>
      <c r="X174">
        <v>15.175000000000001</v>
      </c>
      <c r="Y174">
        <v>15.154999999999999</v>
      </c>
      <c r="Z174">
        <v>15.135</v>
      </c>
      <c r="AA174">
        <v>15.11</v>
      </c>
      <c r="AB174">
        <v>15.105</v>
      </c>
      <c r="AC174">
        <v>15.095000000000001</v>
      </c>
      <c r="AD174">
        <v>15.12</v>
      </c>
      <c r="AF174">
        <v>15.09</v>
      </c>
      <c r="AH174">
        <v>15.09</v>
      </c>
      <c r="AI174">
        <v>15.07</v>
      </c>
      <c r="AJ174">
        <v>15.02</v>
      </c>
      <c r="AK174">
        <v>14.89</v>
      </c>
      <c r="AL174">
        <v>14.95</v>
      </c>
      <c r="AM174">
        <v>14.85</v>
      </c>
      <c r="AN174">
        <v>14.79</v>
      </c>
      <c r="AO174">
        <v>14.7</v>
      </c>
    </row>
    <row r="175" spans="1:41" x14ac:dyDescent="0.35">
      <c r="A175" s="2">
        <v>45682</v>
      </c>
    </row>
    <row r="176" spans="1:41" x14ac:dyDescent="0.35">
      <c r="A176" s="2">
        <v>45683</v>
      </c>
    </row>
    <row r="177" spans="1:42" x14ac:dyDescent="0.35">
      <c r="A177" s="2">
        <v>45684</v>
      </c>
      <c r="B177">
        <v>14.59</v>
      </c>
      <c r="C177">
        <v>14.77</v>
      </c>
      <c r="D177">
        <v>14.904999999999999</v>
      </c>
      <c r="E177">
        <v>15.01</v>
      </c>
      <c r="F177">
        <v>15.13</v>
      </c>
      <c r="I177">
        <v>15.315</v>
      </c>
      <c r="L177">
        <v>15.375</v>
      </c>
      <c r="O177">
        <v>15.35</v>
      </c>
      <c r="Q177">
        <v>15.335000000000001</v>
      </c>
      <c r="R177">
        <v>15.315</v>
      </c>
      <c r="S177">
        <v>15.265000000000001</v>
      </c>
      <c r="U177">
        <v>15.2</v>
      </c>
      <c r="V177">
        <v>15.16</v>
      </c>
      <c r="W177">
        <v>15.135</v>
      </c>
      <c r="X177">
        <v>15.11</v>
      </c>
      <c r="Y177">
        <v>15.085000000000001</v>
      </c>
      <c r="Z177">
        <v>15.07</v>
      </c>
      <c r="AA177">
        <v>15.04</v>
      </c>
      <c r="AB177">
        <v>15.02</v>
      </c>
      <c r="AC177">
        <v>15.025</v>
      </c>
      <c r="AD177">
        <v>15.025</v>
      </c>
      <c r="AF177">
        <v>15.01</v>
      </c>
      <c r="AH177">
        <v>15.01</v>
      </c>
      <c r="AI177">
        <v>14.98</v>
      </c>
      <c r="AJ177">
        <v>14.92</v>
      </c>
      <c r="AK177">
        <v>14.83</v>
      </c>
      <c r="AL177">
        <v>14.83</v>
      </c>
    </row>
    <row r="178" spans="1:42" x14ac:dyDescent="0.35">
      <c r="A178" s="2">
        <v>45685</v>
      </c>
      <c r="B178">
        <v>14.6</v>
      </c>
      <c r="C178">
        <v>14.78</v>
      </c>
      <c r="D178">
        <v>14.914999999999999</v>
      </c>
      <c r="E178">
        <v>15.015000000000001</v>
      </c>
      <c r="F178">
        <v>15.135</v>
      </c>
      <c r="I178">
        <v>15.32</v>
      </c>
      <c r="L178">
        <v>15.35</v>
      </c>
      <c r="O178">
        <v>15.315</v>
      </c>
      <c r="Q178">
        <v>15.295</v>
      </c>
      <c r="R178">
        <v>15.265000000000001</v>
      </c>
      <c r="S178">
        <v>15.21</v>
      </c>
      <c r="U178">
        <v>15.175000000000001</v>
      </c>
      <c r="V178">
        <v>15.125</v>
      </c>
      <c r="W178">
        <v>15.1</v>
      </c>
      <c r="X178">
        <v>15.09</v>
      </c>
      <c r="Y178">
        <v>15.08</v>
      </c>
      <c r="Z178">
        <v>15.06</v>
      </c>
      <c r="AA178">
        <v>15.03</v>
      </c>
      <c r="AB178">
        <v>15.005000000000001</v>
      </c>
      <c r="AC178">
        <v>15.02</v>
      </c>
      <c r="AD178">
        <v>14.96</v>
      </c>
      <c r="AF178">
        <v>14.98</v>
      </c>
      <c r="AH178">
        <v>15.02</v>
      </c>
      <c r="AI178">
        <v>14.99</v>
      </c>
      <c r="AJ178">
        <v>14.94</v>
      </c>
      <c r="AK178">
        <v>14.82</v>
      </c>
      <c r="AL178">
        <v>14.84</v>
      </c>
      <c r="AO178">
        <v>14.58</v>
      </c>
    </row>
    <row r="179" spans="1:42" x14ac:dyDescent="0.35">
      <c r="A179" s="2">
        <v>45686</v>
      </c>
      <c r="B179">
        <v>14.635</v>
      </c>
      <c r="C179">
        <v>14.815</v>
      </c>
      <c r="D179">
        <v>14.96</v>
      </c>
      <c r="E179">
        <v>15.06</v>
      </c>
      <c r="F179">
        <v>15.18</v>
      </c>
      <c r="I179">
        <v>15.37</v>
      </c>
      <c r="L179">
        <v>15.43</v>
      </c>
      <c r="O179">
        <v>15.404999999999999</v>
      </c>
      <c r="Q179">
        <v>15.37</v>
      </c>
      <c r="R179">
        <v>15.335000000000001</v>
      </c>
      <c r="S179">
        <v>15.28</v>
      </c>
      <c r="U179">
        <v>15.23</v>
      </c>
      <c r="V179">
        <v>15.2</v>
      </c>
      <c r="W179">
        <v>15.17</v>
      </c>
      <c r="X179">
        <v>15.17</v>
      </c>
      <c r="Y179">
        <v>15.135</v>
      </c>
      <c r="Z179">
        <v>15.105</v>
      </c>
      <c r="AA179">
        <v>15.09</v>
      </c>
      <c r="AB179">
        <v>15.074999999999999</v>
      </c>
      <c r="AC179">
        <v>15.074999999999999</v>
      </c>
      <c r="AD179">
        <v>15.06</v>
      </c>
      <c r="AF179">
        <v>15.06</v>
      </c>
      <c r="AH179">
        <v>15.05</v>
      </c>
      <c r="AI179">
        <v>15.02</v>
      </c>
      <c r="AJ179">
        <v>14.97</v>
      </c>
      <c r="AK179">
        <v>14.9</v>
      </c>
      <c r="AL179">
        <v>14.9</v>
      </c>
      <c r="AN179">
        <v>14.7</v>
      </c>
      <c r="AO179">
        <v>14.62</v>
      </c>
    </row>
    <row r="180" spans="1:42" x14ac:dyDescent="0.35">
      <c r="A180" s="2">
        <v>45687</v>
      </c>
      <c r="B180">
        <v>14.43</v>
      </c>
      <c r="C180">
        <v>14.565</v>
      </c>
      <c r="D180">
        <v>14.675000000000001</v>
      </c>
      <c r="E180">
        <v>14.76</v>
      </c>
      <c r="F180">
        <v>14.855</v>
      </c>
      <c r="I180">
        <v>14.99</v>
      </c>
      <c r="L180">
        <v>15.025</v>
      </c>
      <c r="O180">
        <v>14.98</v>
      </c>
      <c r="Q180">
        <v>14.96</v>
      </c>
      <c r="R180">
        <v>14.96</v>
      </c>
      <c r="S180">
        <v>14.925000000000001</v>
      </c>
      <c r="U180">
        <v>14.904999999999999</v>
      </c>
      <c r="V180">
        <v>14.885</v>
      </c>
      <c r="W180">
        <v>14.85</v>
      </c>
      <c r="X180">
        <v>14.855</v>
      </c>
      <c r="Y180">
        <v>14.855</v>
      </c>
      <c r="Z180">
        <v>14.84</v>
      </c>
      <c r="AA180">
        <v>14.824999999999999</v>
      </c>
      <c r="AB180">
        <v>14.84</v>
      </c>
      <c r="AC180">
        <v>14.835000000000001</v>
      </c>
      <c r="AD180">
        <v>14.85</v>
      </c>
      <c r="AF180">
        <v>14.82</v>
      </c>
      <c r="AH180">
        <v>14.85</v>
      </c>
      <c r="AI180">
        <v>14.84</v>
      </c>
      <c r="AJ180">
        <v>14.81</v>
      </c>
      <c r="AK180">
        <v>14.75</v>
      </c>
      <c r="AL180">
        <v>14.76</v>
      </c>
      <c r="AM180">
        <v>14.82</v>
      </c>
      <c r="AN180">
        <v>14.66</v>
      </c>
    </row>
    <row r="181" spans="1:42" x14ac:dyDescent="0.35">
      <c r="A181" s="2">
        <v>45688</v>
      </c>
      <c r="B181">
        <v>14.484999999999999</v>
      </c>
      <c r="C181">
        <v>14.63</v>
      </c>
      <c r="D181">
        <v>14.75</v>
      </c>
      <c r="E181">
        <v>14.83</v>
      </c>
      <c r="F181">
        <v>14.935</v>
      </c>
      <c r="I181">
        <v>15.1</v>
      </c>
      <c r="L181">
        <v>15.115</v>
      </c>
      <c r="O181">
        <v>15.065</v>
      </c>
      <c r="Q181">
        <v>15.025</v>
      </c>
      <c r="R181">
        <v>14.984999999999999</v>
      </c>
      <c r="S181">
        <v>14.93</v>
      </c>
      <c r="U181">
        <v>14.86</v>
      </c>
      <c r="V181">
        <v>14.845000000000001</v>
      </c>
      <c r="W181">
        <v>14.79</v>
      </c>
      <c r="X181">
        <v>14.64</v>
      </c>
      <c r="Y181">
        <v>14.785</v>
      </c>
      <c r="Z181">
        <v>14.77</v>
      </c>
      <c r="AA181">
        <v>14.734999999999999</v>
      </c>
      <c r="AB181">
        <v>14.734999999999999</v>
      </c>
      <c r="AC181">
        <v>14.73</v>
      </c>
      <c r="AD181">
        <v>14.67</v>
      </c>
      <c r="AF181">
        <v>14.72</v>
      </c>
      <c r="AH181">
        <v>14.72</v>
      </c>
      <c r="AI181">
        <v>14.7</v>
      </c>
      <c r="AJ181">
        <v>14.67</v>
      </c>
      <c r="AK181">
        <v>14.55</v>
      </c>
      <c r="AL181">
        <v>14.62</v>
      </c>
      <c r="AM181">
        <v>14.59</v>
      </c>
      <c r="AN181">
        <v>14.48</v>
      </c>
      <c r="AO181">
        <v>14.37</v>
      </c>
    </row>
    <row r="182" spans="1:42" x14ac:dyDescent="0.35">
      <c r="A182" s="2">
        <v>45689</v>
      </c>
    </row>
    <row r="183" spans="1:42" x14ac:dyDescent="0.35">
      <c r="A183" s="2">
        <v>45690</v>
      </c>
    </row>
    <row r="184" spans="1:42" x14ac:dyDescent="0.35">
      <c r="A184" s="2">
        <v>45691</v>
      </c>
      <c r="B184">
        <v>14.47</v>
      </c>
      <c r="C184">
        <v>14.605</v>
      </c>
      <c r="D184">
        <v>14.7</v>
      </c>
      <c r="E184">
        <v>14.775</v>
      </c>
      <c r="F184">
        <v>14.865</v>
      </c>
      <c r="G184">
        <v>14.904999999999999</v>
      </c>
      <c r="I184">
        <v>14.98</v>
      </c>
      <c r="L184">
        <v>14.994999999999999</v>
      </c>
      <c r="O184">
        <v>14.904999999999999</v>
      </c>
      <c r="Q184">
        <v>14.83</v>
      </c>
      <c r="R184">
        <v>14.76</v>
      </c>
      <c r="S184">
        <v>14.685</v>
      </c>
      <c r="U184">
        <v>14.605</v>
      </c>
      <c r="V184">
        <v>14.565</v>
      </c>
      <c r="W184">
        <v>14.505000000000001</v>
      </c>
      <c r="X184">
        <v>14.49</v>
      </c>
      <c r="Y184">
        <v>14.475</v>
      </c>
      <c r="Z184">
        <v>14.445</v>
      </c>
      <c r="AA184">
        <v>14.42</v>
      </c>
      <c r="AB184">
        <v>14.41</v>
      </c>
      <c r="AC184">
        <v>14.4</v>
      </c>
      <c r="AD184">
        <v>14.414999999999999</v>
      </c>
      <c r="AF184">
        <v>14.4</v>
      </c>
      <c r="AH184">
        <v>14.4</v>
      </c>
      <c r="AI184">
        <v>14.38</v>
      </c>
      <c r="AJ184">
        <v>14.35</v>
      </c>
      <c r="AK184">
        <v>14.27</v>
      </c>
      <c r="AL184">
        <v>14.28</v>
      </c>
      <c r="AM184">
        <v>14.3</v>
      </c>
      <c r="AN184">
        <v>14.27</v>
      </c>
    </row>
    <row r="185" spans="1:42" x14ac:dyDescent="0.35">
      <c r="A185" s="2">
        <v>45692</v>
      </c>
      <c r="B185">
        <v>14.505000000000001</v>
      </c>
      <c r="C185">
        <v>14.635</v>
      </c>
      <c r="D185">
        <v>14.734999999999999</v>
      </c>
      <c r="E185">
        <v>14.81</v>
      </c>
      <c r="F185">
        <v>14.914999999999999</v>
      </c>
      <c r="G185">
        <v>14.965</v>
      </c>
      <c r="I185">
        <v>15.055</v>
      </c>
      <c r="L185">
        <v>15.04</v>
      </c>
      <c r="O185">
        <v>14.94</v>
      </c>
      <c r="Q185">
        <v>14.87</v>
      </c>
      <c r="R185">
        <v>14.8</v>
      </c>
      <c r="S185">
        <v>14.71</v>
      </c>
      <c r="U185">
        <v>14.64</v>
      </c>
      <c r="V185">
        <v>14.595000000000001</v>
      </c>
      <c r="W185">
        <v>14.54</v>
      </c>
      <c r="X185">
        <v>14.52</v>
      </c>
      <c r="Y185">
        <v>14.494999999999999</v>
      </c>
      <c r="Z185">
        <v>14.45</v>
      </c>
      <c r="AA185">
        <v>14.43</v>
      </c>
      <c r="AB185">
        <v>14.425000000000001</v>
      </c>
      <c r="AC185">
        <v>14.43</v>
      </c>
      <c r="AD185">
        <v>14.43</v>
      </c>
      <c r="AF185">
        <v>14.36</v>
      </c>
      <c r="AH185">
        <v>14.4</v>
      </c>
      <c r="AI185">
        <v>14.38</v>
      </c>
      <c r="AJ185">
        <v>14.34</v>
      </c>
      <c r="AK185">
        <v>14.26</v>
      </c>
      <c r="AL185">
        <v>14.28</v>
      </c>
      <c r="AM185">
        <v>14.09</v>
      </c>
      <c r="AN185">
        <v>14.14</v>
      </c>
    </row>
    <row r="186" spans="1:42" x14ac:dyDescent="0.35">
      <c r="A186" s="2">
        <v>45693</v>
      </c>
      <c r="B186">
        <v>14.53</v>
      </c>
      <c r="C186">
        <v>14.664999999999999</v>
      </c>
      <c r="D186">
        <v>14.775</v>
      </c>
      <c r="E186">
        <v>14.855</v>
      </c>
      <c r="F186">
        <v>14.96</v>
      </c>
      <c r="G186">
        <v>15.02</v>
      </c>
      <c r="I186">
        <v>15.12</v>
      </c>
      <c r="L186">
        <v>15.14</v>
      </c>
      <c r="O186">
        <v>15.065</v>
      </c>
      <c r="Q186">
        <v>15.005000000000001</v>
      </c>
      <c r="R186">
        <v>14.95</v>
      </c>
      <c r="S186">
        <v>14.88</v>
      </c>
      <c r="U186">
        <v>14.81</v>
      </c>
      <c r="V186">
        <v>14.755000000000001</v>
      </c>
      <c r="W186">
        <v>14.685</v>
      </c>
      <c r="X186">
        <v>14.685</v>
      </c>
      <c r="Y186">
        <v>14.65</v>
      </c>
      <c r="Z186">
        <v>14.65</v>
      </c>
      <c r="AA186">
        <v>14.6</v>
      </c>
      <c r="AB186">
        <v>14.59</v>
      </c>
      <c r="AC186">
        <v>14.59</v>
      </c>
      <c r="AD186">
        <v>14.61</v>
      </c>
      <c r="AF186">
        <v>14.58</v>
      </c>
      <c r="AH186">
        <v>14.58</v>
      </c>
      <c r="AI186">
        <v>14.56</v>
      </c>
      <c r="AJ186">
        <v>14.52</v>
      </c>
      <c r="AK186">
        <v>14.46</v>
      </c>
      <c r="AL186">
        <v>14.48</v>
      </c>
      <c r="AM186">
        <v>14.3</v>
      </c>
      <c r="AN186">
        <v>14.36</v>
      </c>
      <c r="AO186">
        <v>14.2</v>
      </c>
      <c r="AP186">
        <v>14.1</v>
      </c>
    </row>
    <row r="187" spans="1:42" x14ac:dyDescent="0.35">
      <c r="A187" s="2">
        <v>45694</v>
      </c>
      <c r="B187">
        <v>14.52</v>
      </c>
      <c r="C187">
        <v>14.654999999999999</v>
      </c>
      <c r="D187">
        <v>14.755000000000001</v>
      </c>
      <c r="E187">
        <v>14.835000000000001</v>
      </c>
      <c r="F187">
        <v>14.93</v>
      </c>
      <c r="G187">
        <v>14.99</v>
      </c>
      <c r="I187">
        <v>15.08</v>
      </c>
      <c r="L187">
        <v>15.12</v>
      </c>
      <c r="O187">
        <v>15.055</v>
      </c>
      <c r="Q187">
        <v>15</v>
      </c>
      <c r="R187">
        <v>14.95</v>
      </c>
      <c r="S187">
        <v>14.89</v>
      </c>
      <c r="U187">
        <v>14.83</v>
      </c>
      <c r="V187">
        <v>14.76</v>
      </c>
      <c r="W187">
        <v>14.72</v>
      </c>
      <c r="X187">
        <v>14.7</v>
      </c>
      <c r="Y187">
        <v>14.69</v>
      </c>
      <c r="Z187">
        <v>14.664999999999999</v>
      </c>
      <c r="AA187">
        <v>14.63</v>
      </c>
      <c r="AB187">
        <v>14.635</v>
      </c>
      <c r="AC187">
        <v>14.635</v>
      </c>
      <c r="AD187">
        <v>14.64</v>
      </c>
      <c r="AF187">
        <v>14.61</v>
      </c>
      <c r="AH187">
        <v>14.62</v>
      </c>
      <c r="AI187">
        <v>14.61</v>
      </c>
      <c r="AJ187">
        <v>14.58</v>
      </c>
      <c r="AK187">
        <v>14.52</v>
      </c>
      <c r="AL187">
        <v>14.54</v>
      </c>
      <c r="AM187">
        <v>14.36</v>
      </c>
      <c r="AN187">
        <v>14.44</v>
      </c>
    </row>
    <row r="188" spans="1:42" x14ac:dyDescent="0.35">
      <c r="A188" s="2">
        <v>45695</v>
      </c>
      <c r="B188">
        <v>14.555</v>
      </c>
      <c r="C188">
        <v>14.7</v>
      </c>
      <c r="D188">
        <v>14.81</v>
      </c>
      <c r="E188">
        <v>14.9</v>
      </c>
      <c r="F188">
        <v>15.01</v>
      </c>
      <c r="G188">
        <v>15.074999999999999</v>
      </c>
      <c r="I188">
        <v>15.18</v>
      </c>
      <c r="L188">
        <v>15.244999999999999</v>
      </c>
      <c r="O188">
        <v>15.215</v>
      </c>
      <c r="Q188">
        <v>15.19</v>
      </c>
      <c r="R188">
        <v>15.145</v>
      </c>
      <c r="S188">
        <v>15.09</v>
      </c>
      <c r="U188">
        <v>15.05</v>
      </c>
      <c r="V188">
        <v>14.99</v>
      </c>
      <c r="W188">
        <v>14.955</v>
      </c>
      <c r="X188">
        <v>14.93</v>
      </c>
      <c r="Y188">
        <v>14.92</v>
      </c>
      <c r="Z188">
        <v>14.9</v>
      </c>
      <c r="AA188">
        <v>14.865</v>
      </c>
      <c r="AB188">
        <v>14.85</v>
      </c>
      <c r="AC188">
        <v>14.86</v>
      </c>
      <c r="AD188">
        <v>14.855</v>
      </c>
      <c r="AF188">
        <v>14.82</v>
      </c>
      <c r="AH188">
        <v>14.82</v>
      </c>
      <c r="AI188">
        <v>14.79</v>
      </c>
      <c r="AJ188">
        <v>14.77</v>
      </c>
      <c r="AK188">
        <v>14.69</v>
      </c>
      <c r="AL188">
        <v>14.72</v>
      </c>
      <c r="AM188">
        <v>14.55</v>
      </c>
      <c r="AN188">
        <v>14.61</v>
      </c>
      <c r="AO188">
        <v>14.5</v>
      </c>
    </row>
    <row r="189" spans="1:42" x14ac:dyDescent="0.35">
      <c r="A189" s="2">
        <v>45696</v>
      </c>
    </row>
    <row r="190" spans="1:42" x14ac:dyDescent="0.35">
      <c r="A190" s="2">
        <v>45697</v>
      </c>
    </row>
    <row r="191" spans="1:42" x14ac:dyDescent="0.35">
      <c r="A191" s="2">
        <v>45698</v>
      </c>
      <c r="B191">
        <v>14.53</v>
      </c>
      <c r="C191">
        <v>14.675000000000001</v>
      </c>
      <c r="D191">
        <v>14.78</v>
      </c>
      <c r="E191">
        <v>14.87</v>
      </c>
      <c r="F191">
        <v>14.975</v>
      </c>
      <c r="G191">
        <v>15.035</v>
      </c>
      <c r="I191">
        <v>15.14</v>
      </c>
      <c r="L191">
        <v>15.205</v>
      </c>
      <c r="O191">
        <v>15.17</v>
      </c>
      <c r="Q191">
        <v>15.145</v>
      </c>
      <c r="R191">
        <v>15.11</v>
      </c>
      <c r="S191">
        <v>14.835000000000001</v>
      </c>
      <c r="U191">
        <v>15.015000000000001</v>
      </c>
      <c r="V191">
        <v>14.965</v>
      </c>
      <c r="W191">
        <v>14.92</v>
      </c>
      <c r="X191">
        <v>14.904999999999999</v>
      </c>
      <c r="Y191">
        <v>14.89</v>
      </c>
      <c r="Z191">
        <v>14.875</v>
      </c>
      <c r="AA191">
        <v>14.83</v>
      </c>
      <c r="AB191">
        <v>14.835000000000001</v>
      </c>
      <c r="AC191">
        <v>14.84</v>
      </c>
      <c r="AD191">
        <v>14.8</v>
      </c>
      <c r="AF191">
        <v>14.82</v>
      </c>
      <c r="AH191">
        <v>14.81</v>
      </c>
      <c r="AI191">
        <v>14.79</v>
      </c>
      <c r="AJ191">
        <v>14.74</v>
      </c>
      <c r="AK191">
        <v>14.67</v>
      </c>
      <c r="AL191">
        <v>14.68</v>
      </c>
      <c r="AM191">
        <v>14.48</v>
      </c>
      <c r="AN191">
        <v>14.4</v>
      </c>
    </row>
    <row r="192" spans="1:42" x14ac:dyDescent="0.35">
      <c r="A192" s="2">
        <v>45699</v>
      </c>
      <c r="B192">
        <v>14.525</v>
      </c>
      <c r="C192">
        <v>14.654999999999999</v>
      </c>
      <c r="D192">
        <v>14.755000000000001</v>
      </c>
      <c r="E192">
        <v>14.835000000000001</v>
      </c>
      <c r="F192">
        <v>14.94</v>
      </c>
      <c r="I192">
        <v>15.095000000000001</v>
      </c>
      <c r="L192">
        <v>15.135</v>
      </c>
      <c r="O192">
        <v>15.09</v>
      </c>
      <c r="Q192">
        <v>15.055</v>
      </c>
      <c r="R192">
        <v>15.025</v>
      </c>
      <c r="S192">
        <v>14.98</v>
      </c>
      <c r="V192">
        <v>14.89</v>
      </c>
      <c r="W192">
        <v>14.835000000000001</v>
      </c>
      <c r="X192">
        <v>14.83</v>
      </c>
      <c r="Z192">
        <v>14.805</v>
      </c>
      <c r="AA192">
        <v>14.765000000000001</v>
      </c>
      <c r="AD192">
        <v>14.715</v>
      </c>
      <c r="AH192">
        <v>14.8</v>
      </c>
      <c r="AI192">
        <v>14.79</v>
      </c>
      <c r="AJ192">
        <v>14.74</v>
      </c>
      <c r="AK192">
        <v>14.66</v>
      </c>
      <c r="AL192">
        <v>14.68</v>
      </c>
      <c r="AM192">
        <v>14.51</v>
      </c>
      <c r="AN192">
        <v>14.56</v>
      </c>
    </row>
    <row r="193" spans="1:43" x14ac:dyDescent="0.35">
      <c r="A193" s="2">
        <v>45700</v>
      </c>
      <c r="B193">
        <v>14.494999999999999</v>
      </c>
      <c r="C193">
        <v>14.62</v>
      </c>
      <c r="D193">
        <v>14.71</v>
      </c>
      <c r="E193">
        <v>14.79</v>
      </c>
      <c r="F193">
        <v>14.895</v>
      </c>
      <c r="G193">
        <v>14.955</v>
      </c>
      <c r="I193">
        <v>15.045</v>
      </c>
      <c r="L193">
        <v>15.095000000000001</v>
      </c>
      <c r="O193">
        <v>15.065</v>
      </c>
      <c r="Q193">
        <v>15.05</v>
      </c>
      <c r="R193">
        <v>15.035</v>
      </c>
      <c r="S193">
        <v>15</v>
      </c>
      <c r="U193">
        <v>14.96</v>
      </c>
      <c r="V193">
        <v>14.93</v>
      </c>
      <c r="W193">
        <v>14.914999999999999</v>
      </c>
      <c r="X193">
        <v>14.914999999999999</v>
      </c>
      <c r="Y193">
        <v>14.92</v>
      </c>
      <c r="Z193">
        <v>14.914999999999999</v>
      </c>
      <c r="AA193">
        <v>14.885</v>
      </c>
      <c r="AB193">
        <v>14.885</v>
      </c>
      <c r="AC193">
        <v>14.904999999999999</v>
      </c>
      <c r="AD193">
        <v>14.914999999999999</v>
      </c>
      <c r="AF193">
        <v>14.89</v>
      </c>
      <c r="AH193">
        <v>14.9</v>
      </c>
      <c r="AI193">
        <v>14.88</v>
      </c>
      <c r="AJ193">
        <v>14.84</v>
      </c>
      <c r="AK193">
        <v>14.76</v>
      </c>
      <c r="AL193">
        <v>14.77</v>
      </c>
      <c r="AM193">
        <v>14.59</v>
      </c>
      <c r="AN193">
        <v>14.66</v>
      </c>
      <c r="AO193">
        <v>14.43</v>
      </c>
    </row>
    <row r="194" spans="1:43" x14ac:dyDescent="0.35">
      <c r="A194" s="2">
        <v>45701</v>
      </c>
      <c r="B194">
        <v>14.45</v>
      </c>
      <c r="C194">
        <v>14.565</v>
      </c>
      <c r="D194">
        <v>14.654999999999999</v>
      </c>
      <c r="E194">
        <v>14.73</v>
      </c>
      <c r="F194">
        <v>14.824999999999999</v>
      </c>
      <c r="G194">
        <v>14.87</v>
      </c>
      <c r="I194">
        <v>14.95</v>
      </c>
      <c r="L194">
        <v>14.99</v>
      </c>
      <c r="O194">
        <v>14.955</v>
      </c>
      <c r="Q194">
        <v>14.93</v>
      </c>
      <c r="R194">
        <v>14.91</v>
      </c>
      <c r="S194">
        <v>14.88</v>
      </c>
      <c r="U194">
        <v>14.84</v>
      </c>
      <c r="V194">
        <v>14.81</v>
      </c>
      <c r="W194">
        <v>14.785</v>
      </c>
      <c r="X194">
        <v>14.79</v>
      </c>
      <c r="Y194">
        <v>14.79</v>
      </c>
      <c r="Z194">
        <v>14.78</v>
      </c>
      <c r="AA194">
        <v>14.765000000000001</v>
      </c>
      <c r="AB194">
        <v>14.765000000000001</v>
      </c>
      <c r="AC194">
        <v>14.765000000000001</v>
      </c>
      <c r="AD194">
        <v>14.79</v>
      </c>
      <c r="AF194">
        <v>14.78</v>
      </c>
      <c r="AH194">
        <v>14.79</v>
      </c>
      <c r="AI194">
        <v>14.78</v>
      </c>
      <c r="AJ194">
        <v>14.74</v>
      </c>
      <c r="AK194">
        <v>14.67</v>
      </c>
      <c r="AL194">
        <v>14.67</v>
      </c>
      <c r="AM194">
        <v>14.53</v>
      </c>
      <c r="AN194">
        <v>14.53</v>
      </c>
      <c r="AO194">
        <v>14.47</v>
      </c>
    </row>
    <row r="195" spans="1:43" x14ac:dyDescent="0.35">
      <c r="A195" s="2">
        <v>45702</v>
      </c>
      <c r="B195">
        <v>14.43</v>
      </c>
      <c r="C195">
        <v>14.54</v>
      </c>
      <c r="D195">
        <v>14.62</v>
      </c>
      <c r="E195">
        <v>14.68</v>
      </c>
      <c r="F195">
        <v>14.765000000000001</v>
      </c>
      <c r="G195">
        <v>14.8</v>
      </c>
      <c r="I195">
        <v>14.855</v>
      </c>
      <c r="L195">
        <v>14.85</v>
      </c>
      <c r="Q195">
        <v>14.715</v>
      </c>
      <c r="V195">
        <v>14.5</v>
      </c>
      <c r="W195">
        <v>14.46</v>
      </c>
      <c r="X195">
        <v>14.455</v>
      </c>
      <c r="Y195">
        <v>14.44</v>
      </c>
      <c r="Z195">
        <v>14.44</v>
      </c>
      <c r="AA195">
        <v>14.404999999999999</v>
      </c>
      <c r="AC195">
        <v>14.42</v>
      </c>
      <c r="AD195">
        <v>14.43</v>
      </c>
      <c r="AM195">
        <v>14.53</v>
      </c>
      <c r="AN195">
        <v>14.21</v>
      </c>
    </row>
    <row r="196" spans="1:43" x14ac:dyDescent="0.35">
      <c r="A196" s="2">
        <v>45703</v>
      </c>
    </row>
    <row r="197" spans="1:43" x14ac:dyDescent="0.35">
      <c r="A197" s="2">
        <v>45704</v>
      </c>
    </row>
    <row r="198" spans="1:43" x14ac:dyDescent="0.35">
      <c r="A198" s="2">
        <v>45705</v>
      </c>
      <c r="B198">
        <v>14.385</v>
      </c>
      <c r="C198">
        <v>14.475</v>
      </c>
      <c r="D198">
        <v>14.535</v>
      </c>
      <c r="E198">
        <v>14.59</v>
      </c>
      <c r="F198">
        <v>14.66</v>
      </c>
      <c r="G198">
        <v>14.69</v>
      </c>
      <c r="I198">
        <v>14.74</v>
      </c>
      <c r="L198">
        <v>14.725</v>
      </c>
      <c r="O198">
        <v>14.63</v>
      </c>
      <c r="Q198">
        <v>14.57</v>
      </c>
      <c r="R198">
        <v>14.525</v>
      </c>
      <c r="S198">
        <v>14.46</v>
      </c>
      <c r="U198">
        <v>14.404999999999999</v>
      </c>
      <c r="V198">
        <v>14.355</v>
      </c>
      <c r="W198">
        <v>14.3</v>
      </c>
      <c r="X198">
        <v>14.315</v>
      </c>
      <c r="Y198">
        <v>14.315</v>
      </c>
      <c r="Z198">
        <v>14.3</v>
      </c>
      <c r="AA198">
        <v>14.26</v>
      </c>
      <c r="AB198">
        <v>14.28</v>
      </c>
      <c r="AC198">
        <v>14.265000000000001</v>
      </c>
      <c r="AD198">
        <v>14.3</v>
      </c>
      <c r="AF198">
        <v>14.28</v>
      </c>
      <c r="AH198">
        <v>14.3</v>
      </c>
      <c r="AI198">
        <v>14.28</v>
      </c>
      <c r="AJ198">
        <v>14.24</v>
      </c>
      <c r="AK198">
        <v>14.13</v>
      </c>
      <c r="AL198">
        <v>14.18</v>
      </c>
      <c r="AM198">
        <v>14.07</v>
      </c>
      <c r="AN198">
        <v>14.05</v>
      </c>
      <c r="AO198">
        <v>14</v>
      </c>
    </row>
    <row r="199" spans="1:43" x14ac:dyDescent="0.35">
      <c r="A199" s="2">
        <v>45706</v>
      </c>
      <c r="B199">
        <v>14.395</v>
      </c>
      <c r="C199">
        <v>14.484999999999999</v>
      </c>
      <c r="D199">
        <v>14.545</v>
      </c>
      <c r="E199">
        <v>14.6</v>
      </c>
      <c r="F199">
        <v>14.67</v>
      </c>
      <c r="G199">
        <v>14.7</v>
      </c>
      <c r="I199">
        <v>14.75</v>
      </c>
      <c r="L199">
        <v>14.725</v>
      </c>
      <c r="O199">
        <v>14.63</v>
      </c>
      <c r="Q199">
        <v>14.56</v>
      </c>
      <c r="R199">
        <v>14.505000000000001</v>
      </c>
      <c r="S199">
        <v>14.43</v>
      </c>
      <c r="U199">
        <v>14.385</v>
      </c>
      <c r="V199">
        <v>14.345000000000001</v>
      </c>
      <c r="W199">
        <v>14.315</v>
      </c>
      <c r="X199">
        <v>14.3</v>
      </c>
      <c r="Y199">
        <v>14.315</v>
      </c>
      <c r="Z199">
        <v>14.31</v>
      </c>
      <c r="AA199">
        <v>14.295</v>
      </c>
      <c r="AB199">
        <v>14.29</v>
      </c>
      <c r="AC199">
        <v>14.3</v>
      </c>
      <c r="AD199">
        <v>14.31</v>
      </c>
      <c r="AF199">
        <v>14.29</v>
      </c>
      <c r="AH199">
        <v>14.3</v>
      </c>
      <c r="AI199">
        <v>14.29</v>
      </c>
      <c r="AJ199">
        <v>14.25</v>
      </c>
      <c r="AK199">
        <v>14.18</v>
      </c>
      <c r="AL199">
        <v>14.19</v>
      </c>
      <c r="AM199">
        <v>14.03</v>
      </c>
      <c r="AN199">
        <v>14.07</v>
      </c>
      <c r="AO199">
        <v>14</v>
      </c>
      <c r="AQ199">
        <v>14.01</v>
      </c>
    </row>
    <row r="200" spans="1:43" x14ac:dyDescent="0.35">
      <c r="A200" s="2">
        <v>45707</v>
      </c>
      <c r="B200">
        <v>14.395</v>
      </c>
      <c r="C200">
        <v>14.484999999999999</v>
      </c>
      <c r="D200">
        <v>14.55</v>
      </c>
      <c r="E200">
        <v>14.605</v>
      </c>
      <c r="F200">
        <v>14.675000000000001</v>
      </c>
      <c r="G200">
        <v>14.71</v>
      </c>
      <c r="I200">
        <v>14.77</v>
      </c>
      <c r="L200">
        <v>14.78</v>
      </c>
      <c r="O200">
        <v>14.725</v>
      </c>
      <c r="Q200">
        <v>14.68</v>
      </c>
      <c r="R200">
        <v>14.64</v>
      </c>
      <c r="S200">
        <v>14.585000000000001</v>
      </c>
      <c r="U200">
        <v>14.535</v>
      </c>
      <c r="V200">
        <v>14.505000000000001</v>
      </c>
      <c r="W200">
        <v>14.47</v>
      </c>
      <c r="X200">
        <v>14.46</v>
      </c>
      <c r="Y200">
        <v>14.48</v>
      </c>
      <c r="Z200">
        <v>14.48</v>
      </c>
      <c r="AA200">
        <v>14.46</v>
      </c>
      <c r="AB200">
        <v>14.46</v>
      </c>
      <c r="AC200">
        <v>14.46</v>
      </c>
      <c r="AD200">
        <v>14.475</v>
      </c>
      <c r="AF200">
        <v>14.42</v>
      </c>
      <c r="AH200">
        <v>14.46</v>
      </c>
      <c r="AI200">
        <v>14.46</v>
      </c>
      <c r="AJ200">
        <v>14.41</v>
      </c>
      <c r="AK200">
        <v>14.34</v>
      </c>
      <c r="AL200">
        <v>14.34</v>
      </c>
      <c r="AM200">
        <v>14.19</v>
      </c>
      <c r="AN200">
        <v>14.21</v>
      </c>
      <c r="AO200">
        <v>14.16</v>
      </c>
    </row>
    <row r="201" spans="1:43" x14ac:dyDescent="0.35">
      <c r="A201" s="2">
        <v>45708</v>
      </c>
      <c r="B201">
        <v>14.38</v>
      </c>
      <c r="C201">
        <v>14.465</v>
      </c>
      <c r="D201">
        <v>14.515000000000001</v>
      </c>
      <c r="E201">
        <v>14.565</v>
      </c>
      <c r="F201">
        <v>14.625</v>
      </c>
      <c r="G201">
        <v>14.654999999999999</v>
      </c>
      <c r="L201">
        <v>14.7</v>
      </c>
      <c r="O201">
        <v>14.64</v>
      </c>
      <c r="Q201">
        <v>14.595000000000001</v>
      </c>
      <c r="R201">
        <v>14.565</v>
      </c>
      <c r="S201">
        <v>14.515000000000001</v>
      </c>
      <c r="U201">
        <v>14.47</v>
      </c>
      <c r="V201">
        <v>14.42</v>
      </c>
      <c r="W201">
        <v>14.414999999999999</v>
      </c>
      <c r="X201">
        <v>14.365</v>
      </c>
      <c r="Y201">
        <v>14.435</v>
      </c>
      <c r="Z201">
        <v>14.435</v>
      </c>
      <c r="AA201">
        <v>14.414999999999999</v>
      </c>
      <c r="AB201">
        <v>14.435</v>
      </c>
      <c r="AC201">
        <v>14.44</v>
      </c>
      <c r="AD201">
        <v>14.475</v>
      </c>
      <c r="AF201">
        <v>14.47</v>
      </c>
      <c r="AH201">
        <v>14.5</v>
      </c>
      <c r="AI201">
        <v>14.51</v>
      </c>
      <c r="AJ201">
        <v>14.48</v>
      </c>
      <c r="AK201">
        <v>14.41</v>
      </c>
      <c r="AL201">
        <v>14.44</v>
      </c>
      <c r="AM201">
        <v>14.22</v>
      </c>
      <c r="AN201">
        <v>14.34</v>
      </c>
      <c r="AO201">
        <v>14.26</v>
      </c>
    </row>
    <row r="202" spans="1:43" x14ac:dyDescent="0.35">
      <c r="A202" s="2">
        <v>45709</v>
      </c>
      <c r="B202">
        <v>14.28</v>
      </c>
      <c r="C202">
        <v>14.355</v>
      </c>
      <c r="D202">
        <v>14.395</v>
      </c>
      <c r="E202">
        <v>14.445</v>
      </c>
      <c r="F202">
        <v>14.5</v>
      </c>
      <c r="G202">
        <v>14.52</v>
      </c>
      <c r="L202">
        <v>14.515000000000001</v>
      </c>
      <c r="O202">
        <v>14.425000000000001</v>
      </c>
      <c r="Q202">
        <v>14.375</v>
      </c>
      <c r="R202">
        <v>14.345000000000001</v>
      </c>
      <c r="S202">
        <v>14.29</v>
      </c>
      <c r="U202">
        <v>14.234999999999999</v>
      </c>
      <c r="V202">
        <v>14.22</v>
      </c>
      <c r="W202">
        <v>14.21</v>
      </c>
      <c r="X202">
        <v>14.25</v>
      </c>
      <c r="Y202">
        <v>14.265000000000001</v>
      </c>
      <c r="Z202">
        <v>14.275</v>
      </c>
      <c r="AA202">
        <v>14.275</v>
      </c>
      <c r="AB202">
        <v>14.244999999999999</v>
      </c>
      <c r="AC202">
        <v>14.305</v>
      </c>
      <c r="AD202">
        <v>14.23</v>
      </c>
      <c r="AF202">
        <v>14.35</v>
      </c>
      <c r="AH202">
        <v>14.39</v>
      </c>
      <c r="AI202">
        <v>14.44</v>
      </c>
      <c r="AJ202">
        <v>14.41</v>
      </c>
      <c r="AK202">
        <v>14.37</v>
      </c>
      <c r="AL202">
        <v>14.38</v>
      </c>
      <c r="AM202">
        <v>14.22</v>
      </c>
      <c r="AN202">
        <v>14.28</v>
      </c>
      <c r="AO202">
        <v>14.22</v>
      </c>
    </row>
    <row r="203" spans="1:43" x14ac:dyDescent="0.35">
      <c r="A203" s="2">
        <v>45710</v>
      </c>
    </row>
    <row r="204" spans="1:43" x14ac:dyDescent="0.35">
      <c r="A204" s="2">
        <v>45711</v>
      </c>
    </row>
    <row r="205" spans="1:43" x14ac:dyDescent="0.35">
      <c r="A205" s="2">
        <v>45712</v>
      </c>
      <c r="B205">
        <v>14.38</v>
      </c>
      <c r="C205">
        <v>14.47</v>
      </c>
      <c r="D205">
        <v>14.525</v>
      </c>
      <c r="E205">
        <v>14.574999999999999</v>
      </c>
      <c r="F205">
        <v>14.65</v>
      </c>
      <c r="G205">
        <v>14.664999999999999</v>
      </c>
      <c r="I205">
        <v>14.7</v>
      </c>
      <c r="L205">
        <v>14.685</v>
      </c>
      <c r="O205">
        <v>14.615</v>
      </c>
      <c r="Q205">
        <v>14.58</v>
      </c>
      <c r="R205">
        <v>14.465</v>
      </c>
      <c r="S205">
        <v>14.4</v>
      </c>
      <c r="U205">
        <v>14.45</v>
      </c>
      <c r="V205">
        <v>14.425000000000001</v>
      </c>
      <c r="W205">
        <v>14.414999999999999</v>
      </c>
      <c r="X205">
        <v>14.3</v>
      </c>
      <c r="Y205">
        <v>14.455</v>
      </c>
      <c r="Z205">
        <v>14.47</v>
      </c>
      <c r="AA205">
        <v>14.46</v>
      </c>
      <c r="AB205">
        <v>14.484999999999999</v>
      </c>
      <c r="AC205">
        <v>14.494999999999999</v>
      </c>
      <c r="AD205">
        <v>14.23</v>
      </c>
      <c r="AF205">
        <v>14.53</v>
      </c>
      <c r="AH205">
        <v>14.56</v>
      </c>
      <c r="AI205">
        <v>14.57</v>
      </c>
      <c r="AJ205">
        <v>14.56</v>
      </c>
      <c r="AK205">
        <v>14.51</v>
      </c>
      <c r="AL205">
        <v>14.53</v>
      </c>
      <c r="AM205">
        <v>14.35</v>
      </c>
      <c r="AN205">
        <v>14.45</v>
      </c>
      <c r="AO205">
        <v>14.35</v>
      </c>
    </row>
    <row r="206" spans="1:43" x14ac:dyDescent="0.35">
      <c r="A206" s="2">
        <v>45713</v>
      </c>
      <c r="B206">
        <v>14.36</v>
      </c>
      <c r="C206">
        <v>14.44</v>
      </c>
      <c r="D206">
        <v>14.49</v>
      </c>
      <c r="E206">
        <v>14.525</v>
      </c>
      <c r="F206">
        <v>14.585000000000001</v>
      </c>
      <c r="G206">
        <v>14.595000000000001</v>
      </c>
      <c r="I206">
        <v>14.625</v>
      </c>
      <c r="L206">
        <v>14.595000000000001</v>
      </c>
      <c r="O206">
        <v>14.51</v>
      </c>
      <c r="Q206">
        <v>14.47</v>
      </c>
      <c r="R206">
        <v>14.44</v>
      </c>
      <c r="S206">
        <v>14.385</v>
      </c>
      <c r="U206">
        <v>14.355</v>
      </c>
      <c r="V206">
        <v>14.345000000000001</v>
      </c>
      <c r="W206">
        <v>14.324999999999999</v>
      </c>
      <c r="X206">
        <v>14.35</v>
      </c>
      <c r="Y206">
        <v>14.375</v>
      </c>
      <c r="Z206">
        <v>14.4</v>
      </c>
      <c r="AA206">
        <v>14.39</v>
      </c>
      <c r="AB206">
        <v>14.414999999999999</v>
      </c>
      <c r="AC206">
        <v>14.435</v>
      </c>
      <c r="AD206">
        <v>14.465</v>
      </c>
      <c r="AF206">
        <v>14.5</v>
      </c>
      <c r="AH206">
        <v>14.51</v>
      </c>
      <c r="AI206">
        <v>14.54</v>
      </c>
      <c r="AJ206">
        <v>14.53</v>
      </c>
      <c r="AK206">
        <v>14.48</v>
      </c>
      <c r="AL206">
        <v>14.51</v>
      </c>
      <c r="AM206">
        <v>14.35</v>
      </c>
      <c r="AN206">
        <v>14.42</v>
      </c>
      <c r="AO206">
        <v>14.31</v>
      </c>
    </row>
    <row r="207" spans="1:43" x14ac:dyDescent="0.35">
      <c r="A207" s="2">
        <v>45714</v>
      </c>
      <c r="B207">
        <v>14.475</v>
      </c>
      <c r="C207">
        <v>14.57</v>
      </c>
      <c r="D207">
        <v>14.625</v>
      </c>
      <c r="E207">
        <v>14.685</v>
      </c>
      <c r="F207">
        <v>14.755000000000001</v>
      </c>
      <c r="G207">
        <v>14.785</v>
      </c>
      <c r="I207">
        <v>14.84</v>
      </c>
      <c r="L207">
        <v>14.855</v>
      </c>
      <c r="O207">
        <v>14.7</v>
      </c>
      <c r="Q207">
        <v>14.795</v>
      </c>
      <c r="R207">
        <v>14.785</v>
      </c>
      <c r="S207">
        <v>14.75</v>
      </c>
      <c r="U207">
        <v>14.73</v>
      </c>
      <c r="V207">
        <v>14.734999999999999</v>
      </c>
      <c r="W207">
        <v>14.39</v>
      </c>
      <c r="X207">
        <v>14.365</v>
      </c>
      <c r="Y207">
        <v>14.79</v>
      </c>
      <c r="Z207">
        <v>14.805</v>
      </c>
      <c r="AA207">
        <v>14.81</v>
      </c>
      <c r="AB207">
        <v>14.824999999999999</v>
      </c>
      <c r="AC207">
        <v>14.845000000000001</v>
      </c>
      <c r="AD207">
        <v>14.885</v>
      </c>
      <c r="AF207">
        <v>14.88</v>
      </c>
      <c r="AH207">
        <v>14.89</v>
      </c>
      <c r="AI207">
        <v>14.9</v>
      </c>
      <c r="AJ207">
        <v>14.87</v>
      </c>
      <c r="AK207">
        <v>14.81</v>
      </c>
      <c r="AL207">
        <v>14.81</v>
      </c>
      <c r="AM207">
        <v>14.65</v>
      </c>
      <c r="AN207">
        <v>14.65</v>
      </c>
      <c r="AO207">
        <v>14.63</v>
      </c>
    </row>
    <row r="208" spans="1:43" x14ac:dyDescent="0.35">
      <c r="A208" s="2">
        <v>45715</v>
      </c>
      <c r="B208">
        <v>14.51</v>
      </c>
      <c r="C208">
        <v>14.61</v>
      </c>
      <c r="D208">
        <v>14.67</v>
      </c>
      <c r="E208">
        <v>14.72</v>
      </c>
      <c r="F208">
        <v>14.805</v>
      </c>
      <c r="G208">
        <v>14.83</v>
      </c>
      <c r="I208">
        <v>14.89</v>
      </c>
      <c r="L208">
        <v>14.904999999999999</v>
      </c>
      <c r="O208">
        <v>14.85</v>
      </c>
      <c r="Q208">
        <v>14.824999999999999</v>
      </c>
      <c r="R208">
        <v>14.81</v>
      </c>
      <c r="S208">
        <v>14.78</v>
      </c>
      <c r="U208">
        <v>14.755000000000001</v>
      </c>
      <c r="V208">
        <v>14.75</v>
      </c>
      <c r="W208">
        <v>14.5</v>
      </c>
      <c r="X208">
        <v>14.19</v>
      </c>
      <c r="Y208">
        <v>14.5</v>
      </c>
      <c r="Z208">
        <v>14.81</v>
      </c>
      <c r="AA208">
        <v>14.8</v>
      </c>
      <c r="AB208">
        <v>14.83</v>
      </c>
      <c r="AC208">
        <v>14.835000000000001</v>
      </c>
      <c r="AD208">
        <v>14.705</v>
      </c>
      <c r="AF208">
        <v>14.89</v>
      </c>
      <c r="AH208">
        <v>14.9</v>
      </c>
      <c r="AI208">
        <v>14.91</v>
      </c>
      <c r="AJ208">
        <v>14.88</v>
      </c>
      <c r="AK208">
        <v>14.82</v>
      </c>
      <c r="AL208">
        <v>14.84</v>
      </c>
      <c r="AM208">
        <v>14.6</v>
      </c>
      <c r="AN208">
        <v>14.74</v>
      </c>
      <c r="AO208">
        <v>14.65</v>
      </c>
    </row>
    <row r="209" spans="1:41" x14ac:dyDescent="0.35">
      <c r="A209" s="2">
        <v>45716</v>
      </c>
      <c r="B209">
        <v>14.62</v>
      </c>
      <c r="C209">
        <v>14.76</v>
      </c>
      <c r="D209">
        <v>14.81</v>
      </c>
      <c r="E209">
        <v>14.875</v>
      </c>
      <c r="F209">
        <v>14.965</v>
      </c>
      <c r="G209">
        <v>14.99</v>
      </c>
      <c r="I209">
        <v>15.05</v>
      </c>
      <c r="L209">
        <v>15.065</v>
      </c>
      <c r="O209">
        <v>15.015000000000001</v>
      </c>
      <c r="Q209">
        <v>15.02</v>
      </c>
      <c r="R209">
        <v>15.015000000000001</v>
      </c>
      <c r="S209">
        <v>14.99</v>
      </c>
      <c r="U209">
        <v>14.93</v>
      </c>
      <c r="V209">
        <v>14.88</v>
      </c>
      <c r="W209">
        <v>14.95</v>
      </c>
      <c r="X209">
        <v>14.715</v>
      </c>
      <c r="Y209">
        <v>14.99</v>
      </c>
      <c r="Z209">
        <v>15.015000000000001</v>
      </c>
      <c r="AA209">
        <v>15</v>
      </c>
      <c r="AB209">
        <v>15.025</v>
      </c>
      <c r="AC209">
        <v>15.05</v>
      </c>
      <c r="AD209">
        <v>15.02</v>
      </c>
      <c r="AF209">
        <v>15.1</v>
      </c>
      <c r="AH209">
        <v>15.11</v>
      </c>
      <c r="AI209">
        <v>15.13</v>
      </c>
      <c r="AJ209">
        <v>15.09</v>
      </c>
      <c r="AK209">
        <v>15</v>
      </c>
      <c r="AL209">
        <v>15</v>
      </c>
      <c r="AM209">
        <v>14.78</v>
      </c>
      <c r="AN209">
        <v>14.7</v>
      </c>
      <c r="AO209">
        <v>14.8</v>
      </c>
    </row>
    <row r="210" spans="1:41" x14ac:dyDescent="0.35">
      <c r="A210" s="2">
        <v>45717</v>
      </c>
    </row>
    <row r="211" spans="1:41" x14ac:dyDescent="0.35">
      <c r="A211" s="2">
        <v>45718</v>
      </c>
    </row>
    <row r="212" spans="1:41" x14ac:dyDescent="0.35">
      <c r="A212" s="2">
        <v>45719</v>
      </c>
    </row>
    <row r="213" spans="1:41" x14ac:dyDescent="0.35">
      <c r="A213" s="2">
        <v>45720</v>
      </c>
    </row>
    <row r="214" spans="1:41" x14ac:dyDescent="0.35">
      <c r="A214" s="2">
        <v>45721</v>
      </c>
      <c r="B214">
        <v>14.535</v>
      </c>
      <c r="C214">
        <v>14.63</v>
      </c>
      <c r="D214">
        <v>14.675000000000001</v>
      </c>
      <c r="E214">
        <v>14.72</v>
      </c>
      <c r="F214">
        <v>14.785</v>
      </c>
      <c r="G214">
        <v>14.805</v>
      </c>
      <c r="H214">
        <v>14.824999999999999</v>
      </c>
      <c r="I214">
        <v>14.85</v>
      </c>
      <c r="L214">
        <v>14.85</v>
      </c>
      <c r="O214">
        <v>14.734999999999999</v>
      </c>
      <c r="Q214">
        <v>14.75</v>
      </c>
      <c r="R214">
        <v>14.715</v>
      </c>
      <c r="S214">
        <v>14.705</v>
      </c>
      <c r="U214">
        <v>14.69</v>
      </c>
      <c r="V214">
        <v>14.43</v>
      </c>
      <c r="W214">
        <v>14.71</v>
      </c>
      <c r="X214">
        <v>14.705</v>
      </c>
      <c r="Y214">
        <v>14.725</v>
      </c>
      <c r="Z214">
        <v>14.734999999999999</v>
      </c>
      <c r="AA214">
        <v>14.72</v>
      </c>
      <c r="AB214">
        <v>14.755000000000001</v>
      </c>
      <c r="AC214">
        <v>14.775</v>
      </c>
      <c r="AD214">
        <v>14.744999999999999</v>
      </c>
      <c r="AF214">
        <v>14.83</v>
      </c>
      <c r="AH214">
        <v>14.84</v>
      </c>
      <c r="AI214">
        <v>14.83</v>
      </c>
      <c r="AJ214">
        <v>14.82</v>
      </c>
      <c r="AK214">
        <v>14.75</v>
      </c>
      <c r="AL214">
        <v>14.73</v>
      </c>
      <c r="AM214">
        <v>14.65</v>
      </c>
      <c r="AN214">
        <v>14.64</v>
      </c>
    </row>
    <row r="215" spans="1:41" x14ac:dyDescent="0.35">
      <c r="A215" s="2">
        <v>45722</v>
      </c>
      <c r="B215">
        <v>14.545</v>
      </c>
      <c r="C215">
        <v>14.654999999999999</v>
      </c>
      <c r="D215">
        <v>14.695</v>
      </c>
      <c r="E215">
        <v>14.755000000000001</v>
      </c>
      <c r="F215">
        <v>14.815</v>
      </c>
      <c r="G215">
        <v>14.835000000000001</v>
      </c>
      <c r="H215">
        <v>14.865</v>
      </c>
      <c r="I215">
        <v>14.9</v>
      </c>
      <c r="L215">
        <v>14.89</v>
      </c>
      <c r="O215">
        <v>14.815</v>
      </c>
      <c r="Q215">
        <v>14.82</v>
      </c>
      <c r="R215">
        <v>14.805</v>
      </c>
      <c r="S215">
        <v>14.78</v>
      </c>
      <c r="U215">
        <v>14.775</v>
      </c>
      <c r="V215">
        <v>14.79</v>
      </c>
      <c r="W215">
        <v>14.795</v>
      </c>
      <c r="X215">
        <v>14.815</v>
      </c>
      <c r="Y215">
        <v>14.855</v>
      </c>
      <c r="Z215">
        <v>14.865</v>
      </c>
      <c r="AA215">
        <v>14.865</v>
      </c>
      <c r="AB215">
        <v>14.88</v>
      </c>
      <c r="AC215">
        <v>14.9</v>
      </c>
      <c r="AD215">
        <v>14.93</v>
      </c>
      <c r="AF215">
        <v>14.94</v>
      </c>
      <c r="AH215">
        <v>14.97</v>
      </c>
      <c r="AI215">
        <v>14.98</v>
      </c>
      <c r="AJ215">
        <v>14.94</v>
      </c>
      <c r="AK215">
        <v>14.87</v>
      </c>
      <c r="AL215">
        <v>14.87</v>
      </c>
      <c r="AM215">
        <v>14.76</v>
      </c>
      <c r="AN215">
        <v>14.7</v>
      </c>
    </row>
    <row r="216" spans="1:41" x14ac:dyDescent="0.35">
      <c r="A216" s="2">
        <v>45723</v>
      </c>
      <c r="B216">
        <v>14.505000000000001</v>
      </c>
      <c r="C216">
        <v>14.59</v>
      </c>
      <c r="D216">
        <v>14.635</v>
      </c>
      <c r="E216">
        <v>14.675000000000001</v>
      </c>
      <c r="F216">
        <v>14.734999999999999</v>
      </c>
      <c r="G216">
        <v>14.75</v>
      </c>
      <c r="H216">
        <v>14.734999999999999</v>
      </c>
      <c r="I216">
        <v>14.775</v>
      </c>
      <c r="L216">
        <v>14.74</v>
      </c>
      <c r="O216">
        <v>14.635</v>
      </c>
      <c r="Q216">
        <v>14.565</v>
      </c>
      <c r="R216">
        <v>14.525</v>
      </c>
      <c r="S216">
        <v>14.48</v>
      </c>
      <c r="U216">
        <v>14.465</v>
      </c>
      <c r="V216">
        <v>14.47</v>
      </c>
      <c r="W216">
        <v>14.45</v>
      </c>
      <c r="X216">
        <v>14.5</v>
      </c>
      <c r="Y216">
        <v>14.51</v>
      </c>
      <c r="Z216">
        <v>14.52</v>
      </c>
      <c r="AA216">
        <v>14.52</v>
      </c>
      <c r="AB216">
        <v>14.55</v>
      </c>
      <c r="AC216">
        <v>14.57</v>
      </c>
      <c r="AD216">
        <v>14.61</v>
      </c>
      <c r="AF216">
        <v>14.61</v>
      </c>
      <c r="AH216">
        <v>14.65</v>
      </c>
      <c r="AI216">
        <v>14.66</v>
      </c>
      <c r="AJ216">
        <v>14.65</v>
      </c>
      <c r="AK216">
        <v>14.58</v>
      </c>
      <c r="AL216">
        <v>14.57</v>
      </c>
      <c r="AM216">
        <v>14.6</v>
      </c>
      <c r="AN216">
        <v>14.47</v>
      </c>
    </row>
    <row r="217" spans="1:41" x14ac:dyDescent="0.35">
      <c r="A217" s="2">
        <v>45724</v>
      </c>
    </row>
    <row r="218" spans="1:41" x14ac:dyDescent="0.35">
      <c r="A218" s="2">
        <v>45725</v>
      </c>
    </row>
    <row r="219" spans="1:41" x14ac:dyDescent="0.35">
      <c r="A219" s="2">
        <v>45726</v>
      </c>
      <c r="B219">
        <v>14.525</v>
      </c>
      <c r="C219">
        <v>14.605</v>
      </c>
      <c r="D219">
        <v>14.664999999999999</v>
      </c>
      <c r="E219">
        <v>14.715</v>
      </c>
      <c r="F219">
        <v>14.775</v>
      </c>
      <c r="G219">
        <v>14.81</v>
      </c>
      <c r="H219">
        <v>14.83</v>
      </c>
      <c r="I219">
        <v>14.85</v>
      </c>
      <c r="L219">
        <v>14.83</v>
      </c>
      <c r="O219">
        <v>14.734999999999999</v>
      </c>
      <c r="Q219">
        <v>14.67</v>
      </c>
      <c r="R219">
        <v>14.625</v>
      </c>
      <c r="S219">
        <v>14.585000000000001</v>
      </c>
      <c r="U219">
        <v>14.565</v>
      </c>
      <c r="V219">
        <v>14.565</v>
      </c>
      <c r="W219">
        <v>14.565</v>
      </c>
      <c r="X219">
        <v>14.58</v>
      </c>
      <c r="Y219">
        <v>14.615</v>
      </c>
      <c r="Z219">
        <v>14.625</v>
      </c>
      <c r="AA219">
        <v>14.635</v>
      </c>
      <c r="AB219">
        <v>14.65</v>
      </c>
      <c r="AC219">
        <v>14.664999999999999</v>
      </c>
      <c r="AD219">
        <v>14.7</v>
      </c>
      <c r="AF219">
        <v>14.73</v>
      </c>
      <c r="AH219">
        <v>14.76</v>
      </c>
      <c r="AI219">
        <v>14.76</v>
      </c>
      <c r="AJ219">
        <v>14.73</v>
      </c>
      <c r="AK219">
        <v>14.67</v>
      </c>
      <c r="AL219">
        <v>14.65</v>
      </c>
      <c r="AN219">
        <v>14.56</v>
      </c>
      <c r="AO219">
        <v>14.47</v>
      </c>
    </row>
    <row r="220" spans="1:41" x14ac:dyDescent="0.35">
      <c r="A220" s="2">
        <v>45727</v>
      </c>
      <c r="C220">
        <v>14.56</v>
      </c>
      <c r="D220">
        <v>14.61</v>
      </c>
      <c r="E220">
        <v>14.65</v>
      </c>
      <c r="F220">
        <v>14.71</v>
      </c>
      <c r="G220">
        <v>14.73</v>
      </c>
      <c r="H220">
        <v>14.744999999999999</v>
      </c>
      <c r="I220">
        <v>14.755000000000001</v>
      </c>
      <c r="L220">
        <v>14.71</v>
      </c>
      <c r="O220">
        <v>14.61</v>
      </c>
      <c r="Q220">
        <v>14.53</v>
      </c>
      <c r="R220">
        <v>14.484999999999999</v>
      </c>
      <c r="S220">
        <v>14.43</v>
      </c>
      <c r="U220">
        <v>14.41</v>
      </c>
      <c r="V220">
        <v>14.414999999999999</v>
      </c>
      <c r="W220">
        <v>14.404999999999999</v>
      </c>
      <c r="Y220">
        <v>14.45</v>
      </c>
      <c r="Z220">
        <v>14.46</v>
      </c>
      <c r="AA220">
        <v>14.455</v>
      </c>
      <c r="AB220">
        <v>14.49</v>
      </c>
      <c r="AC220">
        <v>14.49</v>
      </c>
      <c r="AD220">
        <v>14.54</v>
      </c>
      <c r="AF220">
        <v>14.55</v>
      </c>
      <c r="AH220">
        <v>14.59</v>
      </c>
      <c r="AI220">
        <v>14.6</v>
      </c>
      <c r="AJ220">
        <v>14.58</v>
      </c>
      <c r="AK220">
        <v>14.53</v>
      </c>
      <c r="AL220">
        <v>14.53</v>
      </c>
      <c r="AM220">
        <v>14.47</v>
      </c>
      <c r="AN220">
        <v>14.43</v>
      </c>
      <c r="AO220">
        <v>14.41</v>
      </c>
    </row>
    <row r="221" spans="1:41" x14ac:dyDescent="0.35">
      <c r="A221" s="2">
        <v>45728</v>
      </c>
      <c r="B221">
        <v>14.484999999999999</v>
      </c>
      <c r="C221">
        <v>14.555</v>
      </c>
      <c r="D221">
        <v>14.6</v>
      </c>
      <c r="E221">
        <v>14.635</v>
      </c>
      <c r="F221">
        <v>14.69</v>
      </c>
      <c r="G221">
        <v>14.715</v>
      </c>
      <c r="H221">
        <v>14.734999999999999</v>
      </c>
      <c r="I221">
        <v>14.744999999999999</v>
      </c>
      <c r="L221">
        <v>14.715</v>
      </c>
      <c r="O221">
        <v>14.62</v>
      </c>
      <c r="Q221">
        <v>14.565</v>
      </c>
      <c r="R221">
        <v>14.515000000000001</v>
      </c>
      <c r="S221">
        <v>14.465</v>
      </c>
      <c r="U221">
        <v>14.465</v>
      </c>
      <c r="V221">
        <v>14.47</v>
      </c>
      <c r="W221">
        <v>14.45</v>
      </c>
      <c r="X221">
        <v>14.494999999999999</v>
      </c>
      <c r="Y221">
        <v>14.525</v>
      </c>
      <c r="Z221">
        <v>14.54</v>
      </c>
      <c r="AA221">
        <v>14.525</v>
      </c>
      <c r="AB221">
        <v>14.574999999999999</v>
      </c>
      <c r="AC221">
        <v>14.6</v>
      </c>
      <c r="AD221">
        <v>14.64</v>
      </c>
      <c r="AF221">
        <v>14.65</v>
      </c>
      <c r="AH221">
        <v>14.69</v>
      </c>
      <c r="AI221">
        <v>14.71</v>
      </c>
      <c r="AJ221">
        <v>14.71</v>
      </c>
      <c r="AK221">
        <v>14.62</v>
      </c>
      <c r="AL221">
        <v>14.66</v>
      </c>
      <c r="AM221">
        <v>14.55</v>
      </c>
      <c r="AN221">
        <v>14.53</v>
      </c>
    </row>
    <row r="222" spans="1:41" x14ac:dyDescent="0.35">
      <c r="A222" s="2">
        <v>45729</v>
      </c>
      <c r="B222">
        <v>14.51</v>
      </c>
      <c r="C222">
        <v>14.59</v>
      </c>
      <c r="D222">
        <v>14.63</v>
      </c>
      <c r="E222">
        <v>14.664999999999999</v>
      </c>
      <c r="F222">
        <v>14.72</v>
      </c>
      <c r="G222">
        <v>14.73</v>
      </c>
      <c r="H222">
        <v>14.75</v>
      </c>
      <c r="I222">
        <v>14.75</v>
      </c>
      <c r="L222">
        <v>14.68</v>
      </c>
      <c r="O222">
        <v>14.56</v>
      </c>
      <c r="Q222">
        <v>14.49</v>
      </c>
      <c r="R222">
        <v>14.445</v>
      </c>
      <c r="S222">
        <v>14.385</v>
      </c>
      <c r="U222">
        <v>14.35</v>
      </c>
      <c r="V222">
        <v>14.335000000000001</v>
      </c>
      <c r="W222">
        <v>14.32</v>
      </c>
      <c r="X222">
        <v>14.355</v>
      </c>
      <c r="Y222">
        <v>14.385</v>
      </c>
      <c r="Z222">
        <v>14.41</v>
      </c>
      <c r="AA222">
        <v>14.404999999999999</v>
      </c>
      <c r="AB222">
        <v>14.43</v>
      </c>
      <c r="AC222">
        <v>14.455</v>
      </c>
      <c r="AD222">
        <v>14.5</v>
      </c>
      <c r="AF222">
        <v>14.51</v>
      </c>
      <c r="AH222">
        <v>14.55</v>
      </c>
      <c r="AI222">
        <v>14.58</v>
      </c>
      <c r="AJ222">
        <v>14.57</v>
      </c>
      <c r="AK222">
        <v>14.49</v>
      </c>
      <c r="AL222">
        <v>14.53</v>
      </c>
      <c r="AM222">
        <v>14.45</v>
      </c>
      <c r="AN222">
        <v>14.42</v>
      </c>
    </row>
    <row r="223" spans="1:41" x14ac:dyDescent="0.35">
      <c r="A223" s="2">
        <v>45730</v>
      </c>
      <c r="B223">
        <v>14.515000000000001</v>
      </c>
      <c r="C223">
        <v>14.59</v>
      </c>
      <c r="D223">
        <v>14.63</v>
      </c>
      <c r="E223">
        <v>14.67</v>
      </c>
      <c r="F223">
        <v>14.73</v>
      </c>
      <c r="G223">
        <v>14.75</v>
      </c>
      <c r="H223">
        <v>14.76</v>
      </c>
      <c r="I223">
        <v>14.77</v>
      </c>
      <c r="L223">
        <v>14.705</v>
      </c>
      <c r="O223">
        <v>14.59</v>
      </c>
      <c r="Q223">
        <v>14.525</v>
      </c>
      <c r="R223">
        <v>14.47</v>
      </c>
      <c r="S223">
        <v>14.41</v>
      </c>
      <c r="U223">
        <v>14.37</v>
      </c>
      <c r="V223">
        <v>14.37</v>
      </c>
      <c r="W223">
        <v>14.345000000000001</v>
      </c>
      <c r="X223">
        <v>14.38</v>
      </c>
      <c r="Y223">
        <v>14.4</v>
      </c>
      <c r="Z223">
        <v>14.41</v>
      </c>
      <c r="AA223">
        <v>14.42</v>
      </c>
      <c r="AB223">
        <v>14.44</v>
      </c>
      <c r="AC223">
        <v>14.47</v>
      </c>
      <c r="AD223">
        <v>14.51</v>
      </c>
      <c r="AF223">
        <v>14.53</v>
      </c>
      <c r="AH223">
        <v>14.57</v>
      </c>
      <c r="AI223">
        <v>14.59</v>
      </c>
      <c r="AJ223">
        <v>14.59</v>
      </c>
      <c r="AK223">
        <v>14.55</v>
      </c>
      <c r="AL223">
        <v>14.56</v>
      </c>
      <c r="AM223">
        <v>14.31</v>
      </c>
      <c r="AN223">
        <v>14.44</v>
      </c>
      <c r="AO223">
        <v>14.41</v>
      </c>
    </row>
    <row r="224" spans="1:41" x14ac:dyDescent="0.35">
      <c r="A224" s="2">
        <v>45731</v>
      </c>
    </row>
    <row r="225" spans="1:43" x14ac:dyDescent="0.35">
      <c r="A225" s="2">
        <v>45732</v>
      </c>
    </row>
    <row r="226" spans="1:43" x14ac:dyDescent="0.35">
      <c r="A226" s="2">
        <v>45733</v>
      </c>
      <c r="B226">
        <v>14.55</v>
      </c>
      <c r="C226">
        <v>14.615</v>
      </c>
      <c r="D226">
        <v>14.664999999999999</v>
      </c>
      <c r="E226">
        <v>14.69</v>
      </c>
      <c r="F226">
        <v>14.74</v>
      </c>
      <c r="G226">
        <v>14.76</v>
      </c>
      <c r="H226">
        <v>14.77</v>
      </c>
      <c r="I226">
        <v>14.77</v>
      </c>
      <c r="L226">
        <v>14.695</v>
      </c>
      <c r="O226">
        <v>14.57</v>
      </c>
      <c r="Q226">
        <v>14.48</v>
      </c>
      <c r="R226">
        <v>14.42</v>
      </c>
      <c r="S226">
        <v>14.33</v>
      </c>
      <c r="U226">
        <v>14.29</v>
      </c>
      <c r="V226">
        <v>14.275</v>
      </c>
      <c r="W226">
        <v>14.26</v>
      </c>
      <c r="X226">
        <v>14.265000000000001</v>
      </c>
      <c r="Y226">
        <v>14.295</v>
      </c>
      <c r="Z226">
        <v>14.315</v>
      </c>
      <c r="AA226">
        <v>14.31</v>
      </c>
      <c r="AB226">
        <v>14.32</v>
      </c>
      <c r="AC226">
        <v>14.36</v>
      </c>
      <c r="AD226">
        <v>14.34</v>
      </c>
      <c r="AF226">
        <v>14.46</v>
      </c>
      <c r="AH226">
        <v>14.49</v>
      </c>
      <c r="AI226">
        <v>14.52</v>
      </c>
      <c r="AJ226">
        <v>14.51</v>
      </c>
      <c r="AK226">
        <v>14.41</v>
      </c>
      <c r="AL226">
        <v>14.48</v>
      </c>
      <c r="AM226">
        <v>14.36</v>
      </c>
      <c r="AN226">
        <v>14.37</v>
      </c>
      <c r="AO226">
        <v>14.26</v>
      </c>
    </row>
    <row r="227" spans="1:43" x14ac:dyDescent="0.35">
      <c r="A227" s="2">
        <v>45734</v>
      </c>
      <c r="B227">
        <v>14.555</v>
      </c>
      <c r="C227">
        <v>14.615</v>
      </c>
      <c r="D227">
        <v>14.645</v>
      </c>
      <c r="E227">
        <v>14.675000000000001</v>
      </c>
      <c r="F227">
        <v>14.72</v>
      </c>
      <c r="G227">
        <v>14.734999999999999</v>
      </c>
      <c r="H227">
        <v>14.744999999999999</v>
      </c>
      <c r="I227">
        <v>14.74</v>
      </c>
      <c r="L227">
        <v>14.66</v>
      </c>
      <c r="O227">
        <v>14.51</v>
      </c>
      <c r="Q227">
        <v>14.414999999999999</v>
      </c>
      <c r="R227">
        <v>14.34</v>
      </c>
      <c r="S227">
        <v>14.25</v>
      </c>
      <c r="U227">
        <v>14.205</v>
      </c>
      <c r="V227">
        <v>14.14</v>
      </c>
      <c r="W227">
        <v>14.135</v>
      </c>
      <c r="X227">
        <v>14.145</v>
      </c>
      <c r="Y227">
        <v>14.175000000000001</v>
      </c>
      <c r="Z227">
        <v>14.195</v>
      </c>
      <c r="AA227">
        <v>14.175000000000001</v>
      </c>
      <c r="AB227">
        <v>14.22</v>
      </c>
      <c r="AC227">
        <v>14.244999999999999</v>
      </c>
      <c r="AD227">
        <v>14.26</v>
      </c>
      <c r="AF227">
        <v>14.31</v>
      </c>
      <c r="AH227">
        <v>14.37</v>
      </c>
      <c r="AI227">
        <v>14.41</v>
      </c>
      <c r="AJ227">
        <v>14.4</v>
      </c>
      <c r="AK227">
        <v>14.35</v>
      </c>
      <c r="AL227">
        <v>14.36</v>
      </c>
      <c r="AM227">
        <v>14.26</v>
      </c>
      <c r="AN227">
        <v>14.24</v>
      </c>
      <c r="AO227">
        <v>14.15</v>
      </c>
    </row>
    <row r="228" spans="1:43" x14ac:dyDescent="0.35">
      <c r="A228" s="2">
        <v>45735</v>
      </c>
      <c r="B228">
        <v>14.545</v>
      </c>
      <c r="C228">
        <v>14.6</v>
      </c>
      <c r="D228">
        <v>14.63</v>
      </c>
      <c r="E228">
        <v>14.66</v>
      </c>
      <c r="F228">
        <v>14.71</v>
      </c>
      <c r="G228">
        <v>14.72</v>
      </c>
      <c r="H228">
        <v>14.72</v>
      </c>
      <c r="I228">
        <v>14.715</v>
      </c>
      <c r="L228">
        <v>14.63</v>
      </c>
      <c r="O228">
        <v>14.494999999999999</v>
      </c>
      <c r="Q228">
        <v>14.4</v>
      </c>
      <c r="R228">
        <v>14.285</v>
      </c>
      <c r="S228">
        <v>14.215</v>
      </c>
      <c r="U228">
        <v>14.145</v>
      </c>
      <c r="V228">
        <v>13.91</v>
      </c>
      <c r="W228">
        <v>14.07</v>
      </c>
      <c r="X228">
        <v>14.074999999999999</v>
      </c>
      <c r="Y228">
        <v>14.09</v>
      </c>
      <c r="Z228">
        <v>14.095000000000001</v>
      </c>
      <c r="AA228">
        <v>14.07</v>
      </c>
      <c r="AB228">
        <v>14.125</v>
      </c>
      <c r="AC228">
        <v>14.14</v>
      </c>
      <c r="AD228">
        <v>14.02</v>
      </c>
      <c r="AF228">
        <v>14.21</v>
      </c>
      <c r="AH228">
        <v>14.25</v>
      </c>
      <c r="AI228">
        <v>14.28</v>
      </c>
      <c r="AJ228">
        <v>14.28</v>
      </c>
      <c r="AK228">
        <v>14.21</v>
      </c>
      <c r="AL228">
        <v>14.25</v>
      </c>
      <c r="AM228">
        <v>14.13</v>
      </c>
      <c r="AN228">
        <v>14.14</v>
      </c>
    </row>
    <row r="229" spans="1:43" x14ac:dyDescent="0.35">
      <c r="A229" s="2">
        <v>45736</v>
      </c>
      <c r="B229">
        <v>14.664999999999999</v>
      </c>
      <c r="C229">
        <v>14.73</v>
      </c>
      <c r="D229">
        <v>14.775</v>
      </c>
      <c r="E229">
        <v>14.81</v>
      </c>
      <c r="F229">
        <v>14.86</v>
      </c>
      <c r="G229">
        <v>14.885</v>
      </c>
      <c r="H229">
        <v>14.895</v>
      </c>
      <c r="I229">
        <v>14.904999999999999</v>
      </c>
      <c r="L229">
        <v>14.86</v>
      </c>
      <c r="O229">
        <v>14.765000000000001</v>
      </c>
      <c r="Q229">
        <v>14.69</v>
      </c>
      <c r="R229">
        <v>14.62</v>
      </c>
      <c r="S229">
        <v>14.545</v>
      </c>
      <c r="U229">
        <v>14.49</v>
      </c>
      <c r="V229">
        <v>14.445</v>
      </c>
      <c r="W229">
        <v>14.41</v>
      </c>
      <c r="X229">
        <v>14.41</v>
      </c>
      <c r="Y229">
        <v>14.43</v>
      </c>
      <c r="Z229">
        <v>14.44</v>
      </c>
      <c r="AA229">
        <v>14.42</v>
      </c>
      <c r="AB229">
        <v>14.455</v>
      </c>
      <c r="AC229">
        <v>14.484999999999999</v>
      </c>
      <c r="AD229">
        <v>14.525</v>
      </c>
      <c r="AF229">
        <v>14.55</v>
      </c>
      <c r="AH229">
        <v>14.59</v>
      </c>
      <c r="AI229">
        <v>14.62</v>
      </c>
      <c r="AJ229">
        <v>14.61</v>
      </c>
      <c r="AK229">
        <v>14.54</v>
      </c>
      <c r="AL229">
        <v>14.56</v>
      </c>
      <c r="AM229">
        <v>14.45</v>
      </c>
      <c r="AN229">
        <v>14.44</v>
      </c>
    </row>
    <row r="230" spans="1:43" x14ac:dyDescent="0.35">
      <c r="A230" s="2">
        <v>45737</v>
      </c>
      <c r="B230">
        <v>14.71</v>
      </c>
      <c r="C230">
        <v>14.785</v>
      </c>
      <c r="D230">
        <v>14.83</v>
      </c>
      <c r="E230">
        <v>14.87</v>
      </c>
      <c r="F230">
        <v>14.925000000000001</v>
      </c>
      <c r="G230">
        <v>14.955</v>
      </c>
      <c r="H230">
        <v>14.97</v>
      </c>
      <c r="I230">
        <v>14.98</v>
      </c>
      <c r="L230">
        <v>14.95</v>
      </c>
      <c r="O230">
        <v>14.845000000000001</v>
      </c>
      <c r="Q230">
        <v>14.78</v>
      </c>
      <c r="R230">
        <v>14.72</v>
      </c>
      <c r="S230">
        <v>14.654999999999999</v>
      </c>
      <c r="U230">
        <v>14.58</v>
      </c>
      <c r="V230">
        <v>14.535</v>
      </c>
      <c r="W230">
        <v>14.51</v>
      </c>
      <c r="X230">
        <v>14.51</v>
      </c>
      <c r="Y230">
        <v>14.515000000000001</v>
      </c>
      <c r="Z230">
        <v>14.51</v>
      </c>
      <c r="AA230">
        <v>14.52</v>
      </c>
      <c r="AB230">
        <v>14.53</v>
      </c>
      <c r="AC230">
        <v>14.55</v>
      </c>
      <c r="AD230">
        <v>14.57</v>
      </c>
      <c r="AF230">
        <v>14.6</v>
      </c>
      <c r="AH230">
        <v>14.63</v>
      </c>
      <c r="AI230">
        <v>14.63</v>
      </c>
      <c r="AJ230">
        <v>14.61</v>
      </c>
      <c r="AK230">
        <v>14.58</v>
      </c>
      <c r="AL230">
        <v>14.57</v>
      </c>
      <c r="AM230">
        <v>14.45</v>
      </c>
      <c r="AN230">
        <v>14.42</v>
      </c>
      <c r="AO230">
        <v>14.7</v>
      </c>
      <c r="AP230">
        <v>14.7</v>
      </c>
      <c r="AQ230">
        <v>14.7</v>
      </c>
    </row>
    <row r="231" spans="1:43" x14ac:dyDescent="0.35">
      <c r="A231" s="2">
        <v>45738</v>
      </c>
    </row>
    <row r="232" spans="1:43" x14ac:dyDescent="0.35">
      <c r="A232" s="2">
        <v>45739</v>
      </c>
    </row>
    <row r="233" spans="1:43" x14ac:dyDescent="0.35">
      <c r="A233" s="2">
        <v>45740</v>
      </c>
      <c r="B233">
        <v>14.77</v>
      </c>
      <c r="C233">
        <v>14.855</v>
      </c>
      <c r="D233">
        <v>14.91</v>
      </c>
      <c r="E233">
        <v>14.95</v>
      </c>
      <c r="F233">
        <v>15.025</v>
      </c>
      <c r="G233">
        <v>15.045</v>
      </c>
      <c r="H233">
        <v>15.07</v>
      </c>
      <c r="I233">
        <v>15.085000000000001</v>
      </c>
      <c r="L233">
        <v>15.06</v>
      </c>
      <c r="O233">
        <v>14.984999999999999</v>
      </c>
      <c r="Q233">
        <v>14.92</v>
      </c>
      <c r="R233">
        <v>14.87</v>
      </c>
      <c r="S233">
        <v>14.81</v>
      </c>
      <c r="U233">
        <v>14.77</v>
      </c>
      <c r="V233">
        <v>14.73</v>
      </c>
      <c r="W233">
        <v>14.7</v>
      </c>
      <c r="X233">
        <v>14.705</v>
      </c>
      <c r="Y233">
        <v>14.72</v>
      </c>
      <c r="Z233">
        <v>14.72</v>
      </c>
      <c r="AA233">
        <v>14.71</v>
      </c>
      <c r="AB233">
        <v>14.734999999999999</v>
      </c>
      <c r="AC233">
        <v>14.76</v>
      </c>
      <c r="AD233">
        <v>14.775</v>
      </c>
      <c r="AF233">
        <v>14.8</v>
      </c>
      <c r="AH233">
        <v>14.83</v>
      </c>
      <c r="AI233">
        <v>14.84</v>
      </c>
      <c r="AJ233">
        <v>14.84</v>
      </c>
      <c r="AK233">
        <v>14.77</v>
      </c>
      <c r="AL233">
        <v>14.78</v>
      </c>
      <c r="AM233">
        <v>14.67</v>
      </c>
      <c r="AN233">
        <v>14.56</v>
      </c>
      <c r="AO233">
        <v>14.47</v>
      </c>
    </row>
    <row r="234" spans="1:43" x14ac:dyDescent="0.35">
      <c r="A234" s="2">
        <v>45741</v>
      </c>
      <c r="B234">
        <v>14.824999999999999</v>
      </c>
      <c r="C234">
        <v>14.925000000000001</v>
      </c>
      <c r="D234">
        <v>14.984999999999999</v>
      </c>
      <c r="E234">
        <v>15.04</v>
      </c>
      <c r="F234">
        <v>15.115</v>
      </c>
      <c r="G234">
        <v>15.15</v>
      </c>
      <c r="H234">
        <v>15.17</v>
      </c>
      <c r="I234">
        <v>15.19</v>
      </c>
      <c r="L234">
        <v>15.175000000000001</v>
      </c>
      <c r="O234">
        <v>15.085000000000001</v>
      </c>
      <c r="Q234">
        <v>15.03</v>
      </c>
      <c r="R234">
        <v>14.994999999999999</v>
      </c>
      <c r="S234">
        <v>14.93</v>
      </c>
      <c r="U234">
        <v>14.87</v>
      </c>
      <c r="V234">
        <v>14.83</v>
      </c>
      <c r="W234">
        <v>14.8</v>
      </c>
      <c r="X234">
        <v>14.775</v>
      </c>
      <c r="Y234">
        <v>14.795</v>
      </c>
      <c r="Z234">
        <v>14.775</v>
      </c>
      <c r="AA234">
        <v>14.765000000000001</v>
      </c>
      <c r="AB234">
        <v>14.7</v>
      </c>
      <c r="AC234">
        <v>14.795</v>
      </c>
      <c r="AD234">
        <v>14.815</v>
      </c>
      <c r="AF234">
        <v>14.84</v>
      </c>
      <c r="AH234">
        <v>14.85</v>
      </c>
      <c r="AI234">
        <v>14.86</v>
      </c>
      <c r="AJ234">
        <v>14.84</v>
      </c>
      <c r="AK234">
        <v>14.77</v>
      </c>
      <c r="AL234">
        <v>14.79</v>
      </c>
      <c r="AM234">
        <v>14.75</v>
      </c>
      <c r="AN234">
        <v>14.68</v>
      </c>
      <c r="AO234">
        <v>14.61</v>
      </c>
      <c r="AP234">
        <v>14.51</v>
      </c>
      <c r="AQ234">
        <v>14.46</v>
      </c>
    </row>
    <row r="235" spans="1:43" x14ac:dyDescent="0.35">
      <c r="A235" s="2">
        <v>45742</v>
      </c>
      <c r="B235">
        <v>14.845000000000001</v>
      </c>
      <c r="C235">
        <v>14.96</v>
      </c>
      <c r="D235">
        <v>15.04</v>
      </c>
      <c r="E235">
        <v>15.085000000000001</v>
      </c>
      <c r="F235">
        <v>15.16</v>
      </c>
      <c r="G235">
        <v>15.2</v>
      </c>
      <c r="H235">
        <v>15.23</v>
      </c>
      <c r="I235">
        <v>15.244999999999999</v>
      </c>
      <c r="L235">
        <v>15.25</v>
      </c>
      <c r="O235">
        <v>15.19</v>
      </c>
      <c r="Q235">
        <v>15.145</v>
      </c>
      <c r="R235">
        <v>15.09</v>
      </c>
      <c r="S235">
        <v>15.015000000000001</v>
      </c>
      <c r="U235">
        <v>14.975</v>
      </c>
      <c r="V235">
        <v>14.935</v>
      </c>
      <c r="W235">
        <v>14.875</v>
      </c>
      <c r="X235">
        <v>14.89</v>
      </c>
      <c r="Y235">
        <v>14.9</v>
      </c>
      <c r="Z235">
        <v>14.895</v>
      </c>
      <c r="AA235">
        <v>14.86</v>
      </c>
      <c r="AB235">
        <v>14.895</v>
      </c>
      <c r="AC235">
        <v>14.904999999999999</v>
      </c>
      <c r="AD235">
        <v>14.935</v>
      </c>
      <c r="AF235">
        <v>14.94</v>
      </c>
      <c r="AH235">
        <v>14.97</v>
      </c>
      <c r="AI235">
        <v>14.98</v>
      </c>
      <c r="AJ235">
        <v>14.95</v>
      </c>
      <c r="AK235">
        <v>14.87</v>
      </c>
      <c r="AL235">
        <v>14.89</v>
      </c>
      <c r="AM235">
        <v>14.84</v>
      </c>
      <c r="AN235">
        <v>14.77</v>
      </c>
      <c r="AO235">
        <v>14.72</v>
      </c>
      <c r="AP235">
        <v>14.64</v>
      </c>
      <c r="AQ235">
        <v>14.61</v>
      </c>
    </row>
    <row r="236" spans="1:43" x14ac:dyDescent="0.35">
      <c r="A236" s="2">
        <v>45743</v>
      </c>
      <c r="B236">
        <v>14.824999999999999</v>
      </c>
      <c r="C236">
        <v>14.92</v>
      </c>
      <c r="D236">
        <v>14.98</v>
      </c>
      <c r="E236">
        <v>15.025</v>
      </c>
      <c r="F236">
        <v>15.1</v>
      </c>
      <c r="G236">
        <v>15.125</v>
      </c>
      <c r="H236">
        <v>15.154999999999999</v>
      </c>
      <c r="I236">
        <v>15.164999999999999</v>
      </c>
      <c r="L236">
        <v>15.14</v>
      </c>
      <c r="O236">
        <v>15.05</v>
      </c>
      <c r="Q236">
        <v>14.994999999999999</v>
      </c>
      <c r="R236">
        <v>14.935</v>
      </c>
      <c r="S236">
        <v>14.87</v>
      </c>
      <c r="U236">
        <v>14.82</v>
      </c>
      <c r="V236">
        <v>14.78</v>
      </c>
      <c r="W236">
        <v>14.734999999999999</v>
      </c>
      <c r="X236">
        <v>14.76</v>
      </c>
      <c r="Y236">
        <v>14.775</v>
      </c>
      <c r="Z236">
        <v>14.78</v>
      </c>
      <c r="AA236">
        <v>14.765000000000001</v>
      </c>
      <c r="AB236">
        <v>14.775</v>
      </c>
      <c r="AC236">
        <v>14.785</v>
      </c>
      <c r="AD236">
        <v>14.83</v>
      </c>
      <c r="AF236">
        <v>14.84</v>
      </c>
      <c r="AH236">
        <v>14.87</v>
      </c>
      <c r="AI236">
        <v>14.88</v>
      </c>
      <c r="AJ236">
        <v>14.87</v>
      </c>
      <c r="AK236">
        <v>14.79</v>
      </c>
      <c r="AL236">
        <v>14.83</v>
      </c>
      <c r="AM236">
        <v>14.78</v>
      </c>
      <c r="AN236">
        <v>14.71</v>
      </c>
      <c r="AO236">
        <v>14.1</v>
      </c>
      <c r="AP236">
        <v>14.05</v>
      </c>
      <c r="AQ236">
        <v>14.23</v>
      </c>
    </row>
    <row r="237" spans="1:43" x14ac:dyDescent="0.35">
      <c r="A237" s="2">
        <v>45744</v>
      </c>
      <c r="B237">
        <v>14.85</v>
      </c>
      <c r="C237">
        <v>14.945</v>
      </c>
      <c r="D237">
        <v>15.005000000000001</v>
      </c>
      <c r="E237">
        <v>15.05</v>
      </c>
      <c r="F237">
        <v>15.115</v>
      </c>
      <c r="G237">
        <v>15.15</v>
      </c>
      <c r="H237">
        <v>15.17</v>
      </c>
      <c r="I237">
        <v>15.185</v>
      </c>
      <c r="L237">
        <v>15.175000000000001</v>
      </c>
      <c r="O237">
        <v>15.1</v>
      </c>
      <c r="Q237">
        <v>15.055</v>
      </c>
      <c r="R237">
        <v>15.01</v>
      </c>
      <c r="S237">
        <v>14.95</v>
      </c>
      <c r="U237">
        <v>14.88</v>
      </c>
      <c r="V237">
        <v>14.835000000000001</v>
      </c>
      <c r="W237">
        <v>14.8</v>
      </c>
      <c r="X237">
        <v>14.805</v>
      </c>
      <c r="Y237">
        <v>14.8</v>
      </c>
      <c r="Z237">
        <v>14.79</v>
      </c>
      <c r="AA237">
        <v>14.8</v>
      </c>
      <c r="AB237">
        <v>14.815</v>
      </c>
      <c r="AC237">
        <v>14.82</v>
      </c>
      <c r="AD237">
        <v>14.824999999999999</v>
      </c>
      <c r="AF237">
        <v>14.9</v>
      </c>
      <c r="AH237">
        <v>14.88</v>
      </c>
      <c r="AI237">
        <v>14.91</v>
      </c>
      <c r="AJ237">
        <v>14.92</v>
      </c>
      <c r="AK237">
        <v>14.85</v>
      </c>
      <c r="AL237">
        <v>14.85</v>
      </c>
      <c r="AM237">
        <v>14.79</v>
      </c>
      <c r="AN237">
        <v>14.72</v>
      </c>
      <c r="AO237">
        <v>14.65</v>
      </c>
      <c r="AP237">
        <v>14.59</v>
      </c>
      <c r="AQ237">
        <v>14.56</v>
      </c>
    </row>
    <row r="238" spans="1:43" x14ac:dyDescent="0.35">
      <c r="A238" s="2">
        <v>45745</v>
      </c>
    </row>
    <row r="239" spans="1:43" x14ac:dyDescent="0.35">
      <c r="A239" s="2">
        <v>45746</v>
      </c>
    </row>
    <row r="240" spans="1:43" x14ac:dyDescent="0.35">
      <c r="A240" s="2">
        <v>45747</v>
      </c>
      <c r="B240">
        <v>14.78</v>
      </c>
      <c r="C240">
        <v>14.87</v>
      </c>
      <c r="D240">
        <v>14.914999999999999</v>
      </c>
      <c r="E240">
        <v>14.955</v>
      </c>
      <c r="F240">
        <v>15.015000000000001</v>
      </c>
      <c r="G240">
        <v>15.04</v>
      </c>
      <c r="H240">
        <v>15.06</v>
      </c>
      <c r="I240">
        <v>15.07</v>
      </c>
      <c r="L240">
        <v>15.045</v>
      </c>
      <c r="O240">
        <v>14.965</v>
      </c>
      <c r="Q240">
        <v>14.92</v>
      </c>
      <c r="R240">
        <v>14.875</v>
      </c>
      <c r="S240">
        <v>14.815</v>
      </c>
      <c r="U240">
        <v>14.744999999999999</v>
      </c>
      <c r="V240">
        <v>14.725</v>
      </c>
      <c r="W240">
        <v>14.68</v>
      </c>
      <c r="X240">
        <v>14.7</v>
      </c>
      <c r="Y240">
        <v>14.705</v>
      </c>
      <c r="Z240">
        <v>14.72</v>
      </c>
      <c r="AA240">
        <v>14.71</v>
      </c>
      <c r="AB240">
        <v>14.75</v>
      </c>
      <c r="AC240">
        <v>14.755000000000001</v>
      </c>
      <c r="AD240">
        <v>14.81</v>
      </c>
      <c r="AF240">
        <v>14.8</v>
      </c>
      <c r="AH240">
        <v>14.85</v>
      </c>
      <c r="AI240">
        <v>14.84</v>
      </c>
      <c r="AJ240">
        <v>14.85</v>
      </c>
      <c r="AK240">
        <v>14.82</v>
      </c>
      <c r="AL240">
        <v>14.81</v>
      </c>
      <c r="AM240">
        <v>14.76</v>
      </c>
      <c r="AN240">
        <v>14.7</v>
      </c>
      <c r="AO240">
        <v>14.64</v>
      </c>
      <c r="AP240">
        <v>14.59</v>
      </c>
      <c r="AQ240">
        <v>14.56</v>
      </c>
    </row>
    <row r="241" spans="1:43" x14ac:dyDescent="0.35">
      <c r="A241" s="2">
        <v>45748</v>
      </c>
      <c r="B241">
        <v>14.775</v>
      </c>
      <c r="C241">
        <v>14.86</v>
      </c>
      <c r="D241">
        <v>14.904999999999999</v>
      </c>
      <c r="E241">
        <v>14.945</v>
      </c>
      <c r="F241">
        <v>15</v>
      </c>
      <c r="G241">
        <v>15.025</v>
      </c>
      <c r="H241">
        <v>15.04</v>
      </c>
      <c r="I241">
        <v>15.045</v>
      </c>
      <c r="L241">
        <v>15.015000000000001</v>
      </c>
      <c r="O241">
        <v>14.914999999999999</v>
      </c>
      <c r="Q241">
        <v>14.835000000000001</v>
      </c>
      <c r="R241">
        <v>14.77</v>
      </c>
      <c r="S241">
        <v>14.705</v>
      </c>
      <c r="U241">
        <v>14.625</v>
      </c>
      <c r="V241">
        <v>14.6</v>
      </c>
      <c r="W241">
        <v>14.57</v>
      </c>
      <c r="X241">
        <v>14.57</v>
      </c>
      <c r="Y241">
        <v>14.59</v>
      </c>
      <c r="Z241">
        <v>14.59</v>
      </c>
      <c r="AA241">
        <v>14.595000000000001</v>
      </c>
      <c r="AB241">
        <v>14.61</v>
      </c>
      <c r="AC241">
        <v>14.63</v>
      </c>
      <c r="AD241">
        <v>14.66</v>
      </c>
      <c r="AE241">
        <v>14.675000000000001</v>
      </c>
      <c r="AF241">
        <v>14.69</v>
      </c>
      <c r="AH241">
        <v>14.73</v>
      </c>
      <c r="AI241">
        <v>14.74</v>
      </c>
      <c r="AJ241">
        <v>14.73</v>
      </c>
      <c r="AK241">
        <v>14.68</v>
      </c>
      <c r="AL241">
        <v>14.69</v>
      </c>
      <c r="AM241">
        <v>14.62</v>
      </c>
      <c r="AN241">
        <v>14.59</v>
      </c>
      <c r="AO241">
        <v>14.51</v>
      </c>
      <c r="AP241">
        <v>14.46</v>
      </c>
      <c r="AQ241">
        <v>14.43</v>
      </c>
    </row>
    <row r="242" spans="1:43" x14ac:dyDescent="0.35">
      <c r="A242" s="2">
        <v>45749</v>
      </c>
      <c r="B242">
        <v>14.775</v>
      </c>
      <c r="C242">
        <v>14.855</v>
      </c>
      <c r="D242">
        <v>14.895</v>
      </c>
      <c r="E242">
        <v>14.93</v>
      </c>
      <c r="F242">
        <v>14.975</v>
      </c>
      <c r="G242">
        <v>14.99</v>
      </c>
      <c r="H242">
        <v>14.955</v>
      </c>
      <c r="I242">
        <v>15.005000000000001</v>
      </c>
      <c r="L242">
        <v>14.965</v>
      </c>
      <c r="O242">
        <v>14.86</v>
      </c>
      <c r="Q242">
        <v>14.785</v>
      </c>
      <c r="R242">
        <v>14.74</v>
      </c>
      <c r="S242">
        <v>14.66</v>
      </c>
      <c r="U242">
        <v>14.605</v>
      </c>
      <c r="V242">
        <v>14.57</v>
      </c>
      <c r="W242">
        <v>14.525</v>
      </c>
      <c r="X242">
        <v>14.53</v>
      </c>
      <c r="Y242">
        <v>14.555</v>
      </c>
      <c r="Z242">
        <v>14.565</v>
      </c>
      <c r="AA242">
        <v>14.58</v>
      </c>
      <c r="AB242">
        <v>14.605</v>
      </c>
      <c r="AC242">
        <v>14.625</v>
      </c>
      <c r="AD242">
        <v>14.654999999999999</v>
      </c>
      <c r="AE242">
        <v>14.675000000000001</v>
      </c>
      <c r="AF242">
        <v>14.7</v>
      </c>
      <c r="AH242">
        <v>14.75</v>
      </c>
      <c r="AI242">
        <v>14.78</v>
      </c>
      <c r="AJ242">
        <v>14.78</v>
      </c>
      <c r="AK242">
        <v>14.66</v>
      </c>
      <c r="AL242">
        <v>14.72</v>
      </c>
      <c r="AM242">
        <v>14.66</v>
      </c>
      <c r="AN242">
        <v>14.63</v>
      </c>
      <c r="AO242">
        <v>14.56</v>
      </c>
      <c r="AP242">
        <v>14.51</v>
      </c>
      <c r="AQ242">
        <v>14.48</v>
      </c>
    </row>
    <row r="243" spans="1:43" x14ac:dyDescent="0.35">
      <c r="A243" s="2">
        <v>45750</v>
      </c>
      <c r="B243">
        <v>14.605</v>
      </c>
      <c r="C243">
        <v>14.654999999999999</v>
      </c>
      <c r="D243">
        <v>14.685</v>
      </c>
      <c r="E243">
        <v>14.7</v>
      </c>
      <c r="F243">
        <v>14.74</v>
      </c>
      <c r="G243">
        <v>14.734999999999999</v>
      </c>
      <c r="H243">
        <v>14.734999999999999</v>
      </c>
      <c r="I243">
        <v>14.72</v>
      </c>
      <c r="L243">
        <v>14.63</v>
      </c>
      <c r="O243">
        <v>14.475</v>
      </c>
      <c r="Q243">
        <v>14.365</v>
      </c>
      <c r="R243">
        <v>14.29</v>
      </c>
      <c r="S243">
        <v>14.21</v>
      </c>
      <c r="U243">
        <v>14.145</v>
      </c>
      <c r="V243">
        <v>14.105</v>
      </c>
      <c r="W243">
        <v>14.07</v>
      </c>
      <c r="X243">
        <v>14.085000000000001</v>
      </c>
      <c r="Y243">
        <v>14.11</v>
      </c>
      <c r="Z243">
        <v>14.125</v>
      </c>
      <c r="AA243">
        <v>14.145</v>
      </c>
      <c r="AB243">
        <v>14.18</v>
      </c>
      <c r="AC243">
        <v>14.215</v>
      </c>
      <c r="AE243">
        <v>14.28</v>
      </c>
      <c r="AF243">
        <v>14.31</v>
      </c>
      <c r="AH243">
        <v>14.37</v>
      </c>
      <c r="AI243">
        <v>14.43</v>
      </c>
      <c r="AJ243">
        <v>14.45</v>
      </c>
      <c r="AK243">
        <v>14.41</v>
      </c>
      <c r="AM243">
        <v>14.42</v>
      </c>
      <c r="AN243">
        <v>14.41</v>
      </c>
      <c r="AO243">
        <v>14.32</v>
      </c>
      <c r="AP243">
        <v>14.27</v>
      </c>
      <c r="AQ243">
        <v>14.27</v>
      </c>
    </row>
    <row r="244" spans="1:43" x14ac:dyDescent="0.35">
      <c r="A244" s="2">
        <v>45751</v>
      </c>
      <c r="B244">
        <v>14.555</v>
      </c>
      <c r="C244">
        <v>14.61</v>
      </c>
      <c r="D244">
        <v>14.615</v>
      </c>
      <c r="E244">
        <v>14.635</v>
      </c>
      <c r="F244">
        <v>14.664999999999999</v>
      </c>
      <c r="G244">
        <v>14.64</v>
      </c>
      <c r="H244">
        <v>14.62</v>
      </c>
      <c r="I244">
        <v>14.625</v>
      </c>
      <c r="L244">
        <v>14.48</v>
      </c>
      <c r="O244">
        <v>14.27</v>
      </c>
      <c r="Q244">
        <v>14.185</v>
      </c>
      <c r="R244">
        <v>14.065</v>
      </c>
      <c r="U244">
        <v>13.97</v>
      </c>
      <c r="V244">
        <v>13.94</v>
      </c>
      <c r="W244">
        <v>13.91</v>
      </c>
      <c r="X244">
        <v>13.385</v>
      </c>
      <c r="Y244">
        <v>13.994999999999999</v>
      </c>
      <c r="Z244">
        <v>14.025</v>
      </c>
      <c r="AA244">
        <v>14.045</v>
      </c>
      <c r="AB244">
        <v>14.1</v>
      </c>
      <c r="AC244">
        <v>14.125</v>
      </c>
      <c r="AE244">
        <v>14.22</v>
      </c>
      <c r="AF244">
        <v>14.26</v>
      </c>
      <c r="AH244">
        <v>14.34</v>
      </c>
      <c r="AI244">
        <v>14.4</v>
      </c>
      <c r="AJ244">
        <v>14.44</v>
      </c>
      <c r="AK244">
        <v>14.37</v>
      </c>
      <c r="AM244">
        <v>14.47</v>
      </c>
      <c r="AN244">
        <v>14.39</v>
      </c>
      <c r="AO244">
        <v>14.36</v>
      </c>
      <c r="AP244">
        <v>14.39</v>
      </c>
      <c r="AQ244">
        <v>14.36</v>
      </c>
    </row>
    <row r="245" spans="1:43" x14ac:dyDescent="0.35">
      <c r="A245" s="2">
        <v>45752</v>
      </c>
    </row>
    <row r="246" spans="1:43" x14ac:dyDescent="0.35">
      <c r="A246" s="2">
        <v>45753</v>
      </c>
    </row>
    <row r="247" spans="1:43" x14ac:dyDescent="0.35">
      <c r="A247" s="2">
        <v>45754</v>
      </c>
      <c r="B247">
        <v>14.574999999999999</v>
      </c>
      <c r="C247">
        <v>14.62</v>
      </c>
      <c r="D247">
        <v>14.64</v>
      </c>
      <c r="E247">
        <v>14.654999999999999</v>
      </c>
      <c r="F247">
        <v>14.695</v>
      </c>
      <c r="G247">
        <v>14.68</v>
      </c>
      <c r="H247">
        <v>14.664999999999999</v>
      </c>
      <c r="I247">
        <v>14.635</v>
      </c>
      <c r="L247">
        <v>14.505000000000001</v>
      </c>
      <c r="O247">
        <v>14.335000000000001</v>
      </c>
      <c r="Q247">
        <v>14.215</v>
      </c>
      <c r="R247">
        <v>14.145</v>
      </c>
      <c r="S247">
        <v>14.08</v>
      </c>
      <c r="U247">
        <v>14.025</v>
      </c>
      <c r="V247">
        <v>14.04</v>
      </c>
      <c r="W247">
        <v>14.03</v>
      </c>
      <c r="X247">
        <v>14.04</v>
      </c>
      <c r="Y247">
        <v>14.095000000000001</v>
      </c>
      <c r="Z247">
        <v>14.14</v>
      </c>
      <c r="AA247">
        <v>14.164999999999999</v>
      </c>
      <c r="AB247">
        <v>14.2</v>
      </c>
      <c r="AC247">
        <v>14.234999999999999</v>
      </c>
      <c r="AD247">
        <v>14.27</v>
      </c>
      <c r="AE247">
        <v>14.355</v>
      </c>
      <c r="AF247">
        <v>14.39</v>
      </c>
      <c r="AH247">
        <v>14.45</v>
      </c>
      <c r="AI247">
        <v>14.47</v>
      </c>
      <c r="AJ247">
        <v>14.53</v>
      </c>
      <c r="AK247">
        <v>14.5</v>
      </c>
      <c r="AL247">
        <v>14.57</v>
      </c>
      <c r="AM247">
        <v>14.55</v>
      </c>
      <c r="AN247">
        <v>14.52</v>
      </c>
    </row>
    <row r="248" spans="1:43" x14ac:dyDescent="0.35">
      <c r="A248" s="2">
        <v>45755</v>
      </c>
      <c r="B248">
        <v>14.63</v>
      </c>
      <c r="C248">
        <v>14.68</v>
      </c>
      <c r="D248">
        <v>14.705</v>
      </c>
      <c r="E248">
        <v>14.72</v>
      </c>
      <c r="F248">
        <v>14.76</v>
      </c>
      <c r="G248">
        <v>14.755000000000001</v>
      </c>
      <c r="H248">
        <v>14.75</v>
      </c>
      <c r="I248">
        <v>14.74</v>
      </c>
      <c r="L248">
        <v>14.64</v>
      </c>
      <c r="O248">
        <v>14.494999999999999</v>
      </c>
      <c r="Q248">
        <v>14.39</v>
      </c>
      <c r="R248">
        <v>14.3</v>
      </c>
      <c r="S248">
        <v>14.255000000000001</v>
      </c>
      <c r="U248">
        <v>14.2</v>
      </c>
      <c r="V248">
        <v>14.21</v>
      </c>
      <c r="W248">
        <v>14.205</v>
      </c>
      <c r="X248">
        <v>14.24</v>
      </c>
      <c r="Y248">
        <v>14.28</v>
      </c>
      <c r="Z248">
        <v>14.324999999999999</v>
      </c>
      <c r="AA248">
        <v>14.34</v>
      </c>
      <c r="AB248">
        <v>14.37</v>
      </c>
      <c r="AC248">
        <v>14.42</v>
      </c>
      <c r="AD248">
        <v>14.445</v>
      </c>
      <c r="AE248">
        <v>14.49</v>
      </c>
      <c r="AF248">
        <v>14.51</v>
      </c>
      <c r="AH248">
        <v>14.59</v>
      </c>
      <c r="AI248">
        <v>14.65</v>
      </c>
      <c r="AJ248">
        <v>14.68</v>
      </c>
      <c r="AK248">
        <v>14.65</v>
      </c>
      <c r="AL248">
        <v>14.67</v>
      </c>
      <c r="AM248">
        <v>14.57</v>
      </c>
      <c r="AN248">
        <v>14.64</v>
      </c>
      <c r="AO248">
        <v>14.59</v>
      </c>
    </row>
    <row r="249" spans="1:43" x14ac:dyDescent="0.35">
      <c r="A249" s="2">
        <v>45756</v>
      </c>
      <c r="B249">
        <v>14.65</v>
      </c>
      <c r="C249">
        <v>14.705</v>
      </c>
      <c r="D249">
        <v>14.734999999999999</v>
      </c>
      <c r="E249">
        <v>14.76</v>
      </c>
      <c r="F249">
        <v>14.805</v>
      </c>
      <c r="G249">
        <v>14.81</v>
      </c>
      <c r="H249">
        <v>14.805</v>
      </c>
      <c r="I249">
        <v>14.8</v>
      </c>
      <c r="L249">
        <v>14.715</v>
      </c>
      <c r="O249">
        <v>14.57</v>
      </c>
      <c r="Q249">
        <v>14.475</v>
      </c>
      <c r="R249">
        <v>14.4</v>
      </c>
      <c r="S249">
        <v>14.34</v>
      </c>
      <c r="U249">
        <v>14.3</v>
      </c>
      <c r="V249">
        <v>14.305</v>
      </c>
      <c r="W249">
        <v>14.28</v>
      </c>
      <c r="X249">
        <v>14.315</v>
      </c>
      <c r="Y249">
        <v>14.33</v>
      </c>
      <c r="Z249">
        <v>14.37</v>
      </c>
      <c r="AA249">
        <v>14.375</v>
      </c>
      <c r="AB249">
        <v>14.414999999999999</v>
      </c>
      <c r="AC249">
        <v>14.42</v>
      </c>
      <c r="AD249">
        <v>14.484999999999999</v>
      </c>
      <c r="AE249">
        <v>14.515000000000001</v>
      </c>
      <c r="AF249">
        <v>14.55</v>
      </c>
      <c r="AH249">
        <v>14.62</v>
      </c>
      <c r="AI249">
        <v>14.61</v>
      </c>
      <c r="AJ249">
        <v>14.67</v>
      </c>
      <c r="AK249">
        <v>14.66</v>
      </c>
      <c r="AL249">
        <v>14.72</v>
      </c>
      <c r="AM249">
        <v>14.67</v>
      </c>
      <c r="AN249">
        <v>14.67</v>
      </c>
      <c r="AO249">
        <v>14.64</v>
      </c>
      <c r="AP249">
        <v>14.57</v>
      </c>
      <c r="AQ249">
        <v>14.54</v>
      </c>
    </row>
    <row r="250" spans="1:43" x14ac:dyDescent="0.35">
      <c r="A250" s="2">
        <v>45757</v>
      </c>
      <c r="B250">
        <v>14.645</v>
      </c>
      <c r="C250">
        <v>14.705</v>
      </c>
      <c r="D250">
        <v>14.73</v>
      </c>
      <c r="E250">
        <v>14.75</v>
      </c>
      <c r="F250">
        <v>14.805</v>
      </c>
      <c r="G250">
        <v>14.82</v>
      </c>
      <c r="H250">
        <v>14.835000000000001</v>
      </c>
      <c r="I250">
        <v>14.805</v>
      </c>
      <c r="L250">
        <v>14.72</v>
      </c>
      <c r="O250">
        <v>14.59</v>
      </c>
      <c r="Q250">
        <v>14.505000000000001</v>
      </c>
      <c r="R250">
        <v>14.475</v>
      </c>
      <c r="S250">
        <v>14.4</v>
      </c>
      <c r="U250">
        <v>14.37</v>
      </c>
      <c r="V250">
        <v>14.36</v>
      </c>
      <c r="W250">
        <v>14.345000000000001</v>
      </c>
      <c r="X250">
        <v>14.37</v>
      </c>
      <c r="Y250">
        <v>14.425000000000001</v>
      </c>
      <c r="Z250">
        <v>14.455</v>
      </c>
      <c r="AA250">
        <v>14.47</v>
      </c>
      <c r="AB250">
        <v>14.515000000000001</v>
      </c>
      <c r="AC250">
        <v>14.56</v>
      </c>
      <c r="AD250">
        <v>14.615</v>
      </c>
      <c r="AE250">
        <v>14.645</v>
      </c>
      <c r="AF250">
        <v>14.68</v>
      </c>
      <c r="AH250">
        <v>14.77</v>
      </c>
      <c r="AI250">
        <v>14.84</v>
      </c>
      <c r="AJ250">
        <v>14.88</v>
      </c>
      <c r="AK250">
        <v>14.86</v>
      </c>
      <c r="AL250">
        <v>14.92</v>
      </c>
      <c r="AM250">
        <v>14.89</v>
      </c>
      <c r="AN250">
        <v>14.84</v>
      </c>
      <c r="AO250">
        <v>14.84</v>
      </c>
      <c r="AP250">
        <v>14.79</v>
      </c>
      <c r="AQ250">
        <v>14.76</v>
      </c>
    </row>
    <row r="251" spans="1:43" x14ac:dyDescent="0.35">
      <c r="A251" s="2">
        <v>45758</v>
      </c>
      <c r="B251">
        <v>14.635</v>
      </c>
      <c r="C251">
        <v>14.67</v>
      </c>
      <c r="D251">
        <v>14.685</v>
      </c>
      <c r="E251">
        <v>14.7</v>
      </c>
      <c r="F251">
        <v>14.725</v>
      </c>
      <c r="G251">
        <v>14.72</v>
      </c>
      <c r="H251">
        <v>14.71</v>
      </c>
      <c r="I251">
        <v>14.69</v>
      </c>
      <c r="L251">
        <v>14.58</v>
      </c>
      <c r="O251">
        <v>14.39</v>
      </c>
      <c r="Q251">
        <v>14.31</v>
      </c>
      <c r="R251">
        <v>14.115</v>
      </c>
      <c r="S251">
        <v>14.175000000000001</v>
      </c>
      <c r="U251">
        <v>14.15</v>
      </c>
      <c r="V251">
        <v>14.145</v>
      </c>
      <c r="W251">
        <v>14.115</v>
      </c>
      <c r="X251">
        <v>14.145</v>
      </c>
      <c r="Y251">
        <v>14.195</v>
      </c>
      <c r="Z251">
        <v>14.22</v>
      </c>
      <c r="AA251">
        <v>14.234999999999999</v>
      </c>
      <c r="AB251">
        <v>14.285</v>
      </c>
      <c r="AC251">
        <v>14.324999999999999</v>
      </c>
      <c r="AD251">
        <v>14.375</v>
      </c>
      <c r="AE251">
        <v>14.41</v>
      </c>
      <c r="AF251">
        <v>14.43</v>
      </c>
      <c r="AH251">
        <v>14.49</v>
      </c>
      <c r="AI251">
        <v>14.55</v>
      </c>
      <c r="AJ251">
        <v>14.58</v>
      </c>
      <c r="AK251">
        <v>14.56</v>
      </c>
      <c r="AL251">
        <v>14.57</v>
      </c>
      <c r="AM251">
        <v>14.54</v>
      </c>
      <c r="AN251">
        <v>14.49</v>
      </c>
      <c r="AO251">
        <v>14.43</v>
      </c>
      <c r="AP251">
        <v>14.38</v>
      </c>
      <c r="AQ251">
        <v>14.35</v>
      </c>
    </row>
    <row r="252" spans="1:43" x14ac:dyDescent="0.35">
      <c r="A252" s="2">
        <v>45759</v>
      </c>
    </row>
    <row r="253" spans="1:43" x14ac:dyDescent="0.35">
      <c r="A253" s="2">
        <v>45760</v>
      </c>
    </row>
    <row r="254" spans="1:43" x14ac:dyDescent="0.35">
      <c r="A254" s="2">
        <v>45761</v>
      </c>
      <c r="B254">
        <v>14.615</v>
      </c>
      <c r="C254">
        <v>14.654999999999999</v>
      </c>
      <c r="D254">
        <v>14.654999999999999</v>
      </c>
      <c r="E254">
        <v>14.664999999999999</v>
      </c>
      <c r="F254">
        <v>14.69</v>
      </c>
      <c r="G254">
        <v>14.675000000000001</v>
      </c>
      <c r="H254">
        <v>14.654999999999999</v>
      </c>
      <c r="I254">
        <v>14.625</v>
      </c>
      <c r="L254">
        <v>14.484999999999999</v>
      </c>
      <c r="O254">
        <v>14.295</v>
      </c>
      <c r="Q254">
        <v>14.164999999999999</v>
      </c>
      <c r="R254">
        <v>14.045</v>
      </c>
      <c r="S254">
        <v>13.984999999999999</v>
      </c>
      <c r="U254">
        <v>13.965</v>
      </c>
      <c r="V254">
        <v>13.95</v>
      </c>
      <c r="W254">
        <v>13.925000000000001</v>
      </c>
      <c r="X254">
        <v>13.97</v>
      </c>
      <c r="Y254">
        <v>14.005000000000001</v>
      </c>
      <c r="Z254">
        <v>14.025</v>
      </c>
      <c r="AA254">
        <v>14.035</v>
      </c>
      <c r="AB254">
        <v>14.09</v>
      </c>
      <c r="AC254">
        <v>14.125</v>
      </c>
      <c r="AD254">
        <v>14.18</v>
      </c>
      <c r="AE254">
        <v>14.225</v>
      </c>
      <c r="AF254">
        <v>14.25</v>
      </c>
      <c r="AH254">
        <v>14.3</v>
      </c>
      <c r="AI254">
        <v>14.36</v>
      </c>
      <c r="AJ254">
        <v>14.39</v>
      </c>
      <c r="AK254">
        <v>14.3</v>
      </c>
      <c r="AL254">
        <v>14.37</v>
      </c>
      <c r="AM254">
        <v>14.34</v>
      </c>
      <c r="AN254">
        <v>14.32</v>
      </c>
      <c r="AO254">
        <v>14.27</v>
      </c>
      <c r="AP254">
        <v>14.22</v>
      </c>
      <c r="AQ254">
        <v>14.19</v>
      </c>
    </row>
    <row r="255" spans="1:43" x14ac:dyDescent="0.35">
      <c r="A255" s="2">
        <v>45762</v>
      </c>
      <c r="B255">
        <v>14.625</v>
      </c>
      <c r="C255">
        <v>14.664999999999999</v>
      </c>
      <c r="D255">
        <v>14.675000000000001</v>
      </c>
      <c r="E255">
        <v>14.69</v>
      </c>
      <c r="F255">
        <v>14.715</v>
      </c>
      <c r="G255">
        <v>14.7</v>
      </c>
      <c r="H255">
        <v>14.685</v>
      </c>
      <c r="I255">
        <v>14.67</v>
      </c>
      <c r="L255">
        <v>14.525</v>
      </c>
      <c r="O255">
        <v>14.345000000000001</v>
      </c>
      <c r="Q255">
        <v>14.225</v>
      </c>
      <c r="R255">
        <v>14.16</v>
      </c>
      <c r="S255">
        <v>14.08</v>
      </c>
      <c r="U255">
        <v>14.04</v>
      </c>
      <c r="V255">
        <v>14.025</v>
      </c>
      <c r="W255">
        <v>14.005000000000001</v>
      </c>
      <c r="X255">
        <v>14.02</v>
      </c>
      <c r="Y255">
        <v>14.07</v>
      </c>
      <c r="Z255">
        <v>14.105</v>
      </c>
      <c r="AA255">
        <v>14.125</v>
      </c>
      <c r="AB255">
        <v>14.17</v>
      </c>
      <c r="AC255">
        <v>14.205</v>
      </c>
      <c r="AD255">
        <v>14.244999999999999</v>
      </c>
      <c r="AE255">
        <v>14.28</v>
      </c>
      <c r="AF255">
        <v>14.31</v>
      </c>
      <c r="AH255">
        <v>14.37</v>
      </c>
      <c r="AI255">
        <v>14.43</v>
      </c>
      <c r="AJ255">
        <v>14.45</v>
      </c>
      <c r="AK255">
        <v>14.41</v>
      </c>
      <c r="AL255">
        <v>14.43</v>
      </c>
      <c r="AM255">
        <v>14.39</v>
      </c>
      <c r="AN255">
        <v>14.34</v>
      </c>
      <c r="AO255">
        <v>14.28</v>
      </c>
      <c r="AP255">
        <v>14.23</v>
      </c>
      <c r="AQ255">
        <v>14.2</v>
      </c>
    </row>
    <row r="256" spans="1:43" x14ac:dyDescent="0.35">
      <c r="A256" s="2">
        <v>45763</v>
      </c>
      <c r="B256">
        <v>14.625</v>
      </c>
      <c r="C256">
        <v>14.69</v>
      </c>
      <c r="D256">
        <v>14.69</v>
      </c>
      <c r="E256">
        <v>14.705</v>
      </c>
      <c r="F256">
        <v>14.734999999999999</v>
      </c>
      <c r="G256">
        <v>14.715</v>
      </c>
      <c r="H256">
        <v>14.65</v>
      </c>
      <c r="I256">
        <v>14.68</v>
      </c>
      <c r="L256">
        <v>14.54</v>
      </c>
      <c r="O256">
        <v>14.35</v>
      </c>
      <c r="Q256">
        <v>14.225</v>
      </c>
      <c r="R256">
        <v>14.145</v>
      </c>
      <c r="S256">
        <v>14.065</v>
      </c>
      <c r="U256">
        <v>14.03</v>
      </c>
      <c r="V256">
        <v>14.02</v>
      </c>
      <c r="W256">
        <v>13.99</v>
      </c>
      <c r="X256">
        <v>14.02</v>
      </c>
      <c r="Y256">
        <v>14.074999999999999</v>
      </c>
      <c r="Z256">
        <v>14.115</v>
      </c>
      <c r="AA256">
        <v>14.125</v>
      </c>
      <c r="AB256">
        <v>14.164999999999999</v>
      </c>
      <c r="AC256">
        <v>14.2</v>
      </c>
      <c r="AD256">
        <v>14.265000000000001</v>
      </c>
      <c r="AE256">
        <v>14.305</v>
      </c>
      <c r="AF256">
        <v>14.33</v>
      </c>
      <c r="AH256">
        <v>14.38</v>
      </c>
      <c r="AI256">
        <v>14.44</v>
      </c>
      <c r="AJ256">
        <v>14.44</v>
      </c>
      <c r="AK256">
        <v>14.33</v>
      </c>
      <c r="AL256">
        <v>14.41</v>
      </c>
      <c r="AM256">
        <v>14.36</v>
      </c>
      <c r="AN256">
        <v>14.31</v>
      </c>
      <c r="AO256">
        <v>14.25</v>
      </c>
      <c r="AP256">
        <v>14.2</v>
      </c>
      <c r="AQ256">
        <v>14.16</v>
      </c>
    </row>
    <row r="257" spans="1:43" x14ac:dyDescent="0.35">
      <c r="A257" s="2">
        <v>45764</v>
      </c>
      <c r="D257">
        <v>14.72</v>
      </c>
      <c r="E257">
        <v>14.73</v>
      </c>
      <c r="G257">
        <v>14.755000000000001</v>
      </c>
      <c r="H257">
        <v>14.74</v>
      </c>
      <c r="L257">
        <v>14.565</v>
      </c>
      <c r="Q257">
        <v>14.234999999999999</v>
      </c>
      <c r="U257">
        <v>14</v>
      </c>
      <c r="V257">
        <v>13.97</v>
      </c>
      <c r="W257">
        <v>13.96</v>
      </c>
      <c r="X257">
        <v>13.984999999999999</v>
      </c>
      <c r="Y257">
        <v>14.035</v>
      </c>
      <c r="Z257">
        <v>14.06</v>
      </c>
      <c r="AA257">
        <v>14.074999999999999</v>
      </c>
      <c r="AB257">
        <v>14.12</v>
      </c>
      <c r="AD257">
        <v>14.195</v>
      </c>
      <c r="AE257">
        <v>14.225</v>
      </c>
      <c r="AH257">
        <v>14.3</v>
      </c>
      <c r="AI257">
        <v>14.35</v>
      </c>
      <c r="AJ257">
        <v>14.36</v>
      </c>
      <c r="AK257">
        <v>14.3</v>
      </c>
      <c r="AL257">
        <v>14.33</v>
      </c>
      <c r="AM257">
        <v>14.26</v>
      </c>
      <c r="AN257">
        <v>14.22</v>
      </c>
      <c r="AO257">
        <v>14.15</v>
      </c>
      <c r="AP257">
        <v>14.09</v>
      </c>
      <c r="AQ257">
        <v>14.04</v>
      </c>
    </row>
    <row r="258" spans="1:43" x14ac:dyDescent="0.35">
      <c r="A258" s="2">
        <v>45765</v>
      </c>
    </row>
    <row r="259" spans="1:43" x14ac:dyDescent="0.35">
      <c r="A259" s="2">
        <v>45766</v>
      </c>
    </row>
    <row r="260" spans="1:43" x14ac:dyDescent="0.35">
      <c r="A260" s="2">
        <v>45767</v>
      </c>
    </row>
    <row r="261" spans="1:43" x14ac:dyDescent="0.35">
      <c r="A261" s="2">
        <v>45768</v>
      </c>
    </row>
    <row r="262" spans="1:43" x14ac:dyDescent="0.35">
      <c r="A262" s="2">
        <v>45769</v>
      </c>
      <c r="B262">
        <v>14.65</v>
      </c>
      <c r="C262">
        <v>14.685</v>
      </c>
      <c r="D262">
        <v>14.695</v>
      </c>
      <c r="E262">
        <v>14.7</v>
      </c>
      <c r="F262">
        <v>14.72</v>
      </c>
      <c r="G262">
        <v>14.705</v>
      </c>
      <c r="H262">
        <v>14.69</v>
      </c>
      <c r="I262">
        <v>14.66</v>
      </c>
      <c r="L262">
        <v>14.515000000000001</v>
      </c>
      <c r="O262">
        <v>14.32</v>
      </c>
      <c r="Q262">
        <v>14.185</v>
      </c>
      <c r="R262">
        <v>14.07</v>
      </c>
      <c r="S262">
        <v>14.01</v>
      </c>
      <c r="U262">
        <v>13.97</v>
      </c>
      <c r="V262">
        <v>13.945</v>
      </c>
      <c r="W262">
        <v>13.94</v>
      </c>
      <c r="X262">
        <v>13.994999999999999</v>
      </c>
      <c r="Y262">
        <v>14.03</v>
      </c>
      <c r="Z262">
        <v>14.06</v>
      </c>
      <c r="AA262">
        <v>14.1</v>
      </c>
      <c r="AB262">
        <v>14.145</v>
      </c>
      <c r="AC262">
        <v>14.195</v>
      </c>
      <c r="AD262">
        <v>14.25</v>
      </c>
      <c r="AE262">
        <v>14.275</v>
      </c>
      <c r="AF262">
        <v>14.3</v>
      </c>
      <c r="AH262">
        <v>14.37</v>
      </c>
      <c r="AI262">
        <v>14.44</v>
      </c>
      <c r="AJ262">
        <v>14.48</v>
      </c>
      <c r="AK262">
        <v>14.44</v>
      </c>
      <c r="AL262">
        <v>14.46</v>
      </c>
      <c r="AM262">
        <v>14.39</v>
      </c>
      <c r="AN262">
        <v>14.33</v>
      </c>
      <c r="AO262">
        <v>14.26</v>
      </c>
      <c r="AP262">
        <v>14.2</v>
      </c>
      <c r="AQ262">
        <v>14.15</v>
      </c>
    </row>
    <row r="263" spans="1:43" x14ac:dyDescent="0.35">
      <c r="A263" s="2">
        <v>45770</v>
      </c>
      <c r="B263">
        <v>14.63</v>
      </c>
      <c r="C263">
        <v>14.654999999999999</v>
      </c>
      <c r="D263">
        <v>14.654999999999999</v>
      </c>
      <c r="E263">
        <v>14.654999999999999</v>
      </c>
      <c r="F263">
        <v>14.664999999999999</v>
      </c>
      <c r="G263">
        <v>14.64</v>
      </c>
      <c r="H263">
        <v>14.605</v>
      </c>
      <c r="I263">
        <v>14.565</v>
      </c>
      <c r="L263">
        <v>14.39</v>
      </c>
      <c r="O263">
        <v>14.164999999999999</v>
      </c>
      <c r="Q263">
        <v>14</v>
      </c>
      <c r="R263">
        <v>13.9</v>
      </c>
      <c r="S263">
        <v>13.79</v>
      </c>
      <c r="U263">
        <v>13.74</v>
      </c>
      <c r="V263">
        <v>13.71</v>
      </c>
      <c r="W263">
        <v>13.72</v>
      </c>
      <c r="X263">
        <v>13.755000000000001</v>
      </c>
      <c r="Y263">
        <v>13.8</v>
      </c>
      <c r="Z263">
        <v>13.84</v>
      </c>
      <c r="AA263">
        <v>13.87</v>
      </c>
      <c r="AB263">
        <v>13.925000000000001</v>
      </c>
      <c r="AC263">
        <v>13.97</v>
      </c>
      <c r="AD263">
        <v>14.03</v>
      </c>
      <c r="AE263">
        <v>14.074999999999999</v>
      </c>
      <c r="AF263">
        <v>14.09</v>
      </c>
      <c r="AH263">
        <v>14.17</v>
      </c>
      <c r="AI263">
        <v>14.26</v>
      </c>
      <c r="AJ263">
        <v>14.29</v>
      </c>
      <c r="AK263">
        <v>14.28</v>
      </c>
      <c r="AL263">
        <v>14.31</v>
      </c>
      <c r="AM263">
        <v>14.25</v>
      </c>
      <c r="AN263">
        <v>14.19</v>
      </c>
      <c r="AO263">
        <v>14.12</v>
      </c>
      <c r="AP263">
        <v>14.06</v>
      </c>
      <c r="AQ263">
        <v>14.01</v>
      </c>
    </row>
    <row r="264" spans="1:43" x14ac:dyDescent="0.35">
      <c r="A264" s="2">
        <v>45771</v>
      </c>
      <c r="B264">
        <v>14.57</v>
      </c>
      <c r="C264">
        <v>14.59</v>
      </c>
      <c r="D264">
        <v>14.585000000000001</v>
      </c>
      <c r="E264">
        <v>14.585000000000001</v>
      </c>
      <c r="F264">
        <v>14.59</v>
      </c>
      <c r="G264">
        <v>14.56</v>
      </c>
      <c r="H264">
        <v>14.525</v>
      </c>
      <c r="I264">
        <v>14.475</v>
      </c>
      <c r="L264">
        <v>14.29</v>
      </c>
      <c r="Q264">
        <v>13.855</v>
      </c>
      <c r="R264">
        <v>13.715</v>
      </c>
      <c r="S264">
        <v>13.595000000000001</v>
      </c>
      <c r="U264">
        <v>13.53</v>
      </c>
      <c r="V264">
        <v>13.49</v>
      </c>
      <c r="W264">
        <v>13.48</v>
      </c>
      <c r="X264">
        <v>13.505000000000001</v>
      </c>
      <c r="Y264">
        <v>13.56</v>
      </c>
      <c r="Z264">
        <v>13.59</v>
      </c>
      <c r="AA264">
        <v>13.62</v>
      </c>
      <c r="AB264">
        <v>13.664999999999999</v>
      </c>
      <c r="AC264">
        <v>13.715</v>
      </c>
      <c r="AD264">
        <v>13.77</v>
      </c>
      <c r="AE264">
        <v>13.8</v>
      </c>
      <c r="AF264">
        <v>13.84</v>
      </c>
      <c r="AH264">
        <v>13.92</v>
      </c>
      <c r="AJ264">
        <v>14.05</v>
      </c>
      <c r="AK264">
        <v>14.02</v>
      </c>
      <c r="AL264">
        <v>14.08</v>
      </c>
      <c r="AM264">
        <v>14</v>
      </c>
      <c r="AN264">
        <v>13.94</v>
      </c>
      <c r="AO264">
        <v>13.87</v>
      </c>
      <c r="AP264">
        <v>13.81</v>
      </c>
      <c r="AQ264">
        <v>13.76</v>
      </c>
    </row>
    <row r="265" spans="1:43" x14ac:dyDescent="0.35">
      <c r="A265" s="2">
        <v>45772</v>
      </c>
      <c r="B265">
        <v>14.595000000000001</v>
      </c>
      <c r="C265">
        <v>14.62</v>
      </c>
      <c r="D265">
        <v>14.615</v>
      </c>
      <c r="E265">
        <v>14.625</v>
      </c>
      <c r="F265">
        <v>14.63</v>
      </c>
      <c r="G265">
        <v>14.59</v>
      </c>
      <c r="H265">
        <v>14.55</v>
      </c>
      <c r="I265">
        <v>14.515000000000001</v>
      </c>
      <c r="L265">
        <v>14.32</v>
      </c>
      <c r="Q265">
        <v>13.885</v>
      </c>
      <c r="R265">
        <v>13.75</v>
      </c>
      <c r="S265">
        <v>13.63</v>
      </c>
      <c r="U265">
        <v>13.55</v>
      </c>
      <c r="V265">
        <v>13.5</v>
      </c>
      <c r="W265">
        <v>13.484999999999999</v>
      </c>
      <c r="X265">
        <v>13.51</v>
      </c>
      <c r="Y265">
        <v>13.56</v>
      </c>
      <c r="Z265">
        <v>13.59</v>
      </c>
      <c r="AA265">
        <v>13.615</v>
      </c>
      <c r="AB265">
        <v>13.66</v>
      </c>
      <c r="AC265">
        <v>13.71</v>
      </c>
      <c r="AD265">
        <v>13.76</v>
      </c>
      <c r="AE265">
        <v>13.795</v>
      </c>
      <c r="AF265">
        <v>13.83</v>
      </c>
      <c r="AH265">
        <v>13.9</v>
      </c>
      <c r="AJ265">
        <v>14.02</v>
      </c>
      <c r="AK265">
        <v>14.01</v>
      </c>
      <c r="AL265">
        <v>14.04</v>
      </c>
      <c r="AM265">
        <v>13.96</v>
      </c>
      <c r="AN265">
        <v>13.9</v>
      </c>
      <c r="AO265">
        <v>13.83</v>
      </c>
      <c r="AP265">
        <v>13.77</v>
      </c>
      <c r="AQ265">
        <v>13.72</v>
      </c>
    </row>
    <row r="266" spans="1:43" x14ac:dyDescent="0.35">
      <c r="A266" s="2">
        <v>45773</v>
      </c>
    </row>
    <row r="267" spans="1:43" x14ac:dyDescent="0.35">
      <c r="A267" s="2">
        <v>45774</v>
      </c>
    </row>
    <row r="268" spans="1:43" x14ac:dyDescent="0.35">
      <c r="A268" s="2">
        <v>45775</v>
      </c>
      <c r="B268">
        <v>14.62</v>
      </c>
      <c r="C268">
        <v>14.65</v>
      </c>
      <c r="D268">
        <v>14.654999999999999</v>
      </c>
      <c r="E268">
        <v>14.654999999999999</v>
      </c>
      <c r="F268">
        <v>14.67</v>
      </c>
      <c r="G268">
        <v>14.64</v>
      </c>
      <c r="H268">
        <v>14.605</v>
      </c>
      <c r="I268">
        <v>14.565</v>
      </c>
      <c r="L268">
        <v>14.35</v>
      </c>
      <c r="O268">
        <v>14.09</v>
      </c>
      <c r="Q268">
        <v>13.895</v>
      </c>
      <c r="R268">
        <v>13.75</v>
      </c>
      <c r="S268">
        <v>13.615</v>
      </c>
      <c r="U268">
        <v>13.56</v>
      </c>
      <c r="V268">
        <v>13.54</v>
      </c>
      <c r="W268">
        <v>13.515000000000001</v>
      </c>
      <c r="X268">
        <v>13.545</v>
      </c>
      <c r="Y268">
        <v>13.59</v>
      </c>
      <c r="Z268">
        <v>13.64</v>
      </c>
      <c r="AA268">
        <v>13.645</v>
      </c>
      <c r="AB268">
        <v>13.7</v>
      </c>
      <c r="AC268">
        <v>13.734999999999999</v>
      </c>
      <c r="AD268">
        <v>13.795</v>
      </c>
      <c r="AE268">
        <v>13.83</v>
      </c>
      <c r="AF268">
        <v>13.86</v>
      </c>
      <c r="AH268">
        <v>13.92</v>
      </c>
      <c r="AI268">
        <v>14</v>
      </c>
      <c r="AJ268">
        <v>14.03</v>
      </c>
      <c r="AK268">
        <v>13.98</v>
      </c>
      <c r="AL268">
        <v>14.02</v>
      </c>
      <c r="AM268">
        <v>13.95</v>
      </c>
      <c r="AN268">
        <v>13.9</v>
      </c>
      <c r="AO268">
        <v>13.82</v>
      </c>
      <c r="AP268">
        <v>13.76</v>
      </c>
      <c r="AQ268">
        <v>13.71</v>
      </c>
    </row>
    <row r="269" spans="1:43" x14ac:dyDescent="0.35">
      <c r="A269" s="2">
        <v>45776</v>
      </c>
      <c r="B269">
        <v>14.65</v>
      </c>
      <c r="C269">
        <v>14.67</v>
      </c>
      <c r="D269">
        <v>14.67</v>
      </c>
      <c r="E269">
        <v>14.675000000000001</v>
      </c>
      <c r="F269">
        <v>14.685</v>
      </c>
      <c r="G269">
        <v>14.654999999999999</v>
      </c>
      <c r="H269">
        <v>14.62</v>
      </c>
      <c r="I269">
        <v>14.58</v>
      </c>
      <c r="L269">
        <v>14.375</v>
      </c>
      <c r="O269">
        <v>14.125</v>
      </c>
      <c r="Q269">
        <v>13.94</v>
      </c>
      <c r="R269">
        <v>13.815</v>
      </c>
      <c r="S269">
        <v>13.695</v>
      </c>
      <c r="U269">
        <v>13.574999999999999</v>
      </c>
      <c r="V269">
        <v>13.545</v>
      </c>
      <c r="W269">
        <v>13.525</v>
      </c>
      <c r="X269">
        <v>13.545</v>
      </c>
      <c r="Y269">
        <v>13.605</v>
      </c>
      <c r="Z269">
        <v>13.635</v>
      </c>
      <c r="AA269">
        <v>13.654999999999999</v>
      </c>
      <c r="AB269">
        <v>13.7</v>
      </c>
      <c r="AC269">
        <v>13.725</v>
      </c>
      <c r="AD269">
        <v>13.79</v>
      </c>
      <c r="AE269">
        <v>13.824999999999999</v>
      </c>
      <c r="AF269">
        <v>13.85</v>
      </c>
      <c r="AH269">
        <v>13.91</v>
      </c>
      <c r="AI269">
        <v>13.97</v>
      </c>
      <c r="AJ269">
        <v>13.98</v>
      </c>
      <c r="AK269">
        <v>13.94</v>
      </c>
      <c r="AL269">
        <v>13.97</v>
      </c>
      <c r="AM269">
        <v>13.9</v>
      </c>
      <c r="AN269">
        <v>13.84</v>
      </c>
      <c r="AO269">
        <v>13.77</v>
      </c>
      <c r="AP269">
        <v>13.71</v>
      </c>
      <c r="AQ269">
        <v>13.66</v>
      </c>
    </row>
    <row r="270" spans="1:43" x14ac:dyDescent="0.35">
      <c r="A270" s="2">
        <v>45777</v>
      </c>
      <c r="B270">
        <v>14.635</v>
      </c>
      <c r="C270">
        <v>14.664999999999999</v>
      </c>
      <c r="D270">
        <v>14.664999999999999</v>
      </c>
      <c r="E270">
        <v>14.67</v>
      </c>
      <c r="F270">
        <v>14.664999999999999</v>
      </c>
      <c r="G270">
        <v>14.63</v>
      </c>
      <c r="H270">
        <v>14.59</v>
      </c>
      <c r="I270">
        <v>14.545</v>
      </c>
      <c r="L270">
        <v>14.33</v>
      </c>
      <c r="O270">
        <v>14.09</v>
      </c>
      <c r="Q270">
        <v>13.91</v>
      </c>
      <c r="R270">
        <v>13.77</v>
      </c>
      <c r="S270">
        <v>13.62</v>
      </c>
      <c r="U270">
        <v>13.545</v>
      </c>
      <c r="V270">
        <v>13.49</v>
      </c>
      <c r="W270">
        <v>13.45</v>
      </c>
      <c r="X270">
        <v>13.455</v>
      </c>
      <c r="Y270">
        <v>13.515000000000001</v>
      </c>
      <c r="Z270">
        <v>13.53</v>
      </c>
      <c r="AA270">
        <v>13.55</v>
      </c>
      <c r="AB270">
        <v>13.595000000000001</v>
      </c>
      <c r="AC270">
        <v>13.625</v>
      </c>
      <c r="AD270">
        <v>13.67</v>
      </c>
      <c r="AE270">
        <v>13.695</v>
      </c>
      <c r="AF270">
        <v>13.7</v>
      </c>
      <c r="AH270">
        <v>13.78</v>
      </c>
      <c r="AI270">
        <v>13.83</v>
      </c>
      <c r="AJ270">
        <v>13.84</v>
      </c>
      <c r="AK270">
        <v>13.79</v>
      </c>
      <c r="AL270">
        <v>13.83</v>
      </c>
      <c r="AM270">
        <v>13.76</v>
      </c>
      <c r="AN270">
        <v>13.7</v>
      </c>
      <c r="AO270">
        <v>13.63</v>
      </c>
      <c r="AP270">
        <v>13.57</v>
      </c>
      <c r="AQ270">
        <v>13.52</v>
      </c>
    </row>
    <row r="271" spans="1:43" x14ac:dyDescent="0.35">
      <c r="A271" s="2">
        <v>45778</v>
      </c>
    </row>
    <row r="272" spans="1:43" x14ac:dyDescent="0.35">
      <c r="A272" s="2">
        <v>45779</v>
      </c>
      <c r="B272">
        <v>14.645</v>
      </c>
      <c r="C272">
        <v>14.664999999999999</v>
      </c>
      <c r="D272">
        <v>14.67</v>
      </c>
      <c r="E272">
        <v>14.67</v>
      </c>
      <c r="F272">
        <v>14.67</v>
      </c>
      <c r="G272">
        <v>14.64</v>
      </c>
      <c r="H272">
        <v>14.605</v>
      </c>
      <c r="I272">
        <v>14.57</v>
      </c>
      <c r="J272">
        <v>14.494999999999999</v>
      </c>
      <c r="L272">
        <v>14.37</v>
      </c>
      <c r="O272">
        <v>14.12</v>
      </c>
      <c r="Q272">
        <v>13.95</v>
      </c>
      <c r="R272">
        <v>13.83</v>
      </c>
      <c r="S272">
        <v>13.705</v>
      </c>
      <c r="U272">
        <v>13.615</v>
      </c>
      <c r="V272">
        <v>13.555</v>
      </c>
      <c r="W272">
        <v>13.525</v>
      </c>
      <c r="X272">
        <v>13.54</v>
      </c>
      <c r="Y272">
        <v>13.58</v>
      </c>
      <c r="Z272">
        <v>13.59</v>
      </c>
      <c r="AA272">
        <v>13.58</v>
      </c>
      <c r="AB272">
        <v>13.63</v>
      </c>
      <c r="AC272">
        <v>13.675000000000001</v>
      </c>
      <c r="AD272">
        <v>13.72</v>
      </c>
      <c r="AE272">
        <v>13.734999999999999</v>
      </c>
      <c r="AF272">
        <v>13.75</v>
      </c>
      <c r="AH272">
        <v>13.8</v>
      </c>
      <c r="AI272">
        <v>13.85</v>
      </c>
      <c r="AJ272">
        <v>13.84</v>
      </c>
      <c r="AK272">
        <v>13.8</v>
      </c>
      <c r="AL272">
        <v>13.82</v>
      </c>
      <c r="AM272">
        <v>13.76</v>
      </c>
      <c r="AN272">
        <v>13.7</v>
      </c>
      <c r="AO272">
        <v>13.63</v>
      </c>
      <c r="AP272">
        <v>13.57</v>
      </c>
      <c r="AQ272">
        <v>13.52</v>
      </c>
    </row>
    <row r="273" spans="1:43" x14ac:dyDescent="0.35">
      <c r="A273" s="2">
        <v>45780</v>
      </c>
    </row>
    <row r="274" spans="1:43" x14ac:dyDescent="0.35">
      <c r="A274" s="2">
        <v>45781</v>
      </c>
    </row>
    <row r="275" spans="1:43" x14ac:dyDescent="0.35">
      <c r="A275" s="2">
        <v>45782</v>
      </c>
      <c r="B275">
        <v>14.68</v>
      </c>
      <c r="C275">
        <v>14.705</v>
      </c>
      <c r="D275">
        <v>14.71</v>
      </c>
      <c r="E275">
        <v>14.71</v>
      </c>
      <c r="F275">
        <v>14.725</v>
      </c>
      <c r="G275">
        <v>14.695</v>
      </c>
      <c r="H275">
        <v>14.664999999999999</v>
      </c>
      <c r="I275">
        <v>14.63</v>
      </c>
      <c r="J275">
        <v>14.565</v>
      </c>
      <c r="L275">
        <v>14.445</v>
      </c>
      <c r="O275">
        <v>14.22</v>
      </c>
      <c r="Q275">
        <v>14.05</v>
      </c>
      <c r="R275">
        <v>13.94</v>
      </c>
      <c r="S275">
        <v>13.82</v>
      </c>
      <c r="U275">
        <v>13.705</v>
      </c>
      <c r="V275">
        <v>13.66</v>
      </c>
      <c r="W275">
        <v>13.625</v>
      </c>
      <c r="X275">
        <v>13.625</v>
      </c>
      <c r="Y275">
        <v>13.66</v>
      </c>
      <c r="Z275">
        <v>13.68</v>
      </c>
      <c r="AA275">
        <v>13.69</v>
      </c>
      <c r="AB275">
        <v>13.72</v>
      </c>
      <c r="AC275">
        <v>13.744999999999999</v>
      </c>
      <c r="AD275">
        <v>13.78</v>
      </c>
      <c r="AE275">
        <v>13.79</v>
      </c>
      <c r="AF275">
        <v>13.81</v>
      </c>
      <c r="AH275">
        <v>13.86</v>
      </c>
      <c r="AI275">
        <v>13.89</v>
      </c>
      <c r="AJ275">
        <v>13.88</v>
      </c>
      <c r="AK275">
        <v>13.84</v>
      </c>
      <c r="AL275">
        <v>13.85</v>
      </c>
      <c r="AM275">
        <v>13.78</v>
      </c>
      <c r="AN275">
        <v>13.72</v>
      </c>
      <c r="AO275">
        <v>13.65</v>
      </c>
      <c r="AP275">
        <v>13.59</v>
      </c>
      <c r="AQ275">
        <v>13.54</v>
      </c>
    </row>
    <row r="276" spans="1:43" x14ac:dyDescent="0.35">
      <c r="A276" s="2">
        <v>45783</v>
      </c>
      <c r="B276">
        <v>14.64</v>
      </c>
      <c r="C276">
        <v>14.68</v>
      </c>
      <c r="D276">
        <v>14.675000000000001</v>
      </c>
      <c r="E276">
        <v>14.68</v>
      </c>
      <c r="F276">
        <v>14.685</v>
      </c>
      <c r="G276">
        <v>14.66</v>
      </c>
      <c r="H276">
        <v>14.625</v>
      </c>
      <c r="I276">
        <v>14.58</v>
      </c>
      <c r="J276">
        <v>14.51</v>
      </c>
      <c r="L276">
        <v>14.38</v>
      </c>
      <c r="O276">
        <v>14.13</v>
      </c>
      <c r="Q276">
        <v>13.95</v>
      </c>
      <c r="R276">
        <v>13.815</v>
      </c>
      <c r="S276">
        <v>13.675000000000001</v>
      </c>
      <c r="U276">
        <v>13.58</v>
      </c>
      <c r="V276">
        <v>13.505000000000001</v>
      </c>
      <c r="W276">
        <v>13.475</v>
      </c>
      <c r="X276">
        <v>13.48</v>
      </c>
      <c r="Y276">
        <v>13.515000000000001</v>
      </c>
      <c r="Z276">
        <v>13.53</v>
      </c>
      <c r="AA276">
        <v>13.525</v>
      </c>
      <c r="AB276">
        <v>13.57</v>
      </c>
      <c r="AC276">
        <v>13.58</v>
      </c>
      <c r="AD276">
        <v>13.63</v>
      </c>
      <c r="AE276">
        <v>13.645</v>
      </c>
      <c r="AF276">
        <v>13.67</v>
      </c>
      <c r="AH276">
        <v>13.71</v>
      </c>
      <c r="AI276">
        <v>13.75</v>
      </c>
      <c r="AJ276">
        <v>13.74</v>
      </c>
      <c r="AK276">
        <v>13.71</v>
      </c>
      <c r="AL276">
        <v>13.72</v>
      </c>
      <c r="AM276">
        <v>13.67</v>
      </c>
      <c r="AN276">
        <v>13.62</v>
      </c>
      <c r="AO276">
        <v>13.57</v>
      </c>
      <c r="AP276">
        <v>13.51</v>
      </c>
      <c r="AQ276">
        <v>13.46</v>
      </c>
    </row>
    <row r="277" spans="1:43" x14ac:dyDescent="0.35">
      <c r="A277" s="2">
        <v>45784</v>
      </c>
      <c r="B277">
        <v>14.68</v>
      </c>
      <c r="C277">
        <v>14.705</v>
      </c>
      <c r="D277">
        <v>14.705</v>
      </c>
      <c r="E277">
        <v>14.71</v>
      </c>
      <c r="F277">
        <v>14.71</v>
      </c>
      <c r="G277">
        <v>14.685</v>
      </c>
      <c r="H277">
        <v>14.66</v>
      </c>
      <c r="I277">
        <v>14.62</v>
      </c>
      <c r="J277">
        <v>14.55</v>
      </c>
      <c r="L277">
        <v>14.42</v>
      </c>
      <c r="O277">
        <v>14.164999999999999</v>
      </c>
      <c r="Q277">
        <v>13.965</v>
      </c>
      <c r="R277">
        <v>13.83</v>
      </c>
      <c r="S277">
        <v>13.69</v>
      </c>
      <c r="U277">
        <v>13.56</v>
      </c>
      <c r="V277">
        <v>13.494999999999999</v>
      </c>
      <c r="W277">
        <v>13.45</v>
      </c>
      <c r="X277">
        <v>13.46</v>
      </c>
      <c r="Y277">
        <v>13.475</v>
      </c>
      <c r="Z277">
        <v>13.5</v>
      </c>
      <c r="AA277">
        <v>13.494999999999999</v>
      </c>
      <c r="AB277">
        <v>13.525</v>
      </c>
      <c r="AC277">
        <v>13.53</v>
      </c>
      <c r="AD277">
        <v>13.58</v>
      </c>
      <c r="AE277">
        <v>13.59</v>
      </c>
      <c r="AF277">
        <v>13.61</v>
      </c>
      <c r="AH277">
        <v>13.66</v>
      </c>
      <c r="AI277">
        <v>13.69</v>
      </c>
      <c r="AJ277">
        <v>13.69</v>
      </c>
      <c r="AK277">
        <v>13.63</v>
      </c>
      <c r="AL277">
        <v>13.65</v>
      </c>
      <c r="AM277">
        <v>13.58</v>
      </c>
      <c r="AN277">
        <v>13.52</v>
      </c>
      <c r="AO277">
        <v>13.45</v>
      </c>
      <c r="AP277">
        <v>13.39</v>
      </c>
      <c r="AQ277">
        <v>13.34</v>
      </c>
    </row>
    <row r="278" spans="1:43" x14ac:dyDescent="0.35">
      <c r="A278" s="2">
        <v>45785</v>
      </c>
      <c r="C278">
        <v>14.775</v>
      </c>
      <c r="D278">
        <v>14.78</v>
      </c>
      <c r="E278">
        <v>14.78</v>
      </c>
      <c r="F278">
        <v>14.78</v>
      </c>
      <c r="G278">
        <v>14.75</v>
      </c>
      <c r="H278">
        <v>14.72</v>
      </c>
      <c r="I278">
        <v>14.675000000000001</v>
      </c>
      <c r="J278">
        <v>14.61</v>
      </c>
      <c r="L278">
        <v>14.465</v>
      </c>
      <c r="O278">
        <v>14.195</v>
      </c>
      <c r="Q278">
        <v>13.984999999999999</v>
      </c>
      <c r="S278">
        <v>13.65</v>
      </c>
      <c r="U278">
        <v>13.535</v>
      </c>
      <c r="V278">
        <v>13.45</v>
      </c>
      <c r="W278">
        <v>13.35</v>
      </c>
      <c r="X278">
        <v>13.38</v>
      </c>
      <c r="Y278">
        <v>13.404999999999999</v>
      </c>
      <c r="Z278">
        <v>13.404999999999999</v>
      </c>
      <c r="AA278">
        <v>13.41</v>
      </c>
      <c r="AB278">
        <v>13.425000000000001</v>
      </c>
      <c r="AC278">
        <v>13.455</v>
      </c>
      <c r="AD278">
        <v>13.49</v>
      </c>
      <c r="AE278">
        <v>13.505000000000001</v>
      </c>
      <c r="AF278">
        <v>13.53</v>
      </c>
      <c r="AH278">
        <v>13.58</v>
      </c>
      <c r="AI278">
        <v>13.62</v>
      </c>
      <c r="AJ278">
        <v>13.63</v>
      </c>
      <c r="AK278">
        <v>13.58</v>
      </c>
      <c r="AL278">
        <v>13.6</v>
      </c>
      <c r="AM278">
        <v>13.53</v>
      </c>
      <c r="AN278">
        <v>13.47</v>
      </c>
      <c r="AO278">
        <v>13.4</v>
      </c>
      <c r="AP278">
        <v>13.34</v>
      </c>
      <c r="AQ278">
        <v>13.29</v>
      </c>
    </row>
    <row r="279" spans="1:43" x14ac:dyDescent="0.35">
      <c r="A279" s="2">
        <v>45786</v>
      </c>
      <c r="B279">
        <v>14.76</v>
      </c>
      <c r="C279">
        <v>14.78</v>
      </c>
      <c r="D279">
        <v>14.785</v>
      </c>
      <c r="E279">
        <v>14.79</v>
      </c>
      <c r="F279">
        <v>14.79</v>
      </c>
      <c r="G279">
        <v>14.765000000000001</v>
      </c>
      <c r="H279">
        <v>14.734999999999999</v>
      </c>
      <c r="I279">
        <v>14.69</v>
      </c>
      <c r="J279">
        <v>14.63</v>
      </c>
      <c r="L279">
        <v>14.484999999999999</v>
      </c>
      <c r="O279">
        <v>14.21</v>
      </c>
      <c r="Q279">
        <v>13.994999999999999</v>
      </c>
      <c r="R279">
        <v>13.835000000000001</v>
      </c>
      <c r="S279">
        <v>13.675000000000001</v>
      </c>
      <c r="U279">
        <v>13.54</v>
      </c>
      <c r="V279">
        <v>13.435</v>
      </c>
      <c r="W279">
        <v>13.37</v>
      </c>
      <c r="X279">
        <v>13.35</v>
      </c>
      <c r="Y279">
        <v>13.37</v>
      </c>
      <c r="Z279">
        <v>13.375</v>
      </c>
      <c r="AA279">
        <v>13.365</v>
      </c>
      <c r="AB279">
        <v>13.385</v>
      </c>
      <c r="AC279">
        <v>13.4</v>
      </c>
      <c r="AD279">
        <v>13.41</v>
      </c>
      <c r="AE279">
        <v>13.43</v>
      </c>
      <c r="AF279">
        <v>13.47</v>
      </c>
      <c r="AH279">
        <v>13.49</v>
      </c>
      <c r="AI279">
        <v>13.53</v>
      </c>
      <c r="AJ279">
        <v>13.53</v>
      </c>
      <c r="AK279">
        <v>13.38</v>
      </c>
      <c r="AL279">
        <v>13.5</v>
      </c>
      <c r="AM279">
        <v>13.44</v>
      </c>
      <c r="AN279">
        <v>13.36</v>
      </c>
      <c r="AO279">
        <v>13.28</v>
      </c>
      <c r="AP279">
        <v>13.21</v>
      </c>
      <c r="AQ279">
        <v>13.15</v>
      </c>
    </row>
    <row r="280" spans="1:43" x14ac:dyDescent="0.35">
      <c r="A280" s="2">
        <v>45787</v>
      </c>
    </row>
    <row r="281" spans="1:43" x14ac:dyDescent="0.35">
      <c r="A281" s="2">
        <v>45788</v>
      </c>
    </row>
    <row r="282" spans="1:43" x14ac:dyDescent="0.35">
      <c r="A282" s="2">
        <v>45789</v>
      </c>
      <c r="B282">
        <v>14.765000000000001</v>
      </c>
      <c r="C282">
        <v>14.785</v>
      </c>
      <c r="D282">
        <v>14.79</v>
      </c>
      <c r="E282">
        <v>14.79</v>
      </c>
      <c r="F282">
        <v>14.795</v>
      </c>
      <c r="G282">
        <v>14.765000000000001</v>
      </c>
      <c r="H282">
        <v>14.744999999999999</v>
      </c>
      <c r="I282">
        <v>14.705</v>
      </c>
      <c r="J282">
        <v>14.64</v>
      </c>
      <c r="L282">
        <v>14.5</v>
      </c>
      <c r="O282">
        <v>14.244999999999999</v>
      </c>
      <c r="Q282">
        <v>14.045</v>
      </c>
      <c r="R282">
        <v>13.895</v>
      </c>
      <c r="S282">
        <v>13.73</v>
      </c>
      <c r="U282">
        <v>13.595000000000001</v>
      </c>
      <c r="V282">
        <v>13.494999999999999</v>
      </c>
      <c r="W282">
        <v>13.44</v>
      </c>
      <c r="X282">
        <v>13.43</v>
      </c>
      <c r="Y282">
        <v>13.45</v>
      </c>
      <c r="Z282">
        <v>13.45</v>
      </c>
      <c r="AA282">
        <v>13.44</v>
      </c>
      <c r="AB282">
        <v>13.445</v>
      </c>
      <c r="AC282">
        <v>13.465</v>
      </c>
      <c r="AD282">
        <v>13.49</v>
      </c>
      <c r="AE282">
        <v>13.5</v>
      </c>
      <c r="AF282">
        <v>13.52</v>
      </c>
      <c r="AH282">
        <v>13.57</v>
      </c>
      <c r="AI282">
        <v>13.6</v>
      </c>
      <c r="AJ282">
        <v>13.61</v>
      </c>
      <c r="AK282">
        <v>13.57</v>
      </c>
      <c r="AL282">
        <v>13.6</v>
      </c>
      <c r="AM282">
        <v>13.52</v>
      </c>
      <c r="AN282">
        <v>13.48</v>
      </c>
      <c r="AO282">
        <v>13.4</v>
      </c>
      <c r="AP282">
        <v>13.33</v>
      </c>
      <c r="AQ282">
        <v>13.27</v>
      </c>
    </row>
    <row r="283" spans="1:43" x14ac:dyDescent="0.35">
      <c r="A283" s="2">
        <v>45790</v>
      </c>
      <c r="B283">
        <v>14.75</v>
      </c>
      <c r="C283">
        <v>14.77</v>
      </c>
      <c r="D283">
        <v>14.775</v>
      </c>
      <c r="E283">
        <v>14.78</v>
      </c>
      <c r="F283">
        <v>14.775</v>
      </c>
      <c r="G283">
        <v>14.76</v>
      </c>
      <c r="H283">
        <v>14.73</v>
      </c>
      <c r="I283">
        <v>14.69</v>
      </c>
      <c r="J283">
        <v>14.625</v>
      </c>
      <c r="L283">
        <v>14.475</v>
      </c>
      <c r="O283">
        <v>14.215</v>
      </c>
      <c r="Q283">
        <v>14.01</v>
      </c>
      <c r="R283">
        <v>13.865</v>
      </c>
      <c r="S283">
        <v>13.715</v>
      </c>
      <c r="U283">
        <v>13.595000000000001</v>
      </c>
      <c r="V283">
        <v>13.51</v>
      </c>
      <c r="W283">
        <v>13.47</v>
      </c>
      <c r="X283">
        <v>13.465</v>
      </c>
      <c r="Y283">
        <v>13.494999999999999</v>
      </c>
      <c r="Z283">
        <v>13.51</v>
      </c>
      <c r="AA283">
        <v>13.494999999999999</v>
      </c>
      <c r="AB283">
        <v>13.545</v>
      </c>
      <c r="AC283">
        <v>13.55</v>
      </c>
      <c r="AD283">
        <v>13.595000000000001</v>
      </c>
      <c r="AE283">
        <v>13.615</v>
      </c>
      <c r="AF283">
        <v>13.63</v>
      </c>
      <c r="AH283">
        <v>13.68</v>
      </c>
      <c r="AI283">
        <v>13.74</v>
      </c>
      <c r="AJ283">
        <v>13.76</v>
      </c>
      <c r="AK283">
        <v>13.71</v>
      </c>
      <c r="AL283">
        <v>13.77</v>
      </c>
      <c r="AM283">
        <v>13.69</v>
      </c>
      <c r="AN283">
        <v>13.45</v>
      </c>
      <c r="AO283">
        <v>13.53</v>
      </c>
      <c r="AP283">
        <v>13.46</v>
      </c>
      <c r="AQ283">
        <v>13.4</v>
      </c>
    </row>
    <row r="284" spans="1:43" x14ac:dyDescent="0.35">
      <c r="A284" s="2">
        <v>45791</v>
      </c>
      <c r="B284">
        <v>14.77</v>
      </c>
      <c r="C284">
        <v>14.795</v>
      </c>
      <c r="D284">
        <v>14.805</v>
      </c>
      <c r="E284">
        <v>14.815</v>
      </c>
      <c r="F284">
        <v>14.815</v>
      </c>
      <c r="G284">
        <v>14.8</v>
      </c>
      <c r="H284">
        <v>14.775</v>
      </c>
      <c r="I284">
        <v>14.744999999999999</v>
      </c>
      <c r="J284">
        <v>14.695</v>
      </c>
      <c r="L284">
        <v>14.57</v>
      </c>
      <c r="O284">
        <v>14.34</v>
      </c>
      <c r="Q284">
        <v>14.15</v>
      </c>
      <c r="R284">
        <v>14.01</v>
      </c>
      <c r="S284">
        <v>13.87</v>
      </c>
      <c r="U284">
        <v>13.76</v>
      </c>
      <c r="V284">
        <v>13.675000000000001</v>
      </c>
      <c r="W284">
        <v>13.65</v>
      </c>
      <c r="X284">
        <v>13.654999999999999</v>
      </c>
      <c r="Y284">
        <v>13.654999999999999</v>
      </c>
      <c r="Z284">
        <v>13.66</v>
      </c>
      <c r="AA284">
        <v>13.68</v>
      </c>
      <c r="AB284">
        <v>13.715</v>
      </c>
      <c r="AC284">
        <v>13.73</v>
      </c>
      <c r="AD284">
        <v>13.78</v>
      </c>
      <c r="AE284">
        <v>13.8</v>
      </c>
      <c r="AF284">
        <v>13.82</v>
      </c>
      <c r="AH284">
        <v>13.85</v>
      </c>
      <c r="AI284">
        <v>13.89</v>
      </c>
      <c r="AJ284">
        <v>13.91</v>
      </c>
      <c r="AK284">
        <v>13.87</v>
      </c>
      <c r="AL284">
        <v>13.9</v>
      </c>
      <c r="AM284">
        <v>13.82</v>
      </c>
      <c r="AN284">
        <v>13.45</v>
      </c>
      <c r="AO284">
        <v>13.37</v>
      </c>
      <c r="AP284">
        <v>13.3</v>
      </c>
      <c r="AQ284">
        <v>13.53</v>
      </c>
    </row>
    <row r="285" spans="1:43" x14ac:dyDescent="0.35">
      <c r="A285" s="2">
        <v>45792</v>
      </c>
      <c r="B285">
        <v>14.76</v>
      </c>
      <c r="C285">
        <v>14.78</v>
      </c>
      <c r="D285">
        <v>14.785</v>
      </c>
      <c r="E285">
        <v>14.79</v>
      </c>
      <c r="F285">
        <v>14.79</v>
      </c>
      <c r="G285">
        <v>14.775</v>
      </c>
      <c r="H285">
        <v>14.75</v>
      </c>
      <c r="I285">
        <v>14.715</v>
      </c>
      <c r="J285">
        <v>14.66</v>
      </c>
      <c r="L285">
        <v>14.545</v>
      </c>
      <c r="O285">
        <v>14.31</v>
      </c>
      <c r="Q285">
        <v>14.13</v>
      </c>
      <c r="R285">
        <v>13.994999999999999</v>
      </c>
      <c r="S285">
        <v>13.86</v>
      </c>
      <c r="U285">
        <v>13.75</v>
      </c>
      <c r="V285">
        <v>13.675000000000001</v>
      </c>
      <c r="W285">
        <v>13.64</v>
      </c>
      <c r="X285">
        <v>13.625</v>
      </c>
      <c r="Y285">
        <v>13.654999999999999</v>
      </c>
      <c r="Z285">
        <v>13.66</v>
      </c>
      <c r="AA285">
        <v>13.635</v>
      </c>
      <c r="AB285">
        <v>13.664999999999999</v>
      </c>
      <c r="AC285">
        <v>13.68</v>
      </c>
      <c r="AD285">
        <v>13.71</v>
      </c>
      <c r="AE285">
        <v>13.71</v>
      </c>
      <c r="AF285">
        <v>13.72</v>
      </c>
      <c r="AH285">
        <v>13.75</v>
      </c>
      <c r="AI285">
        <v>13.77</v>
      </c>
      <c r="AJ285">
        <v>13.77</v>
      </c>
      <c r="AK285">
        <v>13.74</v>
      </c>
      <c r="AL285">
        <v>13.75</v>
      </c>
      <c r="AM285">
        <v>13.67</v>
      </c>
      <c r="AN285">
        <v>13.59</v>
      </c>
      <c r="AO285">
        <v>13.51</v>
      </c>
      <c r="AP285">
        <v>13.44</v>
      </c>
      <c r="AQ285">
        <v>13.38</v>
      </c>
    </row>
    <row r="286" spans="1:43" x14ac:dyDescent="0.35">
      <c r="A286" s="2">
        <v>45793</v>
      </c>
    </row>
    <row r="287" spans="1:43" x14ac:dyDescent="0.35">
      <c r="A287" s="2">
        <v>45794</v>
      </c>
    </row>
    <row r="288" spans="1:43" x14ac:dyDescent="0.35">
      <c r="A288" s="2">
        <v>45795</v>
      </c>
    </row>
    <row r="289" spans="1:43" x14ac:dyDescent="0.35">
      <c r="A289" s="2">
        <v>45796</v>
      </c>
      <c r="B289">
        <v>14.72</v>
      </c>
      <c r="C289">
        <v>14.73</v>
      </c>
      <c r="D289">
        <v>14.725</v>
      </c>
      <c r="E289">
        <v>14.72</v>
      </c>
      <c r="F289">
        <v>14.715</v>
      </c>
      <c r="G289">
        <v>14.69</v>
      </c>
      <c r="H289">
        <v>14.654999999999999</v>
      </c>
      <c r="I289">
        <v>14.61</v>
      </c>
      <c r="J289">
        <v>14.54</v>
      </c>
      <c r="L289">
        <v>14.385</v>
      </c>
      <c r="O289">
        <v>14.115</v>
      </c>
      <c r="Q289">
        <v>13.904999999999999</v>
      </c>
      <c r="R289">
        <v>13.744999999999999</v>
      </c>
      <c r="S289">
        <v>13.595000000000001</v>
      </c>
      <c r="U289">
        <v>13.49</v>
      </c>
      <c r="V289">
        <v>13.42</v>
      </c>
      <c r="W289">
        <v>13.385</v>
      </c>
      <c r="X289">
        <v>13.4</v>
      </c>
      <c r="Y289">
        <v>13.425000000000001</v>
      </c>
      <c r="Z289">
        <v>13.455</v>
      </c>
      <c r="AA289">
        <v>13.465</v>
      </c>
      <c r="AB289">
        <v>13.5</v>
      </c>
      <c r="AC289">
        <v>13.535</v>
      </c>
      <c r="AD289">
        <v>13.574999999999999</v>
      </c>
      <c r="AE289">
        <v>13.59</v>
      </c>
      <c r="AF289">
        <v>13.62</v>
      </c>
      <c r="AH289">
        <v>13.67</v>
      </c>
      <c r="AI289">
        <v>13.73</v>
      </c>
      <c r="AJ289">
        <v>13.75</v>
      </c>
      <c r="AK289">
        <v>13.73</v>
      </c>
      <c r="AL289">
        <v>13.75</v>
      </c>
      <c r="AM289">
        <v>13.67</v>
      </c>
      <c r="AN289">
        <v>13.56</v>
      </c>
      <c r="AO289">
        <v>13.48</v>
      </c>
      <c r="AP289">
        <v>13.41</v>
      </c>
      <c r="AQ289">
        <v>13.35</v>
      </c>
    </row>
    <row r="290" spans="1:43" x14ac:dyDescent="0.35">
      <c r="A290" s="2">
        <v>45797</v>
      </c>
      <c r="B290">
        <v>14.725</v>
      </c>
      <c r="C290">
        <v>14.734999999999999</v>
      </c>
      <c r="D290">
        <v>14.74</v>
      </c>
      <c r="E290">
        <v>14.74</v>
      </c>
      <c r="F290">
        <v>14.73</v>
      </c>
      <c r="G290">
        <v>14.705</v>
      </c>
      <c r="H290">
        <v>14.675000000000001</v>
      </c>
      <c r="I290">
        <v>14.645</v>
      </c>
      <c r="J290">
        <v>14.58</v>
      </c>
      <c r="L290">
        <v>14.45</v>
      </c>
      <c r="O290">
        <v>14.175000000000001</v>
      </c>
      <c r="Q290">
        <v>13.96</v>
      </c>
      <c r="R290">
        <v>13.8</v>
      </c>
      <c r="S290">
        <v>13.65</v>
      </c>
      <c r="U290">
        <v>13.55</v>
      </c>
      <c r="V290">
        <v>13.47</v>
      </c>
      <c r="W290">
        <v>13.43</v>
      </c>
      <c r="X290">
        <v>13.44</v>
      </c>
      <c r="Y290">
        <v>13.475</v>
      </c>
      <c r="Z290">
        <v>13.5</v>
      </c>
      <c r="AA290">
        <v>13.505000000000001</v>
      </c>
      <c r="AB290">
        <v>13.55</v>
      </c>
      <c r="AC290">
        <v>13.58</v>
      </c>
      <c r="AD290">
        <v>13.59</v>
      </c>
      <c r="AE290">
        <v>13.645</v>
      </c>
      <c r="AF290">
        <v>13.66</v>
      </c>
      <c r="AH290">
        <v>13.73</v>
      </c>
      <c r="AI290">
        <v>13.79</v>
      </c>
      <c r="AJ290">
        <v>13.81</v>
      </c>
      <c r="AK290">
        <v>13.78</v>
      </c>
      <c r="AL290">
        <v>13.81</v>
      </c>
      <c r="AM290">
        <v>13.73</v>
      </c>
      <c r="AN290">
        <v>13.72</v>
      </c>
      <c r="AO290">
        <v>13.64</v>
      </c>
      <c r="AP290">
        <v>13.57</v>
      </c>
      <c r="AQ290">
        <v>13.51</v>
      </c>
    </row>
    <row r="291" spans="1:43" x14ac:dyDescent="0.35">
      <c r="A291" s="2">
        <v>45798</v>
      </c>
      <c r="B291">
        <v>14.73</v>
      </c>
      <c r="C291">
        <v>14.74</v>
      </c>
      <c r="D291">
        <v>14.75</v>
      </c>
      <c r="E291">
        <v>14.75</v>
      </c>
      <c r="F291">
        <v>14.744999999999999</v>
      </c>
      <c r="G291">
        <v>14.725</v>
      </c>
      <c r="H291">
        <v>14.7</v>
      </c>
      <c r="I291">
        <v>14.664999999999999</v>
      </c>
      <c r="J291">
        <v>14.61</v>
      </c>
      <c r="L291">
        <v>14.49</v>
      </c>
      <c r="O291">
        <v>14.255000000000001</v>
      </c>
      <c r="Q291">
        <v>14.055</v>
      </c>
      <c r="R291">
        <v>13.92</v>
      </c>
      <c r="S291">
        <v>13.775</v>
      </c>
      <c r="U291">
        <v>13.69</v>
      </c>
      <c r="V291">
        <v>13.625</v>
      </c>
      <c r="W291">
        <v>13.595000000000001</v>
      </c>
      <c r="X291">
        <v>13.61</v>
      </c>
      <c r="Y291">
        <v>13.645</v>
      </c>
      <c r="Z291">
        <v>13.664999999999999</v>
      </c>
      <c r="AA291">
        <v>13.67</v>
      </c>
      <c r="AB291">
        <v>13.7</v>
      </c>
      <c r="AC291">
        <v>13.725</v>
      </c>
      <c r="AD291">
        <v>13.765000000000001</v>
      </c>
      <c r="AE291">
        <v>13.79</v>
      </c>
      <c r="AF291">
        <v>13.82</v>
      </c>
      <c r="AH291">
        <v>13.87</v>
      </c>
      <c r="AI291">
        <v>13.83</v>
      </c>
      <c r="AJ291">
        <v>13.95</v>
      </c>
      <c r="AK291">
        <v>13.91</v>
      </c>
      <c r="AL291">
        <v>13.95</v>
      </c>
      <c r="AM291">
        <v>13.87</v>
      </c>
      <c r="AN291">
        <v>13.72</v>
      </c>
      <c r="AO291">
        <v>13.77</v>
      </c>
      <c r="AP291">
        <v>13.7</v>
      </c>
      <c r="AQ291">
        <v>13.64</v>
      </c>
    </row>
    <row r="292" spans="1:43" x14ac:dyDescent="0.35">
      <c r="A292" s="2">
        <v>45799</v>
      </c>
      <c r="C292">
        <v>14.744999999999999</v>
      </c>
      <c r="D292">
        <v>14.75</v>
      </c>
      <c r="E292">
        <v>14.755000000000001</v>
      </c>
      <c r="F292">
        <v>14.765000000000001</v>
      </c>
      <c r="G292">
        <v>14.744999999999999</v>
      </c>
      <c r="H292">
        <v>14.72</v>
      </c>
      <c r="I292">
        <v>14.69</v>
      </c>
      <c r="J292">
        <v>14.635</v>
      </c>
      <c r="L292">
        <v>14.53</v>
      </c>
      <c r="O292">
        <v>14.31</v>
      </c>
      <c r="Q292">
        <v>14.12</v>
      </c>
      <c r="R292">
        <v>14</v>
      </c>
      <c r="S292">
        <v>13.86</v>
      </c>
      <c r="U292">
        <v>13.755000000000001</v>
      </c>
      <c r="V292">
        <v>13.69</v>
      </c>
      <c r="W292">
        <v>13.65</v>
      </c>
      <c r="X292">
        <v>13.555</v>
      </c>
      <c r="Y292">
        <v>13.69</v>
      </c>
      <c r="Z292">
        <v>13.715</v>
      </c>
      <c r="AA292">
        <v>13.53</v>
      </c>
      <c r="AB292">
        <v>13.75</v>
      </c>
      <c r="AC292">
        <v>13.755000000000001</v>
      </c>
      <c r="AD292">
        <v>13.785</v>
      </c>
      <c r="AE292">
        <v>13.805</v>
      </c>
      <c r="AF292">
        <v>13.82</v>
      </c>
      <c r="AH292">
        <v>13.89</v>
      </c>
      <c r="AI292">
        <v>13.93</v>
      </c>
      <c r="AJ292">
        <v>13.94</v>
      </c>
      <c r="AK292">
        <v>13.88</v>
      </c>
      <c r="AL292">
        <v>13.92</v>
      </c>
      <c r="AM292">
        <v>13.83</v>
      </c>
      <c r="AN292">
        <v>13.75</v>
      </c>
      <c r="AO292">
        <v>13.67</v>
      </c>
      <c r="AP292">
        <v>13.6</v>
      </c>
      <c r="AQ292">
        <v>13.54</v>
      </c>
    </row>
    <row r="293" spans="1:43" x14ac:dyDescent="0.35">
      <c r="A293" s="2">
        <v>45800</v>
      </c>
      <c r="B293">
        <v>14.725</v>
      </c>
      <c r="C293">
        <v>14.725</v>
      </c>
      <c r="D293">
        <v>14.73</v>
      </c>
      <c r="E293">
        <v>14.73</v>
      </c>
      <c r="F293">
        <v>14.725</v>
      </c>
      <c r="G293">
        <v>14.705</v>
      </c>
      <c r="H293">
        <v>14.67</v>
      </c>
      <c r="I293">
        <v>14.63</v>
      </c>
      <c r="J293">
        <v>14.57</v>
      </c>
      <c r="L293">
        <v>14.435</v>
      </c>
      <c r="O293">
        <v>14.185</v>
      </c>
      <c r="Q293">
        <v>13.98</v>
      </c>
      <c r="R293">
        <v>13.845000000000001</v>
      </c>
      <c r="S293">
        <v>13.695</v>
      </c>
      <c r="U293">
        <v>13.6</v>
      </c>
      <c r="V293">
        <v>13.535</v>
      </c>
      <c r="W293">
        <v>13.51</v>
      </c>
      <c r="X293">
        <v>13.525</v>
      </c>
      <c r="Y293">
        <v>13.57</v>
      </c>
      <c r="Z293">
        <v>13.59</v>
      </c>
      <c r="AA293">
        <v>13.595000000000001</v>
      </c>
      <c r="AB293">
        <v>13.645</v>
      </c>
      <c r="AC293">
        <v>13.66</v>
      </c>
      <c r="AD293">
        <v>13.7</v>
      </c>
      <c r="AE293">
        <v>13.715</v>
      </c>
      <c r="AF293">
        <v>13.73</v>
      </c>
      <c r="AH293">
        <v>13.79</v>
      </c>
      <c r="AI293">
        <v>13.86</v>
      </c>
      <c r="AJ293">
        <v>13.89</v>
      </c>
      <c r="AK293">
        <v>13.78</v>
      </c>
      <c r="AL293">
        <v>13.88</v>
      </c>
      <c r="AM293">
        <v>13.8</v>
      </c>
      <c r="AN293">
        <v>13.79</v>
      </c>
      <c r="AO293">
        <v>13.71</v>
      </c>
      <c r="AP293">
        <v>13.64</v>
      </c>
      <c r="AQ293">
        <v>13.58</v>
      </c>
    </row>
    <row r="294" spans="1:43" x14ac:dyDescent="0.35">
      <c r="A294" s="2">
        <v>45801</v>
      </c>
    </row>
    <row r="295" spans="1:43" x14ac:dyDescent="0.35">
      <c r="A295" s="2">
        <v>45802</v>
      </c>
    </row>
    <row r="296" spans="1:43" x14ac:dyDescent="0.35">
      <c r="A296" s="2">
        <v>45803</v>
      </c>
      <c r="B296">
        <v>14.715</v>
      </c>
      <c r="C296">
        <v>14.715</v>
      </c>
      <c r="D296">
        <v>14.715</v>
      </c>
      <c r="E296">
        <v>14.71</v>
      </c>
      <c r="F296">
        <v>14.705</v>
      </c>
      <c r="G296">
        <v>14.68</v>
      </c>
      <c r="H296">
        <v>14.65</v>
      </c>
      <c r="I296">
        <v>14.6</v>
      </c>
      <c r="J296">
        <v>14.54</v>
      </c>
      <c r="L296">
        <v>14.404999999999999</v>
      </c>
      <c r="O296">
        <v>14.15</v>
      </c>
      <c r="Q296">
        <v>13.945</v>
      </c>
      <c r="R296">
        <v>13.8</v>
      </c>
      <c r="S296">
        <v>13.67</v>
      </c>
      <c r="U296">
        <v>13.57</v>
      </c>
      <c r="V296">
        <v>13.5</v>
      </c>
      <c r="W296">
        <v>13.47</v>
      </c>
      <c r="X296">
        <v>13.484999999999999</v>
      </c>
      <c r="Y296">
        <v>13.52</v>
      </c>
      <c r="Z296">
        <v>13.555</v>
      </c>
      <c r="AA296">
        <v>13.55</v>
      </c>
      <c r="AB296">
        <v>13.6</v>
      </c>
      <c r="AC296">
        <v>13.615</v>
      </c>
      <c r="AD296">
        <v>13.66</v>
      </c>
      <c r="AE296">
        <v>13.675000000000001</v>
      </c>
      <c r="AF296">
        <v>13.7</v>
      </c>
      <c r="AH296">
        <v>13.76</v>
      </c>
      <c r="AI296">
        <v>13.82</v>
      </c>
      <c r="AJ296">
        <v>13.83</v>
      </c>
      <c r="AK296">
        <v>13.79</v>
      </c>
      <c r="AL296">
        <v>13.83</v>
      </c>
      <c r="AM296">
        <v>13.75</v>
      </c>
      <c r="AN296">
        <v>13.5</v>
      </c>
      <c r="AO296">
        <v>13.42</v>
      </c>
      <c r="AP296">
        <v>13.52</v>
      </c>
      <c r="AQ296">
        <v>13.29</v>
      </c>
    </row>
    <row r="297" spans="1:43" x14ac:dyDescent="0.35">
      <c r="A297" s="2">
        <v>45804</v>
      </c>
      <c r="B297">
        <v>14.7</v>
      </c>
      <c r="C297">
        <v>14.705</v>
      </c>
      <c r="D297">
        <v>14.7</v>
      </c>
      <c r="E297">
        <v>14.69</v>
      </c>
      <c r="F297">
        <v>14.68</v>
      </c>
      <c r="G297">
        <v>14.65</v>
      </c>
      <c r="H297">
        <v>14.61</v>
      </c>
      <c r="I297">
        <v>14.555</v>
      </c>
      <c r="J297">
        <v>14.49</v>
      </c>
      <c r="L297">
        <v>14.335000000000001</v>
      </c>
      <c r="O297">
        <v>14.07</v>
      </c>
      <c r="Q297">
        <v>13.845000000000001</v>
      </c>
      <c r="R297">
        <v>13.68</v>
      </c>
      <c r="S297">
        <v>13.53</v>
      </c>
      <c r="U297">
        <v>13.42</v>
      </c>
      <c r="V297">
        <v>13.34</v>
      </c>
      <c r="W297">
        <v>13.305</v>
      </c>
      <c r="X297">
        <v>13.31</v>
      </c>
      <c r="Y297">
        <v>13.345000000000001</v>
      </c>
      <c r="Z297">
        <v>13.37</v>
      </c>
      <c r="AA297">
        <v>13.37</v>
      </c>
      <c r="AB297">
        <v>13.4</v>
      </c>
      <c r="AC297">
        <v>13.44</v>
      </c>
      <c r="AD297">
        <v>13.49</v>
      </c>
      <c r="AE297">
        <v>13.494999999999999</v>
      </c>
      <c r="AF297">
        <v>13.5</v>
      </c>
      <c r="AH297">
        <v>13.59</v>
      </c>
      <c r="AI297">
        <v>13.65</v>
      </c>
      <c r="AJ297">
        <v>13.67</v>
      </c>
      <c r="AK297">
        <v>13.58</v>
      </c>
      <c r="AL297">
        <v>13.7</v>
      </c>
      <c r="AM297">
        <v>13.64</v>
      </c>
      <c r="AN297">
        <v>13.6</v>
      </c>
      <c r="AO297">
        <v>13.52</v>
      </c>
      <c r="AP297">
        <v>13.45</v>
      </c>
      <c r="AQ297">
        <v>13.39</v>
      </c>
    </row>
    <row r="298" spans="1:43" x14ac:dyDescent="0.35">
      <c r="A298" s="2">
        <v>45805</v>
      </c>
      <c r="B298">
        <v>14.72</v>
      </c>
      <c r="C298">
        <v>14.734999999999999</v>
      </c>
      <c r="D298">
        <v>14.734999999999999</v>
      </c>
      <c r="E298">
        <v>14.734999999999999</v>
      </c>
      <c r="F298">
        <v>14.73</v>
      </c>
      <c r="G298">
        <v>14.705</v>
      </c>
      <c r="H298">
        <v>14.67</v>
      </c>
      <c r="I298">
        <v>14.63</v>
      </c>
      <c r="J298">
        <v>14.565</v>
      </c>
      <c r="L298">
        <v>14.42</v>
      </c>
      <c r="O298">
        <v>14.154999999999999</v>
      </c>
      <c r="Q298">
        <v>13.94</v>
      </c>
      <c r="R298">
        <v>13.78</v>
      </c>
      <c r="S298">
        <v>13.635</v>
      </c>
      <c r="U298">
        <v>13.525</v>
      </c>
      <c r="V298">
        <v>13.445</v>
      </c>
      <c r="W298">
        <v>13.41</v>
      </c>
      <c r="X298">
        <v>13.42</v>
      </c>
      <c r="Y298">
        <v>13.41</v>
      </c>
      <c r="Z298">
        <v>13.49</v>
      </c>
      <c r="AA298">
        <v>13.46</v>
      </c>
      <c r="AB298">
        <v>13.515000000000001</v>
      </c>
      <c r="AC298">
        <v>13.545</v>
      </c>
      <c r="AD298">
        <v>13.585000000000001</v>
      </c>
      <c r="AE298">
        <v>13.59</v>
      </c>
      <c r="AF298">
        <v>13.62</v>
      </c>
      <c r="AH298">
        <v>13.68</v>
      </c>
      <c r="AI298">
        <v>13.73</v>
      </c>
      <c r="AJ298">
        <v>13.74</v>
      </c>
      <c r="AK298">
        <v>13.7</v>
      </c>
      <c r="AL298">
        <v>13.74</v>
      </c>
      <c r="AM298">
        <v>13.66</v>
      </c>
      <c r="AN298">
        <v>13.6</v>
      </c>
      <c r="AO298">
        <v>13.52</v>
      </c>
      <c r="AP298">
        <v>13.45</v>
      </c>
      <c r="AQ298">
        <v>13.39</v>
      </c>
    </row>
    <row r="299" spans="1:43" x14ac:dyDescent="0.35">
      <c r="A299" s="2">
        <v>45806</v>
      </c>
      <c r="B299">
        <v>14.73</v>
      </c>
      <c r="C299">
        <v>14.744999999999999</v>
      </c>
      <c r="D299">
        <v>14.75</v>
      </c>
      <c r="E299">
        <v>14.75</v>
      </c>
      <c r="F299">
        <v>14.75</v>
      </c>
      <c r="G299">
        <v>14.734999999999999</v>
      </c>
      <c r="H299">
        <v>14.71</v>
      </c>
      <c r="I299">
        <v>14.67</v>
      </c>
      <c r="J299">
        <v>14.615</v>
      </c>
      <c r="L299">
        <v>14.49</v>
      </c>
      <c r="O299">
        <v>14.244999999999999</v>
      </c>
      <c r="Q299">
        <v>14.035</v>
      </c>
      <c r="R299">
        <v>13.875</v>
      </c>
      <c r="S299">
        <v>13.725</v>
      </c>
      <c r="U299">
        <v>13.615</v>
      </c>
      <c r="V299">
        <v>13.525</v>
      </c>
      <c r="W299">
        <v>13.47</v>
      </c>
      <c r="X299">
        <v>13.475</v>
      </c>
      <c r="Y299">
        <v>13.505000000000001</v>
      </c>
      <c r="Z299">
        <v>13.52</v>
      </c>
      <c r="AA299">
        <v>13.515000000000001</v>
      </c>
      <c r="AB299">
        <v>13.55</v>
      </c>
      <c r="AC299">
        <v>13.574999999999999</v>
      </c>
      <c r="AD299">
        <v>13.61</v>
      </c>
      <c r="AE299">
        <v>13.605</v>
      </c>
      <c r="AF299">
        <v>13.62</v>
      </c>
      <c r="AH299">
        <v>13.69</v>
      </c>
      <c r="AI299">
        <v>13.74</v>
      </c>
      <c r="AJ299">
        <v>13.75</v>
      </c>
      <c r="AK299">
        <v>13.72</v>
      </c>
      <c r="AL299">
        <v>13.75</v>
      </c>
      <c r="AM299">
        <v>13.71</v>
      </c>
      <c r="AN299">
        <v>13.66</v>
      </c>
      <c r="AO299">
        <v>13.58</v>
      </c>
      <c r="AP299">
        <v>13.51</v>
      </c>
      <c r="AQ299">
        <v>13.45</v>
      </c>
    </row>
    <row r="300" spans="1:43" x14ac:dyDescent="0.35">
      <c r="A300" s="2">
        <v>45807</v>
      </c>
      <c r="B300">
        <v>14.755000000000001</v>
      </c>
      <c r="C300">
        <v>14.78</v>
      </c>
      <c r="D300">
        <v>14.795</v>
      </c>
      <c r="E300">
        <v>14.795</v>
      </c>
      <c r="F300">
        <v>14.8</v>
      </c>
      <c r="G300">
        <v>14.79</v>
      </c>
      <c r="H300">
        <v>14.77</v>
      </c>
      <c r="I300">
        <v>14.744999999999999</v>
      </c>
      <c r="J300">
        <v>14.7</v>
      </c>
      <c r="L300">
        <v>14.585000000000001</v>
      </c>
      <c r="O300">
        <v>14.345000000000001</v>
      </c>
      <c r="Q300">
        <v>14.145</v>
      </c>
      <c r="R300">
        <v>13.994999999999999</v>
      </c>
      <c r="S300">
        <v>13.85</v>
      </c>
      <c r="U300">
        <v>13.734999999999999</v>
      </c>
      <c r="V300">
        <v>13.65</v>
      </c>
      <c r="W300">
        <v>13.59</v>
      </c>
      <c r="X300">
        <v>13.59</v>
      </c>
      <c r="Y300">
        <v>13.61</v>
      </c>
      <c r="Z300">
        <v>13.625</v>
      </c>
      <c r="AA300">
        <v>13.61</v>
      </c>
      <c r="AB300">
        <v>13.64</v>
      </c>
      <c r="AC300">
        <v>13.65</v>
      </c>
      <c r="AD300">
        <v>13.695</v>
      </c>
      <c r="AE300">
        <v>13.69</v>
      </c>
      <c r="AF300">
        <v>13.71</v>
      </c>
      <c r="AH300">
        <v>13.76</v>
      </c>
      <c r="AI300">
        <v>13.81</v>
      </c>
      <c r="AJ300">
        <v>13.81</v>
      </c>
      <c r="AK300">
        <v>13.77</v>
      </c>
      <c r="AL300">
        <v>13.8</v>
      </c>
      <c r="AM300">
        <v>13.73</v>
      </c>
      <c r="AN300">
        <v>13.6</v>
      </c>
      <c r="AO300">
        <v>13.52</v>
      </c>
      <c r="AP300">
        <v>13.5</v>
      </c>
      <c r="AQ300">
        <v>13.39</v>
      </c>
    </row>
    <row r="301" spans="1:43" x14ac:dyDescent="0.35">
      <c r="A301" s="2">
        <v>45808</v>
      </c>
    </row>
    <row r="302" spans="1:43" x14ac:dyDescent="0.35">
      <c r="A302" s="2">
        <v>45809</v>
      </c>
    </row>
    <row r="303" spans="1:43" x14ac:dyDescent="0.35">
      <c r="A303" s="2">
        <v>45810</v>
      </c>
      <c r="B303">
        <v>14.736000000000001</v>
      </c>
      <c r="C303">
        <v>14.75</v>
      </c>
      <c r="D303">
        <v>14.755000000000001</v>
      </c>
      <c r="E303">
        <v>14.76</v>
      </c>
      <c r="F303">
        <v>14.765000000000001</v>
      </c>
      <c r="G303">
        <v>14.755000000000001</v>
      </c>
      <c r="H303">
        <v>14.74</v>
      </c>
      <c r="I303">
        <v>14.71</v>
      </c>
      <c r="J303">
        <v>14.66</v>
      </c>
      <c r="K303">
        <v>14.6</v>
      </c>
      <c r="L303">
        <v>14.54</v>
      </c>
      <c r="O303">
        <v>14.305</v>
      </c>
      <c r="Q303">
        <v>14.105</v>
      </c>
      <c r="R303">
        <v>13.95</v>
      </c>
      <c r="S303">
        <v>13.805</v>
      </c>
      <c r="U303">
        <v>13.72</v>
      </c>
      <c r="V303">
        <v>13.63</v>
      </c>
      <c r="W303">
        <v>13.574999999999999</v>
      </c>
      <c r="X303">
        <v>13.58</v>
      </c>
      <c r="Y303">
        <v>13.605</v>
      </c>
      <c r="Z303">
        <v>13.63</v>
      </c>
      <c r="AA303">
        <v>13.625</v>
      </c>
      <c r="AB303">
        <v>13.65</v>
      </c>
      <c r="AC303">
        <v>13.664999999999999</v>
      </c>
      <c r="AD303">
        <v>13.69</v>
      </c>
      <c r="AE303">
        <v>13.7</v>
      </c>
      <c r="AF303">
        <v>13.71</v>
      </c>
      <c r="AH303">
        <v>13.76</v>
      </c>
      <c r="AI303">
        <v>13.82</v>
      </c>
      <c r="AJ303">
        <v>13.81</v>
      </c>
      <c r="AK303">
        <v>13.76</v>
      </c>
      <c r="AL303">
        <v>13.8</v>
      </c>
      <c r="AM303">
        <v>13.72</v>
      </c>
      <c r="AN303">
        <v>13.64</v>
      </c>
      <c r="AO303">
        <v>13.52</v>
      </c>
      <c r="AP303">
        <v>13.49</v>
      </c>
      <c r="AQ303">
        <v>13.39</v>
      </c>
    </row>
    <row r="304" spans="1:43" x14ac:dyDescent="0.35">
      <c r="A304" s="2">
        <v>45811</v>
      </c>
      <c r="B304">
        <v>14.77</v>
      </c>
      <c r="C304">
        <v>14.785</v>
      </c>
      <c r="D304">
        <v>14.79</v>
      </c>
      <c r="E304">
        <v>14.79</v>
      </c>
      <c r="F304">
        <v>14.8</v>
      </c>
      <c r="G304">
        <v>14.79</v>
      </c>
      <c r="H304">
        <v>14.77</v>
      </c>
      <c r="I304">
        <v>14.744999999999999</v>
      </c>
      <c r="J304">
        <v>14.715</v>
      </c>
      <c r="K304">
        <v>14.645</v>
      </c>
      <c r="L304">
        <v>14.595000000000001</v>
      </c>
      <c r="O304">
        <v>14.38</v>
      </c>
      <c r="Q304">
        <v>14.17</v>
      </c>
      <c r="R304">
        <v>14.01</v>
      </c>
      <c r="S304">
        <v>13.855</v>
      </c>
      <c r="U304">
        <v>13.734999999999999</v>
      </c>
      <c r="V304">
        <v>13.65</v>
      </c>
      <c r="W304">
        <v>13.59</v>
      </c>
      <c r="X304">
        <v>13.595000000000001</v>
      </c>
      <c r="Y304">
        <v>13.6</v>
      </c>
      <c r="Z304">
        <v>13.62</v>
      </c>
      <c r="AA304">
        <v>13.61</v>
      </c>
      <c r="AB304">
        <v>13.635</v>
      </c>
      <c r="AC304">
        <v>13.65</v>
      </c>
      <c r="AD304">
        <v>13.68</v>
      </c>
      <c r="AE304">
        <v>13.69</v>
      </c>
      <c r="AF304">
        <v>13.7</v>
      </c>
      <c r="AH304">
        <v>13.75</v>
      </c>
      <c r="AI304">
        <v>13.78</v>
      </c>
      <c r="AJ304">
        <v>13.78</v>
      </c>
      <c r="AK304">
        <v>13.74</v>
      </c>
      <c r="AL304">
        <v>13.76</v>
      </c>
      <c r="AM304">
        <v>13.68</v>
      </c>
      <c r="AN304">
        <v>13.6</v>
      </c>
      <c r="AO304">
        <v>13.52</v>
      </c>
      <c r="AP304">
        <v>13.45</v>
      </c>
      <c r="AQ304">
        <v>13.39</v>
      </c>
    </row>
    <row r="305" spans="1:43" x14ac:dyDescent="0.35">
      <c r="A305" s="2">
        <v>45812</v>
      </c>
      <c r="B305">
        <v>14.785</v>
      </c>
      <c r="C305">
        <v>14.81</v>
      </c>
      <c r="D305">
        <v>14.815</v>
      </c>
      <c r="E305">
        <v>14.82</v>
      </c>
      <c r="F305">
        <v>14.83</v>
      </c>
      <c r="G305">
        <v>14.82</v>
      </c>
      <c r="H305">
        <v>14.81</v>
      </c>
      <c r="I305">
        <v>14.785</v>
      </c>
      <c r="J305">
        <v>14.74</v>
      </c>
      <c r="K305">
        <v>14.685</v>
      </c>
      <c r="L305">
        <v>14.64</v>
      </c>
      <c r="O305">
        <v>14.425000000000001</v>
      </c>
      <c r="Q305">
        <v>14.21</v>
      </c>
      <c r="R305">
        <v>14.04</v>
      </c>
      <c r="S305">
        <v>13.885</v>
      </c>
      <c r="U305">
        <v>13.75</v>
      </c>
      <c r="V305">
        <v>13.64</v>
      </c>
      <c r="W305">
        <v>13.57</v>
      </c>
      <c r="X305">
        <v>13.57</v>
      </c>
      <c r="Y305">
        <v>13.59</v>
      </c>
      <c r="Z305">
        <v>13.6</v>
      </c>
      <c r="AA305">
        <v>13.585000000000001</v>
      </c>
      <c r="AB305">
        <v>13.605</v>
      </c>
      <c r="AC305">
        <v>13.635</v>
      </c>
      <c r="AD305">
        <v>13.67</v>
      </c>
      <c r="AE305">
        <v>13.66</v>
      </c>
      <c r="AF305">
        <v>13.68</v>
      </c>
      <c r="AH305">
        <v>13.73</v>
      </c>
      <c r="AI305">
        <v>13.76</v>
      </c>
      <c r="AJ305">
        <v>13.77</v>
      </c>
      <c r="AK305">
        <v>13.72</v>
      </c>
      <c r="AL305">
        <v>13.74</v>
      </c>
      <c r="AM305">
        <v>13.67</v>
      </c>
      <c r="AN305">
        <v>13.6</v>
      </c>
      <c r="AO305">
        <v>13.52</v>
      </c>
      <c r="AP305">
        <v>13.45</v>
      </c>
      <c r="AQ305">
        <v>13.39</v>
      </c>
    </row>
    <row r="306" spans="1:43" x14ac:dyDescent="0.35">
      <c r="A306" s="2">
        <v>45813</v>
      </c>
      <c r="B306">
        <v>14.834</v>
      </c>
      <c r="C306">
        <v>14.87</v>
      </c>
      <c r="D306">
        <v>14.885</v>
      </c>
      <c r="E306">
        <v>14.895</v>
      </c>
      <c r="F306">
        <v>14.91</v>
      </c>
      <c r="G306">
        <v>14.91</v>
      </c>
      <c r="H306">
        <v>14.9</v>
      </c>
      <c r="I306">
        <v>14.885</v>
      </c>
      <c r="J306">
        <v>14.845000000000001</v>
      </c>
      <c r="K306">
        <v>14.805</v>
      </c>
      <c r="L306">
        <v>14.76</v>
      </c>
      <c r="O306">
        <v>14.555</v>
      </c>
      <c r="Q306">
        <v>14.36</v>
      </c>
      <c r="R306">
        <v>14.2</v>
      </c>
      <c r="S306">
        <v>14.045</v>
      </c>
      <c r="U306">
        <v>13.925000000000001</v>
      </c>
      <c r="V306">
        <v>13.835000000000001</v>
      </c>
      <c r="W306">
        <v>13.775</v>
      </c>
      <c r="X306">
        <v>13.76</v>
      </c>
      <c r="Y306">
        <v>13.765000000000001</v>
      </c>
      <c r="Z306">
        <v>13.78</v>
      </c>
      <c r="AA306">
        <v>13.775</v>
      </c>
      <c r="AB306">
        <v>13.775</v>
      </c>
      <c r="AC306">
        <v>13.82</v>
      </c>
      <c r="AD306">
        <v>13.845000000000001</v>
      </c>
      <c r="AE306">
        <v>13.845000000000001</v>
      </c>
      <c r="AF306">
        <v>13.86</v>
      </c>
      <c r="AH306">
        <v>13.93</v>
      </c>
      <c r="AI306">
        <v>13.97</v>
      </c>
      <c r="AJ306">
        <v>13.97</v>
      </c>
      <c r="AK306">
        <v>13.9</v>
      </c>
      <c r="AL306">
        <v>13.95</v>
      </c>
      <c r="AM306">
        <v>13.87</v>
      </c>
      <c r="AN306">
        <v>13.6</v>
      </c>
      <c r="AO306">
        <v>13.71</v>
      </c>
      <c r="AP306">
        <v>13.64</v>
      </c>
      <c r="AQ306">
        <v>13.58</v>
      </c>
    </row>
    <row r="307" spans="1:43" x14ac:dyDescent="0.35">
      <c r="A307" s="2">
        <v>45814</v>
      </c>
      <c r="B307">
        <v>14.837999999999999</v>
      </c>
      <c r="C307">
        <v>14.875</v>
      </c>
      <c r="D307">
        <v>14.885</v>
      </c>
      <c r="E307">
        <v>14.895</v>
      </c>
      <c r="F307">
        <v>14.904999999999999</v>
      </c>
      <c r="G307">
        <v>14.9</v>
      </c>
      <c r="H307">
        <v>14.89</v>
      </c>
      <c r="I307">
        <v>14.865</v>
      </c>
      <c r="J307">
        <v>14.82</v>
      </c>
      <c r="K307">
        <v>14.765000000000001</v>
      </c>
      <c r="L307">
        <v>14.715</v>
      </c>
      <c r="O307">
        <v>14.494999999999999</v>
      </c>
      <c r="Q307">
        <v>14.29</v>
      </c>
      <c r="R307">
        <v>14.135</v>
      </c>
      <c r="S307">
        <v>13.99</v>
      </c>
      <c r="U307">
        <v>13.87</v>
      </c>
      <c r="V307">
        <v>13.78</v>
      </c>
      <c r="W307">
        <v>13.72</v>
      </c>
      <c r="X307">
        <v>13.705</v>
      </c>
      <c r="Y307">
        <v>13.705</v>
      </c>
      <c r="Z307">
        <v>13.71</v>
      </c>
      <c r="AA307">
        <v>13.685</v>
      </c>
      <c r="AB307">
        <v>13.7</v>
      </c>
      <c r="AC307">
        <v>13.734999999999999</v>
      </c>
      <c r="AD307">
        <v>13.765000000000001</v>
      </c>
      <c r="AE307">
        <v>13.77</v>
      </c>
      <c r="AF307">
        <v>13.78</v>
      </c>
      <c r="AH307">
        <v>13.83</v>
      </c>
      <c r="AI307">
        <v>13.86</v>
      </c>
      <c r="AJ307">
        <v>13.86</v>
      </c>
      <c r="AK307">
        <v>13.82</v>
      </c>
      <c r="AL307">
        <v>13.86</v>
      </c>
      <c r="AM307">
        <v>13.78</v>
      </c>
      <c r="AN307">
        <v>13.65</v>
      </c>
      <c r="AO307">
        <v>13.57</v>
      </c>
      <c r="AP307">
        <v>13.5</v>
      </c>
      <c r="AQ307">
        <v>13.44</v>
      </c>
    </row>
    <row r="308" spans="1:43" x14ac:dyDescent="0.35">
      <c r="A308" s="2">
        <v>45815</v>
      </c>
    </row>
    <row r="309" spans="1:43" x14ac:dyDescent="0.35">
      <c r="A309" s="2">
        <v>45816</v>
      </c>
    </row>
    <row r="310" spans="1:43" x14ac:dyDescent="0.35">
      <c r="A310" s="2">
        <v>45817</v>
      </c>
      <c r="B310">
        <v>14.815</v>
      </c>
      <c r="C310">
        <v>14.83</v>
      </c>
      <c r="D310">
        <v>14.84</v>
      </c>
      <c r="E310">
        <v>14.845000000000001</v>
      </c>
      <c r="F310">
        <v>14.85</v>
      </c>
      <c r="G310">
        <v>14.845000000000001</v>
      </c>
      <c r="H310">
        <v>14.83</v>
      </c>
      <c r="I310">
        <v>14.805</v>
      </c>
      <c r="J310">
        <v>14.755000000000001</v>
      </c>
      <c r="K310">
        <v>14.7</v>
      </c>
      <c r="L310">
        <v>14.64</v>
      </c>
      <c r="O310">
        <v>14.404999999999999</v>
      </c>
      <c r="Q310">
        <v>14.185</v>
      </c>
      <c r="R310">
        <v>13.99</v>
      </c>
      <c r="S310">
        <v>13.875</v>
      </c>
      <c r="U310">
        <v>13.755000000000001</v>
      </c>
      <c r="V310">
        <v>13.675000000000001</v>
      </c>
      <c r="W310">
        <v>13.615</v>
      </c>
      <c r="X310">
        <v>13.61</v>
      </c>
      <c r="Y310">
        <v>13.61</v>
      </c>
      <c r="Z310">
        <v>13.62</v>
      </c>
      <c r="AA310">
        <v>13.61</v>
      </c>
      <c r="AB310">
        <v>13.61</v>
      </c>
      <c r="AC310">
        <v>13.66</v>
      </c>
      <c r="AD310">
        <v>13.71</v>
      </c>
      <c r="AE310">
        <v>13.72</v>
      </c>
      <c r="AF310">
        <v>13.74</v>
      </c>
      <c r="AH310">
        <v>13.79</v>
      </c>
      <c r="AI310">
        <v>13.84</v>
      </c>
      <c r="AJ310">
        <v>13.85</v>
      </c>
      <c r="AK310">
        <v>13.75</v>
      </c>
      <c r="AL310">
        <v>13.85</v>
      </c>
      <c r="AM310">
        <v>13.77</v>
      </c>
      <c r="AN310">
        <v>13.6</v>
      </c>
      <c r="AO310">
        <v>13.52</v>
      </c>
      <c r="AP310">
        <v>13.54</v>
      </c>
      <c r="AQ310">
        <v>13.39</v>
      </c>
    </row>
    <row r="311" spans="1:43" x14ac:dyDescent="0.35">
      <c r="A311" s="2">
        <v>45818</v>
      </c>
      <c r="B311">
        <v>14.803000000000001</v>
      </c>
      <c r="C311">
        <v>14.824999999999999</v>
      </c>
      <c r="D311">
        <v>14.83</v>
      </c>
      <c r="E311">
        <v>14.835000000000001</v>
      </c>
      <c r="F311">
        <v>14.84</v>
      </c>
      <c r="G311">
        <v>14.835000000000001</v>
      </c>
      <c r="H311">
        <v>14.82</v>
      </c>
      <c r="I311">
        <v>14.79</v>
      </c>
      <c r="J311">
        <v>14.734999999999999</v>
      </c>
      <c r="K311">
        <v>14.675000000000001</v>
      </c>
      <c r="L311">
        <v>14.62</v>
      </c>
      <c r="O311">
        <v>14.375</v>
      </c>
      <c r="Q311">
        <v>14.15</v>
      </c>
      <c r="R311">
        <v>13.975</v>
      </c>
      <c r="S311">
        <v>13.81</v>
      </c>
      <c r="U311">
        <v>13.675000000000001</v>
      </c>
      <c r="V311">
        <v>13.58</v>
      </c>
      <c r="W311">
        <v>13.515000000000001</v>
      </c>
      <c r="X311">
        <v>13.505000000000001</v>
      </c>
      <c r="Y311">
        <v>13.515000000000001</v>
      </c>
      <c r="Z311">
        <v>13.51</v>
      </c>
      <c r="AA311">
        <v>13.53</v>
      </c>
      <c r="AB311">
        <v>13.55</v>
      </c>
      <c r="AC311">
        <v>13.57</v>
      </c>
      <c r="AD311">
        <v>13.59</v>
      </c>
      <c r="AE311">
        <v>13.595000000000001</v>
      </c>
      <c r="AF311">
        <v>13.62</v>
      </c>
      <c r="AH311">
        <v>13.68</v>
      </c>
      <c r="AI311">
        <v>13.73</v>
      </c>
      <c r="AJ311">
        <v>13.76</v>
      </c>
      <c r="AK311">
        <v>13.73</v>
      </c>
      <c r="AL311">
        <v>13.75</v>
      </c>
      <c r="AM311">
        <v>13.68</v>
      </c>
      <c r="AN311">
        <v>13.6</v>
      </c>
      <c r="AO311">
        <v>13.52</v>
      </c>
      <c r="AP311">
        <v>13.45</v>
      </c>
      <c r="AQ311">
        <v>13.39</v>
      </c>
    </row>
    <row r="312" spans="1:43" x14ac:dyDescent="0.35">
      <c r="A312" s="2">
        <v>45819</v>
      </c>
      <c r="B312">
        <v>14.833</v>
      </c>
      <c r="C312">
        <v>14.855</v>
      </c>
      <c r="D312">
        <v>14.865</v>
      </c>
      <c r="E312">
        <v>14.875</v>
      </c>
      <c r="F312">
        <v>14.885</v>
      </c>
      <c r="G312">
        <v>14.885</v>
      </c>
      <c r="H312">
        <v>14.875</v>
      </c>
      <c r="I312">
        <v>14.85</v>
      </c>
      <c r="J312">
        <v>14.805</v>
      </c>
      <c r="K312">
        <v>14.75</v>
      </c>
      <c r="L312">
        <v>14.705</v>
      </c>
      <c r="O312">
        <v>14.46</v>
      </c>
      <c r="Q312">
        <v>14.23</v>
      </c>
      <c r="R312">
        <v>14.055</v>
      </c>
      <c r="S312">
        <v>13.88</v>
      </c>
      <c r="U312">
        <v>13.75</v>
      </c>
      <c r="V312">
        <v>13.654999999999999</v>
      </c>
      <c r="W312">
        <v>13.58</v>
      </c>
      <c r="X312">
        <v>13.555</v>
      </c>
      <c r="Y312">
        <v>13.565</v>
      </c>
      <c r="Z312">
        <v>13.565</v>
      </c>
      <c r="AA312">
        <v>13.545</v>
      </c>
      <c r="AB312">
        <v>13.55</v>
      </c>
      <c r="AC312">
        <v>13.59</v>
      </c>
      <c r="AD312">
        <v>13.625</v>
      </c>
      <c r="AE312">
        <v>13.62</v>
      </c>
      <c r="AF312">
        <v>13.64</v>
      </c>
      <c r="AH312">
        <v>13.7</v>
      </c>
      <c r="AI312">
        <v>13.74</v>
      </c>
      <c r="AJ312">
        <v>13.75</v>
      </c>
      <c r="AK312">
        <v>13.69</v>
      </c>
      <c r="AL312">
        <v>13.73</v>
      </c>
      <c r="AM312">
        <v>13.65</v>
      </c>
      <c r="AN312">
        <v>13.55</v>
      </c>
      <c r="AO312">
        <v>13.47</v>
      </c>
      <c r="AP312">
        <v>13.4</v>
      </c>
      <c r="AQ312">
        <v>13.34</v>
      </c>
    </row>
    <row r="313" spans="1:43" x14ac:dyDescent="0.35">
      <c r="A313" s="2">
        <v>45820</v>
      </c>
      <c r="B313">
        <v>14.815</v>
      </c>
      <c r="C313">
        <v>14.83</v>
      </c>
      <c r="D313">
        <v>14.84</v>
      </c>
      <c r="E313">
        <v>14.84</v>
      </c>
      <c r="F313">
        <v>14.84</v>
      </c>
      <c r="G313">
        <v>14.835000000000001</v>
      </c>
      <c r="H313">
        <v>14.82</v>
      </c>
      <c r="I313">
        <v>14.8</v>
      </c>
      <c r="J313">
        <v>14.75</v>
      </c>
      <c r="K313">
        <v>14.705</v>
      </c>
      <c r="L313">
        <v>14.645</v>
      </c>
      <c r="O313">
        <v>14.41</v>
      </c>
      <c r="Q313">
        <v>14.185</v>
      </c>
      <c r="R313">
        <v>14.015000000000001</v>
      </c>
      <c r="S313">
        <v>13.85</v>
      </c>
      <c r="U313">
        <v>13.715</v>
      </c>
      <c r="V313">
        <v>13.61</v>
      </c>
      <c r="W313">
        <v>13.53</v>
      </c>
      <c r="X313">
        <v>13.52</v>
      </c>
      <c r="Y313">
        <v>13.53</v>
      </c>
      <c r="Z313">
        <v>13.52</v>
      </c>
      <c r="AA313">
        <v>13.52</v>
      </c>
      <c r="AB313">
        <v>13.56</v>
      </c>
      <c r="AC313">
        <v>13.56</v>
      </c>
      <c r="AD313">
        <v>13.59</v>
      </c>
      <c r="AE313">
        <v>13.6</v>
      </c>
      <c r="AF313">
        <v>13.62</v>
      </c>
      <c r="AH313">
        <v>13.67</v>
      </c>
      <c r="AI313">
        <v>13.73</v>
      </c>
      <c r="AJ313">
        <v>13.74</v>
      </c>
      <c r="AK313">
        <v>13.71</v>
      </c>
      <c r="AL313">
        <v>13.74</v>
      </c>
      <c r="AM313">
        <v>13.66</v>
      </c>
      <c r="AN313">
        <v>13.58</v>
      </c>
      <c r="AO313">
        <v>13.5</v>
      </c>
      <c r="AP313">
        <v>13.43</v>
      </c>
      <c r="AQ313">
        <v>13.37</v>
      </c>
    </row>
    <row r="314" spans="1:43" x14ac:dyDescent="0.35">
      <c r="A314" s="2">
        <v>45821</v>
      </c>
      <c r="B314">
        <v>14.808</v>
      </c>
      <c r="C314">
        <v>14.824999999999999</v>
      </c>
      <c r="D314">
        <v>14.83</v>
      </c>
      <c r="E314">
        <v>14.835000000000001</v>
      </c>
      <c r="F314">
        <v>14.84</v>
      </c>
      <c r="G314">
        <v>14.83</v>
      </c>
      <c r="H314">
        <v>14.815</v>
      </c>
      <c r="I314">
        <v>14.79</v>
      </c>
      <c r="J314">
        <v>14.74</v>
      </c>
      <c r="K314">
        <v>14.69</v>
      </c>
      <c r="L314">
        <v>14.635</v>
      </c>
      <c r="O314">
        <v>14.39</v>
      </c>
      <c r="Q314">
        <v>14.164999999999999</v>
      </c>
      <c r="R314">
        <v>13.99</v>
      </c>
      <c r="S314">
        <v>13.824999999999999</v>
      </c>
      <c r="U314">
        <v>13.7</v>
      </c>
      <c r="V314">
        <v>13.6</v>
      </c>
      <c r="W314">
        <v>13.53</v>
      </c>
      <c r="X314">
        <v>13.52</v>
      </c>
      <c r="Y314">
        <v>13.525</v>
      </c>
      <c r="Z314">
        <v>13.53</v>
      </c>
      <c r="AA314">
        <v>13.525</v>
      </c>
      <c r="AB314">
        <v>13.535</v>
      </c>
      <c r="AC314">
        <v>13.56</v>
      </c>
      <c r="AD314">
        <v>13.59</v>
      </c>
      <c r="AE314">
        <v>13.6</v>
      </c>
      <c r="AF314">
        <v>13.62</v>
      </c>
      <c r="AH314">
        <v>13.67</v>
      </c>
      <c r="AI314">
        <v>13.72</v>
      </c>
      <c r="AJ314">
        <v>13.73</v>
      </c>
      <c r="AK314">
        <v>13.7</v>
      </c>
      <c r="AL314">
        <v>13.72</v>
      </c>
      <c r="AM314">
        <v>13.64</v>
      </c>
      <c r="AN314">
        <v>13.6</v>
      </c>
      <c r="AO314">
        <v>13.52</v>
      </c>
      <c r="AP314">
        <v>13.45</v>
      </c>
      <c r="AQ314">
        <v>13.39</v>
      </c>
    </row>
    <row r="315" spans="1:43" x14ac:dyDescent="0.35">
      <c r="A315" s="2">
        <v>45822</v>
      </c>
    </row>
    <row r="316" spans="1:43" x14ac:dyDescent="0.35">
      <c r="A316" s="2">
        <v>45823</v>
      </c>
    </row>
    <row r="317" spans="1:43" x14ac:dyDescent="0.35">
      <c r="A317" s="2">
        <v>45824</v>
      </c>
      <c r="B317">
        <v>14.837999999999999</v>
      </c>
      <c r="C317">
        <v>14.86</v>
      </c>
      <c r="D317">
        <v>14.865</v>
      </c>
      <c r="E317">
        <v>14.87</v>
      </c>
      <c r="F317">
        <v>14.875</v>
      </c>
      <c r="G317">
        <v>14.87</v>
      </c>
      <c r="H317">
        <v>14.855</v>
      </c>
      <c r="I317">
        <v>14.824999999999999</v>
      </c>
      <c r="J317">
        <v>14.77</v>
      </c>
      <c r="K317">
        <v>14.71</v>
      </c>
      <c r="L317">
        <v>14.65</v>
      </c>
      <c r="O317">
        <v>14.4</v>
      </c>
      <c r="Q317">
        <v>14.164999999999999</v>
      </c>
      <c r="R317">
        <v>13.97</v>
      </c>
      <c r="S317">
        <v>13.8</v>
      </c>
      <c r="U317">
        <v>13.664999999999999</v>
      </c>
      <c r="V317">
        <v>13.56</v>
      </c>
      <c r="W317">
        <v>13.484999999999999</v>
      </c>
      <c r="X317">
        <v>13.465</v>
      </c>
      <c r="Y317">
        <v>13.465</v>
      </c>
      <c r="Z317">
        <v>13.465</v>
      </c>
      <c r="AA317">
        <v>13.455</v>
      </c>
      <c r="AB317">
        <v>13.48</v>
      </c>
      <c r="AC317">
        <v>13.484999999999999</v>
      </c>
      <c r="AD317">
        <v>13.5</v>
      </c>
      <c r="AE317">
        <v>13.525</v>
      </c>
      <c r="AF317">
        <v>13.55</v>
      </c>
      <c r="AH317">
        <v>13.61</v>
      </c>
      <c r="AI317">
        <v>13.65</v>
      </c>
      <c r="AJ317">
        <v>13.67</v>
      </c>
      <c r="AK317">
        <v>13.65</v>
      </c>
      <c r="AL317">
        <v>13.65</v>
      </c>
      <c r="AM317">
        <v>13.57</v>
      </c>
      <c r="AN317">
        <v>13.5</v>
      </c>
      <c r="AO317">
        <v>13.42</v>
      </c>
      <c r="AP317">
        <v>13.35</v>
      </c>
      <c r="AQ317">
        <v>13.29</v>
      </c>
    </row>
    <row r="318" spans="1:43" x14ac:dyDescent="0.35">
      <c r="A318" s="2">
        <v>45825</v>
      </c>
      <c r="B318">
        <v>14.826000000000001</v>
      </c>
      <c r="C318">
        <v>14.84</v>
      </c>
      <c r="D318">
        <v>14.85</v>
      </c>
      <c r="E318">
        <v>14.855</v>
      </c>
      <c r="F318">
        <v>14.86</v>
      </c>
      <c r="G318">
        <v>14.86</v>
      </c>
      <c r="H318">
        <v>14.845000000000001</v>
      </c>
      <c r="I318">
        <v>14.824999999999999</v>
      </c>
      <c r="J318">
        <v>14.785</v>
      </c>
      <c r="K318">
        <v>14.725</v>
      </c>
      <c r="L318">
        <v>14.68</v>
      </c>
      <c r="O318">
        <v>14.455</v>
      </c>
      <c r="Q318">
        <v>14.234999999999999</v>
      </c>
      <c r="R318">
        <v>14.055</v>
      </c>
      <c r="S318">
        <v>13.89</v>
      </c>
      <c r="U318">
        <v>13.75</v>
      </c>
      <c r="V318">
        <v>13.635</v>
      </c>
      <c r="W318">
        <v>13.56</v>
      </c>
      <c r="X318">
        <v>13.535</v>
      </c>
      <c r="Y318">
        <v>13.535</v>
      </c>
      <c r="Z318">
        <v>13.53</v>
      </c>
      <c r="AA318">
        <v>13.51</v>
      </c>
      <c r="AB318">
        <v>13.54</v>
      </c>
      <c r="AC318">
        <v>13.545</v>
      </c>
      <c r="AD318">
        <v>13.58</v>
      </c>
      <c r="AE318">
        <v>13.59</v>
      </c>
      <c r="AF318">
        <v>13.61</v>
      </c>
      <c r="AH318">
        <v>13.66</v>
      </c>
      <c r="AI318">
        <v>13.71</v>
      </c>
      <c r="AJ318">
        <v>13.72</v>
      </c>
      <c r="AK318">
        <v>13.68</v>
      </c>
      <c r="AL318">
        <v>13.72</v>
      </c>
      <c r="AM318">
        <v>13.64</v>
      </c>
      <c r="AN318">
        <v>13.56</v>
      </c>
      <c r="AO318">
        <v>13.48</v>
      </c>
      <c r="AP318">
        <v>13.41</v>
      </c>
      <c r="AQ318">
        <v>13.35</v>
      </c>
    </row>
    <row r="319" spans="1:43" x14ac:dyDescent="0.35">
      <c r="A319" s="2">
        <v>45826</v>
      </c>
      <c r="B319">
        <v>14.827999999999999</v>
      </c>
      <c r="C319">
        <v>14.845000000000001</v>
      </c>
      <c r="D319">
        <v>14.85</v>
      </c>
      <c r="E319">
        <v>14.855</v>
      </c>
      <c r="F319">
        <v>14.87</v>
      </c>
      <c r="G319">
        <v>14.865</v>
      </c>
      <c r="H319">
        <v>14.86</v>
      </c>
      <c r="I319">
        <v>14.84</v>
      </c>
      <c r="J319">
        <v>14.8</v>
      </c>
      <c r="K319">
        <v>14.75</v>
      </c>
      <c r="L319">
        <v>14.7</v>
      </c>
      <c r="O319">
        <v>14.47</v>
      </c>
      <c r="Q319">
        <v>14.25</v>
      </c>
      <c r="R319">
        <v>14.06</v>
      </c>
      <c r="S319">
        <v>13.875</v>
      </c>
      <c r="U319">
        <v>13.62</v>
      </c>
      <c r="V319">
        <v>13.61</v>
      </c>
      <c r="W319">
        <v>13.5</v>
      </c>
      <c r="X319">
        <v>13.505000000000001</v>
      </c>
      <c r="Y319">
        <v>13.51</v>
      </c>
      <c r="Z319">
        <v>13.505000000000001</v>
      </c>
      <c r="AA319">
        <v>13.494999999999999</v>
      </c>
      <c r="AB319">
        <v>13.515000000000001</v>
      </c>
      <c r="AC319">
        <v>13.52</v>
      </c>
      <c r="AD319">
        <v>13.33</v>
      </c>
      <c r="AE319">
        <v>13.58</v>
      </c>
      <c r="AF319">
        <v>13.61</v>
      </c>
      <c r="AH319">
        <v>13.65</v>
      </c>
      <c r="AI319">
        <v>13.72</v>
      </c>
      <c r="AJ319">
        <v>13.71</v>
      </c>
      <c r="AK319">
        <v>13.69</v>
      </c>
      <c r="AL319">
        <v>13.7</v>
      </c>
      <c r="AM319">
        <v>13.62</v>
      </c>
      <c r="AN319">
        <v>13.55</v>
      </c>
      <c r="AO319">
        <v>13.47</v>
      </c>
      <c r="AP319">
        <v>13.4</v>
      </c>
      <c r="AQ319">
        <v>13.34</v>
      </c>
    </row>
    <row r="320" spans="1:43" x14ac:dyDescent="0.35">
      <c r="A320" s="2">
        <v>45827</v>
      </c>
    </row>
    <row r="321" spans="1:43" x14ac:dyDescent="0.35">
      <c r="A321" s="2">
        <v>45828</v>
      </c>
      <c r="B321">
        <v>14.929</v>
      </c>
      <c r="C321">
        <v>14.94</v>
      </c>
      <c r="F321">
        <v>14.955</v>
      </c>
      <c r="H321">
        <v>14.94</v>
      </c>
      <c r="J321">
        <v>14.875</v>
      </c>
      <c r="K321">
        <v>14.82</v>
      </c>
      <c r="L321">
        <v>14.765000000000001</v>
      </c>
      <c r="Q321">
        <v>14.27</v>
      </c>
      <c r="R321">
        <v>14.06</v>
      </c>
      <c r="V321">
        <v>13.54</v>
      </c>
      <c r="X321">
        <v>13.404999999999999</v>
      </c>
      <c r="Z321">
        <v>13.38</v>
      </c>
      <c r="AD321">
        <v>13.33</v>
      </c>
      <c r="AE321">
        <v>13.42</v>
      </c>
      <c r="AM321">
        <v>13.5</v>
      </c>
      <c r="AN321">
        <v>13.42</v>
      </c>
      <c r="AP321">
        <v>13.27</v>
      </c>
    </row>
    <row r="322" spans="1:43" x14ac:dyDescent="0.35">
      <c r="A322" s="2">
        <v>45829</v>
      </c>
    </row>
    <row r="323" spans="1:43" x14ac:dyDescent="0.35">
      <c r="A323" s="2">
        <v>45830</v>
      </c>
    </row>
    <row r="324" spans="1:43" x14ac:dyDescent="0.35">
      <c r="A324" s="2">
        <v>45831</v>
      </c>
      <c r="D324">
        <v>14.945</v>
      </c>
      <c r="E324">
        <v>14.945</v>
      </c>
      <c r="G324">
        <v>14.945</v>
      </c>
      <c r="H324">
        <v>14.935</v>
      </c>
      <c r="I324">
        <v>14.91</v>
      </c>
      <c r="J324">
        <v>14.87</v>
      </c>
      <c r="K324">
        <v>14.82</v>
      </c>
      <c r="O324">
        <v>14.525</v>
      </c>
      <c r="S324">
        <v>13.8</v>
      </c>
      <c r="U324">
        <v>13.6</v>
      </c>
      <c r="W324">
        <v>13.4</v>
      </c>
      <c r="Y324">
        <v>13.37</v>
      </c>
      <c r="AA324">
        <v>13.345000000000001</v>
      </c>
      <c r="AB324">
        <v>13.37</v>
      </c>
      <c r="AC324">
        <v>13.38</v>
      </c>
      <c r="AE324">
        <v>13.414999999999999</v>
      </c>
      <c r="AF324">
        <v>13.43</v>
      </c>
      <c r="AH324">
        <v>13.5</v>
      </c>
      <c r="AI324">
        <v>13.57</v>
      </c>
      <c r="AJ324">
        <v>13.59</v>
      </c>
      <c r="AK324">
        <v>13.58</v>
      </c>
      <c r="AL324">
        <v>13.6</v>
      </c>
      <c r="AO324">
        <v>13.36</v>
      </c>
      <c r="AQ324">
        <v>13.23</v>
      </c>
    </row>
    <row r="325" spans="1:43" x14ac:dyDescent="0.35">
      <c r="A325" s="2">
        <v>45832</v>
      </c>
      <c r="B325">
        <v>14.925000000000001</v>
      </c>
      <c r="C325">
        <v>14.94</v>
      </c>
      <c r="D325">
        <v>14.945</v>
      </c>
      <c r="E325">
        <v>14.945</v>
      </c>
      <c r="F325">
        <v>14.945</v>
      </c>
      <c r="G325">
        <v>14.94</v>
      </c>
      <c r="H325">
        <v>14.925000000000001</v>
      </c>
      <c r="I325">
        <v>14.895</v>
      </c>
      <c r="J325">
        <v>14.845000000000001</v>
      </c>
      <c r="K325">
        <v>14.795</v>
      </c>
      <c r="L325">
        <v>14.73</v>
      </c>
      <c r="O325">
        <v>14.48</v>
      </c>
      <c r="Q325">
        <v>14.215</v>
      </c>
      <c r="R325">
        <v>13.994999999999999</v>
      </c>
      <c r="S325">
        <v>13.785</v>
      </c>
      <c r="U325">
        <v>13.615</v>
      </c>
      <c r="V325">
        <v>13.48</v>
      </c>
      <c r="W325">
        <v>13.395</v>
      </c>
      <c r="X325">
        <v>13.32</v>
      </c>
      <c r="Y325">
        <v>13.365</v>
      </c>
      <c r="Z325">
        <v>13.37</v>
      </c>
      <c r="AA325">
        <v>13.365</v>
      </c>
      <c r="AB325">
        <v>13.395</v>
      </c>
      <c r="AC325">
        <v>13.39</v>
      </c>
      <c r="AD325">
        <v>13.44</v>
      </c>
      <c r="AE325">
        <v>13.455</v>
      </c>
      <c r="AF325">
        <v>13.48</v>
      </c>
      <c r="AH325">
        <v>13.54</v>
      </c>
      <c r="AI325">
        <v>13.62</v>
      </c>
      <c r="AJ325">
        <v>13.64</v>
      </c>
      <c r="AK325">
        <v>13.61</v>
      </c>
      <c r="AL325">
        <v>13.66</v>
      </c>
      <c r="AM325">
        <v>13.61</v>
      </c>
      <c r="AN325">
        <v>13.53</v>
      </c>
      <c r="AO325">
        <v>13.45</v>
      </c>
      <c r="AP325">
        <v>13.38</v>
      </c>
      <c r="AQ325">
        <v>13.32</v>
      </c>
    </row>
    <row r="326" spans="1:43" x14ac:dyDescent="0.35">
      <c r="A326" s="2">
        <v>45833</v>
      </c>
      <c r="B326">
        <v>14.925000000000001</v>
      </c>
      <c r="C326">
        <v>14.935</v>
      </c>
      <c r="D326">
        <v>14.935</v>
      </c>
      <c r="E326">
        <v>14.94</v>
      </c>
      <c r="F326">
        <v>14.94</v>
      </c>
      <c r="G326">
        <v>14.935</v>
      </c>
      <c r="H326">
        <v>14.92</v>
      </c>
      <c r="I326">
        <v>14.89</v>
      </c>
      <c r="J326">
        <v>14.84</v>
      </c>
      <c r="K326">
        <v>14.79</v>
      </c>
      <c r="L326">
        <v>14.73</v>
      </c>
      <c r="O326">
        <v>14.48</v>
      </c>
      <c r="Q326">
        <v>14.225</v>
      </c>
      <c r="R326">
        <v>14.01</v>
      </c>
      <c r="S326">
        <v>13.815</v>
      </c>
      <c r="U326">
        <v>13.66</v>
      </c>
      <c r="V326">
        <v>13.53</v>
      </c>
      <c r="W326">
        <v>13.43</v>
      </c>
      <c r="X326">
        <v>13.385</v>
      </c>
      <c r="Y326">
        <v>13.39</v>
      </c>
      <c r="Z326">
        <v>13.395</v>
      </c>
      <c r="AA326">
        <v>13.39</v>
      </c>
      <c r="AB326">
        <v>13.425000000000001</v>
      </c>
      <c r="AC326">
        <v>13.435</v>
      </c>
      <c r="AD326">
        <v>13.475</v>
      </c>
      <c r="AE326">
        <v>13.475</v>
      </c>
      <c r="AF326">
        <v>13.49</v>
      </c>
      <c r="AH326">
        <v>13.58</v>
      </c>
      <c r="AI326">
        <v>13.64</v>
      </c>
      <c r="AJ326">
        <v>13.67</v>
      </c>
      <c r="AK326">
        <v>13.62</v>
      </c>
      <c r="AL326">
        <v>13.68</v>
      </c>
      <c r="AM326">
        <v>13.62</v>
      </c>
      <c r="AN326">
        <v>13.55</v>
      </c>
      <c r="AO326">
        <v>13.48</v>
      </c>
      <c r="AP326">
        <v>13.41</v>
      </c>
      <c r="AQ326">
        <v>13.35</v>
      </c>
    </row>
    <row r="327" spans="1:43" x14ac:dyDescent="0.35">
      <c r="A327" s="2">
        <v>45834</v>
      </c>
      <c r="B327">
        <v>14.920999999999999</v>
      </c>
      <c r="C327">
        <v>14.935</v>
      </c>
      <c r="D327">
        <v>14.935</v>
      </c>
      <c r="E327">
        <v>14.93</v>
      </c>
      <c r="F327">
        <v>14.93</v>
      </c>
      <c r="G327">
        <v>14.92</v>
      </c>
      <c r="H327">
        <v>14.9</v>
      </c>
      <c r="I327">
        <v>14.875</v>
      </c>
      <c r="J327">
        <v>14.824999999999999</v>
      </c>
      <c r="K327">
        <v>14.77</v>
      </c>
      <c r="L327">
        <v>14.71</v>
      </c>
      <c r="O327">
        <v>14.455</v>
      </c>
      <c r="Q327">
        <v>14.185</v>
      </c>
      <c r="R327">
        <v>13.95</v>
      </c>
      <c r="S327">
        <v>13.734999999999999</v>
      </c>
      <c r="U327">
        <v>13.555</v>
      </c>
      <c r="V327">
        <v>13.42</v>
      </c>
      <c r="W327">
        <v>13.324999999999999</v>
      </c>
      <c r="X327">
        <v>13.28</v>
      </c>
      <c r="Y327">
        <v>13.285</v>
      </c>
      <c r="Z327">
        <v>13.29</v>
      </c>
      <c r="AA327">
        <v>13.285</v>
      </c>
      <c r="AB327">
        <v>13.305</v>
      </c>
      <c r="AC327">
        <v>13.33</v>
      </c>
      <c r="AD327">
        <v>13.36</v>
      </c>
      <c r="AE327">
        <v>13.36</v>
      </c>
      <c r="AF327">
        <v>13.4</v>
      </c>
      <c r="AH327">
        <v>13.46</v>
      </c>
      <c r="AI327">
        <v>13.55</v>
      </c>
      <c r="AJ327">
        <v>13.58</v>
      </c>
      <c r="AK327">
        <v>13.56</v>
      </c>
      <c r="AL327">
        <v>13.59</v>
      </c>
      <c r="AM327">
        <v>13.53</v>
      </c>
      <c r="AN327">
        <v>13.5</v>
      </c>
      <c r="AO327">
        <v>13.43</v>
      </c>
      <c r="AP327">
        <v>13.36</v>
      </c>
      <c r="AQ327">
        <v>13.3</v>
      </c>
    </row>
    <row r="328" spans="1:43" x14ac:dyDescent="0.35">
      <c r="A328" s="2">
        <v>45835</v>
      </c>
      <c r="B328">
        <v>14.922000000000001</v>
      </c>
      <c r="C328">
        <v>14.935</v>
      </c>
      <c r="D328">
        <v>14.935</v>
      </c>
      <c r="E328">
        <v>14.935</v>
      </c>
      <c r="F328">
        <v>14.935</v>
      </c>
      <c r="G328">
        <v>14.925000000000001</v>
      </c>
      <c r="H328">
        <v>14.91</v>
      </c>
      <c r="I328">
        <v>14.88</v>
      </c>
      <c r="J328">
        <v>14.835000000000001</v>
      </c>
      <c r="K328">
        <v>14.78</v>
      </c>
      <c r="L328">
        <v>14.715</v>
      </c>
      <c r="O328">
        <v>14.455</v>
      </c>
      <c r="Q328">
        <v>14.164999999999999</v>
      </c>
      <c r="R328">
        <v>13.93</v>
      </c>
      <c r="S328">
        <v>13.715</v>
      </c>
      <c r="U328">
        <v>13.55</v>
      </c>
      <c r="V328">
        <v>13.404999999999999</v>
      </c>
      <c r="W328">
        <v>13.315</v>
      </c>
      <c r="X328">
        <v>13.29</v>
      </c>
      <c r="Y328">
        <v>13.275</v>
      </c>
      <c r="Z328">
        <v>13.295</v>
      </c>
      <c r="AA328">
        <v>13.27</v>
      </c>
      <c r="AB328">
        <v>13.315</v>
      </c>
      <c r="AC328">
        <v>13.31</v>
      </c>
      <c r="AD328">
        <v>13.34</v>
      </c>
      <c r="AE328">
        <v>13.35</v>
      </c>
      <c r="AF328">
        <v>13.37</v>
      </c>
      <c r="AH328">
        <v>13.43</v>
      </c>
      <c r="AI328">
        <v>13.51</v>
      </c>
      <c r="AJ328">
        <v>13.55</v>
      </c>
      <c r="AK328">
        <v>13.53</v>
      </c>
      <c r="AL328">
        <v>13.56</v>
      </c>
      <c r="AM328">
        <v>13.52</v>
      </c>
      <c r="AN328">
        <v>13.45</v>
      </c>
      <c r="AO328">
        <v>13.38</v>
      </c>
      <c r="AP328">
        <v>13.31</v>
      </c>
      <c r="AQ328">
        <v>13.25</v>
      </c>
    </row>
    <row r="329" spans="1:43" x14ac:dyDescent="0.35">
      <c r="A329" s="2">
        <v>45836</v>
      </c>
    </row>
    <row r="330" spans="1:43" x14ac:dyDescent="0.35">
      <c r="A330" s="2">
        <v>45837</v>
      </c>
    </row>
    <row r="331" spans="1:43" x14ac:dyDescent="0.35">
      <c r="A331" s="2">
        <v>45838</v>
      </c>
      <c r="B331">
        <v>14.917999999999999</v>
      </c>
      <c r="C331">
        <v>14.93</v>
      </c>
      <c r="D331">
        <v>14.93</v>
      </c>
      <c r="E331">
        <v>14.93</v>
      </c>
      <c r="F331">
        <v>14.92</v>
      </c>
      <c r="G331">
        <v>14.91</v>
      </c>
      <c r="H331">
        <v>14.89</v>
      </c>
      <c r="I331">
        <v>14.855</v>
      </c>
      <c r="J331">
        <v>14.795</v>
      </c>
      <c r="K331">
        <v>14.73</v>
      </c>
      <c r="L331">
        <v>14.66</v>
      </c>
      <c r="O331">
        <v>14.385</v>
      </c>
      <c r="Q331">
        <v>14.09</v>
      </c>
      <c r="R331">
        <v>13.835000000000001</v>
      </c>
      <c r="S331">
        <v>13.595000000000001</v>
      </c>
      <c r="U331">
        <v>13.4</v>
      </c>
      <c r="V331">
        <v>13.24</v>
      </c>
      <c r="W331">
        <v>13.13</v>
      </c>
      <c r="X331">
        <v>13.085000000000001</v>
      </c>
      <c r="Y331">
        <v>13.07</v>
      </c>
      <c r="Z331">
        <v>13.06</v>
      </c>
      <c r="AA331">
        <v>13.025</v>
      </c>
      <c r="AB331">
        <v>13.055</v>
      </c>
      <c r="AC331">
        <v>13.07</v>
      </c>
      <c r="AD331">
        <v>13.095000000000001</v>
      </c>
      <c r="AE331">
        <v>13.1</v>
      </c>
      <c r="AF331">
        <v>13.09</v>
      </c>
      <c r="AH331">
        <v>13.17</v>
      </c>
      <c r="AI331">
        <v>13.24</v>
      </c>
      <c r="AJ331">
        <v>13.26</v>
      </c>
      <c r="AK331">
        <v>13.24</v>
      </c>
      <c r="AL331">
        <v>13.26</v>
      </c>
      <c r="AM331">
        <v>13.17</v>
      </c>
      <c r="AN331">
        <v>13.1</v>
      </c>
      <c r="AO331">
        <v>13.03</v>
      </c>
      <c r="AP331">
        <v>12.96</v>
      </c>
      <c r="AQ331">
        <v>12.9</v>
      </c>
    </row>
    <row r="332" spans="1:43" x14ac:dyDescent="0.35">
      <c r="A332" s="2">
        <v>45839</v>
      </c>
      <c r="B332">
        <v>14.914999999999999</v>
      </c>
      <c r="C332">
        <v>14.925000000000001</v>
      </c>
      <c r="D332">
        <v>14.925000000000001</v>
      </c>
      <c r="E332">
        <v>14.925000000000001</v>
      </c>
      <c r="F332">
        <v>14.914999999999999</v>
      </c>
      <c r="G332">
        <v>14.904999999999999</v>
      </c>
      <c r="H332">
        <v>14.88</v>
      </c>
      <c r="I332">
        <v>14.84</v>
      </c>
      <c r="J332">
        <v>14.795</v>
      </c>
      <c r="K332">
        <v>14.725</v>
      </c>
      <c r="L332">
        <v>14.654999999999999</v>
      </c>
      <c r="O332">
        <v>14.385</v>
      </c>
      <c r="Q332">
        <v>14.095000000000001</v>
      </c>
      <c r="R332">
        <v>13.855</v>
      </c>
      <c r="S332">
        <v>13.62</v>
      </c>
      <c r="U332">
        <v>13.435</v>
      </c>
      <c r="V332">
        <v>13.27</v>
      </c>
      <c r="W332">
        <v>13.164999999999999</v>
      </c>
      <c r="X332">
        <v>13.11</v>
      </c>
      <c r="Y332">
        <v>13.095000000000001</v>
      </c>
      <c r="Z332">
        <v>13.08</v>
      </c>
      <c r="AA332">
        <v>13.045</v>
      </c>
      <c r="AB332">
        <v>13.07</v>
      </c>
      <c r="AC332">
        <v>13.07</v>
      </c>
      <c r="AD332">
        <v>13.085000000000001</v>
      </c>
      <c r="AE332">
        <v>13.08</v>
      </c>
      <c r="AF332">
        <v>13.095000000000001</v>
      </c>
      <c r="AH332">
        <v>13.15</v>
      </c>
      <c r="AI332">
        <v>13.21</v>
      </c>
      <c r="AJ332">
        <v>13.22</v>
      </c>
      <c r="AK332">
        <v>13.2</v>
      </c>
      <c r="AL332">
        <v>13.22</v>
      </c>
      <c r="AM332">
        <v>13.18</v>
      </c>
      <c r="AN332">
        <v>13</v>
      </c>
      <c r="AO332">
        <v>13.03</v>
      </c>
      <c r="AP332">
        <v>12.96</v>
      </c>
      <c r="AQ332">
        <v>12.9</v>
      </c>
    </row>
    <row r="333" spans="1:43" x14ac:dyDescent="0.35">
      <c r="A333" s="2">
        <v>45840</v>
      </c>
      <c r="B333">
        <v>14.916</v>
      </c>
      <c r="C333">
        <v>14.923</v>
      </c>
      <c r="D333">
        <v>14.92</v>
      </c>
      <c r="E333">
        <v>14.92</v>
      </c>
      <c r="F333">
        <v>14.914999999999999</v>
      </c>
      <c r="G333">
        <v>14.9</v>
      </c>
      <c r="H333">
        <v>14.88</v>
      </c>
      <c r="I333">
        <v>14.845000000000001</v>
      </c>
      <c r="J333">
        <v>14.795</v>
      </c>
      <c r="K333">
        <v>14.73</v>
      </c>
      <c r="L333">
        <v>14.66</v>
      </c>
      <c r="O333">
        <v>14.39</v>
      </c>
      <c r="Q333">
        <v>14.11</v>
      </c>
      <c r="R333">
        <v>13.88</v>
      </c>
      <c r="S333">
        <v>13.66</v>
      </c>
      <c r="U333">
        <v>13.465</v>
      </c>
      <c r="V333">
        <v>13.31</v>
      </c>
      <c r="W333">
        <v>13.21</v>
      </c>
      <c r="X333">
        <v>13.16</v>
      </c>
      <c r="Y333">
        <v>13.15</v>
      </c>
      <c r="Z333">
        <v>13.135</v>
      </c>
      <c r="AA333">
        <v>13.105</v>
      </c>
      <c r="AB333">
        <v>13.135</v>
      </c>
      <c r="AC333">
        <v>13.125</v>
      </c>
      <c r="AD333">
        <v>13.145</v>
      </c>
      <c r="AE333">
        <v>13.13</v>
      </c>
      <c r="AF333">
        <v>13.154999999999999</v>
      </c>
      <c r="AH333">
        <v>13.19</v>
      </c>
      <c r="AI333">
        <v>13.24</v>
      </c>
      <c r="AJ333">
        <v>13.24</v>
      </c>
      <c r="AK333">
        <v>13.21</v>
      </c>
      <c r="AL333">
        <v>13.22</v>
      </c>
      <c r="AM333">
        <v>13.18</v>
      </c>
      <c r="AN333">
        <v>13</v>
      </c>
      <c r="AO333">
        <v>12.93</v>
      </c>
      <c r="AP333">
        <v>12.86</v>
      </c>
      <c r="AQ333">
        <v>12.8</v>
      </c>
    </row>
    <row r="334" spans="1:43" x14ac:dyDescent="0.35">
      <c r="A334" s="2">
        <v>45841</v>
      </c>
      <c r="B334">
        <v>14.916</v>
      </c>
      <c r="C334">
        <v>14.926</v>
      </c>
      <c r="D334">
        <v>14.925000000000001</v>
      </c>
      <c r="E334">
        <v>14.925000000000001</v>
      </c>
      <c r="F334">
        <v>14.92</v>
      </c>
      <c r="G334">
        <v>14.904999999999999</v>
      </c>
      <c r="H334">
        <v>14.88</v>
      </c>
      <c r="I334">
        <v>14.845000000000001</v>
      </c>
      <c r="J334">
        <v>14.8</v>
      </c>
      <c r="K334">
        <v>14.734999999999999</v>
      </c>
      <c r="L334">
        <v>14.664999999999999</v>
      </c>
      <c r="M334">
        <v>14.57</v>
      </c>
      <c r="O334">
        <v>14.41</v>
      </c>
      <c r="Q334">
        <v>14.14</v>
      </c>
      <c r="R334">
        <v>13.914999999999999</v>
      </c>
      <c r="S334">
        <v>13.695</v>
      </c>
      <c r="U334">
        <v>13.51</v>
      </c>
      <c r="V334">
        <v>13.355</v>
      </c>
      <c r="W334">
        <v>13.25</v>
      </c>
      <c r="X334">
        <v>13.215</v>
      </c>
      <c r="Y334">
        <v>13.2</v>
      </c>
      <c r="Z334">
        <v>13.2</v>
      </c>
      <c r="AA334">
        <v>13.175000000000001</v>
      </c>
      <c r="AB334">
        <v>13.19</v>
      </c>
      <c r="AC334">
        <v>13.185</v>
      </c>
      <c r="AD334">
        <v>13.205</v>
      </c>
      <c r="AE334">
        <v>13.21</v>
      </c>
      <c r="AF334">
        <v>13.23</v>
      </c>
      <c r="AG334">
        <v>13.24</v>
      </c>
      <c r="AH334">
        <v>13.27</v>
      </c>
      <c r="AI334">
        <v>13.33</v>
      </c>
      <c r="AJ334">
        <v>13.34</v>
      </c>
      <c r="AK334">
        <v>13.3</v>
      </c>
      <c r="AL334">
        <v>13.32</v>
      </c>
      <c r="AM334">
        <v>13.29</v>
      </c>
      <c r="AN334">
        <v>13.22</v>
      </c>
      <c r="AO334">
        <v>13.15</v>
      </c>
      <c r="AP334">
        <v>13.1</v>
      </c>
      <c r="AQ334">
        <v>13.04</v>
      </c>
    </row>
    <row r="335" spans="1:43" x14ac:dyDescent="0.35">
      <c r="A335" s="2">
        <v>45842</v>
      </c>
      <c r="B335">
        <v>14.911</v>
      </c>
      <c r="C335">
        <v>14.927</v>
      </c>
      <c r="D335">
        <v>14.925000000000001</v>
      </c>
      <c r="E335">
        <v>14.925000000000001</v>
      </c>
      <c r="F335">
        <v>14.92</v>
      </c>
      <c r="G335">
        <v>14.91</v>
      </c>
      <c r="H335">
        <v>14.895</v>
      </c>
      <c r="I335">
        <v>14.87</v>
      </c>
      <c r="J335">
        <v>14.82</v>
      </c>
      <c r="K335">
        <v>14.765000000000001</v>
      </c>
      <c r="L335">
        <v>14.705</v>
      </c>
      <c r="M335">
        <v>14.61</v>
      </c>
      <c r="O335">
        <v>14.445</v>
      </c>
      <c r="Q335">
        <v>14.175000000000001</v>
      </c>
      <c r="R335">
        <v>13.95</v>
      </c>
      <c r="S335">
        <v>13.74</v>
      </c>
      <c r="U335">
        <v>13.545</v>
      </c>
      <c r="V335">
        <v>13.385</v>
      </c>
      <c r="W335">
        <v>13.29</v>
      </c>
      <c r="X335">
        <v>13.24</v>
      </c>
      <c r="Y335">
        <v>13.23</v>
      </c>
      <c r="Z335">
        <v>13.22</v>
      </c>
      <c r="AA335">
        <v>13.2</v>
      </c>
      <c r="AB335">
        <v>13.215</v>
      </c>
      <c r="AC335">
        <v>13.2</v>
      </c>
      <c r="AD335">
        <v>13.23</v>
      </c>
      <c r="AE335">
        <v>13.215</v>
      </c>
      <c r="AF335">
        <v>13.23</v>
      </c>
      <c r="AG335">
        <v>13.26</v>
      </c>
      <c r="AH335">
        <v>13.28</v>
      </c>
      <c r="AI335">
        <v>13.32</v>
      </c>
      <c r="AJ335">
        <v>13.32</v>
      </c>
      <c r="AK335">
        <v>13.29</v>
      </c>
      <c r="AL335">
        <v>13.32</v>
      </c>
      <c r="AM335">
        <v>13.29</v>
      </c>
      <c r="AN335">
        <v>13.22</v>
      </c>
      <c r="AO335">
        <v>13.15</v>
      </c>
      <c r="AP335">
        <v>13.08</v>
      </c>
      <c r="AQ335">
        <v>13.02</v>
      </c>
    </row>
    <row r="336" spans="1:43" x14ac:dyDescent="0.35">
      <c r="A336" s="2">
        <v>45843</v>
      </c>
    </row>
    <row r="337" spans="1:43" x14ac:dyDescent="0.35">
      <c r="A337" s="2">
        <v>45844</v>
      </c>
    </row>
    <row r="338" spans="1:43" x14ac:dyDescent="0.35">
      <c r="A338" s="2">
        <v>45845</v>
      </c>
      <c r="B338">
        <v>14.92</v>
      </c>
      <c r="C338">
        <v>14.923</v>
      </c>
      <c r="D338">
        <v>14.925000000000001</v>
      </c>
      <c r="E338">
        <v>14.925000000000001</v>
      </c>
      <c r="F338">
        <v>14.92</v>
      </c>
      <c r="G338">
        <v>14.914999999999999</v>
      </c>
      <c r="H338">
        <v>14.9</v>
      </c>
      <c r="I338">
        <v>14.875</v>
      </c>
      <c r="J338">
        <v>14.83</v>
      </c>
      <c r="K338">
        <v>14.78</v>
      </c>
      <c r="L338">
        <v>14.715</v>
      </c>
      <c r="M338">
        <v>14.63</v>
      </c>
      <c r="O338">
        <v>14.475</v>
      </c>
      <c r="Q338">
        <v>14.22</v>
      </c>
      <c r="R338">
        <v>14.005000000000001</v>
      </c>
      <c r="S338">
        <v>13.805</v>
      </c>
      <c r="U338">
        <v>13.625</v>
      </c>
      <c r="V338">
        <v>13.48</v>
      </c>
      <c r="W338">
        <v>13.35</v>
      </c>
      <c r="X338">
        <v>13.335000000000001</v>
      </c>
      <c r="Y338">
        <v>13.34</v>
      </c>
      <c r="Z338">
        <v>13.335000000000001</v>
      </c>
      <c r="AA338">
        <v>13.32</v>
      </c>
      <c r="AB338">
        <v>13.345000000000001</v>
      </c>
      <c r="AC338">
        <v>13.335000000000001</v>
      </c>
      <c r="AD338">
        <v>13.37</v>
      </c>
      <c r="AE338">
        <v>13.37</v>
      </c>
      <c r="AF338">
        <v>13.375</v>
      </c>
      <c r="AG338">
        <v>13.38</v>
      </c>
      <c r="AH338">
        <v>13.42</v>
      </c>
      <c r="AI338">
        <v>13.47</v>
      </c>
      <c r="AJ338">
        <v>13.48</v>
      </c>
      <c r="AK338">
        <v>13.46</v>
      </c>
      <c r="AL338">
        <v>13.48</v>
      </c>
      <c r="AM338">
        <v>13.45</v>
      </c>
      <c r="AN338">
        <v>13.38</v>
      </c>
      <c r="AO338">
        <v>13.31</v>
      </c>
      <c r="AP338">
        <v>13.24</v>
      </c>
      <c r="AQ338">
        <v>13.18</v>
      </c>
    </row>
    <row r="339" spans="1:43" x14ac:dyDescent="0.35">
      <c r="A339" s="2">
        <v>45846</v>
      </c>
      <c r="B339">
        <v>14.917999999999999</v>
      </c>
      <c r="C339">
        <v>14.927</v>
      </c>
      <c r="D339">
        <v>14.925000000000001</v>
      </c>
      <c r="E339">
        <v>14.925000000000001</v>
      </c>
      <c r="F339">
        <v>14.92</v>
      </c>
      <c r="G339">
        <v>14.91</v>
      </c>
      <c r="H339">
        <v>14.89</v>
      </c>
      <c r="I339">
        <v>14.86</v>
      </c>
      <c r="J339">
        <v>14.815</v>
      </c>
      <c r="K339">
        <v>14.76</v>
      </c>
      <c r="L339">
        <v>14.695</v>
      </c>
      <c r="M339">
        <v>14.605</v>
      </c>
      <c r="O339">
        <v>14.45</v>
      </c>
      <c r="Q339">
        <v>14.185</v>
      </c>
      <c r="R339">
        <v>13.96</v>
      </c>
      <c r="S339">
        <v>13.75</v>
      </c>
      <c r="U339">
        <v>13.57</v>
      </c>
      <c r="V339">
        <v>13.425000000000001</v>
      </c>
      <c r="W339">
        <v>13.335000000000001</v>
      </c>
      <c r="X339">
        <v>13.305</v>
      </c>
      <c r="Y339">
        <v>13.305</v>
      </c>
      <c r="Z339">
        <v>13.3</v>
      </c>
      <c r="AA339">
        <v>13.295</v>
      </c>
      <c r="AB339">
        <v>13.324999999999999</v>
      </c>
      <c r="AC339">
        <v>13.33</v>
      </c>
      <c r="AD339">
        <v>13.365</v>
      </c>
      <c r="AE339">
        <v>13.36</v>
      </c>
      <c r="AF339">
        <v>13.395</v>
      </c>
      <c r="AG339">
        <v>13.41</v>
      </c>
      <c r="AH339">
        <v>13.44</v>
      </c>
      <c r="AI339">
        <v>13.5</v>
      </c>
      <c r="AJ339">
        <v>13.51</v>
      </c>
      <c r="AK339">
        <v>13.48</v>
      </c>
      <c r="AL339">
        <v>13.5</v>
      </c>
      <c r="AM339">
        <v>13.46</v>
      </c>
      <c r="AN339">
        <v>13.39</v>
      </c>
      <c r="AO339">
        <v>13.32</v>
      </c>
      <c r="AP339">
        <v>13.25</v>
      </c>
      <c r="AQ339">
        <v>13.19</v>
      </c>
    </row>
    <row r="340" spans="1:43" x14ac:dyDescent="0.35">
      <c r="A340" s="2">
        <v>45847</v>
      </c>
      <c r="B340">
        <v>14.92</v>
      </c>
      <c r="C340">
        <v>14.932</v>
      </c>
      <c r="D340">
        <v>14.93</v>
      </c>
      <c r="E340">
        <v>14.93</v>
      </c>
      <c r="F340">
        <v>14.93</v>
      </c>
      <c r="G340">
        <v>14.925000000000001</v>
      </c>
      <c r="H340">
        <v>14.914999999999999</v>
      </c>
      <c r="I340">
        <v>14.89</v>
      </c>
      <c r="J340">
        <v>14.85</v>
      </c>
      <c r="K340">
        <v>14.805</v>
      </c>
      <c r="L340">
        <v>14.75</v>
      </c>
      <c r="M340">
        <v>14.67</v>
      </c>
      <c r="O340">
        <v>14.515000000000001</v>
      </c>
      <c r="Q340">
        <v>14.26</v>
      </c>
      <c r="R340">
        <v>14.03</v>
      </c>
      <c r="S340">
        <v>13.88</v>
      </c>
      <c r="U340">
        <v>13.715</v>
      </c>
      <c r="V340">
        <v>13.595000000000001</v>
      </c>
      <c r="W340">
        <v>13.455</v>
      </c>
      <c r="X340">
        <v>13.425000000000001</v>
      </c>
      <c r="Y340">
        <v>13.53</v>
      </c>
      <c r="Z340">
        <v>13.49</v>
      </c>
      <c r="AA340">
        <v>13.525</v>
      </c>
      <c r="AB340">
        <v>13.55</v>
      </c>
      <c r="AC340">
        <v>13.555</v>
      </c>
      <c r="AD340">
        <v>13.54</v>
      </c>
      <c r="AE340">
        <v>13.64</v>
      </c>
      <c r="AF340">
        <v>13.66</v>
      </c>
      <c r="AG340">
        <v>13.66</v>
      </c>
      <c r="AH340">
        <v>13.64</v>
      </c>
      <c r="AI340">
        <v>13.69</v>
      </c>
      <c r="AJ340">
        <v>13.7</v>
      </c>
      <c r="AK340">
        <v>13.64</v>
      </c>
      <c r="AL340">
        <v>13.68</v>
      </c>
      <c r="AM340">
        <v>13.62</v>
      </c>
      <c r="AN340">
        <v>13.55</v>
      </c>
      <c r="AO340">
        <v>13.48</v>
      </c>
      <c r="AP340">
        <v>13.41</v>
      </c>
      <c r="AQ340">
        <v>13.35</v>
      </c>
    </row>
    <row r="341" spans="1:43" x14ac:dyDescent="0.35">
      <c r="A341" s="2">
        <v>45848</v>
      </c>
      <c r="B341">
        <v>14.913</v>
      </c>
      <c r="C341">
        <v>14.927</v>
      </c>
      <c r="D341">
        <v>14.93</v>
      </c>
      <c r="E341">
        <v>14.93</v>
      </c>
      <c r="F341">
        <v>14.935</v>
      </c>
      <c r="G341">
        <v>14.93</v>
      </c>
      <c r="H341">
        <v>14.925000000000001</v>
      </c>
      <c r="I341">
        <v>14.904999999999999</v>
      </c>
      <c r="J341">
        <v>14.875</v>
      </c>
      <c r="K341">
        <v>14.83</v>
      </c>
      <c r="L341">
        <v>14.78</v>
      </c>
      <c r="M341">
        <v>14.7</v>
      </c>
      <c r="O341">
        <v>14.56</v>
      </c>
      <c r="Q341">
        <v>14.305</v>
      </c>
      <c r="R341">
        <v>14.09</v>
      </c>
      <c r="S341">
        <v>13.88</v>
      </c>
      <c r="U341">
        <v>13.705</v>
      </c>
      <c r="V341">
        <v>13.56</v>
      </c>
      <c r="W341">
        <v>13.465</v>
      </c>
      <c r="X341">
        <v>13.44</v>
      </c>
      <c r="Y341">
        <v>13.43</v>
      </c>
      <c r="Z341">
        <v>13.445</v>
      </c>
      <c r="AA341">
        <v>13.43</v>
      </c>
      <c r="AB341">
        <v>13.465</v>
      </c>
      <c r="AC341">
        <v>13.47</v>
      </c>
      <c r="AD341">
        <v>13.505000000000001</v>
      </c>
      <c r="AE341">
        <v>13.515000000000001</v>
      </c>
      <c r="AF341">
        <v>13.535</v>
      </c>
      <c r="AG341">
        <v>13.52</v>
      </c>
      <c r="AH341">
        <v>13.59</v>
      </c>
      <c r="AI341">
        <v>13.64</v>
      </c>
      <c r="AJ341">
        <v>13.64</v>
      </c>
      <c r="AK341">
        <v>13.6</v>
      </c>
      <c r="AL341">
        <v>13.62</v>
      </c>
      <c r="AM341">
        <v>13.58</v>
      </c>
      <c r="AN341">
        <v>13.5</v>
      </c>
      <c r="AO341">
        <v>13.43</v>
      </c>
      <c r="AP341">
        <v>13.36</v>
      </c>
      <c r="AQ341">
        <v>13.3</v>
      </c>
    </row>
    <row r="342" spans="1:43" x14ac:dyDescent="0.35">
      <c r="A342" s="2">
        <v>45849</v>
      </c>
      <c r="B342">
        <v>14.914999999999999</v>
      </c>
      <c r="C342">
        <v>14.92</v>
      </c>
      <c r="D342">
        <v>14.93</v>
      </c>
      <c r="E342">
        <v>14.935</v>
      </c>
      <c r="F342">
        <v>14.935</v>
      </c>
      <c r="G342">
        <v>14.935</v>
      </c>
      <c r="H342">
        <v>14.94</v>
      </c>
      <c r="I342">
        <v>14.92</v>
      </c>
      <c r="J342">
        <v>14.895</v>
      </c>
      <c r="K342">
        <v>14.85</v>
      </c>
      <c r="L342">
        <v>14.805</v>
      </c>
      <c r="M342">
        <v>14.73</v>
      </c>
      <c r="O342">
        <v>14.58</v>
      </c>
      <c r="Q342">
        <v>14.33</v>
      </c>
      <c r="R342">
        <v>14.115</v>
      </c>
      <c r="S342">
        <v>13.904999999999999</v>
      </c>
      <c r="U342">
        <v>13.734999999999999</v>
      </c>
      <c r="V342">
        <v>13.6</v>
      </c>
      <c r="W342">
        <v>13.505000000000001</v>
      </c>
      <c r="X342">
        <v>13.475</v>
      </c>
      <c r="Y342">
        <v>13.48</v>
      </c>
      <c r="Z342">
        <v>13.475</v>
      </c>
      <c r="AA342">
        <v>13.465</v>
      </c>
      <c r="AB342">
        <v>13.494999999999999</v>
      </c>
      <c r="AC342">
        <v>13.505000000000001</v>
      </c>
      <c r="AD342">
        <v>13.52</v>
      </c>
      <c r="AE342">
        <v>13.55</v>
      </c>
      <c r="AF342">
        <v>13.565</v>
      </c>
      <c r="AG342">
        <v>13.46</v>
      </c>
      <c r="AH342">
        <v>13.6</v>
      </c>
      <c r="AI342">
        <v>13.64</v>
      </c>
      <c r="AJ342">
        <v>13.64</v>
      </c>
      <c r="AK342">
        <v>13.52</v>
      </c>
      <c r="AL342">
        <v>13.61</v>
      </c>
      <c r="AM342">
        <v>13.56</v>
      </c>
      <c r="AN342">
        <v>13.45</v>
      </c>
      <c r="AO342">
        <v>13.38</v>
      </c>
      <c r="AP342">
        <v>13.31</v>
      </c>
      <c r="AQ342">
        <v>13.25</v>
      </c>
    </row>
    <row r="343" spans="1:43" x14ac:dyDescent="0.35">
      <c r="A343" s="2">
        <v>45850</v>
      </c>
    </row>
    <row r="344" spans="1:43" x14ac:dyDescent="0.35">
      <c r="A344" s="2">
        <v>45851</v>
      </c>
    </row>
    <row r="345" spans="1:43" x14ac:dyDescent="0.35">
      <c r="A345" s="2">
        <v>45852</v>
      </c>
      <c r="B345">
        <v>14.916</v>
      </c>
      <c r="C345">
        <v>14.922000000000001</v>
      </c>
      <c r="D345">
        <v>14.93</v>
      </c>
      <c r="E345">
        <v>14.935</v>
      </c>
      <c r="F345">
        <v>14.94</v>
      </c>
      <c r="G345">
        <v>14.94</v>
      </c>
      <c r="H345">
        <v>14.935</v>
      </c>
      <c r="I345">
        <v>14.914999999999999</v>
      </c>
      <c r="J345">
        <v>14.88</v>
      </c>
      <c r="K345">
        <v>14.84</v>
      </c>
      <c r="L345">
        <v>14.78</v>
      </c>
      <c r="M345">
        <v>14.71</v>
      </c>
      <c r="O345">
        <v>14.555</v>
      </c>
      <c r="Q345">
        <v>14.28</v>
      </c>
      <c r="R345">
        <v>14.065</v>
      </c>
      <c r="S345">
        <v>13.86</v>
      </c>
      <c r="U345">
        <v>13.7</v>
      </c>
      <c r="V345">
        <v>13.57</v>
      </c>
      <c r="W345">
        <v>13.48</v>
      </c>
      <c r="X345">
        <v>13.46</v>
      </c>
      <c r="Y345">
        <v>13.46</v>
      </c>
      <c r="Z345">
        <v>13.465</v>
      </c>
      <c r="AA345">
        <v>13.465</v>
      </c>
      <c r="AB345">
        <v>13.49</v>
      </c>
      <c r="AC345">
        <v>13.51</v>
      </c>
      <c r="AD345">
        <v>13.55</v>
      </c>
      <c r="AE345">
        <v>13.545</v>
      </c>
      <c r="AF345">
        <v>13.57</v>
      </c>
      <c r="AG345">
        <v>13.6</v>
      </c>
      <c r="AH345">
        <v>13.64</v>
      </c>
      <c r="AI345">
        <v>13.7</v>
      </c>
      <c r="AJ345">
        <v>13.72</v>
      </c>
      <c r="AK345">
        <v>13.68</v>
      </c>
      <c r="AL345">
        <v>13.71</v>
      </c>
      <c r="AM345">
        <v>13.66</v>
      </c>
      <c r="AN345">
        <v>13.4</v>
      </c>
      <c r="AO345">
        <v>13.33</v>
      </c>
      <c r="AP345">
        <v>13.26</v>
      </c>
      <c r="AQ345">
        <v>13.2</v>
      </c>
    </row>
    <row r="346" spans="1:43" x14ac:dyDescent="0.35">
      <c r="A346" s="2">
        <v>45853</v>
      </c>
      <c r="B346">
        <v>14.914</v>
      </c>
      <c r="C346">
        <v>14.92</v>
      </c>
      <c r="D346">
        <v>14.93</v>
      </c>
      <c r="E346">
        <v>14.93</v>
      </c>
      <c r="F346">
        <v>14.93</v>
      </c>
      <c r="G346">
        <v>14.93</v>
      </c>
      <c r="H346">
        <v>14.925000000000001</v>
      </c>
      <c r="I346">
        <v>14.904999999999999</v>
      </c>
      <c r="J346">
        <v>14.88</v>
      </c>
      <c r="K346">
        <v>14.845000000000001</v>
      </c>
      <c r="L346">
        <v>14.8</v>
      </c>
      <c r="M346">
        <v>14.734999999999999</v>
      </c>
      <c r="O346">
        <v>14.58</v>
      </c>
      <c r="Q346">
        <v>14.34</v>
      </c>
      <c r="R346">
        <v>14.14</v>
      </c>
      <c r="S346">
        <v>13.96</v>
      </c>
      <c r="U346">
        <v>13.81</v>
      </c>
      <c r="V346">
        <v>13.7</v>
      </c>
      <c r="W346">
        <v>13.625</v>
      </c>
      <c r="X346">
        <v>13.54</v>
      </c>
      <c r="Y346">
        <v>13.605</v>
      </c>
      <c r="Z346">
        <v>13.61</v>
      </c>
      <c r="AA346">
        <v>13.605</v>
      </c>
      <c r="AB346">
        <v>13.64</v>
      </c>
      <c r="AC346">
        <v>13.645</v>
      </c>
      <c r="AD346">
        <v>13.685</v>
      </c>
      <c r="AE346">
        <v>13.69</v>
      </c>
      <c r="AF346">
        <v>13.71</v>
      </c>
      <c r="AG346">
        <v>13.62</v>
      </c>
      <c r="AH346">
        <v>13.78</v>
      </c>
      <c r="AI346">
        <v>13.84</v>
      </c>
      <c r="AJ346">
        <v>13.87</v>
      </c>
      <c r="AK346">
        <v>13.8</v>
      </c>
      <c r="AL346">
        <v>13.86</v>
      </c>
      <c r="AM346">
        <v>13.81</v>
      </c>
      <c r="AN346">
        <v>13.5</v>
      </c>
      <c r="AO346">
        <v>13.43</v>
      </c>
      <c r="AP346">
        <v>13.36</v>
      </c>
      <c r="AQ346">
        <v>13.3</v>
      </c>
    </row>
    <row r="347" spans="1:43" x14ac:dyDescent="0.35">
      <c r="A347" s="2">
        <v>45854</v>
      </c>
      <c r="B347">
        <v>14.911</v>
      </c>
      <c r="C347">
        <v>14.922000000000001</v>
      </c>
      <c r="D347">
        <v>14.93</v>
      </c>
      <c r="E347">
        <v>14.935</v>
      </c>
      <c r="F347">
        <v>14.94</v>
      </c>
      <c r="G347">
        <v>14.935</v>
      </c>
      <c r="H347">
        <v>14.935</v>
      </c>
      <c r="I347">
        <v>14.914999999999999</v>
      </c>
      <c r="J347">
        <v>14.89</v>
      </c>
      <c r="K347">
        <v>14.85</v>
      </c>
      <c r="L347">
        <v>14.805</v>
      </c>
      <c r="M347">
        <v>14.734999999999999</v>
      </c>
      <c r="O347">
        <v>14.595000000000001</v>
      </c>
      <c r="Q347">
        <v>14.355</v>
      </c>
      <c r="R347">
        <v>14.175000000000001</v>
      </c>
      <c r="S347">
        <v>13.994999999999999</v>
      </c>
      <c r="U347">
        <v>13.865</v>
      </c>
      <c r="V347">
        <v>13.755000000000001</v>
      </c>
      <c r="W347">
        <v>13.695</v>
      </c>
      <c r="X347">
        <v>13.685</v>
      </c>
      <c r="Y347">
        <v>13.69</v>
      </c>
      <c r="Z347">
        <v>13.7</v>
      </c>
      <c r="AA347">
        <v>13.71</v>
      </c>
      <c r="AB347">
        <v>13.74</v>
      </c>
      <c r="AC347">
        <v>13.76</v>
      </c>
      <c r="AD347">
        <v>13.78</v>
      </c>
      <c r="AE347">
        <v>13.8</v>
      </c>
      <c r="AF347">
        <v>13.815</v>
      </c>
      <c r="AG347">
        <v>13.86</v>
      </c>
      <c r="AH347">
        <v>13.89</v>
      </c>
      <c r="AI347">
        <v>13.96</v>
      </c>
      <c r="AJ347">
        <v>13.97</v>
      </c>
      <c r="AK347">
        <v>13.93</v>
      </c>
      <c r="AL347">
        <v>13.95</v>
      </c>
      <c r="AM347">
        <v>13.9</v>
      </c>
      <c r="AN347">
        <v>13.5</v>
      </c>
      <c r="AO347">
        <v>13.75</v>
      </c>
      <c r="AP347">
        <v>13.36</v>
      </c>
      <c r="AQ347">
        <v>13.3</v>
      </c>
    </row>
    <row r="348" spans="1:43" x14ac:dyDescent="0.35">
      <c r="A348" s="2">
        <v>45855</v>
      </c>
      <c r="B348">
        <v>14.916</v>
      </c>
      <c r="C348">
        <v>14.928000000000001</v>
      </c>
      <c r="D348">
        <v>14.935</v>
      </c>
      <c r="E348">
        <v>14.935</v>
      </c>
      <c r="F348">
        <v>14.94</v>
      </c>
      <c r="G348">
        <v>14.935</v>
      </c>
      <c r="H348">
        <v>14.93</v>
      </c>
      <c r="I348">
        <v>14.91</v>
      </c>
      <c r="J348">
        <v>14.88</v>
      </c>
      <c r="K348">
        <v>14.84</v>
      </c>
      <c r="L348">
        <v>14.79</v>
      </c>
      <c r="M348">
        <v>14.725</v>
      </c>
      <c r="O348">
        <v>14.58</v>
      </c>
      <c r="Q348">
        <v>14.335000000000001</v>
      </c>
      <c r="R348">
        <v>14.154999999999999</v>
      </c>
      <c r="S348">
        <v>13.96</v>
      </c>
      <c r="U348">
        <v>13.81</v>
      </c>
      <c r="V348">
        <v>13.69</v>
      </c>
      <c r="W348">
        <v>13.605</v>
      </c>
      <c r="X348">
        <v>13.595000000000001</v>
      </c>
      <c r="Y348">
        <v>13.574999999999999</v>
      </c>
      <c r="Z348">
        <v>13.605</v>
      </c>
      <c r="AA348">
        <v>13.605</v>
      </c>
      <c r="AB348">
        <v>13.635</v>
      </c>
      <c r="AC348">
        <v>13.65</v>
      </c>
      <c r="AD348">
        <v>13.685</v>
      </c>
      <c r="AE348">
        <v>13.695</v>
      </c>
      <c r="AF348">
        <v>13.725</v>
      </c>
      <c r="AG348">
        <v>13.74</v>
      </c>
      <c r="AH348">
        <v>13.79</v>
      </c>
      <c r="AI348">
        <v>13.85</v>
      </c>
      <c r="AJ348">
        <v>13.87</v>
      </c>
      <c r="AK348">
        <v>13.81</v>
      </c>
      <c r="AL348">
        <v>13.84</v>
      </c>
      <c r="AM348">
        <v>13.8</v>
      </c>
      <c r="AN348">
        <v>13.73</v>
      </c>
      <c r="AO348">
        <v>13.66</v>
      </c>
      <c r="AP348">
        <v>13.59</v>
      </c>
      <c r="AQ348">
        <v>13.45</v>
      </c>
    </row>
    <row r="349" spans="1:43" x14ac:dyDescent="0.35">
      <c r="A349" s="2">
        <v>45856</v>
      </c>
      <c r="B349">
        <v>14.920999999999999</v>
      </c>
      <c r="C349">
        <v>14.932</v>
      </c>
      <c r="D349">
        <v>14.94</v>
      </c>
      <c r="E349">
        <v>14.95</v>
      </c>
      <c r="F349">
        <v>14.96</v>
      </c>
      <c r="G349">
        <v>14.955</v>
      </c>
      <c r="H349">
        <v>14.95</v>
      </c>
      <c r="I349">
        <v>14.93</v>
      </c>
      <c r="J349">
        <v>14.9</v>
      </c>
      <c r="K349">
        <v>14.86</v>
      </c>
      <c r="L349">
        <v>14.815</v>
      </c>
      <c r="M349">
        <v>14.74</v>
      </c>
      <c r="O349">
        <v>14.6</v>
      </c>
      <c r="Q349">
        <v>14.36</v>
      </c>
      <c r="R349">
        <v>14.164999999999999</v>
      </c>
      <c r="S349">
        <v>13.96</v>
      </c>
      <c r="U349">
        <v>13.83</v>
      </c>
      <c r="V349">
        <v>13.71</v>
      </c>
      <c r="W349">
        <v>13.645</v>
      </c>
      <c r="X349">
        <v>13.615</v>
      </c>
      <c r="Y349">
        <v>13.625</v>
      </c>
      <c r="Z349">
        <v>13.635</v>
      </c>
      <c r="AA349">
        <v>13.64</v>
      </c>
      <c r="AB349">
        <v>13.685</v>
      </c>
      <c r="AC349">
        <v>13.695</v>
      </c>
      <c r="AD349">
        <v>13.73</v>
      </c>
      <c r="AE349">
        <v>13.734999999999999</v>
      </c>
      <c r="AF349">
        <v>13.76</v>
      </c>
      <c r="AG349">
        <v>13.79</v>
      </c>
      <c r="AH349">
        <v>13.83</v>
      </c>
      <c r="AI349">
        <v>13.89</v>
      </c>
      <c r="AJ349">
        <v>13.91</v>
      </c>
      <c r="AK349">
        <v>13.86</v>
      </c>
      <c r="AL349">
        <v>13.88</v>
      </c>
      <c r="AM349">
        <v>13.78</v>
      </c>
      <c r="AN349">
        <v>13.5</v>
      </c>
      <c r="AO349">
        <v>13.43</v>
      </c>
      <c r="AP349">
        <v>13.36</v>
      </c>
      <c r="AQ349">
        <v>13.6</v>
      </c>
    </row>
    <row r="350" spans="1:43" x14ac:dyDescent="0.35">
      <c r="A350" s="2">
        <v>45857</v>
      </c>
    </row>
    <row r="351" spans="1:43" x14ac:dyDescent="0.35">
      <c r="A351" s="2">
        <v>45858</v>
      </c>
    </row>
    <row r="352" spans="1:43" x14ac:dyDescent="0.35">
      <c r="A352" s="2">
        <v>45859</v>
      </c>
      <c r="B352">
        <v>14.922000000000001</v>
      </c>
      <c r="C352">
        <v>14.936</v>
      </c>
      <c r="D352">
        <v>14.945</v>
      </c>
      <c r="E352">
        <v>14.955</v>
      </c>
      <c r="F352">
        <v>14.955</v>
      </c>
      <c r="G352">
        <v>14.95</v>
      </c>
      <c r="H352">
        <v>14.945</v>
      </c>
      <c r="I352">
        <v>14.92</v>
      </c>
      <c r="J352">
        <v>14.89</v>
      </c>
      <c r="K352">
        <v>14.845000000000001</v>
      </c>
      <c r="L352">
        <v>14.795</v>
      </c>
      <c r="M352">
        <v>14.72</v>
      </c>
      <c r="O352">
        <v>14.57</v>
      </c>
      <c r="Q352">
        <v>14.315</v>
      </c>
      <c r="R352">
        <v>14.11</v>
      </c>
      <c r="S352">
        <v>13.914999999999999</v>
      </c>
      <c r="U352">
        <v>13.78</v>
      </c>
      <c r="V352">
        <v>13.66</v>
      </c>
      <c r="W352">
        <v>13.58</v>
      </c>
      <c r="X352">
        <v>13.574999999999999</v>
      </c>
      <c r="Y352">
        <v>13.58</v>
      </c>
      <c r="Z352">
        <v>13.595000000000001</v>
      </c>
      <c r="AA352">
        <v>13.595000000000001</v>
      </c>
      <c r="AB352">
        <v>13.635</v>
      </c>
      <c r="AC352">
        <v>13.65</v>
      </c>
      <c r="AD352">
        <v>13.695</v>
      </c>
      <c r="AE352">
        <v>13.71</v>
      </c>
      <c r="AF352">
        <v>13.73</v>
      </c>
      <c r="AG352">
        <v>13.75</v>
      </c>
      <c r="AH352">
        <v>13.8</v>
      </c>
      <c r="AI352">
        <v>13.86</v>
      </c>
      <c r="AJ352">
        <v>13.87</v>
      </c>
      <c r="AK352">
        <v>13.82</v>
      </c>
      <c r="AL352">
        <v>13.85</v>
      </c>
      <c r="AM352">
        <v>13.76</v>
      </c>
      <c r="AN352">
        <v>13.75</v>
      </c>
      <c r="AO352">
        <v>13.64</v>
      </c>
      <c r="AP352">
        <v>13.57</v>
      </c>
      <c r="AQ352">
        <v>13.53</v>
      </c>
    </row>
    <row r="353" spans="1:43" x14ac:dyDescent="0.35">
      <c r="A353" s="2">
        <v>45860</v>
      </c>
      <c r="B353">
        <v>14.922000000000001</v>
      </c>
      <c r="C353">
        <v>14.933</v>
      </c>
      <c r="D353">
        <v>14.945</v>
      </c>
      <c r="E353">
        <v>14.945</v>
      </c>
      <c r="F353">
        <v>14.945</v>
      </c>
      <c r="G353">
        <v>14.935</v>
      </c>
      <c r="H353">
        <v>14.92</v>
      </c>
      <c r="I353">
        <v>14.895</v>
      </c>
      <c r="J353">
        <v>14.855</v>
      </c>
      <c r="K353">
        <v>14.81</v>
      </c>
      <c r="L353">
        <v>14.75</v>
      </c>
      <c r="M353">
        <v>14.67</v>
      </c>
      <c r="O353">
        <v>14.505000000000001</v>
      </c>
      <c r="Q353">
        <v>14.234999999999999</v>
      </c>
      <c r="R353">
        <v>14.025</v>
      </c>
      <c r="S353">
        <v>13.824999999999999</v>
      </c>
      <c r="T353">
        <v>13.755000000000001</v>
      </c>
      <c r="U353">
        <v>13.675000000000001</v>
      </c>
      <c r="V353">
        <v>13.55</v>
      </c>
      <c r="W353">
        <v>13.455</v>
      </c>
      <c r="X353">
        <v>13.45</v>
      </c>
      <c r="Y353">
        <v>13.455</v>
      </c>
      <c r="Z353">
        <v>13.47</v>
      </c>
      <c r="AA353">
        <v>13.46</v>
      </c>
      <c r="AB353">
        <v>13.484999999999999</v>
      </c>
      <c r="AC353">
        <v>13.51</v>
      </c>
      <c r="AD353">
        <v>13.57</v>
      </c>
      <c r="AE353">
        <v>13.565</v>
      </c>
      <c r="AF353">
        <v>13.57</v>
      </c>
      <c r="AG353">
        <v>13.61</v>
      </c>
      <c r="AH353">
        <v>13.68</v>
      </c>
      <c r="AI353">
        <v>13.75</v>
      </c>
      <c r="AJ353">
        <v>13.76</v>
      </c>
      <c r="AK353">
        <v>13.72</v>
      </c>
      <c r="AL353">
        <v>13.74</v>
      </c>
      <c r="AM353">
        <v>13.62</v>
      </c>
      <c r="AN353">
        <v>13.63</v>
      </c>
      <c r="AO353">
        <v>13.56</v>
      </c>
      <c r="AP353">
        <v>13.47</v>
      </c>
      <c r="AQ353">
        <v>13.47</v>
      </c>
    </row>
    <row r="354" spans="1:43" x14ac:dyDescent="0.35">
      <c r="A354" s="2">
        <v>45861</v>
      </c>
      <c r="B354">
        <v>14.922000000000001</v>
      </c>
      <c r="C354">
        <v>14.930999999999999</v>
      </c>
      <c r="D354">
        <v>14.945</v>
      </c>
      <c r="E354">
        <v>14.945</v>
      </c>
      <c r="F354">
        <v>14.94</v>
      </c>
      <c r="G354">
        <v>14.93</v>
      </c>
      <c r="H354">
        <v>14.91</v>
      </c>
      <c r="I354">
        <v>14.89</v>
      </c>
      <c r="J354">
        <v>14.855</v>
      </c>
      <c r="K354">
        <v>14.805</v>
      </c>
      <c r="L354">
        <v>14.744999999999999</v>
      </c>
      <c r="M354">
        <v>14.664999999999999</v>
      </c>
      <c r="N354">
        <v>14.574999999999999</v>
      </c>
      <c r="O354">
        <v>14.49</v>
      </c>
      <c r="Q354">
        <v>14.22</v>
      </c>
      <c r="R354">
        <v>14.005000000000001</v>
      </c>
      <c r="S354">
        <v>13.81</v>
      </c>
      <c r="T354">
        <v>13.725</v>
      </c>
      <c r="U354">
        <v>13.664999999999999</v>
      </c>
      <c r="V354">
        <v>13.55</v>
      </c>
      <c r="W354">
        <v>13.465</v>
      </c>
      <c r="X354">
        <v>13.45</v>
      </c>
      <c r="Y354">
        <v>13.475</v>
      </c>
      <c r="Z354">
        <v>13.484999999999999</v>
      </c>
      <c r="AA354">
        <v>13.49</v>
      </c>
      <c r="AB354">
        <v>13.54</v>
      </c>
      <c r="AC354">
        <v>13.565</v>
      </c>
      <c r="AD354">
        <v>13.61</v>
      </c>
      <c r="AE354">
        <v>13.615</v>
      </c>
      <c r="AF354">
        <v>13.645</v>
      </c>
      <c r="AG354">
        <v>13.68</v>
      </c>
      <c r="AH354">
        <v>13.72</v>
      </c>
      <c r="AI354">
        <v>13.8</v>
      </c>
      <c r="AJ354">
        <v>13.82</v>
      </c>
      <c r="AK354">
        <v>13.77</v>
      </c>
      <c r="AL354">
        <v>13.82</v>
      </c>
      <c r="AM354">
        <v>13.77</v>
      </c>
      <c r="AN354">
        <v>13.4</v>
      </c>
      <c r="AO354">
        <v>13.65</v>
      </c>
      <c r="AP354">
        <v>13.6</v>
      </c>
      <c r="AQ354">
        <v>13.25</v>
      </c>
    </row>
    <row r="355" spans="1:43" x14ac:dyDescent="0.35">
      <c r="A355" s="2">
        <v>45862</v>
      </c>
      <c r="B355">
        <v>14.920999999999999</v>
      </c>
      <c r="C355">
        <v>14.929</v>
      </c>
      <c r="E355">
        <v>14.94</v>
      </c>
      <c r="F355">
        <v>14.93</v>
      </c>
      <c r="G355">
        <v>14.92</v>
      </c>
      <c r="H355">
        <v>14.9</v>
      </c>
      <c r="I355">
        <v>14.87</v>
      </c>
      <c r="J355">
        <v>14.84</v>
      </c>
      <c r="K355">
        <v>14.785</v>
      </c>
      <c r="L355">
        <v>14.725</v>
      </c>
      <c r="M355">
        <v>14.645</v>
      </c>
      <c r="N355">
        <v>14.56</v>
      </c>
      <c r="O355">
        <v>14.47</v>
      </c>
      <c r="Q355">
        <v>14.2</v>
      </c>
      <c r="R355">
        <v>13.99</v>
      </c>
      <c r="S355">
        <v>13.805</v>
      </c>
      <c r="T355">
        <v>13.744999999999999</v>
      </c>
      <c r="U355">
        <v>13.67</v>
      </c>
      <c r="V355">
        <v>13.555</v>
      </c>
      <c r="W355">
        <v>13.484999999999999</v>
      </c>
      <c r="X355">
        <v>13.465</v>
      </c>
      <c r="Y355">
        <v>13.48</v>
      </c>
      <c r="Z355">
        <v>13.494999999999999</v>
      </c>
      <c r="AA355">
        <v>13.515000000000001</v>
      </c>
      <c r="AB355">
        <v>13.49</v>
      </c>
      <c r="AC355">
        <v>13.585000000000001</v>
      </c>
      <c r="AD355">
        <v>13.625</v>
      </c>
      <c r="AE355">
        <v>13.66</v>
      </c>
      <c r="AF355">
        <v>13.695</v>
      </c>
      <c r="AG355">
        <v>13.72</v>
      </c>
      <c r="AH355">
        <v>13.77</v>
      </c>
      <c r="AI355">
        <v>13.87</v>
      </c>
      <c r="AJ355">
        <v>13.9</v>
      </c>
      <c r="AK355">
        <v>13.86</v>
      </c>
      <c r="AL355">
        <v>13.9</v>
      </c>
      <c r="AM355">
        <v>13.86</v>
      </c>
      <c r="AN355">
        <v>13.81</v>
      </c>
      <c r="AO355">
        <v>13.72</v>
      </c>
      <c r="AP355">
        <v>13.65</v>
      </c>
      <c r="AQ355">
        <v>13.65</v>
      </c>
    </row>
    <row r="356" spans="1:43" x14ac:dyDescent="0.35">
      <c r="A356" s="2">
        <v>45863</v>
      </c>
      <c r="B356">
        <v>14.917999999999999</v>
      </c>
      <c r="C356">
        <v>14.925000000000001</v>
      </c>
      <c r="D356">
        <v>14.935</v>
      </c>
      <c r="E356">
        <v>14.935</v>
      </c>
      <c r="F356">
        <v>14.925000000000001</v>
      </c>
      <c r="G356">
        <v>14.914999999999999</v>
      </c>
      <c r="H356">
        <v>14.89</v>
      </c>
      <c r="I356">
        <v>14.865</v>
      </c>
      <c r="J356">
        <v>14.83</v>
      </c>
      <c r="K356">
        <v>14.78</v>
      </c>
      <c r="L356">
        <v>14.725</v>
      </c>
      <c r="M356">
        <v>14.64</v>
      </c>
      <c r="N356">
        <v>14.55</v>
      </c>
      <c r="O356">
        <v>14.48</v>
      </c>
      <c r="Q356">
        <v>14.215</v>
      </c>
      <c r="R356">
        <v>14.025</v>
      </c>
      <c r="S356">
        <v>13.855</v>
      </c>
      <c r="T356">
        <v>13.805</v>
      </c>
      <c r="U356">
        <v>13.71</v>
      </c>
      <c r="V356">
        <v>13.605</v>
      </c>
      <c r="W356">
        <v>13.53</v>
      </c>
      <c r="X356">
        <v>13.53</v>
      </c>
      <c r="Y356">
        <v>13.53</v>
      </c>
      <c r="Z356">
        <v>13.55</v>
      </c>
      <c r="AA356">
        <v>13.56</v>
      </c>
      <c r="AB356">
        <v>13.61</v>
      </c>
      <c r="AC356">
        <v>13.625</v>
      </c>
      <c r="AD356">
        <v>13.68</v>
      </c>
      <c r="AE356">
        <v>13.664999999999999</v>
      </c>
      <c r="AF356">
        <v>13.68</v>
      </c>
      <c r="AG356">
        <v>13.73</v>
      </c>
      <c r="AH356">
        <v>13.81</v>
      </c>
      <c r="AI356">
        <v>13.9</v>
      </c>
      <c r="AJ356">
        <v>13.93</v>
      </c>
      <c r="AK356">
        <v>13.9</v>
      </c>
      <c r="AL356">
        <v>13.93</v>
      </c>
      <c r="AM356">
        <v>13.81</v>
      </c>
      <c r="AN356">
        <v>13.7</v>
      </c>
      <c r="AO356">
        <v>13.79</v>
      </c>
      <c r="AP356">
        <v>13.73</v>
      </c>
      <c r="AQ356">
        <v>13.7</v>
      </c>
    </row>
    <row r="357" spans="1:43" x14ac:dyDescent="0.35">
      <c r="A357" s="2">
        <v>45864</v>
      </c>
    </row>
    <row r="358" spans="1:43" x14ac:dyDescent="0.35">
      <c r="A358" s="2">
        <v>45865</v>
      </c>
    </row>
    <row r="359" spans="1:43" x14ac:dyDescent="0.35">
      <c r="A359" s="2">
        <v>45866</v>
      </c>
      <c r="B359">
        <v>14.914999999999999</v>
      </c>
      <c r="C359">
        <v>14.925000000000001</v>
      </c>
      <c r="D359">
        <v>14.93</v>
      </c>
      <c r="E359">
        <v>14.93</v>
      </c>
      <c r="F359">
        <v>14.925000000000001</v>
      </c>
      <c r="G359">
        <v>14.914999999999999</v>
      </c>
      <c r="H359">
        <v>14.9</v>
      </c>
      <c r="I359">
        <v>14.875</v>
      </c>
      <c r="J359">
        <v>14.84</v>
      </c>
      <c r="K359">
        <v>14.79</v>
      </c>
      <c r="L359">
        <v>14.734999999999999</v>
      </c>
      <c r="M359">
        <v>14.65</v>
      </c>
      <c r="N359">
        <v>14.56</v>
      </c>
      <c r="O359">
        <v>14.48</v>
      </c>
      <c r="Q359">
        <v>14.215</v>
      </c>
      <c r="R359">
        <v>14.01</v>
      </c>
      <c r="S359">
        <v>13.824999999999999</v>
      </c>
      <c r="T359">
        <v>13.75</v>
      </c>
      <c r="U359">
        <v>13.685</v>
      </c>
      <c r="V359">
        <v>13.57</v>
      </c>
      <c r="W359">
        <v>13.505000000000001</v>
      </c>
      <c r="X359">
        <v>13.494999999999999</v>
      </c>
      <c r="Y359">
        <v>13.505000000000001</v>
      </c>
      <c r="Z359">
        <v>13.535</v>
      </c>
      <c r="AA359">
        <v>13.545</v>
      </c>
      <c r="AB359">
        <v>13.585000000000001</v>
      </c>
      <c r="AC359">
        <v>13.61</v>
      </c>
      <c r="AD359">
        <v>13.67</v>
      </c>
      <c r="AE359">
        <v>13.67</v>
      </c>
      <c r="AF359">
        <v>13.71</v>
      </c>
      <c r="AG359">
        <v>13.74</v>
      </c>
      <c r="AH359">
        <v>13.79</v>
      </c>
      <c r="AI359">
        <v>13.87</v>
      </c>
      <c r="AJ359">
        <v>13.9</v>
      </c>
      <c r="AK359">
        <v>13.86</v>
      </c>
      <c r="AL359">
        <v>13.9</v>
      </c>
      <c r="AM359">
        <v>13.8</v>
      </c>
      <c r="AN359">
        <v>13.7</v>
      </c>
      <c r="AO359">
        <v>13.75</v>
      </c>
      <c r="AP359">
        <v>13.59</v>
      </c>
      <c r="AQ359">
        <v>13.66</v>
      </c>
    </row>
    <row r="360" spans="1:43" x14ac:dyDescent="0.35">
      <c r="A360" s="2">
        <v>45867</v>
      </c>
      <c r="B360">
        <v>14.911</v>
      </c>
      <c r="C360">
        <v>14.917</v>
      </c>
      <c r="D360">
        <v>14.925000000000001</v>
      </c>
      <c r="E360">
        <v>14.925000000000001</v>
      </c>
      <c r="F360">
        <v>14.91</v>
      </c>
      <c r="G360">
        <v>14.895</v>
      </c>
      <c r="H360">
        <v>14.875</v>
      </c>
      <c r="I360">
        <v>14.845000000000001</v>
      </c>
      <c r="J360">
        <v>14.81</v>
      </c>
      <c r="K360">
        <v>14.75</v>
      </c>
      <c r="L360">
        <v>14.69</v>
      </c>
      <c r="M360">
        <v>14.61</v>
      </c>
      <c r="N360">
        <v>14.52</v>
      </c>
      <c r="O360">
        <v>14.425000000000001</v>
      </c>
      <c r="P360">
        <v>14.24</v>
      </c>
      <c r="Q360">
        <v>14.15</v>
      </c>
      <c r="R360">
        <v>13.935</v>
      </c>
      <c r="S360">
        <v>13.74</v>
      </c>
      <c r="T360">
        <v>13.675000000000001</v>
      </c>
      <c r="U360">
        <v>13.59</v>
      </c>
      <c r="V360">
        <v>13.46</v>
      </c>
      <c r="W360">
        <v>13.385</v>
      </c>
      <c r="X360">
        <v>13.365</v>
      </c>
      <c r="Y360">
        <v>13.36</v>
      </c>
      <c r="Z360">
        <v>13.37</v>
      </c>
      <c r="AA360">
        <v>13.37</v>
      </c>
      <c r="AB360">
        <v>13.425000000000001</v>
      </c>
      <c r="AC360">
        <v>13.445</v>
      </c>
      <c r="AD360">
        <v>13.48</v>
      </c>
      <c r="AE360">
        <v>13.5</v>
      </c>
      <c r="AF360">
        <v>13.52</v>
      </c>
      <c r="AG360">
        <v>13.55</v>
      </c>
      <c r="AH360">
        <v>13.6</v>
      </c>
      <c r="AI360">
        <v>13.69</v>
      </c>
      <c r="AJ360">
        <v>13.72</v>
      </c>
      <c r="AK360">
        <v>13.66</v>
      </c>
      <c r="AL360">
        <v>13.72</v>
      </c>
      <c r="AM360">
        <v>13.62</v>
      </c>
      <c r="AN360">
        <v>13.6</v>
      </c>
      <c r="AO360">
        <v>13.54</v>
      </c>
      <c r="AP360">
        <v>13.49</v>
      </c>
      <c r="AQ360">
        <v>13.46</v>
      </c>
    </row>
    <row r="361" spans="1:43" x14ac:dyDescent="0.35">
      <c r="A361" s="2">
        <v>45868</v>
      </c>
      <c r="B361">
        <v>14.907999999999999</v>
      </c>
      <c r="C361">
        <v>14.916</v>
      </c>
      <c r="D361">
        <v>14.92</v>
      </c>
      <c r="E361">
        <v>14.92</v>
      </c>
      <c r="F361">
        <v>14.914999999999999</v>
      </c>
      <c r="G361">
        <v>14.904999999999999</v>
      </c>
      <c r="H361">
        <v>14.89</v>
      </c>
      <c r="I361">
        <v>14.865</v>
      </c>
      <c r="J361">
        <v>14.835000000000001</v>
      </c>
      <c r="K361">
        <v>14.79</v>
      </c>
      <c r="L361">
        <v>14.734999999999999</v>
      </c>
      <c r="M361">
        <v>14.654999999999999</v>
      </c>
      <c r="N361">
        <v>14.574999999999999</v>
      </c>
      <c r="O361">
        <v>14.49</v>
      </c>
      <c r="P361">
        <v>14.315</v>
      </c>
      <c r="Q361">
        <v>14.225</v>
      </c>
      <c r="R361">
        <v>14</v>
      </c>
      <c r="S361">
        <v>13.8</v>
      </c>
      <c r="T361">
        <v>13.685</v>
      </c>
      <c r="U361">
        <v>13.65</v>
      </c>
      <c r="V361">
        <v>13.515000000000001</v>
      </c>
      <c r="W361">
        <v>13.41</v>
      </c>
      <c r="X361">
        <v>13.335000000000001</v>
      </c>
      <c r="Y361">
        <v>13.4</v>
      </c>
      <c r="Z361">
        <v>13.41</v>
      </c>
      <c r="AA361">
        <v>13.395</v>
      </c>
      <c r="AB361">
        <v>13.46</v>
      </c>
      <c r="AC361">
        <v>13.47</v>
      </c>
      <c r="AD361">
        <v>13.51</v>
      </c>
      <c r="AE361">
        <v>13.54</v>
      </c>
      <c r="AF361">
        <v>13.55</v>
      </c>
      <c r="AG361">
        <v>13.58</v>
      </c>
      <c r="AH361">
        <v>13.63</v>
      </c>
      <c r="AI361">
        <v>13.72</v>
      </c>
      <c r="AJ361">
        <v>13.76</v>
      </c>
      <c r="AK361">
        <v>13.71</v>
      </c>
      <c r="AL361">
        <v>13.76</v>
      </c>
      <c r="AM361">
        <v>13.71</v>
      </c>
      <c r="AN361">
        <v>13.65</v>
      </c>
      <c r="AO361">
        <v>13.59</v>
      </c>
      <c r="AP361">
        <v>13.54</v>
      </c>
      <c r="AQ361">
        <v>13.51</v>
      </c>
    </row>
    <row r="362" spans="1:43" x14ac:dyDescent="0.35">
      <c r="A362" s="2">
        <v>45869</v>
      </c>
      <c r="B362">
        <v>14.906000000000001</v>
      </c>
      <c r="C362">
        <v>14.911</v>
      </c>
      <c r="D362">
        <v>14.92</v>
      </c>
      <c r="E362">
        <v>14.925000000000001</v>
      </c>
      <c r="F362">
        <v>14.92</v>
      </c>
      <c r="G362">
        <v>14.914999999999999</v>
      </c>
      <c r="H362">
        <v>14.91</v>
      </c>
      <c r="I362">
        <v>14.895</v>
      </c>
      <c r="J362">
        <v>14.88</v>
      </c>
      <c r="K362">
        <v>14.845000000000001</v>
      </c>
      <c r="L362">
        <v>14.8</v>
      </c>
      <c r="M362">
        <v>14.734999999999999</v>
      </c>
      <c r="N362">
        <v>14.67</v>
      </c>
      <c r="O362">
        <v>14.595000000000001</v>
      </c>
      <c r="P362">
        <v>14.44</v>
      </c>
      <c r="Q362">
        <v>14.36</v>
      </c>
      <c r="R362">
        <v>14.16</v>
      </c>
      <c r="S362">
        <v>13.955</v>
      </c>
      <c r="T362">
        <v>13.89</v>
      </c>
      <c r="U362">
        <v>13.805</v>
      </c>
      <c r="V362">
        <v>13.675000000000001</v>
      </c>
      <c r="W362">
        <v>13.58</v>
      </c>
      <c r="X362">
        <v>13.565</v>
      </c>
      <c r="Y362">
        <v>13.555</v>
      </c>
      <c r="Z362">
        <v>13.56</v>
      </c>
      <c r="AA362">
        <v>13.56</v>
      </c>
      <c r="AB362">
        <v>13.595000000000001</v>
      </c>
      <c r="AC362">
        <v>13.605</v>
      </c>
      <c r="AD362">
        <v>13.65</v>
      </c>
      <c r="AE362">
        <v>13.654999999999999</v>
      </c>
      <c r="AF362">
        <v>13.685</v>
      </c>
      <c r="AG362">
        <v>13.7</v>
      </c>
      <c r="AH362">
        <v>13.75</v>
      </c>
      <c r="AI362">
        <v>13.82</v>
      </c>
      <c r="AJ362">
        <v>13.84</v>
      </c>
      <c r="AK362">
        <v>13.82</v>
      </c>
      <c r="AL362">
        <v>13.84</v>
      </c>
      <c r="AM362">
        <v>13.8</v>
      </c>
      <c r="AN362">
        <v>13.6</v>
      </c>
      <c r="AO362">
        <v>13.69</v>
      </c>
      <c r="AP362">
        <v>13.67</v>
      </c>
      <c r="AQ362">
        <v>13.64</v>
      </c>
    </row>
    <row r="363" spans="1:43" x14ac:dyDescent="0.35">
      <c r="A363" s="2">
        <v>45870</v>
      </c>
      <c r="B363">
        <v>14.904</v>
      </c>
      <c r="C363">
        <v>14.912000000000001</v>
      </c>
      <c r="D363">
        <v>14.913</v>
      </c>
      <c r="E363">
        <v>14.91</v>
      </c>
      <c r="F363">
        <v>14.904999999999999</v>
      </c>
      <c r="G363">
        <v>14.89</v>
      </c>
      <c r="H363">
        <v>14.87</v>
      </c>
      <c r="I363">
        <v>14.845000000000001</v>
      </c>
      <c r="J363">
        <v>14.81</v>
      </c>
      <c r="L363">
        <v>14.7</v>
      </c>
      <c r="M363">
        <v>14.625</v>
      </c>
      <c r="N363">
        <v>14.545</v>
      </c>
      <c r="O363">
        <v>14.46</v>
      </c>
      <c r="P363">
        <v>14.285</v>
      </c>
      <c r="Q363">
        <v>14.2</v>
      </c>
      <c r="R363">
        <v>13.994999999999999</v>
      </c>
      <c r="S363">
        <v>13.805</v>
      </c>
      <c r="T363">
        <v>13.71</v>
      </c>
      <c r="U363">
        <v>13.66</v>
      </c>
      <c r="V363">
        <v>13.53</v>
      </c>
      <c r="W363">
        <v>13.445</v>
      </c>
      <c r="X363">
        <v>13.42</v>
      </c>
      <c r="Y363">
        <v>13.43</v>
      </c>
      <c r="Z363">
        <v>13.46</v>
      </c>
      <c r="AA363">
        <v>13.455</v>
      </c>
      <c r="AB363">
        <v>13.5</v>
      </c>
      <c r="AC363">
        <v>13.52</v>
      </c>
      <c r="AD363">
        <v>13.565</v>
      </c>
      <c r="AE363">
        <v>13.585000000000001</v>
      </c>
      <c r="AF363">
        <v>13.6</v>
      </c>
      <c r="AG363">
        <v>13.64</v>
      </c>
      <c r="AH363">
        <v>13.68</v>
      </c>
      <c r="AI363">
        <v>13.76</v>
      </c>
      <c r="AJ363">
        <v>13.8</v>
      </c>
      <c r="AK363">
        <v>13.79</v>
      </c>
      <c r="AL363">
        <v>13.8</v>
      </c>
      <c r="AM363">
        <v>13.71</v>
      </c>
      <c r="AN363">
        <v>13.7</v>
      </c>
      <c r="AO363">
        <v>13.64</v>
      </c>
      <c r="AP363">
        <v>13.59</v>
      </c>
      <c r="AQ363">
        <v>13.56</v>
      </c>
    </row>
    <row r="364" spans="1:43" x14ac:dyDescent="0.35">
      <c r="A364" s="2">
        <v>45871</v>
      </c>
    </row>
    <row r="365" spans="1:43" x14ac:dyDescent="0.35">
      <c r="A365" s="2">
        <v>45872</v>
      </c>
    </row>
    <row r="366" spans="1:43" x14ac:dyDescent="0.35">
      <c r="A366" s="2">
        <v>45873</v>
      </c>
      <c r="B366">
        <v>14.904</v>
      </c>
      <c r="C366">
        <v>14.91</v>
      </c>
      <c r="D366">
        <v>14.914</v>
      </c>
      <c r="E366">
        <v>14.914999999999999</v>
      </c>
      <c r="F366">
        <v>14.904999999999999</v>
      </c>
      <c r="G366">
        <v>14.89</v>
      </c>
      <c r="H366">
        <v>14.87</v>
      </c>
      <c r="I366">
        <v>14.845000000000001</v>
      </c>
      <c r="J366">
        <v>14.805</v>
      </c>
      <c r="K366">
        <v>14.755000000000001</v>
      </c>
      <c r="L366">
        <v>14.69</v>
      </c>
      <c r="M366">
        <v>14.605</v>
      </c>
      <c r="N366">
        <v>14.515000000000001</v>
      </c>
      <c r="O366">
        <v>14.425000000000001</v>
      </c>
      <c r="P366">
        <v>14.24</v>
      </c>
      <c r="Q366">
        <v>14.145</v>
      </c>
      <c r="R366">
        <v>13.92</v>
      </c>
      <c r="S366">
        <v>13.73</v>
      </c>
      <c r="T366">
        <v>13.645</v>
      </c>
      <c r="U366">
        <v>13.565</v>
      </c>
      <c r="V366">
        <v>13.43</v>
      </c>
      <c r="W366">
        <v>13.35</v>
      </c>
      <c r="X366">
        <v>13.324999999999999</v>
      </c>
      <c r="Y366">
        <v>13.324999999999999</v>
      </c>
      <c r="Z366">
        <v>13.33</v>
      </c>
      <c r="AA366">
        <v>13.335000000000001</v>
      </c>
      <c r="AB366">
        <v>13.375</v>
      </c>
      <c r="AC366">
        <v>13.39</v>
      </c>
      <c r="AD366">
        <v>13.435</v>
      </c>
      <c r="AE366">
        <v>13.46</v>
      </c>
      <c r="AF366">
        <v>13.465</v>
      </c>
      <c r="AG366">
        <v>13.5</v>
      </c>
      <c r="AH366">
        <v>13.55</v>
      </c>
      <c r="AI366">
        <v>13.63</v>
      </c>
      <c r="AJ366">
        <v>13.66</v>
      </c>
      <c r="AK366">
        <v>13.64</v>
      </c>
      <c r="AL366">
        <v>13.67</v>
      </c>
      <c r="AM366">
        <v>13.59</v>
      </c>
      <c r="AN366">
        <v>13.57</v>
      </c>
      <c r="AO366">
        <v>13.51</v>
      </c>
      <c r="AP366">
        <v>13.46</v>
      </c>
      <c r="AQ366">
        <v>13.43</v>
      </c>
    </row>
    <row r="367" spans="1:43" x14ac:dyDescent="0.35">
      <c r="A367" s="2">
        <v>45874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CDFD-4234-4D14-8A42-0B1A0785AE43}">
  <dimension ref="A1:M245"/>
  <sheetViews>
    <sheetView topLeftCell="A2" workbookViewId="0">
      <selection activeCell="K2" sqref="K2"/>
    </sheetView>
  </sheetViews>
  <sheetFormatPr defaultRowHeight="14.5" x14ac:dyDescent="0.35"/>
  <cols>
    <col min="1" max="1" width="17.81640625" bestFit="1" customWidth="1"/>
    <col min="3" max="3" width="10.08984375" bestFit="1" customWidth="1"/>
    <col min="4" max="4" width="10.453125" bestFit="1" customWidth="1"/>
    <col min="5" max="5" width="12.453125" bestFit="1" customWidth="1"/>
    <col min="6" max="6" width="10.08984375" bestFit="1" customWidth="1"/>
    <col min="7" max="7" width="17.81640625" bestFit="1" customWidth="1"/>
    <col min="9" max="9" width="10.08984375" bestFit="1" customWidth="1"/>
    <col min="11" max="11" width="17.81640625" bestFit="1" customWidth="1"/>
    <col min="13" max="13" width="10.08984375" bestFit="1" customWidth="1"/>
  </cols>
  <sheetData>
    <row r="1" spans="1:13" x14ac:dyDescent="0.35">
      <c r="A1" t="s">
        <v>43</v>
      </c>
      <c r="B1">
        <v>31</v>
      </c>
      <c r="E1" t="s">
        <v>48</v>
      </c>
      <c r="F1">
        <v>0.14899999999999999</v>
      </c>
      <c r="G1" t="s">
        <v>49</v>
      </c>
      <c r="H1">
        <f>(1+F1)^(1/252)-1</f>
        <v>5.513106415402369E-4</v>
      </c>
      <c r="L1">
        <v>37</v>
      </c>
    </row>
    <row r="2" spans="1:13" x14ac:dyDescent="0.35">
      <c r="A2" s="1" t="s">
        <v>0</v>
      </c>
      <c r="B2" s="1" t="s">
        <v>45</v>
      </c>
      <c r="C2" s="1" t="s">
        <v>46</v>
      </c>
      <c r="D2" s="4" t="s">
        <v>49</v>
      </c>
      <c r="E2" s="4" t="s">
        <v>50</v>
      </c>
      <c r="F2" s="4" t="s">
        <v>51</v>
      </c>
      <c r="K2" s="1" t="s">
        <v>0</v>
      </c>
      <c r="L2" s="1" t="s">
        <v>25</v>
      </c>
      <c r="M2" s="1" t="s">
        <v>47</v>
      </c>
    </row>
    <row r="3" spans="1:13" x14ac:dyDescent="0.35">
      <c r="A3" s="2">
        <v>45510</v>
      </c>
      <c r="B3">
        <v>11.775</v>
      </c>
      <c r="C3" s="7">
        <v>68527.98</v>
      </c>
      <c r="D3" s="5">
        <f>(1+B3/100)^(1/252)-1</f>
        <v>4.4183462832014797E-4</v>
      </c>
      <c r="E3" s="5">
        <f>D3-$H$1</f>
        <v>-1.0947601322008893E-4</v>
      </c>
      <c r="F3" s="3">
        <f t="shared" ref="F3:F66" si="0">E3*C3</f>
        <v>-7.5021700444259896</v>
      </c>
      <c r="K3" s="2">
        <v>45510</v>
      </c>
      <c r="L3">
        <v>11.84</v>
      </c>
      <c r="M3" s="7">
        <v>61288.08</v>
      </c>
    </row>
    <row r="4" spans="1:13" x14ac:dyDescent="0.35">
      <c r="A4" s="2">
        <v>45511</v>
      </c>
      <c r="B4">
        <v>11.775</v>
      </c>
      <c r="C4" s="7">
        <v>68624.83</v>
      </c>
      <c r="D4" s="5">
        <f t="shared" ref="D4:D67" si="1">(1+B4/100)^(1/252)-1</f>
        <v>4.4183462832014797E-4</v>
      </c>
      <c r="E4" s="5">
        <f>D4-$H$1</f>
        <v>-1.0947601322008893E-4</v>
      </c>
      <c r="F4" s="3">
        <f t="shared" si="0"/>
        <v>-7.512772796306356</v>
      </c>
      <c r="K4" s="2">
        <v>45511</v>
      </c>
      <c r="L4">
        <v>11.84</v>
      </c>
      <c r="M4" s="7">
        <v>61377.66</v>
      </c>
    </row>
    <row r="5" spans="1:13" x14ac:dyDescent="0.35">
      <c r="A5" s="2">
        <v>45512</v>
      </c>
      <c r="B5">
        <v>11.815</v>
      </c>
      <c r="C5" s="7">
        <v>68601.06</v>
      </c>
      <c r="D5" s="5">
        <f t="shared" si="1"/>
        <v>4.4325508903519939E-4</v>
      </c>
      <c r="E5" s="5">
        <f>D5-$H$1</f>
        <v>-1.0805555250503751E-4</v>
      </c>
      <c r="F5" s="3">
        <f t="shared" si="0"/>
        <v>-7.4127254407312284</v>
      </c>
      <c r="K5" s="2">
        <v>45512</v>
      </c>
      <c r="L5">
        <v>11.855</v>
      </c>
      <c r="M5" s="7">
        <v>61388.06</v>
      </c>
    </row>
    <row r="6" spans="1:13" x14ac:dyDescent="0.35">
      <c r="A6" s="2">
        <v>45513</v>
      </c>
      <c r="B6">
        <v>11.52</v>
      </c>
      <c r="C6" s="7">
        <v>69020.990000000005</v>
      </c>
      <c r="D6" s="5">
        <f t="shared" si="1"/>
        <v>4.3276727160468376E-4</v>
      </c>
      <c r="E6" s="5">
        <f>D6-$H$1</f>
        <v>-1.1854336993555314E-4</v>
      </c>
      <c r="F6" s="3">
        <f t="shared" si="0"/>
        <v>-8.1819807508881155</v>
      </c>
      <c r="K6" s="2">
        <v>45513</v>
      </c>
      <c r="L6">
        <v>11.56</v>
      </c>
      <c r="M6" s="7">
        <v>61887.41</v>
      </c>
    </row>
    <row r="7" spans="1:13" x14ac:dyDescent="0.35">
      <c r="A7" s="2">
        <v>45516</v>
      </c>
      <c r="B7">
        <v>11.57</v>
      </c>
      <c r="C7" s="7">
        <v>69088.66</v>
      </c>
      <c r="D7" s="5">
        <f t="shared" si="1"/>
        <v>4.3454681120591587E-4</v>
      </c>
      <c r="E7" s="5">
        <f>D7-$H$1</f>
        <v>-1.1676383033432103E-4</v>
      </c>
      <c r="F7" s="3">
        <f t="shared" si="0"/>
        <v>-8.0670565742655924</v>
      </c>
      <c r="K7" s="2">
        <v>45516</v>
      </c>
      <c r="L7">
        <v>11.62</v>
      </c>
      <c r="M7" s="7">
        <v>61970.080000000002</v>
      </c>
    </row>
    <row r="8" spans="1:13" x14ac:dyDescent="0.35">
      <c r="A8" s="2">
        <v>45517</v>
      </c>
      <c r="B8">
        <v>11.37</v>
      </c>
      <c r="C8" s="7">
        <v>69485.62</v>
      </c>
      <c r="D8" s="5">
        <f t="shared" si="1"/>
        <v>4.2742388074468174E-4</v>
      </c>
      <c r="E8" s="5">
        <f>D8-$H$1</f>
        <v>-1.2388676079555516E-4</v>
      </c>
      <c r="F8" s="3">
        <f t="shared" si="0"/>
        <v>-8.6083483836708439</v>
      </c>
      <c r="K8" s="2">
        <v>45517</v>
      </c>
      <c r="L8">
        <v>11.404999999999999</v>
      </c>
      <c r="M8" s="7">
        <v>62402.93</v>
      </c>
    </row>
    <row r="9" spans="1:13" x14ac:dyDescent="0.35">
      <c r="A9" s="2">
        <v>45518</v>
      </c>
      <c r="B9">
        <v>11.39</v>
      </c>
      <c r="C9" s="7">
        <v>69567.98</v>
      </c>
      <c r="D9" s="5">
        <f t="shared" si="1"/>
        <v>4.281367468821351E-4</v>
      </c>
      <c r="E9" s="5">
        <f>D9-$H$1</f>
        <v>-1.231738946581018E-4</v>
      </c>
      <c r="F9" s="3">
        <f t="shared" si="0"/>
        <v>-8.5689590400969333</v>
      </c>
      <c r="K9" s="2">
        <v>45518</v>
      </c>
      <c r="L9">
        <v>11.425000000000001</v>
      </c>
      <c r="M9" s="7">
        <v>62507.839999999997</v>
      </c>
    </row>
    <row r="10" spans="1:13" x14ac:dyDescent="0.35">
      <c r="A10" s="2">
        <v>45519</v>
      </c>
      <c r="B10">
        <v>11.45</v>
      </c>
      <c r="C10" s="7">
        <v>69293.66</v>
      </c>
      <c r="D10" s="5">
        <f t="shared" si="1"/>
        <v>4.3027458062550039E-4</v>
      </c>
      <c r="E10" s="5">
        <f>D10-$H$1</f>
        <v>-1.2103606091473651E-4</v>
      </c>
      <c r="F10" s="3">
        <f t="shared" si="0"/>
        <v>-8.3870316527650406</v>
      </c>
      <c r="K10" s="2">
        <v>45519</v>
      </c>
      <c r="L10">
        <v>11.47</v>
      </c>
      <c r="M10" s="7">
        <v>62206.09</v>
      </c>
    </row>
    <row r="11" spans="1:13" x14ac:dyDescent="0.35">
      <c r="A11" s="2">
        <v>45523</v>
      </c>
      <c r="B11">
        <v>11.244999999999999</v>
      </c>
      <c r="C11" s="7">
        <v>69638.34</v>
      </c>
      <c r="D11" s="5">
        <f t="shared" si="1"/>
        <v>4.2296557642318433E-4</v>
      </c>
      <c r="E11" s="5">
        <f>D11-$H$1</f>
        <v>-1.2834506511705257E-4</v>
      </c>
      <c r="F11" s="3">
        <f t="shared" si="0"/>
        <v>-8.9377372819434466</v>
      </c>
      <c r="K11" s="2">
        <v>45523</v>
      </c>
      <c r="L11">
        <v>11.37</v>
      </c>
      <c r="M11" s="7">
        <v>62612.61</v>
      </c>
    </row>
    <row r="12" spans="1:13" x14ac:dyDescent="0.35">
      <c r="A12" s="2">
        <v>45524</v>
      </c>
      <c r="B12">
        <v>11.404999999999999</v>
      </c>
      <c r="C12" s="7">
        <v>69498.509999999995</v>
      </c>
      <c r="D12" s="5">
        <f t="shared" si="1"/>
        <v>4.2867131282720017E-4</v>
      </c>
      <c r="E12" s="5">
        <f>D12-$H$1</f>
        <v>-1.2263932871303673E-4</v>
      </c>
      <c r="F12" s="3">
        <f t="shared" si="0"/>
        <v>-8.5232506129562697</v>
      </c>
      <c r="K12" s="2">
        <v>45524</v>
      </c>
      <c r="L12">
        <v>11.45</v>
      </c>
      <c r="M12" s="7">
        <v>62408.23</v>
      </c>
    </row>
    <row r="13" spans="1:13" x14ac:dyDescent="0.35">
      <c r="A13" s="2">
        <v>45525</v>
      </c>
      <c r="B13">
        <v>11.46</v>
      </c>
      <c r="C13" s="7">
        <v>69563.97</v>
      </c>
      <c r="D13" s="5">
        <f t="shared" si="1"/>
        <v>4.3063077479499334E-4</v>
      </c>
      <c r="E13" s="5">
        <f>D13-$H$1</f>
        <v>-1.2067986674524356E-4</v>
      </c>
      <c r="F13" s="3">
        <f t="shared" si="0"/>
        <v>-8.3949706298701212</v>
      </c>
      <c r="K13" s="2">
        <v>45525</v>
      </c>
      <c r="L13">
        <v>11.494999999999999</v>
      </c>
      <c r="M13" s="7">
        <v>62435.16</v>
      </c>
    </row>
    <row r="14" spans="1:13" x14ac:dyDescent="0.35">
      <c r="A14" s="2">
        <v>45526</v>
      </c>
      <c r="B14">
        <v>11.61</v>
      </c>
      <c r="C14" s="7">
        <v>69132.14</v>
      </c>
      <c r="D14" s="5">
        <f t="shared" si="1"/>
        <v>4.3596987105942731E-4</v>
      </c>
      <c r="E14" s="5">
        <f>D14-$H$1</f>
        <v>-1.153407704808096E-4</v>
      </c>
      <c r="F14" s="3">
        <f t="shared" si="0"/>
        <v>-7.9737542925871958</v>
      </c>
      <c r="K14" s="2">
        <v>45526</v>
      </c>
      <c r="L14">
        <v>11.664999999999999</v>
      </c>
      <c r="M14" s="7">
        <v>61933.64</v>
      </c>
    </row>
    <row r="15" spans="1:13" x14ac:dyDescent="0.35">
      <c r="A15" s="2">
        <v>45527</v>
      </c>
      <c r="B15">
        <v>11.494999999999999</v>
      </c>
      <c r="C15" s="7">
        <v>69492.479999999996</v>
      </c>
      <c r="D15" s="5">
        <f t="shared" si="1"/>
        <v>4.3187720377324545E-4</v>
      </c>
      <c r="E15" s="5">
        <f>D15-$H$1</f>
        <v>-1.1943343776699145E-4</v>
      </c>
      <c r="F15" s="3">
        <f t="shared" si="0"/>
        <v>-8.2997257853538979</v>
      </c>
      <c r="K15" s="2">
        <v>45527</v>
      </c>
      <c r="L15">
        <v>11.55</v>
      </c>
      <c r="M15" s="7">
        <v>62302.7</v>
      </c>
    </row>
    <row r="16" spans="1:13" x14ac:dyDescent="0.35">
      <c r="A16" s="2">
        <v>45530</v>
      </c>
      <c r="B16">
        <v>11.43</v>
      </c>
      <c r="C16" s="7">
        <v>69657.94</v>
      </c>
      <c r="D16" s="5">
        <f t="shared" si="1"/>
        <v>4.2956209677691426E-4</v>
      </c>
      <c r="E16" s="5">
        <f>D16-$H$1</f>
        <v>-1.2174854476332264E-4</v>
      </c>
      <c r="F16" s="3">
        <f t="shared" si="0"/>
        <v>-8.4807528262108427</v>
      </c>
      <c r="K16" s="2">
        <v>45530</v>
      </c>
      <c r="L16">
        <v>11.494999999999999</v>
      </c>
      <c r="M16" s="7">
        <v>62450.62</v>
      </c>
    </row>
    <row r="17" spans="1:13" x14ac:dyDescent="0.35">
      <c r="A17" s="2">
        <v>45531</v>
      </c>
      <c r="B17">
        <v>11.555</v>
      </c>
      <c r="C17" s="7">
        <v>69521.399999999994</v>
      </c>
      <c r="D17" s="5">
        <f t="shared" si="1"/>
        <v>4.3401303274426262E-4</v>
      </c>
      <c r="E17" s="5">
        <f>D17-$H$1</f>
        <v>-1.1729760879597428E-4</v>
      </c>
      <c r="F17" s="3">
        <f t="shared" si="0"/>
        <v>-8.1546939801484459</v>
      </c>
      <c r="K17" s="2">
        <v>45531</v>
      </c>
      <c r="L17">
        <v>11.605</v>
      </c>
      <c r="M17" s="7">
        <v>62313.39</v>
      </c>
    </row>
    <row r="18" spans="1:13" x14ac:dyDescent="0.35">
      <c r="A18" s="2">
        <v>45532</v>
      </c>
      <c r="B18">
        <v>11.68</v>
      </c>
      <c r="C18" s="7">
        <v>69267.789999999994</v>
      </c>
      <c r="D18" s="5">
        <f t="shared" si="1"/>
        <v>4.3845900389416492E-4</v>
      </c>
      <c r="E18" s="5">
        <f>D18-$H$1</f>
        <v>-1.1285163764607198E-4</v>
      </c>
      <c r="F18" s="3">
        <f t="shared" si="0"/>
        <v>-7.8169835376242078</v>
      </c>
      <c r="K18" s="2">
        <v>45532</v>
      </c>
      <c r="L18">
        <v>11.734999999999999</v>
      </c>
      <c r="M18" s="7">
        <v>62023.360000000001</v>
      </c>
    </row>
    <row r="19" spans="1:13" x14ac:dyDescent="0.35">
      <c r="A19" s="2">
        <v>45533</v>
      </c>
      <c r="B19">
        <v>11.82</v>
      </c>
      <c r="C19" s="7">
        <v>68979.179999999993</v>
      </c>
      <c r="D19" s="5">
        <f t="shared" si="1"/>
        <v>4.434326110362985E-4</v>
      </c>
      <c r="E19" s="5">
        <f>D19-$H$1</f>
        <v>-1.078780305039384E-4</v>
      </c>
      <c r="F19" s="3">
        <f t="shared" si="0"/>
        <v>-7.4413380841766568</v>
      </c>
      <c r="K19" s="2">
        <v>45533</v>
      </c>
      <c r="L19">
        <v>11.87</v>
      </c>
      <c r="M19" s="7">
        <v>61709.47</v>
      </c>
    </row>
    <row r="20" spans="1:13" x14ac:dyDescent="0.35">
      <c r="A20" s="2">
        <v>45534</v>
      </c>
      <c r="B20">
        <v>12.095000000000001</v>
      </c>
      <c r="C20" s="7">
        <v>68589.149999999994</v>
      </c>
      <c r="D20" s="5">
        <f t="shared" si="1"/>
        <v>4.5318416511364035E-4</v>
      </c>
      <c r="E20" s="5">
        <f>D20-$H$1</f>
        <v>-9.8126476426596554E-5</v>
      </c>
      <c r="F20" s="3">
        <f t="shared" si="0"/>
        <v>-6.7304116105952945</v>
      </c>
      <c r="K20" s="2">
        <v>45534</v>
      </c>
      <c r="L20">
        <v>12.16</v>
      </c>
      <c r="M20" s="7">
        <v>61183.9</v>
      </c>
    </row>
    <row r="21" spans="1:13" x14ac:dyDescent="0.35">
      <c r="A21" s="2">
        <v>45537</v>
      </c>
      <c r="B21">
        <v>12.074999999999999</v>
      </c>
      <c r="C21" s="7">
        <v>68482.05</v>
      </c>
      <c r="D21" s="5">
        <f t="shared" si="1"/>
        <v>4.5247576507367882E-4</v>
      </c>
      <c r="E21" s="5">
        <f>D21-$H$1</f>
        <v>-9.8834876466558086E-5</v>
      </c>
      <c r="F21" s="3">
        <f t="shared" si="0"/>
        <v>-6.7684149519266548</v>
      </c>
      <c r="K21" s="2">
        <v>45537</v>
      </c>
      <c r="L21">
        <v>12.15</v>
      </c>
      <c r="M21" s="7">
        <v>61031.05</v>
      </c>
    </row>
    <row r="22" spans="1:13" x14ac:dyDescent="0.35">
      <c r="A22" s="2">
        <v>45538</v>
      </c>
      <c r="B22">
        <v>12.035</v>
      </c>
      <c r="C22" s="7">
        <v>68634.73</v>
      </c>
      <c r="D22" s="5">
        <f t="shared" si="1"/>
        <v>4.5105858717464642E-4</v>
      </c>
      <c r="E22" s="5">
        <f>D22-$H$1</f>
        <v>-1.0025205436559048E-4</v>
      </c>
      <c r="F22" s="3">
        <f t="shared" si="0"/>
        <v>-6.8807726833276233</v>
      </c>
      <c r="K22" s="2">
        <v>45538</v>
      </c>
      <c r="L22">
        <v>12.13</v>
      </c>
      <c r="M22" s="7">
        <v>61197.08</v>
      </c>
    </row>
    <row r="23" spans="1:13" x14ac:dyDescent="0.35">
      <c r="A23" s="2">
        <v>45539</v>
      </c>
      <c r="B23">
        <v>11.88</v>
      </c>
      <c r="C23" s="7">
        <v>69017.77</v>
      </c>
      <c r="D23" s="5">
        <f t="shared" si="1"/>
        <v>4.4556225856906551E-4</v>
      </c>
      <c r="E23" s="5">
        <f>D23-$H$1</f>
        <v>-1.057483829711714E-4</v>
      </c>
      <c r="F23" s="3">
        <f t="shared" si="0"/>
        <v>-7.2985175737762242</v>
      </c>
      <c r="K23" s="2">
        <v>45539</v>
      </c>
      <c r="L23">
        <v>11.955</v>
      </c>
      <c r="M23" s="7">
        <v>61617.99</v>
      </c>
    </row>
    <row r="24" spans="1:13" x14ac:dyDescent="0.35">
      <c r="A24" s="2">
        <v>45540</v>
      </c>
      <c r="B24">
        <v>11.71</v>
      </c>
      <c r="C24" s="7">
        <v>69238.570000000007</v>
      </c>
      <c r="D24" s="5">
        <f t="shared" si="1"/>
        <v>4.3952529943758201E-4</v>
      </c>
      <c r="E24" s="5">
        <f>D24-$H$1</f>
        <v>-1.1178534210265489E-4</v>
      </c>
      <c r="F24" s="3">
        <f t="shared" si="0"/>
        <v>-7.7398572341486185</v>
      </c>
      <c r="K24" s="2">
        <v>45540</v>
      </c>
      <c r="L24">
        <v>11.78</v>
      </c>
      <c r="M24" s="7">
        <v>61889.49</v>
      </c>
    </row>
    <row r="25" spans="1:13" x14ac:dyDescent="0.35">
      <c r="A25" s="2">
        <v>45544</v>
      </c>
      <c r="B25">
        <v>11.744999999999999</v>
      </c>
      <c r="C25" s="7">
        <v>69365.179999999993</v>
      </c>
      <c r="D25" s="5">
        <f t="shared" si="1"/>
        <v>4.4076895047773235E-4</v>
      </c>
      <c r="E25" s="5">
        <f>D25-$H$1</f>
        <v>-1.1054169106250455E-4</v>
      </c>
      <c r="F25" s="3">
        <f t="shared" si="0"/>
        <v>-7.6677442980550188</v>
      </c>
      <c r="K25" s="2">
        <v>45544</v>
      </c>
      <c r="L25">
        <v>11.8</v>
      </c>
      <c r="M25" s="7">
        <v>62082.2</v>
      </c>
    </row>
    <row r="26" spans="1:13" x14ac:dyDescent="0.35">
      <c r="A26" s="2">
        <v>45545</v>
      </c>
      <c r="B26">
        <v>11.76</v>
      </c>
      <c r="C26" s="7">
        <v>69322.13</v>
      </c>
      <c r="D26" s="5">
        <f t="shared" si="1"/>
        <v>4.4130182501489479E-4</v>
      </c>
      <c r="E26" s="5">
        <f>D26-$H$1</f>
        <v>-1.1000881652534211E-4</v>
      </c>
      <c r="F26" s="3">
        <f t="shared" si="0"/>
        <v>-7.6260454803159146</v>
      </c>
      <c r="K26" s="2">
        <v>45545</v>
      </c>
      <c r="L26">
        <v>11.81</v>
      </c>
      <c r="M26" s="7">
        <v>62028.88</v>
      </c>
    </row>
    <row r="27" spans="1:13" x14ac:dyDescent="0.35">
      <c r="A27" s="2">
        <v>45546</v>
      </c>
      <c r="B27">
        <v>11.78</v>
      </c>
      <c r="C27" s="7">
        <v>69381.320000000007</v>
      </c>
      <c r="D27" s="5">
        <f t="shared" si="1"/>
        <v>4.4201221359596587E-4</v>
      </c>
      <c r="E27" s="5">
        <f>D27-$H$1</f>
        <v>-1.0929842794427103E-4</v>
      </c>
      <c r="F27" s="3">
        <f t="shared" si="0"/>
        <v>-7.5832692046984107</v>
      </c>
      <c r="K27" s="2">
        <v>45546</v>
      </c>
      <c r="L27">
        <v>11.83</v>
      </c>
      <c r="M27" s="7">
        <v>62115.7</v>
      </c>
    </row>
    <row r="28" spans="1:13" x14ac:dyDescent="0.35">
      <c r="A28" s="2">
        <v>45547</v>
      </c>
      <c r="B28">
        <v>11.904999999999999</v>
      </c>
      <c r="C28" s="7">
        <v>69129.009999999995</v>
      </c>
      <c r="D28" s="5">
        <f t="shared" si="1"/>
        <v>4.4644927598502804E-4</v>
      </c>
      <c r="E28" s="5">
        <f>D28-$H$1</f>
        <v>-1.0486136555520886E-4</v>
      </c>
      <c r="F28" s="3">
        <f t="shared" si="0"/>
        <v>-7.2489623880796881</v>
      </c>
      <c r="K28" s="2">
        <v>45547</v>
      </c>
      <c r="L28">
        <v>11.96</v>
      </c>
      <c r="M28" s="7">
        <v>61769.53</v>
      </c>
    </row>
    <row r="29" spans="1:13" x14ac:dyDescent="0.35">
      <c r="A29" s="2">
        <v>45548</v>
      </c>
      <c r="B29">
        <v>11.82</v>
      </c>
      <c r="C29" s="7">
        <v>69232.91</v>
      </c>
      <c r="D29" s="5">
        <f t="shared" si="1"/>
        <v>4.434326110362985E-4</v>
      </c>
      <c r="E29" s="5">
        <f>D29-$H$1</f>
        <v>-1.078780305039384E-4</v>
      </c>
      <c r="F29" s="3">
        <f t="shared" si="0"/>
        <v>-7.4687099768564229</v>
      </c>
      <c r="K29" s="2">
        <v>45548</v>
      </c>
      <c r="L29">
        <v>11.875</v>
      </c>
      <c r="M29" s="7">
        <v>61900.91</v>
      </c>
    </row>
    <row r="30" spans="1:13" x14ac:dyDescent="0.35">
      <c r="A30" s="2">
        <v>45551</v>
      </c>
      <c r="B30">
        <v>11.904999999999999</v>
      </c>
      <c r="C30" s="7">
        <v>69158.259999999995</v>
      </c>
      <c r="D30" s="5">
        <f t="shared" si="1"/>
        <v>4.4644927598502804E-4</v>
      </c>
      <c r="E30" s="5">
        <f>D30-$H$1</f>
        <v>-1.0486136555520886E-4</v>
      </c>
      <c r="F30" s="3">
        <f t="shared" si="0"/>
        <v>-7.2520295830221784</v>
      </c>
      <c r="K30" s="2">
        <v>45551</v>
      </c>
      <c r="L30">
        <v>11.965</v>
      </c>
      <c r="M30" s="7">
        <v>61789.57</v>
      </c>
    </row>
    <row r="31" spans="1:13" x14ac:dyDescent="0.35">
      <c r="A31" s="2">
        <v>45552</v>
      </c>
      <c r="B31">
        <v>11.88</v>
      </c>
      <c r="C31" s="7">
        <v>69152.72</v>
      </c>
      <c r="D31" s="5">
        <f t="shared" si="1"/>
        <v>4.4556225856906551E-4</v>
      </c>
      <c r="E31" s="5">
        <f>D31-$H$1</f>
        <v>-1.057483829711714E-4</v>
      </c>
      <c r="F31" s="3">
        <f t="shared" si="0"/>
        <v>-7.3127883180581836</v>
      </c>
      <c r="K31" s="2">
        <v>45552</v>
      </c>
      <c r="L31">
        <v>11.96</v>
      </c>
      <c r="M31" s="7">
        <v>61728.02</v>
      </c>
    </row>
    <row r="32" spans="1:13" x14ac:dyDescent="0.35">
      <c r="A32" s="2">
        <v>45553</v>
      </c>
      <c r="B32">
        <v>11.88</v>
      </c>
      <c r="C32" s="7">
        <v>69260.509999999995</v>
      </c>
      <c r="D32" s="5">
        <f t="shared" si="1"/>
        <v>4.4556225856906551E-4</v>
      </c>
      <c r="E32" s="5">
        <f>D32-$H$1</f>
        <v>-1.057483829711714E-4</v>
      </c>
      <c r="F32" s="3">
        <f t="shared" si="0"/>
        <v>-7.3241869362586458</v>
      </c>
      <c r="K32" s="2">
        <v>45553</v>
      </c>
      <c r="L32">
        <v>11.95</v>
      </c>
      <c r="M32" s="7">
        <v>61849.69</v>
      </c>
    </row>
    <row r="33" spans="1:13" x14ac:dyDescent="0.35">
      <c r="A33" s="2">
        <v>45554</v>
      </c>
      <c r="B33">
        <v>12.03</v>
      </c>
      <c r="C33" s="7">
        <v>68978.820000000007</v>
      </c>
      <c r="D33" s="5">
        <f t="shared" si="1"/>
        <v>4.5088140450300074E-4</v>
      </c>
      <c r="E33" s="5">
        <f>D33-$H$1</f>
        <v>-1.0042923703723616E-4</v>
      </c>
      <c r="F33" s="3">
        <f t="shared" si="0"/>
        <v>-6.9274902643288474</v>
      </c>
      <c r="K33" s="2">
        <v>45554</v>
      </c>
      <c r="L33">
        <v>12.074999999999999</v>
      </c>
      <c r="M33" s="7">
        <v>61563.65</v>
      </c>
    </row>
    <row r="34" spans="1:13" x14ac:dyDescent="0.35">
      <c r="A34" s="2">
        <v>45555</v>
      </c>
      <c r="B34">
        <v>12.25</v>
      </c>
      <c r="C34" s="7">
        <v>68492.149999999994</v>
      </c>
      <c r="D34" s="5">
        <f t="shared" si="1"/>
        <v>4.5867000071786457E-4</v>
      </c>
      <c r="E34" s="5">
        <f>D34-$H$1</f>
        <v>-9.2640640822372333E-5</v>
      </c>
      <c r="F34" s="3">
        <f t="shared" si="0"/>
        <v>-6.3451566673020485</v>
      </c>
      <c r="K34" s="2">
        <v>45555</v>
      </c>
      <c r="L34">
        <v>12.31</v>
      </c>
      <c r="M34" s="7">
        <v>60940.23</v>
      </c>
    </row>
    <row r="35" spans="1:13" x14ac:dyDescent="0.35">
      <c r="A35" s="2">
        <v>45558</v>
      </c>
      <c r="B35">
        <v>12.41</v>
      </c>
      <c r="C35" s="7">
        <v>68151.289999999994</v>
      </c>
      <c r="D35" s="5">
        <f t="shared" si="1"/>
        <v>4.6432489038727986E-4</v>
      </c>
      <c r="E35" s="5">
        <f>D35-$H$1</f>
        <v>-8.6985751152957036E-5</v>
      </c>
      <c r="F35" s="3">
        <f t="shared" si="0"/>
        <v>-5.9281911526930084</v>
      </c>
      <c r="K35" s="2">
        <v>45558</v>
      </c>
      <c r="L35">
        <v>12.475</v>
      </c>
      <c r="M35" s="7">
        <v>60539.92</v>
      </c>
    </row>
    <row r="36" spans="1:13" x14ac:dyDescent="0.35">
      <c r="A36" s="2">
        <v>45559</v>
      </c>
      <c r="B36">
        <v>12.205</v>
      </c>
      <c r="C36" s="7">
        <v>68728.350000000006</v>
      </c>
      <c r="D36" s="5">
        <f t="shared" si="1"/>
        <v>4.5707811642770046E-4</v>
      </c>
      <c r="E36" s="5">
        <f>D36-$H$1</f>
        <v>-9.4232525112536436E-5</v>
      </c>
      <c r="F36" s="3">
        <f t="shared" si="0"/>
        <v>-6.4764459673181944</v>
      </c>
      <c r="K36" s="2">
        <v>45559</v>
      </c>
      <c r="L36">
        <v>12.265000000000001</v>
      </c>
      <c r="M36" s="7">
        <v>61213.39</v>
      </c>
    </row>
    <row r="37" spans="1:13" x14ac:dyDescent="0.35">
      <c r="A37" s="2">
        <v>45560</v>
      </c>
      <c r="B37">
        <v>12.19</v>
      </c>
      <c r="C37" s="7">
        <v>68845.490000000005</v>
      </c>
      <c r="D37" s="5">
        <f t="shared" si="1"/>
        <v>4.5654734701794375E-4</v>
      </c>
      <c r="E37" s="5">
        <f>D37-$H$1</f>
        <v>-9.4763294522293151E-5</v>
      </c>
      <c r="F37" s="3">
        <f t="shared" si="0"/>
        <v>-6.5240254454015885</v>
      </c>
      <c r="K37" s="2">
        <v>45560</v>
      </c>
      <c r="L37">
        <v>12.26</v>
      </c>
      <c r="M37" s="7">
        <v>61340.93</v>
      </c>
    </row>
    <row r="38" spans="1:13" x14ac:dyDescent="0.35">
      <c r="A38" s="2">
        <v>45561</v>
      </c>
      <c r="B38">
        <v>12.275</v>
      </c>
      <c r="C38" s="7">
        <v>68705.740000000005</v>
      </c>
      <c r="D38" s="5">
        <f t="shared" si="1"/>
        <v>4.5955410624243243E-4</v>
      </c>
      <c r="E38" s="5">
        <f>D38-$H$1</f>
        <v>-9.1756535297804476E-5</v>
      </c>
      <c r="F38" s="3">
        <f t="shared" si="0"/>
        <v>-6.3042006574717773</v>
      </c>
      <c r="K38" s="2">
        <v>45561</v>
      </c>
      <c r="L38">
        <v>12.335000000000001</v>
      </c>
      <c r="M38" s="7">
        <v>61202.78</v>
      </c>
    </row>
    <row r="39" spans="1:13" x14ac:dyDescent="0.35">
      <c r="A39" s="2">
        <v>45562</v>
      </c>
      <c r="B39">
        <v>12.315</v>
      </c>
      <c r="C39" s="7">
        <v>68582.66</v>
      </c>
      <c r="D39" s="5">
        <f t="shared" si="1"/>
        <v>4.6096826731578666E-4</v>
      </c>
      <c r="E39" s="5">
        <f>D39-$H$1</f>
        <v>-9.0342374224450239E-5</v>
      </c>
      <c r="F39" s="3">
        <f t="shared" si="0"/>
        <v>-6.1959203350282346</v>
      </c>
      <c r="K39" s="2">
        <v>45562</v>
      </c>
      <c r="L39">
        <v>12.355</v>
      </c>
      <c r="M39" s="7">
        <v>61086.02</v>
      </c>
    </row>
    <row r="40" spans="1:13" x14ac:dyDescent="0.35">
      <c r="A40" s="2">
        <v>45565</v>
      </c>
      <c r="B40">
        <v>12.425000000000001</v>
      </c>
      <c r="C40" s="7">
        <v>68464.23</v>
      </c>
      <c r="D40" s="5">
        <f t="shared" si="1"/>
        <v>4.6485462520418075E-4</v>
      </c>
      <c r="E40" s="5">
        <f>D40-$H$1</f>
        <v>-8.6456016336056152E-5</v>
      </c>
      <c r="F40" s="3">
        <f t="shared" si="0"/>
        <v>-5.9191445873155057</v>
      </c>
      <c r="K40" s="2">
        <v>45565</v>
      </c>
      <c r="L40">
        <v>12.475</v>
      </c>
      <c r="M40" s="7">
        <v>60919.5</v>
      </c>
    </row>
    <row r="41" spans="1:13" x14ac:dyDescent="0.35">
      <c r="A41" s="2">
        <v>45566</v>
      </c>
      <c r="B41">
        <v>12.29</v>
      </c>
      <c r="C41" s="7">
        <v>68594.649999999994</v>
      </c>
      <c r="D41" s="5">
        <f t="shared" si="1"/>
        <v>4.6008447544343412E-4</v>
      </c>
      <c r="E41" s="5">
        <f>D41-$H$1</f>
        <v>-9.1226166096802785E-5</v>
      </c>
      <c r="F41" s="3">
        <f t="shared" si="0"/>
        <v>-6.2576269342520527</v>
      </c>
      <c r="K41" s="2">
        <v>45566</v>
      </c>
      <c r="L41">
        <v>12.34</v>
      </c>
      <c r="M41" s="7">
        <v>61064.61</v>
      </c>
    </row>
    <row r="42" spans="1:13" x14ac:dyDescent="0.35">
      <c r="A42" s="2">
        <v>45567</v>
      </c>
      <c r="B42">
        <v>12.285</v>
      </c>
      <c r="C42" s="7">
        <v>68729.070000000007</v>
      </c>
      <c r="D42" s="5">
        <f t="shared" si="1"/>
        <v>4.5990769355097605E-4</v>
      </c>
      <c r="E42" s="5">
        <f>D42-$H$1</f>
        <v>-9.1402947989260852E-5</v>
      </c>
      <c r="F42" s="3">
        <f t="shared" si="0"/>
        <v>-6.2820396105602692</v>
      </c>
      <c r="K42" s="2">
        <v>45567</v>
      </c>
      <c r="L42">
        <v>12.335000000000001</v>
      </c>
      <c r="M42" s="7">
        <v>61200.73</v>
      </c>
    </row>
    <row r="43" spans="1:13" x14ac:dyDescent="0.35">
      <c r="A43" s="2">
        <v>45568</v>
      </c>
      <c r="B43">
        <v>12.385</v>
      </c>
      <c r="C43" s="7">
        <v>68640.39</v>
      </c>
      <c r="D43" s="5">
        <f t="shared" si="1"/>
        <v>4.6344184254554222E-4</v>
      </c>
      <c r="E43" s="5">
        <f>D43-$H$1</f>
        <v>-8.7868798994694686E-5</v>
      </c>
      <c r="F43" s="3">
        <f t="shared" si="0"/>
        <v>-6.0313486318274512</v>
      </c>
      <c r="K43" s="2">
        <v>45568</v>
      </c>
      <c r="L43">
        <v>12.414999999999999</v>
      </c>
      <c r="M43" s="7">
        <v>61114.44</v>
      </c>
    </row>
    <row r="44" spans="1:13" x14ac:dyDescent="0.35">
      <c r="A44" s="2">
        <v>45569</v>
      </c>
      <c r="B44">
        <v>12.435</v>
      </c>
      <c r="C44" s="7">
        <v>68530.58</v>
      </c>
      <c r="D44" s="5">
        <f t="shared" si="1"/>
        <v>4.6520774264013909E-4</v>
      </c>
      <c r="E44" s="5">
        <f>D44-$H$1</f>
        <v>-8.6102898900097813E-5</v>
      </c>
      <c r="F44" s="3">
        <f t="shared" si="0"/>
        <v>-5.9006816013050649</v>
      </c>
      <c r="K44" s="2">
        <v>45569</v>
      </c>
      <c r="L44">
        <v>12.46</v>
      </c>
      <c r="M44" s="7">
        <v>61005.72</v>
      </c>
    </row>
    <row r="45" spans="1:13" x14ac:dyDescent="0.35">
      <c r="A45" s="2">
        <v>45572</v>
      </c>
      <c r="B45">
        <v>12.324999999999999</v>
      </c>
      <c r="C45" s="7">
        <v>68684.289999999994</v>
      </c>
      <c r="D45" s="5">
        <f t="shared" si="1"/>
        <v>4.6132172920265724E-4</v>
      </c>
      <c r="E45" s="5">
        <f>D45-$H$1</f>
        <v>-8.9988912337579663E-5</v>
      </c>
      <c r="F45" s="3">
        <f t="shared" si="0"/>
        <v>-6.1808245517788984</v>
      </c>
      <c r="K45" s="2">
        <v>45572</v>
      </c>
      <c r="L45">
        <v>12.34</v>
      </c>
      <c r="M45" s="7">
        <v>61198.65</v>
      </c>
    </row>
    <row r="46" spans="1:13" x14ac:dyDescent="0.35">
      <c r="A46" s="2">
        <v>45573</v>
      </c>
      <c r="B46">
        <v>12.324999999999999</v>
      </c>
      <c r="C46" s="7">
        <v>68828.259999999995</v>
      </c>
      <c r="D46" s="5">
        <f t="shared" si="1"/>
        <v>4.6132172920265724E-4</v>
      </c>
      <c r="E46" s="5">
        <f>D46-$H$1</f>
        <v>-8.9988912337579663E-5</v>
      </c>
      <c r="F46" s="3">
        <f t="shared" si="0"/>
        <v>-6.1937802554881403</v>
      </c>
      <c r="K46" s="2">
        <v>45573</v>
      </c>
      <c r="L46">
        <v>12.345000000000001</v>
      </c>
      <c r="M46" s="7">
        <v>61373.62</v>
      </c>
    </row>
    <row r="47" spans="1:13" x14ac:dyDescent="0.35">
      <c r="A47" s="2">
        <v>45574</v>
      </c>
      <c r="B47">
        <v>12.545</v>
      </c>
      <c r="C47" s="7">
        <v>68325.460000000006</v>
      </c>
      <c r="D47" s="5">
        <f t="shared" si="1"/>
        <v>4.6908997115369111E-4</v>
      </c>
      <c r="E47" s="5">
        <f>D47-$H$1</f>
        <v>-8.2220670386545791E-5</v>
      </c>
      <c r="F47" s="3">
        <f t="shared" si="0"/>
        <v>-5.6177651256691199</v>
      </c>
      <c r="K47" s="2">
        <v>45574</v>
      </c>
      <c r="L47">
        <v>12.535</v>
      </c>
      <c r="M47" s="7">
        <v>60800.34</v>
      </c>
    </row>
    <row r="48" spans="1:13" x14ac:dyDescent="0.35">
      <c r="A48" s="2">
        <v>45575</v>
      </c>
      <c r="B48">
        <v>12.64</v>
      </c>
      <c r="C48" s="7">
        <v>68176.92</v>
      </c>
      <c r="D48" s="5">
        <f t="shared" si="1"/>
        <v>4.7243976461452952E-4</v>
      </c>
      <c r="E48" s="5">
        <f>D48-$H$1</f>
        <v>-7.8870876925707378E-5</v>
      </c>
      <c r="F48" s="3">
        <f t="shared" si="0"/>
        <v>-5.3771734664937973</v>
      </c>
      <c r="K48" s="2">
        <v>45575</v>
      </c>
      <c r="L48">
        <v>12.625</v>
      </c>
      <c r="M48" s="7">
        <v>60652.7</v>
      </c>
    </row>
    <row r="49" spans="1:13" x14ac:dyDescent="0.35">
      <c r="A49" s="2">
        <v>45576</v>
      </c>
      <c r="B49">
        <v>12.76</v>
      </c>
      <c r="C49" s="7">
        <v>67888.47</v>
      </c>
      <c r="D49" s="5">
        <f t="shared" si="1"/>
        <v>4.7666706274251958E-4</v>
      </c>
      <c r="E49" s="5">
        <f>D49-$H$1</f>
        <v>-7.4643578797717325E-5</v>
      </c>
      <c r="F49" s="3">
        <f t="shared" si="0"/>
        <v>-5.0674383599014687</v>
      </c>
      <c r="K49" s="2">
        <v>45576</v>
      </c>
      <c r="L49">
        <v>12.75</v>
      </c>
      <c r="M49" s="7">
        <v>60299.62</v>
      </c>
    </row>
    <row r="50" spans="1:13" x14ac:dyDescent="0.35">
      <c r="A50" s="2">
        <v>45579</v>
      </c>
      <c r="B50">
        <v>12.63</v>
      </c>
      <c r="C50" s="7">
        <v>68330.759999999995</v>
      </c>
      <c r="D50" s="5">
        <f t="shared" si="1"/>
        <v>4.7208728731762406E-4</v>
      </c>
      <c r="E50" s="5">
        <f>D50-$H$1</f>
        <v>-7.9223354222612841E-5</v>
      </c>
      <c r="F50" s="3">
        <f t="shared" si="0"/>
        <v>-5.413392003780344</v>
      </c>
      <c r="K50" s="2">
        <v>45579</v>
      </c>
      <c r="L50">
        <v>12.62</v>
      </c>
      <c r="M50" s="7">
        <v>60804.91</v>
      </c>
    </row>
    <row r="51" spans="1:13" x14ac:dyDescent="0.35">
      <c r="A51" s="2">
        <v>45580</v>
      </c>
      <c r="B51">
        <v>12.67</v>
      </c>
      <c r="C51" s="7">
        <v>68186.929999999993</v>
      </c>
      <c r="D51" s="5">
        <f t="shared" si="1"/>
        <v>4.7349700952614704E-4</v>
      </c>
      <c r="E51" s="5">
        <f>D51-$H$1</f>
        <v>-7.7813632014089862E-5</v>
      </c>
      <c r="F51" s="3">
        <f t="shared" si="0"/>
        <v>-5.3058726791905038</v>
      </c>
      <c r="K51" s="2">
        <v>45580</v>
      </c>
      <c r="L51">
        <v>12.76</v>
      </c>
      <c r="M51" s="7">
        <v>60621.919999999998</v>
      </c>
    </row>
    <row r="52" spans="1:13" x14ac:dyDescent="0.35">
      <c r="A52" s="2">
        <v>45581</v>
      </c>
      <c r="B52">
        <v>12.81</v>
      </c>
      <c r="C52" s="7">
        <v>68047.83</v>
      </c>
      <c r="D52" s="5">
        <f t="shared" si="1"/>
        <v>4.7842711463830234E-4</v>
      </c>
      <c r="E52" s="5">
        <f>D52-$H$1</f>
        <v>-7.2883526901934559E-5</v>
      </c>
      <c r="F52" s="3">
        <f t="shared" si="0"/>
        <v>-4.9595658484232699</v>
      </c>
      <c r="K52" s="2">
        <v>45581</v>
      </c>
      <c r="L52">
        <v>12.824999999999999</v>
      </c>
      <c r="M52" s="7">
        <v>60408.76</v>
      </c>
    </row>
    <row r="53" spans="1:13" x14ac:dyDescent="0.35">
      <c r="A53" s="2">
        <v>45582</v>
      </c>
      <c r="B53">
        <v>12.83</v>
      </c>
      <c r="C53" s="7">
        <v>67953.67</v>
      </c>
      <c r="D53" s="5">
        <f t="shared" si="1"/>
        <v>4.7913091784601569E-4</v>
      </c>
      <c r="E53" s="5">
        <f>D53-$H$1</f>
        <v>-7.2179723694221209E-5</v>
      </c>
      <c r="F53" s="3">
        <f t="shared" si="0"/>
        <v>-4.904877124608289</v>
      </c>
      <c r="K53" s="2">
        <v>45582</v>
      </c>
      <c r="L53">
        <v>12.84</v>
      </c>
      <c r="M53" s="7">
        <v>60272.68</v>
      </c>
    </row>
    <row r="54" spans="1:13" x14ac:dyDescent="0.35">
      <c r="A54" s="2">
        <v>45583</v>
      </c>
      <c r="B54">
        <v>12.914999999999999</v>
      </c>
      <c r="C54" s="7">
        <v>67860.03</v>
      </c>
      <c r="D54" s="5">
        <f t="shared" si="1"/>
        <v>4.8212069586206496E-4</v>
      </c>
      <c r="E54" s="5">
        <f>D54-$H$1</f>
        <v>-6.9189945678171938E-5</v>
      </c>
      <c r="F54" s="3">
        <f t="shared" si="0"/>
        <v>-4.6952317894191182</v>
      </c>
      <c r="K54" s="2">
        <v>45583</v>
      </c>
      <c r="L54">
        <v>12.914999999999999</v>
      </c>
      <c r="M54" s="7">
        <v>60170.6</v>
      </c>
    </row>
    <row r="55" spans="1:13" x14ac:dyDescent="0.35">
      <c r="A55" s="2">
        <v>45586</v>
      </c>
      <c r="B55">
        <v>12.86</v>
      </c>
      <c r="C55" s="7">
        <v>68032.5</v>
      </c>
      <c r="D55" s="5">
        <f t="shared" si="1"/>
        <v>4.8018638970548366E-4</v>
      </c>
      <c r="E55" s="5">
        <f>D55-$H$1</f>
        <v>-7.1124251834753238E-5</v>
      </c>
      <c r="F55" s="3">
        <f t="shared" si="0"/>
        <v>-4.8387606629478501</v>
      </c>
      <c r="K55" s="2">
        <v>45586</v>
      </c>
      <c r="L55">
        <v>12.88</v>
      </c>
      <c r="M55" s="7">
        <v>60355.25</v>
      </c>
    </row>
    <row r="56" spans="1:13" x14ac:dyDescent="0.35">
      <c r="A56" s="2">
        <v>45587</v>
      </c>
      <c r="B56">
        <v>12.855</v>
      </c>
      <c r="C56" s="7">
        <v>68044.17</v>
      </c>
      <c r="D56" s="5">
        <f t="shared" si="1"/>
        <v>4.8001049713652932E-4</v>
      </c>
      <c r="E56" s="5">
        <f>D56-$H$1</f>
        <v>-7.1300144403707577E-5</v>
      </c>
      <c r="F56" s="3">
        <f t="shared" si="0"/>
        <v>-4.8515591468304269</v>
      </c>
      <c r="K56" s="2">
        <v>45587</v>
      </c>
      <c r="L56">
        <v>12.85</v>
      </c>
      <c r="M56" s="7">
        <v>60402.11</v>
      </c>
    </row>
    <row r="57" spans="1:13" x14ac:dyDescent="0.35">
      <c r="A57" s="2">
        <v>45588</v>
      </c>
      <c r="B57">
        <v>12.965</v>
      </c>
      <c r="C57" s="7">
        <v>67924.19</v>
      </c>
      <c r="D57" s="5">
        <f t="shared" si="1"/>
        <v>4.8387834182350709E-4</v>
      </c>
      <c r="E57" s="5">
        <f>D57-$H$1</f>
        <v>-6.7432299716729815E-5</v>
      </c>
      <c r="F57" s="3">
        <f t="shared" si="0"/>
        <v>-4.580284338096102</v>
      </c>
      <c r="K57" s="2">
        <v>45588</v>
      </c>
      <c r="L57">
        <v>12.965</v>
      </c>
      <c r="M57" s="7">
        <v>60240.27</v>
      </c>
    </row>
    <row r="58" spans="1:13" x14ac:dyDescent="0.35">
      <c r="A58" s="2">
        <v>45589</v>
      </c>
      <c r="B58">
        <v>12.695</v>
      </c>
      <c r="C58" s="7">
        <v>68400.899999999994</v>
      </c>
      <c r="D58" s="5">
        <f t="shared" si="1"/>
        <v>4.7437783278803103E-4</v>
      </c>
      <c r="E58" s="5">
        <f>D58-$H$1</f>
        <v>-7.6932808752205872E-5</v>
      </c>
      <c r="F58" s="3">
        <f t="shared" si="0"/>
        <v>-5.2622733581787582</v>
      </c>
      <c r="K58" s="2">
        <v>45589</v>
      </c>
      <c r="L58">
        <v>12.685</v>
      </c>
      <c r="M58" s="7">
        <v>60794.85</v>
      </c>
    </row>
    <row r="59" spans="1:13" x14ac:dyDescent="0.35">
      <c r="A59" s="2">
        <v>45590</v>
      </c>
      <c r="B59">
        <v>12.835000000000001</v>
      </c>
      <c r="C59" s="7">
        <v>68280.11</v>
      </c>
      <c r="D59" s="5">
        <f t="shared" si="1"/>
        <v>4.7930684923258582E-4</v>
      </c>
      <c r="E59" s="5">
        <f>D59-$H$1</f>
        <v>-7.2003792307651082E-5</v>
      </c>
      <c r="F59" s="3">
        <f t="shared" si="0"/>
        <v>-4.91642685918357</v>
      </c>
      <c r="K59" s="2">
        <v>45590</v>
      </c>
      <c r="L59">
        <v>12.84</v>
      </c>
      <c r="M59" s="7">
        <v>60645.13</v>
      </c>
    </row>
    <row r="60" spans="1:13" x14ac:dyDescent="0.35">
      <c r="A60" s="2">
        <v>45593</v>
      </c>
      <c r="B60">
        <v>12.83</v>
      </c>
      <c r="C60" s="7">
        <v>68263.11</v>
      </c>
      <c r="D60" s="5">
        <f t="shared" si="1"/>
        <v>4.7913091784601569E-4</v>
      </c>
      <c r="E60" s="5">
        <f>D60-$H$1</f>
        <v>-7.2179723694221209E-5</v>
      </c>
      <c r="F60" s="3">
        <f t="shared" si="0"/>
        <v>-4.9272124183082289</v>
      </c>
      <c r="K60" s="2">
        <v>45593</v>
      </c>
      <c r="L60">
        <v>12.84</v>
      </c>
      <c r="M60" s="7">
        <v>60605.14</v>
      </c>
    </row>
    <row r="61" spans="1:13" x14ac:dyDescent="0.35">
      <c r="A61" s="2">
        <v>45594</v>
      </c>
      <c r="B61">
        <v>12.925000000000001</v>
      </c>
      <c r="C61" s="7">
        <v>68116.69</v>
      </c>
      <c r="D61" s="5">
        <f t="shared" si="1"/>
        <v>4.8247228706332912E-4</v>
      </c>
      <c r="E61" s="5">
        <f>D61-$H$1</f>
        <v>-6.8838354476907782E-5</v>
      </c>
      <c r="F61" s="3">
        <f t="shared" si="0"/>
        <v>-4.6890408520136395</v>
      </c>
      <c r="K61" s="2">
        <v>45594</v>
      </c>
      <c r="L61">
        <v>12.93</v>
      </c>
      <c r="M61" s="7">
        <v>60412.34</v>
      </c>
    </row>
    <row r="62" spans="1:13" x14ac:dyDescent="0.35">
      <c r="A62" s="2">
        <v>45595</v>
      </c>
      <c r="B62">
        <v>12.885</v>
      </c>
      <c r="C62" s="7">
        <v>68204.759999999995</v>
      </c>
      <c r="D62" s="5">
        <f t="shared" si="1"/>
        <v>4.8106573614292714E-4</v>
      </c>
      <c r="E62" s="5">
        <f>D62-$H$1</f>
        <v>-7.0244905397309765E-5</v>
      </c>
      <c r="F62" s="3">
        <f t="shared" si="0"/>
        <v>-4.7910369138462165</v>
      </c>
      <c r="K62" s="2">
        <v>45595</v>
      </c>
      <c r="L62">
        <v>12.89</v>
      </c>
      <c r="M62" s="7">
        <v>60523.48</v>
      </c>
    </row>
    <row r="63" spans="1:13" x14ac:dyDescent="0.35">
      <c r="A63" s="2">
        <v>45596</v>
      </c>
      <c r="B63">
        <v>13.005000000000001</v>
      </c>
      <c r="C63" s="7">
        <v>68102.789999999994</v>
      </c>
      <c r="D63" s="5">
        <f t="shared" si="1"/>
        <v>4.8528390077406947E-4</v>
      </c>
      <c r="E63" s="5">
        <f>D63-$H$1</f>
        <v>-6.6026740766167435E-5</v>
      </c>
      <c r="F63" s="3">
        <f t="shared" si="0"/>
        <v>-4.4966052607827391</v>
      </c>
      <c r="K63" s="2">
        <v>45596</v>
      </c>
      <c r="L63">
        <v>12.994999999999999</v>
      </c>
      <c r="M63" s="7">
        <v>60417.7</v>
      </c>
    </row>
    <row r="64" spans="1:13" x14ac:dyDescent="0.35">
      <c r="A64" s="2">
        <v>45597</v>
      </c>
      <c r="B64">
        <v>13.22</v>
      </c>
      <c r="C64" s="7">
        <v>67549.69</v>
      </c>
      <c r="D64" s="5">
        <f t="shared" si="1"/>
        <v>4.9283030025470964E-4</v>
      </c>
      <c r="E64" s="5">
        <f>D64-$H$1</f>
        <v>-5.848034128552726E-5</v>
      </c>
      <c r="F64" s="3">
        <f t="shared" si="0"/>
        <v>-3.9503289249315681</v>
      </c>
      <c r="K64" s="2">
        <v>45597</v>
      </c>
      <c r="L64">
        <v>13.195</v>
      </c>
      <c r="M64" s="7">
        <v>59758.5</v>
      </c>
    </row>
    <row r="65" spans="1:13" x14ac:dyDescent="0.35">
      <c r="A65" s="2">
        <v>45600</v>
      </c>
      <c r="B65">
        <v>13.04</v>
      </c>
      <c r="C65" s="7">
        <v>68051.520000000004</v>
      </c>
      <c r="D65" s="5">
        <f t="shared" si="1"/>
        <v>4.8651335841221055E-4</v>
      </c>
      <c r="E65" s="5">
        <f>D65-$H$1</f>
        <v>-6.4797283128026351E-5</v>
      </c>
      <c r="F65" s="3">
        <f t="shared" si="0"/>
        <v>-4.4095536087325478</v>
      </c>
      <c r="K65" s="2">
        <v>45600</v>
      </c>
      <c r="L65">
        <v>13.035</v>
      </c>
      <c r="M65" s="7">
        <v>60324.17</v>
      </c>
    </row>
    <row r="66" spans="1:13" x14ac:dyDescent="0.35">
      <c r="A66" s="2">
        <v>45601</v>
      </c>
      <c r="B66">
        <v>12.93</v>
      </c>
      <c r="C66" s="7">
        <v>68196.160000000003</v>
      </c>
      <c r="D66" s="5">
        <f t="shared" si="1"/>
        <v>4.8264807103493013E-4</v>
      </c>
      <c r="E66" s="5">
        <f>D66-$H$1</f>
        <v>-6.8662570505306775E-5</v>
      </c>
      <c r="F66" s="3">
        <f t="shared" si="0"/>
        <v>-4.6825236441911819</v>
      </c>
      <c r="K66" s="2">
        <v>45601</v>
      </c>
      <c r="L66">
        <v>12.925000000000001</v>
      </c>
      <c r="M66" s="7">
        <v>60461.4</v>
      </c>
    </row>
    <row r="67" spans="1:13" x14ac:dyDescent="0.35">
      <c r="A67" s="2">
        <v>45602</v>
      </c>
      <c r="B67">
        <v>12.93</v>
      </c>
      <c r="C67" s="7">
        <v>68200.86</v>
      </c>
      <c r="D67" s="5">
        <f t="shared" si="1"/>
        <v>4.8264807103493013E-4</v>
      </c>
      <c r="E67" s="5">
        <f>D67-$H$1</f>
        <v>-6.8662570505306775E-5</v>
      </c>
      <c r="F67" s="3">
        <f t="shared" ref="F67:F130" si="2">E67*C67</f>
        <v>-4.682846358272557</v>
      </c>
      <c r="K67" s="2">
        <v>45602</v>
      </c>
      <c r="L67">
        <v>12.99</v>
      </c>
      <c r="M67" s="7">
        <v>60539.199999999997</v>
      </c>
    </row>
    <row r="68" spans="1:13" x14ac:dyDescent="0.35">
      <c r="A68" s="2">
        <v>45603</v>
      </c>
      <c r="B68">
        <v>12.91</v>
      </c>
      <c r="C68" s="7">
        <v>68303.86</v>
      </c>
      <c r="D68" s="5">
        <f t="shared" ref="D68:D131" si="3">(1+B68/100)^(1/252)-1</f>
        <v>4.819448886308475E-4</v>
      </c>
      <c r="E68" s="5">
        <f>D68-$H$1</f>
        <v>-6.93657529093894E-5</v>
      </c>
      <c r="F68" s="3">
        <f t="shared" si="2"/>
        <v>-4.7379486755175266</v>
      </c>
      <c r="K68" s="2">
        <v>45603</v>
      </c>
      <c r="L68">
        <v>12.84</v>
      </c>
      <c r="M68" s="7">
        <v>60718.62</v>
      </c>
    </row>
    <row r="69" spans="1:13" x14ac:dyDescent="0.35">
      <c r="A69" s="2">
        <v>45604</v>
      </c>
      <c r="B69">
        <v>12.994999999999999</v>
      </c>
      <c r="C69" s="7">
        <v>68174.69</v>
      </c>
      <c r="D69" s="5">
        <f t="shared" si="3"/>
        <v>4.8493255749937347E-4</v>
      </c>
      <c r="E69" s="5">
        <f>D69-$H$1</f>
        <v>-6.6378084040863428E-5</v>
      </c>
      <c r="F69" s="3">
        <f t="shared" si="2"/>
        <v>-4.5253053022798113</v>
      </c>
      <c r="K69" s="2">
        <v>45604</v>
      </c>
      <c r="L69">
        <v>12.914999999999999</v>
      </c>
      <c r="M69" s="7">
        <v>60602.239999999998</v>
      </c>
    </row>
    <row r="70" spans="1:13" x14ac:dyDescent="0.35">
      <c r="A70" s="2">
        <v>45607</v>
      </c>
      <c r="B70">
        <v>13.07</v>
      </c>
      <c r="C70" s="7">
        <v>68059.429999999993</v>
      </c>
      <c r="D70" s="5">
        <f t="shared" si="3"/>
        <v>4.8756687750217687E-4</v>
      </c>
      <c r="E70" s="5">
        <f>D70-$H$1</f>
        <v>-6.3743764038060036E-5</v>
      </c>
      <c r="F70" s="3">
        <f t="shared" si="2"/>
        <v>-4.338364246484864</v>
      </c>
      <c r="K70" s="2">
        <v>45607</v>
      </c>
      <c r="L70">
        <v>12.975</v>
      </c>
      <c r="M70" s="7">
        <v>60501.81</v>
      </c>
    </row>
    <row r="71" spans="1:13" x14ac:dyDescent="0.35">
      <c r="A71" s="2">
        <v>45608</v>
      </c>
      <c r="B71">
        <v>13.25</v>
      </c>
      <c r="C71" s="7">
        <v>67875.72</v>
      </c>
      <c r="D71" s="5">
        <f t="shared" si="3"/>
        <v>4.9388215129564372E-4</v>
      </c>
      <c r="E71" s="5">
        <f>D71-$H$1</f>
        <v>-5.7428490244593178E-5</v>
      </c>
      <c r="F71" s="3">
        <f t="shared" si="2"/>
        <v>-3.8980001238647382</v>
      </c>
      <c r="K71" s="2">
        <v>45608</v>
      </c>
      <c r="L71">
        <v>13.16</v>
      </c>
      <c r="M71" s="7">
        <v>60257.58</v>
      </c>
    </row>
    <row r="72" spans="1:13" x14ac:dyDescent="0.35">
      <c r="A72" s="2">
        <v>45609</v>
      </c>
      <c r="B72">
        <v>13.26</v>
      </c>
      <c r="C72" s="7">
        <v>67771.37</v>
      </c>
      <c r="D72" s="5">
        <f t="shared" si="3"/>
        <v>4.9423270663684349E-4</v>
      </c>
      <c r="E72" s="5">
        <f>D72-$H$1</f>
        <v>-5.7077934903393412E-5</v>
      </c>
      <c r="F72" s="3">
        <f t="shared" si="2"/>
        <v>-3.8682498451737888</v>
      </c>
      <c r="K72" s="2">
        <v>45609</v>
      </c>
      <c r="L72">
        <v>13.16</v>
      </c>
      <c r="M72" s="7">
        <v>60138.99</v>
      </c>
    </row>
    <row r="73" spans="1:13" x14ac:dyDescent="0.35">
      <c r="A73" s="2">
        <v>45610</v>
      </c>
      <c r="B73">
        <v>13.33</v>
      </c>
      <c r="C73" s="7">
        <v>67890.600000000006</v>
      </c>
      <c r="D73" s="5">
        <f t="shared" si="3"/>
        <v>4.9668573116745662E-4</v>
      </c>
      <c r="E73" s="5">
        <f>D73-$H$1</f>
        <v>-5.4624910372780278E-5</v>
      </c>
      <c r="F73" s="3">
        <f t="shared" si="2"/>
        <v>-3.7085179401542772</v>
      </c>
      <c r="K73" s="2">
        <v>45610</v>
      </c>
      <c r="L73">
        <v>13.24</v>
      </c>
      <c r="M73" s="7">
        <v>60246.97</v>
      </c>
    </row>
    <row r="74" spans="1:13" x14ac:dyDescent="0.35">
      <c r="A74" s="2">
        <v>45614</v>
      </c>
      <c r="B74">
        <v>13.35</v>
      </c>
      <c r="C74" s="7">
        <v>67690.259999999995</v>
      </c>
      <c r="D74" s="5">
        <f t="shared" si="3"/>
        <v>4.973863181345628E-4</v>
      </c>
      <c r="E74" s="5">
        <f>D74-$H$1</f>
        <v>-5.3924323405674102E-5</v>
      </c>
      <c r="F74" s="3">
        <f t="shared" si="2"/>
        <v>-3.6501514716541652</v>
      </c>
      <c r="K74" s="2">
        <v>45614</v>
      </c>
      <c r="L74">
        <v>13.24</v>
      </c>
      <c r="M74" s="7">
        <v>60061.57</v>
      </c>
    </row>
    <row r="75" spans="1:13" x14ac:dyDescent="0.35">
      <c r="A75" s="2">
        <v>45615</v>
      </c>
      <c r="B75">
        <v>13.25</v>
      </c>
      <c r="C75" s="7">
        <v>67909.47</v>
      </c>
      <c r="D75" s="5">
        <f t="shared" si="3"/>
        <v>4.9388215129564372E-4</v>
      </c>
      <c r="E75" s="5">
        <f>D75-$H$1</f>
        <v>-5.7428490244593178E-5</v>
      </c>
      <c r="F75" s="3">
        <f t="shared" si="2"/>
        <v>-3.8999383354104933</v>
      </c>
      <c r="K75" s="2">
        <v>45615</v>
      </c>
      <c r="L75">
        <v>13.16</v>
      </c>
      <c r="M75" s="7">
        <v>60264.9</v>
      </c>
    </row>
    <row r="76" spans="1:13" x14ac:dyDescent="0.35">
      <c r="A76" s="2">
        <v>45617</v>
      </c>
      <c r="B76">
        <v>13.25</v>
      </c>
      <c r="C76" s="7">
        <v>68049.03</v>
      </c>
      <c r="D76" s="5">
        <f t="shared" si="3"/>
        <v>4.9388215129564372E-4</v>
      </c>
      <c r="E76" s="5">
        <f>D76-$H$1</f>
        <v>-5.7428490244593178E-5</v>
      </c>
      <c r="F76" s="3">
        <f t="shared" si="2"/>
        <v>-3.9079530555090285</v>
      </c>
      <c r="K76" s="2">
        <v>45617</v>
      </c>
      <c r="L76">
        <v>13.145</v>
      </c>
      <c r="M76" s="7">
        <v>60418.57</v>
      </c>
    </row>
    <row r="77" spans="1:13" x14ac:dyDescent="0.35">
      <c r="A77" s="2">
        <v>45618</v>
      </c>
      <c r="B77">
        <v>13.27</v>
      </c>
      <c r="C77" s="7">
        <v>67976.800000000003</v>
      </c>
      <c r="D77" s="5">
        <f t="shared" si="3"/>
        <v>4.9458323115092462E-4</v>
      </c>
      <c r="E77" s="5">
        <f>D77-$H$1</f>
        <v>-5.6727410389312283E-5</v>
      </c>
      <c r="F77" s="3">
        <f t="shared" si="2"/>
        <v>-3.8561478305522034</v>
      </c>
      <c r="K77" s="2">
        <v>45618</v>
      </c>
      <c r="L77">
        <v>13.17</v>
      </c>
      <c r="M77" s="7">
        <v>60322.07</v>
      </c>
    </row>
    <row r="78" spans="1:13" x14ac:dyDescent="0.35">
      <c r="A78" s="2">
        <v>45621</v>
      </c>
      <c r="B78">
        <v>13.215</v>
      </c>
      <c r="C78" s="7">
        <v>68164.539999999994</v>
      </c>
      <c r="D78" s="5">
        <f t="shared" si="3"/>
        <v>4.926549647590317E-4</v>
      </c>
      <c r="E78" s="5">
        <f>D78-$H$1</f>
        <v>-5.8655676781205202E-5</v>
      </c>
      <c r="F78" s="3">
        <f t="shared" si="2"/>
        <v>-3.9982372261795329</v>
      </c>
      <c r="K78" s="2">
        <v>45621</v>
      </c>
      <c r="L78">
        <v>13.125</v>
      </c>
      <c r="M78" s="7">
        <v>60562.77</v>
      </c>
    </row>
    <row r="79" spans="1:13" x14ac:dyDescent="0.35">
      <c r="A79" s="2">
        <v>45622</v>
      </c>
      <c r="B79">
        <v>13.185</v>
      </c>
      <c r="C79" s="7">
        <v>68246.44</v>
      </c>
      <c r="D79" s="5">
        <f t="shared" si="3"/>
        <v>4.9160278978988003E-4</v>
      </c>
      <c r="E79" s="5">
        <f>D79-$H$1</f>
        <v>-5.9707851750356866E-5</v>
      </c>
      <c r="F79" s="3">
        <f t="shared" si="2"/>
        <v>-4.0748483220096245</v>
      </c>
      <c r="K79" s="2">
        <v>45622</v>
      </c>
      <c r="L79">
        <v>13.074999999999999</v>
      </c>
      <c r="M79" s="7">
        <v>60659.98</v>
      </c>
    </row>
    <row r="80" spans="1:13" x14ac:dyDescent="0.35">
      <c r="A80" s="2">
        <v>45623</v>
      </c>
      <c r="B80">
        <v>13.52</v>
      </c>
      <c r="C80" s="7">
        <v>67577.100000000006</v>
      </c>
      <c r="D80" s="5">
        <f t="shared" si="3"/>
        <v>5.0333634102228686E-4</v>
      </c>
      <c r="E80" s="5">
        <f>D80-$H$1</f>
        <v>-4.7974300517950041E-5</v>
      </c>
      <c r="F80" s="3">
        <f t="shared" si="2"/>
        <v>-3.2419641035315618</v>
      </c>
      <c r="K80" s="2">
        <v>45623</v>
      </c>
      <c r="L80">
        <v>13.445</v>
      </c>
      <c r="M80" s="7">
        <v>59812.11</v>
      </c>
    </row>
    <row r="81" spans="1:13" x14ac:dyDescent="0.35">
      <c r="A81" s="2">
        <v>45624</v>
      </c>
      <c r="B81">
        <v>13.86</v>
      </c>
      <c r="C81" s="7">
        <v>67102.98</v>
      </c>
      <c r="D81" s="5">
        <f t="shared" si="3"/>
        <v>5.1520980807961969E-4</v>
      </c>
      <c r="E81" s="5">
        <f>D81-$H$1</f>
        <v>-3.610083346061721E-5</v>
      </c>
      <c r="F81" s="3">
        <f t="shared" si="2"/>
        <v>-2.4224735056911273</v>
      </c>
      <c r="K81" s="2">
        <v>45624</v>
      </c>
      <c r="L81">
        <v>13.855</v>
      </c>
      <c r="M81" s="7">
        <v>59235.9</v>
      </c>
    </row>
    <row r="82" spans="1:13" x14ac:dyDescent="0.35">
      <c r="A82" s="2">
        <v>45625</v>
      </c>
      <c r="B82">
        <v>13.91</v>
      </c>
      <c r="C82" s="7">
        <v>66982.009999999995</v>
      </c>
      <c r="D82" s="5">
        <f t="shared" si="3"/>
        <v>5.1695292700393303E-4</v>
      </c>
      <c r="E82" s="5">
        <f>D82-$H$1</f>
        <v>-3.4357714536303874E-5</v>
      </c>
      <c r="F82" s="3">
        <f t="shared" si="2"/>
        <v>-2.3013487786478515</v>
      </c>
      <c r="K82" s="2">
        <v>45625</v>
      </c>
      <c r="L82">
        <v>13.8</v>
      </c>
      <c r="M82" s="7">
        <v>59196.56</v>
      </c>
    </row>
    <row r="83" spans="1:13" x14ac:dyDescent="0.35">
      <c r="A83" s="2">
        <v>45628</v>
      </c>
      <c r="B83">
        <v>13.99</v>
      </c>
      <c r="C83" s="7">
        <v>66924.77</v>
      </c>
      <c r="D83" s="5">
        <f t="shared" si="3"/>
        <v>5.1974033275192788E-4</v>
      </c>
      <c r="E83" s="5">
        <f>D83-$H$1</f>
        <v>-3.1570308788309021E-5</v>
      </c>
      <c r="F83" s="3">
        <f t="shared" si="2"/>
        <v>-2.1128356544865601</v>
      </c>
      <c r="K83" s="2">
        <v>45628</v>
      </c>
      <c r="L83">
        <v>13.865</v>
      </c>
      <c r="M83" s="7">
        <v>59087.97</v>
      </c>
    </row>
    <row r="84" spans="1:13" x14ac:dyDescent="0.35">
      <c r="A84" s="2">
        <v>45629</v>
      </c>
      <c r="B84">
        <v>14.185</v>
      </c>
      <c r="C84" s="7">
        <v>66472.42</v>
      </c>
      <c r="D84" s="5">
        <f t="shared" si="3"/>
        <v>5.2652647950690579E-4</v>
      </c>
      <c r="E84" s="5">
        <f>D84-$H$1</f>
        <v>-2.4784162033331114E-5</v>
      </c>
      <c r="F84" s="3">
        <f t="shared" si="2"/>
        <v>-1.6474632280276398</v>
      </c>
      <c r="K84" s="2">
        <v>45629</v>
      </c>
      <c r="L84">
        <v>14.09</v>
      </c>
      <c r="M84" s="7">
        <v>58531.57</v>
      </c>
    </row>
    <row r="85" spans="1:13" x14ac:dyDescent="0.35">
      <c r="A85" s="2">
        <v>45630</v>
      </c>
      <c r="B85">
        <v>14.21</v>
      </c>
      <c r="C85" s="7">
        <v>66555.7</v>
      </c>
      <c r="D85" s="5">
        <f t="shared" si="3"/>
        <v>5.273956633986554E-4</v>
      </c>
      <c r="E85" s="5">
        <f>D85-$H$1</f>
        <v>-2.39149781415815E-5</v>
      </c>
      <c r="F85" s="3">
        <f t="shared" si="2"/>
        <v>-1.5916781106976559</v>
      </c>
      <c r="K85" s="2">
        <v>45630</v>
      </c>
      <c r="L85">
        <v>14.07</v>
      </c>
      <c r="M85" s="7">
        <v>58653.68</v>
      </c>
    </row>
    <row r="86" spans="1:13" x14ac:dyDescent="0.35">
      <c r="A86" s="2">
        <v>45631</v>
      </c>
      <c r="B86">
        <v>14.285</v>
      </c>
      <c r="C86" s="7">
        <v>66482.320000000007</v>
      </c>
      <c r="D86" s="5">
        <f t="shared" si="3"/>
        <v>5.3000207849907E-4</v>
      </c>
      <c r="E86" s="5">
        <f>D86-$H$1</f>
        <v>-2.1308563041166906E-5</v>
      </c>
      <c r="F86" s="3">
        <f t="shared" si="2"/>
        <v>-1.4166427068430316</v>
      </c>
      <c r="K86" s="2">
        <v>45631</v>
      </c>
      <c r="L86">
        <v>14.13</v>
      </c>
      <c r="M86" s="7">
        <v>58644.94</v>
      </c>
    </row>
    <row r="87" spans="1:13" x14ac:dyDescent="0.35">
      <c r="A87" s="2">
        <v>45632</v>
      </c>
      <c r="B87">
        <v>14.545</v>
      </c>
      <c r="C87" s="7">
        <v>65880.53</v>
      </c>
      <c r="D87" s="5">
        <f t="shared" si="3"/>
        <v>5.3902447904019546E-4</v>
      </c>
      <c r="E87" s="5">
        <f>D87-$H$1</f>
        <v>-1.2286162500041442E-5</v>
      </c>
      <c r="F87" s="3">
        <f t="shared" si="2"/>
        <v>-0.80941889716885518</v>
      </c>
      <c r="K87" s="2">
        <v>45632</v>
      </c>
      <c r="L87">
        <v>14.345000000000001</v>
      </c>
      <c r="M87" s="7">
        <v>57971.39</v>
      </c>
    </row>
    <row r="88" spans="1:13" x14ac:dyDescent="0.35">
      <c r="A88" s="2">
        <v>45635</v>
      </c>
      <c r="B88">
        <v>14.895</v>
      </c>
      <c r="C88" s="7">
        <v>65509.72</v>
      </c>
      <c r="D88" s="5">
        <f t="shared" si="3"/>
        <v>5.5113785965343887E-4</v>
      </c>
      <c r="E88" s="5">
        <f>D88-$H$1</f>
        <v>-1.7278188679803463E-7</v>
      </c>
      <c r="F88" s="3">
        <f t="shared" si="2"/>
        <v>-1.1318893025210946E-2</v>
      </c>
      <c r="K88" s="2">
        <v>45635</v>
      </c>
      <c r="L88">
        <v>14.685</v>
      </c>
      <c r="M88" s="7">
        <v>57526.86</v>
      </c>
    </row>
    <row r="89" spans="1:13" x14ac:dyDescent="0.35">
      <c r="A89" s="2">
        <v>45636</v>
      </c>
      <c r="B89">
        <v>14.445</v>
      </c>
      <c r="C89" s="7">
        <v>66171.399999999994</v>
      </c>
      <c r="D89" s="5">
        <f t="shared" si="3"/>
        <v>5.3555674129945885E-4</v>
      </c>
      <c r="E89" s="5">
        <f>D89-$H$1</f>
        <v>-1.5753900240778052E-5</v>
      </c>
      <c r="F89" s="3">
        <f t="shared" si="2"/>
        <v>-1.0424576343926206</v>
      </c>
      <c r="K89" s="2">
        <v>45636</v>
      </c>
      <c r="L89">
        <v>14.23</v>
      </c>
      <c r="M89" s="7">
        <v>58340.9</v>
      </c>
    </row>
    <row r="90" spans="1:13" x14ac:dyDescent="0.35">
      <c r="A90" s="2">
        <v>45637</v>
      </c>
      <c r="B90">
        <v>14.13</v>
      </c>
      <c r="C90" s="7">
        <v>66550.87</v>
      </c>
      <c r="D90" s="5">
        <f t="shared" si="3"/>
        <v>5.2461360755162723E-4</v>
      </c>
      <c r="E90" s="5">
        <f>D90-$H$1</f>
        <v>-2.6697033988609675E-5</v>
      </c>
      <c r="F90" s="3">
        <f t="shared" si="2"/>
        <v>-1.7767108383615438</v>
      </c>
      <c r="K90" s="2">
        <v>45637</v>
      </c>
      <c r="L90">
        <v>13.904999999999999</v>
      </c>
      <c r="M90" s="7">
        <v>58772.19</v>
      </c>
    </row>
    <row r="91" spans="1:13" x14ac:dyDescent="0.35">
      <c r="A91" s="2">
        <v>45638</v>
      </c>
      <c r="B91">
        <v>14.43</v>
      </c>
      <c r="C91" s="7">
        <v>66378.070000000007</v>
      </c>
      <c r="D91" s="5">
        <f t="shared" si="3"/>
        <v>5.3503632034912485E-4</v>
      </c>
      <c r="E91" s="5">
        <f>D91-$H$1</f>
        <v>-1.6274321191112051E-5</v>
      </c>
      <c r="F91" s="3">
        <f t="shared" si="2"/>
        <v>-1.0802580312261192</v>
      </c>
      <c r="K91" s="2">
        <v>45638</v>
      </c>
      <c r="L91">
        <v>14.164999999999999</v>
      </c>
      <c r="M91" s="7">
        <v>58637.59</v>
      </c>
    </row>
    <row r="92" spans="1:13" x14ac:dyDescent="0.35">
      <c r="A92" s="2">
        <v>45642</v>
      </c>
      <c r="B92">
        <v>15.28</v>
      </c>
      <c r="C92" s="7">
        <v>64992.47</v>
      </c>
      <c r="D92" s="5">
        <f t="shared" si="3"/>
        <v>5.6442020018332428E-4</v>
      </c>
      <c r="E92" s="5">
        <f>D92-$H$1</f>
        <v>1.3109558643087382E-5</v>
      </c>
      <c r="F92" s="3">
        <f t="shared" si="2"/>
        <v>0.85202259682409742</v>
      </c>
      <c r="K92" s="2">
        <v>45642</v>
      </c>
      <c r="L92">
        <v>15.265000000000001</v>
      </c>
      <c r="M92" s="7">
        <v>56853.83</v>
      </c>
    </row>
    <row r="93" spans="1:13" x14ac:dyDescent="0.35">
      <c r="A93" s="2">
        <v>45643</v>
      </c>
      <c r="B93">
        <v>15.25</v>
      </c>
      <c r="C93" s="7">
        <v>65020.66</v>
      </c>
      <c r="D93" s="5">
        <f t="shared" si="3"/>
        <v>5.6338680105016969E-4</v>
      </c>
      <c r="E93" s="5">
        <f>D93-$H$1</f>
        <v>1.2076159509932793E-5</v>
      </c>
      <c r="F93" s="3">
        <f t="shared" si="2"/>
        <v>0.78519986160110677</v>
      </c>
      <c r="K93" s="2">
        <v>45643</v>
      </c>
      <c r="L93">
        <v>15.035</v>
      </c>
      <c r="M93" s="7">
        <v>56883.61</v>
      </c>
    </row>
    <row r="94" spans="1:13" x14ac:dyDescent="0.35">
      <c r="A94" s="2">
        <v>45644</v>
      </c>
      <c r="B94">
        <v>15.64</v>
      </c>
      <c r="C94" s="7">
        <v>64152.55</v>
      </c>
      <c r="D94" s="5">
        <f t="shared" si="3"/>
        <v>5.7680013907068783E-4</v>
      </c>
      <c r="E94" s="5">
        <f>D94-$H$1</f>
        <v>2.5489497530450933E-5</v>
      </c>
      <c r="F94" s="3">
        <f t="shared" si="2"/>
        <v>1.63521626479713</v>
      </c>
      <c r="K94" s="2">
        <v>45644</v>
      </c>
      <c r="L94">
        <v>15.54</v>
      </c>
      <c r="M94" s="7">
        <v>55889.760000000002</v>
      </c>
    </row>
    <row r="95" spans="1:13" x14ac:dyDescent="0.35">
      <c r="A95" s="2">
        <v>45645</v>
      </c>
      <c r="B95">
        <v>15.09</v>
      </c>
      <c r="C95" s="7">
        <v>65327.98</v>
      </c>
      <c r="D95" s="5">
        <f t="shared" si="3"/>
        <v>5.5787080997693472E-4</v>
      </c>
      <c r="E95" s="5">
        <f>D95-$H$1</f>
        <v>6.5601684366978219E-6</v>
      </c>
      <c r="F95" s="3">
        <f t="shared" si="2"/>
        <v>0.42856255242922658</v>
      </c>
      <c r="K95" s="2">
        <v>45645</v>
      </c>
      <c r="L95">
        <v>15.05</v>
      </c>
      <c r="M95" s="7">
        <v>57256.93</v>
      </c>
    </row>
    <row r="96" spans="1:13" x14ac:dyDescent="0.35">
      <c r="A96" s="2">
        <v>45646</v>
      </c>
      <c r="B96">
        <v>14.875</v>
      </c>
      <c r="C96" s="7">
        <v>66022</v>
      </c>
      <c r="D96" s="5">
        <f t="shared" si="3"/>
        <v>5.5044665720549446E-4</v>
      </c>
      <c r="E96" s="5">
        <f>D96-$H$1</f>
        <v>-8.639843347424403E-7</v>
      </c>
      <c r="F96" s="3">
        <f t="shared" si="2"/>
        <v>-5.7041973748365393E-2</v>
      </c>
      <c r="K96" s="2">
        <v>45646</v>
      </c>
      <c r="L96">
        <v>14.664999999999999</v>
      </c>
      <c r="M96" s="7">
        <v>58088.09</v>
      </c>
    </row>
    <row r="97" spans="1:13" x14ac:dyDescent="0.35">
      <c r="A97" s="2">
        <v>45649</v>
      </c>
      <c r="B97">
        <v>15.205</v>
      </c>
      <c r="C97" s="7">
        <v>65285.19</v>
      </c>
      <c r="D97" s="5">
        <f t="shared" si="3"/>
        <v>5.6183619987271172E-4</v>
      </c>
      <c r="E97" s="5">
        <f>D97-$H$1</f>
        <v>1.0525558332474816E-5</v>
      </c>
      <c r="F97" s="3">
        <f t="shared" si="2"/>
        <v>0.68716307559170153</v>
      </c>
      <c r="K97" s="2">
        <v>45649</v>
      </c>
      <c r="L97">
        <v>15.02</v>
      </c>
      <c r="M97" s="7">
        <v>57252.69</v>
      </c>
    </row>
    <row r="98" spans="1:13" x14ac:dyDescent="0.35">
      <c r="A98" s="2">
        <v>45652</v>
      </c>
      <c r="B98">
        <v>15.465</v>
      </c>
      <c r="C98" s="7">
        <v>64960.43</v>
      </c>
      <c r="D98" s="5">
        <f t="shared" si="3"/>
        <v>5.707869152549172E-4</v>
      </c>
      <c r="E98" s="5">
        <f>D98-$H$1</f>
        <v>1.9476273714680303E-5</v>
      </c>
      <c r="F98" s="3">
        <f t="shared" si="2"/>
        <v>1.2651871153033298</v>
      </c>
      <c r="K98" s="2">
        <v>45652</v>
      </c>
      <c r="L98">
        <v>15.38</v>
      </c>
      <c r="M98" s="7">
        <v>56767.46</v>
      </c>
    </row>
    <row r="99" spans="1:13" x14ac:dyDescent="0.35">
      <c r="A99" s="2">
        <v>45653</v>
      </c>
      <c r="B99">
        <v>15.74</v>
      </c>
      <c r="C99" s="7">
        <v>64649.65</v>
      </c>
      <c r="D99" s="5">
        <f t="shared" si="3"/>
        <v>5.8023219881198074E-4</v>
      </c>
      <c r="E99" s="5">
        <f>D99-$H$1</f>
        <v>2.8921557271743836E-5</v>
      </c>
      <c r="F99" s="3">
        <f t="shared" si="2"/>
        <v>1.8697685550731939</v>
      </c>
      <c r="K99" s="2">
        <v>45653</v>
      </c>
      <c r="L99">
        <v>15.625</v>
      </c>
      <c r="M99" s="7">
        <v>56300.17</v>
      </c>
    </row>
    <row r="100" spans="1:13" x14ac:dyDescent="0.35">
      <c r="A100" s="2">
        <v>45656</v>
      </c>
      <c r="B100">
        <v>15.824999999999999</v>
      </c>
      <c r="C100" s="7">
        <v>64328.59</v>
      </c>
      <c r="D100" s="5">
        <f t="shared" si="3"/>
        <v>5.8314712816054382E-4</v>
      </c>
      <c r="E100" s="5">
        <f>D100-$H$1</f>
        <v>3.1836486620306914E-5</v>
      </c>
      <c r="F100" s="3">
        <f t="shared" si="2"/>
        <v>2.0479962948382089</v>
      </c>
      <c r="K100" s="2">
        <v>45656</v>
      </c>
      <c r="L100">
        <v>15.695</v>
      </c>
      <c r="M100" s="7">
        <v>55900.22</v>
      </c>
    </row>
    <row r="101" spans="1:13" x14ac:dyDescent="0.35">
      <c r="A101" s="2">
        <v>45659</v>
      </c>
      <c r="B101">
        <v>15.53</v>
      </c>
      <c r="C101" s="7">
        <v>64753.440000000002</v>
      </c>
      <c r="D101" s="5">
        <f t="shared" si="3"/>
        <v>5.730214573853587E-4</v>
      </c>
      <c r="E101" s="5">
        <f>D101-$H$1</f>
        <v>2.17108158451218E-5</v>
      </c>
      <c r="F101" s="3">
        <f t="shared" si="2"/>
        <v>1.4058500111781438</v>
      </c>
      <c r="K101" s="2">
        <v>45659</v>
      </c>
      <c r="L101">
        <v>15.375</v>
      </c>
      <c r="M101" s="7">
        <v>56356.33</v>
      </c>
    </row>
    <row r="102" spans="1:13" x14ac:dyDescent="0.35">
      <c r="A102" s="2">
        <v>45660</v>
      </c>
      <c r="B102">
        <v>15.435</v>
      </c>
      <c r="C102" s="7">
        <v>65159.49</v>
      </c>
      <c r="D102" s="5">
        <f t="shared" si="3"/>
        <v>5.6975516550061833E-4</v>
      </c>
      <c r="E102" s="5">
        <f>D102-$H$1</f>
        <v>1.8444523960381431E-5</v>
      </c>
      <c r="F102" s="3">
        <f t="shared" si="2"/>
        <v>1.2018357745512342</v>
      </c>
      <c r="K102" s="2">
        <v>45660</v>
      </c>
      <c r="L102">
        <v>15.31</v>
      </c>
      <c r="M102" s="7">
        <v>56818.25</v>
      </c>
    </row>
    <row r="103" spans="1:13" x14ac:dyDescent="0.35">
      <c r="A103" s="2">
        <v>45663</v>
      </c>
      <c r="B103">
        <v>15.205</v>
      </c>
      <c r="C103" s="7">
        <v>65510.26</v>
      </c>
      <c r="D103" s="5">
        <f t="shared" si="3"/>
        <v>5.6183619987271172E-4</v>
      </c>
      <c r="E103" s="5">
        <f>D103-$H$1</f>
        <v>1.0525558332474816E-5</v>
      </c>
      <c r="F103" s="3">
        <f t="shared" si="2"/>
        <v>0.68953206300559167</v>
      </c>
      <c r="K103" s="2">
        <v>45663</v>
      </c>
      <c r="L103">
        <v>15.05</v>
      </c>
      <c r="M103" s="7">
        <v>57270.12</v>
      </c>
    </row>
    <row r="104" spans="1:13" x14ac:dyDescent="0.35">
      <c r="A104" s="2">
        <v>45664</v>
      </c>
      <c r="B104">
        <v>15.28</v>
      </c>
      <c r="C104" s="7">
        <v>65440.86</v>
      </c>
      <c r="D104" s="5">
        <f t="shared" si="3"/>
        <v>5.6442020018332428E-4</v>
      </c>
      <c r="E104" s="5">
        <f>D104-$H$1</f>
        <v>1.3109558643087382E-5</v>
      </c>
      <c r="F104" s="3">
        <f t="shared" si="2"/>
        <v>0.85790079182407131</v>
      </c>
      <c r="K104" s="2">
        <v>45664</v>
      </c>
      <c r="L104">
        <v>15.18</v>
      </c>
      <c r="M104" s="7">
        <v>57148.76</v>
      </c>
    </row>
    <row r="105" spans="1:13" x14ac:dyDescent="0.35">
      <c r="A105" s="2">
        <v>45665</v>
      </c>
      <c r="B105">
        <v>15.305</v>
      </c>
      <c r="C105" s="7">
        <v>65418.97</v>
      </c>
      <c r="D105" s="5">
        <f t="shared" si="3"/>
        <v>5.6528116153264918E-4</v>
      </c>
      <c r="E105" s="5">
        <f>D105-$H$1</f>
        <v>1.3970519992412278E-5</v>
      </c>
      <c r="F105" s="3">
        <f t="shared" si="2"/>
        <v>0.91393702826801904</v>
      </c>
      <c r="K105" s="2">
        <v>45665</v>
      </c>
      <c r="L105">
        <v>15.225</v>
      </c>
      <c r="M105" s="7">
        <v>57028.06</v>
      </c>
    </row>
    <row r="106" spans="1:13" x14ac:dyDescent="0.35">
      <c r="A106" s="2">
        <v>45666</v>
      </c>
      <c r="B106">
        <v>15.24</v>
      </c>
      <c r="C106" s="7">
        <v>65705.64</v>
      </c>
      <c r="D106" s="5">
        <f t="shared" si="3"/>
        <v>5.6304227513148675E-4</v>
      </c>
      <c r="E106" s="5">
        <f>D106-$H$1</f>
        <v>1.1731633591249846E-5</v>
      </c>
      <c r="F106" s="3">
        <f t="shared" si="2"/>
        <v>0.77083449335856957</v>
      </c>
      <c r="K106" s="2">
        <v>45666</v>
      </c>
      <c r="L106">
        <v>15.12</v>
      </c>
      <c r="M106" s="7">
        <v>57342.55</v>
      </c>
    </row>
    <row r="107" spans="1:13" x14ac:dyDescent="0.35">
      <c r="A107" s="2">
        <v>45667</v>
      </c>
      <c r="B107">
        <v>15.425000000000001</v>
      </c>
      <c r="C107" s="7">
        <v>65422.71</v>
      </c>
      <c r="D107" s="5">
        <f t="shared" si="3"/>
        <v>5.6941118956532755E-4</v>
      </c>
      <c r="E107" s="5">
        <f>D107-$H$1</f>
        <v>1.8100548025090646E-5</v>
      </c>
      <c r="F107" s="3">
        <f t="shared" si="2"/>
        <v>1.184186904286578</v>
      </c>
      <c r="K107" s="2">
        <v>45667</v>
      </c>
      <c r="L107">
        <v>15.4</v>
      </c>
      <c r="M107" s="7">
        <v>56928.6</v>
      </c>
    </row>
    <row r="108" spans="1:13" x14ac:dyDescent="0.35">
      <c r="A108" s="2">
        <v>45670</v>
      </c>
      <c r="B108">
        <v>15.25</v>
      </c>
      <c r="C108" s="7">
        <v>65634.63</v>
      </c>
      <c r="D108" s="5">
        <f t="shared" si="3"/>
        <v>5.6338680105016969E-4</v>
      </c>
      <c r="E108" s="5">
        <f>D108-$H$1</f>
        <v>1.2076159509932793E-5</v>
      </c>
      <c r="F108" s="3">
        <f t="shared" si="2"/>
        <v>0.79261426125542023</v>
      </c>
      <c r="K108" s="2">
        <v>45670</v>
      </c>
      <c r="L108">
        <v>15.324999999999999</v>
      </c>
      <c r="M108" s="7">
        <v>57083.62</v>
      </c>
    </row>
    <row r="109" spans="1:13" x14ac:dyDescent="0.35">
      <c r="A109" s="2">
        <v>45671</v>
      </c>
      <c r="B109">
        <v>15.1</v>
      </c>
      <c r="C109" s="7">
        <v>65865.490000000005</v>
      </c>
      <c r="D109" s="5">
        <f t="shared" si="3"/>
        <v>5.5821578312342801E-4</v>
      </c>
      <c r="E109" s="5">
        <f>D109-$H$1</f>
        <v>6.90514158319111E-6</v>
      </c>
      <c r="F109" s="3">
        <f t="shared" si="2"/>
        <v>0.45481053389625825</v>
      </c>
      <c r="K109" s="2">
        <v>45671</v>
      </c>
      <c r="L109">
        <v>15.055</v>
      </c>
      <c r="M109" s="7">
        <v>57372.05</v>
      </c>
    </row>
    <row r="110" spans="1:13" x14ac:dyDescent="0.35">
      <c r="A110" s="2">
        <v>45672</v>
      </c>
      <c r="B110">
        <v>14.895</v>
      </c>
      <c r="C110" s="7">
        <v>66349.81</v>
      </c>
      <c r="D110" s="5">
        <f t="shared" si="3"/>
        <v>5.5113785965343887E-4</v>
      </c>
      <c r="E110" s="5">
        <f>D110-$H$1</f>
        <v>-1.7278188679803463E-7</v>
      </c>
      <c r="F110" s="3">
        <f t="shared" si="2"/>
        <v>-1.1464045360491107E-2</v>
      </c>
      <c r="K110" s="2">
        <v>45672</v>
      </c>
      <c r="L110">
        <v>14.81</v>
      </c>
      <c r="M110" s="7">
        <v>58047.73</v>
      </c>
    </row>
    <row r="111" spans="1:13" x14ac:dyDescent="0.35">
      <c r="A111" s="2">
        <v>45673</v>
      </c>
      <c r="B111">
        <v>15.07</v>
      </c>
      <c r="C111" s="7">
        <v>66059.28</v>
      </c>
      <c r="D111" s="5">
        <f t="shared" si="3"/>
        <v>5.5718077410937816E-4</v>
      </c>
      <c r="E111" s="5">
        <f>D111-$H$1</f>
        <v>5.870132569141262E-6</v>
      </c>
      <c r="F111" s="3">
        <f t="shared" si="2"/>
        <v>0.38777673102202198</v>
      </c>
      <c r="K111" s="2">
        <v>45673</v>
      </c>
      <c r="L111">
        <v>15.005000000000001</v>
      </c>
      <c r="M111" s="7">
        <v>57656.34</v>
      </c>
    </row>
    <row r="112" spans="1:13" x14ac:dyDescent="0.35">
      <c r="A112" s="2">
        <v>45674</v>
      </c>
      <c r="B112">
        <v>15.21</v>
      </c>
      <c r="C112" s="7">
        <v>65957.960000000006</v>
      </c>
      <c r="D112" s="5">
        <f t="shared" si="3"/>
        <v>5.6200851868082324E-4</v>
      </c>
      <c r="E112" s="5">
        <f>D112-$H$1</f>
        <v>1.0697877140586343E-5</v>
      </c>
      <c r="F112" s="3">
        <f t="shared" si="2"/>
        <v>0.7056101525237084</v>
      </c>
      <c r="K112" s="2">
        <v>45674</v>
      </c>
      <c r="L112">
        <v>15.18</v>
      </c>
      <c r="M112" s="7">
        <v>57452.87</v>
      </c>
    </row>
    <row r="113" spans="1:13" x14ac:dyDescent="0.35">
      <c r="A113" s="2">
        <v>45677</v>
      </c>
      <c r="B113">
        <v>15.06</v>
      </c>
      <c r="C113" s="7">
        <v>66231.08</v>
      </c>
      <c r="D113" s="5">
        <f t="shared" si="3"/>
        <v>5.5683571137787879E-4</v>
      </c>
      <c r="E113" s="5">
        <f>D113-$H$1</f>
        <v>5.5250698376418939E-6</v>
      </c>
      <c r="F113" s="3">
        <f t="shared" si="2"/>
        <v>0.36593134242244729</v>
      </c>
      <c r="K113" s="2">
        <v>45677</v>
      </c>
      <c r="L113">
        <v>15.01</v>
      </c>
      <c r="M113" s="7">
        <v>57828.83</v>
      </c>
    </row>
    <row r="114" spans="1:13" x14ac:dyDescent="0.35">
      <c r="A114" s="2">
        <v>45678</v>
      </c>
      <c r="B114">
        <v>15.085000000000001</v>
      </c>
      <c r="C114" s="7">
        <v>66220.7</v>
      </c>
      <c r="D114" s="5">
        <f t="shared" si="3"/>
        <v>5.5769831220797705E-4</v>
      </c>
      <c r="E114" s="5">
        <f>D114-$H$1</f>
        <v>6.3876706677401529E-6</v>
      </c>
      <c r="F114" s="3">
        <f t="shared" si="2"/>
        <v>0.42299602298722033</v>
      </c>
      <c r="K114" s="2">
        <v>45678</v>
      </c>
      <c r="L114">
        <v>15.02</v>
      </c>
      <c r="M114" s="7">
        <v>57780.160000000003</v>
      </c>
    </row>
    <row r="115" spans="1:13" x14ac:dyDescent="0.35">
      <c r="A115" s="2">
        <v>45679</v>
      </c>
      <c r="B115">
        <v>15.07</v>
      </c>
      <c r="C115" s="7">
        <v>66338.64</v>
      </c>
      <c r="D115" s="5">
        <f t="shared" si="3"/>
        <v>5.5718077410937816E-4</v>
      </c>
      <c r="E115" s="5">
        <f>D115-$H$1</f>
        <v>5.870132569141262E-6</v>
      </c>
      <c r="F115" s="3">
        <f t="shared" si="2"/>
        <v>0.38941661125653726</v>
      </c>
      <c r="K115" s="2">
        <v>45679</v>
      </c>
      <c r="L115">
        <v>14.994999999999999</v>
      </c>
      <c r="M115" s="7">
        <v>57908.74</v>
      </c>
    </row>
    <row r="116" spans="1:13" x14ac:dyDescent="0.35">
      <c r="A116" s="2">
        <v>45681</v>
      </c>
      <c r="B116">
        <v>15.225</v>
      </c>
      <c r="C116" s="7">
        <v>66049.61</v>
      </c>
      <c r="D116" s="5">
        <f t="shared" si="3"/>
        <v>5.6252543041623859E-4</v>
      </c>
      <c r="E116" s="5">
        <f>D116-$H$1</f>
        <v>1.1214788876001691E-5</v>
      </c>
      <c r="F116" s="3">
        <f t="shared" si="2"/>
        <v>0.7407324314922501</v>
      </c>
      <c r="K116" s="2">
        <v>45681</v>
      </c>
      <c r="L116">
        <v>15.135</v>
      </c>
      <c r="M116" s="7">
        <v>57592.59</v>
      </c>
    </row>
    <row r="117" spans="1:13" x14ac:dyDescent="0.35">
      <c r="A117" s="2">
        <v>45684</v>
      </c>
      <c r="B117">
        <v>15.16</v>
      </c>
      <c r="C117" s="7">
        <v>66204.05</v>
      </c>
      <c r="D117" s="5">
        <f t="shared" si="3"/>
        <v>5.6028499530391684E-4</v>
      </c>
      <c r="E117" s="5">
        <f>D117-$H$1</f>
        <v>8.9743537636799431E-6</v>
      </c>
      <c r="F117" s="3">
        <f t="shared" si="2"/>
        <v>0.59413856528835518</v>
      </c>
      <c r="K117" s="2">
        <v>45684</v>
      </c>
      <c r="L117">
        <v>15.07</v>
      </c>
      <c r="M117" s="7">
        <v>57810.67</v>
      </c>
    </row>
    <row r="118" spans="1:13" x14ac:dyDescent="0.35">
      <c r="A118" s="2">
        <v>45685</v>
      </c>
      <c r="B118">
        <v>15.125</v>
      </c>
      <c r="C118" s="7">
        <v>66301.55</v>
      </c>
      <c r="D118" s="5">
        <f t="shared" si="3"/>
        <v>5.5907808540101023E-4</v>
      </c>
      <c r="E118" s="5">
        <f>D118-$H$1</f>
        <v>7.7674438607733265E-6</v>
      </c>
      <c r="F118" s="3">
        <f t="shared" si="2"/>
        <v>0.51499356750725578</v>
      </c>
      <c r="K118" s="2">
        <v>45685</v>
      </c>
      <c r="L118">
        <v>15.06</v>
      </c>
      <c r="M118" s="7">
        <v>57895.82</v>
      </c>
    </row>
    <row r="119" spans="1:13" x14ac:dyDescent="0.35">
      <c r="A119" s="2">
        <v>45686</v>
      </c>
      <c r="B119">
        <v>15.2</v>
      </c>
      <c r="C119" s="7">
        <v>66188.100000000006</v>
      </c>
      <c r="D119" s="5">
        <f t="shared" si="3"/>
        <v>5.6166387361522574E-4</v>
      </c>
      <c r="E119" s="5">
        <f>D119-$H$1</f>
        <v>1.0353232074988838E-5</v>
      </c>
      <c r="F119" s="3">
        <f t="shared" si="2"/>
        <v>0.68526075990256885</v>
      </c>
      <c r="K119" s="2">
        <v>45686</v>
      </c>
      <c r="L119">
        <v>15.105</v>
      </c>
      <c r="M119" s="7">
        <v>57753.94</v>
      </c>
    </row>
    <row r="120" spans="1:13" x14ac:dyDescent="0.35">
      <c r="A120" s="2">
        <v>45687</v>
      </c>
      <c r="B120">
        <v>14.885</v>
      </c>
      <c r="C120" s="7">
        <v>66956.88</v>
      </c>
      <c r="D120" s="5">
        <f t="shared" si="3"/>
        <v>5.5079227341092718E-4</v>
      </c>
      <c r="E120" s="5">
        <f>D120-$H$1</f>
        <v>-5.1836812930972087E-7</v>
      </c>
      <c r="F120" s="3">
        <f t="shared" si="2"/>
        <v>-3.4708312630015468E-2</v>
      </c>
      <c r="K120" s="2">
        <v>45687</v>
      </c>
      <c r="L120">
        <v>14.84</v>
      </c>
      <c r="M120" s="7">
        <v>58522.03</v>
      </c>
    </row>
    <row r="121" spans="1:13" x14ac:dyDescent="0.35">
      <c r="A121" s="2">
        <v>45688</v>
      </c>
      <c r="B121">
        <v>14.845000000000001</v>
      </c>
      <c r="C121" s="7">
        <v>67029.14</v>
      </c>
      <c r="D121" s="5">
        <f t="shared" si="3"/>
        <v>5.4940962875904553E-4</v>
      </c>
      <c r="E121" s="5">
        <f>D121-$H$1</f>
        <v>-1.9010127811913691E-6</v>
      </c>
      <c r="F121" s="3">
        <f t="shared" si="2"/>
        <v>-0.12742325185226563</v>
      </c>
      <c r="K121" s="2">
        <v>45688</v>
      </c>
      <c r="L121">
        <v>14.77</v>
      </c>
      <c r="M121" s="7">
        <v>58675.09</v>
      </c>
    </row>
    <row r="122" spans="1:13" x14ac:dyDescent="0.35">
      <c r="A122" s="2">
        <v>45691</v>
      </c>
      <c r="B122">
        <v>14.565</v>
      </c>
      <c r="C122" s="7">
        <v>67340.77</v>
      </c>
      <c r="D122" s="5">
        <f t="shared" si="3"/>
        <v>5.3971766473082106E-4</v>
      </c>
      <c r="E122" s="5">
        <f>D122-$H$1</f>
        <v>-1.1592976809415845E-5</v>
      </c>
      <c r="F122" s="3">
        <f t="shared" si="2"/>
        <v>-0.78067998493820623</v>
      </c>
      <c r="K122" s="2">
        <v>45691</v>
      </c>
      <c r="L122">
        <v>14.445</v>
      </c>
      <c r="M122" s="7">
        <v>59073.95</v>
      </c>
    </row>
    <row r="123" spans="1:13" x14ac:dyDescent="0.35">
      <c r="A123" s="2">
        <v>45692</v>
      </c>
      <c r="B123">
        <v>14.595000000000001</v>
      </c>
      <c r="C123" s="7">
        <v>67460.649999999994</v>
      </c>
      <c r="D123" s="5">
        <f t="shared" si="3"/>
        <v>5.4075721730284521E-4</v>
      </c>
      <c r="E123" s="5">
        <f>D123-$H$1</f>
        <v>-1.0553424237391695E-5</v>
      </c>
      <c r="F123" s="3">
        <f t="shared" si="2"/>
        <v>-0.71194085878019797</v>
      </c>
      <c r="K123" s="2">
        <v>45692</v>
      </c>
      <c r="L123">
        <v>14.45</v>
      </c>
      <c r="M123" s="7">
        <v>59252.05</v>
      </c>
    </row>
    <row r="124" spans="1:13" x14ac:dyDescent="0.35">
      <c r="A124" s="2">
        <v>45693</v>
      </c>
      <c r="B124">
        <v>14.755000000000001</v>
      </c>
      <c r="C124" s="7">
        <v>67201.83</v>
      </c>
      <c r="D124" s="5">
        <f t="shared" si="3"/>
        <v>5.4629692372998306E-4</v>
      </c>
      <c r="E124" s="5">
        <f>D124-$H$1</f>
        <v>-5.0137178102538371E-6</v>
      </c>
      <c r="F124" s="3">
        <f t="shared" si="2"/>
        <v>-0.33693101195265063</v>
      </c>
      <c r="K124" s="2">
        <v>45693</v>
      </c>
      <c r="L124">
        <v>14.65</v>
      </c>
      <c r="M124" s="7">
        <v>58910.14</v>
      </c>
    </row>
    <row r="125" spans="1:13" x14ac:dyDescent="0.35">
      <c r="A125" s="2">
        <v>45694</v>
      </c>
      <c r="B125">
        <v>14.76</v>
      </c>
      <c r="C125" s="7">
        <v>67167.58</v>
      </c>
      <c r="D125" s="5">
        <f t="shared" si="3"/>
        <v>5.4646991556750457E-4</v>
      </c>
      <c r="E125" s="5">
        <f>D125-$H$1</f>
        <v>-4.8407259727323293E-6</v>
      </c>
      <c r="F125" s="3">
        <f t="shared" si="2"/>
        <v>-0.32513984903157656</v>
      </c>
      <c r="K125" s="2">
        <v>45694</v>
      </c>
      <c r="L125">
        <v>14.664999999999999</v>
      </c>
      <c r="M125" s="7">
        <v>58840.74</v>
      </c>
    </row>
    <row r="126" spans="1:13" x14ac:dyDescent="0.35">
      <c r="A126" s="2">
        <v>45695</v>
      </c>
      <c r="B126">
        <v>14.99</v>
      </c>
      <c r="C126" s="7">
        <v>66876.55</v>
      </c>
      <c r="D126" s="5">
        <f t="shared" si="3"/>
        <v>5.5441943554779272E-4</v>
      </c>
      <c r="E126" s="5">
        <f>D126-$H$1</f>
        <v>3.1087940075558151E-6</v>
      </c>
      <c r="F126" s="3">
        <f t="shared" si="2"/>
        <v>0.20790541788600686</v>
      </c>
      <c r="K126" s="2">
        <v>45695</v>
      </c>
      <c r="L126">
        <v>14.9</v>
      </c>
      <c r="M126" s="7">
        <v>58511.09</v>
      </c>
    </row>
    <row r="127" spans="1:13" x14ac:dyDescent="0.35">
      <c r="A127" s="2">
        <v>45698</v>
      </c>
      <c r="B127">
        <v>14.965</v>
      </c>
      <c r="C127" s="7">
        <v>66870.11</v>
      </c>
      <c r="D127" s="5">
        <f t="shared" si="3"/>
        <v>5.5355612482443917E-4</v>
      </c>
      <c r="E127" s="5">
        <f>D127-$H$1</f>
        <v>2.2454832842022654E-6</v>
      </c>
      <c r="F127" s="3">
        <f t="shared" si="2"/>
        <v>0.15015571421776674</v>
      </c>
      <c r="K127" s="2">
        <v>45698</v>
      </c>
      <c r="L127">
        <v>14.875</v>
      </c>
      <c r="M127" s="7">
        <v>58448.94</v>
      </c>
    </row>
    <row r="128" spans="1:13" x14ac:dyDescent="0.35">
      <c r="A128" s="2">
        <v>45699</v>
      </c>
      <c r="B128">
        <v>14.89</v>
      </c>
      <c r="C128" s="7">
        <v>67123.31</v>
      </c>
      <c r="D128" s="5">
        <f t="shared" si="3"/>
        <v>5.5096507027729835E-4</v>
      </c>
      <c r="E128" s="5">
        <f>D128-$H$1</f>
        <v>-3.4557126293854878E-7</v>
      </c>
      <c r="F128" s="3">
        <f t="shared" si="2"/>
        <v>-2.319588700931572E-2</v>
      </c>
      <c r="K128" s="2">
        <v>45699</v>
      </c>
      <c r="L128">
        <v>14.805</v>
      </c>
      <c r="M128" s="7">
        <v>58695.65</v>
      </c>
    </row>
    <row r="129" spans="1:13" x14ac:dyDescent="0.35">
      <c r="A129" s="2">
        <v>45700</v>
      </c>
      <c r="B129">
        <v>14.93</v>
      </c>
      <c r="C129" s="7">
        <v>67046.36</v>
      </c>
      <c r="D129" s="5">
        <f t="shared" si="3"/>
        <v>5.5234717561880586E-4</v>
      </c>
      <c r="E129" s="5">
        <f>D129-$H$1</f>
        <v>1.0365340785689625E-6</v>
      </c>
      <c r="F129" s="3">
        <f t="shared" si="2"/>
        <v>6.949583698400294E-2</v>
      </c>
      <c r="K129" s="2">
        <v>45700</v>
      </c>
      <c r="L129">
        <v>14.914999999999999</v>
      </c>
      <c r="M129" s="7">
        <v>58533.120000000003</v>
      </c>
    </row>
    <row r="130" spans="1:13" x14ac:dyDescent="0.35">
      <c r="A130" s="2">
        <v>45701</v>
      </c>
      <c r="B130">
        <v>14.81</v>
      </c>
      <c r="C130" s="7">
        <v>67264.350000000006</v>
      </c>
      <c r="D130" s="5">
        <f t="shared" si="3"/>
        <v>5.4819942116224318E-4</v>
      </c>
      <c r="E130" s="5">
        <f>D130-$H$1</f>
        <v>-3.1112203779937175E-6</v>
      </c>
      <c r="F130" s="3">
        <f t="shared" si="2"/>
        <v>-0.20927421643250174</v>
      </c>
      <c r="K130" s="2">
        <v>45701</v>
      </c>
      <c r="L130">
        <v>14.78</v>
      </c>
      <c r="M130" s="7">
        <v>58752.15</v>
      </c>
    </row>
    <row r="131" spans="1:13" x14ac:dyDescent="0.35">
      <c r="A131" s="2">
        <v>45702</v>
      </c>
      <c r="B131">
        <v>14.5</v>
      </c>
      <c r="C131" s="7">
        <v>67710.399999999994</v>
      </c>
      <c r="D131" s="5">
        <f t="shared" si="3"/>
        <v>5.3746437036328309E-4</v>
      </c>
      <c r="E131" s="5">
        <f>D131-$H$1</f>
        <v>-1.3846271176953806E-5</v>
      </c>
      <c r="F131" s="3">
        <f t="shared" ref="F131:F194" si="4">E131*C131</f>
        <v>-0.93753655990001294</v>
      </c>
      <c r="K131" s="2">
        <v>45702</v>
      </c>
      <c r="L131">
        <v>14.44</v>
      </c>
      <c r="M131" s="7">
        <v>59318.96</v>
      </c>
    </row>
    <row r="132" spans="1:13" x14ac:dyDescent="0.35">
      <c r="A132" s="2">
        <v>45705</v>
      </c>
      <c r="B132">
        <v>14.355</v>
      </c>
      <c r="C132" s="7">
        <v>68162.55</v>
      </c>
      <c r="D132" s="5">
        <f t="shared" ref="D132:D195" si="5">(1+B132/100)^(1/252)-1</f>
        <v>5.3243319594931116E-4</v>
      </c>
      <c r="E132" s="5">
        <f>D132-$H$1</f>
        <v>-1.8877445590925745E-5</v>
      </c>
      <c r="F132" s="3">
        <f t="shared" si="4"/>
        <v>-1.2867348289637557</v>
      </c>
      <c r="K132" s="2">
        <v>45705</v>
      </c>
      <c r="L132">
        <v>14.3</v>
      </c>
      <c r="M132" s="7">
        <v>59855.18</v>
      </c>
    </row>
    <row r="133" spans="1:13" x14ac:dyDescent="0.35">
      <c r="A133" s="2">
        <v>45706</v>
      </c>
      <c r="B133">
        <v>14.345000000000001</v>
      </c>
      <c r="C133" s="7">
        <v>68227.78</v>
      </c>
      <c r="D133" s="5">
        <f t="shared" si="5"/>
        <v>5.3208598422105347E-4</v>
      </c>
      <c r="E133" s="5">
        <f>D133-$H$1</f>
        <v>-1.9224657319183436E-5</v>
      </c>
      <c r="F133" s="3">
        <f t="shared" si="4"/>
        <v>-1.3116556901486371</v>
      </c>
      <c r="K133" s="2">
        <v>45706</v>
      </c>
      <c r="L133">
        <v>14.31</v>
      </c>
      <c r="M133" s="7">
        <v>59886.92</v>
      </c>
    </row>
    <row r="134" spans="1:13" x14ac:dyDescent="0.35">
      <c r="A134" s="2">
        <v>45707</v>
      </c>
      <c r="B134">
        <v>14.505000000000001</v>
      </c>
      <c r="C134" s="7">
        <v>68004.479999999996</v>
      </c>
      <c r="D134" s="5">
        <f t="shared" si="5"/>
        <v>5.3763774592763269E-4</v>
      </c>
      <c r="E134" s="5">
        <f>D134-$H$1</f>
        <v>-1.3672895612604208E-5</v>
      </c>
      <c r="F134" s="3">
        <f t="shared" si="4"/>
        <v>-0.92981815622943054</v>
      </c>
      <c r="K134" s="2">
        <v>45707</v>
      </c>
      <c r="L134">
        <v>14.48</v>
      </c>
      <c r="M134" s="7">
        <v>59574.29</v>
      </c>
    </row>
    <row r="135" spans="1:13" x14ac:dyDescent="0.35">
      <c r="A135" s="2">
        <v>45708</v>
      </c>
      <c r="B135">
        <v>14.42</v>
      </c>
      <c r="C135" s="7">
        <v>68103.61</v>
      </c>
      <c r="D135" s="5">
        <f t="shared" si="5"/>
        <v>5.3468933529843277E-4</v>
      </c>
      <c r="E135" s="5">
        <f>D135-$H$1</f>
        <v>-1.6621306241804135E-5</v>
      </c>
      <c r="F135" s="3">
        <f t="shared" si="4"/>
        <v>-1.1319709579823944</v>
      </c>
      <c r="K135" s="2">
        <v>45708</v>
      </c>
      <c r="L135">
        <v>14.435</v>
      </c>
      <c r="M135" s="7">
        <v>59622.19</v>
      </c>
    </row>
    <row r="136" spans="1:13" x14ac:dyDescent="0.35">
      <c r="A136" s="2">
        <v>45709</v>
      </c>
      <c r="B136">
        <v>14.22</v>
      </c>
      <c r="C136" s="7">
        <v>68513.62</v>
      </c>
      <c r="D136" s="5">
        <f t="shared" si="5"/>
        <v>5.2774328389526559E-4</v>
      </c>
      <c r="E136" s="5">
        <f>D136-$H$1</f>
        <v>-2.356735764497131E-5</v>
      </c>
      <c r="F136" s="3">
        <f t="shared" si="4"/>
        <v>-1.614684986091659</v>
      </c>
      <c r="K136" s="2">
        <v>45709</v>
      </c>
      <c r="L136">
        <v>14.275</v>
      </c>
      <c r="M136" s="7">
        <v>59988.28</v>
      </c>
    </row>
    <row r="137" spans="1:13" x14ac:dyDescent="0.35">
      <c r="A137" s="2">
        <v>45712</v>
      </c>
      <c r="B137">
        <v>14.425000000000001</v>
      </c>
      <c r="C137" s="7">
        <v>68347.61</v>
      </c>
      <c r="D137" s="5">
        <f t="shared" si="5"/>
        <v>5.3486283159931425E-4</v>
      </c>
      <c r="E137" s="5">
        <f>D137-$H$1</f>
        <v>-1.6447809940922653E-5</v>
      </c>
      <c r="F137" s="3">
        <f t="shared" si="4"/>
        <v>-1.1241684991963046</v>
      </c>
      <c r="K137" s="2">
        <v>45712</v>
      </c>
      <c r="L137">
        <v>14.47</v>
      </c>
      <c r="M137" s="7">
        <v>59875.82</v>
      </c>
    </row>
    <row r="138" spans="1:13" x14ac:dyDescent="0.35">
      <c r="A138" s="2">
        <v>45713</v>
      </c>
      <c r="B138">
        <v>14.345000000000001</v>
      </c>
      <c r="C138" s="7">
        <v>68394.16</v>
      </c>
      <c r="D138" s="5">
        <f t="shared" si="5"/>
        <v>5.3208598422105347E-4</v>
      </c>
      <c r="E138" s="5">
        <f>D138-$H$1</f>
        <v>-1.9224657319183436E-5</v>
      </c>
      <c r="F138" s="3">
        <f t="shared" si="4"/>
        <v>-1.3148542886334031</v>
      </c>
      <c r="K138" s="2">
        <v>45713</v>
      </c>
      <c r="L138">
        <v>14.4</v>
      </c>
      <c r="M138" s="7">
        <v>59837.78</v>
      </c>
    </row>
    <row r="139" spans="1:13" x14ac:dyDescent="0.35">
      <c r="A139" s="2">
        <v>45714</v>
      </c>
      <c r="B139">
        <v>14.734999999999999</v>
      </c>
      <c r="C139" s="7">
        <v>67921.789999999994</v>
      </c>
      <c r="D139" s="5">
        <f t="shared" si="5"/>
        <v>5.4560488129684614E-4</v>
      </c>
      <c r="E139" s="5">
        <f>D139-$H$1</f>
        <v>-5.7057602433907562E-6</v>
      </c>
      <c r="F139" s="3">
        <f t="shared" si="4"/>
        <v>-0.38754544904193577</v>
      </c>
      <c r="K139" s="2">
        <v>45714</v>
      </c>
      <c r="L139">
        <v>14.805</v>
      </c>
      <c r="M139" s="7">
        <v>59292.5</v>
      </c>
    </row>
    <row r="140" spans="1:13" x14ac:dyDescent="0.35">
      <c r="A140" s="2">
        <v>45715</v>
      </c>
      <c r="B140">
        <v>14.75</v>
      </c>
      <c r="C140" s="7">
        <v>67900.06</v>
      </c>
      <c r="D140" s="5">
        <f t="shared" si="5"/>
        <v>5.4612392438491142E-4</v>
      </c>
      <c r="E140" s="5">
        <f>D140-$H$1</f>
        <v>-5.1867171553254821E-6</v>
      </c>
      <c r="F140" s="3">
        <f t="shared" si="4"/>
        <v>-0.35217840604962952</v>
      </c>
      <c r="K140" s="2">
        <v>45715</v>
      </c>
      <c r="L140">
        <v>14.81</v>
      </c>
      <c r="M140" s="7">
        <v>59255.839999999997</v>
      </c>
    </row>
    <row r="141" spans="1:13" x14ac:dyDescent="0.35">
      <c r="A141" s="2">
        <v>45716</v>
      </c>
      <c r="B141">
        <v>14.88</v>
      </c>
      <c r="C141" s="7">
        <v>67431.460000000006</v>
      </c>
      <c r="D141" s="5">
        <f t="shared" si="5"/>
        <v>5.5061946905388126E-4</v>
      </c>
      <c r="E141" s="5">
        <f>D141-$H$1</f>
        <v>-6.911724863556401E-7</v>
      </c>
      <c r="F141" s="3">
        <f t="shared" si="4"/>
        <v>-4.6606769866790895E-2</v>
      </c>
      <c r="K141" s="2">
        <v>45716</v>
      </c>
      <c r="L141">
        <v>15.015000000000001</v>
      </c>
      <c r="M141" s="7">
        <v>58668.84</v>
      </c>
    </row>
    <row r="142" spans="1:13" x14ac:dyDescent="0.35">
      <c r="A142" s="2">
        <v>45721</v>
      </c>
      <c r="B142">
        <v>14.43</v>
      </c>
      <c r="C142" s="7">
        <v>67930.539999999994</v>
      </c>
      <c r="D142" s="5">
        <f t="shared" si="5"/>
        <v>5.3503632034912485E-4</v>
      </c>
      <c r="E142" s="5">
        <f>D142-$H$1</f>
        <v>-1.6274321191112051E-5</v>
      </c>
      <c r="F142" s="3">
        <f t="shared" si="4"/>
        <v>-1.1055234266456848</v>
      </c>
      <c r="K142" s="2">
        <v>45721</v>
      </c>
      <c r="L142">
        <v>14.734999999999999</v>
      </c>
      <c r="M142" s="7">
        <v>59265.47</v>
      </c>
    </row>
    <row r="143" spans="1:13" x14ac:dyDescent="0.35">
      <c r="A143" s="2">
        <v>45722</v>
      </c>
      <c r="B143">
        <v>14.79</v>
      </c>
      <c r="C143" s="7">
        <v>67915.899999999994</v>
      </c>
      <c r="D143" s="5">
        <f t="shared" si="5"/>
        <v>5.4750770896716539E-4</v>
      </c>
      <c r="E143" s="5">
        <f>D143-$H$1</f>
        <v>-3.8029325730715158E-6</v>
      </c>
      <c r="F143" s="3">
        <f t="shared" si="4"/>
        <v>-0.25827958833946774</v>
      </c>
      <c r="K143" s="2">
        <v>45722</v>
      </c>
      <c r="L143">
        <v>14.865</v>
      </c>
      <c r="M143" s="7">
        <v>59178.29</v>
      </c>
    </row>
    <row r="144" spans="1:13" x14ac:dyDescent="0.35">
      <c r="A144" s="2">
        <v>45723</v>
      </c>
      <c r="B144">
        <v>14.47</v>
      </c>
      <c r="C144" s="7">
        <v>68348.86</v>
      </c>
      <c r="D144" s="5">
        <f t="shared" si="5"/>
        <v>5.3642395859188063E-4</v>
      </c>
      <c r="E144" s="5">
        <f>D144-$H$1</f>
        <v>-1.4886682948356267E-5</v>
      </c>
      <c r="F144" s="3">
        <f t="shared" si="4"/>
        <v>-1.0174878087015897</v>
      </c>
      <c r="K144" s="2">
        <v>45723</v>
      </c>
      <c r="L144">
        <v>14.52</v>
      </c>
      <c r="M144" s="7">
        <v>59698.46</v>
      </c>
    </row>
    <row r="145" spans="1:13" x14ac:dyDescent="0.35">
      <c r="A145" s="2">
        <v>45726</v>
      </c>
      <c r="B145">
        <v>14.565</v>
      </c>
      <c r="C145" s="7">
        <v>68169.929999999993</v>
      </c>
      <c r="D145" s="5">
        <f t="shared" si="5"/>
        <v>5.3971766473082106E-4</v>
      </c>
      <c r="E145" s="5">
        <f>D145-$H$1</f>
        <v>-1.1592976809415845E-5</v>
      </c>
      <c r="F145" s="3">
        <f t="shared" si="4"/>
        <v>-0.79029241758950142</v>
      </c>
      <c r="K145" s="2">
        <v>45726</v>
      </c>
      <c r="L145">
        <v>14.625</v>
      </c>
      <c r="M145" s="7">
        <v>59472.56</v>
      </c>
    </row>
    <row r="146" spans="1:13" x14ac:dyDescent="0.35">
      <c r="A146" s="2">
        <v>45727</v>
      </c>
      <c r="B146">
        <v>14.414999999999999</v>
      </c>
      <c r="C146" s="7">
        <v>68549.77</v>
      </c>
      <c r="D146" s="5">
        <f t="shared" si="5"/>
        <v>5.3451583144603632E-4</v>
      </c>
      <c r="E146" s="5">
        <f>D146-$H$1</f>
        <v>-1.6794810094200585E-5</v>
      </c>
      <c r="F146" s="3">
        <f t="shared" si="4"/>
        <v>-1.1512803691511284</v>
      </c>
      <c r="K146" s="2">
        <v>45727</v>
      </c>
      <c r="L146">
        <v>14.46</v>
      </c>
      <c r="M146" s="7">
        <v>59952.88</v>
      </c>
    </row>
    <row r="147" spans="1:13" x14ac:dyDescent="0.35">
      <c r="A147" s="2">
        <v>45728</v>
      </c>
      <c r="B147">
        <v>14.47</v>
      </c>
      <c r="C147" s="7">
        <v>68440.77</v>
      </c>
      <c r="D147" s="5">
        <f t="shared" si="5"/>
        <v>5.3642395859188063E-4</v>
      </c>
      <c r="E147" s="5">
        <f>D147-$H$1</f>
        <v>-1.4886682948356267E-5</v>
      </c>
      <c r="F147" s="3">
        <f t="shared" si="4"/>
        <v>-1.0188560437313732</v>
      </c>
      <c r="K147" s="2">
        <v>45728</v>
      </c>
      <c r="L147">
        <v>14.54</v>
      </c>
      <c r="M147" s="7">
        <v>59767.55</v>
      </c>
    </row>
    <row r="148" spans="1:13" x14ac:dyDescent="0.35">
      <c r="A148" s="2">
        <v>45729</v>
      </c>
      <c r="B148">
        <v>14.335000000000001</v>
      </c>
      <c r="C148" s="7">
        <v>68735.509999999995</v>
      </c>
      <c r="D148" s="5">
        <f t="shared" si="5"/>
        <v>5.3173874224676787E-4</v>
      </c>
      <c r="E148" s="5">
        <f>D148-$H$1</f>
        <v>-1.9571899293469031E-5</v>
      </c>
      <c r="F148" s="3">
        <f t="shared" si="4"/>
        <v>-1.3452844796052335</v>
      </c>
      <c r="K148" s="2">
        <v>45729</v>
      </c>
      <c r="L148">
        <v>14.41</v>
      </c>
      <c r="M148" s="7">
        <v>60114.37</v>
      </c>
    </row>
    <row r="149" spans="1:13" x14ac:dyDescent="0.35">
      <c r="A149" s="2">
        <v>45730</v>
      </c>
      <c r="B149">
        <v>14.37</v>
      </c>
      <c r="C149" s="7">
        <v>68718.47</v>
      </c>
      <c r="D149" s="5">
        <f t="shared" si="5"/>
        <v>5.3295395684171964E-4</v>
      </c>
      <c r="E149" s="5">
        <f>D149-$H$1</f>
        <v>-1.8356684698517256E-5</v>
      </c>
      <c r="F149" s="3">
        <f t="shared" si="4"/>
        <v>-1.2614432867545171</v>
      </c>
      <c r="K149" s="2">
        <v>45730</v>
      </c>
      <c r="L149">
        <v>14.41</v>
      </c>
      <c r="M149" s="7">
        <v>60116.77</v>
      </c>
    </row>
    <row r="150" spans="1:13" x14ac:dyDescent="0.35">
      <c r="A150" s="2">
        <v>45733</v>
      </c>
      <c r="B150">
        <v>14.275</v>
      </c>
      <c r="C150" s="7">
        <v>68995.149999999994</v>
      </c>
      <c r="D150" s="5">
        <f t="shared" si="5"/>
        <v>5.2965465493715058E-4</v>
      </c>
      <c r="E150" s="5">
        <f>D150-$H$1</f>
        <v>-2.1655986603086319E-5</v>
      </c>
      <c r="F150" s="3">
        <f t="shared" si="4"/>
        <v>-1.494158044077931</v>
      </c>
      <c r="K150" s="2">
        <v>45733</v>
      </c>
      <c r="L150">
        <v>14.315</v>
      </c>
      <c r="M150" s="7">
        <v>60447.1</v>
      </c>
    </row>
    <row r="151" spans="1:13" x14ac:dyDescent="0.35">
      <c r="A151" s="2">
        <v>45734</v>
      </c>
      <c r="B151">
        <v>14.14</v>
      </c>
      <c r="C151" s="7">
        <v>69167.960000000006</v>
      </c>
      <c r="D151" s="5">
        <f t="shared" si="5"/>
        <v>5.2496147073655131E-4</v>
      </c>
      <c r="E151" s="5">
        <f>D151-$H$1</f>
        <v>-2.6349170803685595E-5</v>
      </c>
      <c r="F151" s="3">
        <f t="shared" si="4"/>
        <v>-1.8225183921824932</v>
      </c>
      <c r="K151" s="2">
        <v>45734</v>
      </c>
      <c r="L151">
        <v>14.195</v>
      </c>
      <c r="M151" s="7">
        <v>60674.84</v>
      </c>
    </row>
    <row r="152" spans="1:13" x14ac:dyDescent="0.35">
      <c r="A152" s="2">
        <v>45735</v>
      </c>
      <c r="B152">
        <v>13.91</v>
      </c>
      <c r="C152" s="7">
        <v>69280.17</v>
      </c>
      <c r="D152" s="5">
        <f t="shared" si="5"/>
        <v>5.1695292700393303E-4</v>
      </c>
      <c r="E152" s="5">
        <f>D152-$H$1</f>
        <v>-3.4357714536303874E-5</v>
      </c>
      <c r="F152" s="3">
        <f t="shared" si="4"/>
        <v>-2.3803083038866033</v>
      </c>
      <c r="K152" s="2">
        <v>45735</v>
      </c>
      <c r="L152">
        <v>14.095000000000001</v>
      </c>
      <c r="M152" s="7">
        <v>60834.96</v>
      </c>
    </row>
    <row r="153" spans="1:13" x14ac:dyDescent="0.35">
      <c r="A153" s="2">
        <v>45736</v>
      </c>
      <c r="B153">
        <v>14.445</v>
      </c>
      <c r="C153" s="7">
        <v>68855.289999999994</v>
      </c>
      <c r="D153" s="5">
        <f t="shared" si="5"/>
        <v>5.3555674129945885E-4</v>
      </c>
      <c r="E153" s="5">
        <f>D153-$H$1</f>
        <v>-1.5753900240778052E-5</v>
      </c>
      <c r="F153" s="3">
        <f t="shared" si="4"/>
        <v>-1.0847393697098424</v>
      </c>
      <c r="K153" s="2">
        <v>45736</v>
      </c>
      <c r="L153">
        <v>14.44</v>
      </c>
      <c r="M153" s="7">
        <v>60295.07</v>
      </c>
    </row>
    <row r="154" spans="1:13" x14ac:dyDescent="0.35">
      <c r="A154" s="2">
        <v>45737</v>
      </c>
      <c r="B154">
        <v>14.535</v>
      </c>
      <c r="C154" s="7">
        <v>68655.759999999995</v>
      </c>
      <c r="D154" s="5">
        <f t="shared" si="5"/>
        <v>5.3867784098637905E-4</v>
      </c>
      <c r="E154" s="5">
        <f>D154-$H$1</f>
        <v>-1.2632800553857848E-5</v>
      </c>
      <c r="F154" s="3">
        <f t="shared" si="4"/>
        <v>-0.8673145229535314</v>
      </c>
      <c r="K154" s="2">
        <v>45737</v>
      </c>
      <c r="L154">
        <v>14.51</v>
      </c>
      <c r="M154" s="7">
        <v>60086.41</v>
      </c>
    </row>
    <row r="155" spans="1:13" x14ac:dyDescent="0.35">
      <c r="A155" s="2">
        <v>45740</v>
      </c>
      <c r="B155">
        <v>14.73</v>
      </c>
      <c r="C155" s="7">
        <v>68472.63</v>
      </c>
      <c r="D155" s="5">
        <f t="shared" si="5"/>
        <v>5.4543185191446852E-4</v>
      </c>
      <c r="E155" s="5">
        <f>D155-$H$1</f>
        <v>-5.8787896257683769E-6</v>
      </c>
      <c r="F155" s="3">
        <f t="shared" si="4"/>
        <v>-0.40253618689307658</v>
      </c>
      <c r="K155" s="2">
        <v>45740</v>
      </c>
      <c r="L155">
        <v>14.72</v>
      </c>
      <c r="M155" s="7">
        <v>59904.7</v>
      </c>
    </row>
    <row r="156" spans="1:13" x14ac:dyDescent="0.35">
      <c r="A156" s="2">
        <v>45741</v>
      </c>
      <c r="B156">
        <v>14.83</v>
      </c>
      <c r="C156" s="7">
        <v>68300.73</v>
      </c>
      <c r="D156" s="5">
        <f t="shared" si="5"/>
        <v>5.4889101334931745E-4</v>
      </c>
      <c r="E156" s="5">
        <f>D156-$H$1</f>
        <v>-2.4196281909194539E-6</v>
      </c>
      <c r="F156" s="3">
        <f t="shared" si="4"/>
        <v>-0.16526237176837807</v>
      </c>
      <c r="K156" s="2">
        <v>45741</v>
      </c>
      <c r="L156">
        <v>14.775</v>
      </c>
      <c r="M156" s="7">
        <v>59747.6</v>
      </c>
    </row>
    <row r="157" spans="1:13" x14ac:dyDescent="0.35">
      <c r="A157" s="2">
        <v>45742</v>
      </c>
      <c r="B157">
        <v>14.935</v>
      </c>
      <c r="C157" s="7">
        <v>68105.570000000007</v>
      </c>
      <c r="D157" s="5">
        <f t="shared" si="5"/>
        <v>5.5251990509774807E-4</v>
      </c>
      <c r="E157" s="5">
        <f>D157-$H$1</f>
        <v>1.2092635575111643E-6</v>
      </c>
      <c r="F157" s="3">
        <f t="shared" si="4"/>
        <v>8.235758386452563E-2</v>
      </c>
      <c r="K157" s="2">
        <v>45742</v>
      </c>
      <c r="L157">
        <v>14.895</v>
      </c>
      <c r="M157" s="7">
        <v>59467.360000000001</v>
      </c>
    </row>
    <row r="158" spans="1:13" x14ac:dyDescent="0.35">
      <c r="A158" s="2">
        <v>45743</v>
      </c>
      <c r="B158">
        <v>14.78</v>
      </c>
      <c r="C158" s="7">
        <v>68477.39</v>
      </c>
      <c r="D158" s="5">
        <f t="shared" si="5"/>
        <v>5.4716180785341351E-4</v>
      </c>
      <c r="E158" s="5">
        <f>D158-$H$1</f>
        <v>-4.1488336868233944E-6</v>
      </c>
      <c r="F158" s="3">
        <f t="shared" si="4"/>
        <v>-0.28410130241774345</v>
      </c>
      <c r="K158" s="2">
        <v>45743</v>
      </c>
      <c r="L158">
        <v>14.78</v>
      </c>
      <c r="M158" s="7">
        <v>59836.22</v>
      </c>
    </row>
    <row r="159" spans="1:13" x14ac:dyDescent="0.35">
      <c r="A159" s="2">
        <v>45744</v>
      </c>
      <c r="B159">
        <v>14.835000000000001</v>
      </c>
      <c r="C159" s="7">
        <v>68344.28</v>
      </c>
      <c r="D159" s="5">
        <f t="shared" si="5"/>
        <v>5.4906389264952615E-4</v>
      </c>
      <c r="E159" s="5">
        <f>D159-$H$1</f>
        <v>-2.246748890710748E-6</v>
      </c>
      <c r="F159" s="3">
        <f t="shared" si="4"/>
        <v>-0.15355243527642476</v>
      </c>
      <c r="K159" s="2">
        <v>45744</v>
      </c>
      <c r="L159">
        <v>14.79</v>
      </c>
      <c r="M159" s="7">
        <v>59730.7</v>
      </c>
    </row>
    <row r="160" spans="1:13" x14ac:dyDescent="0.35">
      <c r="A160" s="2">
        <v>45747</v>
      </c>
      <c r="B160">
        <v>14.725</v>
      </c>
      <c r="C160" s="7">
        <v>68568.570000000007</v>
      </c>
      <c r="D160" s="5">
        <f t="shared" si="5"/>
        <v>5.4525881502098805E-4</v>
      </c>
      <c r="E160" s="5">
        <f>D160-$H$1</f>
        <v>-6.0518265192488485E-6</v>
      </c>
      <c r="F160" s="3">
        <f t="shared" si="4"/>
        <v>-0.41496509031297107</v>
      </c>
      <c r="K160" s="2">
        <v>45747</v>
      </c>
      <c r="L160">
        <v>14.72</v>
      </c>
      <c r="M160" s="7">
        <v>59915.14</v>
      </c>
    </row>
    <row r="161" spans="1:13" x14ac:dyDescent="0.35">
      <c r="A161" s="2">
        <v>45748</v>
      </c>
      <c r="B161">
        <v>14.6</v>
      </c>
      <c r="C161" s="7">
        <v>68785.009999999995</v>
      </c>
      <c r="D161" s="5">
        <f t="shared" si="5"/>
        <v>5.4093044971081916E-4</v>
      </c>
      <c r="E161" s="5">
        <f>D161-$H$1</f>
        <v>-1.038019182941774E-5</v>
      </c>
      <c r="F161" s="3">
        <f t="shared" si="4"/>
        <v>-0.71400159878841751</v>
      </c>
      <c r="K161" s="2">
        <v>45748</v>
      </c>
      <c r="L161">
        <v>14.59</v>
      </c>
      <c r="M161" s="7">
        <v>60182.03</v>
      </c>
    </row>
    <row r="162" spans="1:13" x14ac:dyDescent="0.35">
      <c r="A162" s="2">
        <v>45749</v>
      </c>
      <c r="B162">
        <v>14.57</v>
      </c>
      <c r="C162" s="7">
        <v>68830.490000000005</v>
      </c>
      <c r="D162" s="5">
        <f t="shared" si="5"/>
        <v>5.3989094232043122E-4</v>
      </c>
      <c r="E162" s="5">
        <f>D162-$H$1</f>
        <v>-1.1419699219805679E-5</v>
      </c>
      <c r="F162" s="3">
        <f t="shared" si="4"/>
        <v>-0.78602349295184271</v>
      </c>
      <c r="K162" s="2">
        <v>45749</v>
      </c>
      <c r="L162">
        <v>14.565</v>
      </c>
      <c r="M162" s="7">
        <v>60196.99</v>
      </c>
    </row>
    <row r="163" spans="1:13" x14ac:dyDescent="0.35">
      <c r="A163" s="2">
        <v>45750</v>
      </c>
      <c r="B163">
        <v>14.105</v>
      </c>
      <c r="C163" s="7">
        <v>69644.17</v>
      </c>
      <c r="D163" s="5">
        <f t="shared" si="5"/>
        <v>5.2374381675313053E-4</v>
      </c>
      <c r="E163" s="5">
        <f>D163-$H$1</f>
        <v>-2.756682478710637E-5</v>
      </c>
      <c r="F163" s="3">
        <f t="shared" si="4"/>
        <v>-1.9198686318334497</v>
      </c>
      <c r="K163" s="2">
        <v>45750</v>
      </c>
      <c r="L163">
        <v>14.125</v>
      </c>
      <c r="M163" s="7">
        <v>61089.22</v>
      </c>
    </row>
    <row r="164" spans="1:13" x14ac:dyDescent="0.35">
      <c r="A164" s="2">
        <v>45751</v>
      </c>
      <c r="B164">
        <v>13.94</v>
      </c>
      <c r="C164" s="7">
        <v>69912.929999999993</v>
      </c>
      <c r="D164" s="5">
        <f t="shared" si="5"/>
        <v>5.1799843259070499E-4</v>
      </c>
      <c r="E164" s="5">
        <f>D164-$H$1</f>
        <v>-3.3312208949531907E-5</v>
      </c>
      <c r="F164" s="3">
        <f t="shared" si="4"/>
        <v>-2.3289541324339975</v>
      </c>
      <c r="K164" s="2">
        <v>45751</v>
      </c>
      <c r="L164">
        <v>14.025</v>
      </c>
      <c r="M164" s="7">
        <v>61310.63</v>
      </c>
    </row>
    <row r="165" spans="1:13" x14ac:dyDescent="0.35">
      <c r="A165" s="2">
        <v>45754</v>
      </c>
      <c r="B165">
        <v>14.04</v>
      </c>
      <c r="C165" s="7">
        <v>69922.559999999998</v>
      </c>
      <c r="D165" s="5">
        <f t="shared" si="5"/>
        <v>5.2148147205310913E-4</v>
      </c>
      <c r="E165" s="5">
        <f>D165-$H$1</f>
        <v>-2.9829169487127771E-5</v>
      </c>
      <c r="F165" s="3">
        <f t="shared" si="4"/>
        <v>-2.0857318932138607</v>
      </c>
      <c r="K165" s="2">
        <v>45754</v>
      </c>
      <c r="L165">
        <v>14.14</v>
      </c>
      <c r="M165" s="7">
        <v>61245.02</v>
      </c>
    </row>
    <row r="166" spans="1:13" x14ac:dyDescent="0.35">
      <c r="A166" s="2">
        <v>45755</v>
      </c>
      <c r="B166">
        <v>14.21</v>
      </c>
      <c r="C166" s="7">
        <v>69724.02</v>
      </c>
      <c r="D166" s="5">
        <f t="shared" si="5"/>
        <v>5.273956633986554E-4</v>
      </c>
      <c r="E166" s="5">
        <f>D166-$H$1</f>
        <v>-2.39149781415815E-5</v>
      </c>
      <c r="F166" s="3">
        <f t="shared" si="4"/>
        <v>-1.6674484142431913</v>
      </c>
      <c r="K166" s="2">
        <v>45755</v>
      </c>
      <c r="L166">
        <v>14.324999999999999</v>
      </c>
      <c r="M166" s="7">
        <v>60979.57</v>
      </c>
    </row>
    <row r="167" spans="1:13" x14ac:dyDescent="0.35">
      <c r="A167" s="2">
        <v>45756</v>
      </c>
      <c r="B167">
        <v>14.305</v>
      </c>
      <c r="C167" s="7">
        <v>69490.66</v>
      </c>
      <c r="D167" s="5">
        <f t="shared" si="5"/>
        <v>5.3069683479445295E-4</v>
      </c>
      <c r="E167" s="5">
        <f>D167-$H$1</f>
        <v>-2.0613806745783947E-5</v>
      </c>
      <c r="F167" s="3">
        <f t="shared" si="4"/>
        <v>-1.4324670358769787</v>
      </c>
      <c r="K167" s="2">
        <v>45756</v>
      </c>
      <c r="L167">
        <v>14.37</v>
      </c>
      <c r="M167" s="7">
        <v>60785.09</v>
      </c>
    </row>
    <row r="168" spans="1:13" x14ac:dyDescent="0.35">
      <c r="A168" s="2">
        <v>45757</v>
      </c>
      <c r="B168">
        <v>14.36</v>
      </c>
      <c r="C168" s="7">
        <v>69471.5</v>
      </c>
      <c r="D168" s="5">
        <f t="shared" si="5"/>
        <v>5.3260679047273385E-4</v>
      </c>
      <c r="E168" s="5">
        <f>D168-$H$1</f>
        <v>-1.8703851067503052E-5</v>
      </c>
      <c r="F168" s="3">
        <f t="shared" si="4"/>
        <v>-1.2993845894360383</v>
      </c>
      <c r="K168" s="2">
        <v>45757</v>
      </c>
      <c r="L168">
        <v>14.455</v>
      </c>
      <c r="M168" s="7">
        <v>60721.279999999999</v>
      </c>
    </row>
    <row r="169" spans="1:13" x14ac:dyDescent="0.35">
      <c r="A169" s="2">
        <v>45758</v>
      </c>
      <c r="B169">
        <v>14.145</v>
      </c>
      <c r="C169" s="7">
        <v>69794.3</v>
      </c>
      <c r="D169" s="5">
        <f t="shared" si="5"/>
        <v>5.2513539094567463E-4</v>
      </c>
      <c r="E169" s="5">
        <f>D169-$H$1</f>
        <v>-2.6175250594562272E-5</v>
      </c>
      <c r="F169" s="3">
        <f t="shared" si="4"/>
        <v>-1.8268832925720577</v>
      </c>
      <c r="K169" s="2">
        <v>45758</v>
      </c>
      <c r="L169">
        <v>14.22</v>
      </c>
      <c r="M169" s="7">
        <v>61100.23</v>
      </c>
    </row>
    <row r="170" spans="1:13" x14ac:dyDescent="0.35">
      <c r="A170" s="2">
        <v>45761</v>
      </c>
      <c r="B170">
        <v>13.95</v>
      </c>
      <c r="C170" s="7">
        <v>70199.8</v>
      </c>
      <c r="D170" s="5">
        <f t="shared" si="5"/>
        <v>5.1834687352392272E-4</v>
      </c>
      <c r="E170" s="5">
        <f>D170-$H$1</f>
        <v>-3.2963768016314177E-5</v>
      </c>
      <c r="F170" s="3">
        <f t="shared" si="4"/>
        <v>-2.3140499219916522</v>
      </c>
      <c r="K170" s="2">
        <v>45761</v>
      </c>
      <c r="L170">
        <v>14.025</v>
      </c>
      <c r="M170" s="7">
        <v>61576.88</v>
      </c>
    </row>
    <row r="171" spans="1:13" x14ac:dyDescent="0.35">
      <c r="A171" s="2">
        <v>45762</v>
      </c>
      <c r="B171">
        <v>14.025</v>
      </c>
      <c r="C171" s="7">
        <v>70086.559999999998</v>
      </c>
      <c r="D171" s="5">
        <f t="shared" si="5"/>
        <v>5.2095921011341417E-4</v>
      </c>
      <c r="E171" s="5">
        <f>D171-$H$1</f>
        <v>-3.0351431426822728E-5</v>
      </c>
      <c r="F171" s="3">
        <f t="shared" si="4"/>
        <v>-2.1272274197818968</v>
      </c>
      <c r="K171" s="2">
        <v>45762</v>
      </c>
      <c r="L171">
        <v>14.105</v>
      </c>
      <c r="M171" s="7">
        <v>61410.239999999998</v>
      </c>
    </row>
    <row r="172" spans="1:13" x14ac:dyDescent="0.35">
      <c r="A172" s="2">
        <v>45763</v>
      </c>
      <c r="B172">
        <v>14.02</v>
      </c>
      <c r="C172" s="7">
        <v>70217.8</v>
      </c>
      <c r="D172" s="5">
        <f t="shared" si="5"/>
        <v>5.2078510759323571E-4</v>
      </c>
      <c r="E172" s="5">
        <f>D172-$H$1</f>
        <v>-3.0525533947001193E-5</v>
      </c>
      <c r="F172" s="3">
        <f t="shared" si="4"/>
        <v>-2.1434358375837403</v>
      </c>
      <c r="K172" s="2">
        <v>45763</v>
      </c>
      <c r="L172">
        <v>14.115</v>
      </c>
      <c r="M172" s="7">
        <v>61492.07</v>
      </c>
    </row>
    <row r="173" spans="1:13" x14ac:dyDescent="0.35">
      <c r="A173" s="2">
        <v>45764</v>
      </c>
      <c r="B173">
        <v>13.97</v>
      </c>
      <c r="C173" s="7">
        <v>70347.39</v>
      </c>
      <c r="D173" s="5">
        <f t="shared" si="5"/>
        <v>5.1904366402810709E-4</v>
      </c>
      <c r="E173" s="5">
        <f>D173-$H$1</f>
        <v>-3.2266977512129813E-5</v>
      </c>
      <c r="F173" s="3">
        <f t="shared" si="4"/>
        <v>-2.2698976511670255</v>
      </c>
      <c r="K173" s="2">
        <v>45764</v>
      </c>
      <c r="L173">
        <v>14.06</v>
      </c>
      <c r="M173" s="7">
        <v>61699.14</v>
      </c>
    </row>
    <row r="174" spans="1:13" x14ac:dyDescent="0.35">
      <c r="A174" s="2">
        <v>45769</v>
      </c>
      <c r="B174">
        <v>13.945</v>
      </c>
      <c r="C174" s="7">
        <v>70360.58</v>
      </c>
      <c r="D174" s="5">
        <f t="shared" si="5"/>
        <v>5.1817265686460168E-4</v>
      </c>
      <c r="E174" s="5">
        <f>D174-$H$1</f>
        <v>-3.3137984675635224E-5</v>
      </c>
      <c r="F174" s="3">
        <f t="shared" si="4"/>
        <v>-2.3316078218088063</v>
      </c>
      <c r="K174" s="2">
        <v>45769</v>
      </c>
      <c r="L174">
        <v>14.06</v>
      </c>
      <c r="M174" s="7">
        <v>61657.74</v>
      </c>
    </row>
    <row r="175" spans="1:13" x14ac:dyDescent="0.35">
      <c r="A175" s="2">
        <v>45770</v>
      </c>
      <c r="B175">
        <v>13.71</v>
      </c>
      <c r="C175" s="7">
        <v>70833.73</v>
      </c>
      <c r="D175" s="5">
        <f t="shared" si="5"/>
        <v>5.0997587305934289E-4</v>
      </c>
      <c r="E175" s="5">
        <f>D175-$H$1</f>
        <v>-4.1334768480894013E-5</v>
      </c>
      <c r="F175" s="3">
        <f t="shared" si="4"/>
        <v>-2.9278958301881564</v>
      </c>
      <c r="K175" s="2">
        <v>45770</v>
      </c>
      <c r="L175">
        <v>13.84</v>
      </c>
      <c r="M175" s="7">
        <v>62182.78</v>
      </c>
    </row>
    <row r="176" spans="1:13" x14ac:dyDescent="0.35">
      <c r="A176" s="2">
        <v>45771</v>
      </c>
      <c r="B176">
        <v>13.49</v>
      </c>
      <c r="C176" s="7">
        <v>71279.429999999993</v>
      </c>
      <c r="D176" s="5">
        <f t="shared" si="5"/>
        <v>5.0228698215470935E-4</v>
      </c>
      <c r="E176" s="5">
        <f>D176-$H$1</f>
        <v>-4.9023659385527552E-5</v>
      </c>
      <c r="F176" s="3">
        <f t="shared" si="4"/>
        <v>-3.4943784975145538</v>
      </c>
      <c r="K176" s="2">
        <v>45771</v>
      </c>
      <c r="L176">
        <v>13.59</v>
      </c>
      <c r="M176" s="7">
        <v>62742.67</v>
      </c>
    </row>
    <row r="177" spans="1:13" x14ac:dyDescent="0.35">
      <c r="A177" s="2">
        <v>45772</v>
      </c>
      <c r="B177">
        <v>13.5</v>
      </c>
      <c r="C177" s="7">
        <v>71167.179999999993</v>
      </c>
      <c r="D177" s="5">
        <f t="shared" si="5"/>
        <v>5.0263679913942205E-4</v>
      </c>
      <c r="E177" s="5">
        <f>D177-$H$1</f>
        <v>-4.8673842400814848E-5</v>
      </c>
      <c r="F177" s="3">
        <f t="shared" si="4"/>
        <v>-3.4639801034304223</v>
      </c>
      <c r="K177" s="2">
        <v>45772</v>
      </c>
      <c r="L177">
        <v>13.59</v>
      </c>
      <c r="M177" s="7">
        <v>62612.62</v>
      </c>
    </row>
    <row r="178" spans="1:13" x14ac:dyDescent="0.35">
      <c r="A178" s="2">
        <v>45775</v>
      </c>
      <c r="B178">
        <v>13.54</v>
      </c>
      <c r="C178" s="7">
        <v>71236.61</v>
      </c>
      <c r="D178" s="5">
        <f t="shared" si="5"/>
        <v>5.040357601595602E-4</v>
      </c>
      <c r="E178" s="5">
        <f>D178-$H$1</f>
        <v>-4.7274881380676703E-5</v>
      </c>
      <c r="F178" s="3">
        <f t="shared" si="4"/>
        <v>-3.3677022877115279</v>
      </c>
      <c r="K178" s="2">
        <v>45775</v>
      </c>
      <c r="L178">
        <v>13.64</v>
      </c>
      <c r="M178" s="7">
        <v>62676.67</v>
      </c>
    </row>
    <row r="179" spans="1:13" x14ac:dyDescent="0.35">
      <c r="A179" s="2">
        <v>45776</v>
      </c>
      <c r="B179">
        <v>13.545</v>
      </c>
      <c r="C179" s="7">
        <v>71197.070000000007</v>
      </c>
      <c r="D179" s="5">
        <f t="shared" si="5"/>
        <v>5.0421059576999383E-4</v>
      </c>
      <c r="E179" s="5">
        <f>D179-$H$1</f>
        <v>-4.7100045770243071E-5</v>
      </c>
      <c r="F179" s="3">
        <f t="shared" si="4"/>
        <v>-3.3533852557072001</v>
      </c>
      <c r="K179" s="2">
        <v>45776</v>
      </c>
      <c r="L179">
        <v>13.635</v>
      </c>
      <c r="M179" s="7">
        <v>62639.9</v>
      </c>
    </row>
    <row r="180" spans="1:13" x14ac:dyDescent="0.35">
      <c r="A180" s="2">
        <v>45777</v>
      </c>
      <c r="B180">
        <v>13.49</v>
      </c>
      <c r="C180" s="7">
        <v>71408.94</v>
      </c>
      <c r="D180" s="5">
        <f t="shared" si="5"/>
        <v>5.0228698215470935E-4</v>
      </c>
      <c r="E180" s="5">
        <f>D180-$H$1</f>
        <v>-4.9023659385527552E-5</v>
      </c>
      <c r="F180" s="3">
        <f t="shared" si="4"/>
        <v>-3.5007275516415741</v>
      </c>
      <c r="K180" s="2">
        <v>45777</v>
      </c>
      <c r="L180">
        <v>13.53</v>
      </c>
      <c r="M180" s="7">
        <v>62942.23</v>
      </c>
    </row>
    <row r="181" spans="1:13" x14ac:dyDescent="0.35">
      <c r="A181" s="2">
        <v>45779</v>
      </c>
      <c r="B181">
        <v>13.555</v>
      </c>
      <c r="C181" s="7">
        <v>71290.710000000006</v>
      </c>
      <c r="D181" s="5">
        <f t="shared" si="5"/>
        <v>5.0456024398659594E-4</v>
      </c>
      <c r="E181" s="5">
        <f>D181-$H$1</f>
        <v>-4.6750397553640965E-5</v>
      </c>
      <c r="F181" s="3">
        <f t="shared" si="4"/>
        <v>-3.3328690343813276</v>
      </c>
      <c r="K181" s="2">
        <v>45779</v>
      </c>
      <c r="L181">
        <v>13.59</v>
      </c>
      <c r="M181" s="7">
        <v>62826.45</v>
      </c>
    </row>
    <row r="182" spans="1:13" x14ac:dyDescent="0.35">
      <c r="A182" s="2">
        <v>45782</v>
      </c>
      <c r="B182">
        <v>13.66</v>
      </c>
      <c r="C182" s="7">
        <v>71128.31</v>
      </c>
      <c r="D182" s="5">
        <f t="shared" si="5"/>
        <v>5.0822969973784993E-4</v>
      </c>
      <c r="E182" s="5">
        <f>D182-$H$1</f>
        <v>-4.3080941802386974E-5</v>
      </c>
      <c r="F182" s="3">
        <f t="shared" si="4"/>
        <v>-3.0642745836121392</v>
      </c>
      <c r="K182" s="2">
        <v>45782</v>
      </c>
      <c r="L182">
        <v>13.68</v>
      </c>
      <c r="M182" s="7">
        <v>62645.01</v>
      </c>
    </row>
    <row r="183" spans="1:13" x14ac:dyDescent="0.35">
      <c r="A183" s="2">
        <v>45783</v>
      </c>
      <c r="B183">
        <v>13.505000000000001</v>
      </c>
      <c r="C183" s="7">
        <v>71406.05</v>
      </c>
      <c r="D183" s="5">
        <f t="shared" si="5"/>
        <v>5.0281169611987586E-4</v>
      </c>
      <c r="E183" s="5">
        <f>D183-$H$1</f>
        <v>-4.8498945420361039E-5</v>
      </c>
      <c r="F183" s="3">
        <f t="shared" si="4"/>
        <v>-3.4631181216335714</v>
      </c>
      <c r="K183" s="2">
        <v>45783</v>
      </c>
      <c r="L183">
        <v>13.53</v>
      </c>
      <c r="M183" s="7">
        <v>62996.92</v>
      </c>
    </row>
    <row r="184" spans="1:13" x14ac:dyDescent="0.35">
      <c r="A184" s="2">
        <v>45784</v>
      </c>
      <c r="B184">
        <v>13.494999999999999</v>
      </c>
      <c r="C184" s="7">
        <v>71406.990000000005</v>
      </c>
      <c r="D184" s="5">
        <f t="shared" si="5"/>
        <v>5.0246189448444056E-4</v>
      </c>
      <c r="E184" s="5">
        <f>D184-$H$1</f>
        <v>-4.8848747055796338E-5</v>
      </c>
      <c r="F184" s="3">
        <f t="shared" si="4"/>
        <v>-3.4881419925257786</v>
      </c>
      <c r="K184" s="2">
        <v>45784</v>
      </c>
      <c r="L184">
        <v>13.5</v>
      </c>
      <c r="M184" s="7">
        <v>63024.639999999999</v>
      </c>
    </row>
    <row r="185" spans="1:13" x14ac:dyDescent="0.35">
      <c r="A185" s="2">
        <v>45785</v>
      </c>
      <c r="B185">
        <v>13.45</v>
      </c>
      <c r="C185" s="7">
        <v>71641.55</v>
      </c>
      <c r="D185" s="5">
        <f t="shared" si="5"/>
        <v>5.0088740713594149E-4</v>
      </c>
      <c r="E185" s="5">
        <f>D185-$H$1</f>
        <v>-5.0423234404295414E-5</v>
      </c>
      <c r="F185" s="3">
        <f t="shared" si="4"/>
        <v>-3.6123986687370504</v>
      </c>
      <c r="K185" s="2">
        <v>45785</v>
      </c>
      <c r="L185">
        <v>13.404999999999999</v>
      </c>
      <c r="M185" s="7">
        <v>63351.69</v>
      </c>
    </row>
    <row r="186" spans="1:13" x14ac:dyDescent="0.35">
      <c r="A186" s="2">
        <v>45786</v>
      </c>
      <c r="B186">
        <v>13.435</v>
      </c>
      <c r="C186" s="7">
        <v>71697.429999999993</v>
      </c>
      <c r="D186" s="5">
        <f t="shared" si="5"/>
        <v>5.0036243978479611E-4</v>
      </c>
      <c r="E186" s="5">
        <f>D186-$H$1</f>
        <v>-5.0948201755440792E-5</v>
      </c>
      <c r="F186" s="3">
        <f t="shared" si="4"/>
        <v>-3.6528551289865931</v>
      </c>
      <c r="K186" s="2">
        <v>45786</v>
      </c>
      <c r="L186">
        <v>13.375</v>
      </c>
      <c r="M186" s="7">
        <v>63462.43</v>
      </c>
    </row>
    <row r="187" spans="1:13" x14ac:dyDescent="0.35">
      <c r="A187" s="2">
        <v>45789</v>
      </c>
      <c r="B187">
        <v>13.494999999999999</v>
      </c>
      <c r="C187" s="7">
        <v>71558.3</v>
      </c>
      <c r="D187" s="5">
        <f t="shared" si="5"/>
        <v>5.0246189448444056E-4</v>
      </c>
      <c r="E187" s="5">
        <f>D187-$H$1</f>
        <v>-4.8848747055796338E-5</v>
      </c>
      <c r="F187" s="3">
        <f t="shared" si="4"/>
        <v>-3.4955332964427912</v>
      </c>
      <c r="K187" s="2">
        <v>45789</v>
      </c>
      <c r="L187">
        <v>13.45</v>
      </c>
      <c r="M187" s="7">
        <v>63283.41</v>
      </c>
    </row>
    <row r="188" spans="1:13" x14ac:dyDescent="0.35">
      <c r="A188" s="2">
        <v>45790</v>
      </c>
      <c r="B188">
        <v>13.51</v>
      </c>
      <c r="C188" s="7">
        <v>71586.009999999995</v>
      </c>
      <c r="D188" s="5">
        <f t="shared" si="5"/>
        <v>5.0298658542669017E-4</v>
      </c>
      <c r="E188" s="5">
        <f>D188-$H$1</f>
        <v>-4.8324056113546732E-5</v>
      </c>
      <c r="F188" s="3">
        <f t="shared" si="4"/>
        <v>-3.4593263641849172</v>
      </c>
      <c r="K188" s="2">
        <v>45790</v>
      </c>
      <c r="L188">
        <v>13.51</v>
      </c>
      <c r="M188" s="7">
        <v>63202.17</v>
      </c>
    </row>
    <row r="189" spans="1:13" x14ac:dyDescent="0.35">
      <c r="A189" s="2">
        <v>45791</v>
      </c>
      <c r="B189">
        <v>13.675000000000001</v>
      </c>
      <c r="C189" s="7">
        <v>71365.42</v>
      </c>
      <c r="D189" s="5">
        <f t="shared" si="5"/>
        <v>5.0875363205760138E-4</v>
      </c>
      <c r="E189" s="5">
        <f>D189-$H$1</f>
        <v>-4.2557009482635522E-5</v>
      </c>
      <c r="F189" s="3">
        <f t="shared" si="4"/>
        <v>-3.0370988556722667</v>
      </c>
      <c r="K189" s="2">
        <v>45791</v>
      </c>
      <c r="L189">
        <v>13.66</v>
      </c>
      <c r="M189" s="7">
        <v>62948.84</v>
      </c>
    </row>
    <row r="190" spans="1:13" x14ac:dyDescent="0.35">
      <c r="A190" s="2">
        <v>45792</v>
      </c>
      <c r="B190">
        <v>13.675000000000001</v>
      </c>
      <c r="C190" s="7">
        <v>71271.56</v>
      </c>
      <c r="D190" s="5">
        <f t="shared" si="5"/>
        <v>5.0875363205760138E-4</v>
      </c>
      <c r="E190" s="5">
        <f>D190-$H$1</f>
        <v>-4.2557009482635522E-5</v>
      </c>
      <c r="F190" s="3">
        <f t="shared" si="4"/>
        <v>-3.0331044547622263</v>
      </c>
      <c r="K190" s="2">
        <v>45792</v>
      </c>
      <c r="L190">
        <v>13.66</v>
      </c>
      <c r="M190" s="7">
        <v>62817.02</v>
      </c>
    </row>
    <row r="191" spans="1:13" x14ac:dyDescent="0.35">
      <c r="A191" s="2">
        <v>45796</v>
      </c>
      <c r="B191">
        <v>13.42</v>
      </c>
      <c r="C191" s="7">
        <v>71821.399999999994</v>
      </c>
      <c r="D191" s="5">
        <f t="shared" si="5"/>
        <v>4.9983740328607418E-4</v>
      </c>
      <c r="E191" s="5">
        <f>D191-$H$1</f>
        <v>-5.1473238254162723E-5</v>
      </c>
      <c r="F191" s="3">
        <f t="shared" si="4"/>
        <v>-3.6968800339475223</v>
      </c>
      <c r="K191" s="2">
        <v>45796</v>
      </c>
      <c r="L191">
        <v>13.455</v>
      </c>
      <c r="M191" s="7">
        <v>63375.74</v>
      </c>
    </row>
    <row r="192" spans="1:13" x14ac:dyDescent="0.35">
      <c r="A192" s="2">
        <v>45797</v>
      </c>
      <c r="B192">
        <v>13.47</v>
      </c>
      <c r="C192" s="7">
        <v>71824.320000000007</v>
      </c>
      <c r="D192" s="5">
        <f t="shared" si="5"/>
        <v>5.0158725607207799E-4</v>
      </c>
      <c r="E192" s="5">
        <f>D192-$H$1</f>
        <v>-4.9723385468158909E-5</v>
      </c>
      <c r="F192" s="3">
        <f t="shared" si="4"/>
        <v>-3.5713483493483955</v>
      </c>
      <c r="K192" s="2">
        <v>45797</v>
      </c>
      <c r="L192">
        <v>13.5</v>
      </c>
      <c r="M192" s="7">
        <v>63347.29</v>
      </c>
    </row>
    <row r="193" spans="1:13" x14ac:dyDescent="0.35">
      <c r="A193" s="2">
        <v>45798</v>
      </c>
      <c r="B193">
        <v>13.625</v>
      </c>
      <c r="C193" s="7">
        <v>71644.27</v>
      </c>
      <c r="D193" s="5">
        <f t="shared" si="5"/>
        <v>5.0700692311345108E-4</v>
      </c>
      <c r="E193" s="5">
        <f>D193-$H$1</f>
        <v>-4.4303718426785821E-5</v>
      </c>
      <c r="F193" s="3">
        <f t="shared" si="4"/>
        <v>-3.1741075649726187</v>
      </c>
      <c r="K193" s="2">
        <v>45798</v>
      </c>
      <c r="L193">
        <v>13.664999999999999</v>
      </c>
      <c r="M193" s="7">
        <v>63089</v>
      </c>
    </row>
    <row r="194" spans="1:13" x14ac:dyDescent="0.35">
      <c r="A194" s="2">
        <v>45799</v>
      </c>
      <c r="B194">
        <v>13.69</v>
      </c>
      <c r="C194" s="7">
        <v>71772.77</v>
      </c>
      <c r="D194" s="5">
        <f t="shared" si="5"/>
        <v>5.0927749552087676E-4</v>
      </c>
      <c r="E194" s="5">
        <f>D194-$H$1</f>
        <v>-4.2033146019360146E-5</v>
      </c>
      <c r="F194" s="3">
        <f t="shared" si="4"/>
        <v>-3.0168353216239514</v>
      </c>
      <c r="K194" s="2">
        <v>45799</v>
      </c>
      <c r="L194">
        <v>13.715</v>
      </c>
      <c r="M194" s="7">
        <v>63288.88</v>
      </c>
    </row>
    <row r="195" spans="1:13" x14ac:dyDescent="0.35">
      <c r="A195" s="2">
        <v>45800</v>
      </c>
      <c r="B195">
        <v>13.535</v>
      </c>
      <c r="C195" s="7">
        <v>71830.41</v>
      </c>
      <c r="D195" s="5">
        <f t="shared" si="5"/>
        <v>5.0386091688037205E-4</v>
      </c>
      <c r="E195" s="5">
        <f>D195-$H$1</f>
        <v>-4.7449724659864856E-5</v>
      </c>
      <c r="F195" s="3">
        <f t="shared" ref="F195:F243" si="6">E195*C195</f>
        <v>-3.4083331767052032</v>
      </c>
      <c r="K195" s="2">
        <v>45800</v>
      </c>
      <c r="L195">
        <v>13.59</v>
      </c>
      <c r="M195" s="7">
        <v>63280.9</v>
      </c>
    </row>
    <row r="196" spans="1:13" x14ac:dyDescent="0.35">
      <c r="A196" s="2">
        <v>45803</v>
      </c>
      <c r="B196">
        <v>13.5</v>
      </c>
      <c r="C196" s="7">
        <v>71917.67</v>
      </c>
      <c r="D196" s="5">
        <f t="shared" ref="D196:D244" si="7">(1+B196/100)^(1/252)-1</f>
        <v>5.0263679913942205E-4</v>
      </c>
      <c r="E196" s="5">
        <f>D196-$H$1</f>
        <v>-4.8673842400814848E-5</v>
      </c>
      <c r="F196" s="3">
        <f t="shared" si="6"/>
        <v>-3.5005093354138097</v>
      </c>
      <c r="K196" s="2">
        <v>45803</v>
      </c>
      <c r="L196">
        <v>13.555</v>
      </c>
      <c r="M196" s="7">
        <v>63356.89</v>
      </c>
    </row>
    <row r="197" spans="1:13" x14ac:dyDescent="0.35">
      <c r="A197" s="2">
        <v>45804</v>
      </c>
      <c r="B197">
        <v>13.34</v>
      </c>
      <c r="C197" s="7">
        <v>72237.58</v>
      </c>
      <c r="D197" s="5">
        <f t="shared" si="7"/>
        <v>4.9703604004291968E-4</v>
      </c>
      <c r="E197" s="5">
        <f>D197-$H$1</f>
        <v>-5.4274601497317221E-5</v>
      </c>
      <c r="F197" s="3">
        <f t="shared" si="6"/>
        <v>-3.9206658676305728</v>
      </c>
      <c r="K197" s="2">
        <v>45804</v>
      </c>
      <c r="L197">
        <v>13.37</v>
      </c>
      <c r="M197" s="7">
        <v>63806.17</v>
      </c>
    </row>
    <row r="198" spans="1:13" x14ac:dyDescent="0.35">
      <c r="A198" s="2">
        <v>45805</v>
      </c>
      <c r="B198">
        <v>13.445</v>
      </c>
      <c r="C198" s="7">
        <v>72125.02</v>
      </c>
      <c r="D198" s="5">
        <f t="shared" si="7"/>
        <v>5.0071242570082219E-4</v>
      </c>
      <c r="E198" s="5">
        <f>D198-$H$1</f>
        <v>-5.0598215839414706E-5</v>
      </c>
      <c r="F198" s="3">
        <f t="shared" si="6"/>
        <v>-3.6493973293821025</v>
      </c>
      <c r="K198" s="2">
        <v>45805</v>
      </c>
      <c r="L198">
        <v>13.49</v>
      </c>
      <c r="M198" s="7">
        <v>63649.08</v>
      </c>
    </row>
    <row r="199" spans="1:13" x14ac:dyDescent="0.35">
      <c r="A199" s="2">
        <v>45806</v>
      </c>
      <c r="B199">
        <v>13.525</v>
      </c>
      <c r="C199" s="7">
        <v>72067.39</v>
      </c>
      <c r="D199" s="5">
        <f t="shared" si="7"/>
        <v>5.0351120731240151E-4</v>
      </c>
      <c r="E199" s="5">
        <f>D199-$H$1</f>
        <v>-4.7799434227835391E-5</v>
      </c>
      <c r="F199" s="3">
        <f t="shared" si="6"/>
        <v>-3.444780468276762</v>
      </c>
      <c r="K199" s="2">
        <v>45806</v>
      </c>
      <c r="L199">
        <v>13.52</v>
      </c>
      <c r="M199" s="7">
        <v>63648.94</v>
      </c>
    </row>
    <row r="200" spans="1:13" x14ac:dyDescent="0.35">
      <c r="A200" s="2">
        <v>45807</v>
      </c>
      <c r="B200">
        <v>13.65</v>
      </c>
      <c r="C200" s="7">
        <v>71897.23</v>
      </c>
      <c r="D200" s="5">
        <f t="shared" si="7"/>
        <v>5.0788037326188196E-4</v>
      </c>
      <c r="E200" s="5">
        <f>D200-$H$1</f>
        <v>-4.3430268278354944E-5</v>
      </c>
      <c r="F200" s="3">
        <f t="shared" si="6"/>
        <v>-3.1225159873705892</v>
      </c>
      <c r="K200" s="2">
        <v>45807</v>
      </c>
      <c r="L200">
        <v>13.625</v>
      </c>
      <c r="M200" s="7">
        <v>63471.15</v>
      </c>
    </row>
    <row r="201" spans="1:13" x14ac:dyDescent="0.35">
      <c r="A201" s="2">
        <v>45810</v>
      </c>
      <c r="B201">
        <v>13.63</v>
      </c>
      <c r="C201" s="7">
        <v>71826.02</v>
      </c>
      <c r="D201" s="5">
        <f t="shared" si="7"/>
        <v>5.0718162845542203E-4</v>
      </c>
      <c r="E201" s="5">
        <f>D201-$H$1</f>
        <v>-4.4129013084814872E-5</v>
      </c>
      <c r="F201" s="3">
        <f t="shared" si="6"/>
        <v>-3.1696113764101748</v>
      </c>
      <c r="K201" s="2">
        <v>45810</v>
      </c>
      <c r="L201">
        <v>13.63</v>
      </c>
      <c r="M201" s="7">
        <v>63314.36</v>
      </c>
    </row>
    <row r="202" spans="1:13" x14ac:dyDescent="0.35">
      <c r="A202" s="2">
        <v>45811</v>
      </c>
      <c r="B202">
        <v>13.65</v>
      </c>
      <c r="C202" s="7">
        <v>71872.36</v>
      </c>
      <c r="D202" s="5">
        <f t="shared" si="7"/>
        <v>5.0788037326188196E-4</v>
      </c>
      <c r="E202" s="5">
        <f>D202-$H$1</f>
        <v>-4.3430268278354944E-5</v>
      </c>
      <c r="F202" s="3">
        <f t="shared" si="6"/>
        <v>-3.1214358765985066</v>
      </c>
      <c r="K202" s="2">
        <v>45811</v>
      </c>
      <c r="L202">
        <v>13.62</v>
      </c>
      <c r="M202" s="7">
        <v>63410.1</v>
      </c>
    </row>
    <row r="203" spans="1:13" x14ac:dyDescent="0.35">
      <c r="A203" s="2">
        <v>45812</v>
      </c>
      <c r="B203">
        <v>13.64</v>
      </c>
      <c r="C203" s="7">
        <v>71936.61</v>
      </c>
      <c r="D203" s="5">
        <f t="shared" si="7"/>
        <v>5.0753101616951568E-4</v>
      </c>
      <c r="E203" s="5">
        <f>D203-$H$1</f>
        <v>-4.377962537072122E-5</v>
      </c>
      <c r="F203" s="3">
        <f t="shared" si="6"/>
        <v>-3.1493578362396777</v>
      </c>
      <c r="K203" s="2">
        <v>45812</v>
      </c>
      <c r="L203">
        <v>13.6</v>
      </c>
      <c r="M203" s="7">
        <v>63491.96</v>
      </c>
    </row>
    <row r="204" spans="1:13" x14ac:dyDescent="0.35">
      <c r="A204" s="2">
        <v>45813</v>
      </c>
      <c r="B204">
        <v>13.835000000000001</v>
      </c>
      <c r="C204" s="7">
        <v>71674.91</v>
      </c>
      <c r="D204" s="5">
        <f t="shared" si="7"/>
        <v>5.1433796268596232E-4</v>
      </c>
      <c r="E204" s="5">
        <f>D204-$H$1</f>
        <v>-3.6972678854274577E-5</v>
      </c>
      <c r="F204" s="3">
        <f t="shared" si="6"/>
        <v>-2.6500134293390336</v>
      </c>
      <c r="K204" s="2">
        <v>45813</v>
      </c>
      <c r="L204">
        <v>13.78</v>
      </c>
      <c r="M204" s="7">
        <v>63193.68</v>
      </c>
    </row>
    <row r="205" spans="1:13" x14ac:dyDescent="0.35">
      <c r="A205" s="2">
        <v>45814</v>
      </c>
      <c r="B205">
        <v>13.78</v>
      </c>
      <c r="C205" s="7">
        <v>71786.14</v>
      </c>
      <c r="D205" s="5">
        <f t="shared" si="7"/>
        <v>5.1241923132461231E-4</v>
      </c>
      <c r="E205" s="5">
        <f>D205-$H$1</f>
        <v>-3.8891410215624589E-5</v>
      </c>
      <c r="F205" s="3">
        <f t="shared" si="6"/>
        <v>-2.791864218536257</v>
      </c>
      <c r="K205" s="2">
        <v>45814</v>
      </c>
      <c r="L205">
        <v>13.71</v>
      </c>
      <c r="M205" s="7">
        <v>63348.45</v>
      </c>
    </row>
    <row r="206" spans="1:13" x14ac:dyDescent="0.35">
      <c r="A206" s="2">
        <v>45817</v>
      </c>
      <c r="B206">
        <v>13.675000000000001</v>
      </c>
      <c r="C206" s="7">
        <v>71992.88</v>
      </c>
      <c r="D206" s="5">
        <f t="shared" si="7"/>
        <v>5.0875363205760138E-4</v>
      </c>
      <c r="E206" s="5">
        <f>D206-$H$1</f>
        <v>-4.2557009482635522E-5</v>
      </c>
      <c r="F206" s="3">
        <f t="shared" si="6"/>
        <v>-3.0638016768422416</v>
      </c>
      <c r="K206" s="2">
        <v>45817</v>
      </c>
      <c r="L206">
        <v>13.62</v>
      </c>
      <c r="M206" s="7">
        <v>63560.84</v>
      </c>
    </row>
    <row r="207" spans="1:13" x14ac:dyDescent="0.35">
      <c r="A207" s="2">
        <v>45818</v>
      </c>
      <c r="B207">
        <v>13.58</v>
      </c>
      <c r="C207" s="7">
        <v>72229.08</v>
      </c>
      <c r="D207" s="5">
        <f t="shared" si="7"/>
        <v>5.0543423036963908E-4</v>
      </c>
      <c r="E207" s="5">
        <f>D207-$H$1</f>
        <v>-4.5876411170597819E-5</v>
      </c>
      <c r="F207" s="3">
        <f t="shared" si="6"/>
        <v>-3.3136109725540037</v>
      </c>
      <c r="K207" s="2">
        <v>45818</v>
      </c>
      <c r="L207">
        <v>13.51</v>
      </c>
      <c r="M207" s="7">
        <v>63795.56</v>
      </c>
    </row>
    <row r="208" spans="1:13" x14ac:dyDescent="0.35">
      <c r="A208" s="2">
        <v>45819</v>
      </c>
      <c r="B208">
        <v>13.654999999999999</v>
      </c>
      <c r="C208" s="7">
        <v>72171.5</v>
      </c>
      <c r="D208" s="5">
        <f t="shared" si="7"/>
        <v>5.0805504032647164E-4</v>
      </c>
      <c r="E208" s="5">
        <f>D208-$H$1</f>
        <v>-4.325560121376526E-5</v>
      </c>
      <c r="F208" s="3">
        <f t="shared" si="6"/>
        <v>-3.1218216229992595</v>
      </c>
      <c r="K208" s="2">
        <v>45819</v>
      </c>
      <c r="L208">
        <v>13.565</v>
      </c>
      <c r="M208" s="7">
        <v>63813.8</v>
      </c>
    </row>
    <row r="209" spans="1:13" x14ac:dyDescent="0.35">
      <c r="A209" s="2">
        <v>45820</v>
      </c>
      <c r="B209">
        <v>13.61</v>
      </c>
      <c r="C209" s="7">
        <v>72191.929999999993</v>
      </c>
      <c r="D209" s="5">
        <f t="shared" si="7"/>
        <v>5.0648276114029223E-4</v>
      </c>
      <c r="E209" s="5">
        <f>D209-$H$1</f>
        <v>-4.4827880399944675E-5</v>
      </c>
      <c r="F209" s="3">
        <f t="shared" si="6"/>
        <v>-3.2362112038811777</v>
      </c>
      <c r="K209" s="2">
        <v>45820</v>
      </c>
      <c r="L209">
        <v>13.52</v>
      </c>
      <c r="M209" s="7">
        <v>63824.14</v>
      </c>
    </row>
    <row r="210" spans="1:13" x14ac:dyDescent="0.35">
      <c r="A210" s="2">
        <v>45821</v>
      </c>
      <c r="B210">
        <v>13.6</v>
      </c>
      <c r="C210" s="7">
        <v>72324.05</v>
      </c>
      <c r="D210" s="5">
        <f t="shared" si="7"/>
        <v>5.0613328152837589E-4</v>
      </c>
      <c r="E210" s="5">
        <f>D210-$H$1</f>
        <v>-4.5177360011861012E-5</v>
      </c>
      <c r="F210" s="3">
        <f t="shared" si="6"/>
        <v>-3.2674096443658365</v>
      </c>
      <c r="K210" s="2">
        <v>45821</v>
      </c>
      <c r="L210">
        <v>13.53</v>
      </c>
      <c r="M210" s="7">
        <v>63929.8</v>
      </c>
    </row>
    <row r="211" spans="1:13" x14ac:dyDescent="0.35">
      <c r="A211" s="2">
        <v>45824</v>
      </c>
      <c r="B211">
        <v>13.56</v>
      </c>
      <c r="C211" s="7">
        <v>72405.94</v>
      </c>
      <c r="D211" s="5">
        <f t="shared" si="7"/>
        <v>5.0473505659431872E-4</v>
      </c>
      <c r="E211" s="5">
        <f>D211-$H$1</f>
        <v>-4.657558494591818E-5</v>
      </c>
      <c r="F211" s="3">
        <f t="shared" si="6"/>
        <v>-3.3723490090590551</v>
      </c>
      <c r="K211" s="2">
        <v>45824</v>
      </c>
      <c r="L211">
        <v>13.465</v>
      </c>
      <c r="M211" s="7">
        <v>64093.2</v>
      </c>
    </row>
    <row r="212" spans="1:13" x14ac:dyDescent="0.35">
      <c r="A212" s="2">
        <v>45825</v>
      </c>
      <c r="B212">
        <v>13.635</v>
      </c>
      <c r="C212" s="7">
        <v>72292.259999999995</v>
      </c>
      <c r="D212" s="5">
        <f t="shared" si="7"/>
        <v>5.0735632614040682E-4</v>
      </c>
      <c r="E212" s="5">
        <f>D212-$H$1</f>
        <v>-4.395431539983008E-5</v>
      </c>
      <c r="F212" s="3">
        <f t="shared" si="6"/>
        <v>-3.1775567970065199</v>
      </c>
      <c r="K212" s="2">
        <v>45825</v>
      </c>
      <c r="L212">
        <v>13.53</v>
      </c>
      <c r="M212" s="7">
        <v>63930.73</v>
      </c>
    </row>
    <row r="213" spans="1:13" x14ac:dyDescent="0.35">
      <c r="A213" s="2">
        <v>45826</v>
      </c>
      <c r="B213">
        <v>13.61</v>
      </c>
      <c r="C213" s="7">
        <v>72340.25</v>
      </c>
      <c r="D213" s="5">
        <f t="shared" si="7"/>
        <v>5.0648276114029223E-4</v>
      </c>
      <c r="E213" s="5">
        <f>D213-$H$1</f>
        <v>-4.4827880399944675E-5</v>
      </c>
      <c r="F213" s="3">
        <f t="shared" si="6"/>
        <v>-3.2428600751020977</v>
      </c>
      <c r="K213" s="2">
        <v>45826</v>
      </c>
      <c r="L213">
        <v>13.505000000000001</v>
      </c>
      <c r="M213" s="7">
        <v>63966.94</v>
      </c>
    </row>
    <row r="214" spans="1:13" x14ac:dyDescent="0.35">
      <c r="A214" s="2">
        <v>45828</v>
      </c>
      <c r="B214">
        <v>13.54</v>
      </c>
      <c r="C214" s="7">
        <v>72514</v>
      </c>
      <c r="D214" s="5">
        <f t="shared" si="7"/>
        <v>5.040357601595602E-4</v>
      </c>
      <c r="E214" s="5">
        <f>D214-$H$1</f>
        <v>-4.7274881380676703E-5</v>
      </c>
      <c r="F214" s="3">
        <f t="shared" si="6"/>
        <v>-3.4280907484383905</v>
      </c>
      <c r="K214" s="2">
        <v>45828</v>
      </c>
      <c r="L214">
        <v>13.38</v>
      </c>
      <c r="M214" s="7">
        <v>64279.08</v>
      </c>
    </row>
    <row r="215" spans="1:13" x14ac:dyDescent="0.35">
      <c r="A215" s="2">
        <v>45832</v>
      </c>
      <c r="B215">
        <v>13.48</v>
      </c>
      <c r="C215" s="7">
        <v>72754.990000000005</v>
      </c>
      <c r="D215" s="5">
        <f t="shared" si="7"/>
        <v>5.0193713446744503E-4</v>
      </c>
      <c r="E215" s="5">
        <f>D215-$H$1</f>
        <v>-4.9373507072791867E-5</v>
      </c>
      <c r="F215" s="3">
        <f t="shared" si="6"/>
        <v>-3.5921690133459019</v>
      </c>
      <c r="K215" s="2">
        <v>45832</v>
      </c>
      <c r="L215">
        <v>13.37</v>
      </c>
      <c r="M215" s="7">
        <v>64498.61</v>
      </c>
    </row>
    <row r="216" spans="1:13" x14ac:dyDescent="0.35">
      <c r="A216" s="2">
        <v>45833</v>
      </c>
      <c r="B216">
        <v>13.53</v>
      </c>
      <c r="C216" s="7">
        <v>72665.69</v>
      </c>
      <c r="D216" s="5">
        <f t="shared" si="7"/>
        <v>5.0368606593154119E-4</v>
      </c>
      <c r="E216" s="5">
        <f>D216-$H$1</f>
        <v>-4.7624575608695707E-5</v>
      </c>
      <c r="F216" s="3">
        <f t="shared" si="6"/>
        <v>-3.4606726475630438</v>
      </c>
      <c r="K216" s="2">
        <v>45833</v>
      </c>
      <c r="L216">
        <v>13.395</v>
      </c>
      <c r="M216" s="7">
        <v>64379.42</v>
      </c>
    </row>
    <row r="217" spans="1:13" x14ac:dyDescent="0.35">
      <c r="A217" s="2">
        <v>45834</v>
      </c>
      <c r="B217">
        <v>13.42</v>
      </c>
      <c r="C217" s="7">
        <v>72860.17</v>
      </c>
      <c r="D217" s="5">
        <f t="shared" si="7"/>
        <v>4.9983740328607418E-4</v>
      </c>
      <c r="E217" s="5">
        <f>D217-$H$1</f>
        <v>-5.1473238254162723E-5</v>
      </c>
      <c r="F217" s="3">
        <f t="shared" si="6"/>
        <v>-3.7503488896487993</v>
      </c>
      <c r="K217" s="2">
        <v>45834</v>
      </c>
      <c r="L217">
        <v>13.29</v>
      </c>
      <c r="M217" s="7">
        <v>64590.6</v>
      </c>
    </row>
    <row r="218" spans="1:13" x14ac:dyDescent="0.35">
      <c r="A218" s="2">
        <v>45835</v>
      </c>
      <c r="B218">
        <v>13.404999999999999</v>
      </c>
      <c r="C218" s="7">
        <v>72901.460000000006</v>
      </c>
      <c r="D218" s="5">
        <f t="shared" si="7"/>
        <v>4.9931229762134599E-4</v>
      </c>
      <c r="E218" s="5">
        <f>D218-$H$1</f>
        <v>-5.199834391889091E-5</v>
      </c>
      <c r="F218" s="3">
        <f t="shared" si="6"/>
        <v>-3.7907551892692695</v>
      </c>
      <c r="K218" s="2">
        <v>45835</v>
      </c>
      <c r="L218">
        <v>13.295</v>
      </c>
      <c r="M218" s="7">
        <v>64622.65</v>
      </c>
    </row>
    <row r="219" spans="1:13" x14ac:dyDescent="0.35">
      <c r="A219" s="2">
        <v>45838</v>
      </c>
      <c r="B219">
        <v>13.24</v>
      </c>
      <c r="C219" s="7">
        <v>73228.55</v>
      </c>
      <c r="D219" s="5">
        <f t="shared" si="7"/>
        <v>4.9353156512199625E-4</v>
      </c>
      <c r="E219" s="5">
        <f>D219-$H$1</f>
        <v>-5.7779076418240649E-5</v>
      </c>
      <c r="F219" s="3">
        <f t="shared" si="6"/>
        <v>-4.2310779864469561</v>
      </c>
      <c r="K219" s="2">
        <v>45838</v>
      </c>
      <c r="L219">
        <v>13.06</v>
      </c>
      <c r="M219" s="7">
        <v>65150.720000000001</v>
      </c>
    </row>
    <row r="220" spans="1:13" x14ac:dyDescent="0.35">
      <c r="A220" s="2">
        <v>45839</v>
      </c>
      <c r="B220">
        <v>13.27</v>
      </c>
      <c r="C220" s="7">
        <v>73201.679999999993</v>
      </c>
      <c r="D220" s="5">
        <f t="shared" si="7"/>
        <v>4.9458323115092462E-4</v>
      </c>
      <c r="E220" s="5">
        <f>D220-$H$1</f>
        <v>-5.6727410389312283E-5</v>
      </c>
      <c r="F220" s="3">
        <f t="shared" si="6"/>
        <v>-4.1525417425471129</v>
      </c>
      <c r="K220" s="2">
        <v>45839</v>
      </c>
      <c r="L220">
        <v>13.08</v>
      </c>
      <c r="M220" s="7">
        <v>65138.32</v>
      </c>
    </row>
    <row r="221" spans="1:13" x14ac:dyDescent="0.35">
      <c r="A221" s="2">
        <v>45840</v>
      </c>
      <c r="B221">
        <v>13.31</v>
      </c>
      <c r="C221" s="7">
        <v>73175.039999999994</v>
      </c>
      <c r="D221" s="5">
        <f t="shared" si="7"/>
        <v>4.9598502104331033E-4</v>
      </c>
      <c r="E221" s="5">
        <f>D221-$H$1</f>
        <v>-5.5325620496926575E-5</v>
      </c>
      <c r="F221" s="3">
        <f t="shared" si="6"/>
        <v>-4.048454492887422</v>
      </c>
      <c r="K221" s="2">
        <v>45840</v>
      </c>
      <c r="L221">
        <v>13.135</v>
      </c>
      <c r="M221" s="7">
        <v>65061.95</v>
      </c>
    </row>
    <row r="222" spans="1:13" x14ac:dyDescent="0.35">
      <c r="A222" s="2">
        <v>45841</v>
      </c>
      <c r="B222">
        <v>13.355</v>
      </c>
      <c r="C222" s="7">
        <v>73180.81</v>
      </c>
      <c r="D222" s="5">
        <f t="shared" si="7"/>
        <v>4.9756144563839477E-4</v>
      </c>
      <c r="E222" s="5">
        <f>D222-$H$1</f>
        <v>-5.3749195901842128E-5</v>
      </c>
      <c r="F222" s="3">
        <f t="shared" si="6"/>
        <v>-3.9334096929454874</v>
      </c>
      <c r="K222" s="2">
        <v>45841</v>
      </c>
      <c r="L222">
        <v>13.2</v>
      </c>
      <c r="M222" s="7">
        <v>65005.919999999998</v>
      </c>
    </row>
    <row r="223" spans="1:13" x14ac:dyDescent="0.35">
      <c r="A223" s="2">
        <v>45842</v>
      </c>
      <c r="B223">
        <v>13.385</v>
      </c>
      <c r="C223" s="7">
        <v>73141.72</v>
      </c>
      <c r="D223" s="5">
        <f t="shared" si="7"/>
        <v>4.9861204911172408E-4</v>
      </c>
      <c r="E223" s="5">
        <f>D223-$H$1</f>
        <v>-5.2698592428512825E-5</v>
      </c>
      <c r="F223" s="3">
        <f t="shared" si="6"/>
        <v>-3.8544656918004052</v>
      </c>
      <c r="K223" s="2">
        <v>45842</v>
      </c>
      <c r="L223">
        <v>13.22</v>
      </c>
      <c r="M223" s="7">
        <v>64962.14</v>
      </c>
    </row>
    <row r="224" spans="1:13" x14ac:dyDescent="0.35">
      <c r="A224" s="2">
        <v>45845</v>
      </c>
      <c r="B224">
        <v>13.48</v>
      </c>
      <c r="C224" s="7">
        <v>73075.72</v>
      </c>
      <c r="D224" s="5">
        <f t="shared" si="7"/>
        <v>5.0193713446744503E-4</v>
      </c>
      <c r="E224" s="5">
        <f>D224-$H$1</f>
        <v>-4.9373507072791867E-5</v>
      </c>
      <c r="F224" s="3">
        <f t="shared" si="6"/>
        <v>-3.6080045782693579</v>
      </c>
      <c r="K224" s="2">
        <v>45845</v>
      </c>
      <c r="L224">
        <v>13.335000000000001</v>
      </c>
      <c r="M224" s="7">
        <v>64833.17</v>
      </c>
    </row>
    <row r="225" spans="1:13" x14ac:dyDescent="0.35">
      <c r="A225" s="2">
        <v>45846</v>
      </c>
      <c r="B225">
        <v>13.425000000000001</v>
      </c>
      <c r="C225" s="7">
        <v>73173.11</v>
      </c>
      <c r="D225" s="5">
        <f t="shared" si="7"/>
        <v>5.0001242313668648E-4</v>
      </c>
      <c r="E225" s="5">
        <f>D225-$H$1</f>
        <v>-5.1298218403550422E-5</v>
      </c>
      <c r="F225" s="3">
        <f t="shared" si="6"/>
        <v>-3.7536501780470193</v>
      </c>
      <c r="K225" s="2">
        <v>45846</v>
      </c>
      <c r="L225">
        <v>13.3</v>
      </c>
      <c r="M225" s="7">
        <v>64871.27</v>
      </c>
    </row>
    <row r="226" spans="1:13" x14ac:dyDescent="0.35">
      <c r="A226" s="2">
        <v>45847</v>
      </c>
      <c r="B226">
        <v>13.595000000000001</v>
      </c>
      <c r="C226" s="7">
        <v>73217.679999999993</v>
      </c>
      <c r="D226" s="5">
        <f t="shared" si="7"/>
        <v>5.0595853023160942E-4</v>
      </c>
      <c r="E226" s="5">
        <f>D226-$H$1</f>
        <v>-4.5352111308627485E-5</v>
      </c>
      <c r="F226" s="3">
        <f t="shared" si="6"/>
        <v>-3.3205763731194682</v>
      </c>
      <c r="K226" s="2">
        <v>45847</v>
      </c>
      <c r="L226">
        <v>13.49</v>
      </c>
      <c r="M226" s="7">
        <v>64909.39</v>
      </c>
    </row>
    <row r="227" spans="1:13" x14ac:dyDescent="0.35">
      <c r="A227" s="2">
        <v>45848</v>
      </c>
      <c r="B227">
        <v>13.56</v>
      </c>
      <c r="C227" s="7">
        <v>72991.460000000006</v>
      </c>
      <c r="D227" s="5">
        <f t="shared" si="7"/>
        <v>5.0473505659431872E-4</v>
      </c>
      <c r="E227" s="5">
        <f>D227-$H$1</f>
        <v>-4.657558494591818E-5</v>
      </c>
      <c r="F227" s="3">
        <f t="shared" si="6"/>
        <v>-3.3996199455565894</v>
      </c>
      <c r="K227" s="2">
        <v>45848</v>
      </c>
      <c r="L227">
        <v>13.445</v>
      </c>
      <c r="M227" s="7">
        <v>64623.62</v>
      </c>
    </row>
    <row r="228" spans="1:13" x14ac:dyDescent="0.35">
      <c r="A228" s="2">
        <v>45849</v>
      </c>
      <c r="B228">
        <v>13.6</v>
      </c>
      <c r="C228" s="7">
        <v>72991.87</v>
      </c>
      <c r="D228" s="5">
        <f t="shared" si="7"/>
        <v>5.0613328152837589E-4</v>
      </c>
      <c r="E228" s="5">
        <f>D228-$H$1</f>
        <v>-4.5177360011861012E-5</v>
      </c>
      <c r="F228" s="3">
        <f t="shared" si="6"/>
        <v>-3.2975799889289572</v>
      </c>
      <c r="K228" s="2">
        <v>45849</v>
      </c>
      <c r="L228">
        <v>13.475</v>
      </c>
      <c r="M228" s="7">
        <v>64648.15</v>
      </c>
    </row>
    <row r="229" spans="1:13" x14ac:dyDescent="0.35">
      <c r="A229" s="2">
        <v>45852</v>
      </c>
      <c r="B229">
        <v>13.57</v>
      </c>
      <c r="C229" s="7">
        <v>73036.740000000005</v>
      </c>
      <c r="D229" s="5">
        <f t="shared" si="7"/>
        <v>5.0508465881171638E-4</v>
      </c>
      <c r="E229" s="5">
        <f>D229-$H$1</f>
        <v>-4.622598272852052E-5</v>
      </c>
      <c r="F229" s="3">
        <f t="shared" si="6"/>
        <v>-3.376195081787444</v>
      </c>
      <c r="K229" s="2">
        <v>45852</v>
      </c>
      <c r="L229">
        <v>13.465</v>
      </c>
      <c r="M229" s="7">
        <v>64627.53</v>
      </c>
    </row>
    <row r="230" spans="1:13" x14ac:dyDescent="0.35">
      <c r="A230" s="2">
        <v>45853</v>
      </c>
      <c r="B230">
        <v>13.7</v>
      </c>
      <c r="C230" s="7">
        <v>72876.25</v>
      </c>
      <c r="D230" s="5">
        <f t="shared" si="7"/>
        <v>5.096266995849863E-4</v>
      </c>
      <c r="E230" s="5">
        <f>D230-$H$1</f>
        <v>-4.1683941955250603E-5</v>
      </c>
      <c r="F230" s="3">
        <f t="shared" si="6"/>
        <v>-3.0377693749163317</v>
      </c>
      <c r="K230" s="2">
        <v>45853</v>
      </c>
      <c r="L230">
        <v>13.61</v>
      </c>
      <c r="M230" s="7">
        <v>64391.88</v>
      </c>
    </row>
    <row r="231" spans="1:13" x14ac:dyDescent="0.35">
      <c r="A231" s="2">
        <v>45854</v>
      </c>
      <c r="B231">
        <v>13.755000000000001</v>
      </c>
      <c r="C231" s="7">
        <v>72856.789999999994</v>
      </c>
      <c r="D231" s="5">
        <f t="shared" si="7"/>
        <v>5.1154677529297032E-4</v>
      </c>
      <c r="E231" s="5">
        <f>D231-$H$1</f>
        <v>-3.9763866247266577E-5</v>
      </c>
      <c r="F231" s="3">
        <f t="shared" si="6"/>
        <v>-2.8970676527651888</v>
      </c>
      <c r="K231" s="2">
        <v>45854</v>
      </c>
      <c r="L231">
        <v>13.7</v>
      </c>
      <c r="M231" s="7">
        <v>64286.239999999998</v>
      </c>
    </row>
    <row r="232" spans="1:13" x14ac:dyDescent="0.35">
      <c r="A232" s="2">
        <v>45855</v>
      </c>
      <c r="B232">
        <v>13.69</v>
      </c>
      <c r="C232" s="7">
        <v>73005.759999999995</v>
      </c>
      <c r="D232" s="5">
        <f t="shared" si="7"/>
        <v>5.0927749552087676E-4</v>
      </c>
      <c r="E232" s="5">
        <f>D232-$H$1</f>
        <v>-4.2033146019360146E-5</v>
      </c>
      <c r="F232" s="3">
        <f t="shared" si="6"/>
        <v>-3.0686617703343622</v>
      </c>
      <c r="K232" s="2">
        <v>45855</v>
      </c>
      <c r="L232">
        <v>13.605</v>
      </c>
      <c r="M232" s="7">
        <v>64529.4</v>
      </c>
    </row>
    <row r="233" spans="1:13" x14ac:dyDescent="0.35">
      <c r="A233" s="2">
        <v>45856</v>
      </c>
      <c r="B233">
        <v>13.71</v>
      </c>
      <c r="C233" s="7">
        <v>72972.2</v>
      </c>
      <c r="D233" s="5">
        <f t="shared" si="7"/>
        <v>5.0997587305934289E-4</v>
      </c>
      <c r="E233" s="5">
        <f>D233-$H$1</f>
        <v>-4.1334768480894013E-5</v>
      </c>
      <c r="F233" s="3">
        <f t="shared" si="6"/>
        <v>-3.0162889925414942</v>
      </c>
      <c r="K233" s="2">
        <v>45856</v>
      </c>
      <c r="L233">
        <v>13.635</v>
      </c>
      <c r="M233" s="7">
        <v>64474.33</v>
      </c>
    </row>
    <row r="234" spans="1:13" x14ac:dyDescent="0.35">
      <c r="A234" s="2">
        <v>45859</v>
      </c>
      <c r="B234">
        <v>13.66</v>
      </c>
      <c r="C234" s="7">
        <v>73146.17</v>
      </c>
      <c r="D234" s="5">
        <f t="shared" si="7"/>
        <v>5.0822969973784993E-4</v>
      </c>
      <c r="E234" s="5">
        <f>D234-$H$1</f>
        <v>-4.3080941802386974E-5</v>
      </c>
      <c r="F234" s="3">
        <f t="shared" si="6"/>
        <v>-3.151205892837504</v>
      </c>
      <c r="K234" s="2">
        <v>45859</v>
      </c>
      <c r="L234">
        <v>13.595000000000001</v>
      </c>
      <c r="M234" s="7">
        <v>64633.72</v>
      </c>
    </row>
    <row r="235" spans="1:13" x14ac:dyDescent="0.35">
      <c r="A235" s="2">
        <v>45860</v>
      </c>
      <c r="B235">
        <v>13.55</v>
      </c>
      <c r="C235" s="7">
        <v>73306.039999999994</v>
      </c>
      <c r="D235" s="5">
        <f t="shared" si="7"/>
        <v>5.0438542371211703E-4</v>
      </c>
      <c r="E235" s="5">
        <f>D235-$H$1</f>
        <v>-4.692521782811987E-5</v>
      </c>
      <c r="F235" s="3">
        <f t="shared" si="6"/>
        <v>-3.4399018951168681</v>
      </c>
      <c r="K235" s="2">
        <v>45860</v>
      </c>
      <c r="L235">
        <v>13.47</v>
      </c>
      <c r="M235" s="7">
        <v>64826.52</v>
      </c>
    </row>
    <row r="236" spans="1:13" x14ac:dyDescent="0.35">
      <c r="A236" s="2">
        <v>45861</v>
      </c>
      <c r="B236">
        <v>13.55</v>
      </c>
      <c r="C236" s="7">
        <v>73385.570000000007</v>
      </c>
      <c r="D236" s="5">
        <f t="shared" si="7"/>
        <v>5.0438542371211703E-4</v>
      </c>
      <c r="E236" s="5">
        <f>D236-$H$1</f>
        <v>-4.692521782811987E-5</v>
      </c>
      <c r="F236" s="3">
        <f t="shared" si="6"/>
        <v>-3.443633857690739</v>
      </c>
      <c r="K236" s="2">
        <v>45861</v>
      </c>
      <c r="L236">
        <v>13.484999999999999</v>
      </c>
      <c r="M236" s="7">
        <v>64898.2</v>
      </c>
    </row>
    <row r="237" spans="1:13" x14ac:dyDescent="0.35">
      <c r="A237" s="2">
        <v>45862</v>
      </c>
      <c r="B237">
        <v>13.555</v>
      </c>
      <c r="C237" s="7">
        <v>73364.39</v>
      </c>
      <c r="D237" s="5">
        <f t="shared" si="7"/>
        <v>5.0456024398659594E-4</v>
      </c>
      <c r="E237" s="5">
        <f>D237-$H$1</f>
        <v>-4.6750397553640965E-5</v>
      </c>
      <c r="F237" s="3">
        <f t="shared" si="6"/>
        <v>-3.4298143987803615</v>
      </c>
      <c r="K237" s="2">
        <v>45862</v>
      </c>
      <c r="L237">
        <v>13.494999999999999</v>
      </c>
      <c r="M237" s="7">
        <v>64838.96</v>
      </c>
    </row>
    <row r="238" spans="1:13" x14ac:dyDescent="0.35">
      <c r="A238" s="2">
        <v>45863</v>
      </c>
      <c r="B238">
        <v>13.605</v>
      </c>
      <c r="C238" s="7">
        <v>73377.929999999993</v>
      </c>
      <c r="D238" s="5">
        <f t="shared" si="7"/>
        <v>5.0630802516438145E-4</v>
      </c>
      <c r="E238" s="5">
        <f>D238-$H$1</f>
        <v>-4.5002616375855453E-5</v>
      </c>
      <c r="F238" s="3">
        <f t="shared" si="6"/>
        <v>-3.3021988342443747</v>
      </c>
      <c r="K238" s="2">
        <v>45863</v>
      </c>
      <c r="L238">
        <v>13.55</v>
      </c>
      <c r="M238" s="7">
        <v>64832.6</v>
      </c>
    </row>
    <row r="239" spans="1:13" x14ac:dyDescent="0.35">
      <c r="A239" s="2">
        <v>45866</v>
      </c>
      <c r="B239">
        <v>13.57</v>
      </c>
      <c r="C239" s="7">
        <v>73441.7</v>
      </c>
      <c r="D239" s="5">
        <f t="shared" si="7"/>
        <v>5.0508465881171638E-4</v>
      </c>
      <c r="E239" s="5">
        <f>D239-$H$1</f>
        <v>-4.622598272852052E-5</v>
      </c>
      <c r="F239" s="3">
        <f t="shared" si="6"/>
        <v>-3.3949147557531854</v>
      </c>
      <c r="K239" s="2">
        <v>45866</v>
      </c>
      <c r="L239">
        <v>13.535</v>
      </c>
      <c r="M239" s="7">
        <v>64878.92</v>
      </c>
    </row>
    <row r="240" spans="1:13" x14ac:dyDescent="0.35">
      <c r="A240" s="2">
        <v>45867</v>
      </c>
      <c r="B240">
        <v>13.46</v>
      </c>
      <c r="C240" s="7">
        <v>73667.08</v>
      </c>
      <c r="D240" s="5">
        <f t="shared" si="7"/>
        <v>5.012373469635012E-4</v>
      </c>
      <c r="E240" s="5">
        <f>D240-$H$1</f>
        <v>-5.0073294576735705E-5</v>
      </c>
      <c r="F240" s="3">
        <f t="shared" si="6"/>
        <v>-3.6887533974479556</v>
      </c>
      <c r="K240" s="2">
        <v>45867</v>
      </c>
      <c r="L240">
        <v>13.37</v>
      </c>
      <c r="M240" s="7">
        <v>65233.83</v>
      </c>
    </row>
    <row r="241" spans="1:13" x14ac:dyDescent="0.35">
      <c r="A241" s="2">
        <v>45868</v>
      </c>
      <c r="B241">
        <v>13.515000000000001</v>
      </c>
      <c r="C241" s="7">
        <v>73603.62</v>
      </c>
      <c r="D241" s="5">
        <f t="shared" si="7"/>
        <v>5.0316146706075315E-4</v>
      </c>
      <c r="E241" s="5">
        <f>D241-$H$1</f>
        <v>-4.8149174479483747E-5</v>
      </c>
      <c r="F241" s="3">
        <f t="shared" si="6"/>
        <v>-3.5439535417016192</v>
      </c>
      <c r="K241" s="2">
        <v>45868</v>
      </c>
      <c r="L241">
        <v>13.41</v>
      </c>
      <c r="M241" s="7">
        <v>65164.61</v>
      </c>
    </row>
    <row r="242" spans="1:13" x14ac:dyDescent="0.35">
      <c r="A242" s="2">
        <v>45869</v>
      </c>
      <c r="B242">
        <v>13.675000000000001</v>
      </c>
      <c r="C242" s="7">
        <v>73406.429999999993</v>
      </c>
      <c r="D242" s="5">
        <f t="shared" si="7"/>
        <v>5.0875363205760138E-4</v>
      </c>
      <c r="E242" s="5">
        <f>D242-$H$1</f>
        <v>-4.2557009482635522E-5</v>
      </c>
      <c r="F242" s="3">
        <f t="shared" si="6"/>
        <v>-3.1239581375964205</v>
      </c>
      <c r="K242" s="2">
        <v>45869</v>
      </c>
      <c r="L242">
        <v>13.56</v>
      </c>
      <c r="M242" s="7">
        <v>64909.03</v>
      </c>
    </row>
    <row r="243" spans="1:13" x14ac:dyDescent="0.35">
      <c r="A243" s="2">
        <v>45870</v>
      </c>
      <c r="B243">
        <v>13.53</v>
      </c>
      <c r="C243" s="7">
        <v>73685.55</v>
      </c>
      <c r="D243" s="5">
        <f t="shared" si="7"/>
        <v>5.0368606593154119E-4</v>
      </c>
      <c r="E243" s="5">
        <f>D243-$H$1</f>
        <v>-4.7624575608695707E-5</v>
      </c>
      <c r="F243" s="3">
        <f t="shared" si="6"/>
        <v>-3.509243047243328</v>
      </c>
      <c r="K243" s="2">
        <v>45870</v>
      </c>
      <c r="L243">
        <v>13.46</v>
      </c>
      <c r="M243" s="7">
        <v>65210.26</v>
      </c>
    </row>
    <row r="244" spans="1:13" x14ac:dyDescent="0.35">
      <c r="A244" s="2">
        <v>45873</v>
      </c>
      <c r="B244">
        <v>13.43</v>
      </c>
      <c r="C244" s="7">
        <v>73835.199999999997</v>
      </c>
      <c r="D244" s="5">
        <f>(1+B244/100)^(1/252)-1</f>
        <v>5.0018743530255705E-4</v>
      </c>
      <c r="E244">
        <f>D244-$H$1</f>
        <v>-5.1123206237679852E-5</v>
      </c>
      <c r="F244" s="3">
        <f>E244*C244</f>
        <v>-3.7746921572003393</v>
      </c>
      <c r="G244" s="3">
        <f>F244*B1</f>
        <v>-117.01545687321052</v>
      </c>
      <c r="K244" s="2">
        <v>45873</v>
      </c>
      <c r="L244">
        <v>13.33</v>
      </c>
      <c r="M244" s="7">
        <v>65393.19</v>
      </c>
    </row>
    <row r="245" spans="1:13" x14ac:dyDescent="0.35">
      <c r="B245" s="9">
        <v>13.284999847412109</v>
      </c>
      <c r="C245" s="8">
        <v>75115.72</v>
      </c>
      <c r="D245" s="9">
        <f>(1+B245/100)^(1/252)-1</f>
        <v>4.9510895478510619E-4</v>
      </c>
      <c r="E245" s="9">
        <f>D245-$H$1</f>
        <v>-5.6201686755130709E-5</v>
      </c>
      <c r="F245" s="3">
        <f>E245*C245</f>
        <v>-4.2216301658261068</v>
      </c>
      <c r="G245" s="3">
        <f>F245*26</f>
        <v>-109.76238431147878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273-201B-4E20-886A-0CBC3DCCBBFA}">
  <dimension ref="A1:M1803"/>
  <sheetViews>
    <sheetView topLeftCell="A195" workbookViewId="0">
      <selection activeCell="A3" sqref="A3:C250"/>
    </sheetView>
  </sheetViews>
  <sheetFormatPr defaultRowHeight="14.5" x14ac:dyDescent="0.35"/>
  <cols>
    <col min="1" max="1" width="10.453125" bestFit="1" customWidth="1"/>
    <col min="2" max="3" width="10.08984375" bestFit="1" customWidth="1"/>
    <col min="5" max="5" width="10.453125" bestFit="1" customWidth="1"/>
    <col min="6" max="7" width="10.08984375" bestFit="1" customWidth="1"/>
    <col min="11" max="11" width="10.453125" bestFit="1" customWidth="1"/>
    <col min="12" max="13" width="10.08984375" bestFit="1" customWidth="1"/>
  </cols>
  <sheetData>
    <row r="1" spans="1:13" x14ac:dyDescent="0.35">
      <c r="A1" s="5"/>
    </row>
    <row r="2" spans="1:13" x14ac:dyDescent="0.35">
      <c r="A2" s="5" t="s">
        <v>44</v>
      </c>
      <c r="B2" s="5" t="s">
        <v>21</v>
      </c>
      <c r="C2" s="5" t="s">
        <v>25</v>
      </c>
    </row>
    <row r="3" spans="1:13" x14ac:dyDescent="0.35">
      <c r="A3" s="6">
        <v>45510</v>
      </c>
      <c r="B3" s="7">
        <v>68527.98</v>
      </c>
      <c r="C3" s="7">
        <v>61288.08</v>
      </c>
      <c r="K3" s="6"/>
      <c r="L3" s="7"/>
      <c r="M3" s="7"/>
    </row>
    <row r="4" spans="1:13" x14ac:dyDescent="0.35">
      <c r="A4" s="6">
        <v>45511</v>
      </c>
      <c r="B4" s="7">
        <v>68624.83</v>
      </c>
      <c r="C4" s="7">
        <v>61377.66</v>
      </c>
      <c r="K4" s="6"/>
      <c r="L4" s="7"/>
      <c r="M4" s="7"/>
    </row>
    <row r="5" spans="1:13" x14ac:dyDescent="0.35">
      <c r="A5" s="6">
        <v>45512</v>
      </c>
      <c r="B5" s="7">
        <v>68601.06</v>
      </c>
      <c r="C5" s="7">
        <v>61388.06</v>
      </c>
      <c r="K5" s="6"/>
      <c r="L5" s="7"/>
      <c r="M5" s="7"/>
    </row>
    <row r="6" spans="1:13" x14ac:dyDescent="0.35">
      <c r="A6" s="6">
        <v>45513</v>
      </c>
      <c r="B6" s="7">
        <v>69020.990000000005</v>
      </c>
      <c r="C6" s="7">
        <v>61887.41</v>
      </c>
      <c r="K6" s="6"/>
      <c r="L6" s="7"/>
      <c r="M6" s="7"/>
    </row>
    <row r="7" spans="1:13" x14ac:dyDescent="0.35">
      <c r="A7" s="6">
        <v>45516</v>
      </c>
      <c r="B7" s="7">
        <v>69088.66</v>
      </c>
      <c r="C7" s="7">
        <v>61970.080000000002</v>
      </c>
      <c r="K7" s="6"/>
      <c r="L7" s="7"/>
      <c r="M7" s="7"/>
    </row>
    <row r="8" spans="1:13" x14ac:dyDescent="0.35">
      <c r="A8" s="6">
        <v>45517</v>
      </c>
      <c r="B8" s="7">
        <v>69485.62</v>
      </c>
      <c r="C8" s="7">
        <v>62402.93</v>
      </c>
      <c r="K8" s="6"/>
      <c r="L8" s="7"/>
      <c r="M8" s="7"/>
    </row>
    <row r="9" spans="1:13" x14ac:dyDescent="0.35">
      <c r="A9" s="6">
        <v>45518</v>
      </c>
      <c r="B9" s="7">
        <v>69567.98</v>
      </c>
      <c r="C9" s="7">
        <v>62507.839999999997</v>
      </c>
      <c r="K9" s="6"/>
      <c r="L9" s="7"/>
      <c r="M9" s="7"/>
    </row>
    <row r="10" spans="1:13" x14ac:dyDescent="0.35">
      <c r="A10" s="6">
        <v>45519</v>
      </c>
      <c r="B10" s="7">
        <v>69293.66</v>
      </c>
      <c r="C10" s="7">
        <v>62206.09</v>
      </c>
      <c r="K10" s="6"/>
      <c r="L10" s="7"/>
      <c r="M10" s="7"/>
    </row>
    <row r="11" spans="1:13" x14ac:dyDescent="0.35">
      <c r="A11" s="6">
        <v>45520</v>
      </c>
      <c r="B11" s="7">
        <v>69329.91</v>
      </c>
      <c r="C11" s="7">
        <v>62293.69</v>
      </c>
      <c r="K11" s="6"/>
      <c r="L11" s="7"/>
      <c r="M11" s="7"/>
    </row>
    <row r="12" spans="1:13" x14ac:dyDescent="0.35">
      <c r="A12" s="6">
        <v>45523</v>
      </c>
      <c r="B12" s="7">
        <v>69638.34</v>
      </c>
      <c r="C12" s="7">
        <v>62612.61</v>
      </c>
      <c r="K12" s="6"/>
      <c r="L12" s="7"/>
      <c r="M12" s="7"/>
    </row>
    <row r="13" spans="1:13" x14ac:dyDescent="0.35">
      <c r="A13" s="6">
        <v>45524</v>
      </c>
      <c r="B13" s="7">
        <v>69498.509999999995</v>
      </c>
      <c r="C13" s="7">
        <v>62408.23</v>
      </c>
      <c r="K13" s="6"/>
      <c r="L13" s="7"/>
      <c r="M13" s="7"/>
    </row>
    <row r="14" spans="1:13" x14ac:dyDescent="0.35">
      <c r="A14" s="6">
        <v>45525</v>
      </c>
      <c r="B14" s="7">
        <v>69563.97</v>
      </c>
      <c r="C14" s="7">
        <v>62435.16</v>
      </c>
      <c r="K14" s="6"/>
      <c r="L14" s="7"/>
      <c r="M14" s="7"/>
    </row>
    <row r="15" spans="1:13" x14ac:dyDescent="0.35">
      <c r="A15" s="6">
        <v>45526</v>
      </c>
      <c r="B15" s="7">
        <v>69132.14</v>
      </c>
      <c r="C15" s="7">
        <v>61933.64</v>
      </c>
      <c r="K15" s="6"/>
      <c r="L15" s="7"/>
      <c r="M15" s="7"/>
    </row>
    <row r="16" spans="1:13" x14ac:dyDescent="0.35">
      <c r="A16" s="6">
        <v>45527</v>
      </c>
      <c r="B16" s="7">
        <v>69492.479999999996</v>
      </c>
      <c r="C16" s="7">
        <v>62302.7</v>
      </c>
      <c r="K16" s="6"/>
      <c r="L16" s="7"/>
      <c r="M16" s="7"/>
    </row>
    <row r="17" spans="1:13" x14ac:dyDescent="0.35">
      <c r="A17" s="6">
        <v>45530</v>
      </c>
      <c r="B17" s="7">
        <v>69657.94</v>
      </c>
      <c r="C17" s="7">
        <v>62450.62</v>
      </c>
      <c r="K17" s="6"/>
      <c r="L17" s="7"/>
      <c r="M17" s="7"/>
    </row>
    <row r="18" spans="1:13" x14ac:dyDescent="0.35">
      <c r="A18" s="6">
        <v>45531</v>
      </c>
      <c r="B18" s="7">
        <v>69521.399999999994</v>
      </c>
      <c r="C18" s="7">
        <v>62313.39</v>
      </c>
      <c r="K18" s="6"/>
      <c r="L18" s="7"/>
      <c r="M18" s="7"/>
    </row>
    <row r="19" spans="1:13" x14ac:dyDescent="0.35">
      <c r="A19" s="6">
        <v>45532</v>
      </c>
      <c r="B19" s="7">
        <v>69267.789999999994</v>
      </c>
      <c r="C19" s="7">
        <v>62023.360000000001</v>
      </c>
      <c r="K19" s="6"/>
      <c r="L19" s="7"/>
      <c r="M19" s="7"/>
    </row>
    <row r="20" spans="1:13" x14ac:dyDescent="0.35">
      <c r="A20" s="6">
        <v>45533</v>
      </c>
      <c r="B20" s="7">
        <v>68979.179999999993</v>
      </c>
      <c r="C20" s="7">
        <v>61709.47</v>
      </c>
      <c r="K20" s="6"/>
      <c r="L20" s="7"/>
      <c r="M20" s="7"/>
    </row>
    <row r="21" spans="1:13" x14ac:dyDescent="0.35">
      <c r="A21" s="6">
        <v>45534</v>
      </c>
      <c r="B21" s="7">
        <v>68589.149999999994</v>
      </c>
      <c r="C21" s="7">
        <v>61183.9</v>
      </c>
      <c r="K21" s="6"/>
      <c r="L21" s="7"/>
      <c r="M21" s="7"/>
    </row>
    <row r="22" spans="1:13" x14ac:dyDescent="0.35">
      <c r="A22" s="6">
        <v>45537</v>
      </c>
      <c r="B22" s="7">
        <v>68482.05</v>
      </c>
      <c r="C22" s="7">
        <v>61031.05</v>
      </c>
      <c r="K22" s="6"/>
      <c r="L22" s="7"/>
      <c r="M22" s="7"/>
    </row>
    <row r="23" spans="1:13" x14ac:dyDescent="0.35">
      <c r="A23" s="6">
        <v>45538</v>
      </c>
      <c r="B23" s="7">
        <v>68634.73</v>
      </c>
      <c r="C23" s="7">
        <v>61197.08</v>
      </c>
      <c r="K23" s="6"/>
      <c r="L23" s="7"/>
      <c r="M23" s="7"/>
    </row>
    <row r="24" spans="1:13" x14ac:dyDescent="0.35">
      <c r="A24" s="6">
        <v>45539</v>
      </c>
      <c r="B24" s="7">
        <v>69017.77</v>
      </c>
      <c r="C24" s="7">
        <v>61617.99</v>
      </c>
      <c r="K24" s="6"/>
      <c r="L24" s="7"/>
      <c r="M24" s="7"/>
    </row>
    <row r="25" spans="1:13" x14ac:dyDescent="0.35">
      <c r="A25" s="6">
        <v>45540</v>
      </c>
      <c r="B25" s="7">
        <v>69238.570000000007</v>
      </c>
      <c r="C25" s="7">
        <v>61889.49</v>
      </c>
      <c r="K25" s="6"/>
      <c r="L25" s="7"/>
      <c r="M25" s="7"/>
    </row>
    <row r="26" spans="1:13" x14ac:dyDescent="0.35">
      <c r="A26" s="6">
        <v>45541</v>
      </c>
      <c r="B26" s="7">
        <v>69320.320000000007</v>
      </c>
      <c r="C26" s="7">
        <v>62028.61</v>
      </c>
      <c r="K26" s="6"/>
      <c r="L26" s="7"/>
      <c r="M26" s="7"/>
    </row>
    <row r="27" spans="1:13" x14ac:dyDescent="0.35">
      <c r="A27" s="6">
        <v>45544</v>
      </c>
      <c r="B27" s="7">
        <v>69365.179999999993</v>
      </c>
      <c r="C27" s="7">
        <v>62082.2</v>
      </c>
      <c r="K27" s="6"/>
      <c r="L27" s="7"/>
      <c r="M27" s="7"/>
    </row>
    <row r="28" spans="1:13" x14ac:dyDescent="0.35">
      <c r="A28" s="6">
        <v>45545</v>
      </c>
      <c r="B28" s="7">
        <v>69322.13</v>
      </c>
      <c r="C28" s="7">
        <v>62028.88</v>
      </c>
      <c r="K28" s="6"/>
      <c r="L28" s="7"/>
      <c r="M28" s="7"/>
    </row>
    <row r="29" spans="1:13" x14ac:dyDescent="0.35">
      <c r="A29" s="6">
        <v>45546</v>
      </c>
      <c r="B29" s="7">
        <v>69381.320000000007</v>
      </c>
      <c r="C29" s="7">
        <v>62115.7</v>
      </c>
      <c r="K29" s="6"/>
      <c r="L29" s="7"/>
      <c r="M29" s="7"/>
    </row>
    <row r="30" spans="1:13" x14ac:dyDescent="0.35">
      <c r="A30" s="6">
        <v>45547</v>
      </c>
      <c r="B30" s="7">
        <v>69129.009999999995</v>
      </c>
      <c r="C30" s="7">
        <v>61769.53</v>
      </c>
      <c r="K30" s="6"/>
      <c r="L30" s="7"/>
      <c r="M30" s="7"/>
    </row>
    <row r="31" spans="1:13" x14ac:dyDescent="0.35">
      <c r="A31" s="6">
        <v>45548</v>
      </c>
      <c r="B31" s="7">
        <v>69232.91</v>
      </c>
      <c r="C31" s="7">
        <v>61900.91</v>
      </c>
      <c r="K31" s="6"/>
      <c r="L31" s="7"/>
      <c r="M31" s="7"/>
    </row>
    <row r="32" spans="1:13" x14ac:dyDescent="0.35">
      <c r="A32" s="6">
        <v>45551</v>
      </c>
      <c r="B32" s="7">
        <v>69158.259999999995</v>
      </c>
      <c r="C32" s="7">
        <v>61789.57</v>
      </c>
      <c r="K32" s="6"/>
      <c r="L32" s="7"/>
      <c r="M32" s="7"/>
    </row>
    <row r="33" spans="1:13" x14ac:dyDescent="0.35">
      <c r="A33" s="6">
        <v>45552</v>
      </c>
      <c r="B33" s="7">
        <v>69152.72</v>
      </c>
      <c r="C33" s="7">
        <v>61728.02</v>
      </c>
      <c r="K33" s="6"/>
      <c r="L33" s="7"/>
      <c r="M33" s="7"/>
    </row>
    <row r="34" spans="1:13" x14ac:dyDescent="0.35">
      <c r="A34" s="6">
        <v>45553</v>
      </c>
      <c r="B34" s="7">
        <v>69260.509999999995</v>
      </c>
      <c r="C34" s="7">
        <v>61849.69</v>
      </c>
      <c r="K34" s="6"/>
      <c r="L34" s="7"/>
      <c r="M34" s="7"/>
    </row>
    <row r="35" spans="1:13" x14ac:dyDescent="0.35">
      <c r="A35" s="6">
        <v>45554</v>
      </c>
      <c r="B35" s="7">
        <v>68978.820000000007</v>
      </c>
      <c r="C35" s="7">
        <v>61563.65</v>
      </c>
      <c r="K35" s="6"/>
      <c r="L35" s="7"/>
      <c r="M35" s="7"/>
    </row>
    <row r="36" spans="1:13" x14ac:dyDescent="0.35">
      <c r="A36" s="6">
        <v>45555</v>
      </c>
      <c r="B36" s="7">
        <v>68492.149999999994</v>
      </c>
      <c r="C36" s="7">
        <v>60940.23</v>
      </c>
      <c r="K36" s="6"/>
      <c r="L36" s="7"/>
      <c r="M36" s="7"/>
    </row>
    <row r="37" spans="1:13" x14ac:dyDescent="0.35">
      <c r="A37" s="6">
        <v>45558</v>
      </c>
      <c r="B37" s="7">
        <v>68151.289999999994</v>
      </c>
      <c r="C37" s="7">
        <v>60539.92</v>
      </c>
      <c r="K37" s="6"/>
      <c r="L37" s="7"/>
      <c r="M37" s="7"/>
    </row>
    <row r="38" spans="1:13" x14ac:dyDescent="0.35">
      <c r="A38" s="6">
        <v>45559</v>
      </c>
      <c r="B38" s="7">
        <v>68728.350000000006</v>
      </c>
      <c r="C38" s="7">
        <v>61213.39</v>
      </c>
      <c r="K38" s="6"/>
      <c r="L38" s="7"/>
      <c r="M38" s="7"/>
    </row>
    <row r="39" spans="1:13" x14ac:dyDescent="0.35">
      <c r="A39" s="6">
        <v>45560</v>
      </c>
      <c r="B39" s="7">
        <v>68845.490000000005</v>
      </c>
      <c r="C39" s="7">
        <v>61340.93</v>
      </c>
      <c r="K39" s="6"/>
      <c r="L39" s="7"/>
      <c r="M39" s="7"/>
    </row>
    <row r="40" spans="1:13" x14ac:dyDescent="0.35">
      <c r="A40" s="6">
        <v>45561</v>
      </c>
      <c r="B40" s="7">
        <v>68705.740000000005</v>
      </c>
      <c r="C40" s="7">
        <v>61202.78</v>
      </c>
      <c r="K40" s="6"/>
      <c r="L40" s="7"/>
      <c r="M40" s="7"/>
    </row>
    <row r="41" spans="1:13" x14ac:dyDescent="0.35">
      <c r="A41" s="6">
        <v>45562</v>
      </c>
      <c r="B41" s="7">
        <v>68582.66</v>
      </c>
      <c r="C41" s="7">
        <v>61086.02</v>
      </c>
      <c r="K41" s="6"/>
      <c r="L41" s="7"/>
      <c r="M41" s="7"/>
    </row>
    <row r="42" spans="1:13" x14ac:dyDescent="0.35">
      <c r="A42" s="6">
        <v>45565</v>
      </c>
      <c r="B42" s="7">
        <v>68464.23</v>
      </c>
      <c r="C42" s="7">
        <v>60919.5</v>
      </c>
      <c r="K42" s="6"/>
      <c r="L42" s="7"/>
      <c r="M42" s="7"/>
    </row>
    <row r="43" spans="1:13" x14ac:dyDescent="0.35">
      <c r="A43" s="6">
        <v>45566</v>
      </c>
      <c r="B43" s="7">
        <v>68594.649999999994</v>
      </c>
      <c r="C43" s="7">
        <v>61064.61</v>
      </c>
      <c r="K43" s="6"/>
      <c r="L43" s="7"/>
      <c r="M43" s="7"/>
    </row>
    <row r="44" spans="1:13" x14ac:dyDescent="0.35">
      <c r="A44" s="6">
        <v>45567</v>
      </c>
      <c r="B44" s="7">
        <v>68729.070000000007</v>
      </c>
      <c r="C44" s="7">
        <v>61200.73</v>
      </c>
      <c r="K44" s="6"/>
      <c r="L44" s="7"/>
      <c r="M44" s="7"/>
    </row>
    <row r="45" spans="1:13" x14ac:dyDescent="0.35">
      <c r="A45" s="6">
        <v>45568</v>
      </c>
      <c r="B45" s="7">
        <v>68640.39</v>
      </c>
      <c r="C45" s="7">
        <v>61114.44</v>
      </c>
      <c r="K45" s="6"/>
      <c r="L45" s="7"/>
      <c r="M45" s="7"/>
    </row>
    <row r="46" spans="1:13" x14ac:dyDescent="0.35">
      <c r="A46" s="6">
        <v>45569</v>
      </c>
      <c r="B46" s="7">
        <v>68530.58</v>
      </c>
      <c r="C46" s="7">
        <v>61005.72</v>
      </c>
      <c r="K46" s="6"/>
      <c r="L46" s="7"/>
      <c r="M46" s="7"/>
    </row>
    <row r="47" spans="1:13" x14ac:dyDescent="0.35">
      <c r="A47" s="6">
        <v>45572</v>
      </c>
      <c r="B47" s="7">
        <v>68684.289999999994</v>
      </c>
      <c r="C47" s="7">
        <v>61198.65</v>
      </c>
      <c r="K47" s="6"/>
      <c r="L47" s="7"/>
      <c r="M47" s="7"/>
    </row>
    <row r="48" spans="1:13" x14ac:dyDescent="0.35">
      <c r="A48" s="6">
        <v>45573</v>
      </c>
      <c r="B48" s="7">
        <v>68828.259999999995</v>
      </c>
      <c r="C48" s="7">
        <v>61373.62</v>
      </c>
      <c r="K48" s="6"/>
      <c r="L48" s="7"/>
      <c r="M48" s="7"/>
    </row>
    <row r="49" spans="1:13" x14ac:dyDescent="0.35">
      <c r="A49" s="6">
        <v>45574</v>
      </c>
      <c r="B49" s="7">
        <v>68325.460000000006</v>
      </c>
      <c r="C49" s="7">
        <v>60800.34</v>
      </c>
      <c r="K49" s="6"/>
      <c r="L49" s="7"/>
      <c r="M49" s="7"/>
    </row>
    <row r="50" spans="1:13" x14ac:dyDescent="0.35">
      <c r="A50" s="6">
        <v>45575</v>
      </c>
      <c r="B50" s="7">
        <v>68176.92</v>
      </c>
      <c r="C50" s="7">
        <v>60652.7</v>
      </c>
      <c r="K50" s="6"/>
      <c r="L50" s="7"/>
      <c r="M50" s="7"/>
    </row>
    <row r="51" spans="1:13" x14ac:dyDescent="0.35">
      <c r="A51" s="6">
        <v>45576</v>
      </c>
      <c r="B51" s="7">
        <v>67888.47</v>
      </c>
      <c r="C51" s="7">
        <v>60299.62</v>
      </c>
      <c r="K51" s="6"/>
      <c r="L51" s="7"/>
      <c r="M51" s="7"/>
    </row>
    <row r="52" spans="1:13" x14ac:dyDescent="0.35">
      <c r="A52" s="6">
        <v>45579</v>
      </c>
      <c r="B52" s="7">
        <v>68330.759999999995</v>
      </c>
      <c r="C52" s="7">
        <v>60804.91</v>
      </c>
      <c r="K52" s="6"/>
      <c r="L52" s="7"/>
      <c r="M52" s="7"/>
    </row>
    <row r="53" spans="1:13" x14ac:dyDescent="0.35">
      <c r="A53" s="6">
        <v>45580</v>
      </c>
      <c r="B53" s="7">
        <v>68186.929999999993</v>
      </c>
      <c r="C53" s="7">
        <v>60621.919999999998</v>
      </c>
      <c r="K53" s="6"/>
      <c r="L53" s="7"/>
      <c r="M53" s="7"/>
    </row>
    <row r="54" spans="1:13" x14ac:dyDescent="0.35">
      <c r="A54" s="6">
        <v>45581</v>
      </c>
      <c r="B54" s="7">
        <v>68047.83</v>
      </c>
      <c r="C54" s="7">
        <v>60408.76</v>
      </c>
      <c r="K54" s="6"/>
      <c r="L54" s="7"/>
      <c r="M54" s="7"/>
    </row>
    <row r="55" spans="1:13" x14ac:dyDescent="0.35">
      <c r="A55" s="6">
        <v>45582</v>
      </c>
      <c r="B55" s="7">
        <v>67953.67</v>
      </c>
      <c r="C55" s="7">
        <v>60272.68</v>
      </c>
      <c r="K55" s="6"/>
      <c r="L55" s="7"/>
      <c r="M55" s="7"/>
    </row>
    <row r="56" spans="1:13" x14ac:dyDescent="0.35">
      <c r="A56" s="6">
        <v>45583</v>
      </c>
      <c r="B56" s="7">
        <v>67860.03</v>
      </c>
      <c r="C56" s="7">
        <v>60170.6</v>
      </c>
      <c r="K56" s="6"/>
      <c r="L56" s="7"/>
      <c r="M56" s="7"/>
    </row>
    <row r="57" spans="1:13" x14ac:dyDescent="0.35">
      <c r="A57" s="6">
        <v>45586</v>
      </c>
      <c r="B57" s="7">
        <v>68032.5</v>
      </c>
      <c r="C57" s="7">
        <v>60355.25</v>
      </c>
      <c r="K57" s="6"/>
      <c r="L57" s="7"/>
      <c r="M57" s="7"/>
    </row>
    <row r="58" spans="1:13" x14ac:dyDescent="0.35">
      <c r="A58" s="6">
        <v>45587</v>
      </c>
      <c r="B58" s="7">
        <v>68044.17</v>
      </c>
      <c r="C58" s="7">
        <v>60402.11</v>
      </c>
      <c r="K58" s="6"/>
      <c r="L58" s="7"/>
      <c r="M58" s="7"/>
    </row>
    <row r="59" spans="1:13" x14ac:dyDescent="0.35">
      <c r="A59" s="6">
        <v>45588</v>
      </c>
      <c r="B59" s="7">
        <v>67924.19</v>
      </c>
      <c r="C59" s="7">
        <v>60240.27</v>
      </c>
      <c r="K59" s="6"/>
      <c r="L59" s="7"/>
      <c r="M59" s="7"/>
    </row>
    <row r="60" spans="1:13" x14ac:dyDescent="0.35">
      <c r="A60" s="6">
        <v>45589</v>
      </c>
      <c r="B60" s="7">
        <v>68400.899999999994</v>
      </c>
      <c r="C60" s="7">
        <v>60794.85</v>
      </c>
      <c r="K60" s="6"/>
      <c r="L60" s="7"/>
      <c r="M60" s="7"/>
    </row>
    <row r="61" spans="1:13" x14ac:dyDescent="0.35">
      <c r="A61" s="6">
        <v>45590</v>
      </c>
      <c r="B61" s="7">
        <v>68280.11</v>
      </c>
      <c r="C61" s="7">
        <v>60645.13</v>
      </c>
      <c r="K61" s="6"/>
      <c r="L61" s="7"/>
      <c r="M61" s="7"/>
    </row>
    <row r="62" spans="1:13" x14ac:dyDescent="0.35">
      <c r="A62" s="6">
        <v>45593</v>
      </c>
      <c r="B62" s="7">
        <v>68263.11</v>
      </c>
      <c r="C62" s="7">
        <v>60605.14</v>
      </c>
      <c r="K62" s="6"/>
      <c r="L62" s="7"/>
      <c r="M62" s="7"/>
    </row>
    <row r="63" spans="1:13" x14ac:dyDescent="0.35">
      <c r="A63" s="6">
        <v>45594</v>
      </c>
      <c r="B63" s="7">
        <v>68116.69</v>
      </c>
      <c r="C63" s="7">
        <v>60412.34</v>
      </c>
      <c r="K63" s="6"/>
      <c r="L63" s="7"/>
      <c r="M63" s="7"/>
    </row>
    <row r="64" spans="1:13" x14ac:dyDescent="0.35">
      <c r="A64" s="6">
        <v>45595</v>
      </c>
      <c r="B64" s="7">
        <v>68204.759999999995</v>
      </c>
      <c r="C64" s="7">
        <v>60523.48</v>
      </c>
      <c r="K64" s="6"/>
      <c r="L64" s="7"/>
      <c r="M64" s="7"/>
    </row>
    <row r="65" spans="1:13" x14ac:dyDescent="0.35">
      <c r="A65" s="6">
        <v>45596</v>
      </c>
      <c r="B65" s="7">
        <v>68102.789999999994</v>
      </c>
      <c r="C65" s="7">
        <v>60417.7</v>
      </c>
      <c r="K65" s="6"/>
      <c r="L65" s="7"/>
      <c r="M65" s="7"/>
    </row>
    <row r="66" spans="1:13" x14ac:dyDescent="0.35">
      <c r="A66" s="6">
        <v>45597</v>
      </c>
      <c r="B66" s="7">
        <v>67549.69</v>
      </c>
      <c r="C66" s="7">
        <v>59758.5</v>
      </c>
      <c r="K66" s="6"/>
      <c r="L66" s="7"/>
      <c r="M66" s="7"/>
    </row>
    <row r="67" spans="1:13" x14ac:dyDescent="0.35">
      <c r="A67" s="6">
        <v>45600</v>
      </c>
      <c r="B67" s="7">
        <v>68051.520000000004</v>
      </c>
      <c r="C67" s="7">
        <v>60324.17</v>
      </c>
      <c r="K67" s="6"/>
      <c r="L67" s="7"/>
      <c r="M67" s="7"/>
    </row>
    <row r="68" spans="1:13" x14ac:dyDescent="0.35">
      <c r="A68" s="6">
        <v>45601</v>
      </c>
      <c r="B68" s="7">
        <v>68196.160000000003</v>
      </c>
      <c r="C68" s="7">
        <v>60461.4</v>
      </c>
      <c r="K68" s="6"/>
      <c r="L68" s="7"/>
      <c r="M68" s="7"/>
    </row>
    <row r="69" spans="1:13" x14ac:dyDescent="0.35">
      <c r="A69" s="6">
        <v>45602</v>
      </c>
      <c r="B69" s="7">
        <v>68200.86</v>
      </c>
      <c r="C69" s="7">
        <v>60539.199999999997</v>
      </c>
      <c r="K69" s="6"/>
      <c r="L69" s="7"/>
      <c r="M69" s="7"/>
    </row>
    <row r="70" spans="1:13" x14ac:dyDescent="0.35">
      <c r="A70" s="6">
        <v>45603</v>
      </c>
      <c r="B70" s="7">
        <v>68303.86</v>
      </c>
      <c r="C70" s="7">
        <v>60718.62</v>
      </c>
      <c r="K70" s="6"/>
      <c r="L70" s="7"/>
      <c r="M70" s="7"/>
    </row>
    <row r="71" spans="1:13" x14ac:dyDescent="0.35">
      <c r="A71" s="6">
        <v>45604</v>
      </c>
      <c r="B71" s="7">
        <v>68174.69</v>
      </c>
      <c r="C71" s="7">
        <v>60602.239999999998</v>
      </c>
      <c r="K71" s="6"/>
      <c r="L71" s="7"/>
      <c r="M71" s="7"/>
    </row>
    <row r="72" spans="1:13" x14ac:dyDescent="0.35">
      <c r="A72" s="6">
        <v>45607</v>
      </c>
      <c r="B72" s="7">
        <v>68059.429999999993</v>
      </c>
      <c r="C72" s="7">
        <v>60501.81</v>
      </c>
      <c r="K72" s="6"/>
      <c r="L72" s="7"/>
      <c r="M72" s="7"/>
    </row>
    <row r="73" spans="1:13" x14ac:dyDescent="0.35">
      <c r="A73" s="6">
        <v>45608</v>
      </c>
      <c r="B73" s="7">
        <v>67875.72</v>
      </c>
      <c r="C73" s="7">
        <v>60257.58</v>
      </c>
      <c r="K73" s="6"/>
      <c r="L73" s="7"/>
      <c r="M73" s="7"/>
    </row>
    <row r="74" spans="1:13" x14ac:dyDescent="0.35">
      <c r="A74" s="6">
        <v>45609</v>
      </c>
      <c r="B74" s="7">
        <v>67771.37</v>
      </c>
      <c r="C74" s="7">
        <v>60138.99</v>
      </c>
      <c r="K74" s="6"/>
      <c r="L74" s="7"/>
      <c r="M74" s="7"/>
    </row>
    <row r="75" spans="1:13" x14ac:dyDescent="0.35">
      <c r="A75" s="6">
        <v>45610</v>
      </c>
      <c r="B75" s="7">
        <v>67890.600000000006</v>
      </c>
      <c r="C75" s="7">
        <v>60246.97</v>
      </c>
      <c r="K75" s="6"/>
      <c r="L75" s="7"/>
      <c r="M75" s="7"/>
    </row>
    <row r="76" spans="1:13" x14ac:dyDescent="0.35">
      <c r="A76" s="6">
        <v>45614</v>
      </c>
      <c r="B76" s="7">
        <v>67690.259999999995</v>
      </c>
      <c r="C76" s="7">
        <v>60061.57</v>
      </c>
      <c r="K76" s="6"/>
      <c r="L76" s="7"/>
      <c r="M76" s="7"/>
    </row>
    <row r="77" spans="1:13" x14ac:dyDescent="0.35">
      <c r="A77" s="6">
        <v>45615</v>
      </c>
      <c r="B77" s="7">
        <v>67909.47</v>
      </c>
      <c r="C77" s="7">
        <v>60264.9</v>
      </c>
      <c r="K77" s="6"/>
      <c r="L77" s="7"/>
      <c r="M77" s="7"/>
    </row>
    <row r="78" spans="1:13" x14ac:dyDescent="0.35">
      <c r="A78" s="6">
        <v>45617</v>
      </c>
      <c r="B78" s="7">
        <v>68049.03</v>
      </c>
      <c r="C78" s="7">
        <v>60418.57</v>
      </c>
      <c r="K78" s="6"/>
      <c r="L78" s="7"/>
      <c r="M78" s="7"/>
    </row>
    <row r="79" spans="1:13" x14ac:dyDescent="0.35">
      <c r="A79" s="6">
        <v>45618</v>
      </c>
      <c r="B79" s="7">
        <v>67976.800000000003</v>
      </c>
      <c r="C79" s="7">
        <v>60322.07</v>
      </c>
      <c r="K79" s="6"/>
      <c r="L79" s="7"/>
      <c r="M79" s="7"/>
    </row>
    <row r="80" spans="1:13" x14ac:dyDescent="0.35">
      <c r="A80" s="6">
        <v>45621</v>
      </c>
      <c r="B80" s="7">
        <v>68164.539999999994</v>
      </c>
      <c r="C80" s="7">
        <v>60562.77</v>
      </c>
      <c r="K80" s="6"/>
      <c r="L80" s="7"/>
      <c r="M80" s="7"/>
    </row>
    <row r="81" spans="1:13" x14ac:dyDescent="0.35">
      <c r="A81" s="6">
        <v>45622</v>
      </c>
      <c r="B81" s="7">
        <v>68246.44</v>
      </c>
      <c r="C81" s="7">
        <v>60659.98</v>
      </c>
      <c r="K81" s="6"/>
      <c r="L81" s="7"/>
      <c r="M81" s="7"/>
    </row>
    <row r="82" spans="1:13" x14ac:dyDescent="0.35">
      <c r="A82" s="6">
        <v>45623</v>
      </c>
      <c r="B82" s="7">
        <v>67577.100000000006</v>
      </c>
      <c r="C82" s="7">
        <v>59812.11</v>
      </c>
      <c r="K82" s="6"/>
      <c r="L82" s="7"/>
      <c r="M82" s="7"/>
    </row>
    <row r="83" spans="1:13" x14ac:dyDescent="0.35">
      <c r="A83" s="6">
        <v>45624</v>
      </c>
      <c r="B83" s="7">
        <v>67102.98</v>
      </c>
      <c r="C83" s="7">
        <v>59235.9</v>
      </c>
      <c r="K83" s="6"/>
      <c r="L83" s="7"/>
      <c r="M83" s="7"/>
    </row>
    <row r="84" spans="1:13" x14ac:dyDescent="0.35">
      <c r="A84" s="6">
        <v>45625</v>
      </c>
      <c r="B84" s="7">
        <v>66982.009999999995</v>
      </c>
      <c r="C84" s="7">
        <v>59196.56</v>
      </c>
      <c r="K84" s="6"/>
      <c r="L84" s="7"/>
      <c r="M84" s="7"/>
    </row>
    <row r="85" spans="1:13" x14ac:dyDescent="0.35">
      <c r="A85" s="6">
        <v>45628</v>
      </c>
      <c r="B85" s="7">
        <v>66924.77</v>
      </c>
      <c r="C85" s="7">
        <v>59087.97</v>
      </c>
      <c r="K85" s="6"/>
      <c r="L85" s="7"/>
      <c r="M85" s="7"/>
    </row>
    <row r="86" spans="1:13" x14ac:dyDescent="0.35">
      <c r="A86" s="6">
        <v>45629</v>
      </c>
      <c r="B86" s="7">
        <v>66472.42</v>
      </c>
      <c r="C86" s="7">
        <v>58531.57</v>
      </c>
      <c r="K86" s="6"/>
      <c r="L86" s="7"/>
      <c r="M86" s="7"/>
    </row>
    <row r="87" spans="1:13" x14ac:dyDescent="0.35">
      <c r="A87" s="6">
        <v>45630</v>
      </c>
      <c r="B87" s="7">
        <v>66555.7</v>
      </c>
      <c r="C87" s="7">
        <v>58653.68</v>
      </c>
      <c r="K87" s="6"/>
      <c r="L87" s="7"/>
      <c r="M87" s="7"/>
    </row>
    <row r="88" spans="1:13" x14ac:dyDescent="0.35">
      <c r="A88" s="6">
        <v>45631</v>
      </c>
      <c r="B88" s="7">
        <v>66482.320000000007</v>
      </c>
      <c r="C88" s="7">
        <v>58644.94</v>
      </c>
      <c r="K88" s="6"/>
      <c r="L88" s="7"/>
      <c r="M88" s="7"/>
    </row>
    <row r="89" spans="1:13" x14ac:dyDescent="0.35">
      <c r="A89" s="6">
        <v>45632</v>
      </c>
      <c r="B89" s="7">
        <v>65880.53</v>
      </c>
      <c r="C89" s="7">
        <v>57971.39</v>
      </c>
      <c r="K89" s="6"/>
      <c r="L89" s="7"/>
      <c r="M89" s="7"/>
    </row>
    <row r="90" spans="1:13" x14ac:dyDescent="0.35">
      <c r="A90" s="6">
        <v>45635</v>
      </c>
      <c r="B90" s="7">
        <v>65509.72</v>
      </c>
      <c r="C90" s="7">
        <v>57526.86</v>
      </c>
      <c r="K90" s="6"/>
      <c r="L90" s="7"/>
      <c r="M90" s="7"/>
    </row>
    <row r="91" spans="1:13" x14ac:dyDescent="0.35">
      <c r="A91" s="6">
        <v>45636</v>
      </c>
      <c r="B91" s="7">
        <v>66171.399999999994</v>
      </c>
      <c r="C91" s="7">
        <v>58340.9</v>
      </c>
      <c r="K91" s="6"/>
      <c r="L91" s="7"/>
      <c r="M91" s="7"/>
    </row>
    <row r="92" spans="1:13" x14ac:dyDescent="0.35">
      <c r="A92" s="6">
        <v>45637</v>
      </c>
      <c r="B92" s="7">
        <v>66550.87</v>
      </c>
      <c r="C92" s="7">
        <v>58772.19</v>
      </c>
      <c r="K92" s="6"/>
      <c r="L92" s="7"/>
      <c r="M92" s="7"/>
    </row>
    <row r="93" spans="1:13" x14ac:dyDescent="0.35">
      <c r="A93" s="6">
        <v>45638</v>
      </c>
      <c r="B93" s="7">
        <v>66378.070000000007</v>
      </c>
      <c r="C93" s="7">
        <v>58637.59</v>
      </c>
      <c r="K93" s="6"/>
      <c r="L93" s="7"/>
      <c r="M93" s="7"/>
    </row>
    <row r="94" spans="1:13" x14ac:dyDescent="0.35">
      <c r="A94" s="6">
        <v>45639</v>
      </c>
      <c r="B94" s="7">
        <v>65711.41</v>
      </c>
      <c r="C94" s="7">
        <v>57818.04</v>
      </c>
      <c r="K94" s="6"/>
      <c r="L94" s="7"/>
      <c r="M94" s="7"/>
    </row>
    <row r="95" spans="1:13" x14ac:dyDescent="0.35">
      <c r="A95" s="6">
        <v>45642</v>
      </c>
      <c r="B95" s="7">
        <v>64992.47</v>
      </c>
      <c r="C95" s="7">
        <v>56853.83</v>
      </c>
      <c r="K95" s="6"/>
      <c r="L95" s="7"/>
      <c r="M95" s="7"/>
    </row>
    <row r="96" spans="1:13" x14ac:dyDescent="0.35">
      <c r="A96" s="6">
        <v>45643</v>
      </c>
      <c r="B96" s="7">
        <v>65020.66</v>
      </c>
      <c r="C96" s="7">
        <v>56883.61</v>
      </c>
      <c r="K96" s="6"/>
      <c r="L96" s="7"/>
      <c r="M96" s="7"/>
    </row>
    <row r="97" spans="1:13" x14ac:dyDescent="0.35">
      <c r="A97" s="6">
        <v>45644</v>
      </c>
      <c r="B97" s="7">
        <v>64152.55</v>
      </c>
      <c r="C97" s="7">
        <v>55889.760000000002</v>
      </c>
      <c r="K97" s="6"/>
      <c r="L97" s="7"/>
      <c r="M97" s="7"/>
    </row>
    <row r="98" spans="1:13" x14ac:dyDescent="0.35">
      <c r="A98" s="6">
        <v>45645</v>
      </c>
      <c r="B98" s="7">
        <v>65327.98</v>
      </c>
      <c r="C98" s="7">
        <v>57256.93</v>
      </c>
      <c r="K98" s="6"/>
      <c r="L98" s="7"/>
      <c r="M98" s="7"/>
    </row>
    <row r="99" spans="1:13" x14ac:dyDescent="0.35">
      <c r="A99" s="6">
        <v>45646</v>
      </c>
      <c r="B99" s="7">
        <v>66022</v>
      </c>
      <c r="C99" s="7">
        <v>58088.09</v>
      </c>
      <c r="K99" s="6"/>
      <c r="L99" s="7"/>
      <c r="M99" s="7"/>
    </row>
    <row r="100" spans="1:13" x14ac:dyDescent="0.35">
      <c r="A100" s="6">
        <v>45649</v>
      </c>
      <c r="B100" s="7">
        <v>65285.19</v>
      </c>
      <c r="C100" s="7">
        <v>57252.69</v>
      </c>
      <c r="K100" s="6"/>
      <c r="L100" s="7"/>
      <c r="M100" s="7"/>
    </row>
    <row r="101" spans="1:13" x14ac:dyDescent="0.35">
      <c r="A101" s="6">
        <v>45652</v>
      </c>
      <c r="B101" s="7">
        <v>64960.43</v>
      </c>
      <c r="C101" s="7">
        <v>56767.46</v>
      </c>
      <c r="K101" s="6"/>
      <c r="L101" s="7"/>
      <c r="M101" s="7"/>
    </row>
    <row r="102" spans="1:13" x14ac:dyDescent="0.35">
      <c r="A102" s="6">
        <v>45653</v>
      </c>
      <c r="B102" s="7">
        <v>64649.65</v>
      </c>
      <c r="C102" s="7">
        <v>56300.17</v>
      </c>
      <c r="K102" s="6"/>
      <c r="L102" s="7"/>
      <c r="M102" s="7"/>
    </row>
    <row r="103" spans="1:13" x14ac:dyDescent="0.35">
      <c r="A103" s="6">
        <v>45656</v>
      </c>
      <c r="B103" s="7">
        <v>64328.59</v>
      </c>
      <c r="C103" s="7">
        <v>55900.22</v>
      </c>
      <c r="K103" s="6"/>
      <c r="L103" s="7"/>
      <c r="M103" s="7"/>
    </row>
    <row r="104" spans="1:13" x14ac:dyDescent="0.35">
      <c r="A104" s="6">
        <v>45659</v>
      </c>
      <c r="B104" s="7">
        <v>64753.440000000002</v>
      </c>
      <c r="C104" s="7">
        <v>56356.33</v>
      </c>
      <c r="K104" s="6"/>
      <c r="L104" s="7"/>
      <c r="M104" s="7"/>
    </row>
    <row r="105" spans="1:13" x14ac:dyDescent="0.35">
      <c r="A105" s="6">
        <v>45660</v>
      </c>
      <c r="B105" s="7">
        <v>65159.49</v>
      </c>
      <c r="C105" s="7">
        <v>56818.25</v>
      </c>
      <c r="K105" s="6"/>
      <c r="L105" s="7"/>
      <c r="M105" s="7"/>
    </row>
    <row r="106" spans="1:13" x14ac:dyDescent="0.35">
      <c r="A106" s="6">
        <v>45663</v>
      </c>
      <c r="B106" s="7">
        <v>65510.26</v>
      </c>
      <c r="C106" s="7">
        <v>57270.12</v>
      </c>
      <c r="K106" s="6"/>
      <c r="L106" s="7"/>
      <c r="M106" s="7"/>
    </row>
    <row r="107" spans="1:13" x14ac:dyDescent="0.35">
      <c r="A107" s="6">
        <v>45664</v>
      </c>
      <c r="B107" s="7">
        <v>65440.86</v>
      </c>
      <c r="C107" s="7">
        <v>57148.76</v>
      </c>
      <c r="K107" s="6"/>
      <c r="L107" s="7"/>
      <c r="M107" s="7"/>
    </row>
    <row r="108" spans="1:13" x14ac:dyDescent="0.35">
      <c r="A108" s="6">
        <v>45665</v>
      </c>
      <c r="B108" s="7">
        <v>65418.97</v>
      </c>
      <c r="C108" s="7">
        <v>57028.06</v>
      </c>
      <c r="K108" s="6"/>
      <c r="L108" s="7"/>
      <c r="M108" s="7"/>
    </row>
    <row r="109" spans="1:13" x14ac:dyDescent="0.35">
      <c r="A109" s="6">
        <v>45666</v>
      </c>
      <c r="B109" s="7">
        <v>65705.64</v>
      </c>
      <c r="C109" s="7">
        <v>57342.55</v>
      </c>
      <c r="K109" s="6"/>
      <c r="L109" s="7"/>
      <c r="M109" s="7"/>
    </row>
    <row r="110" spans="1:13" x14ac:dyDescent="0.35">
      <c r="A110" s="6">
        <v>45667</v>
      </c>
      <c r="B110" s="7">
        <v>65422.71</v>
      </c>
      <c r="C110" s="7">
        <v>56928.6</v>
      </c>
      <c r="K110" s="6"/>
      <c r="L110" s="7"/>
      <c r="M110" s="7"/>
    </row>
    <row r="111" spans="1:13" x14ac:dyDescent="0.35">
      <c r="A111" s="6">
        <v>45670</v>
      </c>
      <c r="B111" s="7">
        <v>65634.63</v>
      </c>
      <c r="C111" s="7">
        <v>57083.62</v>
      </c>
      <c r="K111" s="6"/>
      <c r="L111" s="7"/>
      <c r="M111" s="7"/>
    </row>
    <row r="112" spans="1:13" x14ac:dyDescent="0.35">
      <c r="A112" s="6">
        <v>45671</v>
      </c>
      <c r="B112" s="7">
        <v>65865.490000000005</v>
      </c>
      <c r="C112" s="7">
        <v>57372.05</v>
      </c>
      <c r="K112" s="6"/>
      <c r="L112" s="7"/>
      <c r="M112" s="7"/>
    </row>
    <row r="113" spans="1:13" x14ac:dyDescent="0.35">
      <c r="A113" s="6">
        <v>45672</v>
      </c>
      <c r="B113" s="7">
        <v>66349.81</v>
      </c>
      <c r="C113" s="7">
        <v>58047.73</v>
      </c>
      <c r="K113" s="6"/>
      <c r="L113" s="7"/>
      <c r="M113" s="7"/>
    </row>
    <row r="114" spans="1:13" x14ac:dyDescent="0.35">
      <c r="A114" s="6">
        <v>45673</v>
      </c>
      <c r="B114" s="7">
        <v>66059.28</v>
      </c>
      <c r="C114" s="7">
        <v>57656.34</v>
      </c>
      <c r="K114" s="6"/>
      <c r="L114" s="7"/>
      <c r="M114" s="7"/>
    </row>
    <row r="115" spans="1:13" x14ac:dyDescent="0.35">
      <c r="A115" s="6">
        <v>45674</v>
      </c>
      <c r="B115" s="7">
        <v>65957.960000000006</v>
      </c>
      <c r="C115" s="7">
        <v>57452.87</v>
      </c>
      <c r="K115" s="6"/>
      <c r="L115" s="7"/>
      <c r="M115" s="7"/>
    </row>
    <row r="116" spans="1:13" x14ac:dyDescent="0.35">
      <c r="A116" s="6">
        <v>45677</v>
      </c>
      <c r="B116" s="7">
        <v>66231.08</v>
      </c>
      <c r="C116" s="7">
        <v>57828.83</v>
      </c>
      <c r="K116" s="6"/>
      <c r="L116" s="7"/>
      <c r="M116" s="7"/>
    </row>
    <row r="117" spans="1:13" x14ac:dyDescent="0.35">
      <c r="A117" s="6">
        <v>45678</v>
      </c>
      <c r="B117" s="7">
        <v>66220.7</v>
      </c>
      <c r="C117" s="7">
        <v>57780.160000000003</v>
      </c>
      <c r="K117" s="6"/>
      <c r="L117" s="7"/>
      <c r="M117" s="7"/>
    </row>
    <row r="118" spans="1:13" x14ac:dyDescent="0.35">
      <c r="A118" s="6">
        <v>45679</v>
      </c>
      <c r="B118" s="7">
        <v>66338.64</v>
      </c>
      <c r="C118" s="7">
        <v>57908.74</v>
      </c>
      <c r="K118" s="6"/>
      <c r="L118" s="7"/>
      <c r="M118" s="7"/>
    </row>
    <row r="119" spans="1:13" x14ac:dyDescent="0.35">
      <c r="A119" s="6">
        <v>45680</v>
      </c>
      <c r="B119" s="7">
        <v>66081.13</v>
      </c>
      <c r="C119" s="7">
        <v>57616.98</v>
      </c>
      <c r="K119" s="6"/>
      <c r="L119" s="7"/>
      <c r="M119" s="7"/>
    </row>
    <row r="120" spans="1:13" x14ac:dyDescent="0.35">
      <c r="A120" s="6">
        <v>45681</v>
      </c>
      <c r="B120" s="7">
        <v>66049.61</v>
      </c>
      <c r="C120" s="7">
        <v>57592.59</v>
      </c>
      <c r="K120" s="6"/>
      <c r="L120" s="7"/>
      <c r="M120" s="7"/>
    </row>
    <row r="121" spans="1:13" x14ac:dyDescent="0.35">
      <c r="A121" s="6">
        <v>45684</v>
      </c>
      <c r="B121" s="7">
        <v>66204.05</v>
      </c>
      <c r="C121" s="7">
        <v>57810.67</v>
      </c>
      <c r="K121" s="6"/>
      <c r="L121" s="7"/>
      <c r="M121" s="7"/>
    </row>
    <row r="122" spans="1:13" x14ac:dyDescent="0.35">
      <c r="A122" s="6">
        <v>45685</v>
      </c>
      <c r="B122" s="7">
        <v>66301.55</v>
      </c>
      <c r="C122" s="7">
        <v>57895.82</v>
      </c>
      <c r="K122" s="6"/>
      <c r="L122" s="7"/>
      <c r="M122" s="7"/>
    </row>
    <row r="123" spans="1:13" x14ac:dyDescent="0.35">
      <c r="A123" s="6">
        <v>45686</v>
      </c>
      <c r="B123" s="7">
        <v>66188.100000000006</v>
      </c>
      <c r="C123" s="7">
        <v>57753.94</v>
      </c>
      <c r="K123" s="6"/>
      <c r="L123" s="7"/>
      <c r="M123" s="7"/>
    </row>
    <row r="124" spans="1:13" x14ac:dyDescent="0.35">
      <c r="A124" s="6">
        <v>45687</v>
      </c>
      <c r="B124" s="7">
        <v>66956.88</v>
      </c>
      <c r="C124" s="7">
        <v>58522.03</v>
      </c>
      <c r="K124" s="6"/>
      <c r="L124" s="7"/>
      <c r="M124" s="7"/>
    </row>
    <row r="125" spans="1:13" x14ac:dyDescent="0.35">
      <c r="A125" s="6">
        <v>45688</v>
      </c>
      <c r="B125" s="7">
        <v>67029.14</v>
      </c>
      <c r="C125" s="7">
        <v>58675.09</v>
      </c>
      <c r="K125" s="6"/>
      <c r="L125" s="7"/>
      <c r="M125" s="7"/>
    </row>
    <row r="126" spans="1:13" x14ac:dyDescent="0.35">
      <c r="A126" s="6">
        <v>45691</v>
      </c>
      <c r="B126" s="7">
        <v>67340.77</v>
      </c>
      <c r="C126" s="7">
        <v>59073.95</v>
      </c>
      <c r="K126" s="6"/>
      <c r="L126" s="7"/>
      <c r="M126" s="7"/>
    </row>
    <row r="127" spans="1:13" x14ac:dyDescent="0.35">
      <c r="A127" s="6">
        <v>45692</v>
      </c>
      <c r="B127" s="7">
        <v>67460.649999999994</v>
      </c>
      <c r="C127" s="7">
        <v>59252.05</v>
      </c>
      <c r="K127" s="6"/>
      <c r="L127" s="7"/>
      <c r="M127" s="7"/>
    </row>
    <row r="128" spans="1:13" x14ac:dyDescent="0.35">
      <c r="A128" s="6">
        <v>45693</v>
      </c>
      <c r="B128" s="7">
        <v>67201.83</v>
      </c>
      <c r="C128" s="7">
        <v>58910.14</v>
      </c>
      <c r="K128" s="6"/>
      <c r="L128" s="7"/>
      <c r="M128" s="7"/>
    </row>
    <row r="129" spans="1:13" x14ac:dyDescent="0.35">
      <c r="A129" s="6">
        <v>45694</v>
      </c>
      <c r="B129" s="7">
        <v>67167.58</v>
      </c>
      <c r="C129" s="7">
        <v>58840.74</v>
      </c>
      <c r="K129" s="6"/>
      <c r="L129" s="7"/>
      <c r="M129" s="7"/>
    </row>
    <row r="130" spans="1:13" x14ac:dyDescent="0.35">
      <c r="A130" s="6">
        <v>45695</v>
      </c>
      <c r="B130" s="7">
        <v>66876.55</v>
      </c>
      <c r="C130" s="7">
        <v>58511.09</v>
      </c>
      <c r="K130" s="6"/>
      <c r="L130" s="7"/>
      <c r="M130" s="7"/>
    </row>
    <row r="131" spans="1:13" x14ac:dyDescent="0.35">
      <c r="A131" s="6">
        <v>45698</v>
      </c>
      <c r="B131" s="7">
        <v>66870.11</v>
      </c>
      <c r="C131" s="7">
        <v>58448.94</v>
      </c>
      <c r="K131" s="6"/>
      <c r="L131" s="7"/>
      <c r="M131" s="7"/>
    </row>
    <row r="132" spans="1:13" x14ac:dyDescent="0.35">
      <c r="A132" s="6">
        <v>45699</v>
      </c>
      <c r="B132" s="7">
        <v>67123.31</v>
      </c>
      <c r="C132" s="7">
        <v>58695.65</v>
      </c>
      <c r="K132" s="6"/>
      <c r="L132" s="7"/>
      <c r="M132" s="7"/>
    </row>
    <row r="133" spans="1:13" x14ac:dyDescent="0.35">
      <c r="A133" s="6">
        <v>45700</v>
      </c>
      <c r="B133" s="7">
        <v>67046.36</v>
      </c>
      <c r="C133" s="7">
        <v>58533.120000000003</v>
      </c>
      <c r="K133" s="6"/>
      <c r="L133" s="7"/>
      <c r="M133" s="7"/>
    </row>
    <row r="134" spans="1:13" x14ac:dyDescent="0.35">
      <c r="A134" s="6">
        <v>45701</v>
      </c>
      <c r="B134" s="7">
        <v>67264.350000000006</v>
      </c>
      <c r="C134" s="7">
        <v>58752.15</v>
      </c>
      <c r="K134" s="6"/>
      <c r="L134" s="7"/>
      <c r="M134" s="7"/>
    </row>
    <row r="135" spans="1:13" x14ac:dyDescent="0.35">
      <c r="A135" s="6">
        <v>45702</v>
      </c>
      <c r="B135" s="7">
        <v>67710.399999999994</v>
      </c>
      <c r="C135" s="7">
        <v>59318.96</v>
      </c>
      <c r="K135" s="6"/>
      <c r="L135" s="7"/>
      <c r="M135" s="7"/>
    </row>
    <row r="136" spans="1:13" x14ac:dyDescent="0.35">
      <c r="A136" s="6">
        <v>45705</v>
      </c>
      <c r="B136" s="7">
        <v>68162.55</v>
      </c>
      <c r="C136" s="7">
        <v>59855.18</v>
      </c>
      <c r="K136" s="6"/>
      <c r="L136" s="7"/>
      <c r="M136" s="7"/>
    </row>
    <row r="137" spans="1:13" x14ac:dyDescent="0.35">
      <c r="A137" s="6">
        <v>45706</v>
      </c>
      <c r="B137" s="7">
        <v>68227.78</v>
      </c>
      <c r="C137" s="7">
        <v>59886.92</v>
      </c>
      <c r="K137" s="6"/>
      <c r="L137" s="7"/>
      <c r="M137" s="7"/>
    </row>
    <row r="138" spans="1:13" x14ac:dyDescent="0.35">
      <c r="A138" s="6">
        <v>45707</v>
      </c>
      <c r="B138" s="7">
        <v>68004.479999999996</v>
      </c>
      <c r="C138" s="7">
        <v>59574.29</v>
      </c>
      <c r="K138" s="6"/>
      <c r="L138" s="7"/>
      <c r="M138" s="7"/>
    </row>
    <row r="139" spans="1:13" x14ac:dyDescent="0.35">
      <c r="A139" s="6">
        <v>45708</v>
      </c>
      <c r="B139" s="7">
        <v>68103.61</v>
      </c>
      <c r="C139" s="7">
        <v>59622.19</v>
      </c>
      <c r="K139" s="6"/>
      <c r="L139" s="7"/>
      <c r="M139" s="7"/>
    </row>
    <row r="140" spans="1:13" x14ac:dyDescent="0.35">
      <c r="A140" s="6">
        <v>45709</v>
      </c>
      <c r="B140" s="7">
        <v>68513.62</v>
      </c>
      <c r="C140" s="7">
        <v>59988.28</v>
      </c>
      <c r="K140" s="6"/>
      <c r="L140" s="7"/>
      <c r="M140" s="7"/>
    </row>
    <row r="141" spans="1:13" x14ac:dyDescent="0.35">
      <c r="A141" s="6">
        <v>45712</v>
      </c>
      <c r="B141" s="7">
        <v>68347.61</v>
      </c>
      <c r="C141" s="7">
        <v>59875.82</v>
      </c>
      <c r="K141" s="6"/>
      <c r="L141" s="7"/>
      <c r="M141" s="7"/>
    </row>
    <row r="142" spans="1:13" x14ac:dyDescent="0.35">
      <c r="A142" s="6">
        <v>45713</v>
      </c>
      <c r="B142" s="7">
        <v>68394.16</v>
      </c>
      <c r="C142" s="7">
        <v>59837.78</v>
      </c>
      <c r="K142" s="6"/>
      <c r="L142" s="7"/>
      <c r="M142" s="7"/>
    </row>
    <row r="143" spans="1:13" x14ac:dyDescent="0.35">
      <c r="A143" s="6">
        <v>45714</v>
      </c>
      <c r="B143" s="7">
        <v>67921.789999999994</v>
      </c>
      <c r="C143" s="7">
        <v>59292.5</v>
      </c>
      <c r="K143" s="6"/>
      <c r="L143" s="7"/>
      <c r="M143" s="7"/>
    </row>
    <row r="144" spans="1:13" x14ac:dyDescent="0.35">
      <c r="A144" s="6">
        <v>45715</v>
      </c>
      <c r="B144" s="7">
        <v>67900.06</v>
      </c>
      <c r="C144" s="7">
        <v>59255.839999999997</v>
      </c>
      <c r="K144" s="6"/>
      <c r="L144" s="7"/>
      <c r="M144" s="7"/>
    </row>
    <row r="145" spans="1:13" x14ac:dyDescent="0.35">
      <c r="A145" s="6">
        <v>45716</v>
      </c>
      <c r="B145" s="7">
        <v>67431.460000000006</v>
      </c>
      <c r="C145" s="7">
        <v>58668.84</v>
      </c>
      <c r="K145" s="6"/>
      <c r="L145" s="7"/>
      <c r="M145" s="7"/>
    </row>
    <row r="146" spans="1:13" x14ac:dyDescent="0.35">
      <c r="A146" s="6">
        <v>45721</v>
      </c>
      <c r="B146" s="7">
        <v>67930.539999999994</v>
      </c>
      <c r="C146" s="7">
        <v>59265.47</v>
      </c>
      <c r="K146" s="6"/>
      <c r="L146" s="7"/>
      <c r="M146" s="7"/>
    </row>
    <row r="147" spans="1:13" x14ac:dyDescent="0.35">
      <c r="A147" s="6">
        <v>45722</v>
      </c>
      <c r="B147" s="7">
        <v>67915.899999999994</v>
      </c>
      <c r="C147" s="7">
        <v>59178.29</v>
      </c>
      <c r="K147" s="6"/>
      <c r="L147" s="7"/>
      <c r="M147" s="7"/>
    </row>
    <row r="148" spans="1:13" x14ac:dyDescent="0.35">
      <c r="A148" s="6">
        <v>45723</v>
      </c>
      <c r="B148" s="7">
        <v>68348.86</v>
      </c>
      <c r="C148" s="7">
        <v>59698.46</v>
      </c>
      <c r="K148" s="6"/>
      <c r="L148" s="7"/>
      <c r="M148" s="7"/>
    </row>
    <row r="149" spans="1:13" x14ac:dyDescent="0.35">
      <c r="A149" s="6">
        <v>45726</v>
      </c>
      <c r="B149" s="7">
        <v>68169.929999999993</v>
      </c>
      <c r="C149" s="7">
        <v>59472.56</v>
      </c>
      <c r="K149" s="6"/>
      <c r="L149" s="7"/>
      <c r="M149" s="7"/>
    </row>
    <row r="150" spans="1:13" x14ac:dyDescent="0.35">
      <c r="A150" s="6">
        <v>45727</v>
      </c>
      <c r="B150" s="7">
        <v>68549.77</v>
      </c>
      <c r="C150" s="7">
        <v>59952.88</v>
      </c>
      <c r="K150" s="6"/>
      <c r="L150" s="7"/>
      <c r="M150" s="7"/>
    </row>
    <row r="151" spans="1:13" x14ac:dyDescent="0.35">
      <c r="A151" s="6">
        <v>45728</v>
      </c>
      <c r="B151" s="7">
        <v>68440.77</v>
      </c>
      <c r="C151" s="7">
        <v>59767.55</v>
      </c>
      <c r="K151" s="6"/>
      <c r="L151" s="7"/>
      <c r="M151" s="7"/>
    </row>
    <row r="152" spans="1:13" x14ac:dyDescent="0.35">
      <c r="A152" s="6">
        <v>45729</v>
      </c>
      <c r="B152" s="7">
        <v>68735.509999999995</v>
      </c>
      <c r="C152" s="7">
        <v>60114.37</v>
      </c>
      <c r="K152" s="6"/>
      <c r="L152" s="7"/>
      <c r="M152" s="7"/>
    </row>
    <row r="153" spans="1:13" x14ac:dyDescent="0.35">
      <c r="A153" s="6">
        <v>45730</v>
      </c>
      <c r="B153" s="7">
        <v>68718.47</v>
      </c>
      <c r="C153" s="7">
        <v>60116.77</v>
      </c>
      <c r="K153" s="6"/>
      <c r="L153" s="7"/>
      <c r="M153" s="7"/>
    </row>
    <row r="154" spans="1:13" x14ac:dyDescent="0.35">
      <c r="A154" s="6">
        <v>45733</v>
      </c>
      <c r="B154" s="7">
        <v>68995.149999999994</v>
      </c>
      <c r="C154" s="7">
        <v>60447.1</v>
      </c>
      <c r="K154" s="6"/>
      <c r="L154" s="7"/>
      <c r="M154" s="7"/>
    </row>
    <row r="155" spans="1:13" x14ac:dyDescent="0.35">
      <c r="A155" s="6">
        <v>45734</v>
      </c>
      <c r="B155" s="7">
        <v>69167.960000000006</v>
      </c>
      <c r="C155" s="7">
        <v>60674.84</v>
      </c>
      <c r="K155" s="6"/>
      <c r="L155" s="7"/>
      <c r="M155" s="7"/>
    </row>
    <row r="156" spans="1:13" x14ac:dyDescent="0.35">
      <c r="A156" s="6">
        <v>45735</v>
      </c>
      <c r="B156" s="7">
        <v>69280.17</v>
      </c>
      <c r="C156" s="7">
        <v>60834.96</v>
      </c>
      <c r="K156" s="6"/>
      <c r="L156" s="7"/>
      <c r="M156" s="7"/>
    </row>
    <row r="157" spans="1:13" x14ac:dyDescent="0.35">
      <c r="A157" s="6">
        <v>45736</v>
      </c>
      <c r="B157" s="7">
        <v>68855.289999999994</v>
      </c>
      <c r="C157" s="7">
        <v>60295.07</v>
      </c>
      <c r="K157" s="6"/>
      <c r="L157" s="7"/>
      <c r="M157" s="7"/>
    </row>
    <row r="158" spans="1:13" x14ac:dyDescent="0.35">
      <c r="A158" s="6">
        <v>45737</v>
      </c>
      <c r="B158" s="7">
        <v>68655.759999999995</v>
      </c>
      <c r="C158" s="7">
        <v>60086.41</v>
      </c>
      <c r="K158" s="6"/>
      <c r="L158" s="7"/>
      <c r="M158" s="7"/>
    </row>
    <row r="159" spans="1:13" x14ac:dyDescent="0.35">
      <c r="A159" s="6">
        <v>45740</v>
      </c>
      <c r="B159" s="7">
        <v>68472.63</v>
      </c>
      <c r="C159" s="7">
        <v>59904.7</v>
      </c>
      <c r="K159" s="6"/>
      <c r="L159" s="7"/>
      <c r="M159" s="7"/>
    </row>
    <row r="160" spans="1:13" x14ac:dyDescent="0.35">
      <c r="A160" s="6">
        <v>45741</v>
      </c>
      <c r="B160" s="7">
        <v>68300.73</v>
      </c>
      <c r="C160" s="7">
        <v>59747.6</v>
      </c>
      <c r="K160" s="6"/>
      <c r="L160" s="7"/>
      <c r="M160" s="7"/>
    </row>
    <row r="161" spans="1:13" x14ac:dyDescent="0.35">
      <c r="A161" s="6">
        <v>45742</v>
      </c>
      <c r="B161" s="7">
        <v>68105.570000000007</v>
      </c>
      <c r="C161" s="7">
        <v>59467.360000000001</v>
      </c>
      <c r="K161" s="6"/>
      <c r="L161" s="7"/>
      <c r="M161" s="7"/>
    </row>
    <row r="162" spans="1:13" x14ac:dyDescent="0.35">
      <c r="A162" s="6">
        <v>45743</v>
      </c>
      <c r="B162" s="7">
        <v>68477.39</v>
      </c>
      <c r="C162" s="7">
        <v>59836.22</v>
      </c>
      <c r="K162" s="6"/>
      <c r="L162" s="7"/>
      <c r="M162" s="7"/>
    </row>
    <row r="163" spans="1:13" x14ac:dyDescent="0.35">
      <c r="A163" s="6">
        <v>45744</v>
      </c>
      <c r="B163" s="7">
        <v>68344.28</v>
      </c>
      <c r="C163" s="7">
        <v>59730.7</v>
      </c>
      <c r="K163" s="6"/>
      <c r="L163" s="7"/>
      <c r="M163" s="7"/>
    </row>
    <row r="164" spans="1:13" x14ac:dyDescent="0.35">
      <c r="A164" s="6">
        <v>45747</v>
      </c>
      <c r="B164" s="7">
        <v>68568.570000000007</v>
      </c>
      <c r="C164" s="7">
        <v>59915.14</v>
      </c>
      <c r="K164" s="6"/>
      <c r="L164" s="7"/>
      <c r="M164" s="7"/>
    </row>
    <row r="165" spans="1:13" x14ac:dyDescent="0.35">
      <c r="A165" s="6">
        <v>45748</v>
      </c>
      <c r="B165" s="7">
        <v>68785.009999999995</v>
      </c>
      <c r="C165" s="7">
        <v>60182.03</v>
      </c>
      <c r="K165" s="6"/>
      <c r="L165" s="7"/>
      <c r="M165" s="7"/>
    </row>
    <row r="166" spans="1:13" x14ac:dyDescent="0.35">
      <c r="A166" s="6">
        <v>45749</v>
      </c>
      <c r="B166" s="7">
        <v>68830.490000000005</v>
      </c>
      <c r="C166" s="7">
        <v>60196.99</v>
      </c>
      <c r="K166" s="6"/>
      <c r="L166" s="7"/>
      <c r="M166" s="7"/>
    </row>
    <row r="167" spans="1:13" x14ac:dyDescent="0.35">
      <c r="A167" s="6">
        <v>45750</v>
      </c>
      <c r="B167" s="7">
        <v>69644.17</v>
      </c>
      <c r="C167" s="7">
        <v>61089.22</v>
      </c>
      <c r="K167" s="6"/>
      <c r="L167" s="7"/>
      <c r="M167" s="7"/>
    </row>
    <row r="168" spans="1:13" x14ac:dyDescent="0.35">
      <c r="A168" s="6">
        <v>45751</v>
      </c>
      <c r="B168" s="7">
        <v>69912.929999999993</v>
      </c>
      <c r="C168" s="7">
        <v>61310.63</v>
      </c>
      <c r="K168" s="6"/>
      <c r="L168" s="7"/>
      <c r="M168" s="7"/>
    </row>
    <row r="169" spans="1:13" x14ac:dyDescent="0.35">
      <c r="A169" s="6">
        <v>45754</v>
      </c>
      <c r="B169" s="7">
        <v>69922.559999999998</v>
      </c>
      <c r="C169" s="7">
        <v>61245.02</v>
      </c>
      <c r="K169" s="6"/>
      <c r="L169" s="7"/>
      <c r="M169" s="7"/>
    </row>
    <row r="170" spans="1:13" x14ac:dyDescent="0.35">
      <c r="A170" s="6">
        <v>45755</v>
      </c>
      <c r="B170" s="7">
        <v>69724.02</v>
      </c>
      <c r="C170" s="7">
        <v>60979.57</v>
      </c>
      <c r="K170" s="6"/>
      <c r="L170" s="7"/>
      <c r="M170" s="7"/>
    </row>
    <row r="171" spans="1:13" x14ac:dyDescent="0.35">
      <c r="A171" s="6">
        <v>45756</v>
      </c>
      <c r="B171" s="7">
        <v>69490.66</v>
      </c>
      <c r="C171" s="7">
        <v>60785.09</v>
      </c>
      <c r="K171" s="6"/>
      <c r="L171" s="7"/>
      <c r="M171" s="7"/>
    </row>
    <row r="172" spans="1:13" x14ac:dyDescent="0.35">
      <c r="A172" s="6">
        <v>45757</v>
      </c>
      <c r="B172" s="7">
        <v>69471.5</v>
      </c>
      <c r="C172" s="7">
        <v>60721.279999999999</v>
      </c>
      <c r="K172" s="6"/>
      <c r="L172" s="7"/>
      <c r="M172" s="7"/>
    </row>
    <row r="173" spans="1:13" x14ac:dyDescent="0.35">
      <c r="A173" s="6">
        <v>45758</v>
      </c>
      <c r="B173" s="7">
        <v>69794.3</v>
      </c>
      <c r="C173" s="7">
        <v>61100.23</v>
      </c>
      <c r="K173" s="6"/>
      <c r="L173" s="7"/>
      <c r="M173" s="7"/>
    </row>
    <row r="174" spans="1:13" x14ac:dyDescent="0.35">
      <c r="A174" s="6">
        <v>45761</v>
      </c>
      <c r="B174" s="7">
        <v>70199.8</v>
      </c>
      <c r="C174" s="7">
        <v>61576.88</v>
      </c>
      <c r="K174" s="6"/>
      <c r="L174" s="7"/>
      <c r="M174" s="7"/>
    </row>
    <row r="175" spans="1:13" x14ac:dyDescent="0.35">
      <c r="A175" s="6">
        <v>45762</v>
      </c>
      <c r="B175" s="7">
        <v>70086.559999999998</v>
      </c>
      <c r="C175" s="7">
        <v>61410.239999999998</v>
      </c>
      <c r="K175" s="6"/>
      <c r="L175" s="7"/>
      <c r="M175" s="7"/>
    </row>
    <row r="176" spans="1:13" x14ac:dyDescent="0.35">
      <c r="A176" s="6">
        <v>45763</v>
      </c>
      <c r="B176" s="7">
        <v>70217.8</v>
      </c>
      <c r="C176" s="7">
        <v>61492.07</v>
      </c>
      <c r="K176" s="6"/>
      <c r="L176" s="7"/>
      <c r="M176" s="7"/>
    </row>
    <row r="177" spans="1:13" x14ac:dyDescent="0.35">
      <c r="A177" s="6">
        <v>45764</v>
      </c>
      <c r="B177" s="7">
        <v>70347.39</v>
      </c>
      <c r="C177" s="7">
        <v>61699.14</v>
      </c>
      <c r="K177" s="6"/>
      <c r="L177" s="7"/>
      <c r="M177" s="7"/>
    </row>
    <row r="178" spans="1:13" x14ac:dyDescent="0.35">
      <c r="A178" s="6">
        <v>45769</v>
      </c>
      <c r="B178" s="7">
        <v>70360.58</v>
      </c>
      <c r="C178" s="7">
        <v>61657.74</v>
      </c>
      <c r="K178" s="6"/>
      <c r="L178" s="7"/>
      <c r="M178" s="7"/>
    </row>
    <row r="179" spans="1:13" x14ac:dyDescent="0.35">
      <c r="A179" s="6">
        <v>45770</v>
      </c>
      <c r="B179" s="7">
        <v>70833.73</v>
      </c>
      <c r="C179" s="7">
        <v>62182.78</v>
      </c>
      <c r="K179" s="6"/>
      <c r="L179" s="7"/>
      <c r="M179" s="7"/>
    </row>
    <row r="180" spans="1:13" x14ac:dyDescent="0.35">
      <c r="A180" s="6">
        <v>45771</v>
      </c>
      <c r="B180" s="7">
        <v>71279.429999999993</v>
      </c>
      <c r="C180" s="7">
        <v>62742.67</v>
      </c>
      <c r="K180" s="6"/>
      <c r="L180" s="7"/>
      <c r="M180" s="7"/>
    </row>
    <row r="181" spans="1:13" x14ac:dyDescent="0.35">
      <c r="A181" s="6">
        <v>45772</v>
      </c>
      <c r="B181" s="7">
        <v>71167.179999999993</v>
      </c>
      <c r="C181" s="7">
        <v>62612.62</v>
      </c>
      <c r="K181" s="6"/>
      <c r="L181" s="7"/>
      <c r="M181" s="7"/>
    </row>
    <row r="182" spans="1:13" x14ac:dyDescent="0.35">
      <c r="A182" s="6">
        <v>45775</v>
      </c>
      <c r="B182" s="7">
        <v>71236.61</v>
      </c>
      <c r="C182" s="7">
        <v>62676.67</v>
      </c>
      <c r="K182" s="6"/>
      <c r="L182" s="7"/>
      <c r="M182" s="7"/>
    </row>
    <row r="183" spans="1:13" x14ac:dyDescent="0.35">
      <c r="A183" s="6">
        <v>45776</v>
      </c>
      <c r="B183" s="7">
        <v>71197.070000000007</v>
      </c>
      <c r="C183" s="7">
        <v>62639.9</v>
      </c>
      <c r="K183" s="6"/>
      <c r="L183" s="7"/>
      <c r="M183" s="7"/>
    </row>
    <row r="184" spans="1:13" x14ac:dyDescent="0.35">
      <c r="A184" s="6">
        <v>45777</v>
      </c>
      <c r="B184" s="7">
        <v>71408.94</v>
      </c>
      <c r="C184" s="7">
        <v>62942.23</v>
      </c>
      <c r="K184" s="6"/>
      <c r="L184" s="7"/>
      <c r="M184" s="7"/>
    </row>
    <row r="185" spans="1:13" x14ac:dyDescent="0.35">
      <c r="A185" s="6">
        <v>45779</v>
      </c>
      <c r="B185" s="7">
        <v>71290.710000000006</v>
      </c>
      <c r="C185" s="7">
        <v>62826.45</v>
      </c>
      <c r="K185" s="6"/>
      <c r="L185" s="7"/>
      <c r="M185" s="7"/>
    </row>
    <row r="186" spans="1:13" x14ac:dyDescent="0.35">
      <c r="A186" s="6">
        <v>45782</v>
      </c>
      <c r="B186" s="7">
        <v>71128.31</v>
      </c>
      <c r="C186" s="7">
        <v>62645.01</v>
      </c>
      <c r="K186" s="6"/>
      <c r="L186" s="7"/>
      <c r="M186" s="7"/>
    </row>
    <row r="187" spans="1:13" x14ac:dyDescent="0.35">
      <c r="A187" s="6">
        <v>45783</v>
      </c>
      <c r="B187" s="7">
        <v>71406.05</v>
      </c>
      <c r="C187" s="7">
        <v>62996.92</v>
      </c>
      <c r="K187" s="6"/>
      <c r="L187" s="7"/>
      <c r="M187" s="7"/>
    </row>
    <row r="188" spans="1:13" x14ac:dyDescent="0.35">
      <c r="A188" s="6">
        <v>45784</v>
      </c>
      <c r="B188" s="7">
        <v>71406.990000000005</v>
      </c>
      <c r="C188" s="7">
        <v>63024.639999999999</v>
      </c>
      <c r="K188" s="6"/>
      <c r="L188" s="7"/>
      <c r="M188" s="7"/>
    </row>
    <row r="189" spans="1:13" x14ac:dyDescent="0.35">
      <c r="A189" s="6">
        <v>45785</v>
      </c>
      <c r="B189" s="7">
        <v>71641.55</v>
      </c>
      <c r="C189" s="7">
        <v>63351.69</v>
      </c>
      <c r="K189" s="6"/>
      <c r="L189" s="7"/>
      <c r="M189" s="7"/>
    </row>
    <row r="190" spans="1:13" x14ac:dyDescent="0.35">
      <c r="A190" s="6">
        <v>45786</v>
      </c>
      <c r="B190" s="7">
        <v>71697.429999999993</v>
      </c>
      <c r="C190" s="7">
        <v>63462.43</v>
      </c>
      <c r="K190" s="6"/>
      <c r="L190" s="7"/>
      <c r="M190" s="7"/>
    </row>
    <row r="191" spans="1:13" x14ac:dyDescent="0.35">
      <c r="A191" s="6">
        <v>45789</v>
      </c>
      <c r="B191" s="7">
        <v>71558.3</v>
      </c>
      <c r="C191" s="7">
        <v>63283.41</v>
      </c>
      <c r="K191" s="6"/>
      <c r="L191" s="7"/>
      <c r="M191" s="7"/>
    </row>
    <row r="192" spans="1:13" x14ac:dyDescent="0.35">
      <c r="A192" s="6">
        <v>45790</v>
      </c>
      <c r="B192" s="7">
        <v>71586.009999999995</v>
      </c>
      <c r="C192" s="7">
        <v>63202.17</v>
      </c>
      <c r="K192" s="6"/>
      <c r="L192" s="7"/>
      <c r="M192" s="7"/>
    </row>
    <row r="193" spans="1:13" x14ac:dyDescent="0.35">
      <c r="A193" s="6">
        <v>45791</v>
      </c>
      <c r="B193" s="7">
        <v>71365.42</v>
      </c>
      <c r="C193" s="7">
        <v>62948.84</v>
      </c>
      <c r="K193" s="6"/>
      <c r="L193" s="7"/>
      <c r="M193" s="7"/>
    </row>
    <row r="194" spans="1:13" x14ac:dyDescent="0.35">
      <c r="A194" s="6">
        <v>45792</v>
      </c>
      <c r="B194" s="7">
        <v>71271.56</v>
      </c>
      <c r="C194" s="7">
        <v>62817.02</v>
      </c>
      <c r="K194" s="6"/>
      <c r="L194" s="7"/>
      <c r="M194" s="7"/>
    </row>
    <row r="195" spans="1:13" x14ac:dyDescent="0.35">
      <c r="A195" s="6">
        <v>45793</v>
      </c>
      <c r="B195" s="7">
        <v>71596.56</v>
      </c>
      <c r="C195" s="7">
        <v>63138.99</v>
      </c>
      <c r="K195" s="6"/>
      <c r="L195" s="7"/>
      <c r="M195" s="7"/>
    </row>
    <row r="196" spans="1:13" x14ac:dyDescent="0.35">
      <c r="A196" s="6">
        <v>45796</v>
      </c>
      <c r="B196" s="7">
        <v>71821.399999999994</v>
      </c>
      <c r="C196" s="7">
        <v>63375.74</v>
      </c>
      <c r="K196" s="6"/>
      <c r="L196" s="7"/>
      <c r="M196" s="7"/>
    </row>
    <row r="197" spans="1:13" x14ac:dyDescent="0.35">
      <c r="A197" s="6">
        <v>45797</v>
      </c>
      <c r="B197" s="7">
        <v>71824.320000000007</v>
      </c>
      <c r="C197" s="7">
        <v>63347.29</v>
      </c>
      <c r="K197" s="6"/>
      <c r="L197" s="7"/>
      <c r="M197" s="7"/>
    </row>
    <row r="198" spans="1:13" x14ac:dyDescent="0.35">
      <c r="A198" s="6">
        <v>45798</v>
      </c>
      <c r="B198" s="7">
        <v>71644.27</v>
      </c>
      <c r="C198" s="7">
        <v>63089</v>
      </c>
      <c r="K198" s="6"/>
      <c r="L198" s="7"/>
      <c r="M198" s="7"/>
    </row>
    <row r="199" spans="1:13" x14ac:dyDescent="0.35">
      <c r="A199" s="6">
        <v>45799</v>
      </c>
      <c r="B199" s="7">
        <v>71772.77</v>
      </c>
      <c r="C199" s="7">
        <v>63288.88</v>
      </c>
      <c r="K199" s="6"/>
      <c r="L199" s="7"/>
      <c r="M199" s="7"/>
    </row>
    <row r="200" spans="1:13" x14ac:dyDescent="0.35">
      <c r="A200" s="6">
        <v>45800</v>
      </c>
      <c r="B200" s="7">
        <v>71830.41</v>
      </c>
      <c r="C200" s="7">
        <v>63280.9</v>
      </c>
      <c r="K200" s="6"/>
      <c r="L200" s="7"/>
      <c r="M200" s="7"/>
    </row>
    <row r="201" spans="1:13" x14ac:dyDescent="0.35">
      <c r="A201" s="6">
        <v>45803</v>
      </c>
      <c r="B201" s="7">
        <v>71917.67</v>
      </c>
      <c r="C201" s="7">
        <v>63356.89</v>
      </c>
      <c r="K201" s="6"/>
      <c r="L201" s="7"/>
      <c r="M201" s="7"/>
    </row>
    <row r="202" spans="1:13" x14ac:dyDescent="0.35">
      <c r="A202" s="6">
        <v>45804</v>
      </c>
      <c r="B202" s="7">
        <v>72237.58</v>
      </c>
      <c r="C202" s="7">
        <v>63806.17</v>
      </c>
      <c r="K202" s="6"/>
      <c r="L202" s="7"/>
      <c r="M202" s="7"/>
    </row>
    <row r="203" spans="1:13" x14ac:dyDescent="0.35">
      <c r="A203" s="6">
        <v>45805</v>
      </c>
      <c r="B203" s="7">
        <v>72125.02</v>
      </c>
      <c r="C203" s="7">
        <v>63649.08</v>
      </c>
      <c r="K203" s="6"/>
      <c r="L203" s="7"/>
      <c r="M203" s="7"/>
    </row>
    <row r="204" spans="1:13" x14ac:dyDescent="0.35">
      <c r="A204" s="6">
        <v>45806</v>
      </c>
      <c r="B204" s="7">
        <v>72067.39</v>
      </c>
      <c r="C204" s="7">
        <v>63648.94</v>
      </c>
      <c r="K204" s="6"/>
      <c r="L204" s="7"/>
      <c r="M204" s="7"/>
    </row>
    <row r="205" spans="1:13" x14ac:dyDescent="0.35">
      <c r="A205" s="6">
        <v>45807</v>
      </c>
      <c r="B205" s="7">
        <v>71897.23</v>
      </c>
      <c r="C205" s="7">
        <v>63471.15</v>
      </c>
      <c r="K205" s="6"/>
      <c r="L205" s="7"/>
      <c r="M205" s="7"/>
    </row>
    <row r="206" spans="1:13" x14ac:dyDescent="0.35">
      <c r="A206" s="6">
        <v>45810</v>
      </c>
      <c r="B206" s="7">
        <v>71826.02</v>
      </c>
      <c r="C206" s="7">
        <v>63314.36</v>
      </c>
      <c r="K206" s="6"/>
      <c r="L206" s="7"/>
      <c r="M206" s="7"/>
    </row>
    <row r="207" spans="1:13" x14ac:dyDescent="0.35">
      <c r="A207" s="6">
        <v>45811</v>
      </c>
      <c r="B207" s="7">
        <v>71872.36</v>
      </c>
      <c r="C207" s="7">
        <v>63410.1</v>
      </c>
      <c r="K207" s="6"/>
      <c r="L207" s="7"/>
      <c r="M207" s="7"/>
    </row>
    <row r="208" spans="1:13" x14ac:dyDescent="0.35">
      <c r="A208" s="6">
        <v>45812</v>
      </c>
      <c r="B208" s="7">
        <v>71936.61</v>
      </c>
      <c r="C208" s="7">
        <v>63491.96</v>
      </c>
      <c r="K208" s="6"/>
      <c r="L208" s="7"/>
      <c r="M208" s="7"/>
    </row>
    <row r="209" spans="1:13" x14ac:dyDescent="0.35">
      <c r="A209" s="6">
        <v>45813</v>
      </c>
      <c r="B209" s="7">
        <v>71674.91</v>
      </c>
      <c r="C209" s="7">
        <v>63193.68</v>
      </c>
      <c r="K209" s="6"/>
      <c r="L209" s="7"/>
      <c r="M209" s="7"/>
    </row>
    <row r="210" spans="1:13" x14ac:dyDescent="0.35">
      <c r="A210" s="6">
        <v>45814</v>
      </c>
      <c r="B210" s="7">
        <v>71786.14</v>
      </c>
      <c r="C210" s="7">
        <v>63348.45</v>
      </c>
      <c r="K210" s="6"/>
      <c r="L210" s="7"/>
      <c r="M210" s="7"/>
    </row>
    <row r="211" spans="1:13" x14ac:dyDescent="0.35">
      <c r="A211" s="6">
        <v>45817</v>
      </c>
      <c r="B211" s="7">
        <v>71992.88</v>
      </c>
      <c r="C211" s="7">
        <v>63560.84</v>
      </c>
      <c r="K211" s="6"/>
      <c r="L211" s="7"/>
      <c r="M211" s="7"/>
    </row>
    <row r="212" spans="1:13" x14ac:dyDescent="0.35">
      <c r="A212" s="6">
        <v>45818</v>
      </c>
      <c r="B212" s="7">
        <v>72229.08</v>
      </c>
      <c r="C212" s="7">
        <v>63795.56</v>
      </c>
      <c r="K212" s="6"/>
      <c r="L212" s="7"/>
      <c r="M212" s="7"/>
    </row>
    <row r="213" spans="1:13" x14ac:dyDescent="0.35">
      <c r="A213" s="6">
        <v>45819</v>
      </c>
      <c r="B213" s="7">
        <v>72171.5</v>
      </c>
      <c r="C213" s="7">
        <v>63813.8</v>
      </c>
      <c r="K213" s="6"/>
      <c r="L213" s="7"/>
      <c r="M213" s="7"/>
    </row>
    <row r="214" spans="1:13" x14ac:dyDescent="0.35">
      <c r="A214" s="6">
        <v>45820</v>
      </c>
      <c r="B214" s="7">
        <v>72191.929999999993</v>
      </c>
      <c r="C214" s="7">
        <v>63824.14</v>
      </c>
      <c r="K214" s="6"/>
      <c r="L214" s="7"/>
      <c r="M214" s="7"/>
    </row>
    <row r="215" spans="1:13" x14ac:dyDescent="0.35">
      <c r="A215" s="6">
        <v>45821</v>
      </c>
      <c r="B215" s="7">
        <v>72324.05</v>
      </c>
      <c r="C215" s="7">
        <v>63929.8</v>
      </c>
      <c r="K215" s="6"/>
      <c r="L215" s="7"/>
      <c r="M215" s="7"/>
    </row>
    <row r="216" spans="1:13" x14ac:dyDescent="0.35">
      <c r="A216" s="6">
        <v>45824</v>
      </c>
      <c r="B216" s="7">
        <v>72405.94</v>
      </c>
      <c r="C216" s="7">
        <v>64093.2</v>
      </c>
      <c r="K216" s="6"/>
      <c r="L216" s="7"/>
      <c r="M216" s="7"/>
    </row>
    <row r="217" spans="1:13" x14ac:dyDescent="0.35">
      <c r="A217" s="6">
        <v>45825</v>
      </c>
      <c r="B217" s="7">
        <v>72292.259999999995</v>
      </c>
      <c r="C217" s="7">
        <v>63930.73</v>
      </c>
      <c r="K217" s="6"/>
      <c r="L217" s="7"/>
      <c r="M217" s="7"/>
    </row>
    <row r="218" spans="1:13" x14ac:dyDescent="0.35">
      <c r="A218" s="6">
        <v>45826</v>
      </c>
      <c r="B218" s="7">
        <v>72340.25</v>
      </c>
      <c r="C218" s="7">
        <v>63966.94</v>
      </c>
      <c r="K218" s="6"/>
      <c r="L218" s="7"/>
      <c r="M218" s="7"/>
    </row>
    <row r="219" spans="1:13" x14ac:dyDescent="0.35">
      <c r="A219" s="6">
        <v>45828</v>
      </c>
      <c r="B219" s="7">
        <v>72514</v>
      </c>
      <c r="C219" s="7">
        <v>64279.08</v>
      </c>
      <c r="K219" s="6"/>
      <c r="L219" s="7"/>
      <c r="M219" s="7"/>
    </row>
    <row r="220" spans="1:13" x14ac:dyDescent="0.35">
      <c r="A220" s="6">
        <v>45831</v>
      </c>
      <c r="B220" s="7">
        <v>72594.14</v>
      </c>
      <c r="C220" s="7">
        <v>64347.01</v>
      </c>
      <c r="K220" s="6"/>
      <c r="L220" s="7"/>
      <c r="M220" s="7"/>
    </row>
    <row r="221" spans="1:13" x14ac:dyDescent="0.35">
      <c r="A221" s="6">
        <v>45832</v>
      </c>
      <c r="B221" s="7">
        <v>72754.990000000005</v>
      </c>
      <c r="C221" s="7">
        <v>64498.61</v>
      </c>
      <c r="K221" s="6"/>
      <c r="L221" s="7"/>
      <c r="M221" s="7"/>
    </row>
    <row r="222" spans="1:13" x14ac:dyDescent="0.35">
      <c r="A222" s="6">
        <v>45833</v>
      </c>
      <c r="B222" s="7">
        <v>72665.69</v>
      </c>
      <c r="C222" s="7">
        <v>64379.42</v>
      </c>
      <c r="K222" s="6"/>
      <c r="L222" s="7"/>
      <c r="M222" s="7"/>
    </row>
    <row r="223" spans="1:13" x14ac:dyDescent="0.35">
      <c r="A223" s="6">
        <v>45834</v>
      </c>
      <c r="B223" s="7">
        <v>72860.17</v>
      </c>
      <c r="C223" s="7">
        <v>64590.6</v>
      </c>
      <c r="K223" s="6"/>
      <c r="L223" s="7"/>
      <c r="M223" s="7"/>
    </row>
    <row r="224" spans="1:13" x14ac:dyDescent="0.35">
      <c r="A224" s="6">
        <v>45835</v>
      </c>
      <c r="B224" s="7">
        <v>72901.460000000006</v>
      </c>
      <c r="C224" s="7">
        <v>64622.65</v>
      </c>
      <c r="K224" s="6"/>
      <c r="L224" s="7"/>
      <c r="M224" s="7"/>
    </row>
    <row r="225" spans="1:13" x14ac:dyDescent="0.35">
      <c r="A225" s="6">
        <v>45838</v>
      </c>
      <c r="B225" s="7">
        <v>73228.55</v>
      </c>
      <c r="C225" s="7">
        <v>65150.720000000001</v>
      </c>
      <c r="K225" s="6"/>
      <c r="L225" s="7"/>
      <c r="M225" s="7"/>
    </row>
    <row r="226" spans="1:13" x14ac:dyDescent="0.35">
      <c r="A226" s="6">
        <v>45839</v>
      </c>
      <c r="B226" s="7">
        <v>73201.679999999993</v>
      </c>
      <c r="C226" s="7">
        <v>65138.32</v>
      </c>
      <c r="K226" s="6"/>
      <c r="L226" s="7"/>
      <c r="M226" s="7"/>
    </row>
    <row r="227" spans="1:13" x14ac:dyDescent="0.35">
      <c r="A227" s="6">
        <v>45840</v>
      </c>
      <c r="B227" s="7">
        <v>73175.039999999994</v>
      </c>
      <c r="C227" s="7">
        <v>65061.95</v>
      </c>
      <c r="K227" s="6"/>
      <c r="L227" s="7"/>
      <c r="M227" s="7"/>
    </row>
    <row r="228" spans="1:13" x14ac:dyDescent="0.35">
      <c r="A228" s="6">
        <v>45841</v>
      </c>
      <c r="B228" s="7">
        <v>73180.81</v>
      </c>
      <c r="C228" s="7">
        <v>65005.919999999998</v>
      </c>
      <c r="K228" s="6"/>
      <c r="L228" s="7"/>
      <c r="M228" s="7"/>
    </row>
    <row r="229" spans="1:13" x14ac:dyDescent="0.35">
      <c r="A229" s="6">
        <v>45842</v>
      </c>
      <c r="B229" s="7">
        <v>73141.72</v>
      </c>
      <c r="C229" s="7">
        <v>64962.14</v>
      </c>
      <c r="K229" s="6"/>
      <c r="L229" s="7"/>
      <c r="M229" s="7"/>
    </row>
    <row r="230" spans="1:13" x14ac:dyDescent="0.35">
      <c r="A230" s="6">
        <v>45845</v>
      </c>
      <c r="B230" s="7">
        <v>73075.72</v>
      </c>
      <c r="C230" s="7">
        <v>64833.17</v>
      </c>
      <c r="K230" s="6"/>
      <c r="L230" s="7"/>
      <c r="M230" s="7"/>
    </row>
    <row r="231" spans="1:13" x14ac:dyDescent="0.35">
      <c r="A231" s="6">
        <v>45846</v>
      </c>
      <c r="B231" s="7">
        <v>73173.11</v>
      </c>
      <c r="C231" s="7">
        <v>64871.27</v>
      </c>
      <c r="K231" s="6"/>
      <c r="L231" s="7"/>
      <c r="M231" s="7"/>
    </row>
    <row r="232" spans="1:13" x14ac:dyDescent="0.35">
      <c r="A232" s="6">
        <v>45847</v>
      </c>
      <c r="B232" s="7">
        <v>73217.679999999993</v>
      </c>
      <c r="C232" s="7">
        <v>64909.39</v>
      </c>
      <c r="K232" s="6"/>
      <c r="L232" s="7"/>
      <c r="M232" s="7"/>
    </row>
    <row r="233" spans="1:13" x14ac:dyDescent="0.35">
      <c r="A233" s="6">
        <v>45848</v>
      </c>
      <c r="B233" s="7">
        <v>72991.460000000006</v>
      </c>
      <c r="C233" s="7">
        <v>64623.62</v>
      </c>
      <c r="K233" s="6"/>
      <c r="L233" s="7"/>
      <c r="M233" s="7"/>
    </row>
    <row r="234" spans="1:13" x14ac:dyDescent="0.35">
      <c r="A234" s="6">
        <v>45849</v>
      </c>
      <c r="B234" s="7">
        <v>72991.87</v>
      </c>
      <c r="C234" s="7">
        <v>64648.15</v>
      </c>
      <c r="K234" s="6"/>
      <c r="L234" s="7"/>
      <c r="M234" s="7"/>
    </row>
    <row r="235" spans="1:13" x14ac:dyDescent="0.35">
      <c r="A235" s="6">
        <v>45852</v>
      </c>
      <c r="B235" s="7">
        <v>73036.740000000005</v>
      </c>
      <c r="C235" s="7">
        <v>64627.53</v>
      </c>
      <c r="K235" s="6"/>
      <c r="L235" s="7"/>
      <c r="M235" s="7"/>
    </row>
    <row r="236" spans="1:13" x14ac:dyDescent="0.35">
      <c r="A236" s="6">
        <v>45853</v>
      </c>
      <c r="B236" s="7">
        <v>72876.25</v>
      </c>
      <c r="C236" s="7">
        <v>64391.88</v>
      </c>
      <c r="K236" s="6"/>
      <c r="L236" s="7"/>
      <c r="M236" s="7"/>
    </row>
    <row r="237" spans="1:13" x14ac:dyDescent="0.35">
      <c r="A237" s="6">
        <v>45854</v>
      </c>
      <c r="B237" s="7">
        <v>72856.789999999994</v>
      </c>
      <c r="C237" s="7">
        <v>64286.239999999998</v>
      </c>
      <c r="K237" s="6"/>
      <c r="L237" s="7"/>
      <c r="M237" s="7"/>
    </row>
    <row r="238" spans="1:13" x14ac:dyDescent="0.35">
      <c r="A238" s="6">
        <v>45855</v>
      </c>
      <c r="B238" s="7">
        <v>73005.759999999995</v>
      </c>
      <c r="C238" s="7">
        <v>64529.4</v>
      </c>
      <c r="K238" s="6"/>
      <c r="L238" s="7"/>
      <c r="M238" s="7"/>
    </row>
    <row r="239" spans="1:13" x14ac:dyDescent="0.35">
      <c r="A239" s="6">
        <v>45856</v>
      </c>
      <c r="B239" s="7">
        <v>72972.2</v>
      </c>
      <c r="C239" s="7">
        <v>64474.33</v>
      </c>
      <c r="K239" s="6"/>
      <c r="L239" s="7"/>
      <c r="M239" s="7"/>
    </row>
    <row r="240" spans="1:13" x14ac:dyDescent="0.35">
      <c r="A240" s="6">
        <v>45859</v>
      </c>
      <c r="B240" s="7">
        <v>73146.17</v>
      </c>
      <c r="C240" s="7">
        <v>64633.72</v>
      </c>
      <c r="K240" s="6"/>
      <c r="L240" s="7"/>
      <c r="M240" s="7"/>
    </row>
    <row r="241" spans="1:13" x14ac:dyDescent="0.35">
      <c r="A241" s="6">
        <v>45860</v>
      </c>
      <c r="B241" s="7">
        <v>73306.039999999994</v>
      </c>
      <c r="C241" s="7">
        <v>64826.52</v>
      </c>
      <c r="K241" s="6"/>
      <c r="L241" s="7"/>
      <c r="M241" s="7"/>
    </row>
    <row r="242" spans="1:13" x14ac:dyDescent="0.35">
      <c r="A242" s="6">
        <v>45861</v>
      </c>
      <c r="B242" s="7">
        <v>73385.570000000007</v>
      </c>
      <c r="C242" s="7">
        <v>64898.2</v>
      </c>
      <c r="K242" s="6"/>
      <c r="L242" s="7"/>
      <c r="M242" s="7"/>
    </row>
    <row r="243" spans="1:13" x14ac:dyDescent="0.35">
      <c r="A243" s="6">
        <v>45862</v>
      </c>
      <c r="B243" s="7">
        <v>73364.39</v>
      </c>
      <c r="C243" s="7">
        <v>64838.96</v>
      </c>
      <c r="K243" s="6"/>
      <c r="L243" s="7"/>
      <c r="M243" s="7"/>
    </row>
    <row r="244" spans="1:13" x14ac:dyDescent="0.35">
      <c r="A244" s="6">
        <v>45863</v>
      </c>
      <c r="B244" s="7">
        <v>73377.929999999993</v>
      </c>
      <c r="C244" s="7">
        <v>64832.6</v>
      </c>
      <c r="K244" s="6"/>
      <c r="L244" s="7"/>
      <c r="M244" s="7"/>
    </row>
    <row r="245" spans="1:13" x14ac:dyDescent="0.35">
      <c r="A245" s="6">
        <v>45866</v>
      </c>
      <c r="B245" s="7">
        <v>73441.7</v>
      </c>
      <c r="C245" s="7">
        <v>64878.92</v>
      </c>
      <c r="K245" s="6"/>
      <c r="L245" s="7"/>
      <c r="M245" s="7"/>
    </row>
    <row r="246" spans="1:13" x14ac:dyDescent="0.35">
      <c r="A246" s="6">
        <v>45867</v>
      </c>
      <c r="B246" s="7">
        <v>73667.08</v>
      </c>
      <c r="C246" s="7">
        <v>65233.83</v>
      </c>
      <c r="K246" s="6"/>
      <c r="L246" s="7"/>
      <c r="M246" s="7"/>
    </row>
    <row r="247" spans="1:13" x14ac:dyDescent="0.35">
      <c r="A247" s="6">
        <v>45868</v>
      </c>
      <c r="B247" s="7">
        <v>73603.62</v>
      </c>
      <c r="C247" s="7">
        <v>65164.61</v>
      </c>
      <c r="K247" s="6"/>
      <c r="L247" s="7"/>
      <c r="M247" s="7"/>
    </row>
    <row r="248" spans="1:13" x14ac:dyDescent="0.35">
      <c r="A248" s="6">
        <v>45869</v>
      </c>
      <c r="B248" s="7">
        <v>73406.429999999993</v>
      </c>
      <c r="C248" s="7">
        <v>64909.03</v>
      </c>
      <c r="K248" s="6"/>
      <c r="L248" s="7"/>
      <c r="M248" s="7"/>
    </row>
    <row r="249" spans="1:13" x14ac:dyDescent="0.35">
      <c r="A249" s="6">
        <v>45870</v>
      </c>
      <c r="B249" s="7">
        <v>73685.55</v>
      </c>
      <c r="C249" s="7">
        <v>65210.26</v>
      </c>
      <c r="K249" s="6"/>
      <c r="L249" s="7"/>
      <c r="M249" s="7"/>
    </row>
    <row r="250" spans="1:13" x14ac:dyDescent="0.35">
      <c r="A250" s="6">
        <v>45873</v>
      </c>
      <c r="B250" s="7">
        <v>73835.199999999997</v>
      </c>
      <c r="C250" s="7">
        <v>65393.19</v>
      </c>
      <c r="K250" s="6"/>
      <c r="L250" s="7"/>
      <c r="M250" s="7"/>
    </row>
    <row r="251" spans="1:13" x14ac:dyDescent="0.35">
      <c r="A251" s="6"/>
      <c r="B251" s="7"/>
      <c r="C251" s="7"/>
      <c r="K251" s="6"/>
      <c r="L251" s="7"/>
      <c r="M251" s="7"/>
    </row>
    <row r="252" spans="1:13" x14ac:dyDescent="0.35">
      <c r="A252" s="6"/>
      <c r="B252" s="7"/>
      <c r="C252" s="7"/>
      <c r="K252" s="6"/>
      <c r="L252" s="7"/>
      <c r="M252" s="7"/>
    </row>
    <row r="253" spans="1:13" x14ac:dyDescent="0.35">
      <c r="A253" s="6"/>
      <c r="B253" s="7"/>
      <c r="C253" s="7"/>
      <c r="K253" s="6"/>
      <c r="L253" s="7"/>
      <c r="M253" s="7"/>
    </row>
    <row r="254" spans="1:13" x14ac:dyDescent="0.35">
      <c r="A254" s="6"/>
      <c r="B254" s="7"/>
      <c r="C254" s="7"/>
      <c r="K254" s="6"/>
      <c r="L254" s="7"/>
      <c r="M254" s="7"/>
    </row>
    <row r="255" spans="1:13" x14ac:dyDescent="0.35">
      <c r="A255" s="6"/>
      <c r="B255" s="7"/>
      <c r="C255" s="7"/>
      <c r="K255" s="6"/>
      <c r="L255" s="7"/>
      <c r="M255" s="7"/>
    </row>
    <row r="256" spans="1:13" x14ac:dyDescent="0.35">
      <c r="A256" s="6"/>
      <c r="B256" s="7"/>
      <c r="C256" s="7"/>
      <c r="K256" s="6"/>
      <c r="L256" s="7"/>
      <c r="M256" s="7"/>
    </row>
    <row r="257" spans="1:13" x14ac:dyDescent="0.35">
      <c r="A257" s="6"/>
      <c r="B257" s="7"/>
      <c r="C257" s="7"/>
      <c r="K257" s="6"/>
      <c r="L257" s="7"/>
      <c r="M257" s="7"/>
    </row>
    <row r="258" spans="1:13" x14ac:dyDescent="0.35">
      <c r="A258" s="6"/>
      <c r="B258" s="7"/>
      <c r="C258" s="7"/>
      <c r="K258" s="6"/>
      <c r="L258" s="7"/>
      <c r="M258" s="7"/>
    </row>
    <row r="259" spans="1:13" x14ac:dyDescent="0.35">
      <c r="A259" s="6"/>
      <c r="B259" s="7"/>
      <c r="C259" s="7"/>
      <c r="K259" s="6"/>
      <c r="L259" s="7"/>
      <c r="M259" s="7"/>
    </row>
    <row r="260" spans="1:13" x14ac:dyDescent="0.35">
      <c r="A260" s="6"/>
      <c r="B260" s="7"/>
      <c r="C260" s="7"/>
      <c r="K260" s="6"/>
      <c r="L260" s="7"/>
      <c r="M260" s="7"/>
    </row>
    <row r="261" spans="1:13" x14ac:dyDescent="0.35">
      <c r="A261" s="6"/>
      <c r="B261" s="7"/>
      <c r="C261" s="7"/>
      <c r="K261" s="6"/>
      <c r="L261" s="7"/>
      <c r="M261" s="7"/>
    </row>
    <row r="262" spans="1:13" x14ac:dyDescent="0.35">
      <c r="A262" s="6"/>
      <c r="B262" s="7"/>
      <c r="C262" s="7"/>
      <c r="K262" s="6"/>
      <c r="L262" s="7"/>
      <c r="M262" s="7"/>
    </row>
    <row r="263" spans="1:13" x14ac:dyDescent="0.35">
      <c r="A263" s="6"/>
      <c r="B263" s="7"/>
      <c r="C263" s="7"/>
      <c r="K263" s="6"/>
      <c r="L263" s="7"/>
      <c r="M263" s="7"/>
    </row>
    <row r="264" spans="1:13" x14ac:dyDescent="0.35">
      <c r="A264" s="6"/>
      <c r="B264" s="7"/>
      <c r="C264" s="7"/>
      <c r="K264" s="6"/>
      <c r="L264" s="7"/>
      <c r="M264" s="7"/>
    </row>
    <row r="265" spans="1:13" x14ac:dyDescent="0.35">
      <c r="A265" s="6"/>
      <c r="B265" s="7"/>
      <c r="C265" s="7"/>
      <c r="K265" s="6"/>
      <c r="L265" s="7"/>
      <c r="M265" s="7"/>
    </row>
    <row r="266" spans="1:13" x14ac:dyDescent="0.35">
      <c r="A266" s="6"/>
      <c r="B266" s="7"/>
      <c r="C266" s="7"/>
      <c r="K266" s="6"/>
      <c r="L266" s="7"/>
      <c r="M266" s="7"/>
    </row>
    <row r="267" spans="1:13" x14ac:dyDescent="0.35">
      <c r="A267" s="6"/>
      <c r="B267" s="7"/>
      <c r="C267" s="7"/>
      <c r="K267" s="6"/>
      <c r="L267" s="7"/>
      <c r="M267" s="7"/>
    </row>
    <row r="268" spans="1:13" x14ac:dyDescent="0.35">
      <c r="A268" s="6"/>
      <c r="B268" s="7"/>
      <c r="C268" s="7"/>
      <c r="K268" s="6"/>
      <c r="L268" s="7"/>
      <c r="M268" s="7"/>
    </row>
    <row r="269" spans="1:13" x14ac:dyDescent="0.35">
      <c r="A269" s="6"/>
      <c r="B269" s="7"/>
      <c r="C269" s="7"/>
      <c r="K269" s="6"/>
      <c r="L269" s="7"/>
      <c r="M269" s="7"/>
    </row>
    <row r="270" spans="1:13" x14ac:dyDescent="0.35">
      <c r="A270" s="6"/>
      <c r="B270" s="7"/>
      <c r="C270" s="7"/>
      <c r="K270" s="6"/>
      <c r="L270" s="7"/>
      <c r="M270" s="7"/>
    </row>
    <row r="271" spans="1:13" x14ac:dyDescent="0.35">
      <c r="A271" s="6"/>
      <c r="B271" s="7"/>
      <c r="C271" s="7"/>
      <c r="K271" s="6"/>
      <c r="L271" s="7"/>
      <c r="M271" s="7"/>
    </row>
    <row r="272" spans="1:13" x14ac:dyDescent="0.35">
      <c r="A272" s="6"/>
      <c r="B272" s="7"/>
      <c r="C272" s="7"/>
      <c r="K272" s="6"/>
      <c r="L272" s="7"/>
      <c r="M272" s="7"/>
    </row>
    <row r="273" spans="1:13" x14ac:dyDescent="0.35">
      <c r="A273" s="6"/>
      <c r="B273" s="7"/>
      <c r="C273" s="7"/>
      <c r="K273" s="6"/>
      <c r="L273" s="7"/>
      <c r="M273" s="7"/>
    </row>
    <row r="274" spans="1:13" x14ac:dyDescent="0.35">
      <c r="A274" s="6"/>
      <c r="B274" s="7"/>
      <c r="C274" s="7"/>
      <c r="K274" s="6"/>
      <c r="L274" s="7"/>
      <c r="M274" s="7"/>
    </row>
    <row r="275" spans="1:13" x14ac:dyDescent="0.35">
      <c r="A275" s="6"/>
      <c r="B275" s="7"/>
      <c r="C275" s="7"/>
      <c r="K275" s="6"/>
      <c r="L275" s="7"/>
      <c r="M275" s="7"/>
    </row>
    <row r="276" spans="1:13" x14ac:dyDescent="0.35">
      <c r="A276" s="6"/>
      <c r="B276" s="7"/>
      <c r="C276" s="7"/>
      <c r="K276" s="6"/>
      <c r="L276" s="7"/>
      <c r="M276" s="7"/>
    </row>
    <row r="277" spans="1:13" x14ac:dyDescent="0.35">
      <c r="A277" s="6"/>
      <c r="B277" s="7"/>
      <c r="C277" s="7"/>
      <c r="K277" s="6"/>
      <c r="L277" s="7"/>
      <c r="M277" s="7"/>
    </row>
    <row r="278" spans="1:13" x14ac:dyDescent="0.35">
      <c r="A278" s="6"/>
      <c r="B278" s="7"/>
      <c r="C278" s="7"/>
      <c r="K278" s="6"/>
      <c r="L278" s="7"/>
      <c r="M278" s="7"/>
    </row>
    <row r="279" spans="1:13" x14ac:dyDescent="0.35">
      <c r="A279" s="6"/>
      <c r="B279" s="7"/>
      <c r="C279" s="7"/>
      <c r="K279" s="6"/>
      <c r="L279" s="7"/>
      <c r="M279" s="7"/>
    </row>
    <row r="280" spans="1:13" x14ac:dyDescent="0.35">
      <c r="A280" s="6"/>
      <c r="B280" s="7"/>
      <c r="C280" s="7"/>
      <c r="K280" s="6"/>
      <c r="L280" s="7"/>
      <c r="M280" s="7"/>
    </row>
    <row r="281" spans="1:13" x14ac:dyDescent="0.35">
      <c r="A281" s="6"/>
      <c r="B281" s="7"/>
      <c r="C281" s="7"/>
      <c r="K281" s="6"/>
      <c r="L281" s="7"/>
      <c r="M281" s="7"/>
    </row>
    <row r="282" spans="1:13" x14ac:dyDescent="0.35">
      <c r="A282" s="6"/>
      <c r="B282" s="7"/>
      <c r="C282" s="7"/>
      <c r="K282" s="6"/>
      <c r="L282" s="7"/>
      <c r="M282" s="7"/>
    </row>
    <row r="283" spans="1:13" x14ac:dyDescent="0.35">
      <c r="A283" s="6"/>
      <c r="B283" s="7"/>
      <c r="C283" s="7"/>
      <c r="K283" s="6"/>
      <c r="L283" s="7"/>
      <c r="M283" s="7"/>
    </row>
    <row r="284" spans="1:13" x14ac:dyDescent="0.35">
      <c r="A284" s="6"/>
      <c r="B284" s="7"/>
      <c r="C284" s="7"/>
      <c r="K284" s="6"/>
      <c r="L284" s="7"/>
      <c r="M284" s="7"/>
    </row>
    <row r="285" spans="1:13" x14ac:dyDescent="0.35">
      <c r="A285" s="6"/>
      <c r="B285" s="7"/>
      <c r="C285" s="7"/>
      <c r="K285" s="6"/>
      <c r="L285" s="7"/>
      <c r="M285" s="7"/>
    </row>
    <row r="286" spans="1:13" x14ac:dyDescent="0.35">
      <c r="A286" s="6"/>
      <c r="B286" s="7"/>
      <c r="C286" s="7"/>
      <c r="K286" s="6"/>
      <c r="L286" s="7"/>
      <c r="M286" s="7"/>
    </row>
    <row r="287" spans="1:13" x14ac:dyDescent="0.35">
      <c r="A287" s="6"/>
      <c r="B287" s="7"/>
      <c r="C287" s="7"/>
      <c r="K287" s="6"/>
      <c r="L287" s="7"/>
      <c r="M287" s="7"/>
    </row>
    <row r="288" spans="1:13" x14ac:dyDescent="0.35">
      <c r="A288" s="6"/>
      <c r="B288" s="7"/>
      <c r="C288" s="7"/>
      <c r="K288" s="6"/>
      <c r="L288" s="7"/>
      <c r="M288" s="7"/>
    </row>
    <row r="289" spans="1:13" x14ac:dyDescent="0.35">
      <c r="A289" s="6"/>
      <c r="B289" s="7"/>
      <c r="C289" s="7"/>
      <c r="K289" s="6"/>
      <c r="L289" s="7"/>
      <c r="M289" s="7"/>
    </row>
    <row r="290" spans="1:13" x14ac:dyDescent="0.35">
      <c r="A290" s="6"/>
      <c r="B290" s="7"/>
      <c r="C290" s="7"/>
      <c r="K290" s="6"/>
      <c r="L290" s="7"/>
      <c r="M290" s="7"/>
    </row>
    <row r="291" spans="1:13" x14ac:dyDescent="0.35">
      <c r="A291" s="6"/>
      <c r="B291" s="7"/>
      <c r="C291" s="7"/>
      <c r="K291" s="6"/>
      <c r="L291" s="7"/>
      <c r="M291" s="7"/>
    </row>
    <row r="292" spans="1:13" x14ac:dyDescent="0.35">
      <c r="A292" s="6"/>
      <c r="B292" s="7"/>
      <c r="C292" s="7"/>
      <c r="K292" s="6"/>
      <c r="L292" s="7"/>
      <c r="M292" s="7"/>
    </row>
    <row r="293" spans="1:13" x14ac:dyDescent="0.35">
      <c r="A293" s="6"/>
      <c r="B293" s="7"/>
      <c r="C293" s="7"/>
      <c r="K293" s="6"/>
      <c r="L293" s="7"/>
      <c r="M293" s="7"/>
    </row>
    <row r="294" spans="1:13" x14ac:dyDescent="0.35">
      <c r="A294" s="6"/>
      <c r="B294" s="7"/>
      <c r="C294" s="7"/>
      <c r="K294" s="6"/>
      <c r="L294" s="7"/>
      <c r="M294" s="7"/>
    </row>
    <row r="295" spans="1:13" x14ac:dyDescent="0.35">
      <c r="A295" s="6"/>
      <c r="B295" s="7"/>
      <c r="C295" s="7"/>
      <c r="K295" s="6"/>
      <c r="L295" s="7"/>
      <c r="M295" s="7"/>
    </row>
    <row r="296" spans="1:13" x14ac:dyDescent="0.35">
      <c r="A296" s="6"/>
      <c r="B296" s="7"/>
      <c r="C296" s="7"/>
      <c r="K296" s="6"/>
      <c r="L296" s="7"/>
      <c r="M296" s="7"/>
    </row>
    <row r="297" spans="1:13" x14ac:dyDescent="0.35">
      <c r="A297" s="6"/>
      <c r="B297" s="7"/>
      <c r="C297" s="7"/>
      <c r="K297" s="6"/>
      <c r="L297" s="7"/>
      <c r="M297" s="7"/>
    </row>
    <row r="298" spans="1:13" x14ac:dyDescent="0.35">
      <c r="A298" s="6"/>
      <c r="B298" s="7"/>
      <c r="C298" s="7"/>
      <c r="K298" s="6"/>
      <c r="L298" s="7"/>
      <c r="M298" s="7"/>
    </row>
    <row r="299" spans="1:13" x14ac:dyDescent="0.35">
      <c r="A299" s="6"/>
      <c r="B299" s="7"/>
      <c r="C299" s="7"/>
      <c r="K299" s="6"/>
      <c r="L299" s="7"/>
      <c r="M299" s="7"/>
    </row>
    <row r="300" spans="1:13" x14ac:dyDescent="0.35">
      <c r="A300" s="6"/>
      <c r="B300" s="7"/>
      <c r="C300" s="7"/>
      <c r="K300" s="6"/>
      <c r="L300" s="7"/>
      <c r="M300" s="7"/>
    </row>
    <row r="301" spans="1:13" x14ac:dyDescent="0.35">
      <c r="A301" s="6"/>
      <c r="B301" s="7"/>
      <c r="C301" s="7"/>
      <c r="K301" s="6"/>
      <c r="L301" s="7"/>
      <c r="M301" s="7"/>
    </row>
    <row r="302" spans="1:13" x14ac:dyDescent="0.35">
      <c r="A302" s="6"/>
      <c r="B302" s="7"/>
      <c r="C302" s="7"/>
      <c r="K302" s="6"/>
      <c r="L302" s="7"/>
      <c r="M302" s="7"/>
    </row>
    <row r="303" spans="1:13" x14ac:dyDescent="0.35">
      <c r="A303" s="6"/>
      <c r="B303" s="7"/>
      <c r="C303" s="7"/>
      <c r="K303" s="6"/>
      <c r="L303" s="7"/>
      <c r="M303" s="7"/>
    </row>
    <row r="304" spans="1:13" x14ac:dyDescent="0.35">
      <c r="A304" s="6"/>
      <c r="B304" s="7"/>
      <c r="C304" s="7"/>
      <c r="K304" s="6"/>
      <c r="L304" s="7"/>
      <c r="M304" s="7"/>
    </row>
    <row r="305" spans="1:13" x14ac:dyDescent="0.35">
      <c r="A305" s="6"/>
      <c r="B305" s="7"/>
      <c r="C305" s="7"/>
      <c r="K305" s="6"/>
      <c r="L305" s="7"/>
      <c r="M305" s="7"/>
    </row>
    <row r="306" spans="1:13" x14ac:dyDescent="0.35">
      <c r="A306" s="6"/>
      <c r="B306" s="7"/>
      <c r="C306" s="7"/>
      <c r="K306" s="6"/>
      <c r="L306" s="7"/>
      <c r="M306" s="7"/>
    </row>
    <row r="307" spans="1:13" x14ac:dyDescent="0.35">
      <c r="A307" s="6"/>
      <c r="B307" s="7"/>
      <c r="C307" s="7"/>
      <c r="K307" s="6"/>
      <c r="L307" s="7"/>
      <c r="M307" s="7"/>
    </row>
    <row r="308" spans="1:13" x14ac:dyDescent="0.35">
      <c r="A308" s="6"/>
      <c r="B308" s="7"/>
      <c r="C308" s="7"/>
      <c r="K308" s="6"/>
      <c r="L308" s="7"/>
      <c r="M308" s="7"/>
    </row>
    <row r="309" spans="1:13" x14ac:dyDescent="0.35">
      <c r="A309" s="6"/>
      <c r="B309" s="7"/>
      <c r="C309" s="7"/>
      <c r="K309" s="6"/>
      <c r="L309" s="7"/>
      <c r="M309" s="7"/>
    </row>
    <row r="310" spans="1:13" x14ac:dyDescent="0.35">
      <c r="A310" s="6"/>
      <c r="B310" s="7"/>
      <c r="C310" s="7"/>
      <c r="K310" s="6"/>
      <c r="L310" s="7"/>
      <c r="M310" s="7"/>
    </row>
    <row r="311" spans="1:13" x14ac:dyDescent="0.35">
      <c r="A311" s="6"/>
      <c r="B311" s="7"/>
      <c r="C311" s="7"/>
      <c r="K311" s="6"/>
      <c r="L311" s="7"/>
      <c r="M311" s="7"/>
    </row>
    <row r="312" spans="1:13" x14ac:dyDescent="0.35">
      <c r="A312" s="6"/>
      <c r="B312" s="7"/>
      <c r="C312" s="7"/>
      <c r="K312" s="6"/>
      <c r="L312" s="7"/>
      <c r="M312" s="7"/>
    </row>
    <row r="313" spans="1:13" x14ac:dyDescent="0.35">
      <c r="A313" s="6"/>
      <c r="B313" s="7"/>
      <c r="C313" s="7"/>
      <c r="K313" s="6"/>
      <c r="L313" s="7"/>
      <c r="M313" s="7"/>
    </row>
    <row r="314" spans="1:13" x14ac:dyDescent="0.35">
      <c r="A314" s="6"/>
      <c r="B314" s="7"/>
      <c r="C314" s="7"/>
      <c r="K314" s="6"/>
      <c r="L314" s="7"/>
      <c r="M314" s="7"/>
    </row>
    <row r="315" spans="1:13" x14ac:dyDescent="0.35">
      <c r="A315" s="6"/>
      <c r="B315" s="7"/>
      <c r="C315" s="7"/>
      <c r="K315" s="6"/>
      <c r="L315" s="7"/>
      <c r="M315" s="7"/>
    </row>
    <row r="316" spans="1:13" x14ac:dyDescent="0.35">
      <c r="A316" s="6"/>
      <c r="B316" s="7"/>
      <c r="C316" s="7"/>
      <c r="K316" s="6"/>
      <c r="L316" s="7"/>
      <c r="M316" s="7"/>
    </row>
    <row r="317" spans="1:13" x14ac:dyDescent="0.35">
      <c r="A317" s="6"/>
      <c r="B317" s="7"/>
      <c r="C317" s="7"/>
      <c r="K317" s="6"/>
      <c r="L317" s="7"/>
      <c r="M317" s="7"/>
    </row>
    <row r="318" spans="1:13" x14ac:dyDescent="0.35">
      <c r="A318" s="6"/>
      <c r="B318" s="7"/>
      <c r="C318" s="7"/>
      <c r="K318" s="6"/>
      <c r="L318" s="7"/>
      <c r="M318" s="7"/>
    </row>
    <row r="319" spans="1:13" x14ac:dyDescent="0.35">
      <c r="A319" s="6"/>
      <c r="B319" s="7"/>
      <c r="C319" s="7"/>
      <c r="K319" s="6"/>
      <c r="L319" s="7"/>
      <c r="M319" s="7"/>
    </row>
    <row r="320" spans="1:13" x14ac:dyDescent="0.35">
      <c r="A320" s="6"/>
      <c r="B320" s="7"/>
      <c r="C320" s="7"/>
      <c r="K320" s="6"/>
      <c r="L320" s="7"/>
      <c r="M320" s="7"/>
    </row>
    <row r="321" spans="1:13" x14ac:dyDescent="0.35">
      <c r="A321" s="6"/>
      <c r="B321" s="7"/>
      <c r="C321" s="7"/>
      <c r="K321" s="6"/>
      <c r="L321" s="7"/>
      <c r="M321" s="7"/>
    </row>
    <row r="322" spans="1:13" x14ac:dyDescent="0.35">
      <c r="A322" s="6"/>
      <c r="B322" s="7"/>
      <c r="C322" s="7"/>
      <c r="K322" s="6"/>
      <c r="L322" s="7"/>
      <c r="M322" s="7"/>
    </row>
    <row r="323" spans="1:13" x14ac:dyDescent="0.35">
      <c r="A323" s="6"/>
      <c r="B323" s="7"/>
      <c r="C323" s="7"/>
      <c r="K323" s="6"/>
      <c r="L323" s="7"/>
      <c r="M323" s="7"/>
    </row>
    <row r="324" spans="1:13" x14ac:dyDescent="0.35">
      <c r="A324" s="6"/>
      <c r="B324" s="7"/>
      <c r="C324" s="7"/>
      <c r="K324" s="6"/>
      <c r="L324" s="7"/>
      <c r="M324" s="7"/>
    </row>
    <row r="325" spans="1:13" x14ac:dyDescent="0.35">
      <c r="A325" s="6"/>
      <c r="B325" s="7"/>
      <c r="C325" s="7"/>
      <c r="K325" s="6"/>
      <c r="L325" s="7"/>
      <c r="M325" s="7"/>
    </row>
    <row r="326" spans="1:13" x14ac:dyDescent="0.35">
      <c r="A326" s="6"/>
      <c r="B326" s="7"/>
      <c r="C326" s="7"/>
      <c r="K326" s="6"/>
      <c r="L326" s="7"/>
      <c r="M326" s="7"/>
    </row>
    <row r="327" spans="1:13" x14ac:dyDescent="0.35">
      <c r="A327" s="6"/>
      <c r="B327" s="7"/>
      <c r="C327" s="7"/>
      <c r="K327" s="6"/>
      <c r="L327" s="7"/>
      <c r="M327" s="7"/>
    </row>
    <row r="328" spans="1:13" x14ac:dyDescent="0.35">
      <c r="A328" s="6"/>
      <c r="B328" s="7"/>
      <c r="C328" s="7"/>
      <c r="K328" s="6"/>
      <c r="L328" s="7"/>
      <c r="M328" s="7"/>
    </row>
    <row r="329" spans="1:13" x14ac:dyDescent="0.35">
      <c r="A329" s="6"/>
      <c r="B329" s="7"/>
      <c r="C329" s="7"/>
      <c r="K329" s="6"/>
      <c r="L329" s="7"/>
      <c r="M329" s="7"/>
    </row>
    <row r="330" spans="1:13" x14ac:dyDescent="0.35">
      <c r="A330" s="6"/>
      <c r="B330" s="7"/>
      <c r="C330" s="7"/>
      <c r="K330" s="6"/>
      <c r="L330" s="7"/>
      <c r="M330" s="7"/>
    </row>
    <row r="331" spans="1:13" x14ac:dyDescent="0.35">
      <c r="A331" s="6"/>
      <c r="B331" s="7"/>
      <c r="C331" s="7"/>
      <c r="K331" s="6"/>
      <c r="L331" s="7"/>
      <c r="M331" s="7"/>
    </row>
    <row r="332" spans="1:13" x14ac:dyDescent="0.35">
      <c r="A332" s="6"/>
      <c r="B332" s="7"/>
      <c r="C332" s="7"/>
      <c r="K332" s="6"/>
      <c r="L332" s="7"/>
      <c r="M332" s="7"/>
    </row>
    <row r="333" spans="1:13" x14ac:dyDescent="0.35">
      <c r="A333" s="6"/>
      <c r="B333" s="7"/>
      <c r="C333" s="7"/>
      <c r="K333" s="6"/>
      <c r="L333" s="7"/>
      <c r="M333" s="7"/>
    </row>
    <row r="334" spans="1:13" x14ac:dyDescent="0.35">
      <c r="A334" s="6"/>
      <c r="B334" s="7"/>
      <c r="C334" s="7"/>
      <c r="K334" s="6"/>
      <c r="L334" s="7"/>
      <c r="M334" s="7"/>
    </row>
    <row r="335" spans="1:13" x14ac:dyDescent="0.35">
      <c r="A335" s="6"/>
      <c r="B335" s="7"/>
      <c r="C335" s="7"/>
      <c r="K335" s="6"/>
      <c r="L335" s="7"/>
      <c r="M335" s="7"/>
    </row>
    <row r="336" spans="1:13" x14ac:dyDescent="0.35">
      <c r="A336" s="6"/>
      <c r="B336" s="7"/>
      <c r="C336" s="7"/>
      <c r="K336" s="6"/>
      <c r="L336" s="7"/>
      <c r="M336" s="7"/>
    </row>
    <row r="337" spans="1:13" x14ac:dyDescent="0.35">
      <c r="A337" s="6"/>
      <c r="B337" s="7"/>
      <c r="C337" s="7"/>
      <c r="K337" s="6"/>
      <c r="L337" s="7"/>
      <c r="M337" s="7"/>
    </row>
    <row r="338" spans="1:13" x14ac:dyDescent="0.35">
      <c r="A338" s="6"/>
      <c r="B338" s="7"/>
      <c r="C338" s="7"/>
      <c r="K338" s="6"/>
      <c r="L338" s="7"/>
      <c r="M338" s="7"/>
    </row>
    <row r="339" spans="1:13" x14ac:dyDescent="0.35">
      <c r="A339" s="6"/>
      <c r="B339" s="7"/>
      <c r="C339" s="7"/>
      <c r="K339" s="6"/>
      <c r="L339" s="7"/>
      <c r="M339" s="7"/>
    </row>
    <row r="340" spans="1:13" x14ac:dyDescent="0.35">
      <c r="A340" s="6"/>
      <c r="B340" s="7"/>
      <c r="C340" s="7"/>
      <c r="K340" s="6"/>
      <c r="L340" s="7"/>
      <c r="M340" s="7"/>
    </row>
    <row r="341" spans="1:13" x14ac:dyDescent="0.35">
      <c r="A341" s="6"/>
      <c r="B341" s="7"/>
      <c r="C341" s="7"/>
      <c r="K341" s="6"/>
      <c r="L341" s="7"/>
      <c r="M341" s="7"/>
    </row>
    <row r="342" spans="1:13" x14ac:dyDescent="0.35">
      <c r="A342" s="6"/>
      <c r="B342" s="7"/>
      <c r="C342" s="7"/>
      <c r="K342" s="6"/>
      <c r="L342" s="7"/>
      <c r="M342" s="7"/>
    </row>
    <row r="343" spans="1:13" x14ac:dyDescent="0.35">
      <c r="A343" s="6"/>
      <c r="B343" s="7"/>
      <c r="C343" s="7"/>
      <c r="K343" s="6"/>
      <c r="L343" s="7"/>
      <c r="M343" s="7"/>
    </row>
    <row r="344" spans="1:13" x14ac:dyDescent="0.35">
      <c r="A344" s="6"/>
      <c r="B344" s="7"/>
      <c r="C344" s="7"/>
      <c r="K344" s="6"/>
      <c r="L344" s="7"/>
      <c r="M344" s="7"/>
    </row>
    <row r="345" spans="1:13" x14ac:dyDescent="0.35">
      <c r="A345" s="6"/>
      <c r="B345" s="7"/>
      <c r="C345" s="7"/>
      <c r="K345" s="6"/>
      <c r="L345" s="7"/>
      <c r="M345" s="7"/>
    </row>
    <row r="346" spans="1:13" x14ac:dyDescent="0.35">
      <c r="A346" s="6"/>
      <c r="B346" s="7"/>
      <c r="C346" s="7"/>
      <c r="K346" s="6"/>
      <c r="L346" s="7"/>
      <c r="M346" s="7"/>
    </row>
    <row r="347" spans="1:13" x14ac:dyDescent="0.35">
      <c r="A347" s="6"/>
      <c r="B347" s="7"/>
      <c r="C347" s="7"/>
      <c r="K347" s="6"/>
      <c r="L347" s="7"/>
      <c r="M347" s="7"/>
    </row>
    <row r="348" spans="1:13" x14ac:dyDescent="0.35">
      <c r="A348" s="6"/>
      <c r="B348" s="7"/>
      <c r="C348" s="7"/>
      <c r="K348" s="6"/>
      <c r="L348" s="7"/>
      <c r="M348" s="7"/>
    </row>
    <row r="349" spans="1:13" x14ac:dyDescent="0.35">
      <c r="A349" s="6"/>
      <c r="B349" s="7"/>
      <c r="C349" s="7"/>
      <c r="K349" s="6"/>
      <c r="L349" s="7"/>
      <c r="M349" s="7"/>
    </row>
    <row r="350" spans="1:13" x14ac:dyDescent="0.35">
      <c r="A350" s="6"/>
      <c r="B350" s="7"/>
      <c r="C350" s="7"/>
      <c r="K350" s="6"/>
      <c r="L350" s="7"/>
      <c r="M350" s="7"/>
    </row>
    <row r="351" spans="1:13" x14ac:dyDescent="0.35">
      <c r="A351" s="6"/>
      <c r="B351" s="7"/>
      <c r="C351" s="7"/>
      <c r="K351" s="6"/>
      <c r="L351" s="7"/>
      <c r="M351" s="7"/>
    </row>
    <row r="352" spans="1:13" x14ac:dyDescent="0.35">
      <c r="A352" s="6"/>
      <c r="B352" s="7"/>
      <c r="C352" s="7"/>
      <c r="K352" s="6"/>
      <c r="L352" s="7"/>
      <c r="M352" s="7"/>
    </row>
    <row r="353" spans="1:13" x14ac:dyDescent="0.35">
      <c r="A353" s="6"/>
      <c r="B353" s="7"/>
      <c r="C353" s="7"/>
      <c r="K353" s="6"/>
      <c r="L353" s="7"/>
      <c r="M353" s="7"/>
    </row>
    <row r="354" spans="1:13" x14ac:dyDescent="0.35">
      <c r="A354" s="6"/>
      <c r="B354" s="7"/>
      <c r="C354" s="7"/>
      <c r="K354" s="6"/>
      <c r="L354" s="7"/>
      <c r="M354" s="7"/>
    </row>
    <row r="355" spans="1:13" x14ac:dyDescent="0.35">
      <c r="A355" s="6"/>
      <c r="B355" s="7"/>
      <c r="C355" s="7"/>
      <c r="K355" s="6"/>
      <c r="L355" s="7"/>
      <c r="M355" s="7"/>
    </row>
    <row r="356" spans="1:13" x14ac:dyDescent="0.35">
      <c r="A356" s="6"/>
      <c r="B356" s="7"/>
      <c r="C356" s="7"/>
      <c r="K356" s="6"/>
      <c r="L356" s="7"/>
      <c r="M356" s="7"/>
    </row>
    <row r="357" spans="1:13" x14ac:dyDescent="0.35">
      <c r="A357" s="6"/>
      <c r="B357" s="7"/>
      <c r="C357" s="7"/>
      <c r="K357" s="6"/>
      <c r="L357" s="7"/>
      <c r="M357" s="7"/>
    </row>
    <row r="358" spans="1:13" x14ac:dyDescent="0.35">
      <c r="A358" s="6"/>
      <c r="B358" s="7"/>
      <c r="C358" s="7"/>
      <c r="K358" s="6"/>
      <c r="L358" s="7"/>
      <c r="M358" s="7"/>
    </row>
    <row r="359" spans="1:13" x14ac:dyDescent="0.35">
      <c r="A359" s="6"/>
      <c r="B359" s="7"/>
      <c r="C359" s="7"/>
      <c r="K359" s="6"/>
      <c r="L359" s="7"/>
      <c r="M359" s="7"/>
    </row>
    <row r="360" spans="1:13" x14ac:dyDescent="0.35">
      <c r="A360" s="6"/>
      <c r="B360" s="7"/>
      <c r="C360" s="7"/>
      <c r="K360" s="6"/>
      <c r="L360" s="7"/>
      <c r="M360" s="7"/>
    </row>
    <row r="361" spans="1:13" x14ac:dyDescent="0.35">
      <c r="A361" s="6"/>
      <c r="B361" s="7"/>
      <c r="C361" s="7"/>
      <c r="K361" s="6"/>
      <c r="L361" s="7"/>
      <c r="M361" s="7"/>
    </row>
    <row r="362" spans="1:13" x14ac:dyDescent="0.35">
      <c r="A362" s="6"/>
      <c r="B362" s="7"/>
      <c r="C362" s="7"/>
      <c r="K362" s="6"/>
      <c r="L362" s="7"/>
      <c r="M362" s="7"/>
    </row>
    <row r="363" spans="1:13" x14ac:dyDescent="0.35">
      <c r="A363" s="6"/>
      <c r="B363" s="7"/>
      <c r="C363" s="7"/>
      <c r="K363" s="6"/>
      <c r="L363" s="7"/>
      <c r="M363" s="7"/>
    </row>
    <row r="364" spans="1:13" x14ac:dyDescent="0.35">
      <c r="A364" s="6"/>
      <c r="B364" s="7"/>
      <c r="C364" s="7"/>
      <c r="K364" s="6"/>
      <c r="L364" s="7"/>
      <c r="M364" s="7"/>
    </row>
    <row r="365" spans="1:13" x14ac:dyDescent="0.35">
      <c r="A365" s="6"/>
      <c r="B365" s="7"/>
      <c r="C365" s="7"/>
      <c r="K365" s="6"/>
      <c r="L365" s="7"/>
      <c r="M365" s="7"/>
    </row>
    <row r="366" spans="1:13" x14ac:dyDescent="0.35">
      <c r="A366" s="6"/>
      <c r="B366" s="7"/>
      <c r="C366" s="7"/>
      <c r="K366" s="6"/>
      <c r="L366" s="7"/>
      <c r="M366" s="7"/>
    </row>
    <row r="367" spans="1:13" x14ac:dyDescent="0.35">
      <c r="A367" s="6"/>
      <c r="B367" s="7"/>
      <c r="C367" s="7"/>
      <c r="K367" s="6"/>
      <c r="L367" s="7"/>
      <c r="M367" s="7"/>
    </row>
    <row r="368" spans="1:13" x14ac:dyDescent="0.35">
      <c r="A368" s="6"/>
      <c r="B368" s="7"/>
      <c r="C368" s="7"/>
      <c r="K368" s="6"/>
      <c r="L368" s="7"/>
      <c r="M368" s="7"/>
    </row>
    <row r="369" spans="1:13" x14ac:dyDescent="0.35">
      <c r="A369" s="6"/>
      <c r="B369" s="7"/>
      <c r="C369" s="7"/>
      <c r="K369" s="6"/>
      <c r="L369" s="7"/>
      <c r="M369" s="7"/>
    </row>
    <row r="370" spans="1:13" x14ac:dyDescent="0.35">
      <c r="A370" s="6"/>
      <c r="B370" s="7"/>
      <c r="C370" s="7"/>
      <c r="K370" s="6"/>
      <c r="L370" s="7"/>
      <c r="M370" s="7"/>
    </row>
    <row r="371" spans="1:13" x14ac:dyDescent="0.35">
      <c r="A371" s="6"/>
      <c r="B371" s="7"/>
      <c r="C371" s="7"/>
      <c r="K371" s="6"/>
      <c r="L371" s="7"/>
      <c r="M371" s="7"/>
    </row>
    <row r="372" spans="1:13" x14ac:dyDescent="0.35">
      <c r="A372" s="6"/>
      <c r="B372" s="7"/>
      <c r="C372" s="7"/>
      <c r="K372" s="6"/>
      <c r="L372" s="7"/>
      <c r="M372" s="7"/>
    </row>
    <row r="373" spans="1:13" x14ac:dyDescent="0.35">
      <c r="A373" s="6"/>
      <c r="B373" s="7"/>
      <c r="C373" s="7"/>
      <c r="K373" s="6"/>
      <c r="L373" s="7"/>
      <c r="M373" s="7"/>
    </row>
    <row r="374" spans="1:13" x14ac:dyDescent="0.35">
      <c r="A374" s="6"/>
      <c r="B374" s="7"/>
      <c r="C374" s="7"/>
      <c r="K374" s="6"/>
      <c r="L374" s="7"/>
      <c r="M374" s="7"/>
    </row>
    <row r="375" spans="1:13" x14ac:dyDescent="0.35">
      <c r="A375" s="6"/>
      <c r="B375" s="7"/>
      <c r="C375" s="7"/>
      <c r="K375" s="6"/>
      <c r="L375" s="7"/>
      <c r="M375" s="7"/>
    </row>
    <row r="376" spans="1:13" x14ac:dyDescent="0.35">
      <c r="A376" s="6"/>
      <c r="B376" s="7"/>
      <c r="C376" s="7"/>
      <c r="K376" s="6"/>
      <c r="L376" s="7"/>
      <c r="M376" s="7"/>
    </row>
    <row r="377" spans="1:13" x14ac:dyDescent="0.35">
      <c r="A377" s="6"/>
      <c r="B377" s="7"/>
      <c r="C377" s="7"/>
      <c r="K377" s="6"/>
      <c r="L377" s="7"/>
      <c r="M377" s="7"/>
    </row>
    <row r="378" spans="1:13" x14ac:dyDescent="0.35">
      <c r="A378" s="6"/>
      <c r="B378" s="7"/>
      <c r="C378" s="7"/>
      <c r="K378" s="6"/>
      <c r="L378" s="7"/>
      <c r="M378" s="7"/>
    </row>
    <row r="379" spans="1:13" x14ac:dyDescent="0.35">
      <c r="A379" s="6"/>
      <c r="B379" s="7"/>
      <c r="C379" s="7"/>
      <c r="K379" s="6"/>
      <c r="L379" s="7"/>
      <c r="M379" s="7"/>
    </row>
    <row r="380" spans="1:13" x14ac:dyDescent="0.35">
      <c r="A380" s="6"/>
      <c r="B380" s="7"/>
      <c r="C380" s="7"/>
      <c r="K380" s="6"/>
      <c r="L380" s="7"/>
      <c r="M380" s="7"/>
    </row>
    <row r="381" spans="1:13" x14ac:dyDescent="0.35">
      <c r="A381" s="6"/>
      <c r="B381" s="7"/>
      <c r="C381" s="7"/>
      <c r="K381" s="6"/>
      <c r="L381" s="7"/>
      <c r="M381" s="7"/>
    </row>
    <row r="382" spans="1:13" x14ac:dyDescent="0.35">
      <c r="A382" s="6"/>
      <c r="B382" s="7"/>
      <c r="C382" s="7"/>
      <c r="K382" s="6"/>
      <c r="L382" s="7"/>
      <c r="M382" s="7"/>
    </row>
    <row r="383" spans="1:13" x14ac:dyDescent="0.35">
      <c r="A383" s="6"/>
      <c r="B383" s="7"/>
      <c r="C383" s="7"/>
      <c r="K383" s="6"/>
      <c r="L383" s="7"/>
      <c r="M383" s="7"/>
    </row>
    <row r="384" spans="1:13" x14ac:dyDescent="0.35">
      <c r="A384" s="6"/>
      <c r="B384" s="7"/>
      <c r="C384" s="7"/>
      <c r="K384" s="6"/>
      <c r="L384" s="7"/>
      <c r="M384" s="7"/>
    </row>
    <row r="385" spans="1:13" x14ac:dyDescent="0.35">
      <c r="A385" s="6"/>
      <c r="B385" s="7"/>
      <c r="C385" s="7"/>
      <c r="K385" s="6"/>
      <c r="L385" s="7"/>
      <c r="M385" s="7"/>
    </row>
    <row r="386" spans="1:13" x14ac:dyDescent="0.35">
      <c r="A386" s="6"/>
      <c r="B386" s="7"/>
      <c r="C386" s="7"/>
      <c r="K386" s="6"/>
      <c r="L386" s="7"/>
      <c r="M386" s="7"/>
    </row>
    <row r="387" spans="1:13" x14ac:dyDescent="0.35">
      <c r="A387" s="6"/>
      <c r="B387" s="7"/>
      <c r="C387" s="7"/>
      <c r="K387" s="6"/>
      <c r="L387" s="7"/>
      <c r="M387" s="7"/>
    </row>
    <row r="388" spans="1:13" x14ac:dyDescent="0.35">
      <c r="A388" s="6"/>
      <c r="B388" s="7"/>
      <c r="C388" s="7"/>
      <c r="K388" s="6"/>
      <c r="L388" s="7"/>
      <c r="M388" s="7"/>
    </row>
    <row r="389" spans="1:13" x14ac:dyDescent="0.35">
      <c r="A389" s="6"/>
      <c r="B389" s="7"/>
      <c r="C389" s="7"/>
      <c r="K389" s="6"/>
      <c r="L389" s="7"/>
      <c r="M389" s="7"/>
    </row>
    <row r="390" spans="1:13" x14ac:dyDescent="0.35">
      <c r="A390" s="6"/>
      <c r="B390" s="7"/>
      <c r="C390" s="7"/>
      <c r="K390" s="6"/>
      <c r="L390" s="7"/>
      <c r="M390" s="7"/>
    </row>
    <row r="391" spans="1:13" x14ac:dyDescent="0.35">
      <c r="A391" s="6"/>
      <c r="B391" s="7"/>
      <c r="C391" s="7"/>
      <c r="K391" s="6"/>
      <c r="L391" s="7"/>
      <c r="M391" s="7"/>
    </row>
    <row r="392" spans="1:13" x14ac:dyDescent="0.35">
      <c r="A392" s="6"/>
      <c r="B392" s="7"/>
      <c r="C392" s="7"/>
      <c r="K392" s="6"/>
      <c r="L392" s="7"/>
      <c r="M392" s="7"/>
    </row>
    <row r="393" spans="1:13" x14ac:dyDescent="0.35">
      <c r="A393" s="6"/>
      <c r="B393" s="7"/>
      <c r="C393" s="7"/>
      <c r="K393" s="6"/>
      <c r="L393" s="7"/>
      <c r="M393" s="7"/>
    </row>
    <row r="394" spans="1:13" x14ac:dyDescent="0.35">
      <c r="A394" s="6"/>
      <c r="B394" s="7"/>
      <c r="C394" s="7"/>
      <c r="K394" s="6"/>
      <c r="L394" s="7"/>
      <c r="M394" s="7"/>
    </row>
    <row r="395" spans="1:13" x14ac:dyDescent="0.35">
      <c r="A395" s="6"/>
      <c r="B395" s="7"/>
      <c r="C395" s="7"/>
      <c r="K395" s="6"/>
      <c r="L395" s="7"/>
      <c r="M395" s="7"/>
    </row>
    <row r="396" spans="1:13" x14ac:dyDescent="0.35">
      <c r="A396" s="6"/>
      <c r="B396" s="7"/>
      <c r="C396" s="7"/>
      <c r="K396" s="6"/>
      <c r="L396" s="7"/>
      <c r="M396" s="7"/>
    </row>
    <row r="397" spans="1:13" x14ac:dyDescent="0.35">
      <c r="A397" s="6"/>
      <c r="B397" s="7"/>
      <c r="C397" s="7"/>
      <c r="K397" s="6"/>
      <c r="L397" s="7"/>
      <c r="M397" s="7"/>
    </row>
    <row r="398" spans="1:13" x14ac:dyDescent="0.35">
      <c r="A398" s="6"/>
      <c r="B398" s="7"/>
      <c r="C398" s="7"/>
      <c r="K398" s="6"/>
      <c r="L398" s="7"/>
      <c r="M398" s="7"/>
    </row>
    <row r="399" spans="1:13" x14ac:dyDescent="0.35">
      <c r="A399" s="6"/>
      <c r="B399" s="7"/>
      <c r="C399" s="7"/>
      <c r="K399" s="6"/>
      <c r="L399" s="7"/>
      <c r="M399" s="7"/>
    </row>
    <row r="400" spans="1:13" x14ac:dyDescent="0.35">
      <c r="A400" s="6"/>
      <c r="B400" s="7"/>
      <c r="C400" s="7"/>
      <c r="K400" s="6"/>
      <c r="L400" s="7"/>
      <c r="M400" s="7"/>
    </row>
    <row r="401" spans="1:13" x14ac:dyDescent="0.35">
      <c r="A401" s="6"/>
      <c r="B401" s="7"/>
      <c r="C401" s="7"/>
      <c r="K401" s="6"/>
      <c r="L401" s="7"/>
      <c r="M401" s="7"/>
    </row>
    <row r="402" spans="1:13" x14ac:dyDescent="0.35">
      <c r="A402" s="6"/>
      <c r="B402" s="7"/>
      <c r="C402" s="7"/>
      <c r="K402" s="6"/>
      <c r="L402" s="7"/>
      <c r="M402" s="7"/>
    </row>
    <row r="403" spans="1:13" x14ac:dyDescent="0.35">
      <c r="A403" s="6"/>
      <c r="B403" s="7"/>
      <c r="C403" s="7"/>
      <c r="K403" s="6"/>
      <c r="L403" s="7"/>
      <c r="M403" s="7"/>
    </row>
    <row r="404" spans="1:13" x14ac:dyDescent="0.35">
      <c r="A404" s="6"/>
      <c r="B404" s="7"/>
      <c r="C404" s="7"/>
      <c r="K404" s="6"/>
      <c r="L404" s="7"/>
      <c r="M404" s="7"/>
    </row>
    <row r="405" spans="1:13" x14ac:dyDescent="0.35">
      <c r="A405" s="6"/>
      <c r="B405" s="7"/>
      <c r="C405" s="7"/>
      <c r="K405" s="6"/>
      <c r="L405" s="7"/>
      <c r="M405" s="7"/>
    </row>
    <row r="406" spans="1:13" x14ac:dyDescent="0.35">
      <c r="A406" s="6"/>
      <c r="B406" s="7"/>
      <c r="C406" s="7"/>
      <c r="K406" s="6"/>
      <c r="L406" s="7"/>
      <c r="M406" s="7"/>
    </row>
    <row r="407" spans="1:13" x14ac:dyDescent="0.35">
      <c r="A407" s="6"/>
      <c r="B407" s="7"/>
      <c r="C407" s="7"/>
      <c r="K407" s="6"/>
      <c r="L407" s="7"/>
      <c r="M407" s="7"/>
    </row>
    <row r="408" spans="1:13" x14ac:dyDescent="0.35">
      <c r="A408" s="6"/>
      <c r="B408" s="7"/>
      <c r="C408" s="7"/>
      <c r="K408" s="6"/>
      <c r="L408" s="7"/>
      <c r="M408" s="7"/>
    </row>
    <row r="409" spans="1:13" x14ac:dyDescent="0.35">
      <c r="A409" s="6"/>
      <c r="B409" s="7"/>
      <c r="C409" s="7"/>
      <c r="K409" s="6"/>
      <c r="L409" s="7"/>
      <c r="M409" s="7"/>
    </row>
    <row r="410" spans="1:13" x14ac:dyDescent="0.35">
      <c r="A410" s="6"/>
      <c r="B410" s="7"/>
      <c r="C410" s="7"/>
      <c r="K410" s="6"/>
      <c r="L410" s="7"/>
      <c r="M410" s="7"/>
    </row>
    <row r="411" spans="1:13" x14ac:dyDescent="0.35">
      <c r="A411" s="6"/>
      <c r="B411" s="7"/>
      <c r="C411" s="7"/>
      <c r="K411" s="6"/>
      <c r="L411" s="7"/>
      <c r="M411" s="7"/>
    </row>
    <row r="412" spans="1:13" x14ac:dyDescent="0.35">
      <c r="A412" s="6"/>
      <c r="B412" s="7"/>
      <c r="C412" s="7"/>
      <c r="K412" s="6"/>
      <c r="L412" s="7"/>
      <c r="M412" s="7"/>
    </row>
    <row r="413" spans="1:13" x14ac:dyDescent="0.35">
      <c r="A413" s="6"/>
      <c r="B413" s="7"/>
      <c r="C413" s="7"/>
      <c r="K413" s="6"/>
      <c r="L413" s="7"/>
      <c r="M413" s="7"/>
    </row>
    <row r="414" spans="1:13" x14ac:dyDescent="0.35">
      <c r="A414" s="6"/>
      <c r="B414" s="7"/>
      <c r="C414" s="7"/>
      <c r="K414" s="6"/>
      <c r="L414" s="7"/>
      <c r="M414" s="7"/>
    </row>
    <row r="415" spans="1:13" x14ac:dyDescent="0.35">
      <c r="A415" s="6"/>
      <c r="B415" s="7"/>
      <c r="C415" s="7"/>
      <c r="K415" s="6"/>
      <c r="L415" s="7"/>
      <c r="M415" s="7"/>
    </row>
    <row r="416" spans="1:13" x14ac:dyDescent="0.35">
      <c r="A416" s="6"/>
      <c r="B416" s="7"/>
      <c r="C416" s="7"/>
      <c r="K416" s="6"/>
      <c r="L416" s="7"/>
      <c r="M416" s="7"/>
    </row>
    <row r="417" spans="1:13" x14ac:dyDescent="0.35">
      <c r="A417" s="6"/>
      <c r="B417" s="7"/>
      <c r="C417" s="7"/>
      <c r="K417" s="6"/>
      <c r="L417" s="7"/>
      <c r="M417" s="7"/>
    </row>
    <row r="418" spans="1:13" x14ac:dyDescent="0.35">
      <c r="A418" s="6"/>
      <c r="B418" s="7"/>
      <c r="C418" s="7"/>
      <c r="K418" s="6"/>
      <c r="L418" s="7"/>
      <c r="M418" s="7"/>
    </row>
    <row r="419" spans="1:13" x14ac:dyDescent="0.35">
      <c r="A419" s="6"/>
      <c r="B419" s="7"/>
      <c r="C419" s="7"/>
      <c r="K419" s="6"/>
      <c r="L419" s="7"/>
      <c r="M419" s="7"/>
    </row>
    <row r="420" spans="1:13" x14ac:dyDescent="0.35">
      <c r="A420" s="6"/>
      <c r="B420" s="7"/>
      <c r="C420" s="7"/>
      <c r="K420" s="6"/>
      <c r="L420" s="7"/>
      <c r="M420" s="7"/>
    </row>
    <row r="421" spans="1:13" x14ac:dyDescent="0.35">
      <c r="A421" s="6"/>
      <c r="B421" s="7"/>
      <c r="C421" s="7"/>
      <c r="K421" s="6"/>
      <c r="L421" s="7"/>
      <c r="M421" s="7"/>
    </row>
    <row r="422" spans="1:13" x14ac:dyDescent="0.35">
      <c r="A422" s="6"/>
      <c r="B422" s="7"/>
      <c r="C422" s="7"/>
      <c r="K422" s="6"/>
      <c r="L422" s="7"/>
      <c r="M422" s="7"/>
    </row>
    <row r="423" spans="1:13" x14ac:dyDescent="0.35">
      <c r="A423" s="6"/>
      <c r="B423" s="7"/>
      <c r="C423" s="7"/>
      <c r="K423" s="6"/>
      <c r="L423" s="7"/>
      <c r="M423" s="7"/>
    </row>
    <row r="424" spans="1:13" x14ac:dyDescent="0.35">
      <c r="A424" s="6"/>
      <c r="B424" s="7"/>
      <c r="C424" s="7"/>
      <c r="K424" s="6"/>
      <c r="L424" s="7"/>
      <c r="M424" s="7"/>
    </row>
    <row r="425" spans="1:13" x14ac:dyDescent="0.35">
      <c r="A425" s="6"/>
      <c r="B425" s="7"/>
      <c r="C425" s="7"/>
      <c r="K425" s="6"/>
      <c r="L425" s="7"/>
      <c r="M425" s="7"/>
    </row>
    <row r="426" spans="1:13" x14ac:dyDescent="0.35">
      <c r="A426" s="6"/>
      <c r="B426" s="7"/>
      <c r="C426" s="7"/>
      <c r="K426" s="6"/>
      <c r="L426" s="7"/>
      <c r="M426" s="7"/>
    </row>
    <row r="427" spans="1:13" x14ac:dyDescent="0.35">
      <c r="A427" s="6"/>
      <c r="B427" s="7"/>
      <c r="C427" s="7"/>
      <c r="K427" s="6"/>
      <c r="L427" s="7"/>
      <c r="M427" s="7"/>
    </row>
    <row r="428" spans="1:13" x14ac:dyDescent="0.35">
      <c r="A428" s="6"/>
      <c r="B428" s="7"/>
      <c r="C428" s="7"/>
      <c r="K428" s="6"/>
      <c r="L428" s="7"/>
      <c r="M428" s="7"/>
    </row>
    <row r="429" spans="1:13" x14ac:dyDescent="0.35">
      <c r="A429" s="6"/>
      <c r="B429" s="7"/>
      <c r="C429" s="7"/>
      <c r="K429" s="6"/>
      <c r="L429" s="7"/>
      <c r="M429" s="7"/>
    </row>
    <row r="430" spans="1:13" x14ac:dyDescent="0.35">
      <c r="A430" s="6"/>
      <c r="B430" s="7"/>
      <c r="C430" s="7"/>
      <c r="K430" s="6"/>
      <c r="L430" s="7"/>
      <c r="M430" s="7"/>
    </row>
    <row r="431" spans="1:13" x14ac:dyDescent="0.35">
      <c r="A431" s="6"/>
      <c r="B431" s="7"/>
      <c r="C431" s="7"/>
      <c r="K431" s="6"/>
      <c r="L431" s="7"/>
      <c r="M431" s="7"/>
    </row>
    <row r="432" spans="1:13" x14ac:dyDescent="0.35">
      <c r="A432" s="6"/>
      <c r="B432" s="7"/>
      <c r="C432" s="7"/>
      <c r="K432" s="6"/>
      <c r="L432" s="7"/>
      <c r="M432" s="7"/>
    </row>
    <row r="433" spans="1:13" x14ac:dyDescent="0.35">
      <c r="A433" s="6"/>
      <c r="B433" s="7"/>
      <c r="C433" s="7"/>
      <c r="K433" s="6"/>
      <c r="L433" s="7"/>
      <c r="M433" s="7"/>
    </row>
    <row r="434" spans="1:13" x14ac:dyDescent="0.35">
      <c r="A434" s="6"/>
      <c r="B434" s="7"/>
      <c r="C434" s="7"/>
      <c r="K434" s="6"/>
      <c r="L434" s="7"/>
      <c r="M434" s="7"/>
    </row>
    <row r="435" spans="1:13" x14ac:dyDescent="0.35">
      <c r="A435" s="6"/>
      <c r="B435" s="7"/>
      <c r="C435" s="7"/>
      <c r="K435" s="6"/>
      <c r="L435" s="7"/>
      <c r="M435" s="7"/>
    </row>
    <row r="436" spans="1:13" x14ac:dyDescent="0.35">
      <c r="A436" s="6"/>
      <c r="B436" s="7"/>
      <c r="C436" s="7"/>
      <c r="K436" s="6"/>
      <c r="L436" s="7"/>
      <c r="M436" s="7"/>
    </row>
    <row r="437" spans="1:13" x14ac:dyDescent="0.35">
      <c r="A437" s="6"/>
      <c r="B437" s="7"/>
      <c r="C437" s="7"/>
      <c r="K437" s="6"/>
      <c r="L437" s="7"/>
      <c r="M437" s="7"/>
    </row>
    <row r="438" spans="1:13" x14ac:dyDescent="0.35">
      <c r="A438" s="6"/>
      <c r="B438" s="7"/>
      <c r="C438" s="7"/>
      <c r="K438" s="6"/>
      <c r="L438" s="7"/>
      <c r="M438" s="7"/>
    </row>
    <row r="439" spans="1:13" x14ac:dyDescent="0.35">
      <c r="A439" s="6"/>
      <c r="B439" s="7"/>
      <c r="C439" s="7"/>
      <c r="K439" s="6"/>
      <c r="L439" s="7"/>
      <c r="M439" s="7"/>
    </row>
    <row r="440" spans="1:13" x14ac:dyDescent="0.35">
      <c r="A440" s="6"/>
      <c r="B440" s="7"/>
      <c r="C440" s="7"/>
      <c r="K440" s="6"/>
      <c r="L440" s="7"/>
      <c r="M440" s="7"/>
    </row>
    <row r="441" spans="1:13" x14ac:dyDescent="0.35">
      <c r="A441" s="6"/>
      <c r="B441" s="7"/>
      <c r="C441" s="7"/>
      <c r="K441" s="6"/>
      <c r="L441" s="7"/>
      <c r="M441" s="7"/>
    </row>
    <row r="442" spans="1:13" x14ac:dyDescent="0.35">
      <c r="A442" s="6"/>
      <c r="B442" s="7"/>
      <c r="C442" s="7"/>
      <c r="K442" s="6"/>
      <c r="L442" s="7"/>
      <c r="M442" s="7"/>
    </row>
    <row r="443" spans="1:13" x14ac:dyDescent="0.35">
      <c r="A443" s="6"/>
      <c r="B443" s="7"/>
      <c r="C443" s="7"/>
      <c r="K443" s="6"/>
      <c r="L443" s="7"/>
      <c r="M443" s="7"/>
    </row>
    <row r="444" spans="1:13" x14ac:dyDescent="0.35">
      <c r="A444" s="6"/>
      <c r="B444" s="7"/>
      <c r="C444" s="7"/>
      <c r="K444" s="6"/>
      <c r="L444" s="7"/>
      <c r="M444" s="7"/>
    </row>
    <row r="445" spans="1:13" x14ac:dyDescent="0.35">
      <c r="A445" s="6"/>
      <c r="B445" s="7"/>
      <c r="C445" s="7"/>
      <c r="K445" s="6"/>
      <c r="L445" s="7"/>
      <c r="M445" s="7"/>
    </row>
    <row r="446" spans="1:13" x14ac:dyDescent="0.35">
      <c r="A446" s="6"/>
      <c r="B446" s="7"/>
      <c r="C446" s="7"/>
      <c r="K446" s="6"/>
      <c r="L446" s="7"/>
      <c r="M446" s="7"/>
    </row>
    <row r="447" spans="1:13" x14ac:dyDescent="0.35">
      <c r="A447" s="6"/>
      <c r="B447" s="7"/>
      <c r="C447" s="7"/>
      <c r="K447" s="6"/>
      <c r="L447" s="7"/>
      <c r="M447" s="7"/>
    </row>
    <row r="448" spans="1:13" x14ac:dyDescent="0.35">
      <c r="A448" s="6"/>
      <c r="B448" s="7"/>
      <c r="C448" s="7"/>
      <c r="K448" s="6"/>
      <c r="L448" s="7"/>
      <c r="M448" s="7"/>
    </row>
    <row r="449" spans="1:13" x14ac:dyDescent="0.35">
      <c r="A449" s="6"/>
      <c r="B449" s="7"/>
      <c r="C449" s="7"/>
      <c r="K449" s="6"/>
      <c r="L449" s="7"/>
      <c r="M449" s="7"/>
    </row>
    <row r="450" spans="1:13" x14ac:dyDescent="0.35">
      <c r="A450" s="6"/>
      <c r="B450" s="7"/>
      <c r="C450" s="7"/>
      <c r="K450" s="6"/>
      <c r="L450" s="7"/>
      <c r="M450" s="7"/>
    </row>
    <row r="451" spans="1:13" x14ac:dyDescent="0.35">
      <c r="A451" s="6"/>
      <c r="B451" s="7"/>
      <c r="C451" s="7"/>
      <c r="K451" s="6"/>
      <c r="L451" s="7"/>
      <c r="M451" s="7"/>
    </row>
    <row r="452" spans="1:13" x14ac:dyDescent="0.35">
      <c r="A452" s="6"/>
      <c r="B452" s="7"/>
      <c r="C452" s="7"/>
      <c r="K452" s="6"/>
      <c r="L452" s="7"/>
      <c r="M452" s="7"/>
    </row>
    <row r="453" spans="1:13" x14ac:dyDescent="0.35">
      <c r="A453" s="6"/>
      <c r="B453" s="7"/>
      <c r="C453" s="7"/>
      <c r="K453" s="6"/>
      <c r="L453" s="7"/>
      <c r="M453" s="7"/>
    </row>
    <row r="454" spans="1:13" x14ac:dyDescent="0.35">
      <c r="A454" s="6"/>
      <c r="B454" s="7"/>
      <c r="C454" s="7"/>
      <c r="K454" s="6"/>
      <c r="L454" s="7"/>
      <c r="M454" s="7"/>
    </row>
    <row r="455" spans="1:13" x14ac:dyDescent="0.35">
      <c r="A455" s="6"/>
      <c r="B455" s="7"/>
      <c r="C455" s="7"/>
      <c r="K455" s="6"/>
      <c r="L455" s="7"/>
      <c r="M455" s="7"/>
    </row>
    <row r="456" spans="1:13" x14ac:dyDescent="0.35">
      <c r="A456" s="6"/>
      <c r="B456" s="7"/>
      <c r="C456" s="7"/>
      <c r="K456" s="6"/>
      <c r="L456" s="7"/>
      <c r="M456" s="7"/>
    </row>
    <row r="457" spans="1:13" x14ac:dyDescent="0.35">
      <c r="A457" s="6"/>
      <c r="B457" s="7"/>
      <c r="C457" s="7"/>
      <c r="K457" s="6"/>
      <c r="L457" s="7"/>
      <c r="M457" s="7"/>
    </row>
    <row r="458" spans="1:13" x14ac:dyDescent="0.35">
      <c r="A458" s="6"/>
      <c r="B458" s="7"/>
      <c r="C458" s="7"/>
      <c r="K458" s="6"/>
      <c r="L458" s="7"/>
      <c r="M458" s="7"/>
    </row>
    <row r="459" spans="1:13" x14ac:dyDescent="0.35">
      <c r="A459" s="6"/>
      <c r="B459" s="7"/>
      <c r="C459" s="7"/>
      <c r="K459" s="6"/>
      <c r="L459" s="7"/>
      <c r="M459" s="7"/>
    </row>
    <row r="460" spans="1:13" x14ac:dyDescent="0.35">
      <c r="A460" s="6"/>
      <c r="B460" s="7"/>
      <c r="C460" s="7"/>
      <c r="K460" s="6"/>
      <c r="L460" s="7"/>
      <c r="M460" s="7"/>
    </row>
    <row r="461" spans="1:13" x14ac:dyDescent="0.35">
      <c r="A461" s="6"/>
      <c r="B461" s="7"/>
      <c r="C461" s="7"/>
      <c r="K461" s="6"/>
      <c r="L461" s="7"/>
      <c r="M461" s="7"/>
    </row>
    <row r="462" spans="1:13" x14ac:dyDescent="0.35">
      <c r="A462" s="6"/>
      <c r="B462" s="7"/>
      <c r="C462" s="7"/>
      <c r="K462" s="6"/>
      <c r="L462" s="7"/>
      <c r="M462" s="7"/>
    </row>
    <row r="463" spans="1:13" x14ac:dyDescent="0.35">
      <c r="A463" s="6"/>
      <c r="B463" s="7"/>
      <c r="C463" s="7"/>
      <c r="K463" s="6"/>
      <c r="L463" s="7"/>
      <c r="M463" s="7"/>
    </row>
    <row r="464" spans="1:13" x14ac:dyDescent="0.35">
      <c r="A464" s="6"/>
      <c r="B464" s="7"/>
      <c r="C464" s="7"/>
      <c r="K464" s="6"/>
      <c r="L464" s="7"/>
      <c r="M464" s="7"/>
    </row>
    <row r="465" spans="1:13" x14ac:dyDescent="0.35">
      <c r="A465" s="6"/>
      <c r="B465" s="7"/>
      <c r="C465" s="7"/>
      <c r="K465" s="6"/>
      <c r="L465" s="7"/>
      <c r="M465" s="7"/>
    </row>
    <row r="466" spans="1:13" x14ac:dyDescent="0.35">
      <c r="A466" s="6"/>
      <c r="B466" s="7"/>
      <c r="C466" s="7"/>
      <c r="K466" s="6"/>
      <c r="L466" s="7"/>
      <c r="M466" s="7"/>
    </row>
    <row r="467" spans="1:13" x14ac:dyDescent="0.35">
      <c r="A467" s="6"/>
      <c r="B467" s="7"/>
      <c r="C467" s="7"/>
      <c r="K467" s="6"/>
      <c r="L467" s="7"/>
      <c r="M467" s="7"/>
    </row>
    <row r="468" spans="1:13" x14ac:dyDescent="0.35">
      <c r="A468" s="6"/>
      <c r="B468" s="7"/>
      <c r="C468" s="7"/>
      <c r="K468" s="6"/>
      <c r="L468" s="7"/>
      <c r="M468" s="7"/>
    </row>
    <row r="469" spans="1:13" x14ac:dyDescent="0.35">
      <c r="A469" s="6"/>
      <c r="B469" s="7"/>
      <c r="C469" s="7"/>
      <c r="K469" s="6"/>
      <c r="L469" s="7"/>
      <c r="M469" s="7"/>
    </row>
    <row r="470" spans="1:13" x14ac:dyDescent="0.35">
      <c r="A470" s="6"/>
      <c r="B470" s="7"/>
      <c r="C470" s="7"/>
      <c r="K470" s="6"/>
      <c r="L470" s="7"/>
      <c r="M470" s="7"/>
    </row>
    <row r="471" spans="1:13" x14ac:dyDescent="0.35">
      <c r="A471" s="6"/>
      <c r="B471" s="7"/>
      <c r="C471" s="7"/>
      <c r="K471" s="6"/>
      <c r="L471" s="7"/>
      <c r="M471" s="7"/>
    </row>
    <row r="472" spans="1:13" x14ac:dyDescent="0.35">
      <c r="A472" s="6"/>
      <c r="B472" s="7"/>
      <c r="C472" s="7"/>
      <c r="K472" s="6"/>
      <c r="L472" s="7"/>
      <c r="M472" s="7"/>
    </row>
    <row r="473" spans="1:13" x14ac:dyDescent="0.35">
      <c r="A473" s="6"/>
      <c r="B473" s="7"/>
      <c r="C473" s="7"/>
      <c r="K473" s="6"/>
      <c r="L473" s="7"/>
      <c r="M473" s="7"/>
    </row>
    <row r="474" spans="1:13" x14ac:dyDescent="0.35">
      <c r="A474" s="6"/>
      <c r="B474" s="7"/>
      <c r="C474" s="7"/>
      <c r="K474" s="6"/>
      <c r="L474" s="7"/>
      <c r="M474" s="7"/>
    </row>
    <row r="475" spans="1:13" x14ac:dyDescent="0.35">
      <c r="A475" s="6"/>
      <c r="B475" s="7"/>
      <c r="C475" s="7"/>
      <c r="K475" s="6"/>
      <c r="L475" s="7"/>
      <c r="M475" s="7"/>
    </row>
    <row r="476" spans="1:13" x14ac:dyDescent="0.35">
      <c r="A476" s="6"/>
      <c r="B476" s="7"/>
      <c r="C476" s="7"/>
      <c r="K476" s="6"/>
      <c r="L476" s="7"/>
      <c r="M476" s="7"/>
    </row>
    <row r="477" spans="1:13" x14ac:dyDescent="0.35">
      <c r="A477" s="6"/>
      <c r="B477" s="7"/>
      <c r="C477" s="7"/>
      <c r="K477" s="6"/>
      <c r="L477" s="7"/>
      <c r="M477" s="7"/>
    </row>
    <row r="478" spans="1:13" x14ac:dyDescent="0.35">
      <c r="A478" s="6"/>
      <c r="B478" s="7"/>
      <c r="C478" s="7"/>
      <c r="K478" s="6"/>
      <c r="L478" s="7"/>
      <c r="M478" s="7"/>
    </row>
    <row r="479" spans="1:13" x14ac:dyDescent="0.35">
      <c r="A479" s="6"/>
      <c r="B479" s="7"/>
      <c r="C479" s="7"/>
      <c r="K479" s="6"/>
      <c r="L479" s="7"/>
      <c r="M479" s="7"/>
    </row>
    <row r="480" spans="1:13" x14ac:dyDescent="0.35">
      <c r="A480" s="6"/>
      <c r="B480" s="7"/>
      <c r="C480" s="7"/>
      <c r="K480" s="6"/>
      <c r="L480" s="7"/>
      <c r="M480" s="7"/>
    </row>
    <row r="481" spans="1:13" x14ac:dyDescent="0.35">
      <c r="A481" s="6"/>
      <c r="B481" s="7"/>
      <c r="C481" s="7"/>
      <c r="K481" s="6"/>
      <c r="L481" s="7"/>
      <c r="M481" s="7"/>
    </row>
    <row r="482" spans="1:13" x14ac:dyDescent="0.35">
      <c r="A482" s="6"/>
      <c r="B482" s="7"/>
      <c r="C482" s="7"/>
      <c r="K482" s="6"/>
      <c r="L482" s="7"/>
      <c r="M482" s="7"/>
    </row>
    <row r="483" spans="1:13" x14ac:dyDescent="0.35">
      <c r="A483" s="6"/>
      <c r="B483" s="7"/>
      <c r="C483" s="7"/>
      <c r="K483" s="6"/>
      <c r="L483" s="7"/>
      <c r="M483" s="7"/>
    </row>
    <row r="484" spans="1:13" x14ac:dyDescent="0.35">
      <c r="A484" s="6"/>
      <c r="B484" s="7"/>
      <c r="C484" s="7"/>
      <c r="K484" s="6"/>
      <c r="L484" s="7"/>
      <c r="M484" s="7"/>
    </row>
    <row r="485" spans="1:13" x14ac:dyDescent="0.35">
      <c r="A485" s="6"/>
      <c r="B485" s="7"/>
      <c r="C485" s="7"/>
      <c r="K485" s="6"/>
      <c r="L485" s="7"/>
      <c r="M485" s="7"/>
    </row>
    <row r="486" spans="1:13" x14ac:dyDescent="0.35">
      <c r="A486" s="6"/>
      <c r="B486" s="7"/>
      <c r="C486" s="7"/>
      <c r="K486" s="6"/>
      <c r="L486" s="7"/>
      <c r="M486" s="7"/>
    </row>
    <row r="487" spans="1:13" x14ac:dyDescent="0.35">
      <c r="A487" s="6"/>
      <c r="B487" s="7"/>
      <c r="C487" s="7"/>
    </row>
    <row r="488" spans="1:13" x14ac:dyDescent="0.35">
      <c r="A488" s="6"/>
      <c r="B488" s="7"/>
      <c r="C488" s="7"/>
    </row>
    <row r="489" spans="1:13" x14ac:dyDescent="0.35">
      <c r="A489" s="6"/>
      <c r="B489" s="7"/>
      <c r="C489" s="7"/>
    </row>
    <row r="490" spans="1:13" x14ac:dyDescent="0.35">
      <c r="A490" s="6"/>
      <c r="B490" s="7"/>
      <c r="C490" s="7"/>
    </row>
    <row r="491" spans="1:13" x14ac:dyDescent="0.35">
      <c r="A491" s="6"/>
      <c r="B491" s="7"/>
      <c r="C491" s="7"/>
    </row>
    <row r="492" spans="1:13" x14ac:dyDescent="0.35">
      <c r="A492" s="6"/>
      <c r="B492" s="7"/>
      <c r="C492" s="7"/>
    </row>
    <row r="493" spans="1:13" x14ac:dyDescent="0.35">
      <c r="A493" s="6"/>
      <c r="B493" s="7"/>
      <c r="C493" s="7"/>
    </row>
    <row r="494" spans="1:13" x14ac:dyDescent="0.35">
      <c r="A494" s="6"/>
      <c r="B494" s="7"/>
      <c r="C494" s="7"/>
    </row>
    <row r="495" spans="1:13" x14ac:dyDescent="0.35">
      <c r="A495" s="6"/>
      <c r="B495" s="7"/>
      <c r="C495" s="7"/>
    </row>
    <row r="496" spans="1:13" x14ac:dyDescent="0.35">
      <c r="A496" s="6"/>
      <c r="B496" s="7"/>
      <c r="C496" s="7"/>
    </row>
    <row r="497" spans="1:3" x14ac:dyDescent="0.35">
      <c r="A497" s="6"/>
      <c r="B497" s="7"/>
      <c r="C497" s="7"/>
    </row>
    <row r="498" spans="1:3" x14ac:dyDescent="0.35">
      <c r="A498" s="6"/>
      <c r="B498" s="7"/>
      <c r="C498" s="7"/>
    </row>
    <row r="499" spans="1:3" x14ac:dyDescent="0.35">
      <c r="A499" s="6"/>
      <c r="B499" s="7"/>
      <c r="C499" s="7"/>
    </row>
    <row r="500" spans="1:3" x14ac:dyDescent="0.35">
      <c r="A500" s="6"/>
      <c r="B500" s="7"/>
      <c r="C500" s="7"/>
    </row>
    <row r="501" spans="1:3" x14ac:dyDescent="0.35">
      <c r="A501" s="6"/>
      <c r="B501" s="7"/>
      <c r="C501" s="7"/>
    </row>
    <row r="502" spans="1:3" x14ac:dyDescent="0.35">
      <c r="A502" s="6"/>
      <c r="B502" s="7"/>
      <c r="C502" s="7"/>
    </row>
    <row r="503" spans="1:3" x14ac:dyDescent="0.35">
      <c r="A503" s="6"/>
      <c r="B503" s="7"/>
      <c r="C503" s="7"/>
    </row>
    <row r="504" spans="1:3" x14ac:dyDescent="0.35">
      <c r="A504" s="6"/>
      <c r="B504" s="7"/>
      <c r="C504" s="7"/>
    </row>
    <row r="505" spans="1:3" x14ac:dyDescent="0.35">
      <c r="A505" s="6"/>
      <c r="B505" s="7"/>
      <c r="C505" s="7"/>
    </row>
    <row r="506" spans="1:3" x14ac:dyDescent="0.35">
      <c r="A506" s="6"/>
      <c r="B506" s="7"/>
      <c r="C506" s="7"/>
    </row>
    <row r="507" spans="1:3" x14ac:dyDescent="0.35">
      <c r="A507" s="6"/>
      <c r="B507" s="7"/>
      <c r="C507" s="7"/>
    </row>
    <row r="508" spans="1:3" x14ac:dyDescent="0.35">
      <c r="A508" s="6"/>
      <c r="B508" s="7"/>
      <c r="C508" s="7"/>
    </row>
    <row r="509" spans="1:3" x14ac:dyDescent="0.35">
      <c r="A509" s="6"/>
      <c r="B509" s="7"/>
      <c r="C509" s="7"/>
    </row>
    <row r="510" spans="1:3" x14ac:dyDescent="0.35">
      <c r="A510" s="6"/>
      <c r="B510" s="7"/>
      <c r="C510" s="7"/>
    </row>
    <row r="511" spans="1:3" x14ac:dyDescent="0.35">
      <c r="A511" s="6"/>
      <c r="B511" s="7"/>
      <c r="C511" s="7"/>
    </row>
    <row r="512" spans="1:3" x14ac:dyDescent="0.35">
      <c r="A512" s="6"/>
      <c r="B512" s="7"/>
      <c r="C512" s="7"/>
    </row>
    <row r="513" spans="1:3" x14ac:dyDescent="0.35">
      <c r="A513" s="6"/>
      <c r="B513" s="7"/>
      <c r="C513" s="7"/>
    </row>
    <row r="514" spans="1:3" x14ac:dyDescent="0.35">
      <c r="A514" s="6"/>
      <c r="B514" s="7"/>
      <c r="C514" s="7"/>
    </row>
    <row r="515" spans="1:3" x14ac:dyDescent="0.35">
      <c r="A515" s="6"/>
      <c r="B515" s="7"/>
      <c r="C515" s="7"/>
    </row>
    <row r="516" spans="1:3" x14ac:dyDescent="0.35">
      <c r="A516" s="6"/>
      <c r="B516" s="7"/>
      <c r="C516" s="7"/>
    </row>
    <row r="517" spans="1:3" x14ac:dyDescent="0.35">
      <c r="A517" s="6"/>
      <c r="B517" s="7"/>
      <c r="C517" s="7"/>
    </row>
    <row r="518" spans="1:3" x14ac:dyDescent="0.35">
      <c r="A518" s="6"/>
      <c r="B518" s="7"/>
      <c r="C518" s="7"/>
    </row>
    <row r="519" spans="1:3" x14ac:dyDescent="0.35">
      <c r="A519" s="6"/>
      <c r="B519" s="7"/>
      <c r="C519" s="7"/>
    </row>
    <row r="520" spans="1:3" x14ac:dyDescent="0.35">
      <c r="A520" s="6"/>
      <c r="B520" s="7"/>
      <c r="C520" s="7"/>
    </row>
    <row r="521" spans="1:3" x14ac:dyDescent="0.35">
      <c r="A521" s="6"/>
      <c r="B521" s="7"/>
      <c r="C521" s="7"/>
    </row>
    <row r="522" spans="1:3" x14ac:dyDescent="0.35">
      <c r="A522" s="6"/>
      <c r="B522" s="7"/>
      <c r="C522" s="7"/>
    </row>
    <row r="523" spans="1:3" x14ac:dyDescent="0.35">
      <c r="A523" s="6"/>
      <c r="B523" s="7"/>
      <c r="C523" s="7"/>
    </row>
    <row r="524" spans="1:3" x14ac:dyDescent="0.35">
      <c r="A524" s="6"/>
      <c r="B524" s="7"/>
      <c r="C524" s="7"/>
    </row>
    <row r="525" spans="1:3" x14ac:dyDescent="0.35">
      <c r="A525" s="6"/>
      <c r="B525" s="7"/>
      <c r="C525" s="7"/>
    </row>
    <row r="526" spans="1:3" x14ac:dyDescent="0.35">
      <c r="A526" s="6"/>
      <c r="B526" s="7"/>
      <c r="C526" s="7"/>
    </row>
    <row r="527" spans="1:3" x14ac:dyDescent="0.35">
      <c r="A527" s="6"/>
      <c r="B527" s="7"/>
      <c r="C527" s="7"/>
    </row>
    <row r="528" spans="1:3" x14ac:dyDescent="0.35">
      <c r="A528" s="6"/>
      <c r="B528" s="7"/>
      <c r="C528" s="7"/>
    </row>
    <row r="529" spans="1:3" x14ac:dyDescent="0.35">
      <c r="A529" s="6"/>
      <c r="B529" s="7"/>
      <c r="C529" s="7"/>
    </row>
    <row r="530" spans="1:3" x14ac:dyDescent="0.35">
      <c r="A530" s="6"/>
      <c r="B530" s="7"/>
      <c r="C530" s="7"/>
    </row>
    <row r="531" spans="1:3" x14ac:dyDescent="0.35">
      <c r="A531" s="6"/>
      <c r="B531" s="7"/>
      <c r="C531" s="7"/>
    </row>
    <row r="532" spans="1:3" x14ac:dyDescent="0.35">
      <c r="A532" s="6"/>
      <c r="B532" s="7"/>
      <c r="C532" s="7"/>
    </row>
    <row r="533" spans="1:3" x14ac:dyDescent="0.35">
      <c r="A533" s="6"/>
      <c r="B533" s="7"/>
      <c r="C533" s="7"/>
    </row>
    <row r="534" spans="1:3" x14ac:dyDescent="0.35">
      <c r="A534" s="6"/>
      <c r="B534" s="7"/>
      <c r="C534" s="7"/>
    </row>
    <row r="535" spans="1:3" x14ac:dyDescent="0.35">
      <c r="A535" s="6"/>
      <c r="B535" s="7"/>
      <c r="C535" s="7"/>
    </row>
    <row r="536" spans="1:3" x14ac:dyDescent="0.35">
      <c r="A536" s="6"/>
      <c r="B536" s="7"/>
      <c r="C536" s="7"/>
    </row>
    <row r="537" spans="1:3" x14ac:dyDescent="0.35">
      <c r="A537" s="6"/>
      <c r="B537" s="7"/>
      <c r="C537" s="7"/>
    </row>
    <row r="538" spans="1:3" x14ac:dyDescent="0.35">
      <c r="A538" s="6"/>
      <c r="B538" s="7"/>
      <c r="C538" s="7"/>
    </row>
    <row r="539" spans="1:3" x14ac:dyDescent="0.35">
      <c r="A539" s="6"/>
      <c r="B539" s="7"/>
      <c r="C539" s="7"/>
    </row>
    <row r="540" spans="1:3" x14ac:dyDescent="0.35">
      <c r="A540" s="6"/>
      <c r="B540" s="7"/>
      <c r="C540" s="7"/>
    </row>
    <row r="541" spans="1:3" x14ac:dyDescent="0.35">
      <c r="A541" s="6"/>
      <c r="B541" s="7"/>
      <c r="C541" s="7"/>
    </row>
    <row r="542" spans="1:3" x14ac:dyDescent="0.35">
      <c r="A542" s="6"/>
      <c r="B542" s="7"/>
      <c r="C542" s="7"/>
    </row>
    <row r="543" spans="1:3" x14ac:dyDescent="0.35">
      <c r="A543" s="6"/>
      <c r="B543" s="7"/>
      <c r="C543" s="7"/>
    </row>
    <row r="544" spans="1:3" x14ac:dyDescent="0.35">
      <c r="A544" s="6"/>
      <c r="B544" s="7"/>
      <c r="C544" s="7"/>
    </row>
    <row r="545" spans="1:3" x14ac:dyDescent="0.35">
      <c r="A545" s="6"/>
      <c r="B545" s="7"/>
      <c r="C545" s="7"/>
    </row>
    <row r="546" spans="1:3" x14ac:dyDescent="0.35">
      <c r="A546" s="6"/>
      <c r="B546" s="7"/>
      <c r="C546" s="7"/>
    </row>
    <row r="547" spans="1:3" x14ac:dyDescent="0.35">
      <c r="A547" s="6"/>
      <c r="B547" s="7"/>
      <c r="C547" s="7"/>
    </row>
    <row r="548" spans="1:3" x14ac:dyDescent="0.35">
      <c r="A548" s="6"/>
      <c r="B548" s="7"/>
      <c r="C548" s="7"/>
    </row>
    <row r="549" spans="1:3" x14ac:dyDescent="0.35">
      <c r="A549" s="6"/>
      <c r="B549" s="7"/>
      <c r="C549" s="7"/>
    </row>
    <row r="550" spans="1:3" x14ac:dyDescent="0.35">
      <c r="A550" s="6"/>
      <c r="B550" s="7"/>
      <c r="C550" s="7"/>
    </row>
    <row r="551" spans="1:3" x14ac:dyDescent="0.35">
      <c r="A551" s="6"/>
      <c r="B551" s="7"/>
      <c r="C551" s="7"/>
    </row>
    <row r="552" spans="1:3" x14ac:dyDescent="0.35">
      <c r="A552" s="6"/>
      <c r="B552" s="7"/>
      <c r="C552" s="7"/>
    </row>
    <row r="553" spans="1:3" x14ac:dyDescent="0.35">
      <c r="A553" s="6"/>
      <c r="B553" s="7"/>
      <c r="C553" s="7"/>
    </row>
    <row r="554" spans="1:3" x14ac:dyDescent="0.35">
      <c r="A554" s="6"/>
      <c r="B554" s="7"/>
      <c r="C554" s="7"/>
    </row>
    <row r="555" spans="1:3" x14ac:dyDescent="0.35">
      <c r="A555" s="6"/>
      <c r="B555" s="7"/>
      <c r="C555" s="7"/>
    </row>
    <row r="556" spans="1:3" x14ac:dyDescent="0.35">
      <c r="A556" s="6"/>
      <c r="B556" s="7"/>
      <c r="C556" s="7"/>
    </row>
    <row r="557" spans="1:3" x14ac:dyDescent="0.35">
      <c r="A557" s="6"/>
      <c r="B557" s="7"/>
      <c r="C557" s="7"/>
    </row>
    <row r="558" spans="1:3" x14ac:dyDescent="0.35">
      <c r="A558" s="6"/>
      <c r="B558" s="7"/>
      <c r="C558" s="7"/>
    </row>
    <row r="559" spans="1:3" x14ac:dyDescent="0.35">
      <c r="A559" s="6"/>
      <c r="B559" s="7"/>
      <c r="C559" s="7"/>
    </row>
    <row r="560" spans="1:3" x14ac:dyDescent="0.35">
      <c r="A560" s="6"/>
      <c r="B560" s="7"/>
      <c r="C560" s="7"/>
    </row>
    <row r="561" spans="1:3" x14ac:dyDescent="0.35">
      <c r="A561" s="6"/>
      <c r="B561" s="7"/>
      <c r="C561" s="7"/>
    </row>
    <row r="562" spans="1:3" x14ac:dyDescent="0.35">
      <c r="A562" s="6"/>
      <c r="B562" s="7"/>
      <c r="C562" s="7"/>
    </row>
    <row r="563" spans="1:3" x14ac:dyDescent="0.35">
      <c r="A563" s="6"/>
      <c r="B563" s="7"/>
      <c r="C563" s="7"/>
    </row>
    <row r="564" spans="1:3" x14ac:dyDescent="0.35">
      <c r="A564" s="6"/>
      <c r="B564" s="7"/>
      <c r="C564" s="7"/>
    </row>
    <row r="565" spans="1:3" x14ac:dyDescent="0.35">
      <c r="A565" s="6"/>
      <c r="B565" s="7"/>
      <c r="C565" s="7"/>
    </row>
    <row r="566" spans="1:3" x14ac:dyDescent="0.35">
      <c r="A566" s="6"/>
      <c r="B566" s="7"/>
      <c r="C566" s="7"/>
    </row>
    <row r="567" spans="1:3" x14ac:dyDescent="0.35">
      <c r="A567" s="6"/>
      <c r="B567" s="7"/>
      <c r="C567" s="7"/>
    </row>
    <row r="568" spans="1:3" x14ac:dyDescent="0.35">
      <c r="A568" s="6"/>
      <c r="B568" s="7"/>
      <c r="C568" s="7"/>
    </row>
    <row r="569" spans="1:3" x14ac:dyDescent="0.35">
      <c r="A569" s="6"/>
      <c r="B569" s="7"/>
      <c r="C569" s="7"/>
    </row>
    <row r="570" spans="1:3" x14ac:dyDescent="0.35">
      <c r="A570" s="6"/>
      <c r="B570" s="7"/>
      <c r="C570" s="7"/>
    </row>
    <row r="571" spans="1:3" x14ac:dyDescent="0.35">
      <c r="A571" s="6"/>
      <c r="B571" s="7"/>
      <c r="C571" s="7"/>
    </row>
    <row r="572" spans="1:3" x14ac:dyDescent="0.35">
      <c r="A572" s="6"/>
      <c r="B572" s="7"/>
      <c r="C572" s="7"/>
    </row>
    <row r="573" spans="1:3" x14ac:dyDescent="0.35">
      <c r="A573" s="6"/>
      <c r="B573" s="7"/>
      <c r="C573" s="7"/>
    </row>
    <row r="574" spans="1:3" x14ac:dyDescent="0.35">
      <c r="A574" s="6"/>
      <c r="B574" s="7"/>
      <c r="C574" s="7"/>
    </row>
    <row r="575" spans="1:3" x14ac:dyDescent="0.35">
      <c r="A575" s="6"/>
      <c r="B575" s="7"/>
      <c r="C575" s="7"/>
    </row>
    <row r="576" spans="1:3" x14ac:dyDescent="0.35">
      <c r="A576" s="6"/>
      <c r="B576" s="7"/>
      <c r="C576" s="7"/>
    </row>
    <row r="577" spans="1:3" x14ac:dyDescent="0.35">
      <c r="A577" s="6"/>
      <c r="B577" s="7"/>
      <c r="C577" s="7"/>
    </row>
    <row r="578" spans="1:3" x14ac:dyDescent="0.35">
      <c r="A578" s="6"/>
      <c r="B578" s="7"/>
      <c r="C578" s="7"/>
    </row>
    <row r="579" spans="1:3" x14ac:dyDescent="0.35">
      <c r="A579" s="6"/>
      <c r="B579" s="7"/>
      <c r="C579" s="7"/>
    </row>
    <row r="580" spans="1:3" x14ac:dyDescent="0.35">
      <c r="A580" s="6"/>
      <c r="B580" s="7"/>
      <c r="C580" s="7"/>
    </row>
    <row r="581" spans="1:3" x14ac:dyDescent="0.35">
      <c r="A581" s="6"/>
      <c r="B581" s="7"/>
      <c r="C581" s="7"/>
    </row>
    <row r="582" spans="1:3" x14ac:dyDescent="0.35">
      <c r="A582" s="6"/>
      <c r="B582" s="7"/>
      <c r="C582" s="7"/>
    </row>
    <row r="583" spans="1:3" x14ac:dyDescent="0.35">
      <c r="A583" s="6"/>
      <c r="B583" s="7"/>
      <c r="C583" s="7"/>
    </row>
    <row r="584" spans="1:3" x14ac:dyDescent="0.35">
      <c r="A584" s="6"/>
      <c r="B584" s="7"/>
      <c r="C584" s="7"/>
    </row>
    <row r="585" spans="1:3" x14ac:dyDescent="0.35">
      <c r="A585" s="6"/>
      <c r="B585" s="7"/>
      <c r="C585" s="7"/>
    </row>
    <row r="586" spans="1:3" x14ac:dyDescent="0.35">
      <c r="A586" s="6"/>
      <c r="B586" s="7"/>
      <c r="C586" s="7"/>
    </row>
    <row r="587" spans="1:3" x14ac:dyDescent="0.35">
      <c r="A587" s="6"/>
      <c r="B587" s="7"/>
      <c r="C587" s="7"/>
    </row>
    <row r="588" spans="1:3" x14ac:dyDescent="0.35">
      <c r="A588" s="6"/>
      <c r="B588" s="7"/>
      <c r="C588" s="7"/>
    </row>
    <row r="589" spans="1:3" x14ac:dyDescent="0.35">
      <c r="A589" s="6"/>
      <c r="B589" s="7"/>
      <c r="C589" s="7"/>
    </row>
    <row r="590" spans="1:3" x14ac:dyDescent="0.35">
      <c r="A590" s="6"/>
      <c r="B590" s="7"/>
      <c r="C590" s="7"/>
    </row>
    <row r="591" spans="1:3" x14ac:dyDescent="0.35">
      <c r="A591" s="6"/>
      <c r="B591" s="7"/>
      <c r="C591" s="7"/>
    </row>
    <row r="592" spans="1:3" x14ac:dyDescent="0.35">
      <c r="A592" s="6"/>
      <c r="B592" s="7"/>
      <c r="C592" s="7"/>
    </row>
    <row r="593" spans="1:3" x14ac:dyDescent="0.35">
      <c r="A593" s="6"/>
      <c r="B593" s="7"/>
      <c r="C593" s="7"/>
    </row>
    <row r="594" spans="1:3" x14ac:dyDescent="0.35">
      <c r="A594" s="6"/>
      <c r="B594" s="7"/>
      <c r="C594" s="7"/>
    </row>
    <row r="595" spans="1:3" x14ac:dyDescent="0.35">
      <c r="A595" s="6"/>
      <c r="B595" s="7"/>
      <c r="C595" s="7"/>
    </row>
    <row r="596" spans="1:3" x14ac:dyDescent="0.35">
      <c r="A596" s="6"/>
      <c r="B596" s="7"/>
      <c r="C596" s="7"/>
    </row>
    <row r="597" spans="1:3" x14ac:dyDescent="0.35">
      <c r="A597" s="6"/>
      <c r="B597" s="7"/>
      <c r="C597" s="7"/>
    </row>
    <row r="598" spans="1:3" x14ac:dyDescent="0.35">
      <c r="A598" s="6"/>
      <c r="B598" s="7"/>
      <c r="C598" s="7"/>
    </row>
    <row r="599" spans="1:3" x14ac:dyDescent="0.35">
      <c r="A599" s="6"/>
      <c r="B599" s="7"/>
      <c r="C599" s="7"/>
    </row>
    <row r="600" spans="1:3" x14ac:dyDescent="0.35">
      <c r="A600" s="6"/>
      <c r="B600" s="7"/>
      <c r="C600" s="7"/>
    </row>
    <row r="601" spans="1:3" x14ac:dyDescent="0.35">
      <c r="A601" s="6"/>
      <c r="B601" s="7"/>
      <c r="C601" s="7"/>
    </row>
    <row r="602" spans="1:3" x14ac:dyDescent="0.35">
      <c r="A602" s="6"/>
      <c r="B602" s="7"/>
      <c r="C602" s="7"/>
    </row>
    <row r="603" spans="1:3" x14ac:dyDescent="0.35">
      <c r="A603" s="6"/>
      <c r="B603" s="7"/>
      <c r="C603" s="7"/>
    </row>
    <row r="604" spans="1:3" x14ac:dyDescent="0.35">
      <c r="A604" s="6"/>
      <c r="B604" s="7"/>
      <c r="C604" s="7"/>
    </row>
    <row r="605" spans="1:3" x14ac:dyDescent="0.35">
      <c r="A605" s="6"/>
      <c r="B605" s="7"/>
      <c r="C605" s="7"/>
    </row>
    <row r="606" spans="1:3" x14ac:dyDescent="0.35">
      <c r="A606" s="6"/>
      <c r="B606" s="7"/>
      <c r="C606" s="7"/>
    </row>
    <row r="607" spans="1:3" x14ac:dyDescent="0.35">
      <c r="A607" s="6"/>
      <c r="B607" s="7"/>
      <c r="C607" s="7"/>
    </row>
    <row r="608" spans="1:3" x14ac:dyDescent="0.35">
      <c r="A608" s="6"/>
      <c r="B608" s="7"/>
      <c r="C608" s="7"/>
    </row>
    <row r="609" spans="1:3" x14ac:dyDescent="0.35">
      <c r="A609" s="6"/>
      <c r="B609" s="7"/>
      <c r="C609" s="7"/>
    </row>
    <row r="610" spans="1:3" x14ac:dyDescent="0.35">
      <c r="A610" s="6"/>
      <c r="B610" s="7"/>
      <c r="C610" s="7"/>
    </row>
    <row r="611" spans="1:3" x14ac:dyDescent="0.35">
      <c r="A611" s="6"/>
      <c r="B611" s="7"/>
      <c r="C611" s="7"/>
    </row>
    <row r="612" spans="1:3" x14ac:dyDescent="0.35">
      <c r="A612" s="6"/>
      <c r="B612" s="7"/>
      <c r="C612" s="7"/>
    </row>
    <row r="613" spans="1:3" x14ac:dyDescent="0.35">
      <c r="A613" s="6"/>
      <c r="B613" s="7"/>
      <c r="C613" s="7"/>
    </row>
    <row r="614" spans="1:3" x14ac:dyDescent="0.35">
      <c r="A614" s="6"/>
      <c r="B614" s="7"/>
      <c r="C614" s="7"/>
    </row>
    <row r="615" spans="1:3" x14ac:dyDescent="0.35">
      <c r="A615" s="6"/>
      <c r="B615" s="7"/>
      <c r="C615" s="7"/>
    </row>
    <row r="616" spans="1:3" x14ac:dyDescent="0.35">
      <c r="A616" s="6"/>
      <c r="B616" s="7"/>
      <c r="C616" s="7"/>
    </row>
    <row r="617" spans="1:3" x14ac:dyDescent="0.35">
      <c r="A617" s="6"/>
      <c r="B617" s="7"/>
      <c r="C617" s="7"/>
    </row>
    <row r="618" spans="1:3" x14ac:dyDescent="0.35">
      <c r="A618" s="6"/>
      <c r="B618" s="7"/>
      <c r="C618" s="7"/>
    </row>
    <row r="619" spans="1:3" x14ac:dyDescent="0.35">
      <c r="A619" s="6"/>
      <c r="B619" s="7"/>
      <c r="C619" s="7"/>
    </row>
    <row r="620" spans="1:3" x14ac:dyDescent="0.35">
      <c r="A620" s="6"/>
      <c r="B620" s="7"/>
      <c r="C620" s="7"/>
    </row>
    <row r="621" spans="1:3" x14ac:dyDescent="0.35">
      <c r="A621" s="6"/>
      <c r="B621" s="7"/>
      <c r="C621" s="7"/>
    </row>
    <row r="622" spans="1:3" x14ac:dyDescent="0.35">
      <c r="A622" s="6"/>
      <c r="B622" s="7"/>
      <c r="C622" s="7"/>
    </row>
    <row r="623" spans="1:3" x14ac:dyDescent="0.35">
      <c r="A623" s="6"/>
      <c r="B623" s="7"/>
      <c r="C623" s="7"/>
    </row>
    <row r="624" spans="1:3" x14ac:dyDescent="0.35">
      <c r="A624" s="6"/>
      <c r="B624" s="7"/>
      <c r="C624" s="7"/>
    </row>
    <row r="625" spans="1:3" x14ac:dyDescent="0.35">
      <c r="A625" s="6"/>
      <c r="B625" s="7"/>
      <c r="C625" s="7"/>
    </row>
    <row r="626" spans="1:3" x14ac:dyDescent="0.35">
      <c r="A626" s="6"/>
      <c r="B626" s="7"/>
      <c r="C626" s="7"/>
    </row>
    <row r="627" spans="1:3" x14ac:dyDescent="0.35">
      <c r="A627" s="6"/>
      <c r="B627" s="7"/>
      <c r="C627" s="7"/>
    </row>
    <row r="628" spans="1:3" x14ac:dyDescent="0.35">
      <c r="A628" s="6"/>
      <c r="B628" s="7"/>
      <c r="C628" s="7"/>
    </row>
    <row r="629" spans="1:3" x14ac:dyDescent="0.35">
      <c r="A629" s="6"/>
      <c r="B629" s="7"/>
      <c r="C629" s="7"/>
    </row>
    <row r="630" spans="1:3" x14ac:dyDescent="0.35">
      <c r="A630" s="6"/>
      <c r="B630" s="7"/>
      <c r="C630" s="7"/>
    </row>
    <row r="631" spans="1:3" x14ac:dyDescent="0.35">
      <c r="A631" s="6"/>
      <c r="B631" s="7"/>
      <c r="C631" s="7"/>
    </row>
    <row r="632" spans="1:3" x14ac:dyDescent="0.35">
      <c r="A632" s="6"/>
      <c r="B632" s="7"/>
      <c r="C632" s="7"/>
    </row>
    <row r="633" spans="1:3" x14ac:dyDescent="0.35">
      <c r="A633" s="6"/>
      <c r="B633" s="7"/>
      <c r="C633" s="7"/>
    </row>
    <row r="634" spans="1:3" x14ac:dyDescent="0.35">
      <c r="A634" s="6"/>
      <c r="B634" s="7"/>
      <c r="C634" s="7"/>
    </row>
    <row r="635" spans="1:3" x14ac:dyDescent="0.35">
      <c r="A635" s="6"/>
      <c r="B635" s="7"/>
      <c r="C635" s="7"/>
    </row>
    <row r="636" spans="1:3" x14ac:dyDescent="0.35">
      <c r="A636" s="6"/>
      <c r="B636" s="7"/>
      <c r="C636" s="7"/>
    </row>
    <row r="637" spans="1:3" x14ac:dyDescent="0.35">
      <c r="A637" s="6"/>
      <c r="B637" s="7"/>
      <c r="C637" s="7"/>
    </row>
    <row r="638" spans="1:3" x14ac:dyDescent="0.35">
      <c r="A638" s="6"/>
      <c r="B638" s="7"/>
      <c r="C638" s="7"/>
    </row>
    <row r="639" spans="1:3" x14ac:dyDescent="0.35">
      <c r="A639" s="6"/>
      <c r="B639" s="7"/>
      <c r="C639" s="7"/>
    </row>
    <row r="640" spans="1:3" x14ac:dyDescent="0.35">
      <c r="A640" s="6"/>
      <c r="B640" s="7"/>
      <c r="C640" s="7"/>
    </row>
    <row r="641" spans="1:3" x14ac:dyDescent="0.35">
      <c r="A641" s="6"/>
      <c r="B641" s="7"/>
      <c r="C641" s="7"/>
    </row>
    <row r="642" spans="1:3" x14ac:dyDescent="0.35">
      <c r="A642" s="6"/>
      <c r="B642" s="7"/>
      <c r="C642" s="7"/>
    </row>
    <row r="643" spans="1:3" x14ac:dyDescent="0.35">
      <c r="A643" s="6"/>
      <c r="B643" s="7"/>
      <c r="C643" s="7"/>
    </row>
    <row r="644" spans="1:3" x14ac:dyDescent="0.35">
      <c r="A644" s="6"/>
      <c r="B644" s="7"/>
      <c r="C644" s="7"/>
    </row>
    <row r="645" spans="1:3" x14ac:dyDescent="0.35">
      <c r="A645" s="6"/>
      <c r="B645" s="7"/>
      <c r="C645" s="7"/>
    </row>
    <row r="646" spans="1:3" x14ac:dyDescent="0.35">
      <c r="A646" s="6"/>
      <c r="B646" s="7"/>
      <c r="C646" s="7"/>
    </row>
    <row r="647" spans="1:3" x14ac:dyDescent="0.35">
      <c r="A647" s="6"/>
      <c r="B647" s="7"/>
      <c r="C647" s="7"/>
    </row>
    <row r="648" spans="1:3" x14ac:dyDescent="0.35">
      <c r="A648" s="6"/>
      <c r="B648" s="7"/>
      <c r="C648" s="7"/>
    </row>
    <row r="649" spans="1:3" x14ac:dyDescent="0.35">
      <c r="A649" s="6"/>
      <c r="B649" s="7"/>
      <c r="C649" s="7"/>
    </row>
    <row r="650" spans="1:3" x14ac:dyDescent="0.35">
      <c r="A650" s="6"/>
      <c r="B650" s="7"/>
      <c r="C650" s="7"/>
    </row>
    <row r="651" spans="1:3" x14ac:dyDescent="0.35">
      <c r="A651" s="6"/>
      <c r="B651" s="7"/>
      <c r="C651" s="7"/>
    </row>
    <row r="652" spans="1:3" x14ac:dyDescent="0.35">
      <c r="A652" s="6"/>
      <c r="B652" s="7"/>
      <c r="C652" s="7"/>
    </row>
    <row r="653" spans="1:3" x14ac:dyDescent="0.35">
      <c r="A653" s="6"/>
      <c r="B653" s="7"/>
      <c r="C653" s="7"/>
    </row>
    <row r="654" spans="1:3" x14ac:dyDescent="0.35">
      <c r="A654" s="6"/>
      <c r="B654" s="7"/>
      <c r="C654" s="7"/>
    </row>
    <row r="655" spans="1:3" x14ac:dyDescent="0.35">
      <c r="A655" s="6"/>
      <c r="B655" s="7"/>
      <c r="C655" s="7"/>
    </row>
    <row r="656" spans="1:3" x14ac:dyDescent="0.35">
      <c r="A656" s="6"/>
      <c r="B656" s="7"/>
      <c r="C656" s="7"/>
    </row>
    <row r="657" spans="1:3" x14ac:dyDescent="0.35">
      <c r="A657" s="6"/>
      <c r="B657" s="7"/>
      <c r="C657" s="7"/>
    </row>
    <row r="658" spans="1:3" x14ac:dyDescent="0.35">
      <c r="A658" s="6"/>
      <c r="B658" s="7"/>
      <c r="C658" s="7"/>
    </row>
    <row r="659" spans="1:3" x14ac:dyDescent="0.35">
      <c r="A659" s="6"/>
      <c r="B659" s="7"/>
      <c r="C659" s="7"/>
    </row>
    <row r="660" spans="1:3" x14ac:dyDescent="0.35">
      <c r="A660" s="6"/>
      <c r="B660" s="7"/>
      <c r="C660" s="7"/>
    </row>
    <row r="661" spans="1:3" x14ac:dyDescent="0.35">
      <c r="A661" s="6"/>
      <c r="B661" s="7"/>
      <c r="C661" s="7"/>
    </row>
    <row r="662" spans="1:3" x14ac:dyDescent="0.35">
      <c r="A662" s="6"/>
      <c r="B662" s="7"/>
      <c r="C662" s="7"/>
    </row>
    <row r="663" spans="1:3" x14ac:dyDescent="0.35">
      <c r="A663" s="6"/>
      <c r="B663" s="7"/>
      <c r="C663" s="7"/>
    </row>
    <row r="664" spans="1:3" x14ac:dyDescent="0.35">
      <c r="A664" s="6"/>
      <c r="B664" s="7"/>
      <c r="C664" s="7"/>
    </row>
    <row r="665" spans="1:3" x14ac:dyDescent="0.35">
      <c r="A665" s="6"/>
      <c r="B665" s="7"/>
      <c r="C665" s="7"/>
    </row>
    <row r="666" spans="1:3" x14ac:dyDescent="0.35">
      <c r="A666" s="6"/>
      <c r="B666" s="7"/>
      <c r="C666" s="7"/>
    </row>
    <row r="667" spans="1:3" x14ac:dyDescent="0.35">
      <c r="A667" s="6"/>
      <c r="B667" s="7"/>
      <c r="C667" s="7"/>
    </row>
    <row r="668" spans="1:3" x14ac:dyDescent="0.35">
      <c r="A668" s="6"/>
      <c r="B668" s="7"/>
      <c r="C668" s="7"/>
    </row>
    <row r="669" spans="1:3" x14ac:dyDescent="0.35">
      <c r="A669" s="6"/>
      <c r="B669" s="7"/>
      <c r="C669" s="7"/>
    </row>
    <row r="670" spans="1:3" x14ac:dyDescent="0.35">
      <c r="A670" s="6"/>
      <c r="B670" s="7"/>
      <c r="C670" s="7"/>
    </row>
    <row r="671" spans="1:3" x14ac:dyDescent="0.35">
      <c r="A671" s="6"/>
      <c r="B671" s="7"/>
      <c r="C671" s="7"/>
    </row>
    <row r="672" spans="1:3" x14ac:dyDescent="0.35">
      <c r="A672" s="6"/>
      <c r="B672" s="7"/>
      <c r="C672" s="7"/>
    </row>
    <row r="673" spans="1:3" x14ac:dyDescent="0.35">
      <c r="A673" s="6"/>
      <c r="B673" s="7"/>
      <c r="C673" s="7"/>
    </row>
    <row r="674" spans="1:3" x14ac:dyDescent="0.35">
      <c r="A674" s="6"/>
      <c r="B674" s="7"/>
      <c r="C674" s="7"/>
    </row>
    <row r="675" spans="1:3" x14ac:dyDescent="0.35">
      <c r="A675" s="6"/>
      <c r="B675" s="7"/>
      <c r="C675" s="7"/>
    </row>
    <row r="676" spans="1:3" x14ac:dyDescent="0.35">
      <c r="A676" s="6"/>
      <c r="B676" s="7"/>
      <c r="C676" s="7"/>
    </row>
    <row r="677" spans="1:3" x14ac:dyDescent="0.35">
      <c r="A677" s="6"/>
      <c r="B677" s="7"/>
      <c r="C677" s="7"/>
    </row>
    <row r="678" spans="1:3" x14ac:dyDescent="0.35">
      <c r="A678" s="6"/>
      <c r="B678" s="7"/>
      <c r="C678" s="7"/>
    </row>
    <row r="679" spans="1:3" x14ac:dyDescent="0.35">
      <c r="A679" s="6"/>
      <c r="B679" s="7"/>
      <c r="C679" s="7"/>
    </row>
    <row r="680" spans="1:3" x14ac:dyDescent="0.35">
      <c r="A680" s="6"/>
      <c r="B680" s="7"/>
      <c r="C680" s="7"/>
    </row>
    <row r="681" spans="1:3" x14ac:dyDescent="0.35">
      <c r="A681" s="6"/>
      <c r="B681" s="7"/>
      <c r="C681" s="7"/>
    </row>
    <row r="682" spans="1:3" x14ac:dyDescent="0.35">
      <c r="A682" s="6"/>
      <c r="B682" s="7"/>
      <c r="C682" s="7"/>
    </row>
    <row r="683" spans="1:3" x14ac:dyDescent="0.35">
      <c r="A683" s="6"/>
      <c r="B683" s="7"/>
      <c r="C683" s="7"/>
    </row>
    <row r="684" spans="1:3" x14ac:dyDescent="0.35">
      <c r="A684" s="6"/>
      <c r="B684" s="7"/>
      <c r="C684" s="7"/>
    </row>
    <row r="685" spans="1:3" x14ac:dyDescent="0.35">
      <c r="A685" s="6"/>
      <c r="B685" s="7"/>
      <c r="C685" s="7"/>
    </row>
    <row r="686" spans="1:3" x14ac:dyDescent="0.35">
      <c r="A686" s="6"/>
      <c r="B686" s="7"/>
      <c r="C686" s="7"/>
    </row>
    <row r="687" spans="1:3" x14ac:dyDescent="0.35">
      <c r="A687" s="6"/>
      <c r="B687" s="7"/>
      <c r="C687" s="7"/>
    </row>
    <row r="688" spans="1:3" x14ac:dyDescent="0.35">
      <c r="A688" s="6"/>
      <c r="B688" s="7"/>
      <c r="C688" s="7"/>
    </row>
    <row r="689" spans="1:3" x14ac:dyDescent="0.35">
      <c r="A689" s="6"/>
      <c r="B689" s="7"/>
      <c r="C689" s="7"/>
    </row>
    <row r="690" spans="1:3" x14ac:dyDescent="0.35">
      <c r="A690" s="6"/>
      <c r="B690" s="7"/>
      <c r="C690" s="7"/>
    </row>
    <row r="691" spans="1:3" x14ac:dyDescent="0.35">
      <c r="A691" s="6"/>
      <c r="B691" s="7"/>
      <c r="C691" s="7"/>
    </row>
    <row r="692" spans="1:3" x14ac:dyDescent="0.35">
      <c r="A692" s="6"/>
      <c r="B692" s="7"/>
      <c r="C692" s="7"/>
    </row>
    <row r="693" spans="1:3" x14ac:dyDescent="0.35">
      <c r="A693" s="6"/>
      <c r="B693" s="7"/>
      <c r="C693" s="7"/>
    </row>
    <row r="694" spans="1:3" x14ac:dyDescent="0.35">
      <c r="A694" s="6"/>
      <c r="B694" s="7"/>
      <c r="C694" s="7"/>
    </row>
    <row r="695" spans="1:3" x14ac:dyDescent="0.35">
      <c r="A695" s="6"/>
      <c r="B695" s="7"/>
      <c r="C695" s="7"/>
    </row>
    <row r="696" spans="1:3" x14ac:dyDescent="0.35">
      <c r="A696" s="6"/>
      <c r="B696" s="7"/>
      <c r="C696" s="7"/>
    </row>
    <row r="697" spans="1:3" x14ac:dyDescent="0.35">
      <c r="A697" s="6"/>
      <c r="B697" s="7"/>
      <c r="C697" s="7"/>
    </row>
    <row r="698" spans="1:3" x14ac:dyDescent="0.35">
      <c r="A698" s="6"/>
      <c r="B698" s="7"/>
      <c r="C698" s="7"/>
    </row>
    <row r="699" spans="1:3" x14ac:dyDescent="0.35">
      <c r="A699" s="6"/>
      <c r="B699" s="7"/>
      <c r="C699" s="7"/>
    </row>
    <row r="700" spans="1:3" x14ac:dyDescent="0.35">
      <c r="A700" s="6"/>
      <c r="B700" s="7"/>
      <c r="C700" s="7"/>
    </row>
    <row r="701" spans="1:3" x14ac:dyDescent="0.35">
      <c r="A701" s="6"/>
      <c r="B701" s="7"/>
      <c r="C701" s="7"/>
    </row>
    <row r="702" spans="1:3" x14ac:dyDescent="0.35">
      <c r="A702" s="6"/>
      <c r="B702" s="7"/>
      <c r="C702" s="7"/>
    </row>
    <row r="703" spans="1:3" x14ac:dyDescent="0.35">
      <c r="A703" s="6"/>
      <c r="B703" s="7"/>
      <c r="C703" s="7"/>
    </row>
    <row r="704" spans="1:3" x14ac:dyDescent="0.35">
      <c r="A704" s="6"/>
      <c r="B704" s="7"/>
      <c r="C704" s="7"/>
    </row>
    <row r="705" spans="1:3" x14ac:dyDescent="0.35">
      <c r="A705" s="6"/>
      <c r="B705" s="7"/>
      <c r="C705" s="7"/>
    </row>
    <row r="706" spans="1:3" x14ac:dyDescent="0.35">
      <c r="A706" s="6"/>
      <c r="B706" s="7"/>
      <c r="C706" s="7"/>
    </row>
    <row r="707" spans="1:3" x14ac:dyDescent="0.35">
      <c r="A707" s="6"/>
      <c r="B707" s="7"/>
      <c r="C707" s="7"/>
    </row>
    <row r="708" spans="1:3" x14ac:dyDescent="0.35">
      <c r="A708" s="6"/>
      <c r="B708" s="7"/>
      <c r="C708" s="7"/>
    </row>
    <row r="709" spans="1:3" x14ac:dyDescent="0.35">
      <c r="A709" s="6"/>
      <c r="B709" s="7"/>
      <c r="C709" s="7"/>
    </row>
    <row r="710" spans="1:3" x14ac:dyDescent="0.35">
      <c r="A710" s="6"/>
      <c r="B710" s="7"/>
      <c r="C710" s="7"/>
    </row>
    <row r="711" spans="1:3" x14ac:dyDescent="0.35">
      <c r="A711" s="6"/>
      <c r="B711" s="7"/>
      <c r="C711" s="7"/>
    </row>
    <row r="712" spans="1:3" x14ac:dyDescent="0.35">
      <c r="A712" s="6"/>
      <c r="B712" s="7"/>
      <c r="C712" s="7"/>
    </row>
    <row r="713" spans="1:3" x14ac:dyDescent="0.35">
      <c r="A713" s="6"/>
      <c r="B713" s="7"/>
      <c r="C713" s="7"/>
    </row>
    <row r="714" spans="1:3" x14ac:dyDescent="0.35">
      <c r="A714" s="6"/>
      <c r="B714" s="7"/>
      <c r="C714" s="7"/>
    </row>
    <row r="715" spans="1:3" x14ac:dyDescent="0.35">
      <c r="A715" s="6"/>
      <c r="B715" s="7"/>
      <c r="C715" s="7"/>
    </row>
    <row r="716" spans="1:3" x14ac:dyDescent="0.35">
      <c r="A716" s="6"/>
      <c r="B716" s="7"/>
      <c r="C716" s="7"/>
    </row>
    <row r="717" spans="1:3" x14ac:dyDescent="0.35">
      <c r="A717" s="6"/>
      <c r="B717" s="7"/>
      <c r="C717" s="7"/>
    </row>
    <row r="718" spans="1:3" x14ac:dyDescent="0.35">
      <c r="A718" s="6"/>
      <c r="B718" s="7"/>
      <c r="C718" s="7"/>
    </row>
    <row r="719" spans="1:3" x14ac:dyDescent="0.35">
      <c r="A719" s="6"/>
      <c r="B719" s="7"/>
      <c r="C719" s="7"/>
    </row>
    <row r="720" spans="1:3" x14ac:dyDescent="0.35">
      <c r="A720" s="6"/>
      <c r="B720" s="7"/>
      <c r="C720" s="7"/>
    </row>
    <row r="721" spans="1:3" x14ac:dyDescent="0.35">
      <c r="A721" s="6"/>
      <c r="B721" s="7"/>
      <c r="C721" s="7"/>
    </row>
    <row r="722" spans="1:3" x14ac:dyDescent="0.35">
      <c r="A722" s="6"/>
      <c r="B722" s="7"/>
      <c r="C722" s="7"/>
    </row>
    <row r="723" spans="1:3" x14ac:dyDescent="0.35">
      <c r="A723" s="6"/>
      <c r="B723" s="7"/>
      <c r="C723" s="7"/>
    </row>
    <row r="724" spans="1:3" x14ac:dyDescent="0.35">
      <c r="A724" s="6"/>
      <c r="B724" s="7"/>
      <c r="C724" s="7"/>
    </row>
    <row r="725" spans="1:3" x14ac:dyDescent="0.35">
      <c r="A725" s="6"/>
      <c r="B725" s="7"/>
      <c r="C725" s="7"/>
    </row>
    <row r="726" spans="1:3" x14ac:dyDescent="0.35">
      <c r="A726" s="6"/>
      <c r="B726" s="7"/>
      <c r="C726" s="7"/>
    </row>
    <row r="727" spans="1:3" x14ac:dyDescent="0.35">
      <c r="A727" s="6"/>
      <c r="B727" s="7"/>
      <c r="C727" s="7"/>
    </row>
    <row r="728" spans="1:3" x14ac:dyDescent="0.35">
      <c r="A728" s="6"/>
      <c r="B728" s="7"/>
      <c r="C728" s="7"/>
    </row>
    <row r="729" spans="1:3" x14ac:dyDescent="0.35">
      <c r="A729" s="6"/>
      <c r="B729" s="7"/>
      <c r="C729" s="7"/>
    </row>
    <row r="730" spans="1:3" x14ac:dyDescent="0.35">
      <c r="A730" s="6"/>
      <c r="B730" s="7"/>
      <c r="C730" s="7"/>
    </row>
    <row r="731" spans="1:3" x14ac:dyDescent="0.35">
      <c r="A731" s="6"/>
      <c r="B731" s="7"/>
      <c r="C731" s="7"/>
    </row>
    <row r="732" spans="1:3" x14ac:dyDescent="0.35">
      <c r="A732" s="6"/>
      <c r="B732" s="7"/>
      <c r="C732" s="7"/>
    </row>
    <row r="733" spans="1:3" x14ac:dyDescent="0.35">
      <c r="A733" s="6"/>
      <c r="B733" s="7"/>
      <c r="C733" s="7"/>
    </row>
    <row r="734" spans="1:3" x14ac:dyDescent="0.35">
      <c r="A734" s="6"/>
      <c r="B734" s="7"/>
      <c r="C734" s="7"/>
    </row>
    <row r="735" spans="1:3" x14ac:dyDescent="0.35">
      <c r="A735" s="6"/>
      <c r="B735" s="7"/>
      <c r="C735" s="7"/>
    </row>
    <row r="736" spans="1:3" x14ac:dyDescent="0.35">
      <c r="A736" s="6"/>
      <c r="B736" s="7"/>
      <c r="C736" s="7"/>
    </row>
    <row r="737" spans="1:3" x14ac:dyDescent="0.35">
      <c r="A737" s="6"/>
      <c r="B737" s="7"/>
      <c r="C737" s="7"/>
    </row>
    <row r="738" spans="1:3" x14ac:dyDescent="0.35">
      <c r="A738" s="6"/>
      <c r="B738" s="7"/>
      <c r="C738" s="7"/>
    </row>
    <row r="739" spans="1:3" x14ac:dyDescent="0.35">
      <c r="A739" s="6"/>
      <c r="B739" s="7"/>
      <c r="C739" s="7"/>
    </row>
    <row r="740" spans="1:3" x14ac:dyDescent="0.35">
      <c r="A740" s="6"/>
      <c r="B740" s="7"/>
      <c r="C740" s="7"/>
    </row>
    <row r="741" spans="1:3" x14ac:dyDescent="0.35">
      <c r="A741" s="6"/>
      <c r="B741" s="7"/>
      <c r="C741" s="7"/>
    </row>
    <row r="742" spans="1:3" x14ac:dyDescent="0.35">
      <c r="A742" s="6"/>
      <c r="B742" s="7"/>
      <c r="C742" s="7"/>
    </row>
    <row r="743" spans="1:3" x14ac:dyDescent="0.35">
      <c r="A743" s="6"/>
      <c r="B743" s="7"/>
      <c r="C743" s="7"/>
    </row>
    <row r="744" spans="1:3" x14ac:dyDescent="0.35">
      <c r="A744" s="6"/>
      <c r="B744" s="7"/>
      <c r="C744" s="7"/>
    </row>
    <row r="745" spans="1:3" x14ac:dyDescent="0.35">
      <c r="A745" s="6"/>
      <c r="B745" s="7"/>
      <c r="C745" s="7"/>
    </row>
    <row r="746" spans="1:3" x14ac:dyDescent="0.35">
      <c r="A746" s="6"/>
      <c r="B746" s="7"/>
      <c r="C746" s="7"/>
    </row>
    <row r="747" spans="1:3" x14ac:dyDescent="0.35">
      <c r="A747" s="6"/>
      <c r="B747" s="7"/>
      <c r="C747" s="7"/>
    </row>
    <row r="748" spans="1:3" x14ac:dyDescent="0.35">
      <c r="A748" s="6"/>
      <c r="B748" s="7"/>
      <c r="C748" s="7"/>
    </row>
    <row r="749" spans="1:3" x14ac:dyDescent="0.35">
      <c r="A749" s="6"/>
      <c r="B749" s="7"/>
      <c r="C749" s="7"/>
    </row>
    <row r="750" spans="1:3" x14ac:dyDescent="0.35">
      <c r="A750" s="6"/>
      <c r="B750" s="7"/>
      <c r="C750" s="7"/>
    </row>
    <row r="751" spans="1:3" x14ac:dyDescent="0.35">
      <c r="A751" s="6"/>
      <c r="B751" s="7"/>
      <c r="C751" s="7"/>
    </row>
    <row r="752" spans="1:3" x14ac:dyDescent="0.35">
      <c r="A752" s="6"/>
      <c r="B752" s="7"/>
      <c r="C752" s="7"/>
    </row>
    <row r="753" spans="1:3" x14ac:dyDescent="0.35">
      <c r="A753" s="6"/>
      <c r="B753" s="7"/>
      <c r="C753" s="7"/>
    </row>
    <row r="754" spans="1:3" x14ac:dyDescent="0.35">
      <c r="A754" s="6"/>
      <c r="B754" s="7"/>
      <c r="C754" s="7"/>
    </row>
    <row r="755" spans="1:3" x14ac:dyDescent="0.35">
      <c r="A755" s="6"/>
      <c r="B755" s="7"/>
      <c r="C755" s="7"/>
    </row>
    <row r="756" spans="1:3" x14ac:dyDescent="0.35">
      <c r="A756" s="6"/>
      <c r="B756" s="7"/>
      <c r="C756" s="7"/>
    </row>
    <row r="757" spans="1:3" x14ac:dyDescent="0.35">
      <c r="A757" s="6"/>
      <c r="B757" s="7"/>
      <c r="C757" s="7"/>
    </row>
    <row r="758" spans="1:3" x14ac:dyDescent="0.35">
      <c r="A758" s="6"/>
      <c r="B758" s="7"/>
      <c r="C758" s="7"/>
    </row>
    <row r="759" spans="1:3" x14ac:dyDescent="0.35">
      <c r="A759" s="6"/>
      <c r="B759" s="7"/>
      <c r="C759" s="7"/>
    </row>
    <row r="760" spans="1:3" x14ac:dyDescent="0.35">
      <c r="A760" s="6"/>
      <c r="B760" s="7"/>
      <c r="C760" s="7"/>
    </row>
    <row r="761" spans="1:3" x14ac:dyDescent="0.35">
      <c r="A761" s="6"/>
      <c r="B761" s="7"/>
      <c r="C761" s="7"/>
    </row>
    <row r="762" spans="1:3" x14ac:dyDescent="0.35">
      <c r="A762" s="6"/>
      <c r="B762" s="7"/>
      <c r="C762" s="7"/>
    </row>
    <row r="763" spans="1:3" x14ac:dyDescent="0.35">
      <c r="A763" s="6"/>
      <c r="B763" s="7"/>
      <c r="C763" s="7"/>
    </row>
    <row r="764" spans="1:3" x14ac:dyDescent="0.35">
      <c r="A764" s="6"/>
      <c r="B764" s="7"/>
      <c r="C764" s="7"/>
    </row>
    <row r="765" spans="1:3" x14ac:dyDescent="0.35">
      <c r="A765" s="6"/>
      <c r="B765" s="7"/>
      <c r="C765" s="7"/>
    </row>
    <row r="766" spans="1:3" x14ac:dyDescent="0.35">
      <c r="A766" s="6"/>
      <c r="B766" s="7"/>
      <c r="C766" s="7"/>
    </row>
    <row r="767" spans="1:3" x14ac:dyDescent="0.35">
      <c r="A767" s="6"/>
      <c r="B767" s="7"/>
      <c r="C767" s="7"/>
    </row>
    <row r="768" spans="1:3" x14ac:dyDescent="0.35">
      <c r="A768" s="6"/>
      <c r="B768" s="7"/>
      <c r="C768" s="7"/>
    </row>
    <row r="769" spans="1:3" x14ac:dyDescent="0.35">
      <c r="A769" s="6"/>
      <c r="B769" s="7"/>
      <c r="C769" s="7"/>
    </row>
    <row r="770" spans="1:3" x14ac:dyDescent="0.35">
      <c r="A770" s="6"/>
      <c r="B770" s="7"/>
      <c r="C770" s="7"/>
    </row>
    <row r="771" spans="1:3" x14ac:dyDescent="0.35">
      <c r="A771" s="6"/>
      <c r="B771" s="7"/>
      <c r="C771" s="7"/>
    </row>
    <row r="772" spans="1:3" x14ac:dyDescent="0.35">
      <c r="A772" s="6"/>
      <c r="B772" s="7"/>
      <c r="C772" s="7"/>
    </row>
    <row r="773" spans="1:3" x14ac:dyDescent="0.35">
      <c r="A773" s="6"/>
      <c r="B773" s="7"/>
      <c r="C773" s="7"/>
    </row>
    <row r="774" spans="1:3" x14ac:dyDescent="0.35">
      <c r="A774" s="6"/>
      <c r="B774" s="7"/>
      <c r="C774" s="7"/>
    </row>
    <row r="775" spans="1:3" x14ac:dyDescent="0.35">
      <c r="A775" s="6"/>
      <c r="B775" s="7"/>
      <c r="C775" s="7"/>
    </row>
    <row r="776" spans="1:3" x14ac:dyDescent="0.35">
      <c r="A776" s="6"/>
      <c r="B776" s="7"/>
      <c r="C776" s="7"/>
    </row>
    <row r="777" spans="1:3" x14ac:dyDescent="0.35">
      <c r="A777" s="6"/>
      <c r="B777" s="7"/>
      <c r="C777" s="7"/>
    </row>
    <row r="778" spans="1:3" x14ac:dyDescent="0.35">
      <c r="A778" s="6"/>
      <c r="B778" s="7"/>
      <c r="C778" s="7"/>
    </row>
    <row r="779" spans="1:3" x14ac:dyDescent="0.35">
      <c r="A779" s="6"/>
      <c r="B779" s="7"/>
      <c r="C779" s="7"/>
    </row>
    <row r="780" spans="1:3" x14ac:dyDescent="0.35">
      <c r="A780" s="6"/>
      <c r="B780" s="7"/>
      <c r="C780" s="7"/>
    </row>
    <row r="781" spans="1:3" x14ac:dyDescent="0.35">
      <c r="A781" s="6"/>
      <c r="B781" s="7"/>
      <c r="C781" s="7"/>
    </row>
    <row r="782" spans="1:3" x14ac:dyDescent="0.35">
      <c r="A782" s="6"/>
      <c r="B782" s="7"/>
      <c r="C782" s="7"/>
    </row>
    <row r="783" spans="1:3" x14ac:dyDescent="0.35">
      <c r="A783" s="6"/>
      <c r="B783" s="7"/>
      <c r="C783" s="7"/>
    </row>
    <row r="784" spans="1:3" x14ac:dyDescent="0.35">
      <c r="A784" s="6"/>
      <c r="B784" s="7"/>
      <c r="C784" s="7"/>
    </row>
    <row r="785" spans="1:3" x14ac:dyDescent="0.35">
      <c r="A785" s="6"/>
      <c r="B785" s="7"/>
      <c r="C785" s="7"/>
    </row>
    <row r="786" spans="1:3" x14ac:dyDescent="0.35">
      <c r="A786" s="6"/>
      <c r="B786" s="7"/>
      <c r="C786" s="7"/>
    </row>
    <row r="787" spans="1:3" x14ac:dyDescent="0.35">
      <c r="A787" s="6"/>
      <c r="B787" s="7"/>
      <c r="C787" s="7"/>
    </row>
    <row r="788" spans="1:3" x14ac:dyDescent="0.35">
      <c r="A788" s="6"/>
      <c r="B788" s="7"/>
      <c r="C788" s="7"/>
    </row>
    <row r="789" spans="1:3" x14ac:dyDescent="0.35">
      <c r="A789" s="6"/>
      <c r="B789" s="7"/>
      <c r="C789" s="7"/>
    </row>
    <row r="790" spans="1:3" x14ac:dyDescent="0.35">
      <c r="A790" s="6"/>
      <c r="B790" s="7"/>
      <c r="C790" s="7"/>
    </row>
    <row r="791" spans="1:3" x14ac:dyDescent="0.35">
      <c r="A791" s="6"/>
      <c r="B791" s="7"/>
      <c r="C791" s="7"/>
    </row>
    <row r="792" spans="1:3" x14ac:dyDescent="0.35">
      <c r="A792" s="6"/>
      <c r="B792" s="7"/>
      <c r="C792" s="7"/>
    </row>
    <row r="793" spans="1:3" x14ac:dyDescent="0.35">
      <c r="A793" s="6"/>
      <c r="B793" s="7"/>
      <c r="C793" s="7"/>
    </row>
    <row r="794" spans="1:3" x14ac:dyDescent="0.35">
      <c r="A794" s="6"/>
      <c r="B794" s="7"/>
      <c r="C794" s="7"/>
    </row>
    <row r="795" spans="1:3" x14ac:dyDescent="0.35">
      <c r="A795" s="6"/>
      <c r="B795" s="7"/>
      <c r="C795" s="7"/>
    </row>
    <row r="796" spans="1:3" x14ac:dyDescent="0.35">
      <c r="A796" s="6"/>
      <c r="B796" s="7"/>
      <c r="C796" s="7"/>
    </row>
    <row r="797" spans="1:3" x14ac:dyDescent="0.35">
      <c r="A797" s="6"/>
      <c r="B797" s="7"/>
      <c r="C797" s="7"/>
    </row>
    <row r="798" spans="1:3" x14ac:dyDescent="0.35">
      <c r="A798" s="6"/>
      <c r="B798" s="7"/>
      <c r="C798" s="7"/>
    </row>
    <row r="799" spans="1:3" x14ac:dyDescent="0.35">
      <c r="A799" s="6"/>
      <c r="B799" s="7"/>
      <c r="C799" s="7"/>
    </row>
    <row r="800" spans="1:3" x14ac:dyDescent="0.35">
      <c r="A800" s="6"/>
      <c r="B800" s="7"/>
      <c r="C800" s="7"/>
    </row>
    <row r="801" spans="1:3" x14ac:dyDescent="0.35">
      <c r="A801" s="6"/>
      <c r="B801" s="7"/>
      <c r="C801" s="7"/>
    </row>
    <row r="802" spans="1:3" x14ac:dyDescent="0.35">
      <c r="A802" s="6"/>
      <c r="B802" s="7"/>
      <c r="C802" s="7"/>
    </row>
    <row r="803" spans="1:3" x14ac:dyDescent="0.35">
      <c r="A803" s="6"/>
      <c r="B803" s="7"/>
      <c r="C803" s="7"/>
    </row>
    <row r="804" spans="1:3" x14ac:dyDescent="0.35">
      <c r="A804" s="6"/>
      <c r="B804" s="7"/>
      <c r="C804" s="7"/>
    </row>
    <row r="805" spans="1:3" x14ac:dyDescent="0.35">
      <c r="A805" s="6"/>
      <c r="B805" s="7"/>
      <c r="C805" s="7"/>
    </row>
    <row r="806" spans="1:3" x14ac:dyDescent="0.35">
      <c r="A806" s="6"/>
      <c r="B806" s="7"/>
      <c r="C806" s="7"/>
    </row>
    <row r="807" spans="1:3" x14ac:dyDescent="0.35">
      <c r="A807" s="6"/>
      <c r="B807" s="7"/>
      <c r="C807" s="7"/>
    </row>
    <row r="808" spans="1:3" x14ac:dyDescent="0.35">
      <c r="A808" s="6"/>
      <c r="B808" s="7"/>
      <c r="C808" s="7"/>
    </row>
    <row r="809" spans="1:3" x14ac:dyDescent="0.35">
      <c r="A809" s="6"/>
      <c r="B809" s="7"/>
      <c r="C809" s="7"/>
    </row>
    <row r="810" spans="1:3" x14ac:dyDescent="0.35">
      <c r="A810" s="6"/>
      <c r="B810" s="7"/>
      <c r="C810" s="7"/>
    </row>
    <row r="811" spans="1:3" x14ac:dyDescent="0.35">
      <c r="A811" s="6"/>
      <c r="B811" s="7"/>
      <c r="C811" s="7"/>
    </row>
    <row r="812" spans="1:3" x14ac:dyDescent="0.35">
      <c r="A812" s="6"/>
      <c r="B812" s="7"/>
      <c r="C812" s="7"/>
    </row>
    <row r="813" spans="1:3" x14ac:dyDescent="0.35">
      <c r="A813" s="6"/>
      <c r="B813" s="7"/>
      <c r="C813" s="7"/>
    </row>
    <row r="814" spans="1:3" x14ac:dyDescent="0.35">
      <c r="A814" s="6"/>
      <c r="B814" s="7"/>
      <c r="C814" s="7"/>
    </row>
    <row r="815" spans="1:3" x14ac:dyDescent="0.35">
      <c r="A815" s="6"/>
      <c r="B815" s="7"/>
      <c r="C815" s="7"/>
    </row>
    <row r="816" spans="1:3" x14ac:dyDescent="0.35">
      <c r="A816" s="6"/>
      <c r="B816" s="7"/>
      <c r="C816" s="7"/>
    </row>
    <row r="817" spans="1:3" x14ac:dyDescent="0.35">
      <c r="A817" s="6"/>
      <c r="B817" s="7"/>
      <c r="C817" s="7"/>
    </row>
    <row r="818" spans="1:3" x14ac:dyDescent="0.35">
      <c r="A818" s="6"/>
      <c r="B818" s="7"/>
      <c r="C818" s="7"/>
    </row>
    <row r="819" spans="1:3" x14ac:dyDescent="0.35">
      <c r="A819" s="6"/>
      <c r="B819" s="7"/>
      <c r="C819" s="7"/>
    </row>
    <row r="820" spans="1:3" x14ac:dyDescent="0.35">
      <c r="A820" s="6"/>
      <c r="B820" s="7"/>
      <c r="C820" s="7"/>
    </row>
    <row r="821" spans="1:3" x14ac:dyDescent="0.35">
      <c r="A821" s="6"/>
      <c r="B821" s="7"/>
      <c r="C821" s="7"/>
    </row>
    <row r="822" spans="1:3" x14ac:dyDescent="0.35">
      <c r="A822" s="6"/>
      <c r="B822" s="7"/>
      <c r="C822" s="7"/>
    </row>
    <row r="823" spans="1:3" x14ac:dyDescent="0.35">
      <c r="A823" s="6"/>
      <c r="B823" s="7"/>
      <c r="C823" s="7"/>
    </row>
    <row r="824" spans="1:3" x14ac:dyDescent="0.35">
      <c r="A824" s="6"/>
      <c r="B824" s="7"/>
      <c r="C824" s="7"/>
    </row>
    <row r="825" spans="1:3" x14ac:dyDescent="0.35">
      <c r="A825" s="6"/>
      <c r="B825" s="7"/>
      <c r="C825" s="7"/>
    </row>
    <row r="826" spans="1:3" x14ac:dyDescent="0.35">
      <c r="A826" s="6"/>
      <c r="B826" s="7"/>
      <c r="C826" s="7"/>
    </row>
    <row r="827" spans="1:3" x14ac:dyDescent="0.35">
      <c r="A827" s="6"/>
      <c r="B827" s="7"/>
      <c r="C827" s="7"/>
    </row>
    <row r="828" spans="1:3" x14ac:dyDescent="0.35">
      <c r="A828" s="6"/>
      <c r="B828" s="7"/>
      <c r="C828" s="7"/>
    </row>
    <row r="829" spans="1:3" x14ac:dyDescent="0.35">
      <c r="A829" s="6"/>
      <c r="B829" s="7"/>
      <c r="C829" s="7"/>
    </row>
    <row r="830" spans="1:3" x14ac:dyDescent="0.35">
      <c r="A830" s="6"/>
      <c r="B830" s="7"/>
      <c r="C830" s="7"/>
    </row>
    <row r="831" spans="1:3" x14ac:dyDescent="0.35">
      <c r="A831" s="6"/>
      <c r="B831" s="7"/>
      <c r="C831" s="7"/>
    </row>
    <row r="832" spans="1:3" x14ac:dyDescent="0.35">
      <c r="A832" s="6"/>
      <c r="B832" s="7"/>
      <c r="C832" s="7"/>
    </row>
    <row r="833" spans="1:3" x14ac:dyDescent="0.35">
      <c r="A833" s="6"/>
      <c r="B833" s="7"/>
      <c r="C833" s="7"/>
    </row>
    <row r="834" spans="1:3" x14ac:dyDescent="0.35">
      <c r="A834" s="6"/>
      <c r="B834" s="7"/>
      <c r="C834" s="7"/>
    </row>
    <row r="835" spans="1:3" x14ac:dyDescent="0.35">
      <c r="A835" s="6"/>
      <c r="B835" s="7"/>
      <c r="C835" s="7"/>
    </row>
    <row r="836" spans="1:3" x14ac:dyDescent="0.35">
      <c r="A836" s="6"/>
      <c r="B836" s="7"/>
      <c r="C836" s="7"/>
    </row>
    <row r="837" spans="1:3" x14ac:dyDescent="0.35">
      <c r="A837" s="6"/>
      <c r="B837" s="7"/>
      <c r="C837" s="7"/>
    </row>
    <row r="838" spans="1:3" x14ac:dyDescent="0.35">
      <c r="A838" s="6"/>
      <c r="B838" s="7"/>
      <c r="C838" s="7"/>
    </row>
    <row r="839" spans="1:3" x14ac:dyDescent="0.35">
      <c r="A839" s="6"/>
      <c r="B839" s="7"/>
      <c r="C839" s="7"/>
    </row>
    <row r="840" spans="1:3" x14ac:dyDescent="0.35">
      <c r="A840" s="6"/>
      <c r="B840" s="7"/>
      <c r="C840" s="7"/>
    </row>
    <row r="841" spans="1:3" x14ac:dyDescent="0.35">
      <c r="A841" s="6"/>
      <c r="B841" s="7"/>
      <c r="C841" s="7"/>
    </row>
    <row r="842" spans="1:3" x14ac:dyDescent="0.35">
      <c r="A842" s="6"/>
      <c r="B842" s="7"/>
      <c r="C842" s="7"/>
    </row>
    <row r="843" spans="1:3" x14ac:dyDescent="0.35">
      <c r="A843" s="6"/>
      <c r="B843" s="7"/>
      <c r="C843" s="7"/>
    </row>
    <row r="844" spans="1:3" x14ac:dyDescent="0.35">
      <c r="A844" s="6"/>
      <c r="B844" s="7"/>
      <c r="C844" s="7"/>
    </row>
    <row r="845" spans="1:3" x14ac:dyDescent="0.35">
      <c r="A845" s="6"/>
      <c r="B845" s="7"/>
      <c r="C845" s="7"/>
    </row>
    <row r="846" spans="1:3" x14ac:dyDescent="0.35">
      <c r="A846" s="6"/>
      <c r="B846" s="7"/>
      <c r="C846" s="7"/>
    </row>
    <row r="847" spans="1:3" x14ac:dyDescent="0.35">
      <c r="A847" s="6"/>
      <c r="B847" s="7"/>
      <c r="C847" s="7"/>
    </row>
    <row r="848" spans="1:3" x14ac:dyDescent="0.35">
      <c r="A848" s="6"/>
      <c r="B848" s="7"/>
      <c r="C848" s="7"/>
    </row>
    <row r="849" spans="1:3" x14ac:dyDescent="0.35">
      <c r="A849" s="6"/>
      <c r="B849" s="7"/>
      <c r="C849" s="7"/>
    </row>
    <row r="850" spans="1:3" x14ac:dyDescent="0.35">
      <c r="A850" s="6"/>
      <c r="B850" s="7"/>
      <c r="C850" s="7"/>
    </row>
    <row r="851" spans="1:3" x14ac:dyDescent="0.35">
      <c r="A851" s="6"/>
      <c r="B851" s="7"/>
      <c r="C851" s="7"/>
    </row>
    <row r="852" spans="1:3" x14ac:dyDescent="0.35">
      <c r="A852" s="6"/>
      <c r="B852" s="7"/>
      <c r="C852" s="7"/>
    </row>
    <row r="853" spans="1:3" x14ac:dyDescent="0.35">
      <c r="A853" s="6"/>
      <c r="B853" s="7"/>
      <c r="C853" s="7"/>
    </row>
    <row r="854" spans="1:3" x14ac:dyDescent="0.35">
      <c r="A854" s="6"/>
      <c r="B854" s="7"/>
      <c r="C854" s="7"/>
    </row>
    <row r="855" spans="1:3" x14ac:dyDescent="0.35">
      <c r="A855" s="6"/>
      <c r="B855" s="7"/>
      <c r="C855" s="7"/>
    </row>
    <row r="856" spans="1:3" x14ac:dyDescent="0.35">
      <c r="A856" s="6"/>
      <c r="B856" s="7"/>
      <c r="C856" s="7"/>
    </row>
    <row r="857" spans="1:3" x14ac:dyDescent="0.35">
      <c r="A857" s="6"/>
      <c r="B857" s="7"/>
      <c r="C857" s="7"/>
    </row>
    <row r="858" spans="1:3" x14ac:dyDescent="0.35">
      <c r="A858" s="6"/>
      <c r="B858" s="7"/>
      <c r="C858" s="7"/>
    </row>
    <row r="859" spans="1:3" x14ac:dyDescent="0.35">
      <c r="A859" s="6"/>
      <c r="B859" s="7"/>
      <c r="C859" s="7"/>
    </row>
    <row r="860" spans="1:3" x14ac:dyDescent="0.35">
      <c r="A860" s="6"/>
      <c r="B860" s="7"/>
      <c r="C860" s="7"/>
    </row>
    <row r="861" spans="1:3" x14ac:dyDescent="0.35">
      <c r="A861" s="6"/>
      <c r="B861" s="7"/>
      <c r="C861" s="7"/>
    </row>
    <row r="862" spans="1:3" x14ac:dyDescent="0.35">
      <c r="A862" s="6"/>
      <c r="B862" s="7"/>
      <c r="C862" s="7"/>
    </row>
    <row r="863" spans="1:3" x14ac:dyDescent="0.35">
      <c r="A863" s="6"/>
      <c r="B863" s="7"/>
      <c r="C863" s="7"/>
    </row>
    <row r="864" spans="1:3" x14ac:dyDescent="0.35">
      <c r="A864" s="6"/>
      <c r="B864" s="7"/>
      <c r="C864" s="7"/>
    </row>
    <row r="865" spans="1:3" x14ac:dyDescent="0.35">
      <c r="A865" s="6"/>
      <c r="B865" s="7"/>
      <c r="C865" s="7"/>
    </row>
    <row r="866" spans="1:3" x14ac:dyDescent="0.35">
      <c r="A866" s="6"/>
      <c r="B866" s="7"/>
      <c r="C866" s="7"/>
    </row>
    <row r="867" spans="1:3" x14ac:dyDescent="0.35">
      <c r="A867" s="6"/>
      <c r="B867" s="7"/>
      <c r="C867" s="7"/>
    </row>
    <row r="868" spans="1:3" x14ac:dyDescent="0.35">
      <c r="A868" s="6"/>
      <c r="B868" s="7"/>
      <c r="C868" s="7"/>
    </row>
    <row r="869" spans="1:3" x14ac:dyDescent="0.35">
      <c r="A869" s="6"/>
      <c r="B869" s="7"/>
      <c r="C869" s="7"/>
    </row>
    <row r="870" spans="1:3" x14ac:dyDescent="0.35">
      <c r="A870" s="6"/>
      <c r="B870" s="7"/>
      <c r="C870" s="7"/>
    </row>
    <row r="871" spans="1:3" x14ac:dyDescent="0.35">
      <c r="A871" s="6"/>
      <c r="B871" s="7"/>
      <c r="C871" s="7"/>
    </row>
    <row r="872" spans="1:3" x14ac:dyDescent="0.35">
      <c r="A872" s="6"/>
      <c r="B872" s="7"/>
      <c r="C872" s="7"/>
    </row>
    <row r="873" spans="1:3" x14ac:dyDescent="0.35">
      <c r="A873" s="6"/>
      <c r="B873" s="7"/>
      <c r="C873" s="7"/>
    </row>
    <row r="874" spans="1:3" x14ac:dyDescent="0.35">
      <c r="A874" s="6"/>
      <c r="B874" s="7"/>
      <c r="C874" s="7"/>
    </row>
    <row r="875" spans="1:3" x14ac:dyDescent="0.35">
      <c r="A875" s="6"/>
      <c r="B875" s="7"/>
      <c r="C875" s="7"/>
    </row>
    <row r="876" spans="1:3" x14ac:dyDescent="0.35">
      <c r="A876" s="6"/>
      <c r="B876" s="7"/>
      <c r="C876" s="7"/>
    </row>
    <row r="877" spans="1:3" x14ac:dyDescent="0.35">
      <c r="A877" s="6"/>
      <c r="B877" s="7"/>
      <c r="C877" s="7"/>
    </row>
    <row r="878" spans="1:3" x14ac:dyDescent="0.35">
      <c r="A878" s="6"/>
      <c r="B878" s="7"/>
      <c r="C878" s="7"/>
    </row>
    <row r="879" spans="1:3" x14ac:dyDescent="0.35">
      <c r="A879" s="6"/>
      <c r="B879" s="7"/>
      <c r="C879" s="7"/>
    </row>
    <row r="880" spans="1:3" x14ac:dyDescent="0.35">
      <c r="A880" s="6"/>
      <c r="B880" s="7"/>
      <c r="C880" s="7"/>
    </row>
    <row r="881" spans="1:3" x14ac:dyDescent="0.35">
      <c r="A881" s="6"/>
      <c r="B881" s="7"/>
      <c r="C881" s="7"/>
    </row>
    <row r="882" spans="1:3" x14ac:dyDescent="0.35">
      <c r="A882" s="6"/>
      <c r="B882" s="7"/>
      <c r="C882" s="7"/>
    </row>
    <row r="883" spans="1:3" x14ac:dyDescent="0.35">
      <c r="A883" s="6"/>
      <c r="B883" s="7"/>
      <c r="C883" s="7"/>
    </row>
    <row r="884" spans="1:3" x14ac:dyDescent="0.35">
      <c r="A884" s="6"/>
      <c r="B884" s="7"/>
      <c r="C884" s="7"/>
    </row>
    <row r="885" spans="1:3" x14ac:dyDescent="0.35">
      <c r="A885" s="6"/>
      <c r="B885" s="7"/>
      <c r="C885" s="7"/>
    </row>
    <row r="886" spans="1:3" x14ac:dyDescent="0.35">
      <c r="A886" s="6"/>
      <c r="B886" s="7"/>
      <c r="C886" s="7"/>
    </row>
    <row r="887" spans="1:3" x14ac:dyDescent="0.35">
      <c r="A887" s="6"/>
      <c r="B887" s="7"/>
      <c r="C887" s="7"/>
    </row>
    <row r="888" spans="1:3" x14ac:dyDescent="0.35">
      <c r="A888" s="6"/>
      <c r="B888" s="7"/>
      <c r="C888" s="7"/>
    </row>
    <row r="889" spans="1:3" x14ac:dyDescent="0.35">
      <c r="A889" s="6"/>
      <c r="B889" s="7"/>
      <c r="C889" s="7"/>
    </row>
    <row r="890" spans="1:3" x14ac:dyDescent="0.35">
      <c r="A890" s="6"/>
      <c r="B890" s="7"/>
      <c r="C890" s="7"/>
    </row>
    <row r="891" spans="1:3" x14ac:dyDescent="0.35">
      <c r="A891" s="6"/>
      <c r="B891" s="7"/>
      <c r="C891" s="7"/>
    </row>
    <row r="892" spans="1:3" x14ac:dyDescent="0.35">
      <c r="A892" s="6"/>
      <c r="B892" s="7"/>
      <c r="C892" s="7"/>
    </row>
    <row r="893" spans="1:3" x14ac:dyDescent="0.35">
      <c r="A893" s="6"/>
      <c r="B893" s="7"/>
      <c r="C893" s="7"/>
    </row>
    <row r="894" spans="1:3" x14ac:dyDescent="0.35">
      <c r="A894" s="6"/>
      <c r="B894" s="7"/>
      <c r="C894" s="7"/>
    </row>
    <row r="895" spans="1:3" x14ac:dyDescent="0.35">
      <c r="A895" s="6"/>
      <c r="B895" s="7"/>
      <c r="C895" s="7"/>
    </row>
    <row r="896" spans="1:3" x14ac:dyDescent="0.35">
      <c r="A896" s="6"/>
      <c r="B896" s="7"/>
      <c r="C896" s="7"/>
    </row>
    <row r="897" spans="1:3" x14ac:dyDescent="0.35">
      <c r="A897" s="6"/>
      <c r="B897" s="7"/>
      <c r="C897" s="7"/>
    </row>
    <row r="898" spans="1:3" x14ac:dyDescent="0.35">
      <c r="A898" s="6"/>
      <c r="B898" s="7"/>
      <c r="C898" s="7"/>
    </row>
    <row r="899" spans="1:3" x14ac:dyDescent="0.35">
      <c r="A899" s="6"/>
      <c r="B899" s="7"/>
      <c r="C899" s="7"/>
    </row>
    <row r="900" spans="1:3" x14ac:dyDescent="0.35">
      <c r="A900" s="6"/>
      <c r="B900" s="7"/>
      <c r="C900" s="7"/>
    </row>
    <row r="901" spans="1:3" x14ac:dyDescent="0.35">
      <c r="A901" s="6"/>
      <c r="B901" s="7"/>
      <c r="C901" s="7"/>
    </row>
    <row r="902" spans="1:3" x14ac:dyDescent="0.35">
      <c r="A902" s="6"/>
      <c r="B902" s="7"/>
      <c r="C902" s="7"/>
    </row>
    <row r="903" spans="1:3" x14ac:dyDescent="0.35">
      <c r="A903" s="6"/>
      <c r="B903" s="7"/>
      <c r="C903" s="7"/>
    </row>
    <row r="904" spans="1:3" x14ac:dyDescent="0.35">
      <c r="A904" s="6"/>
      <c r="B904" s="7"/>
      <c r="C904" s="7"/>
    </row>
    <row r="905" spans="1:3" x14ac:dyDescent="0.35">
      <c r="A905" s="6"/>
      <c r="B905" s="7"/>
      <c r="C905" s="7"/>
    </row>
    <row r="906" spans="1:3" x14ac:dyDescent="0.35">
      <c r="A906" s="6"/>
      <c r="B906" s="7"/>
      <c r="C906" s="7"/>
    </row>
    <row r="907" spans="1:3" x14ac:dyDescent="0.35">
      <c r="A907" s="6"/>
      <c r="B907" s="7"/>
      <c r="C907" s="7"/>
    </row>
    <row r="908" spans="1:3" x14ac:dyDescent="0.35">
      <c r="A908" s="6"/>
      <c r="B908" s="7"/>
      <c r="C908" s="7"/>
    </row>
    <row r="909" spans="1:3" x14ac:dyDescent="0.35">
      <c r="A909" s="6"/>
      <c r="B909" s="7"/>
      <c r="C909" s="7"/>
    </row>
    <row r="910" spans="1:3" x14ac:dyDescent="0.35">
      <c r="A910" s="6"/>
      <c r="B910" s="7"/>
      <c r="C910" s="7"/>
    </row>
    <row r="911" spans="1:3" x14ac:dyDescent="0.35">
      <c r="A911" s="6"/>
      <c r="B911" s="7"/>
      <c r="C911" s="7"/>
    </row>
    <row r="912" spans="1:3" x14ac:dyDescent="0.35">
      <c r="A912" s="6"/>
      <c r="B912" s="7"/>
      <c r="C912" s="7"/>
    </row>
    <row r="913" spans="1:3" x14ac:dyDescent="0.35">
      <c r="A913" s="6"/>
      <c r="B913" s="7"/>
      <c r="C913" s="7"/>
    </row>
    <row r="914" spans="1:3" x14ac:dyDescent="0.35">
      <c r="A914" s="6"/>
      <c r="B914" s="7"/>
      <c r="C914" s="7"/>
    </row>
    <row r="915" spans="1:3" x14ac:dyDescent="0.35">
      <c r="A915" s="6"/>
      <c r="B915" s="7"/>
      <c r="C915" s="7"/>
    </row>
    <row r="916" spans="1:3" x14ac:dyDescent="0.35">
      <c r="A916" s="6"/>
      <c r="B916" s="7"/>
      <c r="C916" s="7"/>
    </row>
    <row r="917" spans="1:3" x14ac:dyDescent="0.35">
      <c r="A917" s="6"/>
      <c r="B917" s="7"/>
      <c r="C917" s="7"/>
    </row>
    <row r="918" spans="1:3" x14ac:dyDescent="0.35">
      <c r="A918" s="6"/>
      <c r="B918" s="7"/>
      <c r="C918" s="7"/>
    </row>
    <row r="919" spans="1:3" x14ac:dyDescent="0.35">
      <c r="A919" s="6"/>
      <c r="B919" s="7"/>
      <c r="C919" s="7"/>
    </row>
    <row r="920" spans="1:3" x14ac:dyDescent="0.35">
      <c r="A920" s="6"/>
      <c r="B920" s="7"/>
      <c r="C920" s="7"/>
    </row>
    <row r="921" spans="1:3" x14ac:dyDescent="0.35">
      <c r="A921" s="6"/>
      <c r="B921" s="7"/>
      <c r="C921" s="7"/>
    </row>
    <row r="922" spans="1:3" x14ac:dyDescent="0.35">
      <c r="A922" s="6"/>
      <c r="B922" s="7"/>
      <c r="C922" s="7"/>
    </row>
    <row r="923" spans="1:3" x14ac:dyDescent="0.35">
      <c r="A923" s="6"/>
      <c r="B923" s="7"/>
      <c r="C923" s="7"/>
    </row>
    <row r="924" spans="1:3" x14ac:dyDescent="0.35">
      <c r="A924" s="6"/>
      <c r="B924" s="7"/>
      <c r="C924" s="7"/>
    </row>
    <row r="925" spans="1:3" x14ac:dyDescent="0.35">
      <c r="A925" s="6"/>
      <c r="B925" s="7"/>
      <c r="C925" s="7"/>
    </row>
    <row r="926" spans="1:3" x14ac:dyDescent="0.35">
      <c r="A926" s="6"/>
      <c r="B926" s="7"/>
      <c r="C926" s="7"/>
    </row>
    <row r="927" spans="1:3" x14ac:dyDescent="0.35">
      <c r="A927" s="6"/>
      <c r="B927" s="7"/>
      <c r="C927" s="7"/>
    </row>
    <row r="928" spans="1:3" x14ac:dyDescent="0.35">
      <c r="A928" s="6"/>
      <c r="B928" s="7"/>
      <c r="C928" s="7"/>
    </row>
    <row r="929" spans="1:3" x14ac:dyDescent="0.35">
      <c r="A929" s="6"/>
      <c r="B929" s="7"/>
      <c r="C929" s="7"/>
    </row>
    <row r="930" spans="1:3" x14ac:dyDescent="0.35">
      <c r="A930" s="6"/>
      <c r="B930" s="7"/>
      <c r="C930" s="7"/>
    </row>
    <row r="931" spans="1:3" x14ac:dyDescent="0.35">
      <c r="A931" s="6"/>
      <c r="B931" s="7"/>
      <c r="C931" s="7"/>
    </row>
    <row r="932" spans="1:3" x14ac:dyDescent="0.35">
      <c r="A932" s="6"/>
      <c r="B932" s="7"/>
      <c r="C932" s="7"/>
    </row>
    <row r="933" spans="1:3" x14ac:dyDescent="0.35">
      <c r="A933" s="6"/>
      <c r="B933" s="7"/>
      <c r="C933" s="7"/>
    </row>
    <row r="934" spans="1:3" x14ac:dyDescent="0.35">
      <c r="A934" s="6"/>
      <c r="B934" s="7"/>
      <c r="C934" s="7"/>
    </row>
    <row r="935" spans="1:3" x14ac:dyDescent="0.35">
      <c r="A935" s="6"/>
      <c r="B935" s="7"/>
      <c r="C935" s="7"/>
    </row>
    <row r="936" spans="1:3" x14ac:dyDescent="0.35">
      <c r="A936" s="6"/>
      <c r="B936" s="7"/>
      <c r="C936" s="7"/>
    </row>
    <row r="937" spans="1:3" x14ac:dyDescent="0.35">
      <c r="A937" s="6"/>
      <c r="B937" s="7"/>
      <c r="C937" s="7"/>
    </row>
    <row r="938" spans="1:3" x14ac:dyDescent="0.35">
      <c r="A938" s="6"/>
      <c r="B938" s="7"/>
      <c r="C938" s="7"/>
    </row>
    <row r="939" spans="1:3" x14ac:dyDescent="0.35">
      <c r="A939" s="6"/>
      <c r="B939" s="7"/>
      <c r="C939" s="7"/>
    </row>
    <row r="940" spans="1:3" x14ac:dyDescent="0.35">
      <c r="A940" s="6"/>
      <c r="B940" s="7"/>
      <c r="C940" s="7"/>
    </row>
    <row r="941" spans="1:3" x14ac:dyDescent="0.35">
      <c r="A941" s="6"/>
      <c r="B941" s="7"/>
      <c r="C941" s="7"/>
    </row>
    <row r="942" spans="1:3" x14ac:dyDescent="0.35">
      <c r="A942" s="6"/>
      <c r="B942" s="7"/>
      <c r="C942" s="7"/>
    </row>
    <row r="943" spans="1:3" x14ac:dyDescent="0.35">
      <c r="A943" s="6"/>
      <c r="B943" s="7"/>
      <c r="C943" s="7"/>
    </row>
    <row r="944" spans="1:3" x14ac:dyDescent="0.35">
      <c r="A944" s="6"/>
      <c r="B944" s="7"/>
      <c r="C944" s="7"/>
    </row>
    <row r="945" spans="1:3" x14ac:dyDescent="0.35">
      <c r="A945" s="6"/>
      <c r="B945" s="7"/>
      <c r="C945" s="7"/>
    </row>
    <row r="946" spans="1:3" x14ac:dyDescent="0.35">
      <c r="A946" s="6"/>
      <c r="B946" s="7"/>
      <c r="C946" s="7"/>
    </row>
    <row r="947" spans="1:3" x14ac:dyDescent="0.35">
      <c r="A947" s="6"/>
      <c r="B947" s="7"/>
      <c r="C947" s="7"/>
    </row>
    <row r="948" spans="1:3" x14ac:dyDescent="0.35">
      <c r="A948" s="6"/>
      <c r="B948" s="7"/>
      <c r="C948" s="7"/>
    </row>
    <row r="949" spans="1:3" x14ac:dyDescent="0.35">
      <c r="A949" s="6"/>
      <c r="B949" s="7"/>
      <c r="C949" s="7"/>
    </row>
    <row r="950" spans="1:3" x14ac:dyDescent="0.35">
      <c r="A950" s="6"/>
      <c r="B950" s="7"/>
      <c r="C950" s="7"/>
    </row>
    <row r="951" spans="1:3" x14ac:dyDescent="0.35">
      <c r="A951" s="6"/>
      <c r="B951" s="7"/>
      <c r="C951" s="7"/>
    </row>
    <row r="952" spans="1:3" x14ac:dyDescent="0.35">
      <c r="A952" s="6"/>
      <c r="B952" s="7"/>
      <c r="C952" s="7"/>
    </row>
    <row r="953" spans="1:3" x14ac:dyDescent="0.35">
      <c r="A953" s="6"/>
      <c r="B953" s="7"/>
      <c r="C953" s="7"/>
    </row>
    <row r="954" spans="1:3" x14ac:dyDescent="0.35">
      <c r="A954" s="6"/>
      <c r="B954" s="7"/>
      <c r="C954" s="7"/>
    </row>
    <row r="955" spans="1:3" x14ac:dyDescent="0.35">
      <c r="A955" s="6"/>
      <c r="B955" s="7"/>
      <c r="C955" s="7"/>
    </row>
    <row r="956" spans="1:3" x14ac:dyDescent="0.35">
      <c r="A956" s="6"/>
      <c r="B956" s="7"/>
      <c r="C956" s="7"/>
    </row>
    <row r="957" spans="1:3" x14ac:dyDescent="0.35">
      <c r="A957" s="6"/>
      <c r="B957" s="7"/>
      <c r="C957" s="7"/>
    </row>
    <row r="958" spans="1:3" x14ac:dyDescent="0.35">
      <c r="A958" s="6"/>
      <c r="B958" s="7"/>
      <c r="C958" s="7"/>
    </row>
    <row r="959" spans="1:3" x14ac:dyDescent="0.35">
      <c r="A959" s="6"/>
      <c r="B959" s="7"/>
      <c r="C959" s="7"/>
    </row>
    <row r="960" spans="1:3" x14ac:dyDescent="0.35">
      <c r="A960" s="6"/>
      <c r="B960" s="7"/>
      <c r="C960" s="7"/>
    </row>
    <row r="961" spans="1:3" x14ac:dyDescent="0.35">
      <c r="A961" s="6"/>
      <c r="B961" s="7"/>
      <c r="C961" s="7"/>
    </row>
    <row r="962" spans="1:3" x14ac:dyDescent="0.35">
      <c r="A962" s="6"/>
      <c r="B962" s="7"/>
      <c r="C962" s="7"/>
    </row>
    <row r="963" spans="1:3" x14ac:dyDescent="0.35">
      <c r="A963" s="6"/>
      <c r="B963" s="7"/>
      <c r="C963" s="7"/>
    </row>
    <row r="964" spans="1:3" x14ac:dyDescent="0.35">
      <c r="A964" s="6"/>
      <c r="B964" s="7"/>
      <c r="C964" s="7"/>
    </row>
    <row r="965" spans="1:3" x14ac:dyDescent="0.35">
      <c r="A965" s="6"/>
      <c r="B965" s="7"/>
      <c r="C965" s="7"/>
    </row>
    <row r="966" spans="1:3" x14ac:dyDescent="0.35">
      <c r="A966" s="6"/>
      <c r="B966" s="7"/>
      <c r="C966" s="7"/>
    </row>
    <row r="967" spans="1:3" x14ac:dyDescent="0.35">
      <c r="A967" s="6"/>
      <c r="B967" s="7"/>
      <c r="C967" s="7"/>
    </row>
    <row r="968" spans="1:3" x14ac:dyDescent="0.35">
      <c r="A968" s="6"/>
      <c r="B968" s="7"/>
      <c r="C968" s="7"/>
    </row>
    <row r="969" spans="1:3" x14ac:dyDescent="0.35">
      <c r="A969" s="6"/>
      <c r="B969" s="7"/>
      <c r="C969" s="7"/>
    </row>
    <row r="970" spans="1:3" x14ac:dyDescent="0.35">
      <c r="A970" s="6"/>
      <c r="B970" s="7"/>
      <c r="C970" s="7"/>
    </row>
    <row r="971" spans="1:3" x14ac:dyDescent="0.35">
      <c r="A971" s="6"/>
      <c r="B971" s="7"/>
      <c r="C971" s="7"/>
    </row>
    <row r="972" spans="1:3" x14ac:dyDescent="0.35">
      <c r="A972" s="6"/>
      <c r="B972" s="7"/>
      <c r="C972" s="7"/>
    </row>
    <row r="973" spans="1:3" x14ac:dyDescent="0.35">
      <c r="A973" s="6"/>
      <c r="B973" s="7"/>
      <c r="C973" s="7"/>
    </row>
    <row r="974" spans="1:3" x14ac:dyDescent="0.35">
      <c r="A974" s="6"/>
      <c r="B974" s="7"/>
      <c r="C974" s="7"/>
    </row>
    <row r="975" spans="1:3" x14ac:dyDescent="0.35">
      <c r="A975" s="6"/>
      <c r="B975" s="7"/>
      <c r="C975" s="7"/>
    </row>
    <row r="976" spans="1:3" x14ac:dyDescent="0.35">
      <c r="A976" s="6"/>
      <c r="B976" s="7"/>
      <c r="C976" s="7"/>
    </row>
    <row r="977" spans="1:3" x14ac:dyDescent="0.35">
      <c r="A977" s="6"/>
      <c r="B977" s="7"/>
      <c r="C977" s="7"/>
    </row>
    <row r="978" spans="1:3" x14ac:dyDescent="0.35">
      <c r="A978" s="6"/>
      <c r="B978" s="7"/>
      <c r="C978" s="7"/>
    </row>
    <row r="979" spans="1:3" x14ac:dyDescent="0.35">
      <c r="A979" s="6"/>
      <c r="B979" s="7"/>
      <c r="C979" s="7"/>
    </row>
    <row r="980" spans="1:3" x14ac:dyDescent="0.35">
      <c r="A980" s="6"/>
      <c r="B980" s="7"/>
      <c r="C980" s="7"/>
    </row>
    <row r="981" spans="1:3" x14ac:dyDescent="0.35">
      <c r="A981" s="6"/>
      <c r="B981" s="7"/>
      <c r="C981" s="7"/>
    </row>
    <row r="982" spans="1:3" x14ac:dyDescent="0.35">
      <c r="A982" s="6"/>
      <c r="B982" s="7"/>
      <c r="C982" s="7"/>
    </row>
    <row r="983" spans="1:3" x14ac:dyDescent="0.35">
      <c r="A983" s="6"/>
      <c r="B983" s="7"/>
      <c r="C983" s="7"/>
    </row>
    <row r="984" spans="1:3" x14ac:dyDescent="0.35">
      <c r="A984" s="6"/>
      <c r="B984" s="7"/>
      <c r="C984" s="7"/>
    </row>
    <row r="985" spans="1:3" x14ac:dyDescent="0.35">
      <c r="A985" s="6"/>
      <c r="B985" s="7"/>
      <c r="C985" s="7"/>
    </row>
    <row r="986" spans="1:3" x14ac:dyDescent="0.35">
      <c r="A986" s="6"/>
      <c r="B986" s="7"/>
      <c r="C986" s="7"/>
    </row>
    <row r="987" spans="1:3" x14ac:dyDescent="0.35">
      <c r="A987" s="6"/>
      <c r="B987" s="7"/>
      <c r="C987" s="7"/>
    </row>
    <row r="988" spans="1:3" x14ac:dyDescent="0.35">
      <c r="A988" s="6"/>
      <c r="B988" s="7"/>
      <c r="C988" s="7"/>
    </row>
    <row r="989" spans="1:3" x14ac:dyDescent="0.35">
      <c r="A989" s="6"/>
      <c r="B989" s="7"/>
      <c r="C989" s="7"/>
    </row>
    <row r="990" spans="1:3" x14ac:dyDescent="0.35">
      <c r="A990" s="6"/>
      <c r="B990" s="7"/>
      <c r="C990" s="7"/>
    </row>
    <row r="991" spans="1:3" x14ac:dyDescent="0.35">
      <c r="A991" s="6"/>
      <c r="B991" s="7"/>
      <c r="C991" s="7"/>
    </row>
    <row r="992" spans="1:3" x14ac:dyDescent="0.35">
      <c r="A992" s="6"/>
      <c r="B992" s="7"/>
      <c r="C992" s="7"/>
    </row>
    <row r="993" spans="1:3" x14ac:dyDescent="0.35">
      <c r="A993" s="6"/>
      <c r="B993" s="7"/>
      <c r="C993" s="7"/>
    </row>
    <row r="994" spans="1:3" x14ac:dyDescent="0.35">
      <c r="A994" s="6"/>
      <c r="B994" s="7"/>
      <c r="C994" s="7"/>
    </row>
    <row r="995" spans="1:3" x14ac:dyDescent="0.35">
      <c r="A995" s="6"/>
      <c r="B995" s="7"/>
      <c r="C995" s="7"/>
    </row>
    <row r="996" spans="1:3" x14ac:dyDescent="0.35">
      <c r="A996" s="6"/>
      <c r="B996" s="7"/>
      <c r="C996" s="7"/>
    </row>
    <row r="997" spans="1:3" x14ac:dyDescent="0.35">
      <c r="A997" s="6"/>
      <c r="B997" s="7"/>
      <c r="C997" s="7"/>
    </row>
    <row r="998" spans="1:3" x14ac:dyDescent="0.35">
      <c r="A998" s="6"/>
      <c r="B998" s="7"/>
      <c r="C998" s="7"/>
    </row>
    <row r="999" spans="1:3" x14ac:dyDescent="0.35">
      <c r="A999" s="6"/>
      <c r="B999" s="7"/>
      <c r="C999" s="7"/>
    </row>
    <row r="1000" spans="1:3" x14ac:dyDescent="0.35">
      <c r="A1000" s="6"/>
      <c r="B1000" s="7"/>
      <c r="C1000" s="7"/>
    </row>
    <row r="1001" spans="1:3" x14ac:dyDescent="0.35">
      <c r="A1001" s="6"/>
      <c r="B1001" s="7"/>
      <c r="C1001" s="7"/>
    </row>
    <row r="1002" spans="1:3" x14ac:dyDescent="0.35">
      <c r="A1002" s="6"/>
      <c r="B1002" s="7"/>
      <c r="C1002" s="7"/>
    </row>
    <row r="1003" spans="1:3" x14ac:dyDescent="0.35">
      <c r="A1003" s="6"/>
      <c r="B1003" s="7"/>
      <c r="C1003" s="7"/>
    </row>
    <row r="1004" spans="1:3" x14ac:dyDescent="0.35">
      <c r="A1004" s="6"/>
      <c r="B1004" s="7"/>
      <c r="C1004" s="7"/>
    </row>
    <row r="1005" spans="1:3" x14ac:dyDescent="0.35">
      <c r="A1005" s="6"/>
      <c r="B1005" s="7"/>
      <c r="C1005" s="7"/>
    </row>
    <row r="1006" spans="1:3" x14ac:dyDescent="0.35">
      <c r="A1006" s="6"/>
      <c r="B1006" s="7"/>
      <c r="C1006" s="7"/>
    </row>
    <row r="1007" spans="1:3" x14ac:dyDescent="0.35">
      <c r="A1007" s="6"/>
      <c r="B1007" s="7"/>
      <c r="C1007" s="7"/>
    </row>
    <row r="1008" spans="1:3" x14ac:dyDescent="0.35">
      <c r="A1008" s="6"/>
      <c r="B1008" s="7"/>
      <c r="C1008" s="7"/>
    </row>
    <row r="1009" spans="1:3" x14ac:dyDescent="0.35">
      <c r="A1009" s="6"/>
      <c r="B1009" s="7"/>
      <c r="C1009" s="7"/>
    </row>
    <row r="1010" spans="1:3" x14ac:dyDescent="0.35">
      <c r="A1010" s="6"/>
      <c r="B1010" s="7"/>
      <c r="C1010" s="7"/>
    </row>
    <row r="1011" spans="1:3" x14ac:dyDescent="0.35">
      <c r="A1011" s="6"/>
      <c r="B1011" s="7"/>
      <c r="C1011" s="7"/>
    </row>
    <row r="1012" spans="1:3" x14ac:dyDescent="0.35">
      <c r="A1012" s="6"/>
      <c r="B1012" s="7"/>
      <c r="C1012" s="7"/>
    </row>
    <row r="1013" spans="1:3" x14ac:dyDescent="0.35">
      <c r="A1013" s="6"/>
      <c r="B1013" s="7"/>
      <c r="C1013" s="7"/>
    </row>
    <row r="1014" spans="1:3" x14ac:dyDescent="0.35">
      <c r="A1014" s="6"/>
      <c r="B1014" s="7"/>
      <c r="C1014" s="7"/>
    </row>
    <row r="1015" spans="1:3" x14ac:dyDescent="0.35">
      <c r="A1015" s="6"/>
      <c r="B1015" s="7"/>
      <c r="C1015" s="7"/>
    </row>
    <row r="1016" spans="1:3" x14ac:dyDescent="0.35">
      <c r="A1016" s="6"/>
      <c r="B1016" s="7"/>
      <c r="C1016" s="7"/>
    </row>
    <row r="1017" spans="1:3" x14ac:dyDescent="0.35">
      <c r="A1017" s="6"/>
      <c r="B1017" s="7"/>
      <c r="C1017" s="7"/>
    </row>
    <row r="1018" spans="1:3" x14ac:dyDescent="0.35">
      <c r="A1018" s="6"/>
      <c r="B1018" s="7"/>
      <c r="C1018" s="7"/>
    </row>
    <row r="1019" spans="1:3" x14ac:dyDescent="0.35">
      <c r="A1019" s="6"/>
      <c r="B1019" s="7"/>
      <c r="C1019" s="7"/>
    </row>
    <row r="1020" spans="1:3" x14ac:dyDescent="0.35">
      <c r="A1020" s="6"/>
      <c r="B1020" s="7"/>
      <c r="C1020" s="7"/>
    </row>
    <row r="1021" spans="1:3" x14ac:dyDescent="0.35">
      <c r="A1021" s="6"/>
      <c r="B1021" s="7"/>
      <c r="C1021" s="7"/>
    </row>
    <row r="1022" spans="1:3" x14ac:dyDescent="0.35">
      <c r="A1022" s="6"/>
      <c r="B1022" s="7"/>
      <c r="C1022" s="7"/>
    </row>
    <row r="1023" spans="1:3" x14ac:dyDescent="0.35">
      <c r="A1023" s="6"/>
      <c r="B1023" s="7"/>
      <c r="C1023" s="7"/>
    </row>
    <row r="1024" spans="1:3" x14ac:dyDescent="0.35">
      <c r="A1024" s="6"/>
      <c r="B1024" s="7"/>
      <c r="C1024" s="7"/>
    </row>
    <row r="1025" spans="1:3" x14ac:dyDescent="0.35">
      <c r="A1025" s="6"/>
      <c r="B1025" s="7"/>
      <c r="C1025" s="7"/>
    </row>
    <row r="1026" spans="1:3" x14ac:dyDescent="0.35">
      <c r="A1026" s="6"/>
      <c r="B1026" s="7"/>
      <c r="C1026" s="7"/>
    </row>
    <row r="1027" spans="1:3" x14ac:dyDescent="0.35">
      <c r="A1027" s="6"/>
      <c r="B1027" s="7"/>
      <c r="C1027" s="7"/>
    </row>
    <row r="1028" spans="1:3" x14ac:dyDescent="0.35">
      <c r="A1028" s="6"/>
      <c r="B1028" s="7"/>
      <c r="C1028" s="7"/>
    </row>
    <row r="1029" spans="1:3" x14ac:dyDescent="0.35">
      <c r="A1029" s="6"/>
      <c r="B1029" s="7"/>
      <c r="C1029" s="7"/>
    </row>
    <row r="1030" spans="1:3" x14ac:dyDescent="0.35">
      <c r="A1030" s="6"/>
      <c r="B1030" s="7"/>
      <c r="C1030" s="7"/>
    </row>
    <row r="1031" spans="1:3" x14ac:dyDescent="0.35">
      <c r="A1031" s="6"/>
      <c r="B1031" s="7"/>
      <c r="C1031" s="7"/>
    </row>
    <row r="1032" spans="1:3" x14ac:dyDescent="0.35">
      <c r="A1032" s="6"/>
      <c r="B1032" s="7"/>
      <c r="C1032" s="7"/>
    </row>
    <row r="1033" spans="1:3" x14ac:dyDescent="0.35">
      <c r="A1033" s="6"/>
      <c r="B1033" s="7"/>
      <c r="C1033" s="7"/>
    </row>
    <row r="1034" spans="1:3" x14ac:dyDescent="0.35">
      <c r="A1034" s="6"/>
      <c r="B1034" s="7"/>
      <c r="C1034" s="7"/>
    </row>
    <row r="1035" spans="1:3" x14ac:dyDescent="0.35">
      <c r="A1035" s="6"/>
      <c r="B1035" s="7"/>
      <c r="C1035" s="7"/>
    </row>
    <row r="1036" spans="1:3" x14ac:dyDescent="0.35">
      <c r="A1036" s="6"/>
      <c r="B1036" s="7"/>
      <c r="C1036" s="7"/>
    </row>
    <row r="1037" spans="1:3" x14ac:dyDescent="0.35">
      <c r="A1037" s="6"/>
      <c r="B1037" s="7"/>
      <c r="C1037" s="7"/>
    </row>
    <row r="1038" spans="1:3" x14ac:dyDescent="0.35">
      <c r="A1038" s="6"/>
      <c r="B1038" s="7"/>
      <c r="C1038" s="7"/>
    </row>
    <row r="1039" spans="1:3" x14ac:dyDescent="0.35">
      <c r="A1039" s="6"/>
      <c r="B1039" s="7"/>
      <c r="C1039" s="7"/>
    </row>
    <row r="1040" spans="1:3" x14ac:dyDescent="0.35">
      <c r="A1040" s="6"/>
      <c r="B1040" s="7"/>
      <c r="C1040" s="7"/>
    </row>
    <row r="1041" spans="1:3" x14ac:dyDescent="0.35">
      <c r="A1041" s="6"/>
      <c r="B1041" s="7"/>
      <c r="C1041" s="7"/>
    </row>
    <row r="1042" spans="1:3" x14ac:dyDescent="0.35">
      <c r="A1042" s="6"/>
      <c r="B1042" s="7"/>
      <c r="C1042" s="7"/>
    </row>
    <row r="1043" spans="1:3" x14ac:dyDescent="0.35">
      <c r="A1043" s="6"/>
      <c r="B1043" s="7"/>
      <c r="C1043" s="7"/>
    </row>
    <row r="1044" spans="1:3" x14ac:dyDescent="0.35">
      <c r="A1044" s="6"/>
      <c r="B1044" s="7"/>
      <c r="C1044" s="7"/>
    </row>
    <row r="1045" spans="1:3" x14ac:dyDescent="0.35">
      <c r="A1045" s="6"/>
      <c r="B1045" s="7"/>
      <c r="C1045" s="7"/>
    </row>
    <row r="1046" spans="1:3" x14ac:dyDescent="0.35">
      <c r="A1046" s="6"/>
      <c r="B1046" s="7"/>
      <c r="C1046" s="7"/>
    </row>
    <row r="1047" spans="1:3" x14ac:dyDescent="0.35">
      <c r="A1047" s="6"/>
      <c r="B1047" s="7"/>
      <c r="C1047" s="7"/>
    </row>
    <row r="1048" spans="1:3" x14ac:dyDescent="0.35">
      <c r="A1048" s="6"/>
      <c r="B1048" s="7"/>
      <c r="C1048" s="7"/>
    </row>
    <row r="1049" spans="1:3" x14ac:dyDescent="0.35">
      <c r="A1049" s="6"/>
      <c r="B1049" s="7"/>
      <c r="C1049" s="7"/>
    </row>
    <row r="1050" spans="1:3" x14ac:dyDescent="0.35">
      <c r="A1050" s="6"/>
      <c r="B1050" s="7"/>
      <c r="C1050" s="7"/>
    </row>
    <row r="1051" spans="1:3" x14ac:dyDescent="0.35">
      <c r="A1051" s="6"/>
      <c r="B1051" s="7"/>
      <c r="C1051" s="7"/>
    </row>
    <row r="1052" spans="1:3" x14ac:dyDescent="0.35">
      <c r="A1052" s="6"/>
      <c r="B1052" s="7"/>
      <c r="C1052" s="7"/>
    </row>
    <row r="1053" spans="1:3" x14ac:dyDescent="0.35">
      <c r="A1053" s="6"/>
      <c r="B1053" s="7"/>
      <c r="C1053" s="7"/>
    </row>
    <row r="1054" spans="1:3" x14ac:dyDescent="0.35">
      <c r="A1054" s="6"/>
      <c r="B1054" s="7"/>
      <c r="C1054" s="7"/>
    </row>
    <row r="1055" spans="1:3" x14ac:dyDescent="0.35">
      <c r="A1055" s="6"/>
      <c r="B1055" s="7"/>
      <c r="C1055" s="7"/>
    </row>
    <row r="1056" spans="1:3" x14ac:dyDescent="0.35">
      <c r="A1056" s="6"/>
      <c r="B1056" s="7"/>
      <c r="C1056" s="7"/>
    </row>
    <row r="1057" spans="1:3" x14ac:dyDescent="0.35">
      <c r="A1057" s="6"/>
      <c r="B1057" s="7"/>
      <c r="C1057" s="7"/>
    </row>
    <row r="1058" spans="1:3" x14ac:dyDescent="0.35">
      <c r="A1058" s="6"/>
      <c r="B1058" s="7"/>
      <c r="C1058" s="7"/>
    </row>
    <row r="1059" spans="1:3" x14ac:dyDescent="0.35">
      <c r="A1059" s="6"/>
      <c r="B1059" s="7"/>
      <c r="C1059" s="7"/>
    </row>
    <row r="1060" spans="1:3" x14ac:dyDescent="0.35">
      <c r="A1060" s="6"/>
      <c r="B1060" s="7"/>
      <c r="C1060" s="7"/>
    </row>
    <row r="1061" spans="1:3" x14ac:dyDescent="0.35">
      <c r="A1061" s="6"/>
      <c r="B1061" s="7"/>
      <c r="C1061" s="7"/>
    </row>
    <row r="1062" spans="1:3" x14ac:dyDescent="0.35">
      <c r="A1062" s="6"/>
      <c r="B1062" s="7"/>
      <c r="C1062" s="7"/>
    </row>
    <row r="1063" spans="1:3" x14ac:dyDescent="0.35">
      <c r="A1063" s="6"/>
      <c r="B1063" s="7"/>
      <c r="C1063" s="7"/>
    </row>
    <row r="1064" spans="1:3" x14ac:dyDescent="0.35">
      <c r="A1064" s="6"/>
      <c r="B1064" s="7"/>
      <c r="C1064" s="7"/>
    </row>
    <row r="1065" spans="1:3" x14ac:dyDescent="0.35">
      <c r="A1065" s="6"/>
      <c r="B1065" s="7"/>
      <c r="C1065" s="7"/>
    </row>
    <row r="1066" spans="1:3" x14ac:dyDescent="0.35">
      <c r="A1066" s="6"/>
      <c r="B1066" s="7"/>
      <c r="C1066" s="7"/>
    </row>
    <row r="1067" spans="1:3" x14ac:dyDescent="0.35">
      <c r="A1067" s="6"/>
      <c r="B1067" s="7"/>
      <c r="C1067" s="7"/>
    </row>
    <row r="1068" spans="1:3" x14ac:dyDescent="0.35">
      <c r="A1068" s="6"/>
      <c r="B1068" s="7"/>
      <c r="C1068" s="7"/>
    </row>
    <row r="1069" spans="1:3" x14ac:dyDescent="0.35">
      <c r="A1069" s="6"/>
      <c r="B1069" s="7"/>
      <c r="C1069" s="7"/>
    </row>
    <row r="1070" spans="1:3" x14ac:dyDescent="0.35">
      <c r="A1070" s="6"/>
      <c r="B1070" s="7"/>
      <c r="C1070" s="7"/>
    </row>
    <row r="1071" spans="1:3" x14ac:dyDescent="0.35">
      <c r="A1071" s="6"/>
      <c r="B1071" s="7"/>
      <c r="C1071" s="7"/>
    </row>
    <row r="1072" spans="1:3" x14ac:dyDescent="0.35">
      <c r="A1072" s="6"/>
      <c r="B1072" s="7"/>
      <c r="C1072" s="7"/>
    </row>
    <row r="1073" spans="1:3" x14ac:dyDescent="0.35">
      <c r="A1073" s="6"/>
      <c r="B1073" s="7"/>
      <c r="C1073" s="7"/>
    </row>
    <row r="1074" spans="1:3" x14ac:dyDescent="0.35">
      <c r="A1074" s="6"/>
      <c r="B1074" s="7"/>
      <c r="C1074" s="7"/>
    </row>
    <row r="1075" spans="1:3" x14ac:dyDescent="0.35">
      <c r="A1075" s="6"/>
      <c r="B1075" s="7"/>
      <c r="C1075" s="7"/>
    </row>
    <row r="1076" spans="1:3" x14ac:dyDescent="0.35">
      <c r="A1076" s="6"/>
      <c r="B1076" s="7"/>
      <c r="C1076" s="7"/>
    </row>
    <row r="1077" spans="1:3" x14ac:dyDescent="0.35">
      <c r="A1077" s="6"/>
      <c r="B1077" s="7"/>
      <c r="C1077" s="7"/>
    </row>
    <row r="1078" spans="1:3" x14ac:dyDescent="0.35">
      <c r="A1078" s="6"/>
      <c r="B1078" s="7"/>
      <c r="C1078" s="7"/>
    </row>
    <row r="1079" spans="1:3" x14ac:dyDescent="0.35">
      <c r="A1079" s="6"/>
      <c r="B1079" s="7"/>
      <c r="C1079" s="7"/>
    </row>
    <row r="1080" spans="1:3" x14ac:dyDescent="0.35">
      <c r="A1080" s="6"/>
      <c r="B1080" s="7"/>
      <c r="C1080" s="7"/>
    </row>
    <row r="1081" spans="1:3" x14ac:dyDescent="0.35">
      <c r="A1081" s="6"/>
      <c r="B1081" s="7"/>
      <c r="C1081" s="7"/>
    </row>
    <row r="1082" spans="1:3" x14ac:dyDescent="0.35">
      <c r="A1082" s="6"/>
      <c r="B1082" s="7"/>
      <c r="C1082" s="7"/>
    </row>
    <row r="1083" spans="1:3" x14ac:dyDescent="0.35">
      <c r="A1083" s="6"/>
      <c r="B1083" s="7"/>
      <c r="C1083" s="7"/>
    </row>
    <row r="1084" spans="1:3" x14ac:dyDescent="0.35">
      <c r="A1084" s="6"/>
      <c r="B1084" s="7"/>
      <c r="C1084" s="7"/>
    </row>
    <row r="1085" spans="1:3" x14ac:dyDescent="0.35">
      <c r="A1085" s="6"/>
      <c r="B1085" s="7"/>
      <c r="C1085" s="7"/>
    </row>
    <row r="1086" spans="1:3" x14ac:dyDescent="0.35">
      <c r="A1086" s="6"/>
      <c r="B1086" s="7"/>
      <c r="C1086" s="7"/>
    </row>
    <row r="1087" spans="1:3" x14ac:dyDescent="0.35">
      <c r="A1087" s="6"/>
      <c r="B1087" s="7"/>
      <c r="C1087" s="7"/>
    </row>
    <row r="1088" spans="1:3" x14ac:dyDescent="0.35">
      <c r="A1088" s="6"/>
      <c r="B1088" s="7"/>
      <c r="C1088" s="7"/>
    </row>
    <row r="1089" spans="1:3" x14ac:dyDescent="0.35">
      <c r="A1089" s="6"/>
      <c r="B1089" s="7"/>
      <c r="C1089" s="7"/>
    </row>
    <row r="1090" spans="1:3" x14ac:dyDescent="0.35">
      <c r="A1090" s="6"/>
      <c r="B1090" s="7"/>
      <c r="C1090" s="7"/>
    </row>
    <row r="1091" spans="1:3" x14ac:dyDescent="0.35">
      <c r="A1091" s="6"/>
      <c r="B1091" s="7"/>
      <c r="C1091" s="7"/>
    </row>
    <row r="1092" spans="1:3" x14ac:dyDescent="0.35">
      <c r="A1092" s="6"/>
      <c r="B1092" s="7"/>
      <c r="C1092" s="7"/>
    </row>
    <row r="1093" spans="1:3" x14ac:dyDescent="0.35">
      <c r="A1093" s="6"/>
      <c r="B1093" s="7"/>
      <c r="C1093" s="7"/>
    </row>
    <row r="1094" spans="1:3" x14ac:dyDescent="0.35">
      <c r="A1094" s="6"/>
      <c r="B1094" s="7"/>
      <c r="C1094" s="7"/>
    </row>
    <row r="1095" spans="1:3" x14ac:dyDescent="0.35">
      <c r="A1095" s="6"/>
      <c r="B1095" s="7"/>
      <c r="C1095" s="7"/>
    </row>
    <row r="1096" spans="1:3" x14ac:dyDescent="0.35">
      <c r="A1096" s="6"/>
      <c r="B1096" s="7"/>
      <c r="C1096" s="7"/>
    </row>
    <row r="1097" spans="1:3" x14ac:dyDescent="0.35">
      <c r="A1097" s="6"/>
      <c r="B1097" s="7"/>
      <c r="C1097" s="7"/>
    </row>
    <row r="1098" spans="1:3" x14ac:dyDescent="0.35">
      <c r="A1098" s="6"/>
      <c r="B1098" s="7"/>
      <c r="C1098" s="7"/>
    </row>
    <row r="1099" spans="1:3" x14ac:dyDescent="0.35">
      <c r="A1099" s="6"/>
      <c r="B1099" s="7"/>
      <c r="C1099" s="7"/>
    </row>
    <row r="1100" spans="1:3" x14ac:dyDescent="0.35">
      <c r="A1100" s="6"/>
      <c r="B1100" s="7"/>
      <c r="C1100" s="7"/>
    </row>
    <row r="1101" spans="1:3" x14ac:dyDescent="0.35">
      <c r="A1101" s="6"/>
      <c r="B1101" s="7"/>
      <c r="C1101" s="7"/>
    </row>
    <row r="1102" spans="1:3" x14ac:dyDescent="0.35">
      <c r="A1102" s="6"/>
      <c r="B1102" s="7"/>
      <c r="C1102" s="7"/>
    </row>
    <row r="1103" spans="1:3" x14ac:dyDescent="0.35">
      <c r="A1103" s="6"/>
      <c r="B1103" s="7"/>
      <c r="C1103" s="7"/>
    </row>
    <row r="1104" spans="1:3" x14ac:dyDescent="0.35">
      <c r="A1104" s="6"/>
      <c r="B1104" s="7"/>
      <c r="C1104" s="7"/>
    </row>
    <row r="1105" spans="1:3" x14ac:dyDescent="0.35">
      <c r="A1105" s="6"/>
      <c r="B1105" s="7"/>
      <c r="C1105" s="7"/>
    </row>
    <row r="1106" spans="1:3" x14ac:dyDescent="0.35">
      <c r="A1106" s="6"/>
      <c r="B1106" s="7"/>
      <c r="C1106" s="7"/>
    </row>
    <row r="1107" spans="1:3" x14ac:dyDescent="0.35">
      <c r="A1107" s="6"/>
      <c r="B1107" s="7"/>
      <c r="C1107" s="7"/>
    </row>
    <row r="1108" spans="1:3" x14ac:dyDescent="0.35">
      <c r="A1108" s="6"/>
      <c r="B1108" s="7"/>
      <c r="C1108" s="7"/>
    </row>
    <row r="1109" spans="1:3" x14ac:dyDescent="0.35">
      <c r="A1109" s="6"/>
      <c r="B1109" s="7"/>
      <c r="C1109" s="7"/>
    </row>
    <row r="1110" spans="1:3" x14ac:dyDescent="0.35">
      <c r="A1110" s="6"/>
      <c r="B1110" s="7"/>
      <c r="C1110" s="7"/>
    </row>
    <row r="1111" spans="1:3" x14ac:dyDescent="0.35">
      <c r="A1111" s="6"/>
      <c r="B1111" s="7"/>
      <c r="C1111" s="7"/>
    </row>
    <row r="1112" spans="1:3" x14ac:dyDescent="0.35">
      <c r="A1112" s="6"/>
      <c r="B1112" s="7"/>
      <c r="C1112" s="7"/>
    </row>
    <row r="1113" spans="1:3" x14ac:dyDescent="0.35">
      <c r="A1113" s="6"/>
      <c r="B1113" s="7"/>
      <c r="C1113" s="7"/>
    </row>
    <row r="1114" spans="1:3" x14ac:dyDescent="0.35">
      <c r="A1114" s="6"/>
      <c r="B1114" s="7"/>
      <c r="C1114" s="7"/>
    </row>
    <row r="1115" spans="1:3" x14ac:dyDescent="0.35">
      <c r="A1115" s="6"/>
      <c r="B1115" s="7"/>
      <c r="C1115" s="7"/>
    </row>
    <row r="1116" spans="1:3" x14ac:dyDescent="0.35">
      <c r="A1116" s="6"/>
      <c r="B1116" s="7"/>
      <c r="C1116" s="7"/>
    </row>
    <row r="1117" spans="1:3" x14ac:dyDescent="0.35">
      <c r="A1117" s="6"/>
      <c r="B1117" s="7"/>
      <c r="C1117" s="7"/>
    </row>
    <row r="1118" spans="1:3" x14ac:dyDescent="0.35">
      <c r="A1118" s="6"/>
      <c r="B1118" s="7"/>
      <c r="C1118" s="7"/>
    </row>
    <row r="1119" spans="1:3" x14ac:dyDescent="0.35">
      <c r="A1119" s="6"/>
      <c r="B1119" s="7"/>
      <c r="C1119" s="7"/>
    </row>
    <row r="1120" spans="1:3" x14ac:dyDescent="0.35">
      <c r="A1120" s="6"/>
      <c r="B1120" s="7"/>
      <c r="C1120" s="7"/>
    </row>
    <row r="1121" spans="1:3" x14ac:dyDescent="0.35">
      <c r="A1121" s="6"/>
      <c r="B1121" s="7"/>
      <c r="C1121" s="7"/>
    </row>
    <row r="1122" spans="1:3" x14ac:dyDescent="0.35">
      <c r="A1122" s="6"/>
      <c r="B1122" s="7"/>
      <c r="C1122" s="7"/>
    </row>
    <row r="1123" spans="1:3" x14ac:dyDescent="0.35">
      <c r="A1123" s="6"/>
      <c r="B1123" s="7"/>
      <c r="C1123" s="7"/>
    </row>
    <row r="1124" spans="1:3" x14ac:dyDescent="0.35">
      <c r="A1124" s="6"/>
      <c r="B1124" s="7"/>
      <c r="C1124" s="7"/>
    </row>
    <row r="1125" spans="1:3" x14ac:dyDescent="0.35">
      <c r="A1125" s="6"/>
      <c r="B1125" s="7"/>
      <c r="C1125" s="7"/>
    </row>
    <row r="1126" spans="1:3" x14ac:dyDescent="0.35">
      <c r="A1126" s="6"/>
      <c r="B1126" s="7"/>
      <c r="C1126" s="7"/>
    </row>
    <row r="1127" spans="1:3" x14ac:dyDescent="0.35">
      <c r="A1127" s="6"/>
      <c r="B1127" s="7"/>
      <c r="C1127" s="7"/>
    </row>
    <row r="1128" spans="1:3" x14ac:dyDescent="0.35">
      <c r="A1128" s="6"/>
      <c r="B1128" s="7"/>
      <c r="C1128" s="7"/>
    </row>
    <row r="1129" spans="1:3" x14ac:dyDescent="0.35">
      <c r="A1129" s="6"/>
      <c r="B1129" s="7"/>
      <c r="C1129" s="7"/>
    </row>
    <row r="1130" spans="1:3" x14ac:dyDescent="0.35">
      <c r="A1130" s="6"/>
      <c r="B1130" s="7"/>
      <c r="C1130" s="7"/>
    </row>
    <row r="1131" spans="1:3" x14ac:dyDescent="0.35">
      <c r="A1131" s="6"/>
      <c r="B1131" s="7"/>
      <c r="C1131" s="7"/>
    </row>
    <row r="1132" spans="1:3" x14ac:dyDescent="0.35">
      <c r="A1132" s="6"/>
      <c r="B1132" s="7"/>
      <c r="C1132" s="7"/>
    </row>
    <row r="1133" spans="1:3" x14ac:dyDescent="0.35">
      <c r="A1133" s="6"/>
      <c r="B1133" s="7"/>
      <c r="C1133" s="7"/>
    </row>
    <row r="1134" spans="1:3" x14ac:dyDescent="0.35">
      <c r="A1134" s="6"/>
      <c r="B1134" s="7"/>
      <c r="C1134" s="7"/>
    </row>
    <row r="1135" spans="1:3" x14ac:dyDescent="0.35">
      <c r="A1135" s="6"/>
      <c r="B1135" s="7"/>
      <c r="C1135" s="7"/>
    </row>
    <row r="1136" spans="1:3" x14ac:dyDescent="0.35">
      <c r="A1136" s="6"/>
      <c r="B1136" s="7"/>
      <c r="C1136" s="7"/>
    </row>
    <row r="1137" spans="1:3" x14ac:dyDescent="0.35">
      <c r="A1137" s="6"/>
      <c r="B1137" s="7"/>
      <c r="C1137" s="7"/>
    </row>
    <row r="1138" spans="1:3" x14ac:dyDescent="0.35">
      <c r="A1138" s="6"/>
      <c r="B1138" s="7"/>
      <c r="C1138" s="7"/>
    </row>
    <row r="1139" spans="1:3" x14ac:dyDescent="0.35">
      <c r="A1139" s="6"/>
      <c r="B1139" s="7"/>
      <c r="C1139" s="7"/>
    </row>
    <row r="1140" spans="1:3" x14ac:dyDescent="0.35">
      <c r="A1140" s="6"/>
      <c r="B1140" s="7"/>
      <c r="C1140" s="7"/>
    </row>
    <row r="1141" spans="1:3" x14ac:dyDescent="0.35">
      <c r="A1141" s="6"/>
      <c r="B1141" s="7"/>
      <c r="C1141" s="7"/>
    </row>
    <row r="1142" spans="1:3" x14ac:dyDescent="0.35">
      <c r="A1142" s="6"/>
      <c r="B1142" s="7"/>
      <c r="C1142" s="7"/>
    </row>
    <row r="1143" spans="1:3" x14ac:dyDescent="0.35">
      <c r="A1143" s="6"/>
      <c r="B1143" s="7"/>
      <c r="C1143" s="7"/>
    </row>
    <row r="1144" spans="1:3" x14ac:dyDescent="0.35">
      <c r="A1144" s="6"/>
      <c r="B1144" s="7"/>
      <c r="C1144" s="7"/>
    </row>
    <row r="1145" spans="1:3" x14ac:dyDescent="0.35">
      <c r="A1145" s="6"/>
      <c r="B1145" s="7"/>
      <c r="C1145" s="7"/>
    </row>
    <row r="1146" spans="1:3" x14ac:dyDescent="0.35">
      <c r="A1146" s="6"/>
      <c r="B1146" s="7"/>
      <c r="C1146" s="7"/>
    </row>
    <row r="1147" spans="1:3" x14ac:dyDescent="0.35">
      <c r="A1147" s="6"/>
      <c r="B1147" s="7"/>
      <c r="C1147" s="7"/>
    </row>
    <row r="1148" spans="1:3" x14ac:dyDescent="0.35">
      <c r="A1148" s="6"/>
      <c r="B1148" s="7"/>
      <c r="C1148" s="7"/>
    </row>
    <row r="1149" spans="1:3" x14ac:dyDescent="0.35">
      <c r="A1149" s="6"/>
      <c r="B1149" s="7"/>
      <c r="C1149" s="7"/>
    </row>
    <row r="1150" spans="1:3" x14ac:dyDescent="0.35">
      <c r="A1150" s="6"/>
      <c r="B1150" s="7"/>
      <c r="C1150" s="7"/>
    </row>
    <row r="1151" spans="1:3" x14ac:dyDescent="0.35">
      <c r="A1151" s="6"/>
      <c r="B1151" s="7"/>
      <c r="C1151" s="7"/>
    </row>
    <row r="1152" spans="1:3" x14ac:dyDescent="0.35">
      <c r="A1152" s="6"/>
      <c r="B1152" s="7"/>
      <c r="C1152" s="7"/>
    </row>
    <row r="1153" spans="1:3" x14ac:dyDescent="0.35">
      <c r="A1153" s="6"/>
      <c r="B1153" s="7"/>
      <c r="C1153" s="7"/>
    </row>
    <row r="1154" spans="1:3" x14ac:dyDescent="0.35">
      <c r="A1154" s="6"/>
      <c r="B1154" s="7"/>
      <c r="C1154" s="7"/>
    </row>
    <row r="1155" spans="1:3" x14ac:dyDescent="0.35">
      <c r="A1155" s="6"/>
      <c r="B1155" s="7"/>
      <c r="C1155" s="7"/>
    </row>
    <row r="1156" spans="1:3" x14ac:dyDescent="0.35">
      <c r="A1156" s="6"/>
      <c r="B1156" s="7"/>
      <c r="C1156" s="7"/>
    </row>
    <row r="1157" spans="1:3" x14ac:dyDescent="0.35">
      <c r="A1157" s="6"/>
      <c r="B1157" s="7"/>
      <c r="C1157" s="7"/>
    </row>
    <row r="1158" spans="1:3" x14ac:dyDescent="0.35">
      <c r="A1158" s="6"/>
      <c r="B1158" s="7"/>
      <c r="C1158" s="7"/>
    </row>
    <row r="1159" spans="1:3" x14ac:dyDescent="0.35">
      <c r="A1159" s="6"/>
      <c r="B1159" s="7"/>
      <c r="C1159" s="7"/>
    </row>
    <row r="1160" spans="1:3" x14ac:dyDescent="0.35">
      <c r="A1160" s="6"/>
      <c r="B1160" s="7"/>
      <c r="C1160" s="7"/>
    </row>
    <row r="1161" spans="1:3" x14ac:dyDescent="0.35">
      <c r="A1161" s="6"/>
      <c r="B1161" s="7"/>
      <c r="C1161" s="7"/>
    </row>
    <row r="1162" spans="1:3" x14ac:dyDescent="0.35">
      <c r="A1162" s="6"/>
      <c r="B1162" s="7"/>
      <c r="C1162" s="7"/>
    </row>
    <row r="1163" spans="1:3" x14ac:dyDescent="0.35">
      <c r="A1163" s="6"/>
      <c r="B1163" s="7"/>
      <c r="C1163" s="7"/>
    </row>
    <row r="1164" spans="1:3" x14ac:dyDescent="0.35">
      <c r="A1164" s="6"/>
      <c r="B1164" s="7"/>
      <c r="C1164" s="7"/>
    </row>
    <row r="1165" spans="1:3" x14ac:dyDescent="0.35">
      <c r="A1165" s="6"/>
      <c r="B1165" s="7"/>
      <c r="C1165" s="7"/>
    </row>
    <row r="1166" spans="1:3" x14ac:dyDescent="0.35">
      <c r="A1166" s="6"/>
      <c r="B1166" s="7"/>
      <c r="C1166" s="7"/>
    </row>
    <row r="1167" spans="1:3" x14ac:dyDescent="0.35">
      <c r="A1167" s="6"/>
      <c r="B1167" s="7"/>
      <c r="C1167" s="7"/>
    </row>
    <row r="1168" spans="1:3" x14ac:dyDescent="0.35">
      <c r="A1168" s="6"/>
      <c r="B1168" s="7"/>
      <c r="C1168" s="7"/>
    </row>
    <row r="1169" spans="1:3" x14ac:dyDescent="0.35">
      <c r="A1169" s="6"/>
      <c r="B1169" s="7"/>
      <c r="C1169" s="7"/>
    </row>
    <row r="1170" spans="1:3" x14ac:dyDescent="0.35">
      <c r="A1170" s="6"/>
      <c r="B1170" s="7"/>
      <c r="C1170" s="7"/>
    </row>
    <row r="1171" spans="1:3" x14ac:dyDescent="0.35">
      <c r="A1171" s="6"/>
      <c r="B1171" s="7"/>
      <c r="C1171" s="7"/>
    </row>
    <row r="1172" spans="1:3" x14ac:dyDescent="0.35">
      <c r="A1172" s="6"/>
      <c r="B1172" s="7"/>
      <c r="C1172" s="7"/>
    </row>
    <row r="1173" spans="1:3" x14ac:dyDescent="0.35">
      <c r="A1173" s="6"/>
      <c r="B1173" s="7"/>
      <c r="C1173" s="7"/>
    </row>
    <row r="1174" spans="1:3" x14ac:dyDescent="0.35">
      <c r="A1174" s="6"/>
      <c r="B1174" s="7"/>
      <c r="C1174" s="7"/>
    </row>
    <row r="1175" spans="1:3" x14ac:dyDescent="0.35">
      <c r="A1175" s="6"/>
      <c r="B1175" s="7"/>
      <c r="C1175" s="7"/>
    </row>
    <row r="1176" spans="1:3" x14ac:dyDescent="0.35">
      <c r="A1176" s="6"/>
      <c r="B1176" s="7"/>
      <c r="C1176" s="7"/>
    </row>
    <row r="1177" spans="1:3" x14ac:dyDescent="0.35">
      <c r="A1177" s="6"/>
      <c r="B1177" s="7"/>
      <c r="C1177" s="7"/>
    </row>
    <row r="1178" spans="1:3" x14ac:dyDescent="0.35">
      <c r="A1178" s="6"/>
      <c r="B1178" s="7"/>
      <c r="C1178" s="7"/>
    </row>
    <row r="1179" spans="1:3" x14ac:dyDescent="0.35">
      <c r="A1179" s="6"/>
      <c r="B1179" s="7"/>
      <c r="C1179" s="7"/>
    </row>
    <row r="1180" spans="1:3" x14ac:dyDescent="0.35">
      <c r="A1180" s="6"/>
      <c r="B1180" s="7"/>
      <c r="C1180" s="7"/>
    </row>
    <row r="1181" spans="1:3" x14ac:dyDescent="0.35">
      <c r="A1181" s="6"/>
      <c r="B1181" s="7"/>
      <c r="C1181" s="7"/>
    </row>
    <row r="1182" spans="1:3" x14ac:dyDescent="0.35">
      <c r="A1182" s="6"/>
      <c r="B1182" s="7"/>
      <c r="C1182" s="7"/>
    </row>
    <row r="1183" spans="1:3" x14ac:dyDescent="0.35">
      <c r="A1183" s="6"/>
      <c r="B1183" s="7"/>
      <c r="C1183" s="7"/>
    </row>
    <row r="1184" spans="1:3" x14ac:dyDescent="0.35">
      <c r="A1184" s="6"/>
      <c r="B1184" s="7"/>
      <c r="C1184" s="7"/>
    </row>
    <row r="1185" spans="1:3" x14ac:dyDescent="0.35">
      <c r="A1185" s="6"/>
      <c r="B1185" s="7"/>
      <c r="C1185" s="7"/>
    </row>
    <row r="1186" spans="1:3" x14ac:dyDescent="0.35">
      <c r="A1186" s="6"/>
      <c r="B1186" s="7"/>
      <c r="C1186" s="7"/>
    </row>
    <row r="1187" spans="1:3" x14ac:dyDescent="0.35">
      <c r="A1187" s="6"/>
      <c r="B1187" s="7"/>
      <c r="C1187" s="7"/>
    </row>
    <row r="1188" spans="1:3" x14ac:dyDescent="0.35">
      <c r="A1188" s="6"/>
      <c r="B1188" s="7"/>
      <c r="C1188" s="7"/>
    </row>
    <row r="1189" spans="1:3" x14ac:dyDescent="0.35">
      <c r="A1189" s="6"/>
      <c r="B1189" s="7"/>
      <c r="C1189" s="7"/>
    </row>
    <row r="1190" spans="1:3" x14ac:dyDescent="0.35">
      <c r="A1190" s="6"/>
      <c r="B1190" s="7"/>
      <c r="C1190" s="7"/>
    </row>
    <row r="1191" spans="1:3" x14ac:dyDescent="0.35">
      <c r="A1191" s="6"/>
      <c r="B1191" s="7"/>
      <c r="C1191" s="7"/>
    </row>
    <row r="1192" spans="1:3" x14ac:dyDescent="0.35">
      <c r="A1192" s="6"/>
      <c r="B1192" s="7"/>
      <c r="C1192" s="7"/>
    </row>
    <row r="1193" spans="1:3" x14ac:dyDescent="0.35">
      <c r="A1193" s="6"/>
      <c r="B1193" s="7"/>
      <c r="C1193" s="7"/>
    </row>
    <row r="1194" spans="1:3" x14ac:dyDescent="0.35">
      <c r="A1194" s="6"/>
      <c r="B1194" s="7"/>
      <c r="C1194" s="7"/>
    </row>
    <row r="1195" spans="1:3" x14ac:dyDescent="0.35">
      <c r="A1195" s="6"/>
      <c r="B1195" s="7"/>
      <c r="C1195" s="7"/>
    </row>
    <row r="1196" spans="1:3" x14ac:dyDescent="0.35">
      <c r="A1196" s="6"/>
      <c r="B1196" s="7"/>
      <c r="C1196" s="7"/>
    </row>
    <row r="1197" spans="1:3" x14ac:dyDescent="0.35">
      <c r="A1197" s="6"/>
      <c r="B1197" s="7"/>
      <c r="C1197" s="7"/>
    </row>
    <row r="1198" spans="1:3" x14ac:dyDescent="0.35">
      <c r="A1198" s="6"/>
      <c r="B1198" s="7"/>
      <c r="C1198" s="7"/>
    </row>
    <row r="1199" spans="1:3" x14ac:dyDescent="0.35">
      <c r="A1199" s="6"/>
      <c r="B1199" s="7"/>
      <c r="C1199" s="7"/>
    </row>
    <row r="1200" spans="1:3" x14ac:dyDescent="0.35">
      <c r="A1200" s="6"/>
      <c r="B1200" s="7"/>
      <c r="C1200" s="7"/>
    </row>
    <row r="1201" spans="1:3" x14ac:dyDescent="0.35">
      <c r="A1201" s="6"/>
      <c r="B1201" s="7"/>
      <c r="C1201" s="7"/>
    </row>
    <row r="1202" spans="1:3" x14ac:dyDescent="0.35">
      <c r="A1202" s="6"/>
      <c r="B1202" s="7"/>
      <c r="C1202" s="7"/>
    </row>
    <row r="1203" spans="1:3" x14ac:dyDescent="0.35">
      <c r="A1203" s="6"/>
      <c r="B1203" s="7"/>
      <c r="C1203" s="7"/>
    </row>
    <row r="1204" spans="1:3" x14ac:dyDescent="0.35">
      <c r="A1204" s="6"/>
      <c r="B1204" s="7"/>
      <c r="C1204" s="7"/>
    </row>
    <row r="1205" spans="1:3" x14ac:dyDescent="0.35">
      <c r="A1205" s="6"/>
      <c r="B1205" s="7"/>
      <c r="C1205" s="7"/>
    </row>
    <row r="1206" spans="1:3" x14ac:dyDescent="0.35">
      <c r="A1206" s="6"/>
      <c r="B1206" s="7"/>
      <c r="C1206" s="7"/>
    </row>
    <row r="1207" spans="1:3" x14ac:dyDescent="0.35">
      <c r="A1207" s="6"/>
      <c r="B1207" s="7"/>
      <c r="C1207" s="7"/>
    </row>
    <row r="1208" spans="1:3" x14ac:dyDescent="0.35">
      <c r="A1208" s="6"/>
      <c r="B1208" s="7"/>
      <c r="C1208" s="7"/>
    </row>
    <row r="1209" spans="1:3" x14ac:dyDescent="0.35">
      <c r="A1209" s="6"/>
      <c r="B1209" s="7"/>
      <c r="C1209" s="7"/>
    </row>
    <row r="1210" spans="1:3" x14ac:dyDescent="0.35">
      <c r="A1210" s="6"/>
      <c r="B1210" s="7"/>
      <c r="C1210" s="7"/>
    </row>
    <row r="1211" spans="1:3" x14ac:dyDescent="0.35">
      <c r="A1211" s="6"/>
      <c r="B1211" s="7"/>
      <c r="C1211" s="7"/>
    </row>
    <row r="1212" spans="1:3" x14ac:dyDescent="0.35">
      <c r="A1212" s="6"/>
      <c r="B1212" s="7"/>
      <c r="C1212" s="7"/>
    </row>
    <row r="1213" spans="1:3" x14ac:dyDescent="0.35">
      <c r="A1213" s="6"/>
      <c r="B1213" s="7"/>
      <c r="C1213" s="7"/>
    </row>
    <row r="1214" spans="1:3" x14ac:dyDescent="0.35">
      <c r="A1214" s="6"/>
      <c r="B1214" s="7"/>
      <c r="C1214" s="7"/>
    </row>
    <row r="1215" spans="1:3" x14ac:dyDescent="0.35">
      <c r="A1215" s="6"/>
      <c r="B1215" s="7"/>
      <c r="C1215" s="7"/>
    </row>
    <row r="1216" spans="1:3" x14ac:dyDescent="0.35">
      <c r="A1216" s="6"/>
      <c r="B1216" s="7"/>
      <c r="C1216" s="7"/>
    </row>
    <row r="1217" spans="1:3" x14ac:dyDescent="0.35">
      <c r="A1217" s="6"/>
      <c r="B1217" s="7"/>
      <c r="C1217" s="7"/>
    </row>
    <row r="1218" spans="1:3" x14ac:dyDescent="0.35">
      <c r="A1218" s="6"/>
      <c r="B1218" s="7"/>
      <c r="C1218" s="7"/>
    </row>
    <row r="1219" spans="1:3" x14ac:dyDescent="0.35">
      <c r="A1219" s="6"/>
      <c r="B1219" s="7"/>
      <c r="C1219" s="7"/>
    </row>
    <row r="1220" spans="1:3" x14ac:dyDescent="0.35">
      <c r="A1220" s="6"/>
      <c r="B1220" s="7"/>
      <c r="C1220" s="7"/>
    </row>
    <row r="1221" spans="1:3" x14ac:dyDescent="0.35">
      <c r="A1221" s="6"/>
      <c r="B1221" s="7"/>
      <c r="C1221" s="7"/>
    </row>
    <row r="1222" spans="1:3" x14ac:dyDescent="0.35">
      <c r="A1222" s="6"/>
      <c r="B1222" s="7"/>
      <c r="C1222" s="7"/>
    </row>
    <row r="1223" spans="1:3" x14ac:dyDescent="0.35">
      <c r="A1223" s="6"/>
      <c r="B1223" s="7"/>
      <c r="C1223" s="7"/>
    </row>
    <row r="1224" spans="1:3" x14ac:dyDescent="0.35">
      <c r="A1224" s="6"/>
      <c r="B1224" s="7"/>
      <c r="C1224" s="7"/>
    </row>
    <row r="1225" spans="1:3" x14ac:dyDescent="0.35">
      <c r="A1225" s="6"/>
      <c r="B1225" s="7"/>
      <c r="C1225" s="7"/>
    </row>
    <row r="1226" spans="1:3" x14ac:dyDescent="0.35">
      <c r="A1226" s="6"/>
      <c r="B1226" s="7"/>
      <c r="C1226" s="7"/>
    </row>
    <row r="1227" spans="1:3" x14ac:dyDescent="0.35">
      <c r="A1227" s="6"/>
      <c r="B1227" s="7"/>
      <c r="C1227" s="7"/>
    </row>
    <row r="1228" spans="1:3" x14ac:dyDescent="0.35">
      <c r="A1228" s="6"/>
      <c r="B1228" s="7"/>
      <c r="C1228" s="7"/>
    </row>
    <row r="1229" spans="1:3" x14ac:dyDescent="0.35">
      <c r="A1229" s="6"/>
      <c r="B1229" s="7"/>
      <c r="C1229" s="7"/>
    </row>
    <row r="1230" spans="1:3" x14ac:dyDescent="0.35">
      <c r="A1230" s="6"/>
      <c r="B1230" s="7"/>
      <c r="C1230" s="7"/>
    </row>
    <row r="1231" spans="1:3" x14ac:dyDescent="0.35">
      <c r="A1231" s="6"/>
      <c r="B1231" s="7"/>
      <c r="C1231" s="7"/>
    </row>
    <row r="1232" spans="1:3" x14ac:dyDescent="0.35">
      <c r="A1232" s="6"/>
      <c r="B1232" s="7"/>
      <c r="C1232" s="7"/>
    </row>
    <row r="1233" spans="1:3" x14ac:dyDescent="0.35">
      <c r="A1233" s="6"/>
      <c r="B1233" s="7"/>
      <c r="C1233" s="7"/>
    </row>
    <row r="1234" spans="1:3" x14ac:dyDescent="0.35">
      <c r="A1234" s="6"/>
      <c r="B1234" s="7"/>
      <c r="C1234" s="7"/>
    </row>
    <row r="1235" spans="1:3" x14ac:dyDescent="0.35">
      <c r="A1235" s="6"/>
      <c r="B1235" s="7"/>
      <c r="C1235" s="7"/>
    </row>
    <row r="1236" spans="1:3" x14ac:dyDescent="0.35">
      <c r="A1236" s="6"/>
      <c r="B1236" s="7"/>
      <c r="C1236" s="7"/>
    </row>
    <row r="1237" spans="1:3" x14ac:dyDescent="0.35">
      <c r="A1237" s="6"/>
      <c r="B1237" s="7"/>
      <c r="C1237" s="7"/>
    </row>
    <row r="1238" spans="1:3" x14ac:dyDescent="0.35">
      <c r="A1238" s="6"/>
      <c r="B1238" s="7"/>
      <c r="C1238" s="7"/>
    </row>
    <row r="1239" spans="1:3" x14ac:dyDescent="0.35">
      <c r="A1239" s="6"/>
      <c r="B1239" s="7"/>
      <c r="C1239" s="7"/>
    </row>
    <row r="1240" spans="1:3" x14ac:dyDescent="0.35">
      <c r="A1240" s="6"/>
      <c r="B1240" s="7"/>
      <c r="C1240" s="7"/>
    </row>
    <row r="1241" spans="1:3" x14ac:dyDescent="0.35">
      <c r="A1241" s="6"/>
      <c r="B1241" s="7"/>
      <c r="C1241" s="7"/>
    </row>
    <row r="1242" spans="1:3" x14ac:dyDescent="0.35">
      <c r="A1242" s="6"/>
      <c r="B1242" s="7"/>
      <c r="C1242" s="7"/>
    </row>
    <row r="1243" spans="1:3" x14ac:dyDescent="0.35">
      <c r="A1243" s="6"/>
      <c r="B1243" s="7"/>
      <c r="C1243" s="7"/>
    </row>
    <row r="1244" spans="1:3" x14ac:dyDescent="0.35">
      <c r="A1244" s="6"/>
      <c r="B1244" s="7"/>
      <c r="C1244" s="7"/>
    </row>
    <row r="1245" spans="1:3" x14ac:dyDescent="0.35">
      <c r="A1245" s="6"/>
      <c r="B1245" s="7"/>
      <c r="C1245" s="7"/>
    </row>
    <row r="1246" spans="1:3" x14ac:dyDescent="0.35">
      <c r="A1246" s="6"/>
      <c r="B1246" s="7"/>
      <c r="C1246" s="7"/>
    </row>
    <row r="1247" spans="1:3" x14ac:dyDescent="0.35">
      <c r="A1247" s="6"/>
      <c r="B1247" s="7"/>
      <c r="C1247" s="7"/>
    </row>
    <row r="1248" spans="1:3" x14ac:dyDescent="0.35">
      <c r="A1248" s="6"/>
      <c r="B1248" s="7"/>
      <c r="C1248" s="7"/>
    </row>
    <row r="1249" spans="1:3" x14ac:dyDescent="0.35">
      <c r="A1249" s="6"/>
      <c r="B1249" s="7"/>
      <c r="C1249" s="7"/>
    </row>
    <row r="1250" spans="1:3" x14ac:dyDescent="0.35">
      <c r="A1250" s="6"/>
      <c r="B1250" s="7"/>
      <c r="C1250" s="7"/>
    </row>
    <row r="1251" spans="1:3" x14ac:dyDescent="0.35">
      <c r="A1251" s="6"/>
      <c r="B1251" s="7"/>
      <c r="C1251" s="7"/>
    </row>
    <row r="1252" spans="1:3" x14ac:dyDescent="0.35">
      <c r="A1252" s="6"/>
      <c r="B1252" s="7"/>
      <c r="C1252" s="7"/>
    </row>
    <row r="1253" spans="1:3" x14ac:dyDescent="0.35">
      <c r="A1253" s="6"/>
      <c r="B1253" s="7"/>
      <c r="C1253" s="7"/>
    </row>
    <row r="1254" spans="1:3" x14ac:dyDescent="0.35">
      <c r="A1254" s="6"/>
      <c r="B1254" s="7"/>
      <c r="C1254" s="7"/>
    </row>
    <row r="1255" spans="1:3" x14ac:dyDescent="0.35">
      <c r="A1255" s="6"/>
      <c r="B1255" s="7"/>
      <c r="C1255" s="7"/>
    </row>
    <row r="1256" spans="1:3" x14ac:dyDescent="0.35">
      <c r="A1256" s="6"/>
      <c r="B1256" s="7"/>
      <c r="C1256" s="7"/>
    </row>
    <row r="1257" spans="1:3" x14ac:dyDescent="0.35">
      <c r="A1257" s="6"/>
      <c r="B1257" s="7"/>
      <c r="C1257" s="7"/>
    </row>
    <row r="1258" spans="1:3" x14ac:dyDescent="0.35">
      <c r="A1258" s="6"/>
      <c r="B1258" s="7"/>
      <c r="C1258" s="7"/>
    </row>
    <row r="1259" spans="1:3" x14ac:dyDescent="0.35">
      <c r="A1259" s="6"/>
      <c r="B1259" s="7"/>
      <c r="C1259" s="7"/>
    </row>
    <row r="1260" spans="1:3" x14ac:dyDescent="0.35">
      <c r="A1260" s="6"/>
      <c r="B1260" s="7"/>
      <c r="C1260" s="7"/>
    </row>
    <row r="1261" spans="1:3" x14ac:dyDescent="0.35">
      <c r="A1261" s="6"/>
      <c r="B1261" s="7"/>
      <c r="C1261" s="7"/>
    </row>
    <row r="1262" spans="1:3" x14ac:dyDescent="0.35">
      <c r="A1262" s="6"/>
      <c r="B1262" s="7"/>
      <c r="C1262" s="7"/>
    </row>
    <row r="1263" spans="1:3" x14ac:dyDescent="0.35">
      <c r="A1263" s="6"/>
      <c r="B1263" s="7"/>
      <c r="C1263" s="7"/>
    </row>
    <row r="1264" spans="1:3" x14ac:dyDescent="0.35">
      <c r="A1264" s="6"/>
      <c r="B1264" s="7"/>
      <c r="C1264" s="7"/>
    </row>
    <row r="1265" spans="1:3" x14ac:dyDescent="0.35">
      <c r="A1265" s="6"/>
      <c r="B1265" s="7"/>
      <c r="C1265" s="7"/>
    </row>
    <row r="1266" spans="1:3" x14ac:dyDescent="0.35">
      <c r="A1266" s="6"/>
      <c r="B1266" s="7"/>
      <c r="C1266" s="7"/>
    </row>
    <row r="1267" spans="1:3" x14ac:dyDescent="0.35">
      <c r="A1267" s="6"/>
      <c r="B1267" s="7"/>
      <c r="C1267" s="7"/>
    </row>
    <row r="1268" spans="1:3" x14ac:dyDescent="0.35">
      <c r="A1268" s="6"/>
      <c r="B1268" s="7"/>
      <c r="C1268" s="7"/>
    </row>
    <row r="1269" spans="1:3" x14ac:dyDescent="0.35">
      <c r="A1269" s="6"/>
      <c r="B1269" s="7"/>
      <c r="C1269" s="7"/>
    </row>
    <row r="1270" spans="1:3" x14ac:dyDescent="0.35">
      <c r="A1270" s="6"/>
      <c r="B1270" s="7"/>
      <c r="C1270" s="7"/>
    </row>
    <row r="1271" spans="1:3" x14ac:dyDescent="0.35">
      <c r="A1271" s="6"/>
      <c r="B1271" s="7"/>
      <c r="C1271" s="7"/>
    </row>
    <row r="1272" spans="1:3" x14ac:dyDescent="0.35">
      <c r="A1272" s="6"/>
      <c r="B1272" s="7"/>
      <c r="C1272" s="7"/>
    </row>
    <row r="1273" spans="1:3" x14ac:dyDescent="0.35">
      <c r="A1273" s="6"/>
      <c r="B1273" s="7"/>
      <c r="C1273" s="7"/>
    </row>
    <row r="1274" spans="1:3" x14ac:dyDescent="0.35">
      <c r="A1274" s="6"/>
      <c r="B1274" s="7"/>
      <c r="C1274" s="7"/>
    </row>
    <row r="1275" spans="1:3" x14ac:dyDescent="0.35">
      <c r="A1275" s="6"/>
      <c r="B1275" s="7"/>
      <c r="C1275" s="7"/>
    </row>
    <row r="1276" spans="1:3" x14ac:dyDescent="0.35">
      <c r="A1276" s="6"/>
      <c r="B1276" s="7"/>
      <c r="C1276" s="7"/>
    </row>
    <row r="1277" spans="1:3" x14ac:dyDescent="0.35">
      <c r="A1277" s="6"/>
      <c r="B1277" s="7"/>
      <c r="C1277" s="7"/>
    </row>
    <row r="1278" spans="1:3" x14ac:dyDescent="0.35">
      <c r="A1278" s="6"/>
      <c r="B1278" s="7"/>
      <c r="C1278" s="7"/>
    </row>
    <row r="1279" spans="1:3" x14ac:dyDescent="0.35">
      <c r="A1279" s="6"/>
      <c r="B1279" s="7"/>
      <c r="C1279" s="7"/>
    </row>
    <row r="1280" spans="1:3" x14ac:dyDescent="0.35">
      <c r="A1280" s="6"/>
      <c r="B1280" s="7"/>
      <c r="C1280" s="7"/>
    </row>
    <row r="1281" spans="1:3" x14ac:dyDescent="0.35">
      <c r="A1281" s="6"/>
      <c r="B1281" s="7"/>
      <c r="C1281" s="7"/>
    </row>
    <row r="1282" spans="1:3" x14ac:dyDescent="0.35">
      <c r="A1282" s="6"/>
      <c r="B1282" s="7"/>
      <c r="C1282" s="7"/>
    </row>
    <row r="1283" spans="1:3" x14ac:dyDescent="0.35">
      <c r="A1283" s="6"/>
      <c r="B1283" s="7"/>
      <c r="C1283" s="7"/>
    </row>
    <row r="1284" spans="1:3" x14ac:dyDescent="0.35">
      <c r="A1284" s="6"/>
      <c r="B1284" s="7"/>
      <c r="C1284" s="7"/>
    </row>
    <row r="1285" spans="1:3" x14ac:dyDescent="0.35">
      <c r="A1285" s="6"/>
      <c r="B1285" s="7"/>
      <c r="C1285" s="7"/>
    </row>
    <row r="1286" spans="1:3" x14ac:dyDescent="0.35">
      <c r="A1286" s="6"/>
      <c r="B1286" s="7"/>
      <c r="C1286" s="7"/>
    </row>
    <row r="1287" spans="1:3" x14ac:dyDescent="0.35">
      <c r="A1287" s="6"/>
      <c r="B1287" s="7"/>
      <c r="C1287" s="7"/>
    </row>
    <row r="1288" spans="1:3" x14ac:dyDescent="0.35">
      <c r="A1288" s="6"/>
      <c r="B1288" s="7"/>
      <c r="C1288" s="7"/>
    </row>
    <row r="1289" spans="1:3" x14ac:dyDescent="0.35">
      <c r="A1289" s="6"/>
      <c r="B1289" s="7"/>
      <c r="C1289" s="7"/>
    </row>
    <row r="1290" spans="1:3" x14ac:dyDescent="0.35">
      <c r="A1290" s="6"/>
      <c r="B1290" s="7"/>
      <c r="C1290" s="7"/>
    </row>
    <row r="1291" spans="1:3" x14ac:dyDescent="0.35">
      <c r="A1291" s="6"/>
      <c r="B1291" s="7"/>
      <c r="C1291" s="7"/>
    </row>
    <row r="1292" spans="1:3" x14ac:dyDescent="0.35">
      <c r="A1292" s="6"/>
      <c r="B1292" s="7"/>
      <c r="C1292" s="7"/>
    </row>
    <row r="1293" spans="1:3" x14ac:dyDescent="0.35">
      <c r="A1293" s="6"/>
      <c r="B1293" s="7"/>
      <c r="C1293" s="7"/>
    </row>
    <row r="1294" spans="1:3" x14ac:dyDescent="0.35">
      <c r="A1294" s="6"/>
      <c r="B1294" s="7"/>
      <c r="C1294" s="7"/>
    </row>
    <row r="1295" spans="1:3" x14ac:dyDescent="0.35">
      <c r="A1295" s="6"/>
      <c r="B1295" s="7"/>
      <c r="C1295" s="7"/>
    </row>
    <row r="1296" spans="1:3" x14ac:dyDescent="0.35">
      <c r="A1296" s="6"/>
      <c r="B1296" s="7"/>
      <c r="C1296" s="7"/>
    </row>
    <row r="1297" spans="1:3" x14ac:dyDescent="0.35">
      <c r="A1297" s="6"/>
      <c r="B1297" s="7"/>
      <c r="C1297" s="7"/>
    </row>
    <row r="1298" spans="1:3" x14ac:dyDescent="0.35">
      <c r="A1298" s="6"/>
      <c r="B1298" s="7"/>
      <c r="C1298" s="7"/>
    </row>
    <row r="1299" spans="1:3" x14ac:dyDescent="0.35">
      <c r="A1299" s="6"/>
      <c r="B1299" s="7"/>
      <c r="C1299" s="7"/>
    </row>
    <row r="1300" spans="1:3" x14ac:dyDescent="0.35">
      <c r="A1300" s="6"/>
      <c r="B1300" s="7"/>
      <c r="C1300" s="7"/>
    </row>
    <row r="1301" spans="1:3" x14ac:dyDescent="0.35">
      <c r="A1301" s="6"/>
      <c r="B1301" s="7"/>
      <c r="C1301" s="7"/>
    </row>
    <row r="1302" spans="1:3" x14ac:dyDescent="0.35">
      <c r="A1302" s="6"/>
      <c r="B1302" s="7"/>
      <c r="C1302" s="7"/>
    </row>
    <row r="1303" spans="1:3" x14ac:dyDescent="0.35">
      <c r="A1303" s="6"/>
      <c r="B1303" s="7"/>
      <c r="C1303" s="7"/>
    </row>
    <row r="1304" spans="1:3" x14ac:dyDescent="0.35">
      <c r="A1304" s="6"/>
      <c r="B1304" s="7"/>
      <c r="C1304" s="7"/>
    </row>
    <row r="1305" spans="1:3" x14ac:dyDescent="0.35">
      <c r="A1305" s="6"/>
      <c r="B1305" s="7"/>
      <c r="C1305" s="7"/>
    </row>
    <row r="1306" spans="1:3" x14ac:dyDescent="0.35">
      <c r="A1306" s="6"/>
      <c r="B1306" s="7"/>
      <c r="C1306" s="7"/>
    </row>
    <row r="1307" spans="1:3" x14ac:dyDescent="0.35">
      <c r="A1307" s="6"/>
      <c r="B1307" s="7"/>
      <c r="C1307" s="7"/>
    </row>
    <row r="1308" spans="1:3" x14ac:dyDescent="0.35">
      <c r="A1308" s="6"/>
      <c r="B1308" s="7"/>
      <c r="C1308" s="7"/>
    </row>
    <row r="1309" spans="1:3" x14ac:dyDescent="0.35">
      <c r="A1309" s="6"/>
      <c r="B1309" s="7"/>
      <c r="C1309" s="7"/>
    </row>
    <row r="1310" spans="1:3" x14ac:dyDescent="0.35">
      <c r="A1310" s="6"/>
      <c r="B1310" s="7"/>
      <c r="C1310" s="7"/>
    </row>
    <row r="1311" spans="1:3" x14ac:dyDescent="0.35">
      <c r="A1311" s="6"/>
      <c r="B1311" s="7"/>
      <c r="C1311" s="7"/>
    </row>
    <row r="1312" spans="1:3" x14ac:dyDescent="0.35">
      <c r="A1312" s="6"/>
      <c r="B1312" s="7"/>
      <c r="C1312" s="7"/>
    </row>
    <row r="1313" spans="1:3" x14ac:dyDescent="0.35">
      <c r="A1313" s="6"/>
      <c r="B1313" s="7"/>
      <c r="C1313" s="7"/>
    </row>
    <row r="1314" spans="1:3" x14ac:dyDescent="0.35">
      <c r="A1314" s="6"/>
      <c r="B1314" s="7"/>
      <c r="C1314" s="7"/>
    </row>
    <row r="1315" spans="1:3" x14ac:dyDescent="0.35">
      <c r="A1315" s="6"/>
      <c r="B1315" s="7"/>
      <c r="C1315" s="7"/>
    </row>
    <row r="1316" spans="1:3" x14ac:dyDescent="0.35">
      <c r="A1316" s="6"/>
      <c r="B1316" s="7"/>
      <c r="C1316" s="7"/>
    </row>
    <row r="1317" spans="1:3" x14ac:dyDescent="0.35">
      <c r="A1317" s="6"/>
      <c r="B1317" s="7"/>
      <c r="C1317" s="7"/>
    </row>
    <row r="1318" spans="1:3" x14ac:dyDescent="0.35">
      <c r="A1318" s="6"/>
      <c r="B1318" s="7"/>
      <c r="C1318" s="7"/>
    </row>
    <row r="1319" spans="1:3" x14ac:dyDescent="0.35">
      <c r="A1319" s="6"/>
      <c r="B1319" s="7"/>
      <c r="C1319" s="7"/>
    </row>
    <row r="1320" spans="1:3" x14ac:dyDescent="0.35">
      <c r="A1320" s="6"/>
      <c r="B1320" s="7"/>
      <c r="C1320" s="7"/>
    </row>
    <row r="1321" spans="1:3" x14ac:dyDescent="0.35">
      <c r="A1321" s="6"/>
      <c r="B1321" s="7"/>
      <c r="C1321" s="7"/>
    </row>
    <row r="1322" spans="1:3" x14ac:dyDescent="0.35">
      <c r="A1322" s="6"/>
      <c r="B1322" s="7"/>
      <c r="C1322" s="7"/>
    </row>
    <row r="1323" spans="1:3" x14ac:dyDescent="0.35">
      <c r="A1323" s="6"/>
      <c r="B1323" s="7"/>
      <c r="C1323" s="7"/>
    </row>
    <row r="1324" spans="1:3" x14ac:dyDescent="0.35">
      <c r="A1324" s="6"/>
      <c r="B1324" s="7"/>
      <c r="C1324" s="7"/>
    </row>
    <row r="1325" spans="1:3" x14ac:dyDescent="0.35">
      <c r="A1325" s="6"/>
      <c r="B1325" s="7"/>
      <c r="C1325" s="7"/>
    </row>
    <row r="1326" spans="1:3" x14ac:dyDescent="0.35">
      <c r="A1326" s="6"/>
      <c r="B1326" s="7"/>
      <c r="C1326" s="7"/>
    </row>
    <row r="1327" spans="1:3" x14ac:dyDescent="0.35">
      <c r="A1327" s="6"/>
      <c r="B1327" s="7"/>
      <c r="C1327" s="7"/>
    </row>
    <row r="1328" spans="1:3" x14ac:dyDescent="0.35">
      <c r="A1328" s="6"/>
      <c r="B1328" s="7"/>
      <c r="C1328" s="7"/>
    </row>
    <row r="1329" spans="1:3" x14ac:dyDescent="0.35">
      <c r="A1329" s="6"/>
      <c r="B1329" s="7"/>
      <c r="C1329" s="7"/>
    </row>
    <row r="1330" spans="1:3" x14ac:dyDescent="0.35">
      <c r="A1330" s="6"/>
      <c r="B1330" s="7"/>
      <c r="C1330" s="7"/>
    </row>
    <row r="1331" spans="1:3" x14ac:dyDescent="0.35">
      <c r="A1331" s="6"/>
      <c r="B1331" s="7"/>
      <c r="C1331" s="7"/>
    </row>
    <row r="1332" spans="1:3" x14ac:dyDescent="0.35">
      <c r="A1332" s="6"/>
      <c r="B1332" s="7"/>
      <c r="C1332" s="7"/>
    </row>
    <row r="1333" spans="1:3" x14ac:dyDescent="0.35">
      <c r="A1333" s="6"/>
      <c r="B1333" s="7"/>
      <c r="C1333" s="7"/>
    </row>
    <row r="1334" spans="1:3" x14ac:dyDescent="0.35">
      <c r="A1334" s="6"/>
      <c r="B1334" s="7"/>
      <c r="C1334" s="7"/>
    </row>
    <row r="1335" spans="1:3" x14ac:dyDescent="0.35">
      <c r="A1335" s="6"/>
      <c r="B1335" s="7"/>
      <c r="C1335" s="7"/>
    </row>
    <row r="1336" spans="1:3" x14ac:dyDescent="0.35">
      <c r="A1336" s="6"/>
      <c r="B1336" s="7"/>
      <c r="C1336" s="7"/>
    </row>
    <row r="1337" spans="1:3" x14ac:dyDescent="0.35">
      <c r="A1337" s="6"/>
      <c r="B1337" s="7"/>
      <c r="C1337" s="7"/>
    </row>
    <row r="1338" spans="1:3" x14ac:dyDescent="0.35">
      <c r="A1338" s="6"/>
      <c r="B1338" s="7"/>
      <c r="C1338" s="7"/>
    </row>
    <row r="1339" spans="1:3" x14ac:dyDescent="0.35">
      <c r="A1339" s="6"/>
      <c r="B1339" s="7"/>
      <c r="C1339" s="7"/>
    </row>
    <row r="1340" spans="1:3" x14ac:dyDescent="0.35">
      <c r="A1340" s="6"/>
      <c r="B1340" s="7"/>
      <c r="C1340" s="7"/>
    </row>
    <row r="1341" spans="1:3" x14ac:dyDescent="0.35">
      <c r="A1341" s="6"/>
      <c r="B1341" s="7"/>
      <c r="C1341" s="7"/>
    </row>
    <row r="1342" spans="1:3" x14ac:dyDescent="0.35">
      <c r="A1342" s="6"/>
      <c r="B1342" s="7"/>
      <c r="C1342" s="7"/>
    </row>
    <row r="1343" spans="1:3" x14ac:dyDescent="0.35">
      <c r="A1343" s="6"/>
      <c r="B1343" s="7"/>
      <c r="C1343" s="7"/>
    </row>
    <row r="1344" spans="1:3" x14ac:dyDescent="0.35">
      <c r="A1344" s="6"/>
      <c r="B1344" s="7"/>
      <c r="C1344" s="7"/>
    </row>
    <row r="1345" spans="1:3" x14ac:dyDescent="0.35">
      <c r="A1345" s="6"/>
      <c r="B1345" s="7"/>
      <c r="C1345" s="7"/>
    </row>
    <row r="1346" spans="1:3" x14ac:dyDescent="0.35">
      <c r="A1346" s="6"/>
      <c r="B1346" s="7"/>
      <c r="C1346" s="7"/>
    </row>
    <row r="1347" spans="1:3" x14ac:dyDescent="0.35">
      <c r="A1347" s="6"/>
      <c r="B1347" s="7"/>
      <c r="C1347" s="7"/>
    </row>
    <row r="1348" spans="1:3" x14ac:dyDescent="0.35">
      <c r="A1348" s="6"/>
      <c r="B1348" s="7"/>
      <c r="C1348" s="7"/>
    </row>
    <row r="1349" spans="1:3" x14ac:dyDescent="0.35">
      <c r="A1349" s="6"/>
      <c r="B1349" s="7"/>
      <c r="C1349" s="7"/>
    </row>
    <row r="1350" spans="1:3" x14ac:dyDescent="0.35">
      <c r="A1350" s="6"/>
      <c r="B1350" s="7"/>
      <c r="C1350" s="7"/>
    </row>
    <row r="1351" spans="1:3" x14ac:dyDescent="0.35">
      <c r="A1351" s="6"/>
      <c r="B1351" s="7"/>
      <c r="C1351" s="7"/>
    </row>
    <row r="1352" spans="1:3" x14ac:dyDescent="0.35">
      <c r="A1352" s="6"/>
      <c r="B1352" s="7"/>
      <c r="C1352" s="7"/>
    </row>
    <row r="1353" spans="1:3" x14ac:dyDescent="0.35">
      <c r="A1353" s="6"/>
      <c r="B1353" s="7"/>
      <c r="C1353" s="7"/>
    </row>
    <row r="1354" spans="1:3" x14ac:dyDescent="0.35">
      <c r="A1354" s="6"/>
      <c r="B1354" s="7"/>
      <c r="C1354" s="7"/>
    </row>
    <row r="1355" spans="1:3" x14ac:dyDescent="0.35">
      <c r="A1355" s="6"/>
      <c r="B1355" s="7"/>
      <c r="C1355" s="7"/>
    </row>
    <row r="1356" spans="1:3" x14ac:dyDescent="0.35">
      <c r="A1356" s="6"/>
      <c r="B1356" s="7"/>
      <c r="C1356" s="7"/>
    </row>
    <row r="1357" spans="1:3" x14ac:dyDescent="0.35">
      <c r="A1357" s="6"/>
      <c r="B1357" s="7"/>
      <c r="C1357" s="7"/>
    </row>
    <row r="1358" spans="1:3" x14ac:dyDescent="0.35">
      <c r="A1358" s="6"/>
      <c r="B1358" s="7"/>
      <c r="C1358" s="7"/>
    </row>
    <row r="1359" spans="1:3" x14ac:dyDescent="0.35">
      <c r="A1359" s="6"/>
      <c r="B1359" s="7"/>
      <c r="C1359" s="7"/>
    </row>
    <row r="1360" spans="1:3" x14ac:dyDescent="0.35">
      <c r="A1360" s="6"/>
      <c r="B1360" s="7"/>
      <c r="C1360" s="7"/>
    </row>
    <row r="1361" spans="1:3" x14ac:dyDescent="0.35">
      <c r="A1361" s="6"/>
      <c r="B1361" s="7"/>
      <c r="C1361" s="7"/>
    </row>
    <row r="1362" spans="1:3" x14ac:dyDescent="0.35">
      <c r="A1362" s="6"/>
      <c r="B1362" s="7"/>
      <c r="C1362" s="7"/>
    </row>
    <row r="1363" spans="1:3" x14ac:dyDescent="0.35">
      <c r="A1363" s="6"/>
      <c r="B1363" s="7"/>
      <c r="C1363" s="7"/>
    </row>
    <row r="1364" spans="1:3" x14ac:dyDescent="0.35">
      <c r="A1364" s="6"/>
      <c r="B1364" s="7"/>
      <c r="C1364" s="7"/>
    </row>
    <row r="1365" spans="1:3" x14ac:dyDescent="0.35">
      <c r="A1365" s="6"/>
      <c r="B1365" s="7"/>
      <c r="C1365" s="7"/>
    </row>
    <row r="1366" spans="1:3" x14ac:dyDescent="0.35">
      <c r="A1366" s="6"/>
      <c r="B1366" s="7"/>
      <c r="C1366" s="7"/>
    </row>
    <row r="1367" spans="1:3" x14ac:dyDescent="0.35">
      <c r="A1367" s="6"/>
      <c r="B1367" s="7"/>
      <c r="C1367" s="7"/>
    </row>
    <row r="1368" spans="1:3" x14ac:dyDescent="0.35">
      <c r="A1368" s="6"/>
      <c r="B1368" s="7"/>
      <c r="C1368" s="7"/>
    </row>
    <row r="1369" spans="1:3" x14ac:dyDescent="0.35">
      <c r="A1369" s="6"/>
      <c r="B1369" s="7"/>
      <c r="C1369" s="7"/>
    </row>
    <row r="1370" spans="1:3" x14ac:dyDescent="0.35">
      <c r="A1370" s="6"/>
      <c r="B1370" s="7"/>
      <c r="C1370" s="7"/>
    </row>
    <row r="1371" spans="1:3" x14ac:dyDescent="0.35">
      <c r="A1371" s="6"/>
      <c r="B1371" s="7"/>
      <c r="C1371" s="7"/>
    </row>
    <row r="1372" spans="1:3" x14ac:dyDescent="0.35">
      <c r="A1372" s="6"/>
      <c r="B1372" s="7"/>
      <c r="C1372" s="7"/>
    </row>
    <row r="1373" spans="1:3" x14ac:dyDescent="0.35">
      <c r="A1373" s="6"/>
      <c r="B1373" s="7"/>
      <c r="C1373" s="7"/>
    </row>
    <row r="1374" spans="1:3" x14ac:dyDescent="0.35">
      <c r="A1374" s="6"/>
      <c r="B1374" s="7"/>
      <c r="C1374" s="7"/>
    </row>
    <row r="1375" spans="1:3" x14ac:dyDescent="0.35">
      <c r="A1375" s="6"/>
      <c r="B1375" s="7"/>
      <c r="C1375" s="7"/>
    </row>
    <row r="1376" spans="1:3" x14ac:dyDescent="0.35">
      <c r="A1376" s="6"/>
      <c r="B1376" s="7"/>
      <c r="C1376" s="7"/>
    </row>
    <row r="1377" spans="1:3" x14ac:dyDescent="0.35">
      <c r="A1377" s="6"/>
      <c r="B1377" s="7"/>
      <c r="C1377" s="7"/>
    </row>
    <row r="1378" spans="1:3" x14ac:dyDescent="0.35">
      <c r="A1378" s="6"/>
      <c r="B1378" s="7"/>
      <c r="C1378" s="7"/>
    </row>
    <row r="1379" spans="1:3" x14ac:dyDescent="0.35">
      <c r="A1379" s="6"/>
      <c r="B1379" s="7"/>
      <c r="C1379" s="7"/>
    </row>
    <row r="1380" spans="1:3" x14ac:dyDescent="0.35">
      <c r="A1380" s="6"/>
      <c r="B1380" s="7"/>
      <c r="C1380" s="7"/>
    </row>
    <row r="1381" spans="1:3" x14ac:dyDescent="0.35">
      <c r="A1381" s="6"/>
      <c r="B1381" s="7"/>
      <c r="C1381" s="7"/>
    </row>
    <row r="1382" spans="1:3" x14ac:dyDescent="0.35">
      <c r="A1382" s="6"/>
      <c r="B1382" s="7"/>
      <c r="C1382" s="7"/>
    </row>
    <row r="1383" spans="1:3" x14ac:dyDescent="0.35">
      <c r="A1383" s="6"/>
      <c r="B1383" s="7"/>
      <c r="C1383" s="7"/>
    </row>
    <row r="1384" spans="1:3" x14ac:dyDescent="0.35">
      <c r="A1384" s="6"/>
      <c r="B1384" s="7"/>
      <c r="C1384" s="7"/>
    </row>
    <row r="1385" spans="1:3" x14ac:dyDescent="0.35">
      <c r="A1385" s="6"/>
      <c r="B1385" s="7"/>
      <c r="C1385" s="7"/>
    </row>
    <row r="1386" spans="1:3" x14ac:dyDescent="0.35">
      <c r="A1386" s="6"/>
      <c r="B1386" s="7"/>
      <c r="C1386" s="7"/>
    </row>
    <row r="1387" spans="1:3" x14ac:dyDescent="0.35">
      <c r="A1387" s="6"/>
      <c r="B1387" s="7"/>
      <c r="C1387" s="7"/>
    </row>
    <row r="1388" spans="1:3" x14ac:dyDescent="0.35">
      <c r="A1388" s="6"/>
      <c r="B1388" s="7"/>
      <c r="C1388" s="7"/>
    </row>
    <row r="1389" spans="1:3" x14ac:dyDescent="0.35">
      <c r="A1389" s="6"/>
      <c r="B1389" s="7"/>
      <c r="C1389" s="7"/>
    </row>
    <row r="1390" spans="1:3" x14ac:dyDescent="0.35">
      <c r="A1390" s="6"/>
      <c r="B1390" s="7"/>
      <c r="C1390" s="7"/>
    </row>
    <row r="1391" spans="1:3" x14ac:dyDescent="0.35">
      <c r="A1391" s="6"/>
      <c r="B1391" s="7"/>
      <c r="C1391" s="7"/>
    </row>
    <row r="1392" spans="1:3" x14ac:dyDescent="0.35">
      <c r="A1392" s="6"/>
      <c r="B1392" s="7"/>
      <c r="C1392" s="7"/>
    </row>
    <row r="1393" spans="1:3" x14ac:dyDescent="0.35">
      <c r="A1393" s="6"/>
      <c r="B1393" s="7"/>
      <c r="C1393" s="7"/>
    </row>
    <row r="1394" spans="1:3" x14ac:dyDescent="0.35">
      <c r="A1394" s="6"/>
      <c r="B1394" s="7"/>
      <c r="C1394" s="7"/>
    </row>
    <row r="1395" spans="1:3" x14ac:dyDescent="0.35">
      <c r="A1395" s="6"/>
      <c r="B1395" s="7"/>
      <c r="C1395" s="7"/>
    </row>
    <row r="1396" spans="1:3" x14ac:dyDescent="0.35">
      <c r="A1396" s="6"/>
      <c r="B1396" s="7"/>
      <c r="C1396" s="7"/>
    </row>
    <row r="1397" spans="1:3" x14ac:dyDescent="0.35">
      <c r="A1397" s="6"/>
      <c r="B1397" s="7"/>
      <c r="C1397" s="7"/>
    </row>
    <row r="1398" spans="1:3" x14ac:dyDescent="0.35">
      <c r="A1398" s="6"/>
      <c r="B1398" s="7"/>
      <c r="C1398" s="7"/>
    </row>
    <row r="1399" spans="1:3" x14ac:dyDescent="0.35">
      <c r="A1399" s="6"/>
      <c r="B1399" s="7"/>
      <c r="C1399" s="7"/>
    </row>
    <row r="1400" spans="1:3" x14ac:dyDescent="0.35">
      <c r="A1400" s="6"/>
      <c r="B1400" s="7"/>
      <c r="C1400" s="7"/>
    </row>
    <row r="1401" spans="1:3" x14ac:dyDescent="0.35">
      <c r="A1401" s="6"/>
      <c r="B1401" s="7"/>
      <c r="C1401" s="7"/>
    </row>
    <row r="1402" spans="1:3" x14ac:dyDescent="0.35">
      <c r="A1402" s="6"/>
      <c r="B1402" s="7"/>
      <c r="C1402" s="7"/>
    </row>
    <row r="1403" spans="1:3" x14ac:dyDescent="0.35">
      <c r="A1403" s="6"/>
      <c r="B1403" s="7"/>
      <c r="C1403" s="7"/>
    </row>
    <row r="1404" spans="1:3" x14ac:dyDescent="0.35">
      <c r="A1404" s="6"/>
      <c r="B1404" s="7"/>
      <c r="C1404" s="7"/>
    </row>
    <row r="1405" spans="1:3" x14ac:dyDescent="0.35">
      <c r="A1405" s="6"/>
      <c r="B1405" s="7"/>
      <c r="C1405" s="7"/>
    </row>
    <row r="1406" spans="1:3" x14ac:dyDescent="0.35">
      <c r="A1406" s="6"/>
      <c r="B1406" s="7"/>
      <c r="C1406" s="7"/>
    </row>
    <row r="1407" spans="1:3" x14ac:dyDescent="0.35">
      <c r="A1407" s="6"/>
      <c r="B1407" s="7"/>
      <c r="C1407" s="7"/>
    </row>
    <row r="1408" spans="1:3" x14ac:dyDescent="0.35">
      <c r="A1408" s="6"/>
      <c r="B1408" s="7"/>
      <c r="C1408" s="7"/>
    </row>
    <row r="1409" spans="1:3" x14ac:dyDescent="0.35">
      <c r="A1409" s="6"/>
      <c r="B1409" s="7"/>
      <c r="C1409" s="7"/>
    </row>
    <row r="1410" spans="1:3" x14ac:dyDescent="0.35">
      <c r="A1410" s="6"/>
      <c r="B1410" s="7"/>
      <c r="C1410" s="7"/>
    </row>
    <row r="1411" spans="1:3" x14ac:dyDescent="0.35">
      <c r="A1411" s="6"/>
      <c r="B1411" s="7"/>
      <c r="C1411" s="7"/>
    </row>
    <row r="1412" spans="1:3" x14ac:dyDescent="0.35">
      <c r="A1412" s="6"/>
      <c r="B1412" s="7"/>
      <c r="C1412" s="7"/>
    </row>
    <row r="1413" spans="1:3" x14ac:dyDescent="0.35">
      <c r="A1413" s="6"/>
      <c r="B1413" s="7"/>
      <c r="C1413" s="7"/>
    </row>
    <row r="1414" spans="1:3" x14ac:dyDescent="0.35">
      <c r="A1414" s="6"/>
      <c r="B1414" s="7"/>
      <c r="C1414" s="7"/>
    </row>
    <row r="1415" spans="1:3" x14ac:dyDescent="0.35">
      <c r="A1415" s="6"/>
      <c r="B1415" s="7"/>
      <c r="C1415" s="7"/>
    </row>
    <row r="1416" spans="1:3" x14ac:dyDescent="0.35">
      <c r="A1416" s="6"/>
      <c r="B1416" s="7"/>
      <c r="C1416" s="7"/>
    </row>
    <row r="1417" spans="1:3" x14ac:dyDescent="0.35">
      <c r="A1417" s="6"/>
      <c r="B1417" s="7"/>
      <c r="C1417" s="7"/>
    </row>
    <row r="1418" spans="1:3" x14ac:dyDescent="0.35">
      <c r="A1418" s="6"/>
      <c r="B1418" s="7"/>
      <c r="C1418" s="7"/>
    </row>
    <row r="1419" spans="1:3" x14ac:dyDescent="0.35">
      <c r="A1419" s="6"/>
      <c r="B1419" s="7"/>
      <c r="C1419" s="7"/>
    </row>
    <row r="1420" spans="1:3" x14ac:dyDescent="0.35">
      <c r="A1420" s="6"/>
      <c r="B1420" s="7"/>
      <c r="C1420" s="7"/>
    </row>
    <row r="1421" spans="1:3" x14ac:dyDescent="0.35">
      <c r="A1421" s="6"/>
      <c r="B1421" s="7"/>
      <c r="C1421" s="7"/>
    </row>
    <row r="1422" spans="1:3" x14ac:dyDescent="0.35">
      <c r="A1422" s="6"/>
      <c r="B1422" s="7"/>
      <c r="C1422" s="7"/>
    </row>
    <row r="1423" spans="1:3" x14ac:dyDescent="0.35">
      <c r="A1423" s="6"/>
      <c r="B1423" s="7"/>
      <c r="C1423" s="7"/>
    </row>
    <row r="1424" spans="1:3" x14ac:dyDescent="0.35">
      <c r="A1424" s="6"/>
      <c r="B1424" s="7"/>
      <c r="C1424" s="7"/>
    </row>
    <row r="1425" spans="1:3" x14ac:dyDescent="0.35">
      <c r="A1425" s="6"/>
      <c r="B1425" s="7"/>
      <c r="C1425" s="7"/>
    </row>
    <row r="1426" spans="1:3" x14ac:dyDescent="0.35">
      <c r="A1426" s="6"/>
      <c r="B1426" s="7"/>
      <c r="C1426" s="7"/>
    </row>
    <row r="1427" spans="1:3" x14ac:dyDescent="0.35">
      <c r="A1427" s="6"/>
      <c r="B1427" s="7"/>
      <c r="C1427" s="7"/>
    </row>
    <row r="1428" spans="1:3" x14ac:dyDescent="0.35">
      <c r="A1428" s="6"/>
      <c r="B1428" s="7"/>
      <c r="C1428" s="7"/>
    </row>
    <row r="1429" spans="1:3" x14ac:dyDescent="0.35">
      <c r="A1429" s="6"/>
      <c r="B1429" s="7"/>
      <c r="C1429" s="7"/>
    </row>
    <row r="1430" spans="1:3" x14ac:dyDescent="0.35">
      <c r="A1430" s="6"/>
      <c r="B1430" s="7"/>
      <c r="C1430" s="7"/>
    </row>
    <row r="1431" spans="1:3" x14ac:dyDescent="0.35">
      <c r="A1431" s="6"/>
      <c r="B1431" s="7"/>
      <c r="C1431" s="7"/>
    </row>
    <row r="1432" spans="1:3" x14ac:dyDescent="0.35">
      <c r="A1432" s="6"/>
      <c r="B1432" s="7"/>
      <c r="C1432" s="7"/>
    </row>
    <row r="1433" spans="1:3" x14ac:dyDescent="0.35">
      <c r="A1433" s="6"/>
      <c r="B1433" s="7"/>
      <c r="C1433" s="7"/>
    </row>
    <row r="1434" spans="1:3" x14ac:dyDescent="0.35">
      <c r="A1434" s="6"/>
      <c r="B1434" s="7"/>
      <c r="C1434" s="7"/>
    </row>
    <row r="1435" spans="1:3" x14ac:dyDescent="0.35">
      <c r="A1435" s="6"/>
      <c r="B1435" s="7"/>
      <c r="C1435" s="7"/>
    </row>
    <row r="1436" spans="1:3" x14ac:dyDescent="0.35">
      <c r="A1436" s="6"/>
      <c r="B1436" s="7"/>
      <c r="C1436" s="7"/>
    </row>
    <row r="1437" spans="1:3" x14ac:dyDescent="0.35">
      <c r="A1437" s="6"/>
      <c r="B1437" s="7"/>
      <c r="C1437" s="7"/>
    </row>
    <row r="1438" spans="1:3" x14ac:dyDescent="0.35">
      <c r="A1438" s="6"/>
      <c r="B1438" s="7"/>
      <c r="C1438" s="7"/>
    </row>
    <row r="1439" spans="1:3" x14ac:dyDescent="0.35">
      <c r="A1439" s="6"/>
      <c r="B1439" s="7"/>
      <c r="C1439" s="7"/>
    </row>
    <row r="1440" spans="1:3" x14ac:dyDescent="0.35">
      <c r="A1440" s="6"/>
      <c r="B1440" s="7"/>
      <c r="C1440" s="7"/>
    </row>
    <row r="1441" spans="1:3" x14ac:dyDescent="0.35">
      <c r="A1441" s="6"/>
      <c r="B1441" s="7"/>
      <c r="C1441" s="7"/>
    </row>
    <row r="1442" spans="1:3" x14ac:dyDescent="0.35">
      <c r="A1442" s="6"/>
      <c r="B1442" s="7"/>
      <c r="C1442" s="7"/>
    </row>
    <row r="1443" spans="1:3" x14ac:dyDescent="0.35">
      <c r="A1443" s="6"/>
      <c r="B1443" s="7"/>
      <c r="C1443" s="7"/>
    </row>
    <row r="1444" spans="1:3" x14ac:dyDescent="0.35">
      <c r="A1444" s="6"/>
      <c r="B1444" s="7"/>
      <c r="C1444" s="7"/>
    </row>
    <row r="1445" spans="1:3" x14ac:dyDescent="0.35">
      <c r="A1445" s="6"/>
      <c r="B1445" s="7"/>
      <c r="C1445" s="7"/>
    </row>
    <row r="1446" spans="1:3" x14ac:dyDescent="0.35">
      <c r="A1446" s="6"/>
      <c r="B1446" s="7"/>
      <c r="C1446" s="7"/>
    </row>
    <row r="1447" spans="1:3" x14ac:dyDescent="0.35">
      <c r="A1447" s="6"/>
      <c r="B1447" s="7"/>
      <c r="C1447" s="7"/>
    </row>
    <row r="1448" spans="1:3" x14ac:dyDescent="0.35">
      <c r="A1448" s="6"/>
      <c r="B1448" s="7"/>
      <c r="C1448" s="7"/>
    </row>
    <row r="1449" spans="1:3" x14ac:dyDescent="0.35">
      <c r="A1449" s="6"/>
      <c r="B1449" s="7"/>
      <c r="C1449" s="7"/>
    </row>
    <row r="1450" spans="1:3" x14ac:dyDescent="0.35">
      <c r="A1450" s="6"/>
      <c r="B1450" s="7"/>
      <c r="C1450" s="7"/>
    </row>
    <row r="1451" spans="1:3" x14ac:dyDescent="0.35">
      <c r="A1451" s="6"/>
      <c r="B1451" s="7"/>
      <c r="C1451" s="7"/>
    </row>
    <row r="1452" spans="1:3" x14ac:dyDescent="0.35">
      <c r="A1452" s="6"/>
      <c r="B1452" s="7"/>
      <c r="C1452" s="7"/>
    </row>
    <row r="1453" spans="1:3" x14ac:dyDescent="0.35">
      <c r="A1453" s="6"/>
      <c r="B1453" s="7"/>
      <c r="C1453" s="7"/>
    </row>
    <row r="1454" spans="1:3" x14ac:dyDescent="0.35">
      <c r="A1454" s="6"/>
      <c r="B1454" s="7"/>
      <c r="C1454" s="7"/>
    </row>
    <row r="1455" spans="1:3" x14ac:dyDescent="0.35">
      <c r="A1455" s="6"/>
      <c r="B1455" s="7"/>
      <c r="C1455" s="7"/>
    </row>
    <row r="1456" spans="1:3" x14ac:dyDescent="0.35">
      <c r="A1456" s="6"/>
      <c r="B1456" s="7"/>
      <c r="C1456" s="7"/>
    </row>
    <row r="1457" spans="1:3" x14ac:dyDescent="0.35">
      <c r="A1457" s="6"/>
      <c r="B1457" s="7"/>
      <c r="C1457" s="7"/>
    </row>
    <row r="1458" spans="1:3" x14ac:dyDescent="0.35">
      <c r="A1458" s="6"/>
      <c r="B1458" s="7"/>
      <c r="C1458" s="7"/>
    </row>
    <row r="1459" spans="1:3" x14ac:dyDescent="0.35">
      <c r="A1459" s="6"/>
      <c r="B1459" s="7"/>
      <c r="C1459" s="7"/>
    </row>
    <row r="1460" spans="1:3" x14ac:dyDescent="0.35">
      <c r="A1460" s="6"/>
      <c r="B1460" s="7"/>
      <c r="C1460" s="7"/>
    </row>
    <row r="1461" spans="1:3" x14ac:dyDescent="0.35">
      <c r="A1461" s="6"/>
      <c r="B1461" s="7"/>
      <c r="C1461" s="7"/>
    </row>
    <row r="1462" spans="1:3" x14ac:dyDescent="0.35">
      <c r="A1462" s="6"/>
      <c r="B1462" s="7"/>
      <c r="C1462" s="7"/>
    </row>
    <row r="1463" spans="1:3" x14ac:dyDescent="0.35">
      <c r="A1463" s="6"/>
      <c r="B1463" s="7"/>
      <c r="C1463" s="7"/>
    </row>
    <row r="1464" spans="1:3" x14ac:dyDescent="0.35">
      <c r="A1464" s="6"/>
      <c r="B1464" s="7"/>
      <c r="C1464" s="7"/>
    </row>
    <row r="1465" spans="1:3" x14ac:dyDescent="0.35">
      <c r="A1465" s="6"/>
      <c r="B1465" s="7"/>
      <c r="C1465" s="7"/>
    </row>
    <row r="1466" spans="1:3" x14ac:dyDescent="0.35">
      <c r="A1466" s="6"/>
      <c r="B1466" s="7"/>
      <c r="C1466" s="7"/>
    </row>
    <row r="1467" spans="1:3" x14ac:dyDescent="0.35">
      <c r="A1467" s="6"/>
      <c r="B1467" s="7"/>
      <c r="C1467" s="7"/>
    </row>
    <row r="1468" spans="1:3" x14ac:dyDescent="0.35">
      <c r="A1468" s="6"/>
      <c r="B1468" s="7"/>
      <c r="C1468" s="7"/>
    </row>
    <row r="1469" spans="1:3" x14ac:dyDescent="0.35">
      <c r="A1469" s="6"/>
      <c r="B1469" s="7"/>
      <c r="C1469" s="7"/>
    </row>
    <row r="1470" spans="1:3" x14ac:dyDescent="0.35">
      <c r="A1470" s="6"/>
      <c r="B1470" s="7"/>
      <c r="C1470" s="7"/>
    </row>
    <row r="1471" spans="1:3" x14ac:dyDescent="0.35">
      <c r="A1471" s="6"/>
      <c r="B1471" s="7"/>
      <c r="C1471" s="7"/>
    </row>
    <row r="1472" spans="1:3" x14ac:dyDescent="0.35">
      <c r="A1472" s="6"/>
      <c r="B1472" s="7"/>
      <c r="C1472" s="7"/>
    </row>
    <row r="1473" spans="1:3" x14ac:dyDescent="0.35">
      <c r="A1473" s="6"/>
      <c r="B1473" s="7"/>
      <c r="C1473" s="7"/>
    </row>
    <row r="1474" spans="1:3" x14ac:dyDescent="0.35">
      <c r="A1474" s="6"/>
      <c r="B1474" s="7"/>
      <c r="C1474" s="7"/>
    </row>
    <row r="1475" spans="1:3" x14ac:dyDescent="0.35">
      <c r="A1475" s="6"/>
      <c r="B1475" s="7"/>
      <c r="C1475" s="7"/>
    </row>
    <row r="1476" spans="1:3" x14ac:dyDescent="0.35">
      <c r="A1476" s="6"/>
      <c r="B1476" s="7"/>
      <c r="C1476" s="7"/>
    </row>
    <row r="1477" spans="1:3" x14ac:dyDescent="0.35">
      <c r="A1477" s="6"/>
      <c r="B1477" s="7"/>
      <c r="C1477" s="7"/>
    </row>
    <row r="1478" spans="1:3" x14ac:dyDescent="0.35">
      <c r="A1478" s="6"/>
      <c r="B1478" s="7"/>
      <c r="C1478" s="7"/>
    </row>
    <row r="1479" spans="1:3" x14ac:dyDescent="0.35">
      <c r="A1479" s="6"/>
      <c r="B1479" s="7"/>
      <c r="C1479" s="7"/>
    </row>
    <row r="1480" spans="1:3" x14ac:dyDescent="0.35">
      <c r="A1480" s="6"/>
      <c r="B1480" s="7"/>
      <c r="C1480" s="7"/>
    </row>
    <row r="1481" spans="1:3" x14ac:dyDescent="0.35">
      <c r="A1481" s="6"/>
      <c r="B1481" s="7"/>
      <c r="C1481" s="7"/>
    </row>
    <row r="1482" spans="1:3" x14ac:dyDescent="0.35">
      <c r="A1482" s="6"/>
      <c r="B1482" s="7"/>
      <c r="C1482" s="7"/>
    </row>
    <row r="1483" spans="1:3" x14ac:dyDescent="0.35">
      <c r="A1483" s="6"/>
      <c r="B1483" s="7"/>
      <c r="C1483" s="7"/>
    </row>
    <row r="1484" spans="1:3" x14ac:dyDescent="0.35">
      <c r="A1484" s="6"/>
      <c r="B1484" s="7"/>
      <c r="C1484" s="7"/>
    </row>
    <row r="1485" spans="1:3" x14ac:dyDescent="0.35">
      <c r="A1485" s="6"/>
      <c r="B1485" s="7"/>
      <c r="C1485" s="7"/>
    </row>
    <row r="1486" spans="1:3" x14ac:dyDescent="0.35">
      <c r="A1486" s="6"/>
      <c r="B1486" s="7"/>
      <c r="C1486" s="7"/>
    </row>
    <row r="1487" spans="1:3" x14ac:dyDescent="0.35">
      <c r="A1487" s="6"/>
      <c r="B1487" s="7"/>
      <c r="C1487" s="7"/>
    </row>
    <row r="1488" spans="1:3" x14ac:dyDescent="0.35">
      <c r="A1488" s="6"/>
      <c r="B1488" s="7"/>
      <c r="C1488" s="7"/>
    </row>
    <row r="1489" spans="1:3" x14ac:dyDescent="0.35">
      <c r="A1489" s="6"/>
      <c r="B1489" s="7"/>
      <c r="C1489" s="7"/>
    </row>
    <row r="1490" spans="1:3" x14ac:dyDescent="0.35">
      <c r="A1490" s="6"/>
      <c r="B1490" s="7"/>
      <c r="C1490" s="7"/>
    </row>
    <row r="1491" spans="1:3" x14ac:dyDescent="0.35">
      <c r="A1491" s="6"/>
      <c r="B1491" s="7"/>
      <c r="C1491" s="7"/>
    </row>
    <row r="1492" spans="1:3" x14ac:dyDescent="0.35">
      <c r="A1492" s="6"/>
      <c r="B1492" s="7"/>
      <c r="C1492" s="7"/>
    </row>
    <row r="1493" spans="1:3" x14ac:dyDescent="0.35">
      <c r="A1493" s="6"/>
      <c r="B1493" s="7"/>
      <c r="C1493" s="7"/>
    </row>
    <row r="1494" spans="1:3" x14ac:dyDescent="0.35">
      <c r="A1494" s="6"/>
      <c r="B1494" s="7"/>
      <c r="C1494" s="7"/>
    </row>
    <row r="1495" spans="1:3" x14ac:dyDescent="0.35">
      <c r="A1495" s="6"/>
      <c r="B1495" s="7"/>
      <c r="C1495" s="7"/>
    </row>
    <row r="1496" spans="1:3" x14ac:dyDescent="0.35">
      <c r="A1496" s="6"/>
      <c r="B1496" s="7"/>
      <c r="C1496" s="7"/>
    </row>
    <row r="1497" spans="1:3" x14ac:dyDescent="0.35">
      <c r="A1497" s="6"/>
      <c r="B1497" s="7"/>
      <c r="C1497" s="7"/>
    </row>
    <row r="1498" spans="1:3" x14ac:dyDescent="0.35">
      <c r="A1498" s="6"/>
      <c r="B1498" s="7"/>
      <c r="C1498" s="7"/>
    </row>
    <row r="1499" spans="1:3" x14ac:dyDescent="0.35">
      <c r="A1499" s="6"/>
      <c r="B1499" s="7"/>
      <c r="C1499" s="7"/>
    </row>
    <row r="1500" spans="1:3" x14ac:dyDescent="0.35">
      <c r="A1500" s="6"/>
      <c r="B1500" s="7"/>
      <c r="C1500" s="7"/>
    </row>
    <row r="1501" spans="1:3" x14ac:dyDescent="0.35">
      <c r="A1501" s="6"/>
      <c r="B1501" s="7"/>
      <c r="C1501" s="7"/>
    </row>
    <row r="1502" spans="1:3" x14ac:dyDescent="0.35">
      <c r="A1502" s="6"/>
      <c r="B1502" s="7"/>
      <c r="C1502" s="7"/>
    </row>
    <row r="1503" spans="1:3" x14ac:dyDescent="0.35">
      <c r="A1503" s="6"/>
      <c r="B1503" s="7"/>
      <c r="C1503" s="7"/>
    </row>
    <row r="1504" spans="1:3" x14ac:dyDescent="0.35">
      <c r="A1504" s="6"/>
      <c r="B1504" s="7"/>
      <c r="C1504" s="7"/>
    </row>
    <row r="1505" spans="1:3" x14ac:dyDescent="0.35">
      <c r="A1505" s="6"/>
      <c r="B1505" s="7"/>
      <c r="C1505" s="7"/>
    </row>
    <row r="1506" spans="1:3" x14ac:dyDescent="0.35">
      <c r="A1506" s="6"/>
      <c r="B1506" s="7"/>
      <c r="C1506" s="7"/>
    </row>
    <row r="1507" spans="1:3" x14ac:dyDescent="0.35">
      <c r="A1507" s="6"/>
      <c r="B1507" s="7"/>
      <c r="C1507" s="7"/>
    </row>
    <row r="1508" spans="1:3" x14ac:dyDescent="0.35">
      <c r="A1508" s="6"/>
      <c r="B1508" s="7"/>
      <c r="C1508" s="7"/>
    </row>
    <row r="1509" spans="1:3" x14ac:dyDescent="0.35">
      <c r="A1509" s="6"/>
      <c r="B1509" s="7"/>
      <c r="C1509" s="7"/>
    </row>
    <row r="1510" spans="1:3" x14ac:dyDescent="0.35">
      <c r="A1510" s="6"/>
      <c r="B1510" s="7"/>
      <c r="C1510" s="7"/>
    </row>
    <row r="1511" spans="1:3" x14ac:dyDescent="0.35">
      <c r="A1511" s="6"/>
      <c r="B1511" s="7"/>
      <c r="C1511" s="7"/>
    </row>
    <row r="1512" spans="1:3" x14ac:dyDescent="0.35">
      <c r="A1512" s="6"/>
      <c r="B1512" s="7"/>
      <c r="C1512" s="7"/>
    </row>
    <row r="1513" spans="1:3" x14ac:dyDescent="0.35">
      <c r="A1513" s="6"/>
      <c r="B1513" s="7"/>
      <c r="C1513" s="7"/>
    </row>
    <row r="1514" spans="1:3" x14ac:dyDescent="0.35">
      <c r="A1514" s="6"/>
      <c r="B1514" s="7"/>
      <c r="C1514" s="7"/>
    </row>
    <row r="1515" spans="1:3" x14ac:dyDescent="0.35">
      <c r="A1515" s="6"/>
      <c r="B1515" s="7"/>
      <c r="C1515" s="7"/>
    </row>
    <row r="1516" spans="1:3" x14ac:dyDescent="0.35">
      <c r="A1516" s="6"/>
      <c r="B1516" s="7"/>
      <c r="C1516" s="7"/>
    </row>
    <row r="1517" spans="1:3" x14ac:dyDescent="0.35">
      <c r="A1517" s="6"/>
      <c r="B1517" s="7"/>
      <c r="C1517" s="7"/>
    </row>
    <row r="1518" spans="1:3" x14ac:dyDescent="0.35">
      <c r="A1518" s="6"/>
      <c r="B1518" s="7"/>
      <c r="C1518" s="7"/>
    </row>
    <row r="1519" spans="1:3" x14ac:dyDescent="0.35">
      <c r="A1519" s="6"/>
      <c r="B1519" s="7"/>
      <c r="C1519" s="7"/>
    </row>
    <row r="1520" spans="1:3" x14ac:dyDescent="0.35">
      <c r="A1520" s="6"/>
      <c r="B1520" s="7"/>
      <c r="C1520" s="7"/>
    </row>
    <row r="1521" spans="1:3" x14ac:dyDescent="0.35">
      <c r="A1521" s="6"/>
      <c r="B1521" s="7"/>
      <c r="C1521" s="7"/>
    </row>
    <row r="1522" spans="1:3" x14ac:dyDescent="0.35">
      <c r="A1522" s="6"/>
      <c r="B1522" s="7"/>
      <c r="C1522" s="7"/>
    </row>
    <row r="1523" spans="1:3" x14ac:dyDescent="0.35">
      <c r="A1523" s="6"/>
      <c r="B1523" s="7"/>
      <c r="C1523" s="7"/>
    </row>
    <row r="1524" spans="1:3" x14ac:dyDescent="0.35">
      <c r="A1524" s="6"/>
      <c r="B1524" s="7"/>
      <c r="C1524" s="7"/>
    </row>
    <row r="1525" spans="1:3" x14ac:dyDescent="0.35">
      <c r="A1525" s="6"/>
      <c r="B1525" s="7"/>
      <c r="C1525" s="7"/>
    </row>
    <row r="1526" spans="1:3" x14ac:dyDescent="0.35">
      <c r="A1526" s="6"/>
      <c r="B1526" s="7"/>
      <c r="C1526" s="7"/>
    </row>
    <row r="1527" spans="1:3" x14ac:dyDescent="0.35">
      <c r="A1527" s="6"/>
      <c r="B1527" s="7"/>
      <c r="C1527" s="7"/>
    </row>
    <row r="1528" spans="1:3" x14ac:dyDescent="0.35">
      <c r="A1528" s="6"/>
      <c r="B1528" s="7"/>
      <c r="C1528" s="7"/>
    </row>
    <row r="1529" spans="1:3" x14ac:dyDescent="0.35">
      <c r="A1529" s="6"/>
      <c r="B1529" s="7"/>
      <c r="C1529" s="7"/>
    </row>
    <row r="1530" spans="1:3" x14ac:dyDescent="0.35">
      <c r="A1530" s="6"/>
      <c r="B1530" s="7"/>
      <c r="C1530" s="7"/>
    </row>
    <row r="1531" spans="1:3" x14ac:dyDescent="0.35">
      <c r="A1531" s="6"/>
      <c r="B1531" s="7"/>
      <c r="C1531" s="7"/>
    </row>
    <row r="1532" spans="1:3" x14ac:dyDescent="0.35">
      <c r="A1532" s="6"/>
      <c r="B1532" s="7"/>
      <c r="C1532" s="7"/>
    </row>
    <row r="1533" spans="1:3" x14ac:dyDescent="0.35">
      <c r="A1533" s="6"/>
      <c r="B1533" s="7"/>
      <c r="C1533" s="7"/>
    </row>
    <row r="1534" spans="1:3" x14ac:dyDescent="0.35">
      <c r="A1534" s="6"/>
      <c r="B1534" s="7"/>
      <c r="C1534" s="7"/>
    </row>
    <row r="1535" spans="1:3" x14ac:dyDescent="0.35">
      <c r="A1535" s="6"/>
      <c r="B1535" s="7"/>
      <c r="C1535" s="7"/>
    </row>
    <row r="1536" spans="1:3" x14ac:dyDescent="0.35">
      <c r="A1536" s="6"/>
      <c r="B1536" s="7"/>
      <c r="C1536" s="7"/>
    </row>
    <row r="1537" spans="1:3" x14ac:dyDescent="0.35">
      <c r="A1537" s="6"/>
      <c r="B1537" s="7"/>
      <c r="C1537" s="7"/>
    </row>
    <row r="1538" spans="1:3" x14ac:dyDescent="0.35">
      <c r="A1538" s="6"/>
      <c r="B1538" s="7"/>
      <c r="C1538" s="7"/>
    </row>
    <row r="1539" spans="1:3" x14ac:dyDescent="0.35">
      <c r="A1539" s="6"/>
      <c r="B1539" s="7"/>
      <c r="C1539" s="7"/>
    </row>
    <row r="1540" spans="1:3" x14ac:dyDescent="0.35">
      <c r="A1540" s="6"/>
      <c r="B1540" s="7"/>
      <c r="C1540" s="7"/>
    </row>
    <row r="1541" spans="1:3" x14ac:dyDescent="0.35">
      <c r="A1541" s="6"/>
      <c r="B1541" s="7"/>
      <c r="C1541" s="7"/>
    </row>
    <row r="1542" spans="1:3" x14ac:dyDescent="0.35">
      <c r="A1542" s="6"/>
      <c r="B1542" s="7"/>
      <c r="C1542" s="7"/>
    </row>
    <row r="1543" spans="1:3" x14ac:dyDescent="0.35">
      <c r="A1543" s="6"/>
      <c r="B1543" s="7"/>
      <c r="C1543" s="7"/>
    </row>
    <row r="1544" spans="1:3" x14ac:dyDescent="0.35">
      <c r="A1544" s="6"/>
      <c r="B1544" s="7"/>
      <c r="C1544" s="7"/>
    </row>
    <row r="1545" spans="1:3" x14ac:dyDescent="0.35">
      <c r="A1545" s="6"/>
      <c r="B1545" s="7"/>
      <c r="C1545" s="7"/>
    </row>
    <row r="1546" spans="1:3" x14ac:dyDescent="0.35">
      <c r="A1546" s="6"/>
      <c r="B1546" s="7"/>
      <c r="C1546" s="7"/>
    </row>
    <row r="1547" spans="1:3" x14ac:dyDescent="0.35">
      <c r="A1547" s="6"/>
      <c r="B1547" s="7"/>
      <c r="C1547" s="7"/>
    </row>
    <row r="1548" spans="1:3" x14ac:dyDescent="0.35">
      <c r="A1548" s="6"/>
      <c r="B1548" s="7"/>
      <c r="C1548" s="7"/>
    </row>
    <row r="1549" spans="1:3" x14ac:dyDescent="0.35">
      <c r="A1549" s="6"/>
      <c r="B1549" s="7"/>
      <c r="C1549" s="7"/>
    </row>
    <row r="1550" spans="1:3" x14ac:dyDescent="0.35">
      <c r="A1550" s="6"/>
      <c r="B1550" s="7"/>
      <c r="C1550" s="7"/>
    </row>
    <row r="1551" spans="1:3" x14ac:dyDescent="0.35">
      <c r="A1551" s="6"/>
      <c r="B1551" s="7"/>
      <c r="C1551" s="7"/>
    </row>
    <row r="1552" spans="1:3" x14ac:dyDescent="0.35">
      <c r="A1552" s="6"/>
      <c r="B1552" s="7"/>
      <c r="C1552" s="7"/>
    </row>
    <row r="1553" spans="1:3" x14ac:dyDescent="0.35">
      <c r="A1553" s="6"/>
      <c r="B1553" s="7"/>
      <c r="C1553" s="7"/>
    </row>
    <row r="1554" spans="1:3" x14ac:dyDescent="0.35">
      <c r="A1554" s="6"/>
      <c r="B1554" s="7"/>
      <c r="C1554" s="7"/>
    </row>
    <row r="1555" spans="1:3" x14ac:dyDescent="0.35">
      <c r="A1555" s="6"/>
      <c r="B1555" s="7"/>
      <c r="C1555" s="7"/>
    </row>
    <row r="1556" spans="1:3" x14ac:dyDescent="0.35">
      <c r="A1556" s="6"/>
      <c r="B1556" s="7"/>
      <c r="C1556" s="7"/>
    </row>
    <row r="1557" spans="1:3" x14ac:dyDescent="0.35">
      <c r="A1557" s="6"/>
      <c r="B1557" s="7"/>
      <c r="C1557" s="7"/>
    </row>
    <row r="1558" spans="1:3" x14ac:dyDescent="0.35">
      <c r="A1558" s="6"/>
      <c r="B1558" s="7"/>
      <c r="C1558" s="7"/>
    </row>
    <row r="1559" spans="1:3" x14ac:dyDescent="0.35">
      <c r="A1559" s="6"/>
      <c r="B1559" s="7"/>
      <c r="C1559" s="7"/>
    </row>
    <row r="1560" spans="1:3" x14ac:dyDescent="0.35">
      <c r="A1560" s="6"/>
      <c r="B1560" s="7"/>
      <c r="C1560" s="7"/>
    </row>
    <row r="1561" spans="1:3" x14ac:dyDescent="0.35">
      <c r="A1561" s="6"/>
      <c r="B1561" s="7"/>
      <c r="C1561" s="7"/>
    </row>
    <row r="1562" spans="1:3" x14ac:dyDescent="0.35">
      <c r="A1562" s="6"/>
      <c r="B1562" s="7"/>
      <c r="C1562" s="7"/>
    </row>
    <row r="1563" spans="1:3" x14ac:dyDescent="0.35">
      <c r="A1563" s="6"/>
      <c r="B1563" s="7"/>
      <c r="C1563" s="7"/>
    </row>
    <row r="1564" spans="1:3" x14ac:dyDescent="0.35">
      <c r="A1564" s="6"/>
      <c r="B1564" s="7"/>
      <c r="C1564" s="7"/>
    </row>
    <row r="1565" spans="1:3" x14ac:dyDescent="0.35">
      <c r="A1565" s="6"/>
      <c r="B1565" s="7"/>
      <c r="C1565" s="7"/>
    </row>
    <row r="1566" spans="1:3" x14ac:dyDescent="0.35">
      <c r="A1566" s="6"/>
      <c r="B1566" s="7"/>
      <c r="C1566" s="7"/>
    </row>
    <row r="1567" spans="1:3" x14ac:dyDescent="0.35">
      <c r="A1567" s="6"/>
      <c r="B1567" s="7"/>
      <c r="C1567" s="7"/>
    </row>
    <row r="1568" spans="1:3" x14ac:dyDescent="0.35">
      <c r="A1568" s="6"/>
      <c r="B1568" s="7"/>
      <c r="C1568" s="7"/>
    </row>
    <row r="1569" spans="1:3" x14ac:dyDescent="0.35">
      <c r="A1569" s="6"/>
      <c r="B1569" s="7"/>
      <c r="C1569" s="7"/>
    </row>
    <row r="1570" spans="1:3" x14ac:dyDescent="0.35">
      <c r="A1570" s="6"/>
      <c r="B1570" s="7"/>
      <c r="C1570" s="7"/>
    </row>
    <row r="1571" spans="1:3" x14ac:dyDescent="0.35">
      <c r="A1571" s="6"/>
      <c r="B1571" s="7"/>
      <c r="C1571" s="7"/>
    </row>
    <row r="1572" spans="1:3" x14ac:dyDescent="0.35">
      <c r="A1572" s="6"/>
      <c r="B1572" s="7"/>
      <c r="C1572" s="7"/>
    </row>
    <row r="1573" spans="1:3" x14ac:dyDescent="0.35">
      <c r="A1573" s="6"/>
      <c r="B1573" s="7"/>
      <c r="C1573" s="7"/>
    </row>
    <row r="1574" spans="1:3" x14ac:dyDescent="0.35">
      <c r="A1574" s="6"/>
      <c r="B1574" s="7"/>
      <c r="C1574" s="7"/>
    </row>
    <row r="1575" spans="1:3" x14ac:dyDescent="0.35">
      <c r="A1575" s="6"/>
      <c r="B1575" s="7"/>
      <c r="C1575" s="7"/>
    </row>
    <row r="1576" spans="1:3" x14ac:dyDescent="0.35">
      <c r="A1576" s="6"/>
      <c r="B1576" s="7"/>
      <c r="C1576" s="7"/>
    </row>
    <row r="1577" spans="1:3" x14ac:dyDescent="0.35">
      <c r="A1577" s="6"/>
      <c r="B1577" s="7"/>
      <c r="C1577" s="7"/>
    </row>
    <row r="1578" spans="1:3" x14ac:dyDescent="0.35">
      <c r="A1578" s="6"/>
      <c r="B1578" s="7"/>
      <c r="C1578" s="7"/>
    </row>
    <row r="1579" spans="1:3" x14ac:dyDescent="0.35">
      <c r="A1579" s="6"/>
      <c r="B1579" s="7"/>
      <c r="C1579" s="7"/>
    </row>
    <row r="1580" spans="1:3" x14ac:dyDescent="0.35">
      <c r="A1580" s="6"/>
      <c r="B1580" s="7"/>
      <c r="C1580" s="7"/>
    </row>
    <row r="1581" spans="1:3" x14ac:dyDescent="0.35">
      <c r="A1581" s="6"/>
      <c r="B1581" s="7"/>
      <c r="C1581" s="7"/>
    </row>
    <row r="1582" spans="1:3" x14ac:dyDescent="0.35">
      <c r="A1582" s="6"/>
      <c r="B1582" s="7"/>
      <c r="C1582" s="7"/>
    </row>
    <row r="1583" spans="1:3" x14ac:dyDescent="0.35">
      <c r="A1583" s="6"/>
      <c r="B1583" s="7"/>
      <c r="C1583" s="7"/>
    </row>
    <row r="1584" spans="1:3" x14ac:dyDescent="0.35">
      <c r="A1584" s="6"/>
      <c r="B1584" s="7"/>
      <c r="C1584" s="7"/>
    </row>
    <row r="1585" spans="1:3" x14ac:dyDescent="0.35">
      <c r="A1585" s="6"/>
      <c r="B1585" s="7"/>
      <c r="C1585" s="7"/>
    </row>
    <row r="1586" spans="1:3" x14ac:dyDescent="0.35">
      <c r="A1586" s="6"/>
      <c r="B1586" s="7"/>
      <c r="C1586" s="7"/>
    </row>
    <row r="1587" spans="1:3" x14ac:dyDescent="0.35">
      <c r="A1587" s="6"/>
      <c r="B1587" s="7"/>
      <c r="C1587" s="7"/>
    </row>
    <row r="1588" spans="1:3" x14ac:dyDescent="0.35">
      <c r="A1588" s="6"/>
      <c r="B1588" s="7"/>
      <c r="C1588" s="7"/>
    </row>
    <row r="1589" spans="1:3" x14ac:dyDescent="0.35">
      <c r="A1589" s="6"/>
      <c r="B1589" s="7"/>
      <c r="C1589" s="7"/>
    </row>
    <row r="1590" spans="1:3" x14ac:dyDescent="0.35">
      <c r="A1590" s="6"/>
      <c r="B1590" s="7"/>
      <c r="C1590" s="7"/>
    </row>
    <row r="1591" spans="1:3" x14ac:dyDescent="0.35">
      <c r="A1591" s="6"/>
      <c r="B1591" s="7"/>
      <c r="C1591" s="7"/>
    </row>
    <row r="1592" spans="1:3" x14ac:dyDescent="0.35">
      <c r="A1592" s="6"/>
      <c r="B1592" s="7"/>
      <c r="C1592" s="7"/>
    </row>
    <row r="1593" spans="1:3" x14ac:dyDescent="0.35">
      <c r="A1593" s="6"/>
      <c r="B1593" s="7"/>
      <c r="C1593" s="7"/>
    </row>
    <row r="1594" spans="1:3" x14ac:dyDescent="0.35">
      <c r="A1594" s="6"/>
      <c r="B1594" s="7"/>
      <c r="C1594" s="7"/>
    </row>
    <row r="1595" spans="1:3" x14ac:dyDescent="0.35">
      <c r="A1595" s="6"/>
      <c r="B1595" s="7"/>
      <c r="C1595" s="7"/>
    </row>
    <row r="1596" spans="1:3" x14ac:dyDescent="0.35">
      <c r="A1596" s="6"/>
      <c r="B1596" s="7"/>
      <c r="C1596" s="7"/>
    </row>
    <row r="1597" spans="1:3" x14ac:dyDescent="0.35">
      <c r="A1597" s="6"/>
      <c r="B1597" s="7"/>
      <c r="C1597" s="7"/>
    </row>
    <row r="1598" spans="1:3" x14ac:dyDescent="0.35">
      <c r="A1598" s="6"/>
      <c r="B1598" s="7"/>
      <c r="C1598" s="7"/>
    </row>
    <row r="1599" spans="1:3" x14ac:dyDescent="0.35">
      <c r="A1599" s="6"/>
      <c r="B1599" s="7"/>
      <c r="C1599" s="7"/>
    </row>
    <row r="1600" spans="1:3" x14ac:dyDescent="0.35">
      <c r="A1600" s="6"/>
      <c r="B1600" s="7"/>
      <c r="C1600" s="7"/>
    </row>
    <row r="1601" spans="1:3" x14ac:dyDescent="0.35">
      <c r="A1601" s="6"/>
      <c r="B1601" s="7"/>
      <c r="C1601" s="7"/>
    </row>
    <row r="1602" spans="1:3" x14ac:dyDescent="0.35">
      <c r="A1602" s="6"/>
      <c r="B1602" s="7"/>
      <c r="C1602" s="7"/>
    </row>
    <row r="1603" spans="1:3" x14ac:dyDescent="0.35">
      <c r="A1603" s="6"/>
      <c r="B1603" s="7"/>
      <c r="C1603" s="7"/>
    </row>
    <row r="1604" spans="1:3" x14ac:dyDescent="0.35">
      <c r="A1604" s="6"/>
      <c r="B1604" s="7"/>
      <c r="C1604" s="7"/>
    </row>
    <row r="1605" spans="1:3" x14ac:dyDescent="0.35">
      <c r="A1605" s="6"/>
      <c r="B1605" s="7"/>
      <c r="C1605" s="7"/>
    </row>
    <row r="1606" spans="1:3" x14ac:dyDescent="0.35">
      <c r="A1606" s="6"/>
      <c r="B1606" s="7"/>
      <c r="C1606" s="7"/>
    </row>
    <row r="1607" spans="1:3" x14ac:dyDescent="0.35">
      <c r="A1607" s="6"/>
      <c r="B1607" s="7"/>
      <c r="C1607" s="7"/>
    </row>
    <row r="1608" spans="1:3" x14ac:dyDescent="0.35">
      <c r="A1608" s="6"/>
      <c r="B1608" s="7"/>
      <c r="C1608" s="7"/>
    </row>
    <row r="1609" spans="1:3" x14ac:dyDescent="0.35">
      <c r="A1609" s="6"/>
      <c r="B1609" s="7"/>
      <c r="C1609" s="7"/>
    </row>
    <row r="1610" spans="1:3" x14ac:dyDescent="0.35">
      <c r="A1610" s="6"/>
      <c r="B1610" s="7"/>
      <c r="C1610" s="7"/>
    </row>
    <row r="1611" spans="1:3" x14ac:dyDescent="0.35">
      <c r="A1611" s="6"/>
      <c r="B1611" s="7"/>
      <c r="C1611" s="7"/>
    </row>
    <row r="1612" spans="1:3" x14ac:dyDescent="0.35">
      <c r="A1612" s="6"/>
      <c r="B1612" s="7"/>
      <c r="C1612" s="7"/>
    </row>
    <row r="1613" spans="1:3" x14ac:dyDescent="0.35">
      <c r="A1613" s="6"/>
      <c r="B1613" s="7"/>
      <c r="C1613" s="7"/>
    </row>
    <row r="1614" spans="1:3" x14ac:dyDescent="0.35">
      <c r="A1614" s="6"/>
      <c r="B1614" s="7"/>
      <c r="C1614" s="7"/>
    </row>
    <row r="1615" spans="1:3" x14ac:dyDescent="0.35">
      <c r="A1615" s="6"/>
      <c r="B1615" s="7"/>
      <c r="C1615" s="7"/>
    </row>
    <row r="1616" spans="1:3" x14ac:dyDescent="0.35">
      <c r="A1616" s="6"/>
      <c r="B1616" s="7"/>
      <c r="C1616" s="7"/>
    </row>
    <row r="1617" spans="1:3" x14ac:dyDescent="0.35">
      <c r="A1617" s="6"/>
      <c r="B1617" s="7"/>
      <c r="C1617" s="7"/>
    </row>
    <row r="1618" spans="1:3" x14ac:dyDescent="0.35">
      <c r="A1618" s="6"/>
      <c r="B1618" s="7"/>
      <c r="C1618" s="7"/>
    </row>
    <row r="1619" spans="1:3" x14ac:dyDescent="0.35">
      <c r="A1619" s="6"/>
      <c r="B1619" s="7"/>
      <c r="C1619" s="7"/>
    </row>
    <row r="1620" spans="1:3" x14ac:dyDescent="0.35">
      <c r="A1620" s="6"/>
      <c r="B1620" s="7"/>
      <c r="C1620" s="7"/>
    </row>
    <row r="1621" spans="1:3" x14ac:dyDescent="0.35">
      <c r="A1621" s="6"/>
      <c r="B1621" s="7"/>
      <c r="C1621" s="7"/>
    </row>
    <row r="1622" spans="1:3" x14ac:dyDescent="0.35">
      <c r="A1622" s="6"/>
      <c r="B1622" s="7"/>
      <c r="C1622" s="7"/>
    </row>
    <row r="1623" spans="1:3" x14ac:dyDescent="0.35">
      <c r="A1623" s="6"/>
      <c r="B1623" s="7"/>
      <c r="C1623" s="7"/>
    </row>
    <row r="1624" spans="1:3" x14ac:dyDescent="0.35">
      <c r="A1624" s="6"/>
      <c r="B1624" s="7"/>
      <c r="C1624" s="7"/>
    </row>
    <row r="1625" spans="1:3" x14ac:dyDescent="0.35">
      <c r="A1625" s="6"/>
      <c r="B1625" s="7"/>
      <c r="C1625" s="7"/>
    </row>
    <row r="1626" spans="1:3" x14ac:dyDescent="0.35">
      <c r="A1626" s="6"/>
      <c r="B1626" s="7"/>
      <c r="C1626" s="7"/>
    </row>
    <row r="1627" spans="1:3" x14ac:dyDescent="0.35">
      <c r="A1627" s="6"/>
      <c r="B1627" s="7"/>
      <c r="C1627" s="7"/>
    </row>
    <row r="1628" spans="1:3" x14ac:dyDescent="0.35">
      <c r="A1628" s="6"/>
      <c r="B1628" s="7"/>
      <c r="C1628" s="7"/>
    </row>
    <row r="1629" spans="1:3" x14ac:dyDescent="0.35">
      <c r="A1629" s="6"/>
      <c r="B1629" s="7"/>
      <c r="C1629" s="7"/>
    </row>
    <row r="1630" spans="1:3" x14ac:dyDescent="0.35">
      <c r="A1630" s="6"/>
      <c r="B1630" s="7"/>
      <c r="C1630" s="7"/>
    </row>
    <row r="1631" spans="1:3" x14ac:dyDescent="0.35">
      <c r="A1631" s="6"/>
      <c r="B1631" s="7"/>
      <c r="C1631" s="7"/>
    </row>
    <row r="1632" spans="1:3" x14ac:dyDescent="0.35">
      <c r="A1632" s="6"/>
      <c r="B1632" s="7"/>
      <c r="C1632" s="7"/>
    </row>
    <row r="1633" spans="1:3" x14ac:dyDescent="0.35">
      <c r="A1633" s="6"/>
      <c r="B1633" s="7"/>
      <c r="C1633" s="7"/>
    </row>
    <row r="1634" spans="1:3" x14ac:dyDescent="0.35">
      <c r="A1634" s="6"/>
      <c r="B1634" s="7"/>
      <c r="C1634" s="7"/>
    </row>
    <row r="1635" spans="1:3" x14ac:dyDescent="0.35">
      <c r="A1635" s="6"/>
      <c r="B1635" s="7"/>
      <c r="C1635" s="7"/>
    </row>
    <row r="1636" spans="1:3" x14ac:dyDescent="0.35">
      <c r="A1636" s="6"/>
      <c r="B1636" s="7"/>
      <c r="C1636" s="7"/>
    </row>
    <row r="1637" spans="1:3" x14ac:dyDescent="0.35">
      <c r="A1637" s="6"/>
      <c r="B1637" s="7"/>
      <c r="C1637" s="7"/>
    </row>
    <row r="1638" spans="1:3" x14ac:dyDescent="0.35">
      <c r="A1638" s="6"/>
      <c r="B1638" s="7"/>
      <c r="C1638" s="7"/>
    </row>
    <row r="1639" spans="1:3" x14ac:dyDescent="0.35">
      <c r="A1639" s="6"/>
      <c r="B1639" s="7"/>
      <c r="C1639" s="7"/>
    </row>
    <row r="1640" spans="1:3" x14ac:dyDescent="0.35">
      <c r="A1640" s="6"/>
      <c r="B1640" s="7"/>
      <c r="C1640" s="7"/>
    </row>
    <row r="1641" spans="1:3" x14ac:dyDescent="0.35">
      <c r="A1641" s="6"/>
      <c r="B1641" s="7"/>
      <c r="C1641" s="7"/>
    </row>
    <row r="1642" spans="1:3" x14ac:dyDescent="0.35">
      <c r="A1642" s="6"/>
      <c r="B1642" s="7"/>
      <c r="C1642" s="7"/>
    </row>
    <row r="1643" spans="1:3" x14ac:dyDescent="0.35">
      <c r="A1643" s="6"/>
      <c r="B1643" s="7"/>
      <c r="C1643" s="7"/>
    </row>
    <row r="1644" spans="1:3" x14ac:dyDescent="0.35">
      <c r="A1644" s="6"/>
      <c r="B1644" s="7"/>
      <c r="C1644" s="7"/>
    </row>
    <row r="1645" spans="1:3" x14ac:dyDescent="0.35">
      <c r="A1645" s="6"/>
      <c r="B1645" s="7"/>
      <c r="C1645" s="7"/>
    </row>
    <row r="1646" spans="1:3" x14ac:dyDescent="0.35">
      <c r="A1646" s="6"/>
      <c r="B1646" s="7"/>
      <c r="C1646" s="7"/>
    </row>
    <row r="1647" spans="1:3" x14ac:dyDescent="0.35">
      <c r="A1647" s="6"/>
      <c r="B1647" s="7"/>
      <c r="C1647" s="7"/>
    </row>
    <row r="1648" spans="1:3" x14ac:dyDescent="0.35">
      <c r="A1648" s="6"/>
      <c r="B1648" s="7"/>
      <c r="C1648" s="7"/>
    </row>
    <row r="1649" spans="1:3" x14ac:dyDescent="0.35">
      <c r="A1649" s="6"/>
      <c r="B1649" s="7"/>
      <c r="C1649" s="7"/>
    </row>
    <row r="1650" spans="1:3" x14ac:dyDescent="0.35">
      <c r="A1650" s="6"/>
      <c r="B1650" s="7"/>
      <c r="C1650" s="7"/>
    </row>
    <row r="1651" spans="1:3" x14ac:dyDescent="0.35">
      <c r="A1651" s="6"/>
      <c r="B1651" s="7"/>
      <c r="C1651" s="7"/>
    </row>
    <row r="1652" spans="1:3" x14ac:dyDescent="0.35">
      <c r="A1652" s="6"/>
      <c r="B1652" s="7"/>
      <c r="C1652" s="7"/>
    </row>
    <row r="1653" spans="1:3" x14ac:dyDescent="0.35">
      <c r="A1653" s="6"/>
      <c r="B1653" s="7"/>
      <c r="C1653" s="7"/>
    </row>
    <row r="1654" spans="1:3" x14ac:dyDescent="0.35">
      <c r="A1654" s="6"/>
      <c r="B1654" s="7"/>
      <c r="C1654" s="7"/>
    </row>
    <row r="1655" spans="1:3" x14ac:dyDescent="0.35">
      <c r="A1655" s="6"/>
      <c r="B1655" s="7"/>
      <c r="C1655" s="7"/>
    </row>
    <row r="1656" spans="1:3" x14ac:dyDescent="0.35">
      <c r="A1656" s="6"/>
      <c r="B1656" s="7"/>
      <c r="C1656" s="7"/>
    </row>
    <row r="1657" spans="1:3" x14ac:dyDescent="0.35">
      <c r="A1657" s="6"/>
      <c r="B1657" s="7"/>
      <c r="C1657" s="7"/>
    </row>
    <row r="1658" spans="1:3" x14ac:dyDescent="0.35">
      <c r="A1658" s="6"/>
      <c r="B1658" s="7"/>
      <c r="C1658" s="7"/>
    </row>
    <row r="1659" spans="1:3" x14ac:dyDescent="0.35">
      <c r="A1659" s="6"/>
      <c r="B1659" s="7"/>
      <c r="C1659" s="7"/>
    </row>
    <row r="1660" spans="1:3" x14ac:dyDescent="0.35">
      <c r="A1660" s="6"/>
      <c r="B1660" s="7"/>
      <c r="C1660" s="7"/>
    </row>
    <row r="1661" spans="1:3" x14ac:dyDescent="0.35">
      <c r="A1661" s="6"/>
      <c r="B1661" s="7"/>
      <c r="C1661" s="7"/>
    </row>
    <row r="1662" spans="1:3" x14ac:dyDescent="0.35">
      <c r="A1662" s="6"/>
      <c r="B1662" s="7"/>
      <c r="C1662" s="7"/>
    </row>
    <row r="1663" spans="1:3" x14ac:dyDescent="0.35">
      <c r="A1663" s="6"/>
      <c r="B1663" s="7"/>
      <c r="C1663" s="7"/>
    </row>
    <row r="1664" spans="1:3" x14ac:dyDescent="0.35">
      <c r="A1664" s="6"/>
      <c r="B1664" s="7"/>
      <c r="C1664" s="7"/>
    </row>
    <row r="1665" spans="1:3" x14ac:dyDescent="0.35">
      <c r="A1665" s="6"/>
      <c r="B1665" s="7"/>
      <c r="C1665" s="7"/>
    </row>
    <row r="1666" spans="1:3" x14ac:dyDescent="0.35">
      <c r="A1666" s="6"/>
      <c r="B1666" s="7"/>
      <c r="C1666" s="7"/>
    </row>
    <row r="1667" spans="1:3" x14ac:dyDescent="0.35">
      <c r="A1667" s="6"/>
      <c r="B1667" s="7"/>
      <c r="C1667" s="7"/>
    </row>
    <row r="1668" spans="1:3" x14ac:dyDescent="0.35">
      <c r="A1668" s="6"/>
      <c r="B1668" s="7"/>
      <c r="C1668" s="7"/>
    </row>
    <row r="1669" spans="1:3" x14ac:dyDescent="0.35">
      <c r="A1669" s="6"/>
      <c r="B1669" s="7"/>
      <c r="C1669" s="7"/>
    </row>
    <row r="1670" spans="1:3" x14ac:dyDescent="0.35">
      <c r="A1670" s="6"/>
      <c r="B1670" s="7"/>
      <c r="C1670" s="7"/>
    </row>
    <row r="1671" spans="1:3" x14ac:dyDescent="0.35">
      <c r="A1671" s="6"/>
      <c r="B1671" s="7"/>
      <c r="C1671" s="7"/>
    </row>
    <row r="1672" spans="1:3" x14ac:dyDescent="0.35">
      <c r="A1672" s="6"/>
      <c r="B1672" s="7"/>
      <c r="C1672" s="7"/>
    </row>
    <row r="1673" spans="1:3" x14ac:dyDescent="0.35">
      <c r="A1673" s="6"/>
      <c r="B1673" s="7"/>
      <c r="C1673" s="7"/>
    </row>
    <row r="1674" spans="1:3" x14ac:dyDescent="0.35">
      <c r="A1674" s="6"/>
      <c r="B1674" s="7"/>
      <c r="C1674" s="7"/>
    </row>
    <row r="1675" spans="1:3" x14ac:dyDescent="0.35">
      <c r="A1675" s="6"/>
      <c r="B1675" s="7"/>
      <c r="C1675" s="7"/>
    </row>
    <row r="1676" spans="1:3" x14ac:dyDescent="0.35">
      <c r="A1676" s="6"/>
      <c r="B1676" s="7"/>
      <c r="C1676" s="7"/>
    </row>
    <row r="1677" spans="1:3" x14ac:dyDescent="0.35">
      <c r="A1677" s="6"/>
      <c r="B1677" s="7"/>
      <c r="C1677" s="7"/>
    </row>
    <row r="1678" spans="1:3" x14ac:dyDescent="0.35">
      <c r="A1678" s="6"/>
      <c r="B1678" s="7"/>
      <c r="C1678" s="7"/>
    </row>
    <row r="1679" spans="1:3" x14ac:dyDescent="0.35">
      <c r="A1679" s="6"/>
      <c r="B1679" s="7"/>
      <c r="C1679" s="7"/>
    </row>
    <row r="1680" spans="1:3" x14ac:dyDescent="0.35">
      <c r="A1680" s="6"/>
      <c r="B1680" s="7"/>
      <c r="C1680" s="7"/>
    </row>
    <row r="1681" spans="1:3" x14ac:dyDescent="0.35">
      <c r="A1681" s="6"/>
      <c r="B1681" s="7"/>
      <c r="C1681" s="7"/>
    </row>
    <row r="1682" spans="1:3" x14ac:dyDescent="0.35">
      <c r="A1682" s="6"/>
      <c r="B1682" s="7"/>
      <c r="C1682" s="7"/>
    </row>
    <row r="1683" spans="1:3" x14ac:dyDescent="0.35">
      <c r="A1683" s="6"/>
      <c r="B1683" s="7"/>
      <c r="C1683" s="7"/>
    </row>
    <row r="1684" spans="1:3" x14ac:dyDescent="0.35">
      <c r="A1684" s="6"/>
      <c r="B1684" s="7"/>
      <c r="C1684" s="7"/>
    </row>
    <row r="1685" spans="1:3" x14ac:dyDescent="0.35">
      <c r="A1685" s="6"/>
      <c r="B1685" s="7"/>
      <c r="C1685" s="7"/>
    </row>
    <row r="1686" spans="1:3" x14ac:dyDescent="0.35">
      <c r="A1686" s="6"/>
      <c r="B1686" s="7"/>
      <c r="C1686" s="7"/>
    </row>
    <row r="1687" spans="1:3" x14ac:dyDescent="0.35">
      <c r="A1687" s="6"/>
      <c r="B1687" s="7"/>
      <c r="C1687" s="7"/>
    </row>
    <row r="1688" spans="1:3" x14ac:dyDescent="0.35">
      <c r="A1688" s="6"/>
      <c r="B1688" s="7"/>
      <c r="C1688" s="7"/>
    </row>
    <row r="1689" spans="1:3" x14ac:dyDescent="0.35">
      <c r="A1689" s="6"/>
      <c r="B1689" s="7"/>
      <c r="C1689" s="7"/>
    </row>
    <row r="1690" spans="1:3" x14ac:dyDescent="0.35">
      <c r="A1690" s="6"/>
      <c r="B1690" s="7"/>
      <c r="C1690" s="7"/>
    </row>
    <row r="1691" spans="1:3" x14ac:dyDescent="0.35">
      <c r="A1691" s="6"/>
      <c r="B1691" s="7"/>
      <c r="C1691" s="7"/>
    </row>
    <row r="1692" spans="1:3" x14ac:dyDescent="0.35">
      <c r="A1692" s="6"/>
      <c r="B1692" s="7"/>
      <c r="C1692" s="7"/>
    </row>
    <row r="1693" spans="1:3" x14ac:dyDescent="0.35">
      <c r="A1693" s="6"/>
      <c r="B1693" s="7"/>
      <c r="C1693" s="7"/>
    </row>
    <row r="1694" spans="1:3" x14ac:dyDescent="0.35">
      <c r="A1694" s="6"/>
      <c r="B1694" s="7"/>
      <c r="C1694" s="7"/>
    </row>
    <row r="1695" spans="1:3" x14ac:dyDescent="0.35">
      <c r="A1695" s="6"/>
      <c r="B1695" s="7"/>
      <c r="C1695" s="7"/>
    </row>
    <row r="1696" spans="1:3" x14ac:dyDescent="0.35">
      <c r="A1696" s="6"/>
      <c r="B1696" s="7"/>
      <c r="C1696" s="7"/>
    </row>
    <row r="1697" spans="1:3" x14ac:dyDescent="0.35">
      <c r="A1697" s="6"/>
      <c r="B1697" s="7"/>
      <c r="C1697" s="7"/>
    </row>
    <row r="1698" spans="1:3" x14ac:dyDescent="0.35">
      <c r="A1698" s="6"/>
      <c r="B1698" s="7"/>
      <c r="C1698" s="7"/>
    </row>
    <row r="1699" spans="1:3" x14ac:dyDescent="0.35">
      <c r="A1699" s="6"/>
      <c r="B1699" s="7"/>
      <c r="C1699" s="7"/>
    </row>
    <row r="1700" spans="1:3" x14ac:dyDescent="0.35">
      <c r="A1700" s="6"/>
      <c r="B1700" s="7"/>
      <c r="C1700" s="7"/>
    </row>
    <row r="1701" spans="1:3" x14ac:dyDescent="0.35">
      <c r="A1701" s="6"/>
      <c r="B1701" s="7"/>
      <c r="C1701" s="7"/>
    </row>
    <row r="1702" spans="1:3" x14ac:dyDescent="0.35">
      <c r="A1702" s="6"/>
      <c r="B1702" s="7"/>
      <c r="C1702" s="7"/>
    </row>
    <row r="1703" spans="1:3" x14ac:dyDescent="0.35">
      <c r="A1703" s="6"/>
      <c r="B1703" s="7"/>
      <c r="C1703" s="7"/>
    </row>
    <row r="1704" spans="1:3" x14ac:dyDescent="0.35">
      <c r="A1704" s="6"/>
      <c r="B1704" s="7"/>
      <c r="C1704" s="7"/>
    </row>
    <row r="1705" spans="1:3" x14ac:dyDescent="0.35">
      <c r="A1705" s="6"/>
      <c r="B1705" s="7"/>
      <c r="C1705" s="7"/>
    </row>
    <row r="1706" spans="1:3" x14ac:dyDescent="0.35">
      <c r="A1706" s="6"/>
      <c r="B1706" s="7"/>
      <c r="C1706" s="7"/>
    </row>
    <row r="1707" spans="1:3" x14ac:dyDescent="0.35">
      <c r="A1707" s="6"/>
      <c r="B1707" s="7"/>
      <c r="C1707" s="7"/>
    </row>
    <row r="1708" spans="1:3" x14ac:dyDescent="0.35">
      <c r="A1708" s="6"/>
      <c r="B1708" s="7"/>
      <c r="C1708" s="7"/>
    </row>
    <row r="1709" spans="1:3" x14ac:dyDescent="0.35">
      <c r="A1709" s="6"/>
      <c r="B1709" s="7"/>
      <c r="C1709" s="7"/>
    </row>
    <row r="1710" spans="1:3" x14ac:dyDescent="0.35">
      <c r="A1710" s="6"/>
      <c r="B1710" s="7"/>
      <c r="C1710" s="7"/>
    </row>
    <row r="1711" spans="1:3" x14ac:dyDescent="0.35">
      <c r="A1711" s="6"/>
      <c r="B1711" s="7"/>
      <c r="C1711" s="7"/>
    </row>
    <row r="1712" spans="1:3" x14ac:dyDescent="0.35">
      <c r="A1712" s="6"/>
      <c r="B1712" s="7"/>
      <c r="C1712" s="7"/>
    </row>
    <row r="1713" spans="1:3" x14ac:dyDescent="0.35">
      <c r="A1713" s="6"/>
      <c r="B1713" s="7"/>
      <c r="C1713" s="7"/>
    </row>
    <row r="1714" spans="1:3" x14ac:dyDescent="0.35">
      <c r="A1714" s="6"/>
      <c r="B1714" s="7"/>
      <c r="C1714" s="7"/>
    </row>
    <row r="1715" spans="1:3" x14ac:dyDescent="0.35">
      <c r="A1715" s="6"/>
      <c r="B1715" s="7"/>
      <c r="C1715" s="7"/>
    </row>
    <row r="1716" spans="1:3" x14ac:dyDescent="0.35">
      <c r="A1716" s="6"/>
      <c r="B1716" s="7"/>
      <c r="C1716" s="7"/>
    </row>
    <row r="1717" spans="1:3" x14ac:dyDescent="0.35">
      <c r="A1717" s="6"/>
      <c r="B1717" s="7"/>
      <c r="C1717" s="7"/>
    </row>
    <row r="1718" spans="1:3" x14ac:dyDescent="0.35">
      <c r="A1718" s="6"/>
      <c r="B1718" s="7"/>
      <c r="C1718" s="7"/>
    </row>
    <row r="1719" spans="1:3" x14ac:dyDescent="0.35">
      <c r="A1719" s="6"/>
      <c r="B1719" s="7"/>
      <c r="C1719" s="7"/>
    </row>
    <row r="1720" spans="1:3" x14ac:dyDescent="0.35">
      <c r="A1720" s="6"/>
      <c r="B1720" s="7"/>
      <c r="C1720" s="7"/>
    </row>
    <row r="1721" spans="1:3" x14ac:dyDescent="0.35">
      <c r="A1721" s="6"/>
      <c r="B1721" s="7"/>
      <c r="C1721" s="7"/>
    </row>
    <row r="1722" spans="1:3" x14ac:dyDescent="0.35">
      <c r="A1722" s="6"/>
      <c r="B1722" s="7"/>
      <c r="C1722" s="7"/>
    </row>
    <row r="1723" spans="1:3" x14ac:dyDescent="0.35">
      <c r="A1723" s="6"/>
      <c r="B1723" s="7"/>
      <c r="C1723" s="7"/>
    </row>
    <row r="1724" spans="1:3" x14ac:dyDescent="0.35">
      <c r="A1724" s="6"/>
      <c r="B1724" s="7"/>
      <c r="C1724" s="7"/>
    </row>
    <row r="1725" spans="1:3" x14ac:dyDescent="0.35">
      <c r="A1725" s="6"/>
      <c r="B1725" s="7"/>
      <c r="C1725" s="7"/>
    </row>
    <row r="1726" spans="1:3" x14ac:dyDescent="0.35">
      <c r="A1726" s="6"/>
      <c r="B1726" s="7"/>
      <c r="C1726" s="7"/>
    </row>
    <row r="1727" spans="1:3" x14ac:dyDescent="0.35">
      <c r="A1727" s="6"/>
      <c r="B1727" s="7"/>
      <c r="C1727" s="7"/>
    </row>
    <row r="1728" spans="1:3" x14ac:dyDescent="0.35">
      <c r="A1728" s="6"/>
      <c r="B1728" s="7"/>
      <c r="C1728" s="7"/>
    </row>
    <row r="1729" spans="1:3" x14ac:dyDescent="0.35">
      <c r="A1729" s="6"/>
      <c r="B1729" s="7"/>
      <c r="C1729" s="7"/>
    </row>
    <row r="1730" spans="1:3" x14ac:dyDescent="0.35">
      <c r="A1730" s="6"/>
      <c r="B1730" s="7"/>
      <c r="C1730" s="7"/>
    </row>
    <row r="1731" spans="1:3" x14ac:dyDescent="0.35">
      <c r="A1731" s="6"/>
      <c r="B1731" s="7"/>
      <c r="C1731" s="7"/>
    </row>
    <row r="1732" spans="1:3" x14ac:dyDescent="0.35">
      <c r="A1732" s="6"/>
      <c r="B1732" s="7"/>
      <c r="C1732" s="7"/>
    </row>
    <row r="1733" spans="1:3" x14ac:dyDescent="0.35">
      <c r="A1733" s="6"/>
      <c r="B1733" s="7"/>
      <c r="C1733" s="7"/>
    </row>
    <row r="1734" spans="1:3" x14ac:dyDescent="0.35">
      <c r="A1734" s="6"/>
      <c r="B1734" s="7"/>
      <c r="C1734" s="7"/>
    </row>
    <row r="1735" spans="1:3" x14ac:dyDescent="0.35">
      <c r="A1735" s="6"/>
      <c r="B1735" s="7"/>
      <c r="C1735" s="7"/>
    </row>
    <row r="1736" spans="1:3" x14ac:dyDescent="0.35">
      <c r="A1736" s="6"/>
      <c r="B1736" s="7"/>
      <c r="C1736" s="7"/>
    </row>
    <row r="1737" spans="1:3" x14ac:dyDescent="0.35">
      <c r="A1737" s="6"/>
      <c r="B1737" s="7"/>
      <c r="C1737" s="7"/>
    </row>
    <row r="1738" spans="1:3" x14ac:dyDescent="0.35">
      <c r="A1738" s="6"/>
      <c r="B1738" s="7"/>
      <c r="C1738" s="7"/>
    </row>
    <row r="1739" spans="1:3" x14ac:dyDescent="0.35">
      <c r="A1739" s="6"/>
      <c r="B1739" s="7"/>
      <c r="C1739" s="7"/>
    </row>
    <row r="1740" spans="1:3" x14ac:dyDescent="0.35">
      <c r="A1740" s="6"/>
      <c r="B1740" s="7"/>
      <c r="C1740" s="7"/>
    </row>
    <row r="1741" spans="1:3" x14ac:dyDescent="0.35">
      <c r="A1741" s="6"/>
      <c r="B1741" s="7"/>
      <c r="C1741" s="7"/>
    </row>
    <row r="1742" spans="1:3" x14ac:dyDescent="0.35">
      <c r="A1742" s="6"/>
      <c r="B1742" s="7"/>
      <c r="C1742" s="7"/>
    </row>
    <row r="1743" spans="1:3" x14ac:dyDescent="0.35">
      <c r="A1743" s="6"/>
      <c r="B1743" s="7"/>
      <c r="C1743" s="7"/>
    </row>
    <row r="1744" spans="1:3" x14ac:dyDescent="0.35">
      <c r="A1744" s="6"/>
      <c r="B1744" s="7"/>
      <c r="C1744" s="7"/>
    </row>
    <row r="1745" spans="1:3" x14ac:dyDescent="0.35">
      <c r="A1745" s="6"/>
      <c r="B1745" s="7"/>
      <c r="C1745" s="7"/>
    </row>
    <row r="1746" spans="1:3" x14ac:dyDescent="0.35">
      <c r="A1746" s="6"/>
      <c r="B1746" s="7"/>
      <c r="C1746" s="7"/>
    </row>
    <row r="1747" spans="1:3" x14ac:dyDescent="0.35">
      <c r="A1747" s="6"/>
      <c r="B1747" s="7"/>
      <c r="C1747" s="7"/>
    </row>
    <row r="1748" spans="1:3" x14ac:dyDescent="0.35">
      <c r="A1748" s="6"/>
      <c r="B1748" s="7"/>
      <c r="C1748" s="7"/>
    </row>
    <row r="1749" spans="1:3" x14ac:dyDescent="0.35">
      <c r="A1749" s="6"/>
      <c r="B1749" s="7"/>
      <c r="C1749" s="7"/>
    </row>
    <row r="1750" spans="1:3" x14ac:dyDescent="0.35">
      <c r="A1750" s="6"/>
      <c r="B1750" s="7"/>
      <c r="C1750" s="7"/>
    </row>
    <row r="1751" spans="1:3" x14ac:dyDescent="0.35">
      <c r="A1751" s="6"/>
      <c r="B1751" s="7"/>
      <c r="C1751" s="7"/>
    </row>
    <row r="1752" spans="1:3" x14ac:dyDescent="0.35">
      <c r="A1752" s="6"/>
      <c r="B1752" s="7"/>
      <c r="C1752" s="7"/>
    </row>
    <row r="1753" spans="1:3" x14ac:dyDescent="0.35">
      <c r="A1753" s="6"/>
      <c r="B1753" s="7"/>
      <c r="C1753" s="7"/>
    </row>
    <row r="1754" spans="1:3" x14ac:dyDescent="0.35">
      <c r="A1754" s="6"/>
      <c r="B1754" s="7"/>
      <c r="C1754" s="7"/>
    </row>
    <row r="1755" spans="1:3" x14ac:dyDescent="0.35">
      <c r="A1755" s="6"/>
      <c r="B1755" s="7"/>
      <c r="C1755" s="7"/>
    </row>
    <row r="1756" spans="1:3" x14ac:dyDescent="0.35">
      <c r="A1756" s="6"/>
      <c r="B1756" s="7"/>
      <c r="C1756" s="7"/>
    </row>
    <row r="1757" spans="1:3" x14ac:dyDescent="0.35">
      <c r="A1757" s="6"/>
      <c r="B1757" s="7"/>
      <c r="C1757" s="7"/>
    </row>
    <row r="1758" spans="1:3" x14ac:dyDescent="0.35">
      <c r="A1758" s="6"/>
      <c r="B1758" s="7"/>
      <c r="C1758" s="7"/>
    </row>
    <row r="1759" spans="1:3" x14ac:dyDescent="0.35">
      <c r="A1759" s="6"/>
      <c r="B1759" s="7"/>
      <c r="C1759" s="7"/>
    </row>
    <row r="1760" spans="1:3" x14ac:dyDescent="0.35">
      <c r="A1760" s="6"/>
      <c r="B1760" s="7"/>
      <c r="C1760" s="7"/>
    </row>
    <row r="1761" spans="1:3" x14ac:dyDescent="0.35">
      <c r="A1761" s="6"/>
      <c r="B1761" s="7"/>
      <c r="C1761" s="7"/>
    </row>
    <row r="1762" spans="1:3" x14ac:dyDescent="0.35">
      <c r="A1762" s="6"/>
      <c r="B1762" s="7"/>
      <c r="C1762" s="7"/>
    </row>
    <row r="1763" spans="1:3" x14ac:dyDescent="0.35">
      <c r="A1763" s="6"/>
      <c r="B1763" s="7"/>
      <c r="C1763" s="7"/>
    </row>
    <row r="1764" spans="1:3" x14ac:dyDescent="0.35">
      <c r="A1764" s="6"/>
      <c r="B1764" s="7"/>
      <c r="C1764" s="7"/>
    </row>
    <row r="1765" spans="1:3" x14ac:dyDescent="0.35">
      <c r="A1765" s="6"/>
      <c r="B1765" s="7"/>
      <c r="C1765" s="7"/>
    </row>
    <row r="1766" spans="1:3" x14ac:dyDescent="0.35">
      <c r="A1766" s="6"/>
      <c r="B1766" s="7"/>
      <c r="C1766" s="7"/>
    </row>
    <row r="1767" spans="1:3" x14ac:dyDescent="0.35">
      <c r="A1767" s="6"/>
      <c r="B1767" s="7"/>
      <c r="C1767" s="7"/>
    </row>
    <row r="1768" spans="1:3" x14ac:dyDescent="0.35">
      <c r="A1768" s="6"/>
      <c r="B1768" s="7"/>
      <c r="C1768" s="7"/>
    </row>
    <row r="1769" spans="1:3" x14ac:dyDescent="0.35">
      <c r="A1769" s="6"/>
      <c r="B1769" s="7"/>
      <c r="C1769" s="7"/>
    </row>
    <row r="1770" spans="1:3" x14ac:dyDescent="0.35">
      <c r="A1770" s="6"/>
      <c r="B1770" s="7"/>
      <c r="C1770" s="7"/>
    </row>
    <row r="1771" spans="1:3" x14ac:dyDescent="0.35">
      <c r="A1771" s="6"/>
      <c r="B1771" s="7"/>
      <c r="C1771" s="7"/>
    </row>
    <row r="1772" spans="1:3" x14ac:dyDescent="0.35">
      <c r="A1772" s="6"/>
      <c r="B1772" s="7"/>
      <c r="C1772" s="7"/>
    </row>
    <row r="1773" spans="1:3" x14ac:dyDescent="0.35">
      <c r="A1773" s="6"/>
      <c r="B1773" s="7"/>
      <c r="C1773" s="7"/>
    </row>
    <row r="1774" spans="1:3" x14ac:dyDescent="0.35">
      <c r="A1774" s="6"/>
      <c r="B1774" s="7"/>
      <c r="C1774" s="7"/>
    </row>
    <row r="1775" spans="1:3" x14ac:dyDescent="0.35">
      <c r="A1775" s="6"/>
      <c r="B1775" s="7"/>
      <c r="C1775" s="7"/>
    </row>
    <row r="1776" spans="1:3" x14ac:dyDescent="0.35">
      <c r="A1776" s="6"/>
      <c r="B1776" s="7"/>
      <c r="C1776" s="7"/>
    </row>
    <row r="1777" spans="1:3" x14ac:dyDescent="0.35">
      <c r="A1777" s="6"/>
      <c r="B1777" s="7"/>
      <c r="C1777" s="7"/>
    </row>
    <row r="1778" spans="1:3" x14ac:dyDescent="0.35">
      <c r="A1778" s="6"/>
      <c r="B1778" s="7"/>
      <c r="C1778" s="7"/>
    </row>
    <row r="1779" spans="1:3" x14ac:dyDescent="0.35">
      <c r="A1779" s="6"/>
      <c r="B1779" s="7"/>
      <c r="C1779" s="7"/>
    </row>
    <row r="1780" spans="1:3" x14ac:dyDescent="0.35">
      <c r="A1780" s="6"/>
      <c r="B1780" s="7"/>
      <c r="C1780" s="7"/>
    </row>
    <row r="1781" spans="1:3" x14ac:dyDescent="0.35">
      <c r="A1781" s="6"/>
      <c r="B1781" s="7"/>
      <c r="C1781" s="7"/>
    </row>
    <row r="1782" spans="1:3" x14ac:dyDescent="0.35">
      <c r="A1782" s="6"/>
      <c r="B1782" s="7"/>
      <c r="C1782" s="7"/>
    </row>
    <row r="1783" spans="1:3" x14ac:dyDescent="0.35">
      <c r="A1783" s="6"/>
      <c r="B1783" s="7"/>
      <c r="C1783" s="7"/>
    </row>
    <row r="1784" spans="1:3" x14ac:dyDescent="0.35">
      <c r="A1784" s="6"/>
      <c r="B1784" s="7"/>
      <c r="C1784" s="7"/>
    </row>
    <row r="1785" spans="1:3" x14ac:dyDescent="0.35">
      <c r="A1785" s="6"/>
      <c r="B1785" s="7"/>
      <c r="C1785" s="7"/>
    </row>
    <row r="1786" spans="1:3" x14ac:dyDescent="0.35">
      <c r="A1786" s="6"/>
      <c r="B1786" s="7"/>
      <c r="C1786" s="7"/>
    </row>
    <row r="1787" spans="1:3" x14ac:dyDescent="0.35">
      <c r="A1787" s="6"/>
      <c r="B1787" s="7"/>
      <c r="C1787" s="7"/>
    </row>
    <row r="1788" spans="1:3" x14ac:dyDescent="0.35">
      <c r="A1788" s="6"/>
      <c r="B1788" s="7"/>
      <c r="C1788" s="7"/>
    </row>
    <row r="1789" spans="1:3" x14ac:dyDescent="0.35">
      <c r="A1789" s="6"/>
      <c r="B1789" s="7"/>
      <c r="C1789" s="7"/>
    </row>
    <row r="1790" spans="1:3" x14ac:dyDescent="0.35">
      <c r="A1790" s="6"/>
      <c r="B1790" s="7"/>
      <c r="C1790" s="7"/>
    </row>
    <row r="1791" spans="1:3" x14ac:dyDescent="0.35">
      <c r="A1791" s="6"/>
      <c r="B1791" s="7"/>
      <c r="C1791" s="7"/>
    </row>
    <row r="1792" spans="1:3" x14ac:dyDescent="0.35">
      <c r="A1792" s="6"/>
      <c r="B1792" s="7"/>
      <c r="C1792" s="7"/>
    </row>
    <row r="1793" spans="1:3" x14ac:dyDescent="0.35">
      <c r="A1793" s="6"/>
      <c r="B1793" s="7"/>
      <c r="C1793" s="7"/>
    </row>
    <row r="1794" spans="1:3" x14ac:dyDescent="0.35">
      <c r="A1794" s="6"/>
      <c r="B1794" s="7"/>
      <c r="C1794" s="7"/>
    </row>
    <row r="1795" spans="1:3" x14ac:dyDescent="0.35">
      <c r="A1795" s="6"/>
      <c r="B1795" s="7"/>
      <c r="C1795" s="7"/>
    </row>
    <row r="1796" spans="1:3" x14ac:dyDescent="0.35">
      <c r="A1796" s="6"/>
      <c r="B1796" s="7"/>
      <c r="C1796" s="7"/>
    </row>
    <row r="1797" spans="1:3" x14ac:dyDescent="0.35">
      <c r="A1797" s="6"/>
      <c r="B1797" s="7"/>
      <c r="C1797" s="7"/>
    </row>
    <row r="1798" spans="1:3" x14ac:dyDescent="0.35">
      <c r="A1798" s="6"/>
      <c r="B1798" s="7"/>
      <c r="C1798" s="7"/>
    </row>
    <row r="1799" spans="1:3" x14ac:dyDescent="0.35">
      <c r="A1799" s="6"/>
      <c r="B1799" s="7"/>
      <c r="C1799" s="7"/>
    </row>
    <row r="1800" spans="1:3" x14ac:dyDescent="0.35">
      <c r="A1800" s="6"/>
      <c r="B1800" s="7"/>
      <c r="C1800" s="7"/>
    </row>
    <row r="1801" spans="1:3" x14ac:dyDescent="0.35">
      <c r="A1801" s="6"/>
      <c r="B1801" s="7"/>
      <c r="C1801" s="7"/>
    </row>
    <row r="1802" spans="1:3" x14ac:dyDescent="0.35">
      <c r="A1802" s="6"/>
      <c r="B1802" s="7"/>
      <c r="C1802" s="7"/>
    </row>
    <row r="1803" spans="1:3" x14ac:dyDescent="0.35">
      <c r="A1803" s="6"/>
      <c r="B1803" s="7"/>
      <c r="C1803" s="7"/>
    </row>
  </sheetData>
  <autoFilter ref="A2:C366" xr:uid="{ED666273-201B-4E20-886A-0CBC3DCCBBFA}">
    <sortState xmlns:xlrd2="http://schemas.microsoft.com/office/spreadsheetml/2017/richdata2" ref="A3:C366">
      <sortCondition ref="A2:A36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Araújo Fontes</cp:lastModifiedBy>
  <dcterms:created xsi:type="dcterms:W3CDTF">2025-09-10T20:42:46Z</dcterms:created>
  <dcterms:modified xsi:type="dcterms:W3CDTF">2025-09-10T21:53:23Z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1442008046</vt:lpwstr>
  </property>
  <property fmtid="{D5CDD505-2E9C-101B-9397-08002B2CF9AE}" pid="3" name="EcoUpdateMessage">
    <vt:lpwstr>2025/09/10-21:47:26</vt:lpwstr>
  </property>
  <property fmtid="{D5CDD505-2E9C-101B-9397-08002B2CF9AE}" pid="4" name="EcoUpdateStatus">
    <vt:lpwstr>2025-09-10=BRA:St,ME,Fd,TP;USA:St,ME;ARG:St,ME,TP;MEX:St,ME,Fd;CHL:St,ME;SAU:St|2022-10-17=USA:TP|2025-09-09=ARG:Fd;MEX:TP;CHL:Fd;COL:St,ME,Fd;PER:St,ME,Fd|2021-11-17=CHL:TP|2014-02-26=VEN:St|2002-11-08=JPN:St|2025-09-04=GBR:St,ME|2016-08-18=NNN:St|2025-09-08=PER:TP|2007-01-31=ESP:St|2003-01-29=CHN:St|2003-01-28=TWN:St|2003-01-30=HKG:St;KOR:St|2023-01-19=OTH:St|2025-06-24=PAN:St|2024-06-24=SAU:ME</vt:lpwstr>
  </property>
</Properties>
</file>