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sset Management\Equipe\Emanuel\0.1-Risco\Risco2\antiga_metodologia\"/>
    </mc:Choice>
  </mc:AlternateContent>
  <xr:revisionPtr revIDLastSave="0" documentId="13_ncr:1_{752F9BEB-12CB-40AF-8A23-B8D6D4648B73}" xr6:coauthVersionLast="47" xr6:coauthVersionMax="47" xr10:uidLastSave="{00000000-0000-0000-0000-000000000000}"/>
  <bookViews>
    <workbookView xWindow="-38520" yWindow="-120" windowWidth="38640" windowHeight="15720" xr2:uid="{DB611C37-882F-45ED-BFD5-81C8FE31AB9E}"/>
  </bookViews>
  <sheets>
    <sheet name="Planilha1" sheetId="1" r:id="rId1"/>
    <sheet name="FERIADO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11" i="1" l="1"/>
  <c r="AV10" i="1"/>
  <c r="AM2222" i="1"/>
  <c r="AN2222" i="1" s="1"/>
  <c r="AM2221" i="1"/>
  <c r="AM2220" i="1"/>
  <c r="AM2219" i="1"/>
  <c r="AM2218" i="1"/>
  <c r="AM2217" i="1"/>
  <c r="AM2216" i="1"/>
  <c r="AM2215" i="1"/>
  <c r="AM2214" i="1"/>
  <c r="AM2213" i="1"/>
  <c r="AM2212" i="1"/>
  <c r="AM2211" i="1"/>
  <c r="AM2210" i="1"/>
  <c r="AM2209" i="1"/>
  <c r="AM2208" i="1"/>
  <c r="AM2207" i="1"/>
  <c r="AM2206" i="1"/>
  <c r="AM2205" i="1"/>
  <c r="AM2204" i="1"/>
  <c r="AM2203" i="1"/>
  <c r="AM2202" i="1"/>
  <c r="AM2201" i="1"/>
  <c r="AM2200" i="1"/>
  <c r="AM2199" i="1"/>
  <c r="AM2198" i="1"/>
  <c r="AM2197" i="1"/>
  <c r="AM2196" i="1"/>
  <c r="AM2195" i="1"/>
  <c r="AM2194" i="1"/>
  <c r="AM2193" i="1"/>
  <c r="AM2192" i="1"/>
  <c r="AM2191" i="1"/>
  <c r="AM2190" i="1"/>
  <c r="AM2189" i="1"/>
  <c r="AM2188" i="1"/>
  <c r="AM2187" i="1"/>
  <c r="AM2186" i="1"/>
  <c r="AM2185" i="1"/>
  <c r="AM2184" i="1"/>
  <c r="AM2183" i="1"/>
  <c r="AM2182" i="1"/>
  <c r="AM2181" i="1"/>
  <c r="AM2180" i="1"/>
  <c r="AM2179" i="1"/>
  <c r="AM2178" i="1"/>
  <c r="AM2177" i="1"/>
  <c r="AM2176" i="1"/>
  <c r="AM2175" i="1"/>
  <c r="AM2174" i="1"/>
  <c r="AM2173" i="1"/>
  <c r="AM2172" i="1"/>
  <c r="AM2171" i="1"/>
  <c r="AM2170" i="1"/>
  <c r="AM2169" i="1"/>
  <c r="AM2168" i="1"/>
  <c r="AM2167" i="1"/>
  <c r="AM2166" i="1"/>
  <c r="AM2165" i="1"/>
  <c r="AM2164" i="1"/>
  <c r="AM2163" i="1"/>
  <c r="AM2162" i="1"/>
  <c r="AM2161" i="1"/>
  <c r="AM2160" i="1"/>
  <c r="AM2159" i="1"/>
  <c r="AM2158" i="1"/>
  <c r="AM2157" i="1"/>
  <c r="AM2156" i="1"/>
  <c r="AM2155" i="1"/>
  <c r="AM2154" i="1"/>
  <c r="AM2153" i="1"/>
  <c r="AM2152" i="1"/>
  <c r="AM2151" i="1"/>
  <c r="AM2150" i="1"/>
  <c r="AM2149" i="1"/>
  <c r="AM2148" i="1"/>
  <c r="AM2147" i="1"/>
  <c r="AM2146" i="1"/>
  <c r="AM2145" i="1"/>
  <c r="AM2144" i="1"/>
  <c r="AM2143" i="1"/>
  <c r="AM2142" i="1"/>
  <c r="AM2141" i="1"/>
  <c r="AM2140" i="1"/>
  <c r="AM2139" i="1"/>
  <c r="AM2138" i="1"/>
  <c r="AM2137" i="1"/>
  <c r="AM2136" i="1"/>
  <c r="AM2135" i="1"/>
  <c r="AM2134" i="1"/>
  <c r="AM2133" i="1"/>
  <c r="AM2132" i="1"/>
  <c r="AM2131" i="1"/>
  <c r="AM2130" i="1"/>
  <c r="AM2129" i="1"/>
  <c r="AM2128" i="1"/>
  <c r="AM2127" i="1"/>
  <c r="AM2126" i="1"/>
  <c r="AM2125" i="1"/>
  <c r="AM2124" i="1"/>
  <c r="AM2123" i="1"/>
  <c r="AM2122" i="1"/>
  <c r="AM2121" i="1"/>
  <c r="AM2120" i="1"/>
  <c r="AM2119" i="1"/>
  <c r="AM2118" i="1"/>
  <c r="AM2117" i="1"/>
  <c r="AM2116" i="1"/>
  <c r="AM2115" i="1"/>
  <c r="AM2114" i="1"/>
  <c r="AM2113" i="1"/>
  <c r="AM2112" i="1"/>
  <c r="AM2111" i="1"/>
  <c r="AM2110" i="1"/>
  <c r="AM2109" i="1"/>
  <c r="AM2108" i="1"/>
  <c r="AM2107" i="1"/>
  <c r="AM2106" i="1"/>
  <c r="AM2105" i="1"/>
  <c r="AM2104" i="1"/>
  <c r="AM2103" i="1"/>
  <c r="AM2102" i="1"/>
  <c r="AM2101" i="1"/>
  <c r="AM2100" i="1"/>
  <c r="AM2099" i="1"/>
  <c r="AM2098" i="1"/>
  <c r="AM2097" i="1"/>
  <c r="AM2096" i="1"/>
  <c r="AM2095" i="1"/>
  <c r="AM2094" i="1"/>
  <c r="AM2093" i="1"/>
  <c r="AM2092" i="1"/>
  <c r="AM2091" i="1"/>
  <c r="AM2090" i="1"/>
  <c r="AM2089" i="1"/>
  <c r="AM2088" i="1"/>
  <c r="AM2087" i="1"/>
  <c r="AM2086" i="1"/>
  <c r="AM2085" i="1"/>
  <c r="AM2084" i="1"/>
  <c r="AM2083" i="1"/>
  <c r="AM2082" i="1"/>
  <c r="AM2081" i="1"/>
  <c r="AM2080" i="1"/>
  <c r="AM2079" i="1"/>
  <c r="AM2078" i="1"/>
  <c r="AM2077" i="1"/>
  <c r="AM2076" i="1"/>
  <c r="AM2075" i="1"/>
  <c r="AM2074" i="1"/>
  <c r="AM2073" i="1"/>
  <c r="AM2072" i="1"/>
  <c r="AM2071" i="1"/>
  <c r="AM2070" i="1"/>
  <c r="AM2069" i="1"/>
  <c r="AM2068" i="1"/>
  <c r="AM2067" i="1"/>
  <c r="AM2066" i="1"/>
  <c r="AM2065" i="1"/>
  <c r="AM2064" i="1"/>
  <c r="AM2063" i="1"/>
  <c r="AM2062" i="1"/>
  <c r="AM2061" i="1"/>
  <c r="AM2060" i="1"/>
  <c r="AM2059" i="1"/>
  <c r="AM2058" i="1"/>
  <c r="AM2057" i="1"/>
  <c r="AM2056" i="1"/>
  <c r="AM2055" i="1"/>
  <c r="AM2054" i="1"/>
  <c r="AM2053" i="1"/>
  <c r="AM2052" i="1"/>
  <c r="AM2051" i="1"/>
  <c r="AM2050" i="1"/>
  <c r="AM2049" i="1"/>
  <c r="AM2048" i="1"/>
  <c r="AM2047" i="1"/>
  <c r="AM2046" i="1"/>
  <c r="AM2045" i="1"/>
  <c r="AM2044" i="1"/>
  <c r="AM2043" i="1"/>
  <c r="AM2042" i="1"/>
  <c r="AM2041" i="1"/>
  <c r="AM2040" i="1"/>
  <c r="AM2039" i="1"/>
  <c r="AM2038" i="1"/>
  <c r="AM2037" i="1"/>
  <c r="AM2036" i="1"/>
  <c r="AM2035" i="1"/>
  <c r="AM2034" i="1"/>
  <c r="AM2033" i="1"/>
  <c r="AM2032" i="1"/>
  <c r="AM2031" i="1"/>
  <c r="AM2030" i="1"/>
  <c r="AM2029" i="1"/>
  <c r="AM2028" i="1"/>
  <c r="AM2027" i="1"/>
  <c r="AM2026" i="1"/>
  <c r="AM2025" i="1"/>
  <c r="AM2024" i="1"/>
  <c r="AM2023" i="1"/>
  <c r="AM2022" i="1"/>
  <c r="AM2021" i="1"/>
  <c r="AM2020" i="1"/>
  <c r="AM2019" i="1"/>
  <c r="AM2018" i="1"/>
  <c r="AM2017" i="1"/>
  <c r="AM2016" i="1"/>
  <c r="AM2015" i="1"/>
  <c r="AM2014" i="1"/>
  <c r="AM2013" i="1"/>
  <c r="AM2012" i="1"/>
  <c r="AM2011" i="1"/>
  <c r="AM2010" i="1"/>
  <c r="AM2009" i="1"/>
  <c r="AM2008" i="1"/>
  <c r="AM2007" i="1"/>
  <c r="AM2006" i="1"/>
  <c r="AM2005" i="1"/>
  <c r="AM2004" i="1"/>
  <c r="AM2003" i="1"/>
  <c r="AM2002" i="1"/>
  <c r="AM2001" i="1"/>
  <c r="AM2000" i="1"/>
  <c r="AM1999" i="1"/>
  <c r="AM1998" i="1"/>
  <c r="AM1997" i="1"/>
  <c r="AM1996" i="1"/>
  <c r="AM1995" i="1"/>
  <c r="AM1994" i="1"/>
  <c r="AM1993" i="1"/>
  <c r="AM1992" i="1"/>
  <c r="AM1991" i="1"/>
  <c r="AM1990" i="1"/>
  <c r="AM1989" i="1"/>
  <c r="AM1988" i="1"/>
  <c r="AM1987" i="1"/>
  <c r="AM1986" i="1"/>
  <c r="AM1985" i="1"/>
  <c r="AM1984" i="1"/>
  <c r="AM1983" i="1"/>
  <c r="AM1982" i="1"/>
  <c r="AM1981" i="1"/>
  <c r="AM1980" i="1"/>
  <c r="AM1979" i="1"/>
  <c r="AM1978" i="1"/>
  <c r="AM1977" i="1"/>
  <c r="AM1976" i="1"/>
  <c r="AM1975" i="1"/>
  <c r="AM1974" i="1"/>
  <c r="AM1973" i="1"/>
  <c r="AM1972" i="1"/>
  <c r="AM1971" i="1"/>
  <c r="AM1970" i="1"/>
  <c r="AM1969" i="1"/>
  <c r="AM1968" i="1"/>
  <c r="AM1967" i="1"/>
  <c r="AM1966" i="1"/>
  <c r="AM1965" i="1"/>
  <c r="AM1964" i="1"/>
  <c r="AM1963" i="1"/>
  <c r="AM1962" i="1"/>
  <c r="AM1961" i="1"/>
  <c r="AM1960" i="1"/>
  <c r="AM1959" i="1"/>
  <c r="AM1958" i="1"/>
  <c r="AM1957" i="1"/>
  <c r="AM1956" i="1"/>
  <c r="AM1955" i="1"/>
  <c r="AM1954" i="1"/>
  <c r="AM1953" i="1"/>
  <c r="AM1952" i="1"/>
  <c r="AM1951" i="1"/>
  <c r="AM1950" i="1"/>
  <c r="AM1949" i="1"/>
  <c r="AM1948" i="1"/>
  <c r="AM1947" i="1"/>
  <c r="AM1946" i="1"/>
  <c r="AM1945" i="1"/>
  <c r="AM1944" i="1"/>
  <c r="AM1943" i="1"/>
  <c r="AM1942" i="1"/>
  <c r="AM1941" i="1"/>
  <c r="AM1940" i="1"/>
  <c r="AM1939" i="1"/>
  <c r="AM1938" i="1"/>
  <c r="AM1937" i="1"/>
  <c r="AM1936" i="1"/>
  <c r="AM1935" i="1"/>
  <c r="AM1934" i="1"/>
  <c r="AM1933" i="1"/>
  <c r="AM1932" i="1"/>
  <c r="AM1931" i="1"/>
  <c r="AM1930" i="1"/>
  <c r="AM1929" i="1"/>
  <c r="AM1928" i="1"/>
  <c r="AM1927" i="1"/>
  <c r="AM1926" i="1"/>
  <c r="AM1925" i="1"/>
  <c r="AM1924" i="1"/>
  <c r="AM1923" i="1"/>
  <c r="AM1922" i="1"/>
  <c r="AM1921" i="1"/>
  <c r="AM1920" i="1"/>
  <c r="AM1919" i="1"/>
  <c r="AM1918" i="1"/>
  <c r="AM1917" i="1"/>
  <c r="AM1916" i="1"/>
  <c r="AM1915" i="1"/>
  <c r="AM1914" i="1"/>
  <c r="AM1913" i="1"/>
  <c r="AM1912" i="1"/>
  <c r="AM1911" i="1"/>
  <c r="AM1910" i="1"/>
  <c r="AM1909" i="1"/>
  <c r="AM1908" i="1"/>
  <c r="AM1907" i="1"/>
  <c r="AM1906" i="1"/>
  <c r="AM1905" i="1"/>
  <c r="AM1904" i="1"/>
  <c r="AM1903" i="1"/>
  <c r="AM1902" i="1"/>
  <c r="AM1901" i="1"/>
  <c r="AM1900" i="1"/>
  <c r="AM1899" i="1"/>
  <c r="AM1898" i="1"/>
  <c r="AM1897" i="1"/>
  <c r="AM1896" i="1"/>
  <c r="AM1895" i="1"/>
  <c r="AM1894" i="1"/>
  <c r="AM1893" i="1"/>
  <c r="AM1892" i="1"/>
  <c r="AM1891" i="1"/>
  <c r="AM1890" i="1"/>
  <c r="AM1889" i="1"/>
  <c r="AM1888" i="1"/>
  <c r="AM1887" i="1"/>
  <c r="AM1886" i="1"/>
  <c r="AM1885" i="1"/>
  <c r="AM1884" i="1"/>
  <c r="AM1883" i="1"/>
  <c r="AM1882" i="1"/>
  <c r="AM1881" i="1"/>
  <c r="AM1880" i="1"/>
  <c r="AM1879" i="1"/>
  <c r="AM1878" i="1"/>
  <c r="AM1877" i="1"/>
  <c r="AM1876" i="1"/>
  <c r="AM1875" i="1"/>
  <c r="AM1874" i="1"/>
  <c r="AM1873" i="1"/>
  <c r="AM1872" i="1"/>
  <c r="AM1871" i="1"/>
  <c r="AM1870" i="1"/>
  <c r="AM1869" i="1"/>
  <c r="AM1868" i="1"/>
  <c r="AM1867" i="1"/>
  <c r="AM1866" i="1"/>
  <c r="AM1865" i="1"/>
  <c r="AM1864" i="1"/>
  <c r="AM1863" i="1"/>
  <c r="AM1862" i="1"/>
  <c r="AM1861" i="1"/>
  <c r="AM1860" i="1"/>
  <c r="AM1859" i="1"/>
  <c r="AM1858" i="1"/>
  <c r="AM1857" i="1"/>
  <c r="AM1856" i="1"/>
  <c r="AM1855" i="1"/>
  <c r="AM1854" i="1"/>
  <c r="AM1853" i="1"/>
  <c r="AM1852" i="1"/>
  <c r="AM1851" i="1"/>
  <c r="AM1850" i="1"/>
  <c r="AM1849" i="1"/>
  <c r="AM1848" i="1"/>
  <c r="AM1847" i="1"/>
  <c r="AM1846" i="1"/>
  <c r="AM1845" i="1"/>
  <c r="AM1844" i="1"/>
  <c r="AM1843" i="1"/>
  <c r="AM1842" i="1"/>
  <c r="AM1841" i="1"/>
  <c r="AM1840" i="1"/>
  <c r="AM1839" i="1"/>
  <c r="AM1838" i="1"/>
  <c r="AM1837" i="1"/>
  <c r="AM1836" i="1"/>
  <c r="AM1835" i="1"/>
  <c r="AM1834" i="1"/>
  <c r="AM1833" i="1"/>
  <c r="AM1832" i="1"/>
  <c r="AM1831" i="1"/>
  <c r="AM1830" i="1"/>
  <c r="AM1829" i="1"/>
  <c r="AM1828" i="1"/>
  <c r="AM1827" i="1"/>
  <c r="AM1826" i="1"/>
  <c r="AM1825" i="1"/>
  <c r="AM1824" i="1"/>
  <c r="AM1823" i="1"/>
  <c r="AM1822" i="1"/>
  <c r="AM1821" i="1"/>
  <c r="AM1820" i="1"/>
  <c r="AM1819" i="1"/>
  <c r="AM1818" i="1"/>
  <c r="AM1817" i="1"/>
  <c r="AM1816" i="1"/>
  <c r="AM1815" i="1"/>
  <c r="AM1814" i="1"/>
  <c r="AM1813" i="1"/>
  <c r="AM1812" i="1"/>
  <c r="AM1811" i="1"/>
  <c r="AM1810" i="1"/>
  <c r="AM1809" i="1"/>
  <c r="AM1808" i="1"/>
  <c r="AM1807" i="1"/>
  <c r="AM1806" i="1"/>
  <c r="AM1805" i="1"/>
  <c r="AM1804" i="1"/>
  <c r="AM1803" i="1"/>
  <c r="AM1802" i="1"/>
  <c r="AM1801" i="1"/>
  <c r="AM1800" i="1"/>
  <c r="AM1799" i="1"/>
  <c r="AM1798" i="1"/>
  <c r="AM1797" i="1"/>
  <c r="AM1796" i="1"/>
  <c r="AM1795" i="1"/>
  <c r="AM1794" i="1"/>
  <c r="AM1793" i="1"/>
  <c r="AM1792" i="1"/>
  <c r="AM1791" i="1"/>
  <c r="AM1790" i="1"/>
  <c r="AM1789" i="1"/>
  <c r="AM1788" i="1"/>
  <c r="AM1787" i="1"/>
  <c r="AM1786" i="1"/>
  <c r="AM1785" i="1"/>
  <c r="AM1784" i="1"/>
  <c r="AM1783" i="1"/>
  <c r="AM1782" i="1"/>
  <c r="AM1781" i="1"/>
  <c r="AM1780" i="1"/>
  <c r="AM1779" i="1"/>
  <c r="AM1778" i="1"/>
  <c r="AM1777" i="1"/>
  <c r="AM1776" i="1"/>
  <c r="AM1775" i="1"/>
  <c r="AM1774" i="1"/>
  <c r="AM1773" i="1"/>
  <c r="AM1772" i="1"/>
  <c r="AM1771" i="1"/>
  <c r="AM1770" i="1"/>
  <c r="AM1769" i="1"/>
  <c r="AM1768" i="1"/>
  <c r="AM1767" i="1"/>
  <c r="AM1766" i="1"/>
  <c r="AM1765" i="1"/>
  <c r="AM1764" i="1"/>
  <c r="AM1763" i="1"/>
  <c r="AM1762" i="1"/>
  <c r="AM1761" i="1"/>
  <c r="AM1760" i="1"/>
  <c r="AM1759" i="1"/>
  <c r="AM1758" i="1"/>
  <c r="AM1757" i="1"/>
  <c r="AM1756" i="1"/>
  <c r="AM1755" i="1"/>
  <c r="AM1754" i="1"/>
  <c r="AM1753" i="1"/>
  <c r="AM1752" i="1"/>
  <c r="AM1751" i="1"/>
  <c r="AM1750" i="1"/>
  <c r="AM1749" i="1"/>
  <c r="AM1748" i="1"/>
  <c r="AM1747" i="1"/>
  <c r="AM1746" i="1"/>
  <c r="AM1745" i="1"/>
  <c r="AM1744" i="1"/>
  <c r="AM1743" i="1"/>
  <c r="AM1742" i="1"/>
  <c r="AM1741" i="1"/>
  <c r="AM1740" i="1"/>
  <c r="AM1739" i="1"/>
  <c r="AM1738" i="1"/>
  <c r="AM1737" i="1"/>
  <c r="AM1736" i="1"/>
  <c r="AM1735" i="1"/>
  <c r="AM1734" i="1"/>
  <c r="AM1733" i="1"/>
  <c r="AM1732" i="1"/>
  <c r="AM1731" i="1"/>
  <c r="AM1730" i="1"/>
  <c r="AM1729" i="1"/>
  <c r="AM1728" i="1"/>
  <c r="AM1727" i="1"/>
  <c r="AM1726" i="1"/>
  <c r="AM1725" i="1"/>
  <c r="AM1724" i="1"/>
  <c r="AM1723" i="1"/>
  <c r="AM1722" i="1"/>
  <c r="AM1721" i="1"/>
  <c r="AM1720" i="1"/>
  <c r="AM1719" i="1"/>
  <c r="AM1718" i="1"/>
  <c r="AM1717" i="1"/>
  <c r="AM1716" i="1"/>
  <c r="AM1715" i="1"/>
  <c r="AM1714" i="1"/>
  <c r="AM1713" i="1"/>
  <c r="AM1712" i="1"/>
  <c r="AM1711" i="1"/>
  <c r="AM1710" i="1"/>
  <c r="AM1709" i="1"/>
  <c r="AM1708" i="1"/>
  <c r="AM1707" i="1"/>
  <c r="AM1706" i="1"/>
  <c r="AM1705" i="1"/>
  <c r="AM1704" i="1"/>
  <c r="AM1703" i="1"/>
  <c r="AM1702" i="1"/>
  <c r="AM1701" i="1"/>
  <c r="AM1700" i="1"/>
  <c r="AM1699" i="1"/>
  <c r="AM1698" i="1"/>
  <c r="AM1697" i="1"/>
  <c r="AM1696" i="1"/>
  <c r="AM1695" i="1"/>
  <c r="AM1694" i="1"/>
  <c r="AM1693" i="1"/>
  <c r="AM1692" i="1"/>
  <c r="AM1691" i="1"/>
  <c r="AM1690" i="1"/>
  <c r="AM1689" i="1"/>
  <c r="AM1688" i="1"/>
  <c r="AM1687" i="1"/>
  <c r="AM1686" i="1"/>
  <c r="AM1685" i="1"/>
  <c r="AM1684" i="1"/>
  <c r="AM1683" i="1"/>
  <c r="AM1682" i="1"/>
  <c r="AM1681" i="1"/>
  <c r="AM1680" i="1"/>
  <c r="AM1679" i="1"/>
  <c r="AM1678" i="1"/>
  <c r="AM1677" i="1"/>
  <c r="AM1676" i="1"/>
  <c r="AM1675" i="1"/>
  <c r="AM1674" i="1"/>
  <c r="AM1673" i="1"/>
  <c r="AM1672" i="1"/>
  <c r="AM1671" i="1"/>
  <c r="AM1670" i="1"/>
  <c r="AM1669" i="1"/>
  <c r="AM1668" i="1"/>
  <c r="AM1667" i="1"/>
  <c r="AM1666" i="1"/>
  <c r="AM1665" i="1"/>
  <c r="AM1664" i="1"/>
  <c r="AM1663" i="1"/>
  <c r="AM1662" i="1"/>
  <c r="AM1661" i="1"/>
  <c r="AM1660" i="1"/>
  <c r="AM1659" i="1"/>
  <c r="AM1658" i="1"/>
  <c r="AM1657" i="1"/>
  <c r="AM1656" i="1"/>
  <c r="AM1655" i="1"/>
  <c r="AM1654" i="1"/>
  <c r="AM1653" i="1"/>
  <c r="AM1652" i="1"/>
  <c r="AM1651" i="1"/>
  <c r="AM1650" i="1"/>
  <c r="AM1649" i="1"/>
  <c r="AM1648" i="1"/>
  <c r="AM1647" i="1"/>
  <c r="AM1646" i="1"/>
  <c r="AM1645" i="1"/>
  <c r="AM1644" i="1"/>
  <c r="AM1643" i="1"/>
  <c r="AM1642" i="1"/>
  <c r="AM1641" i="1"/>
  <c r="AM1640" i="1"/>
  <c r="AM1639" i="1"/>
  <c r="AM1638" i="1"/>
  <c r="AM1637" i="1"/>
  <c r="AM1636" i="1"/>
  <c r="AM1635" i="1"/>
  <c r="AM1634" i="1"/>
  <c r="AM1633" i="1"/>
  <c r="AM1632" i="1"/>
  <c r="AM1631" i="1"/>
  <c r="AM1630" i="1"/>
  <c r="AM1629" i="1"/>
  <c r="AM1628" i="1"/>
  <c r="AM1627" i="1"/>
  <c r="AM1626" i="1"/>
  <c r="AM1625" i="1"/>
  <c r="AM1624" i="1"/>
  <c r="AM1623" i="1"/>
  <c r="AM1622" i="1"/>
  <c r="AM1621" i="1"/>
  <c r="AM1620" i="1"/>
  <c r="AM1619" i="1"/>
  <c r="AM1618" i="1"/>
  <c r="AM1617" i="1"/>
  <c r="AM1616" i="1"/>
  <c r="AM1615" i="1"/>
  <c r="AM1614" i="1"/>
  <c r="AM1613" i="1"/>
  <c r="AM1612" i="1"/>
  <c r="AM1611" i="1"/>
  <c r="AM1610" i="1"/>
  <c r="AM1609" i="1"/>
  <c r="AM1608" i="1"/>
  <c r="AM1607" i="1"/>
  <c r="AM1606" i="1"/>
  <c r="AM1605" i="1"/>
  <c r="AM1604" i="1"/>
  <c r="AM1603" i="1"/>
  <c r="AM1602" i="1"/>
  <c r="AM1601" i="1"/>
  <c r="AM1600" i="1"/>
  <c r="AM1599" i="1"/>
  <c r="AM1598" i="1"/>
  <c r="AM1597" i="1"/>
  <c r="AM1596" i="1"/>
  <c r="AM1595" i="1"/>
  <c r="AM1594" i="1"/>
  <c r="AM1593" i="1"/>
  <c r="AM1592" i="1"/>
  <c r="AM1591" i="1"/>
  <c r="AM1590" i="1"/>
  <c r="AM1589" i="1"/>
  <c r="AM1588" i="1"/>
  <c r="AM1587" i="1"/>
  <c r="AM1586" i="1"/>
  <c r="AM1585" i="1"/>
  <c r="AM1584" i="1"/>
  <c r="AM1583" i="1"/>
  <c r="AM1582" i="1"/>
  <c r="AM1581" i="1"/>
  <c r="AM1580" i="1"/>
  <c r="AM1579" i="1"/>
  <c r="AM1578" i="1"/>
  <c r="AM1577" i="1"/>
  <c r="AM1576" i="1"/>
  <c r="AM1575" i="1"/>
  <c r="AM1574" i="1"/>
  <c r="AM1573" i="1"/>
  <c r="AM1572" i="1"/>
  <c r="AM1571" i="1"/>
  <c r="AM1570" i="1"/>
  <c r="AM1569" i="1"/>
  <c r="AM1568" i="1"/>
  <c r="AM1567" i="1"/>
  <c r="AM1566" i="1"/>
  <c r="AM1565" i="1"/>
  <c r="AM1564" i="1"/>
  <c r="AM1563" i="1"/>
  <c r="AM1562" i="1"/>
  <c r="AM1561" i="1"/>
  <c r="AM1560" i="1"/>
  <c r="AM1559" i="1"/>
  <c r="AM1558" i="1"/>
  <c r="AM1557" i="1"/>
  <c r="AM1556" i="1"/>
  <c r="AM1555" i="1"/>
  <c r="AM1554" i="1"/>
  <c r="AM1553" i="1"/>
  <c r="AM1552" i="1"/>
  <c r="AM1551" i="1"/>
  <c r="AM1550" i="1"/>
  <c r="AM1549" i="1"/>
  <c r="AM1548" i="1"/>
  <c r="AM1547" i="1"/>
  <c r="AM1546" i="1"/>
  <c r="AM1545" i="1"/>
  <c r="AM1544" i="1"/>
  <c r="AM1543" i="1"/>
  <c r="AM1542" i="1"/>
  <c r="AM1541" i="1"/>
  <c r="AM1540" i="1"/>
  <c r="AM1539" i="1"/>
  <c r="AM1538" i="1"/>
  <c r="AM1537" i="1"/>
  <c r="AM1536" i="1"/>
  <c r="AM1535" i="1"/>
  <c r="AM1534" i="1"/>
  <c r="AM1533" i="1"/>
  <c r="AM1532" i="1"/>
  <c r="AM1531" i="1"/>
  <c r="AM1530" i="1"/>
  <c r="AM1529" i="1"/>
  <c r="AM1528" i="1"/>
  <c r="AM1527" i="1"/>
  <c r="AM1526" i="1"/>
  <c r="AM1525" i="1"/>
  <c r="AM1524" i="1"/>
  <c r="AM1523" i="1"/>
  <c r="AM1522" i="1"/>
  <c r="AM1521" i="1"/>
  <c r="AM1520" i="1"/>
  <c r="AM1519" i="1"/>
  <c r="AM1518" i="1"/>
  <c r="AM1517" i="1"/>
  <c r="AM1516" i="1"/>
  <c r="AM1515" i="1"/>
  <c r="AM1514" i="1"/>
  <c r="AM1513" i="1"/>
  <c r="AM1512" i="1"/>
  <c r="AM1511" i="1"/>
  <c r="AM1510" i="1"/>
  <c r="AM1509" i="1"/>
  <c r="AM1508" i="1"/>
  <c r="AM1507" i="1"/>
  <c r="AM1506" i="1"/>
  <c r="AM1505" i="1"/>
  <c r="AM1504" i="1"/>
  <c r="AM1503" i="1"/>
  <c r="AM1502" i="1"/>
  <c r="AM1501" i="1"/>
  <c r="AM1500" i="1"/>
  <c r="AM1499" i="1"/>
  <c r="AM1498" i="1"/>
  <c r="AM1497" i="1"/>
  <c r="AM1496" i="1"/>
  <c r="AM1495" i="1"/>
  <c r="AM1494" i="1"/>
  <c r="AM1493" i="1"/>
  <c r="AM1492" i="1"/>
  <c r="AM1491" i="1"/>
  <c r="AM1490" i="1"/>
  <c r="AM1489" i="1"/>
  <c r="AM1488" i="1"/>
  <c r="AM1487" i="1"/>
  <c r="AM1486" i="1"/>
  <c r="AM1485" i="1"/>
  <c r="AM1484" i="1"/>
  <c r="AM1483" i="1"/>
  <c r="AM1482" i="1"/>
  <c r="AM1481" i="1"/>
  <c r="AM1480" i="1"/>
  <c r="AM1479" i="1"/>
  <c r="AM1478" i="1"/>
  <c r="AM1477" i="1"/>
  <c r="AM1476" i="1"/>
  <c r="AM1475" i="1"/>
  <c r="AM1474" i="1"/>
  <c r="AM1473" i="1"/>
  <c r="AM1472" i="1"/>
  <c r="AM1471" i="1"/>
  <c r="AM1470" i="1"/>
  <c r="AM1469" i="1"/>
  <c r="AM1468" i="1"/>
  <c r="AM1467" i="1"/>
  <c r="AM1466" i="1"/>
  <c r="AM1465" i="1"/>
  <c r="AM1464" i="1"/>
  <c r="AM1463" i="1"/>
  <c r="AM1462" i="1"/>
  <c r="AM1461" i="1"/>
  <c r="AM1460" i="1"/>
  <c r="AM1459" i="1"/>
  <c r="AM1458" i="1"/>
  <c r="AM1457" i="1"/>
  <c r="AM1456" i="1"/>
  <c r="AM1455" i="1"/>
  <c r="AM1454" i="1"/>
  <c r="AM1453" i="1"/>
  <c r="AM1452" i="1"/>
  <c r="AM1451" i="1"/>
  <c r="AM1450" i="1"/>
  <c r="AM1449" i="1"/>
  <c r="AM1448" i="1"/>
  <c r="AM1447" i="1"/>
  <c r="AM1446" i="1"/>
  <c r="AM1445" i="1"/>
  <c r="AM1444" i="1"/>
  <c r="AM1443" i="1"/>
  <c r="AM1442" i="1"/>
  <c r="AM1441" i="1"/>
  <c r="AM1440" i="1"/>
  <c r="AM1439" i="1"/>
  <c r="AM1438" i="1"/>
  <c r="AM1437" i="1"/>
  <c r="AM1436" i="1"/>
  <c r="AM1435" i="1"/>
  <c r="AM1434" i="1"/>
  <c r="AM1433" i="1"/>
  <c r="AM1432" i="1"/>
  <c r="AM1431" i="1"/>
  <c r="AM1430" i="1"/>
  <c r="AM1429" i="1"/>
  <c r="AM1428" i="1"/>
  <c r="AM1427" i="1"/>
  <c r="AM1426" i="1"/>
  <c r="AM1425" i="1"/>
  <c r="AM1424" i="1"/>
  <c r="AM1423" i="1"/>
  <c r="AM1422" i="1"/>
  <c r="AM1421" i="1"/>
  <c r="AM1420" i="1"/>
  <c r="AM1419" i="1"/>
  <c r="AM1418" i="1"/>
  <c r="AM1417" i="1"/>
  <c r="AM1416" i="1"/>
  <c r="AM1415" i="1"/>
  <c r="AM1414" i="1"/>
  <c r="AM1413" i="1"/>
  <c r="AM1412" i="1"/>
  <c r="AM1411" i="1"/>
  <c r="AM1410" i="1"/>
  <c r="AM1409" i="1"/>
  <c r="AM1408" i="1"/>
  <c r="AM1407" i="1"/>
  <c r="AM1406" i="1"/>
  <c r="AM1405" i="1"/>
  <c r="AM1404" i="1"/>
  <c r="AM1403" i="1"/>
  <c r="AM1402" i="1"/>
  <c r="AM1401" i="1"/>
  <c r="AM1400" i="1"/>
  <c r="AM1399" i="1"/>
  <c r="AM1398" i="1"/>
  <c r="AM1397" i="1"/>
  <c r="AM1396" i="1"/>
  <c r="AM1395" i="1"/>
  <c r="AM1394" i="1"/>
  <c r="AM1393" i="1"/>
  <c r="AM1392" i="1"/>
  <c r="AM1391" i="1"/>
  <c r="AM1390" i="1"/>
  <c r="AM1389" i="1"/>
  <c r="AM1388" i="1"/>
  <c r="AM1387" i="1"/>
  <c r="AM1386" i="1"/>
  <c r="AM1385" i="1"/>
  <c r="AM1384" i="1"/>
  <c r="AM1383" i="1"/>
  <c r="AM1382" i="1"/>
  <c r="AM1381" i="1"/>
  <c r="AM1380" i="1"/>
  <c r="AM1379" i="1"/>
  <c r="AM1378" i="1"/>
  <c r="AM1377" i="1"/>
  <c r="AM1376" i="1"/>
  <c r="AM1375" i="1"/>
  <c r="AM1374" i="1"/>
  <c r="AM1373" i="1"/>
  <c r="AM1372" i="1"/>
  <c r="AM1371" i="1"/>
  <c r="AM1370" i="1"/>
  <c r="AM1369" i="1"/>
  <c r="AM1368" i="1"/>
  <c r="AM1367" i="1"/>
  <c r="AM1366" i="1"/>
  <c r="AM1365" i="1"/>
  <c r="AM1364" i="1"/>
  <c r="AM1363" i="1"/>
  <c r="AM1362" i="1"/>
  <c r="AM1361" i="1"/>
  <c r="AM1360" i="1"/>
  <c r="AM1359" i="1"/>
  <c r="AM1358" i="1"/>
  <c r="AM1357" i="1"/>
  <c r="AM1356" i="1"/>
  <c r="AM1355" i="1"/>
  <c r="AM1354" i="1"/>
  <c r="AM1353" i="1"/>
  <c r="AM1352" i="1"/>
  <c r="AM1351" i="1"/>
  <c r="AM1350" i="1"/>
  <c r="AM1349" i="1"/>
  <c r="AM1348" i="1"/>
  <c r="AM1347" i="1"/>
  <c r="AM1346" i="1"/>
  <c r="AM1345" i="1"/>
  <c r="AM1344" i="1"/>
  <c r="AM1343" i="1"/>
  <c r="AM1342" i="1"/>
  <c r="AM1341" i="1"/>
  <c r="AM1340" i="1"/>
  <c r="AM1339" i="1"/>
  <c r="AM1338" i="1"/>
  <c r="AM1337" i="1"/>
  <c r="AM1336" i="1"/>
  <c r="AM1335" i="1"/>
  <c r="AM1334" i="1"/>
  <c r="AM1333" i="1"/>
  <c r="AM1332" i="1"/>
  <c r="AM1331" i="1"/>
  <c r="AM1330" i="1"/>
  <c r="AM1329" i="1"/>
  <c r="AM1328" i="1"/>
  <c r="AM1327" i="1"/>
  <c r="AM1326" i="1"/>
  <c r="AM1325" i="1"/>
  <c r="AM1324" i="1"/>
  <c r="AM1323" i="1"/>
  <c r="AM1322" i="1"/>
  <c r="AM1321" i="1"/>
  <c r="AM1320" i="1"/>
  <c r="AM1319" i="1"/>
  <c r="AM1318" i="1"/>
  <c r="AM1317" i="1"/>
  <c r="AM1316" i="1"/>
  <c r="AM1315" i="1"/>
  <c r="AM1314" i="1"/>
  <c r="AM1313" i="1"/>
  <c r="AM1312" i="1"/>
  <c r="AM1311" i="1"/>
  <c r="AM1310" i="1"/>
  <c r="AM1309" i="1"/>
  <c r="AM1308" i="1"/>
  <c r="AM1307" i="1"/>
  <c r="AM1306" i="1"/>
  <c r="AM1305" i="1"/>
  <c r="AM1304" i="1"/>
  <c r="AM1303" i="1"/>
  <c r="AM1302" i="1"/>
  <c r="AM1301" i="1"/>
  <c r="AM1300" i="1"/>
  <c r="AM1299" i="1"/>
  <c r="AM1298" i="1"/>
  <c r="AM1297" i="1"/>
  <c r="AM1296" i="1"/>
  <c r="AM1295" i="1"/>
  <c r="AM1294" i="1"/>
  <c r="AM1293" i="1"/>
  <c r="AM1292" i="1"/>
  <c r="AM1291" i="1"/>
  <c r="AM1290" i="1"/>
  <c r="AM1289" i="1"/>
  <c r="AM1288" i="1"/>
  <c r="AM1287" i="1"/>
  <c r="AM1286" i="1"/>
  <c r="AM1285" i="1"/>
  <c r="AM1284" i="1"/>
  <c r="AM1283" i="1"/>
  <c r="AM1282" i="1"/>
  <c r="AM1281" i="1"/>
  <c r="AM1280" i="1"/>
  <c r="AM1279" i="1"/>
  <c r="AM1278" i="1"/>
  <c r="AM1277" i="1"/>
  <c r="AM1276" i="1"/>
  <c r="AM1275" i="1"/>
  <c r="AM1274" i="1"/>
  <c r="AM1273" i="1"/>
  <c r="AM1272" i="1"/>
  <c r="AM1271" i="1"/>
  <c r="AM1270" i="1"/>
  <c r="AM1269" i="1"/>
  <c r="AM1268" i="1"/>
  <c r="AM1267" i="1"/>
  <c r="AM1266" i="1"/>
  <c r="AM1265" i="1"/>
  <c r="AM1264" i="1"/>
  <c r="AM1263" i="1"/>
  <c r="AM1262" i="1"/>
  <c r="AM1261" i="1"/>
  <c r="AM1260" i="1"/>
  <c r="AM1259" i="1"/>
  <c r="AM1258" i="1"/>
  <c r="AM1257" i="1"/>
  <c r="AM1256" i="1"/>
  <c r="AM1255" i="1"/>
  <c r="AM1254" i="1"/>
  <c r="AM1253" i="1"/>
  <c r="AM1252" i="1"/>
  <c r="AM1251" i="1"/>
  <c r="AM1250" i="1"/>
  <c r="AM1249" i="1"/>
  <c r="AM1248" i="1"/>
  <c r="AM1247" i="1"/>
  <c r="AM1246" i="1"/>
  <c r="AM1245" i="1"/>
  <c r="AM1244" i="1"/>
  <c r="AM1243" i="1"/>
  <c r="AM1242" i="1"/>
  <c r="AM1241" i="1"/>
  <c r="AM1240" i="1"/>
  <c r="AK4" i="1"/>
  <c r="AM4" i="1" s="1"/>
  <c r="AU6" i="1" s="1"/>
  <c r="AK1239" i="1"/>
  <c r="AM1239" i="1" s="1"/>
  <c r="AK1238" i="1"/>
  <c r="AM1238" i="1" s="1"/>
  <c r="AK1237" i="1"/>
  <c r="AM1237" i="1" s="1"/>
  <c r="AK1236" i="1"/>
  <c r="AM1236" i="1" s="1"/>
  <c r="AK1235" i="1"/>
  <c r="AM1235" i="1" s="1"/>
  <c r="AK1234" i="1"/>
  <c r="AM1234" i="1" s="1"/>
  <c r="AK1233" i="1"/>
  <c r="AM1233" i="1" s="1"/>
  <c r="AK1232" i="1"/>
  <c r="AM1232" i="1" s="1"/>
  <c r="AK1231" i="1"/>
  <c r="AM1231" i="1" s="1"/>
  <c r="AK1230" i="1"/>
  <c r="AM1230" i="1" s="1"/>
  <c r="AK1229" i="1"/>
  <c r="AM1229" i="1" s="1"/>
  <c r="AK1228" i="1"/>
  <c r="AM1228" i="1" s="1"/>
  <c r="AK1227" i="1"/>
  <c r="AM1227" i="1" s="1"/>
  <c r="AK1226" i="1"/>
  <c r="AM1226" i="1" s="1"/>
  <c r="AK1225" i="1"/>
  <c r="AM1225" i="1" s="1"/>
  <c r="AK1224" i="1"/>
  <c r="AM1224" i="1" s="1"/>
  <c r="AK1223" i="1"/>
  <c r="AM1223" i="1" s="1"/>
  <c r="AK1222" i="1"/>
  <c r="AM1222" i="1" s="1"/>
  <c r="AK1221" i="1"/>
  <c r="AM1221" i="1" s="1"/>
  <c r="AK1220" i="1"/>
  <c r="AM1220" i="1" s="1"/>
  <c r="AK1219" i="1"/>
  <c r="AM1219" i="1" s="1"/>
  <c r="AK1218" i="1"/>
  <c r="AM1218" i="1" s="1"/>
  <c r="AK1217" i="1"/>
  <c r="AM1217" i="1" s="1"/>
  <c r="AK1216" i="1"/>
  <c r="AM1216" i="1" s="1"/>
  <c r="AK1215" i="1"/>
  <c r="AM1215" i="1" s="1"/>
  <c r="AK1214" i="1"/>
  <c r="AM1214" i="1" s="1"/>
  <c r="AK1213" i="1"/>
  <c r="AM1213" i="1" s="1"/>
  <c r="AK1212" i="1"/>
  <c r="AM1212" i="1" s="1"/>
  <c r="AK1211" i="1"/>
  <c r="AM1211" i="1" s="1"/>
  <c r="AK1210" i="1"/>
  <c r="AM1210" i="1" s="1"/>
  <c r="AK1209" i="1"/>
  <c r="AM1209" i="1" s="1"/>
  <c r="AK1208" i="1"/>
  <c r="AM1208" i="1" s="1"/>
  <c r="AK1207" i="1"/>
  <c r="AM1207" i="1" s="1"/>
  <c r="AK1206" i="1"/>
  <c r="AM1206" i="1" s="1"/>
  <c r="AK1205" i="1"/>
  <c r="AM1205" i="1" s="1"/>
  <c r="AK1204" i="1"/>
  <c r="AM1204" i="1" s="1"/>
  <c r="AK1203" i="1"/>
  <c r="AM1203" i="1" s="1"/>
  <c r="AK1202" i="1"/>
  <c r="AM1202" i="1" s="1"/>
  <c r="AK1201" i="1"/>
  <c r="AM1201" i="1" s="1"/>
  <c r="AK1200" i="1"/>
  <c r="AM1200" i="1" s="1"/>
  <c r="AK1199" i="1"/>
  <c r="AM1199" i="1" s="1"/>
  <c r="AK1198" i="1"/>
  <c r="AM1198" i="1" s="1"/>
  <c r="AK1197" i="1"/>
  <c r="AM1197" i="1" s="1"/>
  <c r="AK1196" i="1"/>
  <c r="AM1196" i="1" s="1"/>
  <c r="AK1195" i="1"/>
  <c r="AM1195" i="1" s="1"/>
  <c r="AK1194" i="1"/>
  <c r="AM1194" i="1" s="1"/>
  <c r="AK1193" i="1"/>
  <c r="AM1193" i="1" s="1"/>
  <c r="AK1192" i="1"/>
  <c r="AM1192" i="1" s="1"/>
  <c r="AK1191" i="1"/>
  <c r="AM1191" i="1" s="1"/>
  <c r="AK1190" i="1"/>
  <c r="AM1190" i="1" s="1"/>
  <c r="AK1189" i="1"/>
  <c r="AM1189" i="1" s="1"/>
  <c r="AK1188" i="1"/>
  <c r="AM1188" i="1" s="1"/>
  <c r="AK1187" i="1"/>
  <c r="AM1187" i="1" s="1"/>
  <c r="AK1186" i="1"/>
  <c r="AM1186" i="1" s="1"/>
  <c r="AK1185" i="1"/>
  <c r="AM1185" i="1" s="1"/>
  <c r="AK1184" i="1"/>
  <c r="AM1184" i="1" s="1"/>
  <c r="AK1183" i="1"/>
  <c r="AM1183" i="1" s="1"/>
  <c r="AK1182" i="1"/>
  <c r="AM1182" i="1" s="1"/>
  <c r="AK1181" i="1"/>
  <c r="AM1181" i="1" s="1"/>
  <c r="AK1180" i="1"/>
  <c r="AM1180" i="1" s="1"/>
  <c r="AK1179" i="1"/>
  <c r="AM1179" i="1" s="1"/>
  <c r="AK1178" i="1"/>
  <c r="AM1178" i="1" s="1"/>
  <c r="AK1177" i="1"/>
  <c r="AM1177" i="1" s="1"/>
  <c r="AK1176" i="1"/>
  <c r="AM1176" i="1" s="1"/>
  <c r="AK1175" i="1"/>
  <c r="AM1175" i="1" s="1"/>
  <c r="AK1174" i="1"/>
  <c r="AM1174" i="1" s="1"/>
  <c r="AK1173" i="1"/>
  <c r="AM1173" i="1" s="1"/>
  <c r="AK1172" i="1"/>
  <c r="AM1172" i="1" s="1"/>
  <c r="AK1171" i="1"/>
  <c r="AM1171" i="1" s="1"/>
  <c r="AK1170" i="1"/>
  <c r="AM1170" i="1" s="1"/>
  <c r="AK1169" i="1"/>
  <c r="AM1169" i="1" s="1"/>
  <c r="AK1168" i="1"/>
  <c r="AM1168" i="1" s="1"/>
  <c r="AK1167" i="1"/>
  <c r="AM1167" i="1" s="1"/>
  <c r="AK1166" i="1"/>
  <c r="AM1166" i="1" s="1"/>
  <c r="AK1165" i="1"/>
  <c r="AM1165" i="1" s="1"/>
  <c r="AK1164" i="1"/>
  <c r="AM1164" i="1" s="1"/>
  <c r="AK1163" i="1"/>
  <c r="AM1163" i="1" s="1"/>
  <c r="AK1162" i="1"/>
  <c r="AM1162" i="1" s="1"/>
  <c r="AK1161" i="1"/>
  <c r="AM1161" i="1" s="1"/>
  <c r="AK1160" i="1"/>
  <c r="AM1160" i="1" s="1"/>
  <c r="AK1159" i="1"/>
  <c r="AM1159" i="1" s="1"/>
  <c r="AK1158" i="1"/>
  <c r="AM1158" i="1" s="1"/>
  <c r="AK1157" i="1"/>
  <c r="AM1157" i="1" s="1"/>
  <c r="AK1156" i="1"/>
  <c r="AM1156" i="1" s="1"/>
  <c r="AK1155" i="1"/>
  <c r="AM1155" i="1" s="1"/>
  <c r="AK1154" i="1"/>
  <c r="AM1154" i="1" s="1"/>
  <c r="AK1153" i="1"/>
  <c r="AM1153" i="1" s="1"/>
  <c r="AK1152" i="1"/>
  <c r="AM1152" i="1" s="1"/>
  <c r="AK1151" i="1"/>
  <c r="AM1151" i="1" s="1"/>
  <c r="AK1150" i="1"/>
  <c r="AM1150" i="1" s="1"/>
  <c r="AK1149" i="1"/>
  <c r="AM1149" i="1" s="1"/>
  <c r="AK1148" i="1"/>
  <c r="AM1148" i="1" s="1"/>
  <c r="AK1147" i="1"/>
  <c r="AM1147" i="1" s="1"/>
  <c r="AK1146" i="1"/>
  <c r="AM1146" i="1" s="1"/>
  <c r="AK1145" i="1"/>
  <c r="AM1145" i="1" s="1"/>
  <c r="AK1144" i="1"/>
  <c r="AM1144" i="1" s="1"/>
  <c r="AK1143" i="1"/>
  <c r="AM1143" i="1" s="1"/>
  <c r="AK1142" i="1"/>
  <c r="AM1142" i="1" s="1"/>
  <c r="AK1141" i="1"/>
  <c r="AM1141" i="1" s="1"/>
  <c r="AK1140" i="1"/>
  <c r="AM1140" i="1" s="1"/>
  <c r="AK1139" i="1"/>
  <c r="AM1139" i="1" s="1"/>
  <c r="AK1138" i="1"/>
  <c r="AM1138" i="1" s="1"/>
  <c r="AK1137" i="1"/>
  <c r="AM1137" i="1" s="1"/>
  <c r="AK1136" i="1"/>
  <c r="AM1136" i="1" s="1"/>
  <c r="AK1135" i="1"/>
  <c r="AM1135" i="1" s="1"/>
  <c r="AK1134" i="1"/>
  <c r="AM1134" i="1" s="1"/>
  <c r="AK1133" i="1"/>
  <c r="AM1133" i="1" s="1"/>
  <c r="AK1132" i="1"/>
  <c r="AM1132" i="1" s="1"/>
  <c r="AK1131" i="1"/>
  <c r="AM1131" i="1" s="1"/>
  <c r="AK1130" i="1"/>
  <c r="AM1130" i="1" s="1"/>
  <c r="AK1129" i="1"/>
  <c r="AM1129" i="1" s="1"/>
  <c r="AK1128" i="1"/>
  <c r="AM1128" i="1" s="1"/>
  <c r="AK1127" i="1"/>
  <c r="AM1127" i="1" s="1"/>
  <c r="AK1126" i="1"/>
  <c r="AM1126" i="1" s="1"/>
  <c r="AK1125" i="1"/>
  <c r="AM1125" i="1" s="1"/>
  <c r="AK1124" i="1"/>
  <c r="AM1124" i="1" s="1"/>
  <c r="AK1123" i="1"/>
  <c r="AM1123" i="1" s="1"/>
  <c r="AK1122" i="1"/>
  <c r="AM1122" i="1" s="1"/>
  <c r="AK1121" i="1"/>
  <c r="AM1121" i="1" s="1"/>
  <c r="AK1120" i="1"/>
  <c r="AM1120" i="1" s="1"/>
  <c r="AK1119" i="1"/>
  <c r="AM1119" i="1" s="1"/>
  <c r="AK1118" i="1"/>
  <c r="AM1118" i="1" s="1"/>
  <c r="AK1117" i="1"/>
  <c r="AM1117" i="1" s="1"/>
  <c r="AK1116" i="1"/>
  <c r="AM1116" i="1" s="1"/>
  <c r="AK1115" i="1"/>
  <c r="AM1115" i="1" s="1"/>
  <c r="AK1114" i="1"/>
  <c r="AM1114" i="1" s="1"/>
  <c r="AK1113" i="1"/>
  <c r="AM1113" i="1" s="1"/>
  <c r="AK1112" i="1"/>
  <c r="AM1112" i="1" s="1"/>
  <c r="AK1111" i="1"/>
  <c r="AM1111" i="1" s="1"/>
  <c r="AK1110" i="1"/>
  <c r="AM1110" i="1" s="1"/>
  <c r="AK1109" i="1"/>
  <c r="AM1109" i="1" s="1"/>
  <c r="AK1108" i="1"/>
  <c r="AM1108" i="1" s="1"/>
  <c r="AK1107" i="1"/>
  <c r="AM1107" i="1" s="1"/>
  <c r="AK1106" i="1"/>
  <c r="AM1106" i="1" s="1"/>
  <c r="AK1105" i="1"/>
  <c r="AM1105" i="1" s="1"/>
  <c r="AK1104" i="1"/>
  <c r="AM1104" i="1" s="1"/>
  <c r="AK1103" i="1"/>
  <c r="AM1103" i="1" s="1"/>
  <c r="AK1102" i="1"/>
  <c r="AM1102" i="1" s="1"/>
  <c r="AK1101" i="1"/>
  <c r="AM1101" i="1" s="1"/>
  <c r="AK1100" i="1"/>
  <c r="AM1100" i="1" s="1"/>
  <c r="AK1099" i="1"/>
  <c r="AM1099" i="1" s="1"/>
  <c r="AK1098" i="1"/>
  <c r="AM1098" i="1" s="1"/>
  <c r="AK1097" i="1"/>
  <c r="AM1097" i="1" s="1"/>
  <c r="AK1096" i="1"/>
  <c r="AM1096" i="1" s="1"/>
  <c r="AK1095" i="1"/>
  <c r="AM1095" i="1" s="1"/>
  <c r="AK1094" i="1"/>
  <c r="AM1094" i="1" s="1"/>
  <c r="AK1093" i="1"/>
  <c r="AM1093" i="1" s="1"/>
  <c r="AK1092" i="1"/>
  <c r="AM1092" i="1" s="1"/>
  <c r="AK1091" i="1"/>
  <c r="AM1091" i="1" s="1"/>
  <c r="AK1090" i="1"/>
  <c r="AM1090" i="1" s="1"/>
  <c r="AK1089" i="1"/>
  <c r="AM1089" i="1" s="1"/>
  <c r="AK1088" i="1"/>
  <c r="AM1088" i="1" s="1"/>
  <c r="AK1087" i="1"/>
  <c r="AM1087" i="1" s="1"/>
  <c r="AK1086" i="1"/>
  <c r="AM1086" i="1" s="1"/>
  <c r="AK1085" i="1"/>
  <c r="AM1085" i="1" s="1"/>
  <c r="AK1084" i="1"/>
  <c r="AM1084" i="1" s="1"/>
  <c r="AK1083" i="1"/>
  <c r="AM1083" i="1" s="1"/>
  <c r="AK1082" i="1"/>
  <c r="AM1082" i="1" s="1"/>
  <c r="AK1081" i="1"/>
  <c r="AM1081" i="1" s="1"/>
  <c r="AK1080" i="1"/>
  <c r="AM1080" i="1" s="1"/>
  <c r="AK1079" i="1"/>
  <c r="AM1079" i="1" s="1"/>
  <c r="AK1078" i="1"/>
  <c r="AM1078" i="1" s="1"/>
  <c r="AK1077" i="1"/>
  <c r="AM1077" i="1" s="1"/>
  <c r="AK1076" i="1"/>
  <c r="AM1076" i="1" s="1"/>
  <c r="AK1075" i="1"/>
  <c r="AM1075" i="1" s="1"/>
  <c r="AK1074" i="1"/>
  <c r="AM1074" i="1" s="1"/>
  <c r="AK1073" i="1"/>
  <c r="AM1073" i="1" s="1"/>
  <c r="AK1072" i="1"/>
  <c r="AM1072" i="1" s="1"/>
  <c r="AK1071" i="1"/>
  <c r="AM1071" i="1" s="1"/>
  <c r="AK1070" i="1"/>
  <c r="AM1070" i="1" s="1"/>
  <c r="AK1069" i="1"/>
  <c r="AM1069" i="1" s="1"/>
  <c r="AK1068" i="1"/>
  <c r="AM1068" i="1" s="1"/>
  <c r="AK1067" i="1"/>
  <c r="AM1067" i="1" s="1"/>
  <c r="AK1066" i="1"/>
  <c r="AM1066" i="1" s="1"/>
  <c r="AK1065" i="1"/>
  <c r="AM1065" i="1" s="1"/>
  <c r="AK1064" i="1"/>
  <c r="AM1064" i="1" s="1"/>
  <c r="AK1063" i="1"/>
  <c r="AM1063" i="1" s="1"/>
  <c r="AK1062" i="1"/>
  <c r="AM1062" i="1" s="1"/>
  <c r="AK1061" i="1"/>
  <c r="AM1061" i="1" s="1"/>
  <c r="AK1060" i="1"/>
  <c r="AM1060" i="1" s="1"/>
  <c r="AK1059" i="1"/>
  <c r="AM1059" i="1" s="1"/>
  <c r="AK1058" i="1"/>
  <c r="AM1058" i="1" s="1"/>
  <c r="AK1057" i="1"/>
  <c r="AM1057" i="1" s="1"/>
  <c r="AK1056" i="1"/>
  <c r="AM1056" i="1" s="1"/>
  <c r="AK1055" i="1"/>
  <c r="AM1055" i="1" s="1"/>
  <c r="AK1054" i="1"/>
  <c r="AM1054" i="1" s="1"/>
  <c r="AK1053" i="1"/>
  <c r="AM1053" i="1" s="1"/>
  <c r="AK1052" i="1"/>
  <c r="AM1052" i="1" s="1"/>
  <c r="AK1051" i="1"/>
  <c r="AM1051" i="1" s="1"/>
  <c r="AK1050" i="1"/>
  <c r="AM1050" i="1" s="1"/>
  <c r="AK1049" i="1"/>
  <c r="AM1049" i="1" s="1"/>
  <c r="AK1048" i="1"/>
  <c r="AM1048" i="1" s="1"/>
  <c r="AK1047" i="1"/>
  <c r="AM1047" i="1" s="1"/>
  <c r="AK1046" i="1"/>
  <c r="AM1046" i="1" s="1"/>
  <c r="AK1045" i="1"/>
  <c r="AM1045" i="1" s="1"/>
  <c r="AK1044" i="1"/>
  <c r="AM1044" i="1" s="1"/>
  <c r="AK1043" i="1"/>
  <c r="AM1043" i="1" s="1"/>
  <c r="AK1042" i="1"/>
  <c r="AM1042" i="1" s="1"/>
  <c r="AK1041" i="1"/>
  <c r="AM1041" i="1" s="1"/>
  <c r="AK1040" i="1"/>
  <c r="AM1040" i="1" s="1"/>
  <c r="AK1039" i="1"/>
  <c r="AM1039" i="1" s="1"/>
  <c r="AK1038" i="1"/>
  <c r="AM1038" i="1" s="1"/>
  <c r="AK1037" i="1"/>
  <c r="AM1037" i="1" s="1"/>
  <c r="AK1036" i="1"/>
  <c r="AM1036" i="1" s="1"/>
  <c r="AK1035" i="1"/>
  <c r="AM1035" i="1" s="1"/>
  <c r="AK1034" i="1"/>
  <c r="AM1034" i="1" s="1"/>
  <c r="AK1033" i="1"/>
  <c r="AM1033" i="1" s="1"/>
  <c r="AK1032" i="1"/>
  <c r="AM1032" i="1" s="1"/>
  <c r="AK1031" i="1"/>
  <c r="AM1031" i="1" s="1"/>
  <c r="AK1030" i="1"/>
  <c r="AM1030" i="1" s="1"/>
  <c r="AK1029" i="1"/>
  <c r="AM1029" i="1" s="1"/>
  <c r="AK1028" i="1"/>
  <c r="AM1028" i="1" s="1"/>
  <c r="AK1027" i="1"/>
  <c r="AM1027" i="1" s="1"/>
  <c r="AK1026" i="1"/>
  <c r="AM1026" i="1" s="1"/>
  <c r="AK1025" i="1"/>
  <c r="AM1025" i="1" s="1"/>
  <c r="AK1024" i="1"/>
  <c r="AM1024" i="1" s="1"/>
  <c r="AK1023" i="1"/>
  <c r="AM1023" i="1" s="1"/>
  <c r="AK1022" i="1"/>
  <c r="AM1022" i="1" s="1"/>
  <c r="AK1021" i="1"/>
  <c r="AM1021" i="1" s="1"/>
  <c r="AK1020" i="1"/>
  <c r="AM1020" i="1" s="1"/>
  <c r="AK1019" i="1"/>
  <c r="AM1019" i="1" s="1"/>
  <c r="AK1018" i="1"/>
  <c r="AM1018" i="1" s="1"/>
  <c r="AK1017" i="1"/>
  <c r="AM1017" i="1" s="1"/>
  <c r="AK1016" i="1"/>
  <c r="AM1016" i="1" s="1"/>
  <c r="AK1015" i="1"/>
  <c r="AM1015" i="1" s="1"/>
  <c r="AK1014" i="1"/>
  <c r="AM1014" i="1" s="1"/>
  <c r="AK1013" i="1"/>
  <c r="AM1013" i="1" s="1"/>
  <c r="AK1012" i="1"/>
  <c r="AM1012" i="1" s="1"/>
  <c r="AK1011" i="1"/>
  <c r="AM1011" i="1" s="1"/>
  <c r="AK1010" i="1"/>
  <c r="AM1010" i="1" s="1"/>
  <c r="AK1009" i="1"/>
  <c r="AM1009" i="1" s="1"/>
  <c r="AK1008" i="1"/>
  <c r="AM1008" i="1" s="1"/>
  <c r="AK1007" i="1"/>
  <c r="AM1007" i="1" s="1"/>
  <c r="AK1006" i="1"/>
  <c r="AM1006" i="1" s="1"/>
  <c r="AK1005" i="1"/>
  <c r="AM1005" i="1" s="1"/>
  <c r="AK1004" i="1"/>
  <c r="AM1004" i="1" s="1"/>
  <c r="AK1003" i="1"/>
  <c r="AM1003" i="1" s="1"/>
  <c r="AK1002" i="1"/>
  <c r="AM1002" i="1" s="1"/>
  <c r="AK1001" i="1"/>
  <c r="AM1001" i="1" s="1"/>
  <c r="AK1000" i="1"/>
  <c r="AM1000" i="1" s="1"/>
  <c r="AK999" i="1"/>
  <c r="AM999" i="1" s="1"/>
  <c r="AK998" i="1"/>
  <c r="AM998" i="1" s="1"/>
  <c r="AK997" i="1"/>
  <c r="AM997" i="1" s="1"/>
  <c r="AK996" i="1"/>
  <c r="AM996" i="1" s="1"/>
  <c r="AK995" i="1"/>
  <c r="AM995" i="1" s="1"/>
  <c r="AK994" i="1"/>
  <c r="AM994" i="1" s="1"/>
  <c r="AK993" i="1"/>
  <c r="AM993" i="1" s="1"/>
  <c r="AK992" i="1"/>
  <c r="AM992" i="1" s="1"/>
  <c r="AK991" i="1"/>
  <c r="AM991" i="1" s="1"/>
  <c r="AK990" i="1"/>
  <c r="AM990" i="1" s="1"/>
  <c r="AK989" i="1"/>
  <c r="AM989" i="1" s="1"/>
  <c r="AK988" i="1"/>
  <c r="AM988" i="1" s="1"/>
  <c r="AK987" i="1"/>
  <c r="AM987" i="1" s="1"/>
  <c r="AK986" i="1"/>
  <c r="AM986" i="1" s="1"/>
  <c r="AK985" i="1"/>
  <c r="AM985" i="1" s="1"/>
  <c r="AK984" i="1"/>
  <c r="AM984" i="1" s="1"/>
  <c r="AK983" i="1"/>
  <c r="AM983" i="1" s="1"/>
  <c r="AK982" i="1"/>
  <c r="AM982" i="1" s="1"/>
  <c r="AK981" i="1"/>
  <c r="AM981" i="1" s="1"/>
  <c r="AK980" i="1"/>
  <c r="AM980" i="1" s="1"/>
  <c r="AK979" i="1"/>
  <c r="AM979" i="1" s="1"/>
  <c r="AK978" i="1"/>
  <c r="AM978" i="1" s="1"/>
  <c r="AK977" i="1"/>
  <c r="AM977" i="1" s="1"/>
  <c r="AK976" i="1"/>
  <c r="AM976" i="1" s="1"/>
  <c r="AK975" i="1"/>
  <c r="AM975" i="1" s="1"/>
  <c r="AK974" i="1"/>
  <c r="AM974" i="1" s="1"/>
  <c r="AK973" i="1"/>
  <c r="AM973" i="1" s="1"/>
  <c r="AK972" i="1"/>
  <c r="AM972" i="1" s="1"/>
  <c r="AK971" i="1"/>
  <c r="AM971" i="1" s="1"/>
  <c r="AK970" i="1"/>
  <c r="AM970" i="1" s="1"/>
  <c r="AK969" i="1"/>
  <c r="AM969" i="1" s="1"/>
  <c r="AK968" i="1"/>
  <c r="AM968" i="1" s="1"/>
  <c r="AK967" i="1"/>
  <c r="AM967" i="1" s="1"/>
  <c r="AK966" i="1"/>
  <c r="AM966" i="1" s="1"/>
  <c r="AK965" i="1"/>
  <c r="AM965" i="1" s="1"/>
  <c r="AK964" i="1"/>
  <c r="AM964" i="1" s="1"/>
  <c r="AK963" i="1"/>
  <c r="AM963" i="1" s="1"/>
  <c r="AK962" i="1"/>
  <c r="AM962" i="1" s="1"/>
  <c r="AK961" i="1"/>
  <c r="AM961" i="1" s="1"/>
  <c r="AK960" i="1"/>
  <c r="AM960" i="1" s="1"/>
  <c r="AK959" i="1"/>
  <c r="AM959" i="1" s="1"/>
  <c r="AK958" i="1"/>
  <c r="AM958" i="1" s="1"/>
  <c r="AK957" i="1"/>
  <c r="AM957" i="1" s="1"/>
  <c r="AK956" i="1"/>
  <c r="AM956" i="1" s="1"/>
  <c r="AK955" i="1"/>
  <c r="AM955" i="1" s="1"/>
  <c r="AK954" i="1"/>
  <c r="AM954" i="1" s="1"/>
  <c r="AK953" i="1"/>
  <c r="AM953" i="1" s="1"/>
  <c r="AK952" i="1"/>
  <c r="AM952" i="1" s="1"/>
  <c r="AK951" i="1"/>
  <c r="AM951" i="1" s="1"/>
  <c r="AK950" i="1"/>
  <c r="AM950" i="1" s="1"/>
  <c r="AK949" i="1"/>
  <c r="AM949" i="1" s="1"/>
  <c r="AK948" i="1"/>
  <c r="AM948" i="1" s="1"/>
  <c r="AK947" i="1"/>
  <c r="AM947" i="1" s="1"/>
  <c r="AK946" i="1"/>
  <c r="AM946" i="1" s="1"/>
  <c r="AK945" i="1"/>
  <c r="AM945" i="1" s="1"/>
  <c r="AK944" i="1"/>
  <c r="AM944" i="1" s="1"/>
  <c r="AK943" i="1"/>
  <c r="AM943" i="1" s="1"/>
  <c r="AK942" i="1"/>
  <c r="AM942" i="1" s="1"/>
  <c r="AK941" i="1"/>
  <c r="AM941" i="1" s="1"/>
  <c r="AK940" i="1"/>
  <c r="AM940" i="1" s="1"/>
  <c r="AK939" i="1"/>
  <c r="AM939" i="1" s="1"/>
  <c r="AK938" i="1"/>
  <c r="AM938" i="1" s="1"/>
  <c r="AK937" i="1"/>
  <c r="AM937" i="1" s="1"/>
  <c r="AK936" i="1"/>
  <c r="AM936" i="1" s="1"/>
  <c r="AK935" i="1"/>
  <c r="AM935" i="1" s="1"/>
  <c r="AK934" i="1"/>
  <c r="AM934" i="1" s="1"/>
  <c r="AK933" i="1"/>
  <c r="AM933" i="1" s="1"/>
  <c r="AK932" i="1"/>
  <c r="AM932" i="1" s="1"/>
  <c r="AK931" i="1"/>
  <c r="AM931" i="1" s="1"/>
  <c r="AK930" i="1"/>
  <c r="AM930" i="1" s="1"/>
  <c r="AK929" i="1"/>
  <c r="AM929" i="1" s="1"/>
  <c r="AK928" i="1"/>
  <c r="AM928" i="1" s="1"/>
  <c r="AK927" i="1"/>
  <c r="AM927" i="1" s="1"/>
  <c r="AK926" i="1"/>
  <c r="AM926" i="1" s="1"/>
  <c r="AK925" i="1"/>
  <c r="AM925" i="1" s="1"/>
  <c r="AK924" i="1"/>
  <c r="AM924" i="1" s="1"/>
  <c r="AK923" i="1"/>
  <c r="AM923" i="1" s="1"/>
  <c r="AK922" i="1"/>
  <c r="AM922" i="1" s="1"/>
  <c r="AK921" i="1"/>
  <c r="AM921" i="1" s="1"/>
  <c r="AK920" i="1"/>
  <c r="AM920" i="1" s="1"/>
  <c r="AK919" i="1"/>
  <c r="AM919" i="1" s="1"/>
  <c r="AK918" i="1"/>
  <c r="AM918" i="1" s="1"/>
  <c r="AK917" i="1"/>
  <c r="AM917" i="1" s="1"/>
  <c r="AK916" i="1"/>
  <c r="AM916" i="1" s="1"/>
  <c r="AK915" i="1"/>
  <c r="AM915" i="1" s="1"/>
  <c r="AK914" i="1"/>
  <c r="AM914" i="1" s="1"/>
  <c r="AK913" i="1"/>
  <c r="AM913" i="1" s="1"/>
  <c r="AK912" i="1"/>
  <c r="AM912" i="1" s="1"/>
  <c r="AK911" i="1"/>
  <c r="AM911" i="1" s="1"/>
  <c r="AK910" i="1"/>
  <c r="AM910" i="1" s="1"/>
  <c r="AK909" i="1"/>
  <c r="AM909" i="1" s="1"/>
  <c r="AK908" i="1"/>
  <c r="AM908" i="1" s="1"/>
  <c r="AK907" i="1"/>
  <c r="AM907" i="1" s="1"/>
  <c r="AK906" i="1"/>
  <c r="AM906" i="1" s="1"/>
  <c r="AK905" i="1"/>
  <c r="AM905" i="1" s="1"/>
  <c r="AK904" i="1"/>
  <c r="AM904" i="1" s="1"/>
  <c r="AK903" i="1"/>
  <c r="AM903" i="1" s="1"/>
  <c r="AK902" i="1"/>
  <c r="AM902" i="1" s="1"/>
  <c r="AK901" i="1"/>
  <c r="AM901" i="1" s="1"/>
  <c r="AK900" i="1"/>
  <c r="AM900" i="1" s="1"/>
  <c r="AK899" i="1"/>
  <c r="AM899" i="1" s="1"/>
  <c r="AK898" i="1"/>
  <c r="AM898" i="1" s="1"/>
  <c r="AK897" i="1"/>
  <c r="AM897" i="1" s="1"/>
  <c r="AK896" i="1"/>
  <c r="AM896" i="1" s="1"/>
  <c r="AK895" i="1"/>
  <c r="AM895" i="1" s="1"/>
  <c r="AK894" i="1"/>
  <c r="AM894" i="1" s="1"/>
  <c r="AK893" i="1"/>
  <c r="AM893" i="1" s="1"/>
  <c r="AK892" i="1"/>
  <c r="AM892" i="1" s="1"/>
  <c r="AK891" i="1"/>
  <c r="AM891" i="1" s="1"/>
  <c r="AK890" i="1"/>
  <c r="AM890" i="1" s="1"/>
  <c r="AK889" i="1"/>
  <c r="AM889" i="1" s="1"/>
  <c r="AK888" i="1"/>
  <c r="AM888" i="1" s="1"/>
  <c r="AK887" i="1"/>
  <c r="AM887" i="1" s="1"/>
  <c r="AK886" i="1"/>
  <c r="AM886" i="1" s="1"/>
  <c r="AK885" i="1"/>
  <c r="AM885" i="1" s="1"/>
  <c r="AK884" i="1"/>
  <c r="AM884" i="1" s="1"/>
  <c r="AK883" i="1"/>
  <c r="AM883" i="1" s="1"/>
  <c r="AK882" i="1"/>
  <c r="AM882" i="1" s="1"/>
  <c r="AK881" i="1"/>
  <c r="AM881" i="1" s="1"/>
  <c r="AK880" i="1"/>
  <c r="AM880" i="1" s="1"/>
  <c r="AK879" i="1"/>
  <c r="AM879" i="1" s="1"/>
  <c r="AK878" i="1"/>
  <c r="AM878" i="1" s="1"/>
  <c r="AK877" i="1"/>
  <c r="AM877" i="1" s="1"/>
  <c r="AK876" i="1"/>
  <c r="AM876" i="1" s="1"/>
  <c r="AK875" i="1"/>
  <c r="AM875" i="1" s="1"/>
  <c r="AK874" i="1"/>
  <c r="AM874" i="1" s="1"/>
  <c r="AK873" i="1"/>
  <c r="AM873" i="1" s="1"/>
  <c r="AK872" i="1"/>
  <c r="AM872" i="1" s="1"/>
  <c r="AK871" i="1"/>
  <c r="AM871" i="1" s="1"/>
  <c r="AK870" i="1"/>
  <c r="AM870" i="1" s="1"/>
  <c r="AK869" i="1"/>
  <c r="AM869" i="1" s="1"/>
  <c r="AK868" i="1"/>
  <c r="AM868" i="1" s="1"/>
  <c r="AK867" i="1"/>
  <c r="AM867" i="1" s="1"/>
  <c r="AK866" i="1"/>
  <c r="AM866" i="1" s="1"/>
  <c r="AK865" i="1"/>
  <c r="AM865" i="1" s="1"/>
  <c r="AK864" i="1"/>
  <c r="AM864" i="1" s="1"/>
  <c r="AK863" i="1"/>
  <c r="AM863" i="1" s="1"/>
  <c r="AK862" i="1"/>
  <c r="AM862" i="1" s="1"/>
  <c r="AK861" i="1"/>
  <c r="AM861" i="1" s="1"/>
  <c r="AK860" i="1"/>
  <c r="AM860" i="1" s="1"/>
  <c r="AK859" i="1"/>
  <c r="AM859" i="1" s="1"/>
  <c r="AK858" i="1"/>
  <c r="AM858" i="1" s="1"/>
  <c r="AK857" i="1"/>
  <c r="AM857" i="1" s="1"/>
  <c r="AK856" i="1"/>
  <c r="AM856" i="1" s="1"/>
  <c r="AK855" i="1"/>
  <c r="AM855" i="1" s="1"/>
  <c r="AK854" i="1"/>
  <c r="AM854" i="1" s="1"/>
  <c r="AK853" i="1"/>
  <c r="AM853" i="1" s="1"/>
  <c r="AK852" i="1"/>
  <c r="AM852" i="1" s="1"/>
  <c r="AK851" i="1"/>
  <c r="AM851" i="1" s="1"/>
  <c r="AK850" i="1"/>
  <c r="AM850" i="1" s="1"/>
  <c r="AK849" i="1"/>
  <c r="AM849" i="1" s="1"/>
  <c r="AK848" i="1"/>
  <c r="AM848" i="1" s="1"/>
  <c r="AK847" i="1"/>
  <c r="AM847" i="1" s="1"/>
  <c r="AK846" i="1"/>
  <c r="AM846" i="1" s="1"/>
  <c r="AK845" i="1"/>
  <c r="AM845" i="1" s="1"/>
  <c r="AK844" i="1"/>
  <c r="AM844" i="1" s="1"/>
  <c r="AK843" i="1"/>
  <c r="AM843" i="1" s="1"/>
  <c r="AK842" i="1"/>
  <c r="AM842" i="1" s="1"/>
  <c r="AK841" i="1"/>
  <c r="AM841" i="1" s="1"/>
  <c r="AK840" i="1"/>
  <c r="AM840" i="1" s="1"/>
  <c r="AK839" i="1"/>
  <c r="AM839" i="1" s="1"/>
  <c r="AK838" i="1"/>
  <c r="AM838" i="1" s="1"/>
  <c r="AK837" i="1"/>
  <c r="AM837" i="1" s="1"/>
  <c r="AK836" i="1"/>
  <c r="AM836" i="1" s="1"/>
  <c r="AK835" i="1"/>
  <c r="AM835" i="1" s="1"/>
  <c r="AK834" i="1"/>
  <c r="AM834" i="1" s="1"/>
  <c r="AK833" i="1"/>
  <c r="AM833" i="1" s="1"/>
  <c r="AK832" i="1"/>
  <c r="AM832" i="1" s="1"/>
  <c r="AK831" i="1"/>
  <c r="AM831" i="1" s="1"/>
  <c r="AK830" i="1"/>
  <c r="AM830" i="1" s="1"/>
  <c r="AK829" i="1"/>
  <c r="AM829" i="1" s="1"/>
  <c r="AK828" i="1"/>
  <c r="AM828" i="1" s="1"/>
  <c r="AK827" i="1"/>
  <c r="AM827" i="1" s="1"/>
  <c r="AK826" i="1"/>
  <c r="AM826" i="1" s="1"/>
  <c r="AK825" i="1"/>
  <c r="AM825" i="1" s="1"/>
  <c r="AK824" i="1"/>
  <c r="AM824" i="1" s="1"/>
  <c r="AK823" i="1"/>
  <c r="AM823" i="1" s="1"/>
  <c r="AK822" i="1"/>
  <c r="AM822" i="1" s="1"/>
  <c r="AK821" i="1"/>
  <c r="AM821" i="1" s="1"/>
  <c r="AK820" i="1"/>
  <c r="AM820" i="1" s="1"/>
  <c r="AK819" i="1"/>
  <c r="AM819" i="1" s="1"/>
  <c r="AK818" i="1"/>
  <c r="AM818" i="1" s="1"/>
  <c r="AK817" i="1"/>
  <c r="AM817" i="1" s="1"/>
  <c r="AK816" i="1"/>
  <c r="AM816" i="1" s="1"/>
  <c r="AK815" i="1"/>
  <c r="AM815" i="1" s="1"/>
  <c r="AK814" i="1"/>
  <c r="AM814" i="1" s="1"/>
  <c r="AK813" i="1"/>
  <c r="AM813" i="1" s="1"/>
  <c r="AK812" i="1"/>
  <c r="AM812" i="1" s="1"/>
  <c r="AK811" i="1"/>
  <c r="AM811" i="1" s="1"/>
  <c r="AK810" i="1"/>
  <c r="AM810" i="1" s="1"/>
  <c r="AK809" i="1"/>
  <c r="AM809" i="1" s="1"/>
  <c r="AK808" i="1"/>
  <c r="AM808" i="1" s="1"/>
  <c r="AK807" i="1"/>
  <c r="AM807" i="1" s="1"/>
  <c r="AK806" i="1"/>
  <c r="AM806" i="1" s="1"/>
  <c r="AK805" i="1"/>
  <c r="AM805" i="1" s="1"/>
  <c r="AK804" i="1"/>
  <c r="AM804" i="1" s="1"/>
  <c r="AK803" i="1"/>
  <c r="AM803" i="1" s="1"/>
  <c r="AK802" i="1"/>
  <c r="AM802" i="1" s="1"/>
  <c r="AK801" i="1"/>
  <c r="AM801" i="1" s="1"/>
  <c r="AK800" i="1"/>
  <c r="AM800" i="1" s="1"/>
  <c r="AK799" i="1"/>
  <c r="AM799" i="1" s="1"/>
  <c r="AK798" i="1"/>
  <c r="AM798" i="1" s="1"/>
  <c r="AK797" i="1"/>
  <c r="AM797" i="1" s="1"/>
  <c r="AK796" i="1"/>
  <c r="AM796" i="1" s="1"/>
  <c r="AK795" i="1"/>
  <c r="AM795" i="1" s="1"/>
  <c r="AK794" i="1"/>
  <c r="AM794" i="1" s="1"/>
  <c r="AK793" i="1"/>
  <c r="AM793" i="1" s="1"/>
  <c r="AK792" i="1"/>
  <c r="AM792" i="1" s="1"/>
  <c r="AK791" i="1"/>
  <c r="AM791" i="1" s="1"/>
  <c r="AK790" i="1"/>
  <c r="AM790" i="1" s="1"/>
  <c r="AK789" i="1"/>
  <c r="AM789" i="1" s="1"/>
  <c r="AK788" i="1"/>
  <c r="AM788" i="1" s="1"/>
  <c r="AK787" i="1"/>
  <c r="AM787" i="1" s="1"/>
  <c r="AK786" i="1"/>
  <c r="AM786" i="1" s="1"/>
  <c r="AK785" i="1"/>
  <c r="AM785" i="1" s="1"/>
  <c r="AK784" i="1"/>
  <c r="AM784" i="1" s="1"/>
  <c r="AK783" i="1"/>
  <c r="AM783" i="1" s="1"/>
  <c r="AK782" i="1"/>
  <c r="AM782" i="1" s="1"/>
  <c r="AK781" i="1"/>
  <c r="AM781" i="1" s="1"/>
  <c r="AK780" i="1"/>
  <c r="AM780" i="1" s="1"/>
  <c r="AK779" i="1"/>
  <c r="AM779" i="1" s="1"/>
  <c r="AK778" i="1"/>
  <c r="AM778" i="1" s="1"/>
  <c r="AK777" i="1"/>
  <c r="AM777" i="1" s="1"/>
  <c r="AK776" i="1"/>
  <c r="AM776" i="1" s="1"/>
  <c r="AK775" i="1"/>
  <c r="AM775" i="1" s="1"/>
  <c r="AK774" i="1"/>
  <c r="AM774" i="1" s="1"/>
  <c r="AK773" i="1"/>
  <c r="AM773" i="1" s="1"/>
  <c r="AK772" i="1"/>
  <c r="AM772" i="1" s="1"/>
  <c r="AK771" i="1"/>
  <c r="AM771" i="1" s="1"/>
  <c r="AK770" i="1"/>
  <c r="AM770" i="1" s="1"/>
  <c r="AK769" i="1"/>
  <c r="AM769" i="1" s="1"/>
  <c r="AK768" i="1"/>
  <c r="AM768" i="1" s="1"/>
  <c r="AK767" i="1"/>
  <c r="AM767" i="1" s="1"/>
  <c r="AK766" i="1"/>
  <c r="AM766" i="1" s="1"/>
  <c r="AK765" i="1"/>
  <c r="AM765" i="1" s="1"/>
  <c r="AK764" i="1"/>
  <c r="AM764" i="1" s="1"/>
  <c r="AK763" i="1"/>
  <c r="AM763" i="1" s="1"/>
  <c r="AK762" i="1"/>
  <c r="AM762" i="1" s="1"/>
  <c r="AK761" i="1"/>
  <c r="AM761" i="1" s="1"/>
  <c r="AK760" i="1"/>
  <c r="AM760" i="1" s="1"/>
  <c r="AK759" i="1"/>
  <c r="AM759" i="1" s="1"/>
  <c r="AK758" i="1"/>
  <c r="AM758" i="1" s="1"/>
  <c r="AK757" i="1"/>
  <c r="AM757" i="1" s="1"/>
  <c r="AK756" i="1"/>
  <c r="AM756" i="1" s="1"/>
  <c r="AK755" i="1"/>
  <c r="AM755" i="1" s="1"/>
  <c r="AK754" i="1"/>
  <c r="AM754" i="1" s="1"/>
  <c r="AK753" i="1"/>
  <c r="AM753" i="1" s="1"/>
  <c r="AK752" i="1"/>
  <c r="AM752" i="1" s="1"/>
  <c r="AK751" i="1"/>
  <c r="AM751" i="1" s="1"/>
  <c r="AK750" i="1"/>
  <c r="AM750" i="1" s="1"/>
  <c r="AK749" i="1"/>
  <c r="AM749" i="1" s="1"/>
  <c r="AK748" i="1"/>
  <c r="AM748" i="1" s="1"/>
  <c r="AK747" i="1"/>
  <c r="AM747" i="1" s="1"/>
  <c r="AK746" i="1"/>
  <c r="AM746" i="1" s="1"/>
  <c r="AK745" i="1"/>
  <c r="AM745" i="1" s="1"/>
  <c r="AK744" i="1"/>
  <c r="AM744" i="1" s="1"/>
  <c r="AK743" i="1"/>
  <c r="AM743" i="1" s="1"/>
  <c r="AK742" i="1"/>
  <c r="AM742" i="1" s="1"/>
  <c r="AK741" i="1"/>
  <c r="AM741" i="1" s="1"/>
  <c r="AK740" i="1"/>
  <c r="AM740" i="1" s="1"/>
  <c r="AK739" i="1"/>
  <c r="AM739" i="1" s="1"/>
  <c r="AK738" i="1"/>
  <c r="AM738" i="1" s="1"/>
  <c r="AK737" i="1"/>
  <c r="AM737" i="1" s="1"/>
  <c r="AK736" i="1"/>
  <c r="AM736" i="1" s="1"/>
  <c r="AK735" i="1"/>
  <c r="AM735" i="1" s="1"/>
  <c r="AK734" i="1"/>
  <c r="AM734" i="1" s="1"/>
  <c r="AK733" i="1"/>
  <c r="AM733" i="1" s="1"/>
  <c r="AK732" i="1"/>
  <c r="AM732" i="1" s="1"/>
  <c r="AK731" i="1"/>
  <c r="AM731" i="1" s="1"/>
  <c r="AK730" i="1"/>
  <c r="AM730" i="1" s="1"/>
  <c r="AK729" i="1"/>
  <c r="AM729" i="1" s="1"/>
  <c r="AK728" i="1"/>
  <c r="AM728" i="1" s="1"/>
  <c r="AK727" i="1"/>
  <c r="AM727" i="1" s="1"/>
  <c r="AK726" i="1"/>
  <c r="AM726" i="1" s="1"/>
  <c r="AK725" i="1"/>
  <c r="AM725" i="1" s="1"/>
  <c r="AK724" i="1"/>
  <c r="AM724" i="1" s="1"/>
  <c r="AK723" i="1"/>
  <c r="AM723" i="1" s="1"/>
  <c r="AK722" i="1"/>
  <c r="AM722" i="1" s="1"/>
  <c r="AK721" i="1"/>
  <c r="AM721" i="1" s="1"/>
  <c r="AK720" i="1"/>
  <c r="AM720" i="1" s="1"/>
  <c r="AK719" i="1"/>
  <c r="AM719" i="1" s="1"/>
  <c r="AK718" i="1"/>
  <c r="AM718" i="1" s="1"/>
  <c r="AK717" i="1"/>
  <c r="AM717" i="1" s="1"/>
  <c r="AK716" i="1"/>
  <c r="AM716" i="1" s="1"/>
  <c r="AK715" i="1"/>
  <c r="AM715" i="1" s="1"/>
  <c r="AK714" i="1"/>
  <c r="AM714" i="1" s="1"/>
  <c r="AK713" i="1"/>
  <c r="AM713" i="1" s="1"/>
  <c r="AK712" i="1"/>
  <c r="AM712" i="1" s="1"/>
  <c r="AK711" i="1"/>
  <c r="AM711" i="1" s="1"/>
  <c r="AK710" i="1"/>
  <c r="AM710" i="1" s="1"/>
  <c r="AK709" i="1"/>
  <c r="AM709" i="1" s="1"/>
  <c r="AK708" i="1"/>
  <c r="AM708" i="1" s="1"/>
  <c r="AK707" i="1"/>
  <c r="AM707" i="1" s="1"/>
  <c r="AK706" i="1"/>
  <c r="AM706" i="1" s="1"/>
  <c r="AK705" i="1"/>
  <c r="AM705" i="1" s="1"/>
  <c r="AK704" i="1"/>
  <c r="AM704" i="1" s="1"/>
  <c r="AK703" i="1"/>
  <c r="AM703" i="1" s="1"/>
  <c r="AK702" i="1"/>
  <c r="AM702" i="1" s="1"/>
  <c r="AK701" i="1"/>
  <c r="AM701" i="1" s="1"/>
  <c r="AK700" i="1"/>
  <c r="AM700" i="1" s="1"/>
  <c r="AK699" i="1"/>
  <c r="AM699" i="1" s="1"/>
  <c r="AK698" i="1"/>
  <c r="AM698" i="1" s="1"/>
  <c r="AK697" i="1"/>
  <c r="AM697" i="1" s="1"/>
  <c r="AK696" i="1"/>
  <c r="AM696" i="1" s="1"/>
  <c r="AK695" i="1"/>
  <c r="AM695" i="1" s="1"/>
  <c r="AK694" i="1"/>
  <c r="AM694" i="1" s="1"/>
  <c r="AK693" i="1"/>
  <c r="AM693" i="1" s="1"/>
  <c r="AK692" i="1"/>
  <c r="AM692" i="1" s="1"/>
  <c r="AK691" i="1"/>
  <c r="AM691" i="1" s="1"/>
  <c r="AK690" i="1"/>
  <c r="AM690" i="1" s="1"/>
  <c r="AK689" i="1"/>
  <c r="AM689" i="1" s="1"/>
  <c r="AK688" i="1"/>
  <c r="AM688" i="1" s="1"/>
  <c r="AK687" i="1"/>
  <c r="AM687" i="1" s="1"/>
  <c r="AK686" i="1"/>
  <c r="AM686" i="1" s="1"/>
  <c r="AK685" i="1"/>
  <c r="AM685" i="1" s="1"/>
  <c r="AK684" i="1"/>
  <c r="AM684" i="1" s="1"/>
  <c r="AK683" i="1"/>
  <c r="AM683" i="1" s="1"/>
  <c r="AK682" i="1"/>
  <c r="AM682" i="1" s="1"/>
  <c r="AK681" i="1"/>
  <c r="AM681" i="1" s="1"/>
  <c r="AK680" i="1"/>
  <c r="AM680" i="1" s="1"/>
  <c r="AK679" i="1"/>
  <c r="AM679" i="1" s="1"/>
  <c r="AK678" i="1"/>
  <c r="AM678" i="1" s="1"/>
  <c r="AK677" i="1"/>
  <c r="AM677" i="1" s="1"/>
  <c r="AK676" i="1"/>
  <c r="AM676" i="1" s="1"/>
  <c r="AK675" i="1"/>
  <c r="AM675" i="1" s="1"/>
  <c r="AK674" i="1"/>
  <c r="AM674" i="1" s="1"/>
  <c r="AK673" i="1"/>
  <c r="AM673" i="1" s="1"/>
  <c r="AK672" i="1"/>
  <c r="AM672" i="1" s="1"/>
  <c r="AK671" i="1"/>
  <c r="AM671" i="1" s="1"/>
  <c r="AK670" i="1"/>
  <c r="AM670" i="1" s="1"/>
  <c r="AK669" i="1"/>
  <c r="AM669" i="1" s="1"/>
  <c r="AK668" i="1"/>
  <c r="AM668" i="1" s="1"/>
  <c r="AK667" i="1"/>
  <c r="AM667" i="1" s="1"/>
  <c r="AK666" i="1"/>
  <c r="AM666" i="1" s="1"/>
  <c r="AK665" i="1"/>
  <c r="AM665" i="1" s="1"/>
  <c r="AK664" i="1"/>
  <c r="AM664" i="1" s="1"/>
  <c r="AK663" i="1"/>
  <c r="AM663" i="1" s="1"/>
  <c r="AK662" i="1"/>
  <c r="AM662" i="1" s="1"/>
  <c r="AK661" i="1"/>
  <c r="AM661" i="1" s="1"/>
  <c r="AK660" i="1"/>
  <c r="AM660" i="1" s="1"/>
  <c r="AK659" i="1"/>
  <c r="AM659" i="1" s="1"/>
  <c r="AK658" i="1"/>
  <c r="AM658" i="1" s="1"/>
  <c r="AK657" i="1"/>
  <c r="AM657" i="1" s="1"/>
  <c r="AK656" i="1"/>
  <c r="AM656" i="1" s="1"/>
  <c r="AK655" i="1"/>
  <c r="AM655" i="1" s="1"/>
  <c r="AK654" i="1"/>
  <c r="AM654" i="1" s="1"/>
  <c r="AK653" i="1"/>
  <c r="AM653" i="1" s="1"/>
  <c r="AK652" i="1"/>
  <c r="AM652" i="1" s="1"/>
  <c r="AK651" i="1"/>
  <c r="AM651" i="1" s="1"/>
  <c r="AK650" i="1"/>
  <c r="AM650" i="1" s="1"/>
  <c r="AK649" i="1"/>
  <c r="AM649" i="1" s="1"/>
  <c r="AK648" i="1"/>
  <c r="AM648" i="1" s="1"/>
  <c r="AK647" i="1"/>
  <c r="AM647" i="1" s="1"/>
  <c r="AK646" i="1"/>
  <c r="AM646" i="1" s="1"/>
  <c r="AK645" i="1"/>
  <c r="AM645" i="1" s="1"/>
  <c r="AK644" i="1"/>
  <c r="AM644" i="1" s="1"/>
  <c r="AK643" i="1"/>
  <c r="AM643" i="1" s="1"/>
  <c r="AK642" i="1"/>
  <c r="AM642" i="1" s="1"/>
  <c r="AK641" i="1"/>
  <c r="AM641" i="1" s="1"/>
  <c r="AK640" i="1"/>
  <c r="AM640" i="1" s="1"/>
  <c r="AK639" i="1"/>
  <c r="AM639" i="1" s="1"/>
  <c r="AK638" i="1"/>
  <c r="AM638" i="1" s="1"/>
  <c r="AK637" i="1"/>
  <c r="AM637" i="1" s="1"/>
  <c r="AK636" i="1"/>
  <c r="AM636" i="1" s="1"/>
  <c r="AK635" i="1"/>
  <c r="AM635" i="1" s="1"/>
  <c r="AK634" i="1"/>
  <c r="AM634" i="1" s="1"/>
  <c r="AK633" i="1"/>
  <c r="AM633" i="1" s="1"/>
  <c r="AK632" i="1"/>
  <c r="AM632" i="1" s="1"/>
  <c r="AK631" i="1"/>
  <c r="AM631" i="1" s="1"/>
  <c r="AK630" i="1"/>
  <c r="AM630" i="1" s="1"/>
  <c r="AK629" i="1"/>
  <c r="AM629" i="1" s="1"/>
  <c r="AK628" i="1"/>
  <c r="AM628" i="1" s="1"/>
  <c r="AK627" i="1"/>
  <c r="AM627" i="1" s="1"/>
  <c r="AK626" i="1"/>
  <c r="AM626" i="1" s="1"/>
  <c r="AK625" i="1"/>
  <c r="AM625" i="1" s="1"/>
  <c r="AK624" i="1"/>
  <c r="AM624" i="1" s="1"/>
  <c r="AK623" i="1"/>
  <c r="AM623" i="1" s="1"/>
  <c r="AK622" i="1"/>
  <c r="AM622" i="1" s="1"/>
  <c r="AK621" i="1"/>
  <c r="AM621" i="1" s="1"/>
  <c r="AK620" i="1"/>
  <c r="AM620" i="1" s="1"/>
  <c r="AK619" i="1"/>
  <c r="AM619" i="1" s="1"/>
  <c r="AK618" i="1"/>
  <c r="AM618" i="1" s="1"/>
  <c r="AK617" i="1"/>
  <c r="AM617" i="1" s="1"/>
  <c r="AK616" i="1"/>
  <c r="AM616" i="1" s="1"/>
  <c r="AK615" i="1"/>
  <c r="AM615" i="1" s="1"/>
  <c r="AK614" i="1"/>
  <c r="AM614" i="1" s="1"/>
  <c r="AK613" i="1"/>
  <c r="AM613" i="1" s="1"/>
  <c r="AK612" i="1"/>
  <c r="AM612" i="1" s="1"/>
  <c r="AK611" i="1"/>
  <c r="AM611" i="1" s="1"/>
  <c r="AK610" i="1"/>
  <c r="AM610" i="1" s="1"/>
  <c r="AK609" i="1"/>
  <c r="AM609" i="1" s="1"/>
  <c r="AK608" i="1"/>
  <c r="AM608" i="1" s="1"/>
  <c r="AK607" i="1"/>
  <c r="AM607" i="1" s="1"/>
  <c r="AK606" i="1"/>
  <c r="AM606" i="1" s="1"/>
  <c r="AK605" i="1"/>
  <c r="AM605" i="1" s="1"/>
  <c r="AK604" i="1"/>
  <c r="AM604" i="1" s="1"/>
  <c r="AK603" i="1"/>
  <c r="AM603" i="1" s="1"/>
  <c r="AK602" i="1"/>
  <c r="AM602" i="1" s="1"/>
  <c r="AK601" i="1"/>
  <c r="AM601" i="1" s="1"/>
  <c r="AK600" i="1"/>
  <c r="AM600" i="1" s="1"/>
  <c r="AK599" i="1"/>
  <c r="AM599" i="1" s="1"/>
  <c r="AK598" i="1"/>
  <c r="AM598" i="1" s="1"/>
  <c r="AK597" i="1"/>
  <c r="AM597" i="1" s="1"/>
  <c r="AK596" i="1"/>
  <c r="AM596" i="1" s="1"/>
  <c r="AK595" i="1"/>
  <c r="AM595" i="1" s="1"/>
  <c r="AK594" i="1"/>
  <c r="AM594" i="1" s="1"/>
  <c r="AK593" i="1"/>
  <c r="AM593" i="1" s="1"/>
  <c r="AK592" i="1"/>
  <c r="AM592" i="1" s="1"/>
  <c r="AK591" i="1"/>
  <c r="AM591" i="1" s="1"/>
  <c r="AK590" i="1"/>
  <c r="AM590" i="1" s="1"/>
  <c r="AK589" i="1"/>
  <c r="AM589" i="1" s="1"/>
  <c r="AK588" i="1"/>
  <c r="AM588" i="1" s="1"/>
  <c r="AK587" i="1"/>
  <c r="AM587" i="1" s="1"/>
  <c r="AK586" i="1"/>
  <c r="AM586" i="1" s="1"/>
  <c r="AK585" i="1"/>
  <c r="AM585" i="1" s="1"/>
  <c r="AK584" i="1"/>
  <c r="AM584" i="1" s="1"/>
  <c r="AK583" i="1"/>
  <c r="AM583" i="1" s="1"/>
  <c r="AK582" i="1"/>
  <c r="AM582" i="1" s="1"/>
  <c r="AK581" i="1"/>
  <c r="AM581" i="1" s="1"/>
  <c r="AK580" i="1"/>
  <c r="AM580" i="1" s="1"/>
  <c r="AK579" i="1"/>
  <c r="AM579" i="1" s="1"/>
  <c r="AK578" i="1"/>
  <c r="AM578" i="1" s="1"/>
  <c r="AK577" i="1"/>
  <c r="AM577" i="1" s="1"/>
  <c r="AK576" i="1"/>
  <c r="AM576" i="1" s="1"/>
  <c r="AK575" i="1"/>
  <c r="AM575" i="1" s="1"/>
  <c r="AK574" i="1"/>
  <c r="AM574" i="1" s="1"/>
  <c r="AK573" i="1"/>
  <c r="AM573" i="1" s="1"/>
  <c r="AK572" i="1"/>
  <c r="AM572" i="1" s="1"/>
  <c r="AK571" i="1"/>
  <c r="AM571" i="1" s="1"/>
  <c r="AK570" i="1"/>
  <c r="AM570" i="1" s="1"/>
  <c r="AK569" i="1"/>
  <c r="AM569" i="1" s="1"/>
  <c r="AK568" i="1"/>
  <c r="AM568" i="1" s="1"/>
  <c r="AK567" i="1"/>
  <c r="AM567" i="1" s="1"/>
  <c r="AK566" i="1"/>
  <c r="AM566" i="1" s="1"/>
  <c r="AK565" i="1"/>
  <c r="AM565" i="1" s="1"/>
  <c r="AK564" i="1"/>
  <c r="AM564" i="1" s="1"/>
  <c r="AK563" i="1"/>
  <c r="AM563" i="1" s="1"/>
  <c r="AK562" i="1"/>
  <c r="AM562" i="1" s="1"/>
  <c r="AK561" i="1"/>
  <c r="AM561" i="1" s="1"/>
  <c r="AK560" i="1"/>
  <c r="AM560" i="1" s="1"/>
  <c r="AK559" i="1"/>
  <c r="AM559" i="1" s="1"/>
  <c r="AK558" i="1"/>
  <c r="AM558" i="1" s="1"/>
  <c r="AK557" i="1"/>
  <c r="AM557" i="1" s="1"/>
  <c r="AK556" i="1"/>
  <c r="AM556" i="1" s="1"/>
  <c r="AK555" i="1"/>
  <c r="AM555" i="1" s="1"/>
  <c r="AK554" i="1"/>
  <c r="AM554" i="1" s="1"/>
  <c r="AK553" i="1"/>
  <c r="AM553" i="1" s="1"/>
  <c r="AK552" i="1"/>
  <c r="AM552" i="1" s="1"/>
  <c r="AK551" i="1"/>
  <c r="AM551" i="1" s="1"/>
  <c r="AK550" i="1"/>
  <c r="AM550" i="1" s="1"/>
  <c r="AK549" i="1"/>
  <c r="AM549" i="1" s="1"/>
  <c r="AK548" i="1"/>
  <c r="AM548" i="1" s="1"/>
  <c r="AK547" i="1"/>
  <c r="AM547" i="1" s="1"/>
  <c r="AK546" i="1"/>
  <c r="AM546" i="1" s="1"/>
  <c r="AK545" i="1"/>
  <c r="AM545" i="1" s="1"/>
  <c r="AK544" i="1"/>
  <c r="AM544" i="1" s="1"/>
  <c r="AK543" i="1"/>
  <c r="AM543" i="1" s="1"/>
  <c r="AK542" i="1"/>
  <c r="AM542" i="1" s="1"/>
  <c r="AK541" i="1"/>
  <c r="AM541" i="1" s="1"/>
  <c r="AK540" i="1"/>
  <c r="AM540" i="1" s="1"/>
  <c r="AK539" i="1"/>
  <c r="AM539" i="1" s="1"/>
  <c r="AK538" i="1"/>
  <c r="AM538" i="1" s="1"/>
  <c r="AK537" i="1"/>
  <c r="AM537" i="1" s="1"/>
  <c r="AK536" i="1"/>
  <c r="AM536" i="1" s="1"/>
  <c r="AK535" i="1"/>
  <c r="AM535" i="1" s="1"/>
  <c r="AK534" i="1"/>
  <c r="AM534" i="1" s="1"/>
  <c r="AK533" i="1"/>
  <c r="AM533" i="1" s="1"/>
  <c r="AK532" i="1"/>
  <c r="AM532" i="1" s="1"/>
  <c r="AK531" i="1"/>
  <c r="AM531" i="1" s="1"/>
  <c r="AK530" i="1"/>
  <c r="AM530" i="1" s="1"/>
  <c r="AK529" i="1"/>
  <c r="AM529" i="1" s="1"/>
  <c r="AK528" i="1"/>
  <c r="AM528" i="1" s="1"/>
  <c r="AK527" i="1"/>
  <c r="AM527" i="1" s="1"/>
  <c r="AK526" i="1"/>
  <c r="AM526" i="1" s="1"/>
  <c r="AK525" i="1"/>
  <c r="AM525" i="1" s="1"/>
  <c r="AK524" i="1"/>
  <c r="AM524" i="1" s="1"/>
  <c r="AK523" i="1"/>
  <c r="AM523" i="1" s="1"/>
  <c r="AK522" i="1"/>
  <c r="AM522" i="1" s="1"/>
  <c r="AK521" i="1"/>
  <c r="AM521" i="1" s="1"/>
  <c r="AK520" i="1"/>
  <c r="AM520" i="1" s="1"/>
  <c r="AK519" i="1"/>
  <c r="AM519" i="1" s="1"/>
  <c r="AK518" i="1"/>
  <c r="AM518" i="1" s="1"/>
  <c r="AK517" i="1"/>
  <c r="AM517" i="1" s="1"/>
  <c r="AK516" i="1"/>
  <c r="AM516" i="1" s="1"/>
  <c r="AK515" i="1"/>
  <c r="AM515" i="1" s="1"/>
  <c r="AK514" i="1"/>
  <c r="AM514" i="1" s="1"/>
  <c r="AK513" i="1"/>
  <c r="AM513" i="1" s="1"/>
  <c r="AK512" i="1"/>
  <c r="AM512" i="1" s="1"/>
  <c r="AK511" i="1"/>
  <c r="AM511" i="1" s="1"/>
  <c r="AK510" i="1"/>
  <c r="AM510" i="1" s="1"/>
  <c r="AK509" i="1"/>
  <c r="AM509" i="1" s="1"/>
  <c r="AK508" i="1"/>
  <c r="AM508" i="1" s="1"/>
  <c r="AK507" i="1"/>
  <c r="AM507" i="1" s="1"/>
  <c r="AK506" i="1"/>
  <c r="AM506" i="1" s="1"/>
  <c r="AK505" i="1"/>
  <c r="AM505" i="1" s="1"/>
  <c r="AK504" i="1"/>
  <c r="AM504" i="1" s="1"/>
  <c r="AK503" i="1"/>
  <c r="AM503" i="1" s="1"/>
  <c r="AK502" i="1"/>
  <c r="AM502" i="1" s="1"/>
  <c r="AK501" i="1"/>
  <c r="AM501" i="1" s="1"/>
  <c r="AK500" i="1"/>
  <c r="AM500" i="1" s="1"/>
  <c r="AK499" i="1"/>
  <c r="AM499" i="1" s="1"/>
  <c r="AK498" i="1"/>
  <c r="AM498" i="1" s="1"/>
  <c r="AK497" i="1"/>
  <c r="AM497" i="1" s="1"/>
  <c r="AK496" i="1"/>
  <c r="AM496" i="1" s="1"/>
  <c r="AK495" i="1"/>
  <c r="AM495" i="1" s="1"/>
  <c r="AK494" i="1"/>
  <c r="AM494" i="1" s="1"/>
  <c r="AK493" i="1"/>
  <c r="AM493" i="1" s="1"/>
  <c r="AK492" i="1"/>
  <c r="AM492" i="1" s="1"/>
  <c r="AK491" i="1"/>
  <c r="AM491" i="1" s="1"/>
  <c r="AK490" i="1"/>
  <c r="AM490" i="1" s="1"/>
  <c r="AK489" i="1"/>
  <c r="AM489" i="1" s="1"/>
  <c r="AK488" i="1"/>
  <c r="AM488" i="1" s="1"/>
  <c r="AK487" i="1"/>
  <c r="AM487" i="1" s="1"/>
  <c r="AK486" i="1"/>
  <c r="AM486" i="1" s="1"/>
  <c r="AK485" i="1"/>
  <c r="AM485" i="1" s="1"/>
  <c r="AK484" i="1"/>
  <c r="AM484" i="1" s="1"/>
  <c r="AK483" i="1"/>
  <c r="AM483" i="1" s="1"/>
  <c r="AK482" i="1"/>
  <c r="AM482" i="1" s="1"/>
  <c r="AK481" i="1"/>
  <c r="AM481" i="1" s="1"/>
  <c r="AK480" i="1"/>
  <c r="AM480" i="1" s="1"/>
  <c r="AK479" i="1"/>
  <c r="AM479" i="1" s="1"/>
  <c r="AK478" i="1"/>
  <c r="AM478" i="1" s="1"/>
  <c r="AK477" i="1"/>
  <c r="AM477" i="1" s="1"/>
  <c r="AK476" i="1"/>
  <c r="AM476" i="1" s="1"/>
  <c r="AK475" i="1"/>
  <c r="AM475" i="1" s="1"/>
  <c r="AK474" i="1"/>
  <c r="AM474" i="1" s="1"/>
  <c r="AK473" i="1"/>
  <c r="AM473" i="1" s="1"/>
  <c r="AK472" i="1"/>
  <c r="AM472" i="1" s="1"/>
  <c r="AK471" i="1"/>
  <c r="AM471" i="1" s="1"/>
  <c r="AK470" i="1"/>
  <c r="AM470" i="1" s="1"/>
  <c r="AK469" i="1"/>
  <c r="AM469" i="1" s="1"/>
  <c r="AK468" i="1"/>
  <c r="AM468" i="1" s="1"/>
  <c r="AK467" i="1"/>
  <c r="AM467" i="1" s="1"/>
  <c r="AK466" i="1"/>
  <c r="AM466" i="1" s="1"/>
  <c r="AK465" i="1"/>
  <c r="AM465" i="1" s="1"/>
  <c r="AK464" i="1"/>
  <c r="AM464" i="1" s="1"/>
  <c r="AK463" i="1"/>
  <c r="AM463" i="1" s="1"/>
  <c r="AK462" i="1"/>
  <c r="AM462" i="1" s="1"/>
  <c r="AK461" i="1"/>
  <c r="AM461" i="1" s="1"/>
  <c r="AK460" i="1"/>
  <c r="AM460" i="1" s="1"/>
  <c r="AK459" i="1"/>
  <c r="AM459" i="1" s="1"/>
  <c r="AK458" i="1"/>
  <c r="AM458" i="1" s="1"/>
  <c r="AK457" i="1"/>
  <c r="AM457" i="1" s="1"/>
  <c r="AK456" i="1"/>
  <c r="AM456" i="1" s="1"/>
  <c r="AK455" i="1"/>
  <c r="AM455" i="1" s="1"/>
  <c r="AK454" i="1"/>
  <c r="AM454" i="1" s="1"/>
  <c r="AK453" i="1"/>
  <c r="AM453" i="1" s="1"/>
  <c r="AK452" i="1"/>
  <c r="AM452" i="1" s="1"/>
  <c r="AK451" i="1"/>
  <c r="AM451" i="1" s="1"/>
  <c r="AK450" i="1"/>
  <c r="AM450" i="1" s="1"/>
  <c r="AK449" i="1"/>
  <c r="AM449" i="1" s="1"/>
  <c r="AK448" i="1"/>
  <c r="AM448" i="1" s="1"/>
  <c r="AK447" i="1"/>
  <c r="AM447" i="1" s="1"/>
  <c r="AK446" i="1"/>
  <c r="AM446" i="1" s="1"/>
  <c r="AK445" i="1"/>
  <c r="AM445" i="1" s="1"/>
  <c r="AK444" i="1"/>
  <c r="AM444" i="1" s="1"/>
  <c r="AK443" i="1"/>
  <c r="AM443" i="1" s="1"/>
  <c r="AK442" i="1"/>
  <c r="AM442" i="1" s="1"/>
  <c r="AK441" i="1"/>
  <c r="AM441" i="1" s="1"/>
  <c r="AK440" i="1"/>
  <c r="AM440" i="1" s="1"/>
  <c r="AK439" i="1"/>
  <c r="AM439" i="1" s="1"/>
  <c r="AK438" i="1"/>
  <c r="AM438" i="1" s="1"/>
  <c r="AK437" i="1"/>
  <c r="AM437" i="1" s="1"/>
  <c r="AK436" i="1"/>
  <c r="AM436" i="1" s="1"/>
  <c r="AK435" i="1"/>
  <c r="AM435" i="1" s="1"/>
  <c r="AK434" i="1"/>
  <c r="AM434" i="1" s="1"/>
  <c r="AK433" i="1"/>
  <c r="AM433" i="1" s="1"/>
  <c r="AK432" i="1"/>
  <c r="AM432" i="1" s="1"/>
  <c r="AK431" i="1"/>
  <c r="AM431" i="1" s="1"/>
  <c r="AK430" i="1"/>
  <c r="AM430" i="1" s="1"/>
  <c r="AK429" i="1"/>
  <c r="AM429" i="1" s="1"/>
  <c r="AK428" i="1"/>
  <c r="AM428" i="1" s="1"/>
  <c r="AK427" i="1"/>
  <c r="AM427" i="1" s="1"/>
  <c r="AK426" i="1"/>
  <c r="AM426" i="1" s="1"/>
  <c r="AK425" i="1"/>
  <c r="AM425" i="1" s="1"/>
  <c r="AK424" i="1"/>
  <c r="AM424" i="1" s="1"/>
  <c r="AK423" i="1"/>
  <c r="AM423" i="1" s="1"/>
  <c r="AK422" i="1"/>
  <c r="AM422" i="1" s="1"/>
  <c r="AK421" i="1"/>
  <c r="AM421" i="1" s="1"/>
  <c r="AK420" i="1"/>
  <c r="AM420" i="1" s="1"/>
  <c r="AK419" i="1"/>
  <c r="AM419" i="1" s="1"/>
  <c r="AK418" i="1"/>
  <c r="AM418" i="1" s="1"/>
  <c r="AK417" i="1"/>
  <c r="AM417" i="1" s="1"/>
  <c r="AK416" i="1"/>
  <c r="AM416" i="1" s="1"/>
  <c r="AK415" i="1"/>
  <c r="AM415" i="1" s="1"/>
  <c r="AK414" i="1"/>
  <c r="AM414" i="1" s="1"/>
  <c r="AK413" i="1"/>
  <c r="AM413" i="1" s="1"/>
  <c r="AK412" i="1"/>
  <c r="AM412" i="1" s="1"/>
  <c r="AK411" i="1"/>
  <c r="AM411" i="1" s="1"/>
  <c r="AK410" i="1"/>
  <c r="AM410" i="1" s="1"/>
  <c r="AK409" i="1"/>
  <c r="AM409" i="1" s="1"/>
  <c r="AK408" i="1"/>
  <c r="AM408" i="1" s="1"/>
  <c r="AK407" i="1"/>
  <c r="AM407" i="1" s="1"/>
  <c r="AK406" i="1"/>
  <c r="AM406" i="1" s="1"/>
  <c r="AK405" i="1"/>
  <c r="AM405" i="1" s="1"/>
  <c r="AK404" i="1"/>
  <c r="AM404" i="1" s="1"/>
  <c r="AK403" i="1"/>
  <c r="AM403" i="1" s="1"/>
  <c r="AK402" i="1"/>
  <c r="AM402" i="1" s="1"/>
  <c r="AK401" i="1"/>
  <c r="AM401" i="1" s="1"/>
  <c r="AK400" i="1"/>
  <c r="AM400" i="1" s="1"/>
  <c r="AK399" i="1"/>
  <c r="AM399" i="1" s="1"/>
  <c r="AK398" i="1"/>
  <c r="AM398" i="1" s="1"/>
  <c r="AK397" i="1"/>
  <c r="AM397" i="1" s="1"/>
  <c r="AK396" i="1"/>
  <c r="AM396" i="1" s="1"/>
  <c r="AK395" i="1"/>
  <c r="AM395" i="1" s="1"/>
  <c r="AK394" i="1"/>
  <c r="AM394" i="1" s="1"/>
  <c r="AK393" i="1"/>
  <c r="AM393" i="1" s="1"/>
  <c r="AK392" i="1"/>
  <c r="AM392" i="1" s="1"/>
  <c r="AK391" i="1"/>
  <c r="AM391" i="1" s="1"/>
  <c r="AK390" i="1"/>
  <c r="AM390" i="1" s="1"/>
  <c r="AK389" i="1"/>
  <c r="AM389" i="1" s="1"/>
  <c r="AK388" i="1"/>
  <c r="AM388" i="1" s="1"/>
  <c r="AK387" i="1"/>
  <c r="AM387" i="1" s="1"/>
  <c r="AK386" i="1"/>
  <c r="AM386" i="1" s="1"/>
  <c r="AK385" i="1"/>
  <c r="AM385" i="1" s="1"/>
  <c r="AK384" i="1"/>
  <c r="AM384" i="1" s="1"/>
  <c r="AK383" i="1"/>
  <c r="AM383" i="1" s="1"/>
  <c r="AK382" i="1"/>
  <c r="AM382" i="1" s="1"/>
  <c r="AK381" i="1"/>
  <c r="AM381" i="1" s="1"/>
  <c r="AK380" i="1"/>
  <c r="AM380" i="1" s="1"/>
  <c r="AK379" i="1"/>
  <c r="AM379" i="1" s="1"/>
  <c r="AK378" i="1"/>
  <c r="AM378" i="1" s="1"/>
  <c r="AK377" i="1"/>
  <c r="AM377" i="1" s="1"/>
  <c r="AK376" i="1"/>
  <c r="AM376" i="1" s="1"/>
  <c r="AK375" i="1"/>
  <c r="AM375" i="1" s="1"/>
  <c r="AK374" i="1"/>
  <c r="AM374" i="1" s="1"/>
  <c r="AK373" i="1"/>
  <c r="AM373" i="1" s="1"/>
  <c r="AK372" i="1"/>
  <c r="AM372" i="1" s="1"/>
  <c r="AK371" i="1"/>
  <c r="AM371" i="1" s="1"/>
  <c r="AK370" i="1"/>
  <c r="AM370" i="1" s="1"/>
  <c r="AK369" i="1"/>
  <c r="AM369" i="1" s="1"/>
  <c r="AK368" i="1"/>
  <c r="AM368" i="1" s="1"/>
  <c r="AK367" i="1"/>
  <c r="AM367" i="1" s="1"/>
  <c r="AK366" i="1"/>
  <c r="AM366" i="1" s="1"/>
  <c r="AK365" i="1"/>
  <c r="AM365" i="1" s="1"/>
  <c r="AK364" i="1"/>
  <c r="AM364" i="1" s="1"/>
  <c r="AK363" i="1"/>
  <c r="AM363" i="1" s="1"/>
  <c r="AK362" i="1"/>
  <c r="AM362" i="1" s="1"/>
  <c r="AK361" i="1"/>
  <c r="AM361" i="1" s="1"/>
  <c r="AK360" i="1"/>
  <c r="AM360" i="1" s="1"/>
  <c r="AK359" i="1"/>
  <c r="AM359" i="1" s="1"/>
  <c r="AK358" i="1"/>
  <c r="AM358" i="1" s="1"/>
  <c r="AK357" i="1"/>
  <c r="AM357" i="1" s="1"/>
  <c r="AK356" i="1"/>
  <c r="AM356" i="1" s="1"/>
  <c r="AK355" i="1"/>
  <c r="AM355" i="1" s="1"/>
  <c r="AK354" i="1"/>
  <c r="AM354" i="1" s="1"/>
  <c r="AK353" i="1"/>
  <c r="AM353" i="1" s="1"/>
  <c r="AK352" i="1"/>
  <c r="AM352" i="1" s="1"/>
  <c r="AK351" i="1"/>
  <c r="AM351" i="1" s="1"/>
  <c r="AK350" i="1"/>
  <c r="AM350" i="1" s="1"/>
  <c r="AK349" i="1"/>
  <c r="AM349" i="1" s="1"/>
  <c r="AK348" i="1"/>
  <c r="AM348" i="1" s="1"/>
  <c r="AK347" i="1"/>
  <c r="AM347" i="1" s="1"/>
  <c r="AK346" i="1"/>
  <c r="AM346" i="1" s="1"/>
  <c r="AK345" i="1"/>
  <c r="AM345" i="1" s="1"/>
  <c r="AK344" i="1"/>
  <c r="AM344" i="1" s="1"/>
  <c r="AK343" i="1"/>
  <c r="AM343" i="1" s="1"/>
  <c r="AK342" i="1"/>
  <c r="AM342" i="1" s="1"/>
  <c r="AK341" i="1"/>
  <c r="AM341" i="1" s="1"/>
  <c r="AK340" i="1"/>
  <c r="AM340" i="1" s="1"/>
  <c r="AK339" i="1"/>
  <c r="AM339" i="1" s="1"/>
  <c r="AK338" i="1"/>
  <c r="AM338" i="1" s="1"/>
  <c r="AK337" i="1"/>
  <c r="AM337" i="1" s="1"/>
  <c r="AK336" i="1"/>
  <c r="AM336" i="1" s="1"/>
  <c r="AK335" i="1"/>
  <c r="AM335" i="1" s="1"/>
  <c r="AK334" i="1"/>
  <c r="AM334" i="1" s="1"/>
  <c r="AK333" i="1"/>
  <c r="AM333" i="1" s="1"/>
  <c r="AK332" i="1"/>
  <c r="AM332" i="1" s="1"/>
  <c r="AK331" i="1"/>
  <c r="AM331" i="1" s="1"/>
  <c r="AK330" i="1"/>
  <c r="AM330" i="1" s="1"/>
  <c r="AK329" i="1"/>
  <c r="AM329" i="1" s="1"/>
  <c r="AK328" i="1"/>
  <c r="AM328" i="1" s="1"/>
  <c r="AK327" i="1"/>
  <c r="AM327" i="1" s="1"/>
  <c r="AK326" i="1"/>
  <c r="AM326" i="1" s="1"/>
  <c r="AK325" i="1"/>
  <c r="AM325" i="1" s="1"/>
  <c r="AK324" i="1"/>
  <c r="AM324" i="1" s="1"/>
  <c r="AK323" i="1"/>
  <c r="AM323" i="1" s="1"/>
  <c r="AK322" i="1"/>
  <c r="AM322" i="1" s="1"/>
  <c r="AK321" i="1"/>
  <c r="AM321" i="1" s="1"/>
  <c r="AK320" i="1"/>
  <c r="AM320" i="1" s="1"/>
  <c r="AK319" i="1"/>
  <c r="AM319" i="1" s="1"/>
  <c r="AK318" i="1"/>
  <c r="AM318" i="1" s="1"/>
  <c r="AK317" i="1"/>
  <c r="AM317" i="1" s="1"/>
  <c r="AK316" i="1"/>
  <c r="AM316" i="1" s="1"/>
  <c r="AK315" i="1"/>
  <c r="AM315" i="1" s="1"/>
  <c r="AK314" i="1"/>
  <c r="AM314" i="1" s="1"/>
  <c r="AK313" i="1"/>
  <c r="AM313" i="1" s="1"/>
  <c r="AK312" i="1"/>
  <c r="AM312" i="1" s="1"/>
  <c r="AK311" i="1"/>
  <c r="AM311" i="1" s="1"/>
  <c r="AK310" i="1"/>
  <c r="AM310" i="1" s="1"/>
  <c r="AK309" i="1"/>
  <c r="AM309" i="1" s="1"/>
  <c r="AK308" i="1"/>
  <c r="AM308" i="1" s="1"/>
  <c r="AK307" i="1"/>
  <c r="AM307" i="1" s="1"/>
  <c r="AK306" i="1"/>
  <c r="AM306" i="1" s="1"/>
  <c r="AK305" i="1"/>
  <c r="AM305" i="1" s="1"/>
  <c r="AK304" i="1"/>
  <c r="AM304" i="1" s="1"/>
  <c r="AK303" i="1"/>
  <c r="AM303" i="1" s="1"/>
  <c r="AK302" i="1"/>
  <c r="AM302" i="1" s="1"/>
  <c r="AK301" i="1"/>
  <c r="AM301" i="1" s="1"/>
  <c r="AK300" i="1"/>
  <c r="AM300" i="1" s="1"/>
  <c r="AK299" i="1"/>
  <c r="AM299" i="1" s="1"/>
  <c r="AK298" i="1"/>
  <c r="AM298" i="1" s="1"/>
  <c r="AK297" i="1"/>
  <c r="AM297" i="1" s="1"/>
  <c r="AK296" i="1"/>
  <c r="AM296" i="1" s="1"/>
  <c r="AK295" i="1"/>
  <c r="AM295" i="1" s="1"/>
  <c r="AK294" i="1"/>
  <c r="AM294" i="1" s="1"/>
  <c r="AK293" i="1"/>
  <c r="AM293" i="1" s="1"/>
  <c r="AK292" i="1"/>
  <c r="AM292" i="1" s="1"/>
  <c r="AK291" i="1"/>
  <c r="AM291" i="1" s="1"/>
  <c r="AK290" i="1"/>
  <c r="AM290" i="1" s="1"/>
  <c r="AK289" i="1"/>
  <c r="AM289" i="1" s="1"/>
  <c r="AK288" i="1"/>
  <c r="AM288" i="1" s="1"/>
  <c r="AK287" i="1"/>
  <c r="AM287" i="1" s="1"/>
  <c r="AK286" i="1"/>
  <c r="AM286" i="1" s="1"/>
  <c r="AK285" i="1"/>
  <c r="AM285" i="1" s="1"/>
  <c r="AK284" i="1"/>
  <c r="AM284" i="1" s="1"/>
  <c r="AK283" i="1"/>
  <c r="AM283" i="1" s="1"/>
  <c r="AK282" i="1"/>
  <c r="AM282" i="1" s="1"/>
  <c r="AK281" i="1"/>
  <c r="AM281" i="1" s="1"/>
  <c r="AK280" i="1"/>
  <c r="AM280" i="1" s="1"/>
  <c r="AK279" i="1"/>
  <c r="AM279" i="1" s="1"/>
  <c r="AK278" i="1"/>
  <c r="AM278" i="1" s="1"/>
  <c r="AK277" i="1"/>
  <c r="AM277" i="1" s="1"/>
  <c r="AK276" i="1"/>
  <c r="AM276" i="1" s="1"/>
  <c r="AK275" i="1"/>
  <c r="AM275" i="1" s="1"/>
  <c r="AK274" i="1"/>
  <c r="AM274" i="1" s="1"/>
  <c r="AK273" i="1"/>
  <c r="AM273" i="1" s="1"/>
  <c r="AK272" i="1"/>
  <c r="AM272" i="1" s="1"/>
  <c r="AK271" i="1"/>
  <c r="AM271" i="1" s="1"/>
  <c r="AK270" i="1"/>
  <c r="AM270" i="1" s="1"/>
  <c r="AK269" i="1"/>
  <c r="AM269" i="1" s="1"/>
  <c r="AK268" i="1"/>
  <c r="AM268" i="1" s="1"/>
  <c r="AK267" i="1"/>
  <c r="AM267" i="1" s="1"/>
  <c r="AK266" i="1"/>
  <c r="AM266" i="1" s="1"/>
  <c r="AK265" i="1"/>
  <c r="AM265" i="1" s="1"/>
  <c r="AK264" i="1"/>
  <c r="AM264" i="1" s="1"/>
  <c r="AK263" i="1"/>
  <c r="AM263" i="1" s="1"/>
  <c r="AK262" i="1"/>
  <c r="AM262" i="1" s="1"/>
  <c r="AK261" i="1"/>
  <c r="AM261" i="1" s="1"/>
  <c r="AK260" i="1"/>
  <c r="AM260" i="1" s="1"/>
  <c r="AK259" i="1"/>
  <c r="AM259" i="1" s="1"/>
  <c r="AK258" i="1"/>
  <c r="AM258" i="1" s="1"/>
  <c r="AK257" i="1"/>
  <c r="AM257" i="1" s="1"/>
  <c r="AK256" i="1"/>
  <c r="AM256" i="1" s="1"/>
  <c r="AK255" i="1"/>
  <c r="AM255" i="1" s="1"/>
  <c r="AK254" i="1"/>
  <c r="AM254" i="1" s="1"/>
  <c r="AK253" i="1"/>
  <c r="AM253" i="1" s="1"/>
  <c r="AK252" i="1"/>
  <c r="AM252" i="1" s="1"/>
  <c r="AK251" i="1"/>
  <c r="AM251" i="1" s="1"/>
  <c r="AK250" i="1"/>
  <c r="AM250" i="1" s="1"/>
  <c r="AK249" i="1"/>
  <c r="AM249" i="1" s="1"/>
  <c r="AK248" i="1"/>
  <c r="AM248" i="1" s="1"/>
  <c r="AK247" i="1"/>
  <c r="AM247" i="1" s="1"/>
  <c r="AK246" i="1"/>
  <c r="AM246" i="1" s="1"/>
  <c r="AK245" i="1"/>
  <c r="AM245" i="1" s="1"/>
  <c r="AK244" i="1"/>
  <c r="AM244" i="1" s="1"/>
  <c r="AK243" i="1"/>
  <c r="AM243" i="1" s="1"/>
  <c r="AK242" i="1"/>
  <c r="AM242" i="1" s="1"/>
  <c r="AK241" i="1"/>
  <c r="AM241" i="1" s="1"/>
  <c r="AK240" i="1"/>
  <c r="AM240" i="1" s="1"/>
  <c r="AK239" i="1"/>
  <c r="AM239" i="1" s="1"/>
  <c r="AK238" i="1"/>
  <c r="AM238" i="1" s="1"/>
  <c r="AK237" i="1"/>
  <c r="AM237" i="1" s="1"/>
  <c r="AK236" i="1"/>
  <c r="AM236" i="1" s="1"/>
  <c r="AK235" i="1"/>
  <c r="AM235" i="1" s="1"/>
  <c r="AK234" i="1"/>
  <c r="AM234" i="1" s="1"/>
  <c r="AK233" i="1"/>
  <c r="AM233" i="1" s="1"/>
  <c r="AK232" i="1"/>
  <c r="AM232" i="1" s="1"/>
  <c r="AK231" i="1"/>
  <c r="AM231" i="1" s="1"/>
  <c r="AK230" i="1"/>
  <c r="AM230" i="1" s="1"/>
  <c r="AK229" i="1"/>
  <c r="AM229" i="1" s="1"/>
  <c r="AK228" i="1"/>
  <c r="AM228" i="1" s="1"/>
  <c r="AK227" i="1"/>
  <c r="AM227" i="1" s="1"/>
  <c r="AK226" i="1"/>
  <c r="AM226" i="1" s="1"/>
  <c r="AK225" i="1"/>
  <c r="AM225" i="1" s="1"/>
  <c r="AK224" i="1"/>
  <c r="AM224" i="1" s="1"/>
  <c r="AK223" i="1"/>
  <c r="AM223" i="1" s="1"/>
  <c r="AK222" i="1"/>
  <c r="AM222" i="1" s="1"/>
  <c r="AK221" i="1"/>
  <c r="AM221" i="1" s="1"/>
  <c r="AK220" i="1"/>
  <c r="AM220" i="1" s="1"/>
  <c r="AK219" i="1"/>
  <c r="AM219" i="1" s="1"/>
  <c r="AK218" i="1"/>
  <c r="AM218" i="1" s="1"/>
  <c r="AK217" i="1"/>
  <c r="AM217" i="1" s="1"/>
  <c r="AK216" i="1"/>
  <c r="AM216" i="1" s="1"/>
  <c r="AK215" i="1"/>
  <c r="AM215" i="1" s="1"/>
  <c r="AK214" i="1"/>
  <c r="AM214" i="1" s="1"/>
  <c r="AK213" i="1"/>
  <c r="AM213" i="1" s="1"/>
  <c r="AK212" i="1"/>
  <c r="AM212" i="1" s="1"/>
  <c r="AK211" i="1"/>
  <c r="AM211" i="1" s="1"/>
  <c r="AK210" i="1"/>
  <c r="AM210" i="1" s="1"/>
  <c r="AK209" i="1"/>
  <c r="AM209" i="1" s="1"/>
  <c r="AK208" i="1"/>
  <c r="AM208" i="1" s="1"/>
  <c r="AK207" i="1"/>
  <c r="AM207" i="1" s="1"/>
  <c r="AK206" i="1"/>
  <c r="AM206" i="1" s="1"/>
  <c r="AK205" i="1"/>
  <c r="AM205" i="1" s="1"/>
  <c r="AK204" i="1"/>
  <c r="AM204" i="1" s="1"/>
  <c r="AK203" i="1"/>
  <c r="AM203" i="1" s="1"/>
  <c r="AK202" i="1"/>
  <c r="AM202" i="1" s="1"/>
  <c r="AK201" i="1"/>
  <c r="AM201" i="1" s="1"/>
  <c r="AK200" i="1"/>
  <c r="AM200" i="1" s="1"/>
  <c r="AK199" i="1"/>
  <c r="AM199" i="1" s="1"/>
  <c r="AK198" i="1"/>
  <c r="AM198" i="1" s="1"/>
  <c r="AK197" i="1"/>
  <c r="AM197" i="1" s="1"/>
  <c r="AK196" i="1"/>
  <c r="AM196" i="1" s="1"/>
  <c r="AK195" i="1"/>
  <c r="AM195" i="1" s="1"/>
  <c r="AK194" i="1"/>
  <c r="AM194" i="1" s="1"/>
  <c r="AK193" i="1"/>
  <c r="AM193" i="1" s="1"/>
  <c r="AK192" i="1"/>
  <c r="AM192" i="1" s="1"/>
  <c r="AK191" i="1"/>
  <c r="AM191" i="1" s="1"/>
  <c r="AK190" i="1"/>
  <c r="AM190" i="1" s="1"/>
  <c r="AK189" i="1"/>
  <c r="AM189" i="1" s="1"/>
  <c r="AK188" i="1"/>
  <c r="AM188" i="1" s="1"/>
  <c r="AK187" i="1"/>
  <c r="AM187" i="1" s="1"/>
  <c r="AK186" i="1"/>
  <c r="AM186" i="1" s="1"/>
  <c r="AK185" i="1"/>
  <c r="AM185" i="1" s="1"/>
  <c r="AK184" i="1"/>
  <c r="AM184" i="1" s="1"/>
  <c r="AK183" i="1"/>
  <c r="AM183" i="1" s="1"/>
  <c r="AK182" i="1"/>
  <c r="AM182" i="1" s="1"/>
  <c r="AK181" i="1"/>
  <c r="AM181" i="1" s="1"/>
  <c r="AK180" i="1"/>
  <c r="AM180" i="1" s="1"/>
  <c r="AK179" i="1"/>
  <c r="AM179" i="1" s="1"/>
  <c r="AK178" i="1"/>
  <c r="AM178" i="1" s="1"/>
  <c r="AK177" i="1"/>
  <c r="AM177" i="1" s="1"/>
  <c r="AK176" i="1"/>
  <c r="AM176" i="1" s="1"/>
  <c r="AK175" i="1"/>
  <c r="AM175" i="1" s="1"/>
  <c r="AK174" i="1"/>
  <c r="AM174" i="1" s="1"/>
  <c r="AK173" i="1"/>
  <c r="AM173" i="1" s="1"/>
  <c r="AK172" i="1"/>
  <c r="AM172" i="1" s="1"/>
  <c r="AK171" i="1"/>
  <c r="AM171" i="1" s="1"/>
  <c r="AK170" i="1"/>
  <c r="AM170" i="1" s="1"/>
  <c r="AK169" i="1"/>
  <c r="AM169" i="1" s="1"/>
  <c r="AK168" i="1"/>
  <c r="AM168" i="1" s="1"/>
  <c r="AK167" i="1"/>
  <c r="AM167" i="1" s="1"/>
  <c r="AK166" i="1"/>
  <c r="AM166" i="1" s="1"/>
  <c r="AK165" i="1"/>
  <c r="AM165" i="1" s="1"/>
  <c r="AK164" i="1"/>
  <c r="AM164" i="1" s="1"/>
  <c r="AK163" i="1"/>
  <c r="AM163" i="1" s="1"/>
  <c r="AK162" i="1"/>
  <c r="AM162" i="1" s="1"/>
  <c r="AK161" i="1"/>
  <c r="AM161" i="1" s="1"/>
  <c r="AK160" i="1"/>
  <c r="AM160" i="1" s="1"/>
  <c r="AK159" i="1"/>
  <c r="AM159" i="1" s="1"/>
  <c r="AK158" i="1"/>
  <c r="AM158" i="1" s="1"/>
  <c r="AK157" i="1"/>
  <c r="AM157" i="1" s="1"/>
  <c r="AK156" i="1"/>
  <c r="AM156" i="1" s="1"/>
  <c r="AK155" i="1"/>
  <c r="AM155" i="1" s="1"/>
  <c r="AK154" i="1"/>
  <c r="AM154" i="1" s="1"/>
  <c r="AK153" i="1"/>
  <c r="AM153" i="1" s="1"/>
  <c r="AK152" i="1"/>
  <c r="AM152" i="1" s="1"/>
  <c r="AK151" i="1"/>
  <c r="AM151" i="1" s="1"/>
  <c r="AK150" i="1"/>
  <c r="AM150" i="1" s="1"/>
  <c r="AK149" i="1"/>
  <c r="AM149" i="1" s="1"/>
  <c r="AK148" i="1"/>
  <c r="AM148" i="1" s="1"/>
  <c r="AK147" i="1"/>
  <c r="AM147" i="1" s="1"/>
  <c r="AK146" i="1"/>
  <c r="AM146" i="1" s="1"/>
  <c r="AK145" i="1"/>
  <c r="AM145" i="1" s="1"/>
  <c r="AK144" i="1"/>
  <c r="AM144" i="1" s="1"/>
  <c r="AK143" i="1"/>
  <c r="AM143" i="1" s="1"/>
  <c r="AK142" i="1"/>
  <c r="AM142" i="1" s="1"/>
  <c r="AK141" i="1"/>
  <c r="AM141" i="1" s="1"/>
  <c r="AK140" i="1"/>
  <c r="AM140" i="1" s="1"/>
  <c r="AK139" i="1"/>
  <c r="AM139" i="1" s="1"/>
  <c r="AK138" i="1"/>
  <c r="AM138" i="1" s="1"/>
  <c r="AK137" i="1"/>
  <c r="AM137" i="1" s="1"/>
  <c r="AK136" i="1"/>
  <c r="AM136" i="1" s="1"/>
  <c r="AK135" i="1"/>
  <c r="AM135" i="1" s="1"/>
  <c r="AK134" i="1"/>
  <c r="AM134" i="1" s="1"/>
  <c r="AK133" i="1"/>
  <c r="AM133" i="1" s="1"/>
  <c r="AK132" i="1"/>
  <c r="AM132" i="1" s="1"/>
  <c r="AK131" i="1"/>
  <c r="AM131" i="1" s="1"/>
  <c r="AK130" i="1"/>
  <c r="AM130" i="1" s="1"/>
  <c r="AK129" i="1"/>
  <c r="AM129" i="1" s="1"/>
  <c r="AK128" i="1"/>
  <c r="AM128" i="1" s="1"/>
  <c r="AK127" i="1"/>
  <c r="AM127" i="1" s="1"/>
  <c r="AK126" i="1"/>
  <c r="AM126" i="1" s="1"/>
  <c r="AK125" i="1"/>
  <c r="AM125" i="1" s="1"/>
  <c r="AK124" i="1"/>
  <c r="AM124" i="1" s="1"/>
  <c r="AK123" i="1"/>
  <c r="AM123" i="1" s="1"/>
  <c r="AK122" i="1"/>
  <c r="AM122" i="1" s="1"/>
  <c r="AK121" i="1"/>
  <c r="AM121" i="1" s="1"/>
  <c r="AK120" i="1"/>
  <c r="AM120" i="1" s="1"/>
  <c r="AK119" i="1"/>
  <c r="AM119" i="1" s="1"/>
  <c r="AK118" i="1"/>
  <c r="AM118" i="1" s="1"/>
  <c r="AK117" i="1"/>
  <c r="AM117" i="1" s="1"/>
  <c r="AK116" i="1"/>
  <c r="AM116" i="1" s="1"/>
  <c r="AK115" i="1"/>
  <c r="AM115" i="1" s="1"/>
  <c r="AK114" i="1"/>
  <c r="AM114" i="1" s="1"/>
  <c r="AK113" i="1"/>
  <c r="AM113" i="1" s="1"/>
  <c r="AK112" i="1"/>
  <c r="AM112" i="1" s="1"/>
  <c r="AK111" i="1"/>
  <c r="AM111" i="1" s="1"/>
  <c r="AK110" i="1"/>
  <c r="AM110" i="1" s="1"/>
  <c r="AK109" i="1"/>
  <c r="AM109" i="1" s="1"/>
  <c r="AK108" i="1"/>
  <c r="AM108" i="1" s="1"/>
  <c r="AK107" i="1"/>
  <c r="AM107" i="1" s="1"/>
  <c r="AK106" i="1"/>
  <c r="AM106" i="1" s="1"/>
  <c r="AK105" i="1"/>
  <c r="AM105" i="1" s="1"/>
  <c r="AK104" i="1"/>
  <c r="AM104" i="1" s="1"/>
  <c r="AK103" i="1"/>
  <c r="AM103" i="1" s="1"/>
  <c r="AK102" i="1"/>
  <c r="AM102" i="1" s="1"/>
  <c r="AK101" i="1"/>
  <c r="AM101" i="1" s="1"/>
  <c r="AK100" i="1"/>
  <c r="AM100" i="1" s="1"/>
  <c r="AK99" i="1"/>
  <c r="AM99" i="1" s="1"/>
  <c r="AK98" i="1"/>
  <c r="AM98" i="1" s="1"/>
  <c r="AK97" i="1"/>
  <c r="AM97" i="1" s="1"/>
  <c r="AK96" i="1"/>
  <c r="AM96" i="1" s="1"/>
  <c r="AK95" i="1"/>
  <c r="AM95" i="1" s="1"/>
  <c r="AK94" i="1"/>
  <c r="AM94" i="1" s="1"/>
  <c r="AK93" i="1"/>
  <c r="AM93" i="1" s="1"/>
  <c r="AK92" i="1"/>
  <c r="AM92" i="1" s="1"/>
  <c r="AK91" i="1"/>
  <c r="AM91" i="1" s="1"/>
  <c r="AK90" i="1"/>
  <c r="AM90" i="1" s="1"/>
  <c r="AK89" i="1"/>
  <c r="AM89" i="1" s="1"/>
  <c r="AK88" i="1"/>
  <c r="AM88" i="1" s="1"/>
  <c r="AK87" i="1"/>
  <c r="AM87" i="1" s="1"/>
  <c r="AK86" i="1"/>
  <c r="AM86" i="1" s="1"/>
  <c r="AK85" i="1"/>
  <c r="AM85" i="1" s="1"/>
  <c r="AK84" i="1"/>
  <c r="AM84" i="1" s="1"/>
  <c r="AK83" i="1"/>
  <c r="AM83" i="1" s="1"/>
  <c r="AK82" i="1"/>
  <c r="AM82" i="1" s="1"/>
  <c r="AK81" i="1"/>
  <c r="AM81" i="1" s="1"/>
  <c r="AK80" i="1"/>
  <c r="AM80" i="1" s="1"/>
  <c r="AK79" i="1"/>
  <c r="AM79" i="1" s="1"/>
  <c r="AK78" i="1"/>
  <c r="AM78" i="1" s="1"/>
  <c r="AK77" i="1"/>
  <c r="AM77" i="1" s="1"/>
  <c r="AK76" i="1"/>
  <c r="AM76" i="1" s="1"/>
  <c r="AK75" i="1"/>
  <c r="AM75" i="1" s="1"/>
  <c r="AK74" i="1"/>
  <c r="AM74" i="1" s="1"/>
  <c r="AK73" i="1"/>
  <c r="AM73" i="1" s="1"/>
  <c r="AK72" i="1"/>
  <c r="AM72" i="1" s="1"/>
  <c r="AK71" i="1"/>
  <c r="AM71" i="1" s="1"/>
  <c r="AK70" i="1"/>
  <c r="AM70" i="1" s="1"/>
  <c r="AK69" i="1"/>
  <c r="AM69" i="1" s="1"/>
  <c r="AK68" i="1"/>
  <c r="AM68" i="1" s="1"/>
  <c r="AK67" i="1"/>
  <c r="AM67" i="1" s="1"/>
  <c r="AK66" i="1"/>
  <c r="AM66" i="1" s="1"/>
  <c r="AK65" i="1"/>
  <c r="AM65" i="1" s="1"/>
  <c r="AK64" i="1"/>
  <c r="AM64" i="1" s="1"/>
  <c r="AK63" i="1"/>
  <c r="AM63" i="1" s="1"/>
  <c r="AK62" i="1"/>
  <c r="AM62" i="1" s="1"/>
  <c r="AK61" i="1"/>
  <c r="AM61" i="1" s="1"/>
  <c r="AK60" i="1"/>
  <c r="AM60" i="1" s="1"/>
  <c r="AK59" i="1"/>
  <c r="AM59" i="1" s="1"/>
  <c r="AK58" i="1"/>
  <c r="AM58" i="1" s="1"/>
  <c r="AK57" i="1"/>
  <c r="AM57" i="1" s="1"/>
  <c r="AK56" i="1"/>
  <c r="AM56" i="1" s="1"/>
  <c r="AK55" i="1"/>
  <c r="AM55" i="1" s="1"/>
  <c r="AK54" i="1"/>
  <c r="AM54" i="1" s="1"/>
  <c r="AK53" i="1"/>
  <c r="AM53" i="1" s="1"/>
  <c r="AK52" i="1"/>
  <c r="AM52" i="1" s="1"/>
  <c r="AK51" i="1"/>
  <c r="AM51" i="1" s="1"/>
  <c r="AK50" i="1"/>
  <c r="AM50" i="1" s="1"/>
  <c r="AK49" i="1"/>
  <c r="AM49" i="1" s="1"/>
  <c r="AK48" i="1"/>
  <c r="AM48" i="1" s="1"/>
  <c r="AK47" i="1"/>
  <c r="AM47" i="1" s="1"/>
  <c r="AK46" i="1"/>
  <c r="AM46" i="1" s="1"/>
  <c r="AK45" i="1"/>
  <c r="AM45" i="1" s="1"/>
  <c r="AK44" i="1"/>
  <c r="AM44" i="1" s="1"/>
  <c r="AK43" i="1"/>
  <c r="AM43" i="1" s="1"/>
  <c r="AK42" i="1"/>
  <c r="AM42" i="1" s="1"/>
  <c r="AK41" i="1"/>
  <c r="AM41" i="1" s="1"/>
  <c r="AK40" i="1"/>
  <c r="AM40" i="1" s="1"/>
  <c r="AK39" i="1"/>
  <c r="AM39" i="1" s="1"/>
  <c r="AK38" i="1"/>
  <c r="AM38" i="1" s="1"/>
  <c r="AK37" i="1"/>
  <c r="AM37" i="1" s="1"/>
  <c r="AK36" i="1"/>
  <c r="AM36" i="1" s="1"/>
  <c r="AK35" i="1"/>
  <c r="AM35" i="1" s="1"/>
  <c r="AK34" i="1"/>
  <c r="AM34" i="1" s="1"/>
  <c r="AK33" i="1"/>
  <c r="AM33" i="1" s="1"/>
  <c r="AK32" i="1"/>
  <c r="AM32" i="1" s="1"/>
  <c r="AK31" i="1"/>
  <c r="AM31" i="1" s="1"/>
  <c r="AK30" i="1"/>
  <c r="AM30" i="1" s="1"/>
  <c r="AK29" i="1"/>
  <c r="AM29" i="1" s="1"/>
  <c r="AK28" i="1"/>
  <c r="AM28" i="1" s="1"/>
  <c r="AK27" i="1"/>
  <c r="AM27" i="1" s="1"/>
  <c r="AK26" i="1"/>
  <c r="AM26" i="1" s="1"/>
  <c r="AK25" i="1"/>
  <c r="AM25" i="1" s="1"/>
  <c r="AK24" i="1"/>
  <c r="AM24" i="1" s="1"/>
  <c r="AK23" i="1"/>
  <c r="AM23" i="1" s="1"/>
  <c r="AK22" i="1"/>
  <c r="AM22" i="1" s="1"/>
  <c r="AK21" i="1"/>
  <c r="AM21" i="1" s="1"/>
  <c r="AK20" i="1"/>
  <c r="AM20" i="1" s="1"/>
  <c r="AK19" i="1"/>
  <c r="AM19" i="1" s="1"/>
  <c r="AK18" i="1"/>
  <c r="AM18" i="1" s="1"/>
  <c r="AK17" i="1"/>
  <c r="AM17" i="1" s="1"/>
  <c r="AK16" i="1"/>
  <c r="AM16" i="1" s="1"/>
  <c r="AK15" i="1"/>
  <c r="AM15" i="1" s="1"/>
  <c r="AK14" i="1"/>
  <c r="AM14" i="1" s="1"/>
  <c r="AK13" i="1"/>
  <c r="AM13" i="1" s="1"/>
  <c r="AK12" i="1"/>
  <c r="AM12" i="1" s="1"/>
  <c r="AK11" i="1"/>
  <c r="AM11" i="1" s="1"/>
  <c r="AK10" i="1"/>
  <c r="AM10" i="1" s="1"/>
  <c r="AK9" i="1"/>
  <c r="AM9" i="1" s="1"/>
  <c r="AK8" i="1"/>
  <c r="AM8" i="1" s="1"/>
  <c r="AK7" i="1"/>
  <c r="AM7" i="1" s="1"/>
  <c r="AK6" i="1"/>
  <c r="AM6" i="1" s="1"/>
  <c r="AK5" i="1"/>
  <c r="AM5" i="1" s="1"/>
  <c r="Y1238" i="1"/>
  <c r="AA1238" i="1" s="1"/>
  <c r="AB1238" i="1" s="1"/>
  <c r="Y1237" i="1"/>
  <c r="AA1237" i="1" s="1"/>
  <c r="Y1236" i="1"/>
  <c r="AA1236" i="1" s="1"/>
  <c r="Y1235" i="1"/>
  <c r="AA1235" i="1" s="1"/>
  <c r="Y1234" i="1"/>
  <c r="AA1234" i="1" s="1"/>
  <c r="Y1233" i="1"/>
  <c r="AA1233" i="1" s="1"/>
  <c r="Y1232" i="1"/>
  <c r="AA1232" i="1" s="1"/>
  <c r="Y1231" i="1"/>
  <c r="AA1231" i="1" s="1"/>
  <c r="Y1230" i="1"/>
  <c r="AA1230" i="1" s="1"/>
  <c r="Y1229" i="1"/>
  <c r="AA1229" i="1" s="1"/>
  <c r="Y1228" i="1"/>
  <c r="AA1228" i="1" s="1"/>
  <c r="Y1227" i="1"/>
  <c r="AA1227" i="1" s="1"/>
  <c r="Y1226" i="1"/>
  <c r="AA1226" i="1" s="1"/>
  <c r="Y1225" i="1"/>
  <c r="AA1225" i="1" s="1"/>
  <c r="Y1224" i="1"/>
  <c r="AA1224" i="1" s="1"/>
  <c r="Y1223" i="1"/>
  <c r="AA1223" i="1" s="1"/>
  <c r="Y1222" i="1"/>
  <c r="AA1222" i="1" s="1"/>
  <c r="Y1221" i="1"/>
  <c r="AA1221" i="1" s="1"/>
  <c r="Y1220" i="1"/>
  <c r="AA1220" i="1" s="1"/>
  <c r="Y1219" i="1"/>
  <c r="AA1219" i="1" s="1"/>
  <c r="Y1218" i="1"/>
  <c r="AA1218" i="1" s="1"/>
  <c r="Y1217" i="1"/>
  <c r="AA1217" i="1" s="1"/>
  <c r="Y1216" i="1"/>
  <c r="AA1216" i="1" s="1"/>
  <c r="Y1215" i="1"/>
  <c r="AA1215" i="1" s="1"/>
  <c r="Y1214" i="1"/>
  <c r="AA1214" i="1" s="1"/>
  <c r="Y1213" i="1"/>
  <c r="AA1213" i="1" s="1"/>
  <c r="Y1212" i="1"/>
  <c r="AA1212" i="1" s="1"/>
  <c r="Y1211" i="1"/>
  <c r="AA1211" i="1" s="1"/>
  <c r="Y1210" i="1"/>
  <c r="AA1210" i="1" s="1"/>
  <c r="Y1209" i="1"/>
  <c r="AA1209" i="1" s="1"/>
  <c r="Y1208" i="1"/>
  <c r="AA1208" i="1" s="1"/>
  <c r="Y1207" i="1"/>
  <c r="AA1207" i="1" s="1"/>
  <c r="Y1206" i="1"/>
  <c r="AA1206" i="1" s="1"/>
  <c r="Y1205" i="1"/>
  <c r="AA1205" i="1" s="1"/>
  <c r="Y1204" i="1"/>
  <c r="AA1204" i="1" s="1"/>
  <c r="Y1203" i="1"/>
  <c r="AA1203" i="1" s="1"/>
  <c r="Y1202" i="1"/>
  <c r="AA1202" i="1" s="1"/>
  <c r="Y1201" i="1"/>
  <c r="AA1201" i="1" s="1"/>
  <c r="Y1200" i="1"/>
  <c r="AA1200" i="1" s="1"/>
  <c r="Y1199" i="1"/>
  <c r="AA1199" i="1" s="1"/>
  <c r="Y1198" i="1"/>
  <c r="AA1198" i="1" s="1"/>
  <c r="Y1197" i="1"/>
  <c r="AA1197" i="1" s="1"/>
  <c r="Y1196" i="1"/>
  <c r="AA1196" i="1" s="1"/>
  <c r="Y1195" i="1"/>
  <c r="AA1195" i="1" s="1"/>
  <c r="Y1194" i="1"/>
  <c r="AA1194" i="1" s="1"/>
  <c r="Y1193" i="1"/>
  <c r="AA1193" i="1" s="1"/>
  <c r="Y1192" i="1"/>
  <c r="AA1192" i="1" s="1"/>
  <c r="Y1191" i="1"/>
  <c r="AA1191" i="1" s="1"/>
  <c r="Y1190" i="1"/>
  <c r="AA1190" i="1" s="1"/>
  <c r="Y1189" i="1"/>
  <c r="AA1189" i="1" s="1"/>
  <c r="Y1188" i="1"/>
  <c r="AA1188" i="1" s="1"/>
  <c r="Y1187" i="1"/>
  <c r="AA1187" i="1" s="1"/>
  <c r="Y1186" i="1"/>
  <c r="AA1186" i="1" s="1"/>
  <c r="Y1185" i="1"/>
  <c r="AA1185" i="1" s="1"/>
  <c r="Y1184" i="1"/>
  <c r="AA1184" i="1" s="1"/>
  <c r="Y1183" i="1"/>
  <c r="AA1183" i="1" s="1"/>
  <c r="Y1182" i="1"/>
  <c r="AA1182" i="1" s="1"/>
  <c r="Y1181" i="1"/>
  <c r="AA1181" i="1" s="1"/>
  <c r="Y1180" i="1"/>
  <c r="AA1180" i="1" s="1"/>
  <c r="Y1179" i="1"/>
  <c r="AA1179" i="1" s="1"/>
  <c r="Y1178" i="1"/>
  <c r="AA1178" i="1" s="1"/>
  <c r="Y1177" i="1"/>
  <c r="AA1177" i="1" s="1"/>
  <c r="Y1176" i="1"/>
  <c r="AA1176" i="1" s="1"/>
  <c r="Y1175" i="1"/>
  <c r="AA1175" i="1" s="1"/>
  <c r="Y1174" i="1"/>
  <c r="AA1174" i="1" s="1"/>
  <c r="Y1173" i="1"/>
  <c r="AA1173" i="1" s="1"/>
  <c r="Y1172" i="1"/>
  <c r="AA1172" i="1" s="1"/>
  <c r="Y1171" i="1"/>
  <c r="AA1171" i="1" s="1"/>
  <c r="Y1170" i="1"/>
  <c r="AA1170" i="1" s="1"/>
  <c r="Y1169" i="1"/>
  <c r="AA1169" i="1" s="1"/>
  <c r="Y1168" i="1"/>
  <c r="AA1168" i="1" s="1"/>
  <c r="Y1167" i="1"/>
  <c r="AA1167" i="1" s="1"/>
  <c r="Y1166" i="1"/>
  <c r="AA1166" i="1" s="1"/>
  <c r="Y1165" i="1"/>
  <c r="AA1165" i="1" s="1"/>
  <c r="Y1164" i="1"/>
  <c r="AA1164" i="1" s="1"/>
  <c r="Y1163" i="1"/>
  <c r="AA1163" i="1" s="1"/>
  <c r="Y1162" i="1"/>
  <c r="AA1162" i="1" s="1"/>
  <c r="Y1161" i="1"/>
  <c r="AA1161" i="1" s="1"/>
  <c r="Y1160" i="1"/>
  <c r="AA1160" i="1" s="1"/>
  <c r="Y1159" i="1"/>
  <c r="AA1159" i="1" s="1"/>
  <c r="Y1158" i="1"/>
  <c r="AA1158" i="1" s="1"/>
  <c r="Y1157" i="1"/>
  <c r="AA1157" i="1" s="1"/>
  <c r="Y1156" i="1"/>
  <c r="AA1156" i="1" s="1"/>
  <c r="Y1155" i="1"/>
  <c r="AA1155" i="1" s="1"/>
  <c r="Y1154" i="1"/>
  <c r="AA1154" i="1" s="1"/>
  <c r="Y1153" i="1"/>
  <c r="AA1153" i="1" s="1"/>
  <c r="Y1152" i="1"/>
  <c r="AA1152" i="1" s="1"/>
  <c r="Y1151" i="1"/>
  <c r="AA1151" i="1" s="1"/>
  <c r="Y1150" i="1"/>
  <c r="AA1150" i="1" s="1"/>
  <c r="Y1149" i="1"/>
  <c r="AA1149" i="1" s="1"/>
  <c r="Y1148" i="1"/>
  <c r="AA1148" i="1" s="1"/>
  <c r="Y1147" i="1"/>
  <c r="AA1147" i="1" s="1"/>
  <c r="Y1146" i="1"/>
  <c r="AA1146" i="1" s="1"/>
  <c r="Y1145" i="1"/>
  <c r="AA1145" i="1" s="1"/>
  <c r="Y1144" i="1"/>
  <c r="AA1144" i="1" s="1"/>
  <c r="Y1143" i="1"/>
  <c r="AA1143" i="1" s="1"/>
  <c r="Y1142" i="1"/>
  <c r="AA1142" i="1" s="1"/>
  <c r="Y1141" i="1"/>
  <c r="AA1141" i="1" s="1"/>
  <c r="Y1140" i="1"/>
  <c r="AA1140" i="1" s="1"/>
  <c r="Y1139" i="1"/>
  <c r="AA1139" i="1" s="1"/>
  <c r="Y1138" i="1"/>
  <c r="AA1138" i="1" s="1"/>
  <c r="Y1137" i="1"/>
  <c r="AA1137" i="1" s="1"/>
  <c r="Y1136" i="1"/>
  <c r="AA1136" i="1" s="1"/>
  <c r="Y1135" i="1"/>
  <c r="AA1135" i="1" s="1"/>
  <c r="Y1134" i="1"/>
  <c r="AA1134" i="1" s="1"/>
  <c r="Y1133" i="1"/>
  <c r="AA1133" i="1" s="1"/>
  <c r="Y1132" i="1"/>
  <c r="AA1132" i="1" s="1"/>
  <c r="Y1131" i="1"/>
  <c r="AA1131" i="1" s="1"/>
  <c r="Y1130" i="1"/>
  <c r="AA1130" i="1" s="1"/>
  <c r="Y1129" i="1"/>
  <c r="AA1129" i="1" s="1"/>
  <c r="Y1128" i="1"/>
  <c r="AA1128" i="1" s="1"/>
  <c r="Y1127" i="1"/>
  <c r="AA1127" i="1" s="1"/>
  <c r="Y1126" i="1"/>
  <c r="AA1126" i="1" s="1"/>
  <c r="Y1125" i="1"/>
  <c r="AA1125" i="1" s="1"/>
  <c r="Y1124" i="1"/>
  <c r="AA1124" i="1" s="1"/>
  <c r="Y1123" i="1"/>
  <c r="AA1123" i="1" s="1"/>
  <c r="Y1122" i="1"/>
  <c r="AA1122" i="1" s="1"/>
  <c r="Y1121" i="1"/>
  <c r="AA1121" i="1" s="1"/>
  <c r="Y1120" i="1"/>
  <c r="AA1120" i="1" s="1"/>
  <c r="Y1119" i="1"/>
  <c r="AA1119" i="1" s="1"/>
  <c r="Y1118" i="1"/>
  <c r="AA1118" i="1" s="1"/>
  <c r="Y1117" i="1"/>
  <c r="AA1117" i="1" s="1"/>
  <c r="Y1116" i="1"/>
  <c r="AA1116" i="1" s="1"/>
  <c r="Y1115" i="1"/>
  <c r="AA1115" i="1" s="1"/>
  <c r="Y1114" i="1"/>
  <c r="AA1114" i="1" s="1"/>
  <c r="Y1113" i="1"/>
  <c r="AA1113" i="1" s="1"/>
  <c r="Y1112" i="1"/>
  <c r="AA1112" i="1" s="1"/>
  <c r="Y1111" i="1"/>
  <c r="AA1111" i="1" s="1"/>
  <c r="Y1110" i="1"/>
  <c r="AA1110" i="1" s="1"/>
  <c r="Y1109" i="1"/>
  <c r="AA1109" i="1" s="1"/>
  <c r="Y1108" i="1"/>
  <c r="AA1108" i="1" s="1"/>
  <c r="Y1107" i="1"/>
  <c r="AA1107" i="1" s="1"/>
  <c r="Y1106" i="1"/>
  <c r="AA1106" i="1" s="1"/>
  <c r="Y1105" i="1"/>
  <c r="AA1105" i="1" s="1"/>
  <c r="Y1104" i="1"/>
  <c r="AA1104" i="1" s="1"/>
  <c r="Y1103" i="1"/>
  <c r="AA1103" i="1" s="1"/>
  <c r="Y1102" i="1"/>
  <c r="AA1102" i="1" s="1"/>
  <c r="Y1101" i="1"/>
  <c r="AA1101" i="1" s="1"/>
  <c r="Y1100" i="1"/>
  <c r="AA1100" i="1" s="1"/>
  <c r="Y1099" i="1"/>
  <c r="AA1099" i="1" s="1"/>
  <c r="Y1098" i="1"/>
  <c r="AA1098" i="1" s="1"/>
  <c r="Y1097" i="1"/>
  <c r="AA1097" i="1" s="1"/>
  <c r="Y1096" i="1"/>
  <c r="AA1096" i="1" s="1"/>
  <c r="Y1095" i="1"/>
  <c r="AA1095" i="1" s="1"/>
  <c r="Y1094" i="1"/>
  <c r="AA1094" i="1" s="1"/>
  <c r="Y1093" i="1"/>
  <c r="AA1093" i="1" s="1"/>
  <c r="Y1092" i="1"/>
  <c r="AA1092" i="1" s="1"/>
  <c r="Y1091" i="1"/>
  <c r="AA1091" i="1" s="1"/>
  <c r="Y1090" i="1"/>
  <c r="AA1090" i="1" s="1"/>
  <c r="Y1089" i="1"/>
  <c r="AA1089" i="1" s="1"/>
  <c r="Y1088" i="1"/>
  <c r="AA1088" i="1" s="1"/>
  <c r="Y1087" i="1"/>
  <c r="AA1087" i="1" s="1"/>
  <c r="Y1086" i="1"/>
  <c r="AA1086" i="1" s="1"/>
  <c r="Y1085" i="1"/>
  <c r="AA1085" i="1" s="1"/>
  <c r="Y1084" i="1"/>
  <c r="AA1084" i="1" s="1"/>
  <c r="Y1083" i="1"/>
  <c r="AA1083" i="1" s="1"/>
  <c r="Y1082" i="1"/>
  <c r="AA1082" i="1" s="1"/>
  <c r="Y1081" i="1"/>
  <c r="AA1081" i="1" s="1"/>
  <c r="Y1080" i="1"/>
  <c r="AA1080" i="1" s="1"/>
  <c r="Y1079" i="1"/>
  <c r="AA1079" i="1" s="1"/>
  <c r="Y1078" i="1"/>
  <c r="AA1078" i="1" s="1"/>
  <c r="Y1077" i="1"/>
  <c r="AA1077" i="1" s="1"/>
  <c r="Y1076" i="1"/>
  <c r="AA1076" i="1" s="1"/>
  <c r="Y1075" i="1"/>
  <c r="AA1075" i="1" s="1"/>
  <c r="Y1074" i="1"/>
  <c r="AA1074" i="1" s="1"/>
  <c r="Y1073" i="1"/>
  <c r="AA1073" i="1" s="1"/>
  <c r="Y1072" i="1"/>
  <c r="AA1072" i="1" s="1"/>
  <c r="Y1071" i="1"/>
  <c r="AA1071" i="1" s="1"/>
  <c r="Y1070" i="1"/>
  <c r="AA1070" i="1" s="1"/>
  <c r="Y1069" i="1"/>
  <c r="AA1069" i="1" s="1"/>
  <c r="Y1068" i="1"/>
  <c r="AA1068" i="1" s="1"/>
  <c r="Y1067" i="1"/>
  <c r="AA1067" i="1" s="1"/>
  <c r="Y1066" i="1"/>
  <c r="AA1066" i="1" s="1"/>
  <c r="Y1065" i="1"/>
  <c r="AA1065" i="1" s="1"/>
  <c r="Y1064" i="1"/>
  <c r="AA1064" i="1" s="1"/>
  <c r="Y1063" i="1"/>
  <c r="AA1063" i="1" s="1"/>
  <c r="Y1062" i="1"/>
  <c r="AA1062" i="1" s="1"/>
  <c r="Y1061" i="1"/>
  <c r="AA1061" i="1" s="1"/>
  <c r="Y1060" i="1"/>
  <c r="AA1060" i="1" s="1"/>
  <c r="Y1059" i="1"/>
  <c r="AA1059" i="1" s="1"/>
  <c r="Y1058" i="1"/>
  <c r="AA1058" i="1" s="1"/>
  <c r="Y1057" i="1"/>
  <c r="AA1057" i="1" s="1"/>
  <c r="Y1056" i="1"/>
  <c r="AA1056" i="1" s="1"/>
  <c r="Y1055" i="1"/>
  <c r="AA1055" i="1" s="1"/>
  <c r="Y1054" i="1"/>
  <c r="AA1054" i="1" s="1"/>
  <c r="Y1053" i="1"/>
  <c r="AA1053" i="1" s="1"/>
  <c r="Y1052" i="1"/>
  <c r="AA1052" i="1" s="1"/>
  <c r="Y1051" i="1"/>
  <c r="AA1051" i="1" s="1"/>
  <c r="Y1050" i="1"/>
  <c r="AA1050" i="1" s="1"/>
  <c r="Y1049" i="1"/>
  <c r="AA1049" i="1" s="1"/>
  <c r="Y1048" i="1"/>
  <c r="AA1048" i="1" s="1"/>
  <c r="Y1047" i="1"/>
  <c r="AA1047" i="1" s="1"/>
  <c r="Y1046" i="1"/>
  <c r="AA1046" i="1" s="1"/>
  <c r="Y1045" i="1"/>
  <c r="AA1045" i="1" s="1"/>
  <c r="Y1044" i="1"/>
  <c r="AA1044" i="1" s="1"/>
  <c r="Y1043" i="1"/>
  <c r="AA1043" i="1" s="1"/>
  <c r="Y1042" i="1"/>
  <c r="AA1042" i="1" s="1"/>
  <c r="Y1041" i="1"/>
  <c r="AA1041" i="1" s="1"/>
  <c r="Y1040" i="1"/>
  <c r="AA1040" i="1" s="1"/>
  <c r="Y1039" i="1"/>
  <c r="AA1039" i="1" s="1"/>
  <c r="Y1038" i="1"/>
  <c r="AA1038" i="1" s="1"/>
  <c r="Y1037" i="1"/>
  <c r="AA1037" i="1" s="1"/>
  <c r="Y1036" i="1"/>
  <c r="AA1036" i="1" s="1"/>
  <c r="Y1035" i="1"/>
  <c r="AA1035" i="1" s="1"/>
  <c r="Y1034" i="1"/>
  <c r="AA1034" i="1" s="1"/>
  <c r="Y1033" i="1"/>
  <c r="AA1033" i="1" s="1"/>
  <c r="Y1032" i="1"/>
  <c r="AA1032" i="1" s="1"/>
  <c r="Y1031" i="1"/>
  <c r="AA1031" i="1" s="1"/>
  <c r="Y1030" i="1"/>
  <c r="AA1030" i="1" s="1"/>
  <c r="Y1029" i="1"/>
  <c r="AA1029" i="1" s="1"/>
  <c r="Y1028" i="1"/>
  <c r="AA1028" i="1" s="1"/>
  <c r="Y1027" i="1"/>
  <c r="AA1027" i="1" s="1"/>
  <c r="Y1026" i="1"/>
  <c r="AA1026" i="1" s="1"/>
  <c r="Y1025" i="1"/>
  <c r="AA1025" i="1" s="1"/>
  <c r="Y1024" i="1"/>
  <c r="AA1024" i="1" s="1"/>
  <c r="Y1023" i="1"/>
  <c r="AA1023" i="1" s="1"/>
  <c r="Y1022" i="1"/>
  <c r="AA1022" i="1" s="1"/>
  <c r="Y1021" i="1"/>
  <c r="AA1021" i="1" s="1"/>
  <c r="Y1020" i="1"/>
  <c r="AA1020" i="1" s="1"/>
  <c r="Y1019" i="1"/>
  <c r="AA1019" i="1" s="1"/>
  <c r="Y1018" i="1"/>
  <c r="AA1018" i="1" s="1"/>
  <c r="Y1017" i="1"/>
  <c r="AA1017" i="1" s="1"/>
  <c r="Y1016" i="1"/>
  <c r="AA1016" i="1" s="1"/>
  <c r="Y1015" i="1"/>
  <c r="AA1015" i="1" s="1"/>
  <c r="Y1014" i="1"/>
  <c r="AA1014" i="1" s="1"/>
  <c r="Y1013" i="1"/>
  <c r="AA1013" i="1" s="1"/>
  <c r="Y1012" i="1"/>
  <c r="AA1012" i="1" s="1"/>
  <c r="Y1011" i="1"/>
  <c r="AA1011" i="1" s="1"/>
  <c r="Y1010" i="1"/>
  <c r="AA1010" i="1" s="1"/>
  <c r="Y1009" i="1"/>
  <c r="AA1009" i="1" s="1"/>
  <c r="Y1008" i="1"/>
  <c r="AA1008" i="1" s="1"/>
  <c r="Y1007" i="1"/>
  <c r="AA1007" i="1" s="1"/>
  <c r="Y1006" i="1"/>
  <c r="AA1006" i="1" s="1"/>
  <c r="Y1005" i="1"/>
  <c r="AA1005" i="1" s="1"/>
  <c r="Y1004" i="1"/>
  <c r="AA1004" i="1" s="1"/>
  <c r="Y1003" i="1"/>
  <c r="AA1003" i="1" s="1"/>
  <c r="Y1002" i="1"/>
  <c r="AA1002" i="1" s="1"/>
  <c r="Y1001" i="1"/>
  <c r="AA1001" i="1" s="1"/>
  <c r="Y1000" i="1"/>
  <c r="AA1000" i="1" s="1"/>
  <c r="Y999" i="1"/>
  <c r="AA999" i="1" s="1"/>
  <c r="Y998" i="1"/>
  <c r="AA998" i="1" s="1"/>
  <c r="Y997" i="1"/>
  <c r="AA997" i="1" s="1"/>
  <c r="Y996" i="1"/>
  <c r="AA996" i="1" s="1"/>
  <c r="Y995" i="1"/>
  <c r="AA995" i="1" s="1"/>
  <c r="Y994" i="1"/>
  <c r="AA994" i="1" s="1"/>
  <c r="Y993" i="1"/>
  <c r="AA993" i="1" s="1"/>
  <c r="Y992" i="1"/>
  <c r="AA992" i="1" s="1"/>
  <c r="Y991" i="1"/>
  <c r="AA991" i="1" s="1"/>
  <c r="Y990" i="1"/>
  <c r="AA990" i="1" s="1"/>
  <c r="Y989" i="1"/>
  <c r="AA989" i="1" s="1"/>
  <c r="Y988" i="1"/>
  <c r="AA988" i="1" s="1"/>
  <c r="Y987" i="1"/>
  <c r="AA987" i="1" s="1"/>
  <c r="Y986" i="1"/>
  <c r="AA986" i="1" s="1"/>
  <c r="Y985" i="1"/>
  <c r="AA985" i="1" s="1"/>
  <c r="Y984" i="1"/>
  <c r="AA984" i="1" s="1"/>
  <c r="Y983" i="1"/>
  <c r="AA983" i="1" s="1"/>
  <c r="Y982" i="1"/>
  <c r="AA982" i="1" s="1"/>
  <c r="Y981" i="1"/>
  <c r="AA981" i="1" s="1"/>
  <c r="Y980" i="1"/>
  <c r="AA980" i="1" s="1"/>
  <c r="Y979" i="1"/>
  <c r="AA979" i="1" s="1"/>
  <c r="Y978" i="1"/>
  <c r="AA978" i="1" s="1"/>
  <c r="Y977" i="1"/>
  <c r="AA977" i="1" s="1"/>
  <c r="Y976" i="1"/>
  <c r="AA976" i="1" s="1"/>
  <c r="Y975" i="1"/>
  <c r="AA975" i="1" s="1"/>
  <c r="Y974" i="1"/>
  <c r="AA974" i="1" s="1"/>
  <c r="Y973" i="1"/>
  <c r="AA973" i="1" s="1"/>
  <c r="Y972" i="1"/>
  <c r="AA972" i="1" s="1"/>
  <c r="Y971" i="1"/>
  <c r="AA971" i="1" s="1"/>
  <c r="Y970" i="1"/>
  <c r="AA970" i="1" s="1"/>
  <c r="Y969" i="1"/>
  <c r="AA969" i="1" s="1"/>
  <c r="Y968" i="1"/>
  <c r="AA968" i="1" s="1"/>
  <c r="Y967" i="1"/>
  <c r="AA967" i="1" s="1"/>
  <c r="Y966" i="1"/>
  <c r="AA966" i="1" s="1"/>
  <c r="Y965" i="1"/>
  <c r="AA965" i="1" s="1"/>
  <c r="Y964" i="1"/>
  <c r="AA964" i="1" s="1"/>
  <c r="Y963" i="1"/>
  <c r="AA963" i="1" s="1"/>
  <c r="Y962" i="1"/>
  <c r="AA962" i="1" s="1"/>
  <c r="Y961" i="1"/>
  <c r="AA961" i="1" s="1"/>
  <c r="Y960" i="1"/>
  <c r="AA960" i="1" s="1"/>
  <c r="Y959" i="1"/>
  <c r="AA959" i="1" s="1"/>
  <c r="Y958" i="1"/>
  <c r="AA958" i="1" s="1"/>
  <c r="Y957" i="1"/>
  <c r="AA957" i="1" s="1"/>
  <c r="Y956" i="1"/>
  <c r="AA956" i="1" s="1"/>
  <c r="Y955" i="1"/>
  <c r="AA955" i="1" s="1"/>
  <c r="Y954" i="1"/>
  <c r="AA954" i="1" s="1"/>
  <c r="Y953" i="1"/>
  <c r="AA953" i="1" s="1"/>
  <c r="Y952" i="1"/>
  <c r="AA952" i="1" s="1"/>
  <c r="Y951" i="1"/>
  <c r="AA951" i="1" s="1"/>
  <c r="Y950" i="1"/>
  <c r="AA950" i="1" s="1"/>
  <c r="Y949" i="1"/>
  <c r="AA949" i="1" s="1"/>
  <c r="Y948" i="1"/>
  <c r="AA948" i="1" s="1"/>
  <c r="Y947" i="1"/>
  <c r="AA947" i="1" s="1"/>
  <c r="Y946" i="1"/>
  <c r="AA946" i="1" s="1"/>
  <c r="Y945" i="1"/>
  <c r="AA945" i="1" s="1"/>
  <c r="Y944" i="1"/>
  <c r="AA944" i="1" s="1"/>
  <c r="Y943" i="1"/>
  <c r="AA943" i="1" s="1"/>
  <c r="Y942" i="1"/>
  <c r="AA942" i="1" s="1"/>
  <c r="Y941" i="1"/>
  <c r="AA941" i="1" s="1"/>
  <c r="Y940" i="1"/>
  <c r="AA940" i="1" s="1"/>
  <c r="Y939" i="1"/>
  <c r="AA939" i="1" s="1"/>
  <c r="Y938" i="1"/>
  <c r="AA938" i="1" s="1"/>
  <c r="Y937" i="1"/>
  <c r="AA937" i="1" s="1"/>
  <c r="Y936" i="1"/>
  <c r="AA936" i="1" s="1"/>
  <c r="Y935" i="1"/>
  <c r="AA935" i="1" s="1"/>
  <c r="Y934" i="1"/>
  <c r="AA934" i="1" s="1"/>
  <c r="Y933" i="1"/>
  <c r="AA933" i="1" s="1"/>
  <c r="Y932" i="1"/>
  <c r="AA932" i="1" s="1"/>
  <c r="Y931" i="1"/>
  <c r="AA931" i="1" s="1"/>
  <c r="Y930" i="1"/>
  <c r="AA930" i="1" s="1"/>
  <c r="Y929" i="1"/>
  <c r="AA929" i="1" s="1"/>
  <c r="Y928" i="1"/>
  <c r="AA928" i="1" s="1"/>
  <c r="Y927" i="1"/>
  <c r="AA927" i="1" s="1"/>
  <c r="Y926" i="1"/>
  <c r="AA926" i="1" s="1"/>
  <c r="Y925" i="1"/>
  <c r="AA925" i="1" s="1"/>
  <c r="Y924" i="1"/>
  <c r="AA924" i="1" s="1"/>
  <c r="Y923" i="1"/>
  <c r="AA923" i="1" s="1"/>
  <c r="Y922" i="1"/>
  <c r="AA922" i="1" s="1"/>
  <c r="Y921" i="1"/>
  <c r="AA921" i="1" s="1"/>
  <c r="Y920" i="1"/>
  <c r="AA920" i="1" s="1"/>
  <c r="Y919" i="1"/>
  <c r="AA919" i="1" s="1"/>
  <c r="Y918" i="1"/>
  <c r="AA918" i="1" s="1"/>
  <c r="Y917" i="1"/>
  <c r="AA917" i="1" s="1"/>
  <c r="Y916" i="1"/>
  <c r="AA916" i="1" s="1"/>
  <c r="Y915" i="1"/>
  <c r="AA915" i="1" s="1"/>
  <c r="Y914" i="1"/>
  <c r="AA914" i="1" s="1"/>
  <c r="Y913" i="1"/>
  <c r="AA913" i="1" s="1"/>
  <c r="Y912" i="1"/>
  <c r="AA912" i="1" s="1"/>
  <c r="Y911" i="1"/>
  <c r="AA911" i="1" s="1"/>
  <c r="Y910" i="1"/>
  <c r="AA910" i="1" s="1"/>
  <c r="Y909" i="1"/>
  <c r="AA909" i="1" s="1"/>
  <c r="Y908" i="1"/>
  <c r="AA908" i="1" s="1"/>
  <c r="Y907" i="1"/>
  <c r="AA907" i="1" s="1"/>
  <c r="Y906" i="1"/>
  <c r="AA906" i="1" s="1"/>
  <c r="Y905" i="1"/>
  <c r="AA905" i="1" s="1"/>
  <c r="Y904" i="1"/>
  <c r="AA904" i="1" s="1"/>
  <c r="Y903" i="1"/>
  <c r="AA903" i="1" s="1"/>
  <c r="Y902" i="1"/>
  <c r="AA902" i="1" s="1"/>
  <c r="Y901" i="1"/>
  <c r="AA901" i="1" s="1"/>
  <c r="Y900" i="1"/>
  <c r="AA900" i="1" s="1"/>
  <c r="Y899" i="1"/>
  <c r="AA899" i="1" s="1"/>
  <c r="Y898" i="1"/>
  <c r="AA898" i="1" s="1"/>
  <c r="Y897" i="1"/>
  <c r="AA897" i="1" s="1"/>
  <c r="Y896" i="1"/>
  <c r="AA896" i="1" s="1"/>
  <c r="Y895" i="1"/>
  <c r="AA895" i="1" s="1"/>
  <c r="Y894" i="1"/>
  <c r="AA894" i="1" s="1"/>
  <c r="Y893" i="1"/>
  <c r="AA893" i="1" s="1"/>
  <c r="Y892" i="1"/>
  <c r="AA892" i="1" s="1"/>
  <c r="Y891" i="1"/>
  <c r="AA891" i="1" s="1"/>
  <c r="Y890" i="1"/>
  <c r="AA890" i="1" s="1"/>
  <c r="Y889" i="1"/>
  <c r="AA889" i="1" s="1"/>
  <c r="Y888" i="1"/>
  <c r="AA888" i="1" s="1"/>
  <c r="Y887" i="1"/>
  <c r="AA887" i="1" s="1"/>
  <c r="Y886" i="1"/>
  <c r="AA886" i="1" s="1"/>
  <c r="Y885" i="1"/>
  <c r="AA885" i="1" s="1"/>
  <c r="Y884" i="1"/>
  <c r="AA884" i="1" s="1"/>
  <c r="Y883" i="1"/>
  <c r="AA883" i="1" s="1"/>
  <c r="Y882" i="1"/>
  <c r="AA882" i="1" s="1"/>
  <c r="Y881" i="1"/>
  <c r="AA881" i="1" s="1"/>
  <c r="Y880" i="1"/>
  <c r="AA880" i="1" s="1"/>
  <c r="Y879" i="1"/>
  <c r="AA879" i="1" s="1"/>
  <c r="Y878" i="1"/>
  <c r="AA878" i="1" s="1"/>
  <c r="Y877" i="1"/>
  <c r="AA877" i="1" s="1"/>
  <c r="Y876" i="1"/>
  <c r="AA876" i="1" s="1"/>
  <c r="Y875" i="1"/>
  <c r="AA875" i="1" s="1"/>
  <c r="Y874" i="1"/>
  <c r="AA874" i="1" s="1"/>
  <c r="Y873" i="1"/>
  <c r="AA873" i="1" s="1"/>
  <c r="Y872" i="1"/>
  <c r="AA872" i="1" s="1"/>
  <c r="Y871" i="1"/>
  <c r="AA871" i="1" s="1"/>
  <c r="Y870" i="1"/>
  <c r="AA870" i="1" s="1"/>
  <c r="Y869" i="1"/>
  <c r="AA869" i="1" s="1"/>
  <c r="Y868" i="1"/>
  <c r="AA868" i="1" s="1"/>
  <c r="Y867" i="1"/>
  <c r="AA867" i="1" s="1"/>
  <c r="Y866" i="1"/>
  <c r="AA866" i="1" s="1"/>
  <c r="Y865" i="1"/>
  <c r="AA865" i="1" s="1"/>
  <c r="Y864" i="1"/>
  <c r="AA864" i="1" s="1"/>
  <c r="Y863" i="1"/>
  <c r="AA863" i="1" s="1"/>
  <c r="Y862" i="1"/>
  <c r="AA862" i="1" s="1"/>
  <c r="Y861" i="1"/>
  <c r="AA861" i="1" s="1"/>
  <c r="Y860" i="1"/>
  <c r="AA860" i="1" s="1"/>
  <c r="Y859" i="1"/>
  <c r="AA859" i="1" s="1"/>
  <c r="Y858" i="1"/>
  <c r="AA858" i="1" s="1"/>
  <c r="Y857" i="1"/>
  <c r="AA857" i="1" s="1"/>
  <c r="Y856" i="1"/>
  <c r="AA856" i="1" s="1"/>
  <c r="Y855" i="1"/>
  <c r="AA855" i="1" s="1"/>
  <c r="Y854" i="1"/>
  <c r="AA854" i="1" s="1"/>
  <c r="Y853" i="1"/>
  <c r="AA853" i="1" s="1"/>
  <c r="Y852" i="1"/>
  <c r="AA852" i="1" s="1"/>
  <c r="Y851" i="1"/>
  <c r="AA851" i="1" s="1"/>
  <c r="Y850" i="1"/>
  <c r="AA850" i="1" s="1"/>
  <c r="Y849" i="1"/>
  <c r="AA849" i="1" s="1"/>
  <c r="Y848" i="1"/>
  <c r="AA848" i="1" s="1"/>
  <c r="Y847" i="1"/>
  <c r="AA847" i="1" s="1"/>
  <c r="Y846" i="1"/>
  <c r="AA846" i="1" s="1"/>
  <c r="Y845" i="1"/>
  <c r="AA845" i="1" s="1"/>
  <c r="Y844" i="1"/>
  <c r="AA844" i="1" s="1"/>
  <c r="Y843" i="1"/>
  <c r="AA843" i="1" s="1"/>
  <c r="Y842" i="1"/>
  <c r="AA842" i="1" s="1"/>
  <c r="Y841" i="1"/>
  <c r="AA841" i="1" s="1"/>
  <c r="Y840" i="1"/>
  <c r="AA840" i="1" s="1"/>
  <c r="Y839" i="1"/>
  <c r="AA839" i="1" s="1"/>
  <c r="Y838" i="1"/>
  <c r="AA838" i="1" s="1"/>
  <c r="Y837" i="1"/>
  <c r="AA837" i="1" s="1"/>
  <c r="Y836" i="1"/>
  <c r="AA836" i="1" s="1"/>
  <c r="Y835" i="1"/>
  <c r="AA835" i="1" s="1"/>
  <c r="Y834" i="1"/>
  <c r="AA834" i="1" s="1"/>
  <c r="Y833" i="1"/>
  <c r="AA833" i="1" s="1"/>
  <c r="Y832" i="1"/>
  <c r="AA832" i="1" s="1"/>
  <c r="Y831" i="1"/>
  <c r="AA831" i="1" s="1"/>
  <c r="Y830" i="1"/>
  <c r="AA830" i="1" s="1"/>
  <c r="Y829" i="1"/>
  <c r="AA829" i="1" s="1"/>
  <c r="Y828" i="1"/>
  <c r="AA828" i="1" s="1"/>
  <c r="Y827" i="1"/>
  <c r="AA827" i="1" s="1"/>
  <c r="Y826" i="1"/>
  <c r="AA826" i="1" s="1"/>
  <c r="Y825" i="1"/>
  <c r="AA825" i="1" s="1"/>
  <c r="Y824" i="1"/>
  <c r="AA824" i="1" s="1"/>
  <c r="Y823" i="1"/>
  <c r="AA823" i="1" s="1"/>
  <c r="Y822" i="1"/>
  <c r="AA822" i="1" s="1"/>
  <c r="Y821" i="1"/>
  <c r="AA821" i="1" s="1"/>
  <c r="Y820" i="1"/>
  <c r="AA820" i="1" s="1"/>
  <c r="Y819" i="1"/>
  <c r="AA819" i="1" s="1"/>
  <c r="Y818" i="1"/>
  <c r="AA818" i="1" s="1"/>
  <c r="Y817" i="1"/>
  <c r="AA817" i="1" s="1"/>
  <c r="Y816" i="1"/>
  <c r="AA816" i="1" s="1"/>
  <c r="Y815" i="1"/>
  <c r="AA815" i="1" s="1"/>
  <c r="Y814" i="1"/>
  <c r="AA814" i="1" s="1"/>
  <c r="Y813" i="1"/>
  <c r="AA813" i="1" s="1"/>
  <c r="Y812" i="1"/>
  <c r="AA812" i="1" s="1"/>
  <c r="Y811" i="1"/>
  <c r="AA811" i="1" s="1"/>
  <c r="Y810" i="1"/>
  <c r="AA810" i="1" s="1"/>
  <c r="Y809" i="1"/>
  <c r="AA809" i="1" s="1"/>
  <c r="Y808" i="1"/>
  <c r="AA808" i="1" s="1"/>
  <c r="Y807" i="1"/>
  <c r="AA807" i="1" s="1"/>
  <c r="Y806" i="1"/>
  <c r="AA806" i="1" s="1"/>
  <c r="Y805" i="1"/>
  <c r="AA805" i="1" s="1"/>
  <c r="Y804" i="1"/>
  <c r="AA804" i="1" s="1"/>
  <c r="Y803" i="1"/>
  <c r="AA803" i="1" s="1"/>
  <c r="Y802" i="1"/>
  <c r="AA802" i="1" s="1"/>
  <c r="Y801" i="1"/>
  <c r="AA801" i="1" s="1"/>
  <c r="Y800" i="1"/>
  <c r="AA800" i="1" s="1"/>
  <c r="Y799" i="1"/>
  <c r="AA799" i="1" s="1"/>
  <c r="Y798" i="1"/>
  <c r="AA798" i="1" s="1"/>
  <c r="Y797" i="1"/>
  <c r="AA797" i="1" s="1"/>
  <c r="Y796" i="1"/>
  <c r="AA796" i="1" s="1"/>
  <c r="Y795" i="1"/>
  <c r="AA795" i="1" s="1"/>
  <c r="Y794" i="1"/>
  <c r="AA794" i="1" s="1"/>
  <c r="Y793" i="1"/>
  <c r="AA793" i="1" s="1"/>
  <c r="Y792" i="1"/>
  <c r="AA792" i="1" s="1"/>
  <c r="Y791" i="1"/>
  <c r="AA791" i="1" s="1"/>
  <c r="Y790" i="1"/>
  <c r="AA790" i="1" s="1"/>
  <c r="Y789" i="1"/>
  <c r="AA789" i="1" s="1"/>
  <c r="Y788" i="1"/>
  <c r="AA788" i="1" s="1"/>
  <c r="Y787" i="1"/>
  <c r="AA787" i="1" s="1"/>
  <c r="Y786" i="1"/>
  <c r="AA786" i="1" s="1"/>
  <c r="Y785" i="1"/>
  <c r="AA785" i="1" s="1"/>
  <c r="Y784" i="1"/>
  <c r="AA784" i="1" s="1"/>
  <c r="Y783" i="1"/>
  <c r="AA783" i="1" s="1"/>
  <c r="Y782" i="1"/>
  <c r="AA782" i="1" s="1"/>
  <c r="Y781" i="1"/>
  <c r="AA781" i="1" s="1"/>
  <c r="Y780" i="1"/>
  <c r="AA780" i="1" s="1"/>
  <c r="Y779" i="1"/>
  <c r="AA779" i="1" s="1"/>
  <c r="Y778" i="1"/>
  <c r="AA778" i="1" s="1"/>
  <c r="Y777" i="1"/>
  <c r="AA777" i="1" s="1"/>
  <c r="Y776" i="1"/>
  <c r="AA776" i="1" s="1"/>
  <c r="Y775" i="1"/>
  <c r="AA775" i="1" s="1"/>
  <c r="Y774" i="1"/>
  <c r="AA774" i="1" s="1"/>
  <c r="Y773" i="1"/>
  <c r="AA773" i="1" s="1"/>
  <c r="Y772" i="1"/>
  <c r="AA772" i="1" s="1"/>
  <c r="Y771" i="1"/>
  <c r="AA771" i="1" s="1"/>
  <c r="Y770" i="1"/>
  <c r="AA770" i="1" s="1"/>
  <c r="Y769" i="1"/>
  <c r="AA769" i="1" s="1"/>
  <c r="Y768" i="1"/>
  <c r="AA768" i="1" s="1"/>
  <c r="Y767" i="1"/>
  <c r="AA767" i="1" s="1"/>
  <c r="Y766" i="1"/>
  <c r="AA766" i="1" s="1"/>
  <c r="Y765" i="1"/>
  <c r="AA765" i="1" s="1"/>
  <c r="Y764" i="1"/>
  <c r="AA764" i="1" s="1"/>
  <c r="Y763" i="1"/>
  <c r="AA763" i="1" s="1"/>
  <c r="Y762" i="1"/>
  <c r="AA762" i="1" s="1"/>
  <c r="Y761" i="1"/>
  <c r="AA761" i="1" s="1"/>
  <c r="Y760" i="1"/>
  <c r="AA760" i="1" s="1"/>
  <c r="Y759" i="1"/>
  <c r="AA759" i="1" s="1"/>
  <c r="Y758" i="1"/>
  <c r="AA758" i="1" s="1"/>
  <c r="Y757" i="1"/>
  <c r="AA757" i="1" s="1"/>
  <c r="Y756" i="1"/>
  <c r="AA756" i="1" s="1"/>
  <c r="Y755" i="1"/>
  <c r="AA755" i="1" s="1"/>
  <c r="Y754" i="1"/>
  <c r="AA754" i="1" s="1"/>
  <c r="Y753" i="1"/>
  <c r="AA753" i="1" s="1"/>
  <c r="Y752" i="1"/>
  <c r="AA752" i="1" s="1"/>
  <c r="Y751" i="1"/>
  <c r="AA751" i="1" s="1"/>
  <c r="Y750" i="1"/>
  <c r="AA750" i="1" s="1"/>
  <c r="Y749" i="1"/>
  <c r="AA749" i="1" s="1"/>
  <c r="Y748" i="1"/>
  <c r="AA748" i="1" s="1"/>
  <c r="Y747" i="1"/>
  <c r="AA747" i="1" s="1"/>
  <c r="Y746" i="1"/>
  <c r="AA746" i="1" s="1"/>
  <c r="Y745" i="1"/>
  <c r="AA745" i="1" s="1"/>
  <c r="Y744" i="1"/>
  <c r="AA744" i="1" s="1"/>
  <c r="Y743" i="1"/>
  <c r="AA743" i="1" s="1"/>
  <c r="Y742" i="1"/>
  <c r="AA742" i="1" s="1"/>
  <c r="Y741" i="1"/>
  <c r="AA741" i="1" s="1"/>
  <c r="Y740" i="1"/>
  <c r="AA740" i="1" s="1"/>
  <c r="Y739" i="1"/>
  <c r="AA739" i="1" s="1"/>
  <c r="Y738" i="1"/>
  <c r="AA738" i="1" s="1"/>
  <c r="Y737" i="1"/>
  <c r="AA737" i="1" s="1"/>
  <c r="Y736" i="1"/>
  <c r="AA736" i="1" s="1"/>
  <c r="Y735" i="1"/>
  <c r="AA735" i="1" s="1"/>
  <c r="Y734" i="1"/>
  <c r="AA734" i="1" s="1"/>
  <c r="Y733" i="1"/>
  <c r="AA733" i="1" s="1"/>
  <c r="Y732" i="1"/>
  <c r="AA732" i="1" s="1"/>
  <c r="Y731" i="1"/>
  <c r="AA731" i="1" s="1"/>
  <c r="Y730" i="1"/>
  <c r="AA730" i="1" s="1"/>
  <c r="Y729" i="1"/>
  <c r="AA729" i="1" s="1"/>
  <c r="Y728" i="1"/>
  <c r="AA728" i="1" s="1"/>
  <c r="Y727" i="1"/>
  <c r="AA727" i="1" s="1"/>
  <c r="Y726" i="1"/>
  <c r="AA726" i="1" s="1"/>
  <c r="Y725" i="1"/>
  <c r="AA725" i="1" s="1"/>
  <c r="Y724" i="1"/>
  <c r="AA724" i="1" s="1"/>
  <c r="Y723" i="1"/>
  <c r="AA723" i="1" s="1"/>
  <c r="Y722" i="1"/>
  <c r="AA722" i="1" s="1"/>
  <c r="Y721" i="1"/>
  <c r="AA721" i="1" s="1"/>
  <c r="Y720" i="1"/>
  <c r="AA720" i="1" s="1"/>
  <c r="Y719" i="1"/>
  <c r="AA719" i="1" s="1"/>
  <c r="Y718" i="1"/>
  <c r="AA718" i="1" s="1"/>
  <c r="Y717" i="1"/>
  <c r="AA717" i="1" s="1"/>
  <c r="Y716" i="1"/>
  <c r="AA716" i="1" s="1"/>
  <c r="Y715" i="1"/>
  <c r="AA715" i="1" s="1"/>
  <c r="Y714" i="1"/>
  <c r="AA714" i="1" s="1"/>
  <c r="Y713" i="1"/>
  <c r="AA713" i="1" s="1"/>
  <c r="Y712" i="1"/>
  <c r="AA712" i="1" s="1"/>
  <c r="Y711" i="1"/>
  <c r="AA711" i="1" s="1"/>
  <c r="Y710" i="1"/>
  <c r="AA710" i="1" s="1"/>
  <c r="Y709" i="1"/>
  <c r="AA709" i="1" s="1"/>
  <c r="Y708" i="1"/>
  <c r="AA708" i="1" s="1"/>
  <c r="Y707" i="1"/>
  <c r="AA707" i="1" s="1"/>
  <c r="Y706" i="1"/>
  <c r="AA706" i="1" s="1"/>
  <c r="Y705" i="1"/>
  <c r="AA705" i="1" s="1"/>
  <c r="Y704" i="1"/>
  <c r="AA704" i="1" s="1"/>
  <c r="Y703" i="1"/>
  <c r="AA703" i="1" s="1"/>
  <c r="Y702" i="1"/>
  <c r="AA702" i="1" s="1"/>
  <c r="Y701" i="1"/>
  <c r="AA701" i="1" s="1"/>
  <c r="Y700" i="1"/>
  <c r="AA700" i="1" s="1"/>
  <c r="Y699" i="1"/>
  <c r="AA699" i="1" s="1"/>
  <c r="Y698" i="1"/>
  <c r="AA698" i="1" s="1"/>
  <c r="Y697" i="1"/>
  <c r="AA697" i="1" s="1"/>
  <c r="Y696" i="1"/>
  <c r="AA696" i="1" s="1"/>
  <c r="Y695" i="1"/>
  <c r="AA695" i="1" s="1"/>
  <c r="Y694" i="1"/>
  <c r="AA694" i="1" s="1"/>
  <c r="Y693" i="1"/>
  <c r="AA693" i="1" s="1"/>
  <c r="Y692" i="1"/>
  <c r="AA692" i="1" s="1"/>
  <c r="Y691" i="1"/>
  <c r="AA691" i="1" s="1"/>
  <c r="Y690" i="1"/>
  <c r="AA690" i="1" s="1"/>
  <c r="Y689" i="1"/>
  <c r="AA689" i="1" s="1"/>
  <c r="Y688" i="1"/>
  <c r="AA688" i="1" s="1"/>
  <c r="Y687" i="1"/>
  <c r="AA687" i="1" s="1"/>
  <c r="Y686" i="1"/>
  <c r="AA686" i="1" s="1"/>
  <c r="Y685" i="1"/>
  <c r="AA685" i="1" s="1"/>
  <c r="Y684" i="1"/>
  <c r="AA684" i="1" s="1"/>
  <c r="Y683" i="1"/>
  <c r="AA683" i="1" s="1"/>
  <c r="Y682" i="1"/>
  <c r="AA682" i="1" s="1"/>
  <c r="Y681" i="1"/>
  <c r="AA681" i="1" s="1"/>
  <c r="Y680" i="1"/>
  <c r="AA680" i="1" s="1"/>
  <c r="Y679" i="1"/>
  <c r="AA679" i="1" s="1"/>
  <c r="Y678" i="1"/>
  <c r="AA678" i="1" s="1"/>
  <c r="Y677" i="1"/>
  <c r="AA677" i="1" s="1"/>
  <c r="Y676" i="1"/>
  <c r="AA676" i="1" s="1"/>
  <c r="Y675" i="1"/>
  <c r="AA675" i="1" s="1"/>
  <c r="Y674" i="1"/>
  <c r="AA674" i="1" s="1"/>
  <c r="Y673" i="1"/>
  <c r="AA673" i="1" s="1"/>
  <c r="Y672" i="1"/>
  <c r="AA672" i="1" s="1"/>
  <c r="Y671" i="1"/>
  <c r="AA671" i="1" s="1"/>
  <c r="Y670" i="1"/>
  <c r="AA670" i="1" s="1"/>
  <c r="Y669" i="1"/>
  <c r="AA669" i="1" s="1"/>
  <c r="Y668" i="1"/>
  <c r="AA668" i="1" s="1"/>
  <c r="Y667" i="1"/>
  <c r="AA667" i="1" s="1"/>
  <c r="Y666" i="1"/>
  <c r="AA666" i="1" s="1"/>
  <c r="Y665" i="1"/>
  <c r="AA665" i="1" s="1"/>
  <c r="Y664" i="1"/>
  <c r="AA664" i="1" s="1"/>
  <c r="Y663" i="1"/>
  <c r="AA663" i="1" s="1"/>
  <c r="Y662" i="1"/>
  <c r="AA662" i="1" s="1"/>
  <c r="Y661" i="1"/>
  <c r="AA661" i="1" s="1"/>
  <c r="Y660" i="1"/>
  <c r="AA660" i="1" s="1"/>
  <c r="Y659" i="1"/>
  <c r="AA659" i="1" s="1"/>
  <c r="Y658" i="1"/>
  <c r="AA658" i="1" s="1"/>
  <c r="Y657" i="1"/>
  <c r="AA657" i="1" s="1"/>
  <c r="Y656" i="1"/>
  <c r="AA656" i="1" s="1"/>
  <c r="Y655" i="1"/>
  <c r="AA655" i="1" s="1"/>
  <c r="Y654" i="1"/>
  <c r="AA654" i="1" s="1"/>
  <c r="Y653" i="1"/>
  <c r="AA653" i="1" s="1"/>
  <c r="Y652" i="1"/>
  <c r="AA652" i="1" s="1"/>
  <c r="Y651" i="1"/>
  <c r="AA651" i="1" s="1"/>
  <c r="Y650" i="1"/>
  <c r="AA650" i="1" s="1"/>
  <c r="Y649" i="1"/>
  <c r="AA649" i="1" s="1"/>
  <c r="Y648" i="1"/>
  <c r="AA648" i="1" s="1"/>
  <c r="Y647" i="1"/>
  <c r="AA647" i="1" s="1"/>
  <c r="Y646" i="1"/>
  <c r="AA646" i="1" s="1"/>
  <c r="Y645" i="1"/>
  <c r="AA645" i="1" s="1"/>
  <c r="Y644" i="1"/>
  <c r="AA644" i="1" s="1"/>
  <c r="Y643" i="1"/>
  <c r="AA643" i="1" s="1"/>
  <c r="Y642" i="1"/>
  <c r="AA642" i="1" s="1"/>
  <c r="Y641" i="1"/>
  <c r="AA641" i="1" s="1"/>
  <c r="Y640" i="1"/>
  <c r="AA640" i="1" s="1"/>
  <c r="Y639" i="1"/>
  <c r="AA639" i="1" s="1"/>
  <c r="Y638" i="1"/>
  <c r="AA638" i="1" s="1"/>
  <c r="Y637" i="1"/>
  <c r="AA637" i="1" s="1"/>
  <c r="Y636" i="1"/>
  <c r="AA636" i="1" s="1"/>
  <c r="Y635" i="1"/>
  <c r="AA635" i="1" s="1"/>
  <c r="Y634" i="1"/>
  <c r="AA634" i="1" s="1"/>
  <c r="Y633" i="1"/>
  <c r="AA633" i="1" s="1"/>
  <c r="Y632" i="1"/>
  <c r="AA632" i="1" s="1"/>
  <c r="Y631" i="1"/>
  <c r="AA631" i="1" s="1"/>
  <c r="Y630" i="1"/>
  <c r="AA630" i="1" s="1"/>
  <c r="Y629" i="1"/>
  <c r="AA629" i="1" s="1"/>
  <c r="Y628" i="1"/>
  <c r="AA628" i="1" s="1"/>
  <c r="Y627" i="1"/>
  <c r="AA627" i="1" s="1"/>
  <c r="Y626" i="1"/>
  <c r="AA626" i="1" s="1"/>
  <c r="Y625" i="1"/>
  <c r="AA625" i="1" s="1"/>
  <c r="Y624" i="1"/>
  <c r="AA624" i="1" s="1"/>
  <c r="Y623" i="1"/>
  <c r="AA623" i="1" s="1"/>
  <c r="Y622" i="1"/>
  <c r="AA622" i="1" s="1"/>
  <c r="Y621" i="1"/>
  <c r="AA621" i="1" s="1"/>
  <c r="Y620" i="1"/>
  <c r="AA620" i="1" s="1"/>
  <c r="Y619" i="1"/>
  <c r="AA619" i="1" s="1"/>
  <c r="Y618" i="1"/>
  <c r="AA618" i="1" s="1"/>
  <c r="Y617" i="1"/>
  <c r="AA617" i="1" s="1"/>
  <c r="Y616" i="1"/>
  <c r="AA616" i="1" s="1"/>
  <c r="Y615" i="1"/>
  <c r="AA615" i="1" s="1"/>
  <c r="Y614" i="1"/>
  <c r="AA614" i="1" s="1"/>
  <c r="Y613" i="1"/>
  <c r="AA613" i="1" s="1"/>
  <c r="Y612" i="1"/>
  <c r="AA612" i="1" s="1"/>
  <c r="Y611" i="1"/>
  <c r="AA611" i="1" s="1"/>
  <c r="Y610" i="1"/>
  <c r="AA610" i="1" s="1"/>
  <c r="Y609" i="1"/>
  <c r="AA609" i="1" s="1"/>
  <c r="Y608" i="1"/>
  <c r="AA608" i="1" s="1"/>
  <c r="Y607" i="1"/>
  <c r="AA607" i="1" s="1"/>
  <c r="Y606" i="1"/>
  <c r="AA606" i="1" s="1"/>
  <c r="Y605" i="1"/>
  <c r="AA605" i="1" s="1"/>
  <c r="Y604" i="1"/>
  <c r="AA604" i="1" s="1"/>
  <c r="Y603" i="1"/>
  <c r="AA603" i="1" s="1"/>
  <c r="Y602" i="1"/>
  <c r="AA602" i="1" s="1"/>
  <c r="Y601" i="1"/>
  <c r="AA601" i="1" s="1"/>
  <c r="Y600" i="1"/>
  <c r="AA600" i="1" s="1"/>
  <c r="Y599" i="1"/>
  <c r="AA599" i="1" s="1"/>
  <c r="Y598" i="1"/>
  <c r="AA598" i="1" s="1"/>
  <c r="Y597" i="1"/>
  <c r="AA597" i="1" s="1"/>
  <c r="Y596" i="1"/>
  <c r="AA596" i="1" s="1"/>
  <c r="Y595" i="1"/>
  <c r="AA595" i="1" s="1"/>
  <c r="Y594" i="1"/>
  <c r="AA594" i="1" s="1"/>
  <c r="Y593" i="1"/>
  <c r="AA593" i="1" s="1"/>
  <c r="Y592" i="1"/>
  <c r="AA592" i="1" s="1"/>
  <c r="Y591" i="1"/>
  <c r="AA591" i="1" s="1"/>
  <c r="Y590" i="1"/>
  <c r="AA590" i="1" s="1"/>
  <c r="Y589" i="1"/>
  <c r="AA589" i="1" s="1"/>
  <c r="Y588" i="1"/>
  <c r="AA588" i="1" s="1"/>
  <c r="Y587" i="1"/>
  <c r="AA587" i="1" s="1"/>
  <c r="Y586" i="1"/>
  <c r="AA586" i="1" s="1"/>
  <c r="Y585" i="1"/>
  <c r="AA585" i="1" s="1"/>
  <c r="Y584" i="1"/>
  <c r="AA584" i="1" s="1"/>
  <c r="Y583" i="1"/>
  <c r="AA583" i="1" s="1"/>
  <c r="Y582" i="1"/>
  <c r="AA582" i="1" s="1"/>
  <c r="Y581" i="1"/>
  <c r="AA581" i="1" s="1"/>
  <c r="Y580" i="1"/>
  <c r="AA580" i="1" s="1"/>
  <c r="Y579" i="1"/>
  <c r="AA579" i="1" s="1"/>
  <c r="Y578" i="1"/>
  <c r="AA578" i="1" s="1"/>
  <c r="Y577" i="1"/>
  <c r="AA577" i="1" s="1"/>
  <c r="Y576" i="1"/>
  <c r="AA576" i="1" s="1"/>
  <c r="Y575" i="1"/>
  <c r="AA575" i="1" s="1"/>
  <c r="Y574" i="1"/>
  <c r="AA574" i="1" s="1"/>
  <c r="Y573" i="1"/>
  <c r="AA573" i="1" s="1"/>
  <c r="Y572" i="1"/>
  <c r="AA572" i="1" s="1"/>
  <c r="Y571" i="1"/>
  <c r="AA571" i="1" s="1"/>
  <c r="Y570" i="1"/>
  <c r="AA570" i="1" s="1"/>
  <c r="Y569" i="1"/>
  <c r="AA569" i="1" s="1"/>
  <c r="Y568" i="1"/>
  <c r="AA568" i="1" s="1"/>
  <c r="Y567" i="1"/>
  <c r="AA567" i="1" s="1"/>
  <c r="Y566" i="1"/>
  <c r="AA566" i="1" s="1"/>
  <c r="Y565" i="1"/>
  <c r="AA565" i="1" s="1"/>
  <c r="Y564" i="1"/>
  <c r="AA564" i="1" s="1"/>
  <c r="Y563" i="1"/>
  <c r="AA563" i="1" s="1"/>
  <c r="Y562" i="1"/>
  <c r="AA562" i="1" s="1"/>
  <c r="Y561" i="1"/>
  <c r="AA561" i="1" s="1"/>
  <c r="Y560" i="1"/>
  <c r="AA560" i="1" s="1"/>
  <c r="Y559" i="1"/>
  <c r="AA559" i="1" s="1"/>
  <c r="Y558" i="1"/>
  <c r="AA558" i="1" s="1"/>
  <c r="Y557" i="1"/>
  <c r="AA557" i="1" s="1"/>
  <c r="Y556" i="1"/>
  <c r="AA556" i="1" s="1"/>
  <c r="Y555" i="1"/>
  <c r="AA555" i="1" s="1"/>
  <c r="Y554" i="1"/>
  <c r="AA554" i="1" s="1"/>
  <c r="Y553" i="1"/>
  <c r="AA553" i="1" s="1"/>
  <c r="Y552" i="1"/>
  <c r="AA552" i="1" s="1"/>
  <c r="Y551" i="1"/>
  <c r="AA551" i="1" s="1"/>
  <c r="Y550" i="1"/>
  <c r="AA550" i="1" s="1"/>
  <c r="Y549" i="1"/>
  <c r="AA549" i="1" s="1"/>
  <c r="Y548" i="1"/>
  <c r="AA548" i="1" s="1"/>
  <c r="Y547" i="1"/>
  <c r="AA547" i="1" s="1"/>
  <c r="Y546" i="1"/>
  <c r="AA546" i="1" s="1"/>
  <c r="Y545" i="1"/>
  <c r="AA545" i="1" s="1"/>
  <c r="Y544" i="1"/>
  <c r="AA544" i="1" s="1"/>
  <c r="Y543" i="1"/>
  <c r="AA543" i="1" s="1"/>
  <c r="Y542" i="1"/>
  <c r="AA542" i="1" s="1"/>
  <c r="Y541" i="1"/>
  <c r="AA541" i="1" s="1"/>
  <c r="Y540" i="1"/>
  <c r="AA540" i="1" s="1"/>
  <c r="Y539" i="1"/>
  <c r="AA539" i="1" s="1"/>
  <c r="Y538" i="1"/>
  <c r="AA538" i="1" s="1"/>
  <c r="Y537" i="1"/>
  <c r="AA537" i="1" s="1"/>
  <c r="Y536" i="1"/>
  <c r="AA536" i="1" s="1"/>
  <c r="Y535" i="1"/>
  <c r="AA535" i="1" s="1"/>
  <c r="Y534" i="1"/>
  <c r="AA534" i="1" s="1"/>
  <c r="Y533" i="1"/>
  <c r="AA533" i="1" s="1"/>
  <c r="Y532" i="1"/>
  <c r="AA532" i="1" s="1"/>
  <c r="Y531" i="1"/>
  <c r="AA531" i="1" s="1"/>
  <c r="Y530" i="1"/>
  <c r="AA530" i="1" s="1"/>
  <c r="Y529" i="1"/>
  <c r="AA529" i="1" s="1"/>
  <c r="Y528" i="1"/>
  <c r="AA528" i="1" s="1"/>
  <c r="Y527" i="1"/>
  <c r="AA527" i="1" s="1"/>
  <c r="Y526" i="1"/>
  <c r="AA526" i="1" s="1"/>
  <c r="Y525" i="1"/>
  <c r="AA525" i="1" s="1"/>
  <c r="Y524" i="1"/>
  <c r="AA524" i="1" s="1"/>
  <c r="Y523" i="1"/>
  <c r="AA523" i="1" s="1"/>
  <c r="Y522" i="1"/>
  <c r="AA522" i="1" s="1"/>
  <c r="Y521" i="1"/>
  <c r="AA521" i="1" s="1"/>
  <c r="Y520" i="1"/>
  <c r="AA520" i="1" s="1"/>
  <c r="Y519" i="1"/>
  <c r="AA519" i="1" s="1"/>
  <c r="Y518" i="1"/>
  <c r="AA518" i="1" s="1"/>
  <c r="Y517" i="1"/>
  <c r="AA517" i="1" s="1"/>
  <c r="Y516" i="1"/>
  <c r="AA516" i="1" s="1"/>
  <c r="Y515" i="1"/>
  <c r="AA515" i="1" s="1"/>
  <c r="Y514" i="1"/>
  <c r="AA514" i="1" s="1"/>
  <c r="Y513" i="1"/>
  <c r="AA513" i="1" s="1"/>
  <c r="Y512" i="1"/>
  <c r="AA512" i="1" s="1"/>
  <c r="Y511" i="1"/>
  <c r="AA511" i="1" s="1"/>
  <c r="Y510" i="1"/>
  <c r="AA510" i="1" s="1"/>
  <c r="Y509" i="1"/>
  <c r="AA509" i="1" s="1"/>
  <c r="Y508" i="1"/>
  <c r="AA508" i="1" s="1"/>
  <c r="Y507" i="1"/>
  <c r="AA507" i="1" s="1"/>
  <c r="Y506" i="1"/>
  <c r="AA506" i="1" s="1"/>
  <c r="Y505" i="1"/>
  <c r="AA505" i="1" s="1"/>
  <c r="Y504" i="1"/>
  <c r="AA504" i="1" s="1"/>
  <c r="Y503" i="1"/>
  <c r="AA503" i="1" s="1"/>
  <c r="Y502" i="1"/>
  <c r="AA502" i="1" s="1"/>
  <c r="Y501" i="1"/>
  <c r="AA501" i="1" s="1"/>
  <c r="Y500" i="1"/>
  <c r="AA500" i="1" s="1"/>
  <c r="Y499" i="1"/>
  <c r="AA499" i="1" s="1"/>
  <c r="Y498" i="1"/>
  <c r="AA498" i="1" s="1"/>
  <c r="Y497" i="1"/>
  <c r="AA497" i="1" s="1"/>
  <c r="Y496" i="1"/>
  <c r="AA496" i="1" s="1"/>
  <c r="Y495" i="1"/>
  <c r="AA495" i="1" s="1"/>
  <c r="Y494" i="1"/>
  <c r="AA494" i="1" s="1"/>
  <c r="Y493" i="1"/>
  <c r="AA493" i="1" s="1"/>
  <c r="Y492" i="1"/>
  <c r="AA492" i="1" s="1"/>
  <c r="Y491" i="1"/>
  <c r="AA491" i="1" s="1"/>
  <c r="Y490" i="1"/>
  <c r="AA490" i="1" s="1"/>
  <c r="Y489" i="1"/>
  <c r="AA489" i="1" s="1"/>
  <c r="Y488" i="1"/>
  <c r="AA488" i="1" s="1"/>
  <c r="Y487" i="1"/>
  <c r="AA487" i="1" s="1"/>
  <c r="Y486" i="1"/>
  <c r="AA486" i="1" s="1"/>
  <c r="Y485" i="1"/>
  <c r="AA485" i="1" s="1"/>
  <c r="Y484" i="1"/>
  <c r="AA484" i="1" s="1"/>
  <c r="Y483" i="1"/>
  <c r="AA483" i="1" s="1"/>
  <c r="Y482" i="1"/>
  <c r="AA482" i="1" s="1"/>
  <c r="Y481" i="1"/>
  <c r="AA481" i="1" s="1"/>
  <c r="Y480" i="1"/>
  <c r="AA480" i="1" s="1"/>
  <c r="Y479" i="1"/>
  <c r="AA479" i="1" s="1"/>
  <c r="Y478" i="1"/>
  <c r="AA478" i="1" s="1"/>
  <c r="Y477" i="1"/>
  <c r="AA477" i="1" s="1"/>
  <c r="Y476" i="1"/>
  <c r="AA476" i="1" s="1"/>
  <c r="Y475" i="1"/>
  <c r="AA475" i="1" s="1"/>
  <c r="Y474" i="1"/>
  <c r="AA474" i="1" s="1"/>
  <c r="Y473" i="1"/>
  <c r="AA473" i="1" s="1"/>
  <c r="Y472" i="1"/>
  <c r="AA472" i="1" s="1"/>
  <c r="Y471" i="1"/>
  <c r="AA471" i="1" s="1"/>
  <c r="Y470" i="1"/>
  <c r="AA470" i="1" s="1"/>
  <c r="Y469" i="1"/>
  <c r="AA469" i="1" s="1"/>
  <c r="Y468" i="1"/>
  <c r="AA468" i="1" s="1"/>
  <c r="Y467" i="1"/>
  <c r="AA467" i="1" s="1"/>
  <c r="Y466" i="1"/>
  <c r="AA466" i="1" s="1"/>
  <c r="Y465" i="1"/>
  <c r="AA465" i="1" s="1"/>
  <c r="Y464" i="1"/>
  <c r="AA464" i="1" s="1"/>
  <c r="Y463" i="1"/>
  <c r="AA463" i="1" s="1"/>
  <c r="Y462" i="1"/>
  <c r="AA462" i="1" s="1"/>
  <c r="Y461" i="1"/>
  <c r="AA461" i="1" s="1"/>
  <c r="Y460" i="1"/>
  <c r="AA460" i="1" s="1"/>
  <c r="Y459" i="1"/>
  <c r="AA459" i="1" s="1"/>
  <c r="Y458" i="1"/>
  <c r="AA458" i="1" s="1"/>
  <c r="Y457" i="1"/>
  <c r="AA457" i="1" s="1"/>
  <c r="Y456" i="1"/>
  <c r="AA456" i="1" s="1"/>
  <c r="Y455" i="1"/>
  <c r="AA455" i="1" s="1"/>
  <c r="Y454" i="1"/>
  <c r="AA454" i="1" s="1"/>
  <c r="Y453" i="1"/>
  <c r="AA453" i="1" s="1"/>
  <c r="Y452" i="1"/>
  <c r="AA452" i="1" s="1"/>
  <c r="Y451" i="1"/>
  <c r="AA451" i="1" s="1"/>
  <c r="Y450" i="1"/>
  <c r="AA450" i="1" s="1"/>
  <c r="Y449" i="1"/>
  <c r="AA449" i="1" s="1"/>
  <c r="Y448" i="1"/>
  <c r="AA448" i="1" s="1"/>
  <c r="Y447" i="1"/>
  <c r="AA447" i="1" s="1"/>
  <c r="Y446" i="1"/>
  <c r="AA446" i="1" s="1"/>
  <c r="Y445" i="1"/>
  <c r="AA445" i="1" s="1"/>
  <c r="Y444" i="1"/>
  <c r="AA444" i="1" s="1"/>
  <c r="Y443" i="1"/>
  <c r="AA443" i="1" s="1"/>
  <c r="Y442" i="1"/>
  <c r="AA442" i="1" s="1"/>
  <c r="Y441" i="1"/>
  <c r="AA441" i="1" s="1"/>
  <c r="Y440" i="1"/>
  <c r="AA440" i="1" s="1"/>
  <c r="Y439" i="1"/>
  <c r="AA439" i="1" s="1"/>
  <c r="Y438" i="1"/>
  <c r="AA438" i="1" s="1"/>
  <c r="Y437" i="1"/>
  <c r="AA437" i="1" s="1"/>
  <c r="Y436" i="1"/>
  <c r="AA436" i="1" s="1"/>
  <c r="Y435" i="1"/>
  <c r="AA435" i="1" s="1"/>
  <c r="Y434" i="1"/>
  <c r="AA434" i="1" s="1"/>
  <c r="Y433" i="1"/>
  <c r="AA433" i="1" s="1"/>
  <c r="Y432" i="1"/>
  <c r="AA432" i="1" s="1"/>
  <c r="Y431" i="1"/>
  <c r="AA431" i="1" s="1"/>
  <c r="Y430" i="1"/>
  <c r="AA430" i="1" s="1"/>
  <c r="Y429" i="1"/>
  <c r="AA429" i="1" s="1"/>
  <c r="Y428" i="1"/>
  <c r="AA428" i="1" s="1"/>
  <c r="Y427" i="1"/>
  <c r="AA427" i="1" s="1"/>
  <c r="Y426" i="1"/>
  <c r="AA426" i="1" s="1"/>
  <c r="Y425" i="1"/>
  <c r="AA425" i="1" s="1"/>
  <c r="Y424" i="1"/>
  <c r="AA424" i="1" s="1"/>
  <c r="Y423" i="1"/>
  <c r="AA423" i="1" s="1"/>
  <c r="Y422" i="1"/>
  <c r="AA422" i="1" s="1"/>
  <c r="Y421" i="1"/>
  <c r="AA421" i="1" s="1"/>
  <c r="Y420" i="1"/>
  <c r="AA420" i="1" s="1"/>
  <c r="Y419" i="1"/>
  <c r="AA419" i="1" s="1"/>
  <c r="Y418" i="1"/>
  <c r="AA418" i="1" s="1"/>
  <c r="Y417" i="1"/>
  <c r="AA417" i="1" s="1"/>
  <c r="Y416" i="1"/>
  <c r="AA416" i="1" s="1"/>
  <c r="Y415" i="1"/>
  <c r="AA415" i="1" s="1"/>
  <c r="Y414" i="1"/>
  <c r="AA414" i="1" s="1"/>
  <c r="Y413" i="1"/>
  <c r="AA413" i="1" s="1"/>
  <c r="Y412" i="1"/>
  <c r="AA412" i="1" s="1"/>
  <c r="Y411" i="1"/>
  <c r="AA411" i="1" s="1"/>
  <c r="Y410" i="1"/>
  <c r="AA410" i="1" s="1"/>
  <c r="Y409" i="1"/>
  <c r="AA409" i="1" s="1"/>
  <c r="Y408" i="1"/>
  <c r="AA408" i="1" s="1"/>
  <c r="Y407" i="1"/>
  <c r="AA407" i="1" s="1"/>
  <c r="Y406" i="1"/>
  <c r="AA406" i="1" s="1"/>
  <c r="Y405" i="1"/>
  <c r="AA405" i="1" s="1"/>
  <c r="Y404" i="1"/>
  <c r="AA404" i="1" s="1"/>
  <c r="Y403" i="1"/>
  <c r="AA403" i="1" s="1"/>
  <c r="Y402" i="1"/>
  <c r="AA402" i="1" s="1"/>
  <c r="Y401" i="1"/>
  <c r="AA401" i="1" s="1"/>
  <c r="Y400" i="1"/>
  <c r="AA400" i="1" s="1"/>
  <c r="Y399" i="1"/>
  <c r="AA399" i="1" s="1"/>
  <c r="Y398" i="1"/>
  <c r="AA398" i="1" s="1"/>
  <c r="Y397" i="1"/>
  <c r="AA397" i="1" s="1"/>
  <c r="Y396" i="1"/>
  <c r="AA396" i="1" s="1"/>
  <c r="Y395" i="1"/>
  <c r="AA395" i="1" s="1"/>
  <c r="Y394" i="1"/>
  <c r="AA394" i="1" s="1"/>
  <c r="Y393" i="1"/>
  <c r="AA393" i="1" s="1"/>
  <c r="Y392" i="1"/>
  <c r="AA392" i="1" s="1"/>
  <c r="Y391" i="1"/>
  <c r="AA391" i="1" s="1"/>
  <c r="Y390" i="1"/>
  <c r="AA390" i="1" s="1"/>
  <c r="Y389" i="1"/>
  <c r="AA389" i="1" s="1"/>
  <c r="Y388" i="1"/>
  <c r="AA388" i="1" s="1"/>
  <c r="Y387" i="1"/>
  <c r="AA387" i="1" s="1"/>
  <c r="Y386" i="1"/>
  <c r="AA386" i="1" s="1"/>
  <c r="Y385" i="1"/>
  <c r="AA385" i="1" s="1"/>
  <c r="Y384" i="1"/>
  <c r="AA384" i="1" s="1"/>
  <c r="Y383" i="1"/>
  <c r="AA383" i="1" s="1"/>
  <c r="Y382" i="1"/>
  <c r="AA382" i="1" s="1"/>
  <c r="Y381" i="1"/>
  <c r="AA381" i="1" s="1"/>
  <c r="Y380" i="1"/>
  <c r="AA380" i="1" s="1"/>
  <c r="Y379" i="1"/>
  <c r="AA379" i="1" s="1"/>
  <c r="Y378" i="1"/>
  <c r="AA378" i="1" s="1"/>
  <c r="Y377" i="1"/>
  <c r="AA377" i="1" s="1"/>
  <c r="Y376" i="1"/>
  <c r="AA376" i="1" s="1"/>
  <c r="Y375" i="1"/>
  <c r="AA375" i="1" s="1"/>
  <c r="Y374" i="1"/>
  <c r="AA374" i="1" s="1"/>
  <c r="Y373" i="1"/>
  <c r="AA373" i="1" s="1"/>
  <c r="Y372" i="1"/>
  <c r="AA372" i="1" s="1"/>
  <c r="Y371" i="1"/>
  <c r="AA371" i="1" s="1"/>
  <c r="Y370" i="1"/>
  <c r="AA370" i="1" s="1"/>
  <c r="Y369" i="1"/>
  <c r="AA369" i="1" s="1"/>
  <c r="Y368" i="1"/>
  <c r="AA368" i="1" s="1"/>
  <c r="Y367" i="1"/>
  <c r="AA367" i="1" s="1"/>
  <c r="Y366" i="1"/>
  <c r="AA366" i="1" s="1"/>
  <c r="Y365" i="1"/>
  <c r="AA365" i="1" s="1"/>
  <c r="Y364" i="1"/>
  <c r="AA364" i="1" s="1"/>
  <c r="Y363" i="1"/>
  <c r="AA363" i="1" s="1"/>
  <c r="Y362" i="1"/>
  <c r="AA362" i="1" s="1"/>
  <c r="Y361" i="1"/>
  <c r="AA361" i="1" s="1"/>
  <c r="Y360" i="1"/>
  <c r="AA360" i="1" s="1"/>
  <c r="Y359" i="1"/>
  <c r="AA359" i="1" s="1"/>
  <c r="Y358" i="1"/>
  <c r="AA358" i="1" s="1"/>
  <c r="Y357" i="1"/>
  <c r="AA357" i="1" s="1"/>
  <c r="Y356" i="1"/>
  <c r="AA356" i="1" s="1"/>
  <c r="Y355" i="1"/>
  <c r="AA355" i="1" s="1"/>
  <c r="Y354" i="1"/>
  <c r="AA354" i="1" s="1"/>
  <c r="Y353" i="1"/>
  <c r="AA353" i="1" s="1"/>
  <c r="Y352" i="1"/>
  <c r="AA352" i="1" s="1"/>
  <c r="Y351" i="1"/>
  <c r="AA351" i="1" s="1"/>
  <c r="Y350" i="1"/>
  <c r="AA350" i="1" s="1"/>
  <c r="Y349" i="1"/>
  <c r="AA349" i="1" s="1"/>
  <c r="Y348" i="1"/>
  <c r="AA348" i="1" s="1"/>
  <c r="Y347" i="1"/>
  <c r="AA347" i="1" s="1"/>
  <c r="Y346" i="1"/>
  <c r="AA346" i="1" s="1"/>
  <c r="Y345" i="1"/>
  <c r="AA345" i="1" s="1"/>
  <c r="Y344" i="1"/>
  <c r="AA344" i="1" s="1"/>
  <c r="Y343" i="1"/>
  <c r="AA343" i="1" s="1"/>
  <c r="Y342" i="1"/>
  <c r="AA342" i="1" s="1"/>
  <c r="Y341" i="1"/>
  <c r="AA341" i="1" s="1"/>
  <c r="Y340" i="1"/>
  <c r="AA340" i="1" s="1"/>
  <c r="Y339" i="1"/>
  <c r="AA339" i="1" s="1"/>
  <c r="Y338" i="1"/>
  <c r="AA338" i="1" s="1"/>
  <c r="Y337" i="1"/>
  <c r="AA337" i="1" s="1"/>
  <c r="Y336" i="1"/>
  <c r="AA336" i="1" s="1"/>
  <c r="Y335" i="1"/>
  <c r="AA335" i="1" s="1"/>
  <c r="Y334" i="1"/>
  <c r="AA334" i="1" s="1"/>
  <c r="Y333" i="1"/>
  <c r="AA333" i="1" s="1"/>
  <c r="Y332" i="1"/>
  <c r="AA332" i="1" s="1"/>
  <c r="Y331" i="1"/>
  <c r="AA331" i="1" s="1"/>
  <c r="Y330" i="1"/>
  <c r="AA330" i="1" s="1"/>
  <c r="Y329" i="1"/>
  <c r="AA329" i="1" s="1"/>
  <c r="Y328" i="1"/>
  <c r="AA328" i="1" s="1"/>
  <c r="Y327" i="1"/>
  <c r="AA327" i="1" s="1"/>
  <c r="Y326" i="1"/>
  <c r="AA326" i="1" s="1"/>
  <c r="Y325" i="1"/>
  <c r="AA325" i="1" s="1"/>
  <c r="Y324" i="1"/>
  <c r="AA324" i="1" s="1"/>
  <c r="Y323" i="1"/>
  <c r="AA323" i="1" s="1"/>
  <c r="Y322" i="1"/>
  <c r="AA322" i="1" s="1"/>
  <c r="Y321" i="1"/>
  <c r="AA321" i="1" s="1"/>
  <c r="Y320" i="1"/>
  <c r="AA320" i="1" s="1"/>
  <c r="Y319" i="1"/>
  <c r="AA319" i="1" s="1"/>
  <c r="Y318" i="1"/>
  <c r="AA318" i="1" s="1"/>
  <c r="Y317" i="1"/>
  <c r="AA317" i="1" s="1"/>
  <c r="Y316" i="1"/>
  <c r="AA316" i="1" s="1"/>
  <c r="Y315" i="1"/>
  <c r="AA315" i="1" s="1"/>
  <c r="Y314" i="1"/>
  <c r="AA314" i="1" s="1"/>
  <c r="Y313" i="1"/>
  <c r="AA313" i="1" s="1"/>
  <c r="Y312" i="1"/>
  <c r="AA312" i="1" s="1"/>
  <c r="Y311" i="1"/>
  <c r="AA311" i="1" s="1"/>
  <c r="Y310" i="1"/>
  <c r="AA310" i="1" s="1"/>
  <c r="Y309" i="1"/>
  <c r="AA309" i="1" s="1"/>
  <c r="Y308" i="1"/>
  <c r="AA308" i="1" s="1"/>
  <c r="Y307" i="1"/>
  <c r="AA307" i="1" s="1"/>
  <c r="Y306" i="1"/>
  <c r="AA306" i="1" s="1"/>
  <c r="Y305" i="1"/>
  <c r="AA305" i="1" s="1"/>
  <c r="Y304" i="1"/>
  <c r="AA304" i="1" s="1"/>
  <c r="Y303" i="1"/>
  <c r="AA303" i="1" s="1"/>
  <c r="Y302" i="1"/>
  <c r="AA302" i="1" s="1"/>
  <c r="Y301" i="1"/>
  <c r="AA301" i="1" s="1"/>
  <c r="Y300" i="1"/>
  <c r="AA300" i="1" s="1"/>
  <c r="Y299" i="1"/>
  <c r="AA299" i="1" s="1"/>
  <c r="Y298" i="1"/>
  <c r="AA298" i="1" s="1"/>
  <c r="Y297" i="1"/>
  <c r="AA297" i="1" s="1"/>
  <c r="Y296" i="1"/>
  <c r="AA296" i="1" s="1"/>
  <c r="Y295" i="1"/>
  <c r="AA295" i="1" s="1"/>
  <c r="Y294" i="1"/>
  <c r="AA294" i="1" s="1"/>
  <c r="Y293" i="1"/>
  <c r="AA293" i="1" s="1"/>
  <c r="Y292" i="1"/>
  <c r="AA292" i="1" s="1"/>
  <c r="Y291" i="1"/>
  <c r="AA291" i="1" s="1"/>
  <c r="Y290" i="1"/>
  <c r="AA290" i="1" s="1"/>
  <c r="Y289" i="1"/>
  <c r="AA289" i="1" s="1"/>
  <c r="Y288" i="1"/>
  <c r="AA288" i="1" s="1"/>
  <c r="Y287" i="1"/>
  <c r="AA287" i="1" s="1"/>
  <c r="Y286" i="1"/>
  <c r="AA286" i="1" s="1"/>
  <c r="Y285" i="1"/>
  <c r="AA285" i="1" s="1"/>
  <c r="Y284" i="1"/>
  <c r="AA284" i="1" s="1"/>
  <c r="Y283" i="1"/>
  <c r="AA283" i="1" s="1"/>
  <c r="Y282" i="1"/>
  <c r="AA282" i="1" s="1"/>
  <c r="Y281" i="1"/>
  <c r="AA281" i="1" s="1"/>
  <c r="Y280" i="1"/>
  <c r="AA280" i="1" s="1"/>
  <c r="Y279" i="1"/>
  <c r="AA279" i="1" s="1"/>
  <c r="Y278" i="1"/>
  <c r="AA278" i="1" s="1"/>
  <c r="Y277" i="1"/>
  <c r="AA277" i="1" s="1"/>
  <c r="Y276" i="1"/>
  <c r="AA276" i="1" s="1"/>
  <c r="Y275" i="1"/>
  <c r="AA275" i="1" s="1"/>
  <c r="Y274" i="1"/>
  <c r="AA274" i="1" s="1"/>
  <c r="Y273" i="1"/>
  <c r="AA273" i="1" s="1"/>
  <c r="Y272" i="1"/>
  <c r="AA272" i="1" s="1"/>
  <c r="Y271" i="1"/>
  <c r="AA271" i="1" s="1"/>
  <c r="Y270" i="1"/>
  <c r="AA270" i="1" s="1"/>
  <c r="Y269" i="1"/>
  <c r="AA269" i="1" s="1"/>
  <c r="Y268" i="1"/>
  <c r="AA268" i="1" s="1"/>
  <c r="Y267" i="1"/>
  <c r="AA267" i="1" s="1"/>
  <c r="Y266" i="1"/>
  <c r="AA266" i="1" s="1"/>
  <c r="Y265" i="1"/>
  <c r="AA265" i="1" s="1"/>
  <c r="Y264" i="1"/>
  <c r="AA264" i="1" s="1"/>
  <c r="Y263" i="1"/>
  <c r="AA263" i="1" s="1"/>
  <c r="Y262" i="1"/>
  <c r="AA262" i="1" s="1"/>
  <c r="Y261" i="1"/>
  <c r="AA261" i="1" s="1"/>
  <c r="Y260" i="1"/>
  <c r="AA260" i="1" s="1"/>
  <c r="Y259" i="1"/>
  <c r="AA259" i="1" s="1"/>
  <c r="Y258" i="1"/>
  <c r="AA258" i="1" s="1"/>
  <c r="Y257" i="1"/>
  <c r="AA257" i="1" s="1"/>
  <c r="Y256" i="1"/>
  <c r="AA256" i="1" s="1"/>
  <c r="Y255" i="1"/>
  <c r="AA255" i="1" s="1"/>
  <c r="Y254" i="1"/>
  <c r="AA254" i="1" s="1"/>
  <c r="Y253" i="1"/>
  <c r="AA253" i="1" s="1"/>
  <c r="Y252" i="1"/>
  <c r="AA252" i="1" s="1"/>
  <c r="Y251" i="1"/>
  <c r="AA251" i="1" s="1"/>
  <c r="Y250" i="1"/>
  <c r="AA250" i="1" s="1"/>
  <c r="Y249" i="1"/>
  <c r="AA249" i="1" s="1"/>
  <c r="Y248" i="1"/>
  <c r="AA248" i="1" s="1"/>
  <c r="Y247" i="1"/>
  <c r="AA247" i="1" s="1"/>
  <c r="Y246" i="1"/>
  <c r="AA246" i="1" s="1"/>
  <c r="Y245" i="1"/>
  <c r="AA245" i="1" s="1"/>
  <c r="Y244" i="1"/>
  <c r="AA244" i="1" s="1"/>
  <c r="Y243" i="1"/>
  <c r="AA243" i="1" s="1"/>
  <c r="Y242" i="1"/>
  <c r="AA242" i="1" s="1"/>
  <c r="Y241" i="1"/>
  <c r="AA241" i="1" s="1"/>
  <c r="Y240" i="1"/>
  <c r="AA240" i="1" s="1"/>
  <c r="Y239" i="1"/>
  <c r="AA239" i="1" s="1"/>
  <c r="Y238" i="1"/>
  <c r="AA238" i="1" s="1"/>
  <c r="Y237" i="1"/>
  <c r="AA237" i="1" s="1"/>
  <c r="Y236" i="1"/>
  <c r="AA236" i="1" s="1"/>
  <c r="Y235" i="1"/>
  <c r="AA235" i="1" s="1"/>
  <c r="Y234" i="1"/>
  <c r="AA234" i="1" s="1"/>
  <c r="Y233" i="1"/>
  <c r="AA233" i="1" s="1"/>
  <c r="Y232" i="1"/>
  <c r="AA232" i="1" s="1"/>
  <c r="Y231" i="1"/>
  <c r="AA231" i="1" s="1"/>
  <c r="Y230" i="1"/>
  <c r="AA230" i="1" s="1"/>
  <c r="Y229" i="1"/>
  <c r="AA229" i="1" s="1"/>
  <c r="Y228" i="1"/>
  <c r="AA228" i="1" s="1"/>
  <c r="Y227" i="1"/>
  <c r="AA227" i="1" s="1"/>
  <c r="Y226" i="1"/>
  <c r="AA226" i="1" s="1"/>
  <c r="Y225" i="1"/>
  <c r="AA225" i="1" s="1"/>
  <c r="Y224" i="1"/>
  <c r="AA224" i="1" s="1"/>
  <c r="Y223" i="1"/>
  <c r="AA223" i="1" s="1"/>
  <c r="Y222" i="1"/>
  <c r="AA222" i="1" s="1"/>
  <c r="Y221" i="1"/>
  <c r="AA221" i="1" s="1"/>
  <c r="Y220" i="1"/>
  <c r="AA220" i="1" s="1"/>
  <c r="Y219" i="1"/>
  <c r="AA219" i="1" s="1"/>
  <c r="Y218" i="1"/>
  <c r="AA218" i="1" s="1"/>
  <c r="Y217" i="1"/>
  <c r="AA217" i="1" s="1"/>
  <c r="Y216" i="1"/>
  <c r="AA216" i="1" s="1"/>
  <c r="Y215" i="1"/>
  <c r="AA215" i="1" s="1"/>
  <c r="Y214" i="1"/>
  <c r="AA214" i="1" s="1"/>
  <c r="Y213" i="1"/>
  <c r="AA213" i="1" s="1"/>
  <c r="Y212" i="1"/>
  <c r="AA212" i="1" s="1"/>
  <c r="Y211" i="1"/>
  <c r="AA211" i="1" s="1"/>
  <c r="Y210" i="1"/>
  <c r="AA210" i="1" s="1"/>
  <c r="Y209" i="1"/>
  <c r="AA209" i="1" s="1"/>
  <c r="Y208" i="1"/>
  <c r="AA208" i="1" s="1"/>
  <c r="Y207" i="1"/>
  <c r="AA207" i="1" s="1"/>
  <c r="Y206" i="1"/>
  <c r="AA206" i="1" s="1"/>
  <c r="Y205" i="1"/>
  <c r="AA205" i="1" s="1"/>
  <c r="Y204" i="1"/>
  <c r="AA204" i="1" s="1"/>
  <c r="Y203" i="1"/>
  <c r="AA203" i="1" s="1"/>
  <c r="Y202" i="1"/>
  <c r="AA202" i="1" s="1"/>
  <c r="Y201" i="1"/>
  <c r="AA201" i="1" s="1"/>
  <c r="Y200" i="1"/>
  <c r="AA200" i="1" s="1"/>
  <c r="Y199" i="1"/>
  <c r="AA199" i="1" s="1"/>
  <c r="Y198" i="1"/>
  <c r="AA198" i="1" s="1"/>
  <c r="Y197" i="1"/>
  <c r="AA197" i="1" s="1"/>
  <c r="Y196" i="1"/>
  <c r="AA196" i="1" s="1"/>
  <c r="Y195" i="1"/>
  <c r="AA195" i="1" s="1"/>
  <c r="Y194" i="1"/>
  <c r="AA194" i="1" s="1"/>
  <c r="Y193" i="1"/>
  <c r="AA193" i="1" s="1"/>
  <c r="Y192" i="1"/>
  <c r="AA192" i="1" s="1"/>
  <c r="Y191" i="1"/>
  <c r="AA191" i="1" s="1"/>
  <c r="Y190" i="1"/>
  <c r="AA190" i="1" s="1"/>
  <c r="Y189" i="1"/>
  <c r="AA189" i="1" s="1"/>
  <c r="Y188" i="1"/>
  <c r="AA188" i="1" s="1"/>
  <c r="Y187" i="1"/>
  <c r="AA187" i="1" s="1"/>
  <c r="Y186" i="1"/>
  <c r="AA186" i="1" s="1"/>
  <c r="Y185" i="1"/>
  <c r="AA185" i="1" s="1"/>
  <c r="Y184" i="1"/>
  <c r="AA184" i="1" s="1"/>
  <c r="Y183" i="1"/>
  <c r="AA183" i="1" s="1"/>
  <c r="Y182" i="1"/>
  <c r="AA182" i="1" s="1"/>
  <c r="Y181" i="1"/>
  <c r="AA181" i="1" s="1"/>
  <c r="Y180" i="1"/>
  <c r="AA180" i="1" s="1"/>
  <c r="Y179" i="1"/>
  <c r="AA179" i="1" s="1"/>
  <c r="Y178" i="1"/>
  <c r="AA178" i="1" s="1"/>
  <c r="Y177" i="1"/>
  <c r="AA177" i="1" s="1"/>
  <c r="Y176" i="1"/>
  <c r="AA176" i="1" s="1"/>
  <c r="Y175" i="1"/>
  <c r="AA175" i="1" s="1"/>
  <c r="Y174" i="1"/>
  <c r="AA174" i="1" s="1"/>
  <c r="Y173" i="1"/>
  <c r="AA173" i="1" s="1"/>
  <c r="Y172" i="1"/>
  <c r="AA172" i="1" s="1"/>
  <c r="Y171" i="1"/>
  <c r="AA171" i="1" s="1"/>
  <c r="Y170" i="1"/>
  <c r="AA170" i="1" s="1"/>
  <c r="Y169" i="1"/>
  <c r="AA169" i="1" s="1"/>
  <c r="Y168" i="1"/>
  <c r="AA168" i="1" s="1"/>
  <c r="Y167" i="1"/>
  <c r="AA167" i="1" s="1"/>
  <c r="Y166" i="1"/>
  <c r="AA166" i="1" s="1"/>
  <c r="Y165" i="1"/>
  <c r="AA165" i="1" s="1"/>
  <c r="Y164" i="1"/>
  <c r="AA164" i="1" s="1"/>
  <c r="Y163" i="1"/>
  <c r="AA163" i="1" s="1"/>
  <c r="Y162" i="1"/>
  <c r="AA162" i="1" s="1"/>
  <c r="Y161" i="1"/>
  <c r="AA161" i="1" s="1"/>
  <c r="Y160" i="1"/>
  <c r="AA160" i="1" s="1"/>
  <c r="Y159" i="1"/>
  <c r="AA159" i="1" s="1"/>
  <c r="Y158" i="1"/>
  <c r="AA158" i="1" s="1"/>
  <c r="Y157" i="1"/>
  <c r="AA157" i="1" s="1"/>
  <c r="Y156" i="1"/>
  <c r="AA156" i="1" s="1"/>
  <c r="Y155" i="1"/>
  <c r="AA155" i="1" s="1"/>
  <c r="Y154" i="1"/>
  <c r="AA154" i="1" s="1"/>
  <c r="Y153" i="1"/>
  <c r="AA153" i="1" s="1"/>
  <c r="Y152" i="1"/>
  <c r="AA152" i="1" s="1"/>
  <c r="Y151" i="1"/>
  <c r="AA151" i="1" s="1"/>
  <c r="Y150" i="1"/>
  <c r="AA150" i="1" s="1"/>
  <c r="Y149" i="1"/>
  <c r="AA149" i="1" s="1"/>
  <c r="Y148" i="1"/>
  <c r="AA148" i="1" s="1"/>
  <c r="Y147" i="1"/>
  <c r="AA147" i="1" s="1"/>
  <c r="Y146" i="1"/>
  <c r="AA146" i="1" s="1"/>
  <c r="Y145" i="1"/>
  <c r="AA145" i="1" s="1"/>
  <c r="Y144" i="1"/>
  <c r="AA144" i="1" s="1"/>
  <c r="Y143" i="1"/>
  <c r="AA143" i="1" s="1"/>
  <c r="Y142" i="1"/>
  <c r="AA142" i="1" s="1"/>
  <c r="Y141" i="1"/>
  <c r="AA141" i="1" s="1"/>
  <c r="Y140" i="1"/>
  <c r="AA140" i="1" s="1"/>
  <c r="Y139" i="1"/>
  <c r="AA139" i="1" s="1"/>
  <c r="Y138" i="1"/>
  <c r="AA138" i="1" s="1"/>
  <c r="Y137" i="1"/>
  <c r="AA137" i="1" s="1"/>
  <c r="Y136" i="1"/>
  <c r="AA136" i="1" s="1"/>
  <c r="Y135" i="1"/>
  <c r="AA135" i="1" s="1"/>
  <c r="Y134" i="1"/>
  <c r="AA134" i="1" s="1"/>
  <c r="Y133" i="1"/>
  <c r="AA133" i="1" s="1"/>
  <c r="Y132" i="1"/>
  <c r="AA132" i="1" s="1"/>
  <c r="Y131" i="1"/>
  <c r="AA131" i="1" s="1"/>
  <c r="Y130" i="1"/>
  <c r="AA130" i="1" s="1"/>
  <c r="Y129" i="1"/>
  <c r="AA129" i="1" s="1"/>
  <c r="Y128" i="1"/>
  <c r="AA128" i="1" s="1"/>
  <c r="Y127" i="1"/>
  <c r="AA127" i="1" s="1"/>
  <c r="Y126" i="1"/>
  <c r="AA126" i="1" s="1"/>
  <c r="Y125" i="1"/>
  <c r="AA125" i="1" s="1"/>
  <c r="Y124" i="1"/>
  <c r="AA124" i="1" s="1"/>
  <c r="Y123" i="1"/>
  <c r="AA123" i="1" s="1"/>
  <c r="Y122" i="1"/>
  <c r="AA122" i="1" s="1"/>
  <c r="Y121" i="1"/>
  <c r="AA121" i="1" s="1"/>
  <c r="Y120" i="1"/>
  <c r="AA120" i="1" s="1"/>
  <c r="Y119" i="1"/>
  <c r="AA119" i="1" s="1"/>
  <c r="Y118" i="1"/>
  <c r="AA118" i="1" s="1"/>
  <c r="Y117" i="1"/>
  <c r="AA117" i="1" s="1"/>
  <c r="Y116" i="1"/>
  <c r="AA116" i="1" s="1"/>
  <c r="Y115" i="1"/>
  <c r="AA115" i="1" s="1"/>
  <c r="Y114" i="1"/>
  <c r="AA114" i="1" s="1"/>
  <c r="Y113" i="1"/>
  <c r="AA113" i="1" s="1"/>
  <c r="Y112" i="1"/>
  <c r="AA112" i="1" s="1"/>
  <c r="Y111" i="1"/>
  <c r="AA111" i="1" s="1"/>
  <c r="Y110" i="1"/>
  <c r="AA110" i="1" s="1"/>
  <c r="Y109" i="1"/>
  <c r="AA109" i="1" s="1"/>
  <c r="Y108" i="1"/>
  <c r="AA108" i="1" s="1"/>
  <c r="Y107" i="1"/>
  <c r="AA107" i="1" s="1"/>
  <c r="Y106" i="1"/>
  <c r="AA106" i="1" s="1"/>
  <c r="Y105" i="1"/>
  <c r="AA105" i="1" s="1"/>
  <c r="Y104" i="1"/>
  <c r="AA104" i="1" s="1"/>
  <c r="Y103" i="1"/>
  <c r="AA103" i="1" s="1"/>
  <c r="Y102" i="1"/>
  <c r="AA102" i="1" s="1"/>
  <c r="Y101" i="1"/>
  <c r="AA101" i="1" s="1"/>
  <c r="Y100" i="1"/>
  <c r="AA100" i="1" s="1"/>
  <c r="Y99" i="1"/>
  <c r="AA99" i="1" s="1"/>
  <c r="Y98" i="1"/>
  <c r="AA98" i="1" s="1"/>
  <c r="Y97" i="1"/>
  <c r="AA97" i="1" s="1"/>
  <c r="Y96" i="1"/>
  <c r="AA96" i="1" s="1"/>
  <c r="Y95" i="1"/>
  <c r="AA95" i="1" s="1"/>
  <c r="Y94" i="1"/>
  <c r="AA94" i="1" s="1"/>
  <c r="Y93" i="1"/>
  <c r="AA93" i="1" s="1"/>
  <c r="Y92" i="1"/>
  <c r="AA92" i="1" s="1"/>
  <c r="Y91" i="1"/>
  <c r="AA91" i="1" s="1"/>
  <c r="Y90" i="1"/>
  <c r="AA90" i="1" s="1"/>
  <c r="Y89" i="1"/>
  <c r="AA89" i="1" s="1"/>
  <c r="Y88" i="1"/>
  <c r="AA88" i="1" s="1"/>
  <c r="Y87" i="1"/>
  <c r="AA87" i="1" s="1"/>
  <c r="Y86" i="1"/>
  <c r="AA86" i="1" s="1"/>
  <c r="Y85" i="1"/>
  <c r="AA85" i="1" s="1"/>
  <c r="Y84" i="1"/>
  <c r="AA84" i="1" s="1"/>
  <c r="Y83" i="1"/>
  <c r="AA83" i="1" s="1"/>
  <c r="Y82" i="1"/>
  <c r="AA82" i="1" s="1"/>
  <c r="Y81" i="1"/>
  <c r="AA81" i="1" s="1"/>
  <c r="Y80" i="1"/>
  <c r="AA80" i="1" s="1"/>
  <c r="Y79" i="1"/>
  <c r="AA79" i="1" s="1"/>
  <c r="Y78" i="1"/>
  <c r="AA78" i="1" s="1"/>
  <c r="Y77" i="1"/>
  <c r="AA77" i="1" s="1"/>
  <c r="Y76" i="1"/>
  <c r="AA76" i="1" s="1"/>
  <c r="Y75" i="1"/>
  <c r="AA75" i="1" s="1"/>
  <c r="Y74" i="1"/>
  <c r="AA74" i="1" s="1"/>
  <c r="Y73" i="1"/>
  <c r="AA73" i="1" s="1"/>
  <c r="Y72" i="1"/>
  <c r="AA72" i="1" s="1"/>
  <c r="Y71" i="1"/>
  <c r="AA71" i="1" s="1"/>
  <c r="Y70" i="1"/>
  <c r="AA70" i="1" s="1"/>
  <c r="Y69" i="1"/>
  <c r="AA69" i="1" s="1"/>
  <c r="Y68" i="1"/>
  <c r="AA68" i="1" s="1"/>
  <c r="Y67" i="1"/>
  <c r="AA67" i="1" s="1"/>
  <c r="Y66" i="1"/>
  <c r="AA66" i="1" s="1"/>
  <c r="Y65" i="1"/>
  <c r="AA65" i="1" s="1"/>
  <c r="Y64" i="1"/>
  <c r="AA64" i="1" s="1"/>
  <c r="Y63" i="1"/>
  <c r="AA63" i="1" s="1"/>
  <c r="Y62" i="1"/>
  <c r="AA62" i="1" s="1"/>
  <c r="Y61" i="1"/>
  <c r="AA61" i="1" s="1"/>
  <c r="Y60" i="1"/>
  <c r="AA60" i="1" s="1"/>
  <c r="Y59" i="1"/>
  <c r="AA59" i="1" s="1"/>
  <c r="Y58" i="1"/>
  <c r="AA58" i="1" s="1"/>
  <c r="Y57" i="1"/>
  <c r="AA57" i="1" s="1"/>
  <c r="Y56" i="1"/>
  <c r="AA56" i="1" s="1"/>
  <c r="Y55" i="1"/>
  <c r="AA55" i="1" s="1"/>
  <c r="Y54" i="1"/>
  <c r="AA54" i="1" s="1"/>
  <c r="Y53" i="1"/>
  <c r="AA53" i="1" s="1"/>
  <c r="Y52" i="1"/>
  <c r="AA52" i="1" s="1"/>
  <c r="Y51" i="1"/>
  <c r="AA51" i="1" s="1"/>
  <c r="Y50" i="1"/>
  <c r="AA50" i="1" s="1"/>
  <c r="Y49" i="1"/>
  <c r="AA49" i="1" s="1"/>
  <c r="Y48" i="1"/>
  <c r="AA48" i="1" s="1"/>
  <c r="Y47" i="1"/>
  <c r="AA47" i="1" s="1"/>
  <c r="Y46" i="1"/>
  <c r="AA46" i="1" s="1"/>
  <c r="Y45" i="1"/>
  <c r="AA45" i="1" s="1"/>
  <c r="Y44" i="1"/>
  <c r="AA44" i="1" s="1"/>
  <c r="Y43" i="1"/>
  <c r="AA43" i="1" s="1"/>
  <c r="Y42" i="1"/>
  <c r="AA42" i="1" s="1"/>
  <c r="Y41" i="1"/>
  <c r="AA41" i="1" s="1"/>
  <c r="Y40" i="1"/>
  <c r="AA40" i="1" s="1"/>
  <c r="Y39" i="1"/>
  <c r="AA39" i="1" s="1"/>
  <c r="Y38" i="1"/>
  <c r="AA38" i="1" s="1"/>
  <c r="Y37" i="1"/>
  <c r="AA37" i="1" s="1"/>
  <c r="Y36" i="1"/>
  <c r="AA36" i="1" s="1"/>
  <c r="Y35" i="1"/>
  <c r="AA35" i="1" s="1"/>
  <c r="Y34" i="1"/>
  <c r="AA34" i="1" s="1"/>
  <c r="Y33" i="1"/>
  <c r="AA33" i="1" s="1"/>
  <c r="Y32" i="1"/>
  <c r="AA32" i="1" s="1"/>
  <c r="Y31" i="1"/>
  <c r="AA31" i="1" s="1"/>
  <c r="Y30" i="1"/>
  <c r="AA30" i="1" s="1"/>
  <c r="Y29" i="1"/>
  <c r="AA29" i="1" s="1"/>
  <c r="Y28" i="1"/>
  <c r="AA28" i="1" s="1"/>
  <c r="Y27" i="1"/>
  <c r="AA27" i="1" s="1"/>
  <c r="Y26" i="1"/>
  <c r="AA26" i="1" s="1"/>
  <c r="Y25" i="1"/>
  <c r="AA25" i="1" s="1"/>
  <c r="Y24" i="1"/>
  <c r="AA24" i="1" s="1"/>
  <c r="Y23" i="1"/>
  <c r="AA23" i="1" s="1"/>
  <c r="Y22" i="1"/>
  <c r="AA22" i="1" s="1"/>
  <c r="Y21" i="1"/>
  <c r="AA21" i="1" s="1"/>
  <c r="Y20" i="1"/>
  <c r="AA20" i="1" s="1"/>
  <c r="Y19" i="1"/>
  <c r="AA19" i="1" s="1"/>
  <c r="Y18" i="1"/>
  <c r="AA18" i="1" s="1"/>
  <c r="Y17" i="1"/>
  <c r="AA17" i="1" s="1"/>
  <c r="Y16" i="1"/>
  <c r="AA16" i="1" s="1"/>
  <c r="Y15" i="1"/>
  <c r="AA15" i="1" s="1"/>
  <c r="Y14" i="1"/>
  <c r="AA14" i="1" s="1"/>
  <c r="Y13" i="1"/>
  <c r="AA13" i="1" s="1"/>
  <c r="Y12" i="1"/>
  <c r="AA12" i="1" s="1"/>
  <c r="Y11" i="1"/>
  <c r="AA11" i="1" s="1"/>
  <c r="Y10" i="1"/>
  <c r="AA10" i="1" s="1"/>
  <c r="Y9" i="1"/>
  <c r="AA9" i="1" s="1"/>
  <c r="Y8" i="1"/>
  <c r="AA8" i="1" s="1"/>
  <c r="Y7" i="1"/>
  <c r="AA7" i="1" s="1"/>
  <c r="Y6" i="1"/>
  <c r="AA6" i="1" s="1"/>
  <c r="Y5" i="1"/>
  <c r="AA5" i="1" s="1"/>
  <c r="Y4" i="1"/>
  <c r="AA4" i="1" s="1"/>
  <c r="AU7" i="1" s="1"/>
  <c r="AU8" i="1" l="1"/>
  <c r="AN955" i="1"/>
  <c r="AQ955" i="1" s="1"/>
  <c r="AN1941" i="1"/>
  <c r="AN1256" i="1"/>
  <c r="AN1292" i="1"/>
  <c r="AN1352" i="1"/>
  <c r="AN1376" i="1"/>
  <c r="AN1496" i="1"/>
  <c r="AN1532" i="1"/>
  <c r="AN1724" i="1"/>
  <c r="AN1844" i="1"/>
  <c r="AN1856" i="1"/>
  <c r="AN1928" i="1"/>
  <c r="AN1940" i="1"/>
  <c r="AN2012" i="1"/>
  <c r="AN2108" i="1"/>
  <c r="AN35" i="1"/>
  <c r="AQ35" i="1" s="1"/>
  <c r="AN83" i="1"/>
  <c r="AQ83" i="1" s="1"/>
  <c r="AN167" i="1"/>
  <c r="AQ167" i="1" s="1"/>
  <c r="AN191" i="1"/>
  <c r="AQ191" i="1" s="1"/>
  <c r="AN203" i="1"/>
  <c r="AQ203" i="1" s="1"/>
  <c r="AN227" i="1"/>
  <c r="AQ227" i="1" s="1"/>
  <c r="AN395" i="1"/>
  <c r="AQ395" i="1" s="1"/>
  <c r="AN419" i="1"/>
  <c r="AQ419" i="1" s="1"/>
  <c r="AN455" i="1"/>
  <c r="AQ455" i="1" s="1"/>
  <c r="AN515" i="1"/>
  <c r="AQ515" i="1" s="1"/>
  <c r="AN587" i="1"/>
  <c r="AQ587" i="1" s="1"/>
  <c r="AN599" i="1"/>
  <c r="AQ599" i="1" s="1"/>
  <c r="AN611" i="1"/>
  <c r="AQ611" i="1" s="1"/>
  <c r="AN647" i="1"/>
  <c r="AQ647" i="1" s="1"/>
  <c r="AN779" i="1"/>
  <c r="AQ779" i="1" s="1"/>
  <c r="AN803" i="1"/>
  <c r="AQ803" i="1" s="1"/>
  <c r="AN875" i="1"/>
  <c r="AQ875" i="1" s="1"/>
  <c r="AN899" i="1"/>
  <c r="AQ899" i="1" s="1"/>
  <c r="AN911" i="1"/>
  <c r="AQ911" i="1" s="1"/>
  <c r="AN923" i="1"/>
  <c r="AQ923" i="1" s="1"/>
  <c r="AN959" i="1"/>
  <c r="AQ959" i="1" s="1"/>
  <c r="AN995" i="1"/>
  <c r="AQ995" i="1" s="1"/>
  <c r="AN1079" i="1"/>
  <c r="AQ1079" i="1" s="1"/>
  <c r="AN1091" i="1"/>
  <c r="AQ1091" i="1" s="1"/>
  <c r="AN1151" i="1"/>
  <c r="AQ1151" i="1" s="1"/>
  <c r="AB15" i="1"/>
  <c r="AP15" i="1" s="1"/>
  <c r="AB27" i="1"/>
  <c r="AP27" i="1" s="1"/>
  <c r="AB51" i="1"/>
  <c r="AP51" i="1" s="1"/>
  <c r="AB63" i="1"/>
  <c r="AP63" i="1" s="1"/>
  <c r="AB75" i="1"/>
  <c r="AP75" i="1" s="1"/>
  <c r="AB87" i="1"/>
  <c r="AP87" i="1" s="1"/>
  <c r="AB99" i="1"/>
  <c r="AP99" i="1" s="1"/>
  <c r="AB111" i="1"/>
  <c r="AP111" i="1" s="1"/>
  <c r="AB123" i="1"/>
  <c r="AP123" i="1" s="1"/>
  <c r="AB135" i="1"/>
  <c r="AP135" i="1" s="1"/>
  <c r="AB147" i="1"/>
  <c r="AP147" i="1" s="1"/>
  <c r="AB159" i="1"/>
  <c r="AP159" i="1" s="1"/>
  <c r="AB171" i="1"/>
  <c r="AP171" i="1" s="1"/>
  <c r="AB183" i="1"/>
  <c r="AP183" i="1" s="1"/>
  <c r="AB195" i="1"/>
  <c r="AP195" i="1" s="1"/>
  <c r="AB207" i="1"/>
  <c r="AP207" i="1" s="1"/>
  <c r="AB219" i="1"/>
  <c r="AP219" i="1" s="1"/>
  <c r="AB231" i="1"/>
  <c r="AP231" i="1" s="1"/>
  <c r="AB243" i="1"/>
  <c r="AP243" i="1" s="1"/>
  <c r="AB255" i="1"/>
  <c r="AP255" i="1" s="1"/>
  <c r="AB267" i="1"/>
  <c r="AP267" i="1" s="1"/>
  <c r="AB279" i="1"/>
  <c r="AP279" i="1" s="1"/>
  <c r="AB291" i="1"/>
  <c r="AP291" i="1" s="1"/>
  <c r="AB303" i="1"/>
  <c r="AP303" i="1" s="1"/>
  <c r="AB315" i="1"/>
  <c r="AP315" i="1" s="1"/>
  <c r="AB327" i="1"/>
  <c r="AP327" i="1" s="1"/>
  <c r="AB339" i="1"/>
  <c r="AP339" i="1" s="1"/>
  <c r="AB351" i="1"/>
  <c r="AP351" i="1" s="1"/>
  <c r="AB363" i="1"/>
  <c r="AP363" i="1" s="1"/>
  <c r="AB375" i="1"/>
  <c r="AP375" i="1" s="1"/>
  <c r="AB387" i="1"/>
  <c r="AP387" i="1" s="1"/>
  <c r="AB399" i="1"/>
  <c r="AP399" i="1" s="1"/>
  <c r="AB411" i="1"/>
  <c r="AP411" i="1" s="1"/>
  <c r="AB423" i="1"/>
  <c r="AP423" i="1" s="1"/>
  <c r="AB435" i="1"/>
  <c r="AP435" i="1" s="1"/>
  <c r="AB447" i="1"/>
  <c r="AP447" i="1" s="1"/>
  <c r="AB459" i="1"/>
  <c r="AP459" i="1" s="1"/>
  <c r="AB471" i="1"/>
  <c r="AP471" i="1" s="1"/>
  <c r="AB483" i="1"/>
  <c r="AP483" i="1" s="1"/>
  <c r="AB507" i="1"/>
  <c r="AP507" i="1" s="1"/>
  <c r="AB519" i="1"/>
  <c r="AP519" i="1" s="1"/>
  <c r="AB531" i="1"/>
  <c r="AP531" i="1" s="1"/>
  <c r="AB543" i="1"/>
  <c r="AP543" i="1" s="1"/>
  <c r="AB555" i="1"/>
  <c r="AP555" i="1" s="1"/>
  <c r="AB567" i="1"/>
  <c r="AP567" i="1" s="1"/>
  <c r="AB579" i="1"/>
  <c r="AP579" i="1" s="1"/>
  <c r="AB591" i="1"/>
  <c r="AP591" i="1" s="1"/>
  <c r="AB603" i="1"/>
  <c r="AP603" i="1" s="1"/>
  <c r="AB615" i="1"/>
  <c r="AP615" i="1" s="1"/>
  <c r="AB627" i="1"/>
  <c r="AP627" i="1" s="1"/>
  <c r="AB675" i="1"/>
  <c r="AP675" i="1" s="1"/>
  <c r="AB735" i="1"/>
  <c r="AP735" i="1" s="1"/>
  <c r="AB795" i="1"/>
  <c r="AP795" i="1" s="1"/>
  <c r="AB945" i="1"/>
  <c r="AP945" i="1" s="1"/>
  <c r="AB1149" i="1"/>
  <c r="AP1149" i="1" s="1"/>
  <c r="AN1303" i="1"/>
  <c r="AN1543" i="1"/>
  <c r="AN372" i="1"/>
  <c r="AQ372" i="1" s="1"/>
  <c r="AN1413" i="1"/>
  <c r="AN1521" i="1"/>
  <c r="AB5" i="1"/>
  <c r="AP5" i="1" s="1"/>
  <c r="AB17" i="1"/>
  <c r="AP17" i="1" s="1"/>
  <c r="AB29" i="1"/>
  <c r="AP29" i="1" s="1"/>
  <c r="AB41" i="1"/>
  <c r="AP41" i="1" s="1"/>
  <c r="AB65" i="1"/>
  <c r="AP65" i="1" s="1"/>
  <c r="AB77" i="1"/>
  <c r="AP77" i="1" s="1"/>
  <c r="AB89" i="1"/>
  <c r="AP89" i="1" s="1"/>
  <c r="AB101" i="1"/>
  <c r="AP101" i="1" s="1"/>
  <c r="AB113" i="1"/>
  <c r="AP113" i="1" s="1"/>
  <c r="AB125" i="1"/>
  <c r="AP125" i="1" s="1"/>
  <c r="AB137" i="1"/>
  <c r="AP137" i="1" s="1"/>
  <c r="AB149" i="1"/>
  <c r="AP149" i="1" s="1"/>
  <c r="AB161" i="1"/>
  <c r="AP161" i="1" s="1"/>
  <c r="AB173" i="1"/>
  <c r="AP173" i="1" s="1"/>
  <c r="AB197" i="1"/>
  <c r="AP197" i="1" s="1"/>
  <c r="AB209" i="1"/>
  <c r="AP209" i="1" s="1"/>
  <c r="AB221" i="1"/>
  <c r="AP221" i="1" s="1"/>
  <c r="AB233" i="1"/>
  <c r="AP233" i="1" s="1"/>
  <c r="AB245" i="1"/>
  <c r="AP245" i="1" s="1"/>
  <c r="AB257" i="1"/>
  <c r="AP257" i="1" s="1"/>
  <c r="AB269" i="1"/>
  <c r="AP269" i="1" s="1"/>
  <c r="AB281" i="1"/>
  <c r="AP281" i="1" s="1"/>
  <c r="AB293" i="1"/>
  <c r="AP293" i="1" s="1"/>
  <c r="AB305" i="1"/>
  <c r="AP305" i="1" s="1"/>
  <c r="AB317" i="1"/>
  <c r="AP317" i="1" s="1"/>
  <c r="AB329" i="1"/>
  <c r="AP329" i="1" s="1"/>
  <c r="AB341" i="1"/>
  <c r="AP341" i="1" s="1"/>
  <c r="AB353" i="1"/>
  <c r="AP353" i="1" s="1"/>
  <c r="AB365" i="1"/>
  <c r="AP365" i="1" s="1"/>
  <c r="AB377" i="1"/>
  <c r="AP377" i="1" s="1"/>
  <c r="AB389" i="1"/>
  <c r="AP389" i="1" s="1"/>
  <c r="AB401" i="1"/>
  <c r="AP401" i="1" s="1"/>
  <c r="AB413" i="1"/>
  <c r="AP413" i="1" s="1"/>
  <c r="AB425" i="1"/>
  <c r="AP425" i="1" s="1"/>
  <c r="AB437" i="1"/>
  <c r="AP437" i="1" s="1"/>
  <c r="AB449" i="1"/>
  <c r="AP449" i="1" s="1"/>
  <c r="AB461" i="1"/>
  <c r="AP461" i="1" s="1"/>
  <c r="AB473" i="1"/>
  <c r="AP473" i="1" s="1"/>
  <c r="AB497" i="1"/>
  <c r="AP497" i="1" s="1"/>
  <c r="AB509" i="1"/>
  <c r="AP509" i="1" s="1"/>
  <c r="AB521" i="1"/>
  <c r="AP521" i="1" s="1"/>
  <c r="AB533" i="1"/>
  <c r="AP533" i="1" s="1"/>
  <c r="AB545" i="1"/>
  <c r="AP545" i="1" s="1"/>
  <c r="AB557" i="1"/>
  <c r="AP557" i="1" s="1"/>
  <c r="AB581" i="1"/>
  <c r="AP581" i="1" s="1"/>
  <c r="AB593" i="1"/>
  <c r="AP593" i="1" s="1"/>
  <c r="AB605" i="1"/>
  <c r="AP605" i="1" s="1"/>
  <c r="AB617" i="1"/>
  <c r="AP617" i="1" s="1"/>
  <c r="AB629" i="1"/>
  <c r="AP629" i="1" s="1"/>
  <c r="AB641" i="1"/>
  <c r="AP641" i="1" s="1"/>
  <c r="AB653" i="1"/>
  <c r="AP653" i="1" s="1"/>
  <c r="AB665" i="1"/>
  <c r="AP665" i="1" s="1"/>
  <c r="AB677" i="1"/>
  <c r="AP677" i="1" s="1"/>
  <c r="AB689" i="1"/>
  <c r="AP689" i="1" s="1"/>
  <c r="AN629" i="1"/>
  <c r="AQ629" i="1" s="1"/>
  <c r="AN665" i="1"/>
  <c r="AQ665" i="1" s="1"/>
  <c r="AN725" i="1"/>
  <c r="AQ725" i="1" s="1"/>
  <c r="AN845" i="1"/>
  <c r="AQ845" i="1" s="1"/>
  <c r="AN857" i="1"/>
  <c r="AQ857" i="1" s="1"/>
  <c r="AN893" i="1"/>
  <c r="AQ893" i="1" s="1"/>
  <c r="AN929" i="1"/>
  <c r="AQ929" i="1" s="1"/>
  <c r="AN941" i="1"/>
  <c r="AQ941" i="1" s="1"/>
  <c r="AN953" i="1"/>
  <c r="AQ953" i="1" s="1"/>
  <c r="AN989" i="1"/>
  <c r="AQ989" i="1" s="1"/>
  <c r="AN1001" i="1"/>
  <c r="AQ1001" i="1" s="1"/>
  <c r="AN1049" i="1"/>
  <c r="AQ1049" i="1" s="1"/>
  <c r="AN1073" i="1"/>
  <c r="AQ1073" i="1" s="1"/>
  <c r="AN1109" i="1"/>
  <c r="AQ1109" i="1" s="1"/>
  <c r="AN1121" i="1"/>
  <c r="AQ1121" i="1" s="1"/>
  <c r="AN1181" i="1"/>
  <c r="AQ1181" i="1" s="1"/>
  <c r="AN1193" i="1"/>
  <c r="AQ1193" i="1" s="1"/>
  <c r="AN1205" i="1"/>
  <c r="AQ1205" i="1" s="1"/>
  <c r="AN1229" i="1"/>
  <c r="AQ1229" i="1" s="1"/>
  <c r="AN1365" i="1"/>
  <c r="AN1617" i="1"/>
  <c r="AN2085" i="1"/>
  <c r="AN2193" i="1"/>
  <c r="AB7" i="1"/>
  <c r="AP7" i="1" s="1"/>
  <c r="AB19" i="1"/>
  <c r="AP19" i="1" s="1"/>
  <c r="AB43" i="1"/>
  <c r="AP43" i="1" s="1"/>
  <c r="AB55" i="1"/>
  <c r="AP55" i="1" s="1"/>
  <c r="AB103" i="1"/>
  <c r="AP103" i="1" s="1"/>
  <c r="AB151" i="1"/>
  <c r="AP151" i="1" s="1"/>
  <c r="AB403" i="1"/>
  <c r="AP403" i="1" s="1"/>
  <c r="AB451" i="1"/>
  <c r="AP451" i="1" s="1"/>
  <c r="AB463" i="1"/>
  <c r="AP463" i="1" s="1"/>
  <c r="AB499" i="1"/>
  <c r="AP499" i="1" s="1"/>
  <c r="AB631" i="1"/>
  <c r="AP631" i="1" s="1"/>
  <c r="AB655" i="1"/>
  <c r="AP655" i="1" s="1"/>
  <c r="AB667" i="1"/>
  <c r="AP667" i="1" s="1"/>
  <c r="AB679" i="1"/>
  <c r="AP679" i="1" s="1"/>
  <c r="AB727" i="1"/>
  <c r="AP727" i="1" s="1"/>
  <c r="AB751" i="1"/>
  <c r="AP751" i="1" s="1"/>
  <c r="AB763" i="1"/>
  <c r="AP763" i="1" s="1"/>
  <c r="AB799" i="1"/>
  <c r="AP799" i="1" s="1"/>
  <c r="AB811" i="1"/>
  <c r="AP811" i="1" s="1"/>
  <c r="AB823" i="1"/>
  <c r="AP823" i="1" s="1"/>
  <c r="AB835" i="1"/>
  <c r="AP835" i="1" s="1"/>
  <c r="AB859" i="1"/>
  <c r="AP859" i="1" s="1"/>
  <c r="AB943" i="1"/>
  <c r="AP943" i="1" s="1"/>
  <c r="AB967" i="1"/>
  <c r="AP967" i="1" s="1"/>
  <c r="AB979" i="1"/>
  <c r="AP979" i="1" s="1"/>
  <c r="AB1003" i="1"/>
  <c r="AP1003" i="1" s="1"/>
  <c r="AB1015" i="1"/>
  <c r="AP1015" i="1" s="1"/>
  <c r="AB1027" i="1"/>
  <c r="AP1027" i="1" s="1"/>
  <c r="AB1075" i="1"/>
  <c r="AP1075" i="1" s="1"/>
  <c r="AB1147" i="1"/>
  <c r="AP1147" i="1" s="1"/>
  <c r="AB1159" i="1"/>
  <c r="AP1159" i="1" s="1"/>
  <c r="AB1171" i="1"/>
  <c r="AP1171" i="1" s="1"/>
  <c r="AB1183" i="1"/>
  <c r="AP1183" i="1" s="1"/>
  <c r="AB1195" i="1"/>
  <c r="AP1195" i="1" s="1"/>
  <c r="AB1207" i="1"/>
  <c r="AP1207" i="1" s="1"/>
  <c r="AN1597" i="1"/>
  <c r="AN1777" i="1"/>
  <c r="AN1705" i="1"/>
  <c r="AN1241" i="1"/>
  <c r="AN1313" i="1"/>
  <c r="AN1961" i="1"/>
  <c r="AN1973" i="1"/>
  <c r="AN1985" i="1"/>
  <c r="AN1997" i="1"/>
  <c r="AN2009" i="1"/>
  <c r="AN2021" i="1"/>
  <c r="AN2033" i="1"/>
  <c r="AN2045" i="1"/>
  <c r="AN2057" i="1"/>
  <c r="AN2069" i="1"/>
  <c r="AN2081" i="1"/>
  <c r="AN2093" i="1"/>
  <c r="AN2105" i="1"/>
  <c r="AN2117" i="1"/>
  <c r="AN2129" i="1"/>
  <c r="AN2141" i="1"/>
  <c r="AN2153" i="1"/>
  <c r="AN2165" i="1"/>
  <c r="AN2177" i="1"/>
  <c r="AN2189" i="1"/>
  <c r="AN2201" i="1"/>
  <c r="AN2213" i="1"/>
  <c r="AN1116" i="1"/>
  <c r="AQ1116" i="1" s="1"/>
  <c r="AN1224" i="1"/>
  <c r="AQ1224" i="1" s="1"/>
  <c r="AN1236" i="1"/>
  <c r="AQ1236" i="1" s="1"/>
  <c r="AB884" i="1"/>
  <c r="AP884" i="1" s="1"/>
  <c r="AB1208" i="1"/>
  <c r="AP1208" i="1" s="1"/>
  <c r="AN1239" i="1"/>
  <c r="AN1251" i="1"/>
  <c r="AN1300" i="1"/>
  <c r="AN1272" i="1"/>
  <c r="AN1308" i="1"/>
  <c r="AN1320" i="1"/>
  <c r="AN1332" i="1"/>
  <c r="AN1368" i="1"/>
  <c r="AN1392" i="1"/>
  <c r="AN1416" i="1"/>
  <c r="AN1428" i="1"/>
  <c r="AN1440" i="1"/>
  <c r="AN1464" i="1"/>
  <c r="AN1476" i="1"/>
  <c r="AN1488" i="1"/>
  <c r="AN1548" i="1"/>
  <c r="AN1596" i="1"/>
  <c r="AN1620" i="1"/>
  <c r="AN1632" i="1"/>
  <c r="AN1704" i="1"/>
  <c r="AN1740" i="1"/>
  <c r="AN1776" i="1"/>
  <c r="AN1800" i="1"/>
  <c r="AN1836" i="1"/>
  <c r="AN1872" i="1"/>
  <c r="AN1896" i="1"/>
  <c r="AN1908" i="1"/>
  <c r="AN1992" i="1"/>
  <c r="AN2016" i="1"/>
  <c r="AN2028" i="1"/>
  <c r="AN2064" i="1"/>
  <c r="AN2148" i="1"/>
  <c r="AN2160" i="1"/>
  <c r="AN2172" i="1"/>
  <c r="AN2184" i="1"/>
  <c r="AN2196" i="1"/>
  <c r="AN2208" i="1"/>
  <c r="AN2220" i="1"/>
  <c r="AN34" i="1"/>
  <c r="AQ34" i="1" s="1"/>
  <c r="AN46" i="1"/>
  <c r="AQ46" i="1" s="1"/>
  <c r="AN58" i="1"/>
  <c r="AQ58" i="1" s="1"/>
  <c r="AN70" i="1"/>
  <c r="AQ70" i="1" s="1"/>
  <c r="AN94" i="1"/>
  <c r="AQ94" i="1" s="1"/>
  <c r="AN118" i="1"/>
  <c r="AQ118" i="1" s="1"/>
  <c r="AN130" i="1"/>
  <c r="AQ130" i="1" s="1"/>
  <c r="AN142" i="1"/>
  <c r="AQ142" i="1" s="1"/>
  <c r="AN154" i="1"/>
  <c r="AQ154" i="1" s="1"/>
  <c r="AN406" i="1"/>
  <c r="AQ406" i="1" s="1"/>
  <c r="AN430" i="1"/>
  <c r="AQ430" i="1" s="1"/>
  <c r="AN442" i="1"/>
  <c r="AQ442" i="1" s="1"/>
  <c r="AN466" i="1"/>
  <c r="AQ466" i="1" s="1"/>
  <c r="AN478" i="1"/>
  <c r="AQ478" i="1" s="1"/>
  <c r="AN490" i="1"/>
  <c r="AQ490" i="1" s="1"/>
  <c r="AN514" i="1"/>
  <c r="AQ514" i="1" s="1"/>
  <c r="AN526" i="1"/>
  <c r="AQ526" i="1" s="1"/>
  <c r="AN574" i="1"/>
  <c r="AQ574" i="1" s="1"/>
  <c r="AN598" i="1"/>
  <c r="AQ598" i="1" s="1"/>
  <c r="AN622" i="1"/>
  <c r="AQ622" i="1" s="1"/>
  <c r="AN634" i="1"/>
  <c r="AQ634" i="1" s="1"/>
  <c r="AN658" i="1"/>
  <c r="AQ658" i="1" s="1"/>
  <c r="AN670" i="1"/>
  <c r="AQ670" i="1" s="1"/>
  <c r="AN682" i="1"/>
  <c r="AQ682" i="1" s="1"/>
  <c r="AN706" i="1"/>
  <c r="AQ706" i="1" s="1"/>
  <c r="AN718" i="1"/>
  <c r="AQ718" i="1" s="1"/>
  <c r="AN766" i="1"/>
  <c r="AQ766" i="1" s="1"/>
  <c r="AN790" i="1"/>
  <c r="AQ790" i="1" s="1"/>
  <c r="AN814" i="1"/>
  <c r="AQ814" i="1" s="1"/>
  <c r="AN826" i="1"/>
  <c r="AQ826" i="1" s="1"/>
  <c r="AN838" i="1"/>
  <c r="AQ838" i="1" s="1"/>
  <c r="AN850" i="1"/>
  <c r="AQ850" i="1" s="1"/>
  <c r="AN862" i="1"/>
  <c r="AQ862" i="1" s="1"/>
  <c r="AN886" i="1"/>
  <c r="AQ886" i="1" s="1"/>
  <c r="AN898" i="1"/>
  <c r="AQ898" i="1" s="1"/>
  <c r="AN910" i="1"/>
  <c r="AQ910" i="1" s="1"/>
  <c r="AN934" i="1"/>
  <c r="AQ934" i="1" s="1"/>
  <c r="AN946" i="1"/>
  <c r="AQ946" i="1" s="1"/>
  <c r="AN958" i="1"/>
  <c r="AQ958" i="1" s="1"/>
  <c r="AN982" i="1"/>
  <c r="AQ982" i="1" s="1"/>
  <c r="AN1006" i="1"/>
  <c r="AQ1006" i="1" s="1"/>
  <c r="AN1018" i="1"/>
  <c r="AQ1018" i="1" s="1"/>
  <c r="AN1030" i="1"/>
  <c r="AQ1030" i="1" s="1"/>
  <c r="AN1042" i="1"/>
  <c r="AQ1042" i="1" s="1"/>
  <c r="AN1054" i="1"/>
  <c r="AQ1054" i="1" s="1"/>
  <c r="AN1066" i="1"/>
  <c r="AQ1066" i="1" s="1"/>
  <c r="AN1102" i="1"/>
  <c r="AQ1102" i="1" s="1"/>
  <c r="AN1114" i="1"/>
  <c r="AQ1114" i="1" s="1"/>
  <c r="AN1126" i="1"/>
  <c r="AQ1126" i="1" s="1"/>
  <c r="AN1138" i="1"/>
  <c r="AQ1138" i="1" s="1"/>
  <c r="AN1174" i="1"/>
  <c r="AQ1174" i="1" s="1"/>
  <c r="AN1186" i="1"/>
  <c r="AQ1186" i="1" s="1"/>
  <c r="AN1210" i="1"/>
  <c r="AQ1210" i="1" s="1"/>
  <c r="AN1222" i="1"/>
  <c r="AQ1222" i="1" s="1"/>
  <c r="AN1234" i="1"/>
  <c r="AQ1234" i="1" s="1"/>
  <c r="AN1338" i="1"/>
  <c r="AN1386" i="1"/>
  <c r="AN1410" i="1"/>
  <c r="AN1494" i="1"/>
  <c r="AN1506" i="1"/>
  <c r="AN1698" i="1"/>
  <c r="AN1830" i="1"/>
  <c r="AN2010" i="1"/>
  <c r="AN2046" i="1"/>
  <c r="AN2082" i="1"/>
  <c r="AN2202" i="1"/>
  <c r="AN1963" i="1"/>
  <c r="AN234" i="1"/>
  <c r="AQ234" i="1" s="1"/>
  <c r="AN246" i="1"/>
  <c r="AQ246" i="1" s="1"/>
  <c r="AN258" i="1"/>
  <c r="AQ258" i="1" s="1"/>
  <c r="AN270" i="1"/>
  <c r="AQ270" i="1" s="1"/>
  <c r="AN282" i="1"/>
  <c r="AQ282" i="1" s="1"/>
  <c r="AN294" i="1"/>
  <c r="AQ294" i="1" s="1"/>
  <c r="AN306" i="1"/>
  <c r="AQ306" i="1" s="1"/>
  <c r="AN318" i="1"/>
  <c r="AQ318" i="1" s="1"/>
  <c r="AN330" i="1"/>
  <c r="AQ330" i="1" s="1"/>
  <c r="AN342" i="1"/>
  <c r="AQ342" i="1" s="1"/>
  <c r="AN354" i="1"/>
  <c r="AQ354" i="1" s="1"/>
  <c r="AN366" i="1"/>
  <c r="AQ366" i="1" s="1"/>
  <c r="AN378" i="1"/>
  <c r="AQ378" i="1" s="1"/>
  <c r="AN390" i="1"/>
  <c r="AQ390" i="1" s="1"/>
  <c r="AN402" i="1"/>
  <c r="AQ402" i="1" s="1"/>
  <c r="AN414" i="1"/>
  <c r="AQ414" i="1" s="1"/>
  <c r="AN426" i="1"/>
  <c r="AQ426" i="1" s="1"/>
  <c r="AN438" i="1"/>
  <c r="AQ438" i="1" s="1"/>
  <c r="AN450" i="1"/>
  <c r="AQ450" i="1" s="1"/>
  <c r="AN474" i="1"/>
  <c r="AQ474" i="1" s="1"/>
  <c r="AN486" i="1"/>
  <c r="AQ486" i="1" s="1"/>
  <c r="AN510" i="1"/>
  <c r="AQ510" i="1" s="1"/>
  <c r="AN522" i="1"/>
  <c r="AQ522" i="1" s="1"/>
  <c r="AN534" i="1"/>
  <c r="AQ534" i="1" s="1"/>
  <c r="AN558" i="1"/>
  <c r="AQ558" i="1" s="1"/>
  <c r="AN570" i="1"/>
  <c r="AQ570" i="1" s="1"/>
  <c r="AN582" i="1"/>
  <c r="AQ582" i="1" s="1"/>
  <c r="AN594" i="1"/>
  <c r="AQ594" i="1" s="1"/>
  <c r="AN606" i="1"/>
  <c r="AQ606" i="1" s="1"/>
  <c r="AN618" i="1"/>
  <c r="AQ618" i="1" s="1"/>
  <c r="AN630" i="1"/>
  <c r="AQ630" i="1" s="1"/>
  <c r="AN642" i="1"/>
  <c r="AQ642" i="1" s="1"/>
  <c r="AN666" i="1"/>
  <c r="AQ666" i="1" s="1"/>
  <c r="AN678" i="1"/>
  <c r="AQ678" i="1" s="1"/>
  <c r="AN702" i="1"/>
  <c r="AQ702" i="1" s="1"/>
  <c r="AN714" i="1"/>
  <c r="AQ714" i="1" s="1"/>
  <c r="AN726" i="1"/>
  <c r="AQ726" i="1" s="1"/>
  <c r="AN750" i="1"/>
  <c r="AQ750" i="1" s="1"/>
  <c r="AN762" i="1"/>
  <c r="AQ762" i="1" s="1"/>
  <c r="AN774" i="1"/>
  <c r="AQ774" i="1" s="1"/>
  <c r="AN786" i="1"/>
  <c r="AQ786" i="1" s="1"/>
  <c r="AN798" i="1"/>
  <c r="AQ798" i="1" s="1"/>
  <c r="AN810" i="1"/>
  <c r="AQ810" i="1" s="1"/>
  <c r="AN822" i="1"/>
  <c r="AQ822" i="1" s="1"/>
  <c r="AN834" i="1"/>
  <c r="AQ834" i="1" s="1"/>
  <c r="AN846" i="1"/>
  <c r="AQ846" i="1" s="1"/>
  <c r="AN858" i="1"/>
  <c r="AQ858" i="1" s="1"/>
  <c r="AN894" i="1"/>
  <c r="AQ894" i="1" s="1"/>
  <c r="AN906" i="1"/>
  <c r="AQ906" i="1" s="1"/>
  <c r="AN918" i="1"/>
  <c r="AQ918" i="1" s="1"/>
  <c r="AN930" i="1"/>
  <c r="AQ930" i="1" s="1"/>
  <c r="AN942" i="1"/>
  <c r="AQ942" i="1" s="1"/>
  <c r="AN966" i="1"/>
  <c r="AQ966" i="1" s="1"/>
  <c r="AN978" i="1"/>
  <c r="AQ978" i="1" s="1"/>
  <c r="AN990" i="1"/>
  <c r="AQ990" i="1" s="1"/>
  <c r="AN1002" i="1"/>
  <c r="AQ1002" i="1" s="1"/>
  <c r="AN1026" i="1"/>
  <c r="AQ1026" i="1" s="1"/>
  <c r="AN1038" i="1"/>
  <c r="AQ1038" i="1" s="1"/>
  <c r="AN1050" i="1"/>
  <c r="AQ1050" i="1" s="1"/>
  <c r="AN1062" i="1"/>
  <c r="AQ1062" i="1" s="1"/>
  <c r="AN1074" i="1"/>
  <c r="AQ1074" i="1" s="1"/>
  <c r="AN1110" i="1"/>
  <c r="AQ1110" i="1" s="1"/>
  <c r="AN1134" i="1"/>
  <c r="AQ1134" i="1" s="1"/>
  <c r="AN1158" i="1"/>
  <c r="AQ1158" i="1" s="1"/>
  <c r="AN1170" i="1"/>
  <c r="AQ1170" i="1" s="1"/>
  <c r="AN1182" i="1"/>
  <c r="AQ1182" i="1" s="1"/>
  <c r="AN1206" i="1"/>
  <c r="AQ1206" i="1" s="1"/>
  <c r="AN1230" i="1"/>
  <c r="AQ1230" i="1" s="1"/>
  <c r="AN1269" i="1"/>
  <c r="AB831" i="1"/>
  <c r="AP831" i="1" s="1"/>
  <c r="AB903" i="1"/>
  <c r="AP903" i="1" s="1"/>
  <c r="AB1035" i="1"/>
  <c r="AP1035" i="1" s="1"/>
  <c r="AB1071" i="1"/>
  <c r="AP1071" i="1" s="1"/>
  <c r="AB1119" i="1"/>
  <c r="AP1119" i="1" s="1"/>
  <c r="AN1247" i="1"/>
  <c r="AN1259" i="1"/>
  <c r="AN1283" i="1"/>
  <c r="AN1295" i="1"/>
  <c r="AN1307" i="1"/>
  <c r="AN1319" i="1"/>
  <c r="AN1331" i="1"/>
  <c r="AN1343" i="1"/>
  <c r="AN1355" i="1"/>
  <c r="AN1367" i="1"/>
  <c r="AN1391" i="1"/>
  <c r="AN1415" i="1"/>
  <c r="AN1427" i="1"/>
  <c r="AN1439" i="1"/>
  <c r="AN1451" i="1"/>
  <c r="AN1463" i="1"/>
  <c r="AN1475" i="1"/>
  <c r="AN1487" i="1"/>
  <c r="AN1499" i="1"/>
  <c r="AN1511" i="1"/>
  <c r="AN1535" i="1"/>
  <c r="AN1547" i="1"/>
  <c r="AN1559" i="1"/>
  <c r="AN1571" i="1"/>
  <c r="AN1583" i="1"/>
  <c r="AN1595" i="1"/>
  <c r="AN1607" i="1"/>
  <c r="AN1619" i="1"/>
  <c r="AN1631" i="1"/>
  <c r="AN1643" i="1"/>
  <c r="AN1655" i="1"/>
  <c r="AN1667" i="1"/>
  <c r="AN1679" i="1"/>
  <c r="AN1691" i="1"/>
  <c r="AN1703" i="1"/>
  <c r="AN1727" i="1"/>
  <c r="AN1739" i="1"/>
  <c r="AN1751" i="1"/>
  <c r="AN1763" i="1"/>
  <c r="AN1775" i="1"/>
  <c r="AN1787" i="1"/>
  <c r="AN1799" i="1"/>
  <c r="AN1811" i="1"/>
  <c r="AN1823" i="1"/>
  <c r="AN1835" i="1"/>
  <c r="AN1847" i="1"/>
  <c r="AN1859" i="1"/>
  <c r="AN1871" i="1"/>
  <c r="AN1883" i="1"/>
  <c r="AN1895" i="1"/>
  <c r="AN1907" i="1"/>
  <c r="AN1919" i="1"/>
  <c r="AN1931" i="1"/>
  <c r="AN1943" i="1"/>
  <c r="AN1955" i="1"/>
  <c r="AN1967" i="1"/>
  <c r="AN1979" i="1"/>
  <c r="AN1991" i="1"/>
  <c r="AN2003" i="1"/>
  <c r="AN2015" i="1"/>
  <c r="AN2027" i="1"/>
  <c r="AN2039" i="1"/>
  <c r="AN2051" i="1"/>
  <c r="AN2063" i="1"/>
  <c r="AN2075" i="1"/>
  <c r="AN2087" i="1"/>
  <c r="AN2099" i="1"/>
  <c r="AN2111" i="1"/>
  <c r="AN2123" i="1"/>
  <c r="AN2135" i="1"/>
  <c r="AN2147" i="1"/>
  <c r="AN2159" i="1"/>
  <c r="AN2171" i="1"/>
  <c r="AN2183" i="1"/>
  <c r="AN2195" i="1"/>
  <c r="AN2207" i="1"/>
  <c r="AN2219" i="1"/>
  <c r="AN1546" i="1"/>
  <c r="AN1774" i="1"/>
  <c r="AN1858" i="1"/>
  <c r="AN1870" i="1"/>
  <c r="AN1894" i="1"/>
  <c r="AN2002" i="1"/>
  <c r="AN1208" i="1"/>
  <c r="AQ1208" i="1" s="1"/>
  <c r="AN1715" i="1"/>
  <c r="AN1714" i="1"/>
  <c r="AB66" i="1"/>
  <c r="AP66" i="1" s="1"/>
  <c r="AB78" i="1"/>
  <c r="AP78" i="1" s="1"/>
  <c r="AB90" i="1"/>
  <c r="AP90" i="1" s="1"/>
  <c r="AB102" i="1"/>
  <c r="AP102" i="1" s="1"/>
  <c r="AB126" i="1"/>
  <c r="AP126" i="1" s="1"/>
  <c r="AB138" i="1"/>
  <c r="AP138" i="1" s="1"/>
  <c r="AB150" i="1"/>
  <c r="AP150" i="1" s="1"/>
  <c r="AB162" i="1"/>
  <c r="AP162" i="1" s="1"/>
  <c r="AB174" i="1"/>
  <c r="AP174" i="1" s="1"/>
  <c r="AB186" i="1"/>
  <c r="AP186" i="1" s="1"/>
  <c r="AB198" i="1"/>
  <c r="AP198" i="1" s="1"/>
  <c r="AN9" i="1"/>
  <c r="AQ9" i="1" s="1"/>
  <c r="AN21" i="1"/>
  <c r="AQ21" i="1" s="1"/>
  <c r="AN33" i="1"/>
  <c r="AQ33" i="1" s="1"/>
  <c r="AN45" i="1"/>
  <c r="AQ45" i="1" s="1"/>
  <c r="AN57" i="1"/>
  <c r="AQ57" i="1" s="1"/>
  <c r="AN69" i="1"/>
  <c r="AQ69" i="1" s="1"/>
  <c r="AN81" i="1"/>
  <c r="AQ81" i="1" s="1"/>
  <c r="AN93" i="1"/>
  <c r="AQ93" i="1" s="1"/>
  <c r="AN105" i="1"/>
  <c r="AQ105" i="1" s="1"/>
  <c r="AN117" i="1"/>
  <c r="AQ117" i="1" s="1"/>
  <c r="AN129" i="1"/>
  <c r="AQ129" i="1" s="1"/>
  <c r="AN141" i="1"/>
  <c r="AQ141" i="1" s="1"/>
  <c r="AN153" i="1"/>
  <c r="AQ153" i="1" s="1"/>
  <c r="AN165" i="1"/>
  <c r="AQ165" i="1" s="1"/>
  <c r="AN177" i="1"/>
  <c r="AQ177" i="1" s="1"/>
  <c r="AN189" i="1"/>
  <c r="AQ189" i="1" s="1"/>
  <c r="AN201" i="1"/>
  <c r="AQ201" i="1" s="1"/>
  <c r="AN213" i="1"/>
  <c r="AQ213" i="1" s="1"/>
  <c r="AN225" i="1"/>
  <c r="AQ225" i="1" s="1"/>
  <c r="AN237" i="1"/>
  <c r="AQ237" i="1" s="1"/>
  <c r="AN249" i="1"/>
  <c r="AQ249" i="1" s="1"/>
  <c r="AN261" i="1"/>
  <c r="AQ261" i="1" s="1"/>
  <c r="AN273" i="1"/>
  <c r="AQ273" i="1" s="1"/>
  <c r="AN285" i="1"/>
  <c r="AQ285" i="1" s="1"/>
  <c r="AN297" i="1"/>
  <c r="AQ297" i="1" s="1"/>
  <c r="AN309" i="1"/>
  <c r="AQ309" i="1" s="1"/>
  <c r="AN321" i="1"/>
  <c r="AQ321" i="1" s="1"/>
  <c r="AN333" i="1"/>
  <c r="AQ333" i="1" s="1"/>
  <c r="AN345" i="1"/>
  <c r="AQ345" i="1" s="1"/>
  <c r="AN357" i="1"/>
  <c r="AQ357" i="1" s="1"/>
  <c r="AN369" i="1"/>
  <c r="AQ369" i="1" s="1"/>
  <c r="AN381" i="1"/>
  <c r="AQ381" i="1" s="1"/>
  <c r="AN393" i="1"/>
  <c r="AQ393" i="1" s="1"/>
  <c r="AN405" i="1"/>
  <c r="AQ405" i="1" s="1"/>
  <c r="AN417" i="1"/>
  <c r="AQ417" i="1" s="1"/>
  <c r="AN429" i="1"/>
  <c r="AQ429" i="1" s="1"/>
  <c r="AN441" i="1"/>
  <c r="AQ441" i="1" s="1"/>
  <c r="AN453" i="1"/>
  <c r="AQ453" i="1" s="1"/>
  <c r="AN550" i="1"/>
  <c r="AQ550" i="1" s="1"/>
  <c r="AN874" i="1"/>
  <c r="AQ874" i="1" s="1"/>
  <c r="AN96" i="1"/>
  <c r="AQ96" i="1" s="1"/>
  <c r="AN252" i="1"/>
  <c r="AQ252" i="1" s="1"/>
  <c r="AN492" i="1"/>
  <c r="AQ492" i="1" s="1"/>
  <c r="AN552" i="1"/>
  <c r="AQ552" i="1" s="1"/>
  <c r="AN696" i="1"/>
  <c r="AQ696" i="1" s="1"/>
  <c r="AN732" i="1"/>
  <c r="AQ732" i="1" s="1"/>
  <c r="AN815" i="1"/>
  <c r="AQ815" i="1" s="1"/>
  <c r="AN1164" i="1"/>
  <c r="AQ1164" i="1" s="1"/>
  <c r="AN1176" i="1"/>
  <c r="AQ1176" i="1" s="1"/>
  <c r="AN1200" i="1"/>
  <c r="AQ1200" i="1" s="1"/>
  <c r="AN301" i="1"/>
  <c r="AQ301" i="1" s="1"/>
  <c r="AN313" i="1"/>
  <c r="AQ313" i="1" s="1"/>
  <c r="AN421" i="1"/>
  <c r="AQ421" i="1" s="1"/>
  <c r="AN793" i="1"/>
  <c r="AQ793" i="1" s="1"/>
  <c r="AN841" i="1"/>
  <c r="AQ841" i="1" s="1"/>
  <c r="AN877" i="1"/>
  <c r="AQ877" i="1" s="1"/>
  <c r="AN937" i="1"/>
  <c r="AQ937" i="1" s="1"/>
  <c r="AN1009" i="1"/>
  <c r="AQ1009" i="1" s="1"/>
  <c r="AN1021" i="1"/>
  <c r="AQ1021" i="1" s="1"/>
  <c r="AN1033" i="1"/>
  <c r="AQ1033" i="1" s="1"/>
  <c r="AN1045" i="1"/>
  <c r="AQ1045" i="1" s="1"/>
  <c r="AN1057" i="1"/>
  <c r="AQ1057" i="1" s="1"/>
  <c r="AN1069" i="1"/>
  <c r="AQ1069" i="1" s="1"/>
  <c r="AN1141" i="1"/>
  <c r="AQ1141" i="1" s="1"/>
  <c r="AN1165" i="1"/>
  <c r="AQ1165" i="1" s="1"/>
  <c r="AB222" i="1"/>
  <c r="AP222" i="1" s="1"/>
  <c r="AB234" i="1"/>
  <c r="AP234" i="1" s="1"/>
  <c r="AB246" i="1"/>
  <c r="AP246" i="1" s="1"/>
  <c r="AB258" i="1"/>
  <c r="AP258" i="1" s="1"/>
  <c r="AB270" i="1"/>
  <c r="AP270" i="1" s="1"/>
  <c r="AB294" i="1"/>
  <c r="AP294" i="1" s="1"/>
  <c r="AB306" i="1"/>
  <c r="AP306" i="1" s="1"/>
  <c r="AB318" i="1"/>
  <c r="AP318" i="1" s="1"/>
  <c r="AB330" i="1"/>
  <c r="AP330" i="1" s="1"/>
  <c r="AB354" i="1"/>
  <c r="AP354" i="1" s="1"/>
  <c r="AB366" i="1"/>
  <c r="AP366" i="1" s="1"/>
  <c r="AB402" i="1"/>
  <c r="AP402" i="1" s="1"/>
  <c r="AB414" i="1"/>
  <c r="AP414" i="1" s="1"/>
  <c r="AB426" i="1"/>
  <c r="AP426" i="1" s="1"/>
  <c r="AB474" i="1"/>
  <c r="AP474" i="1" s="1"/>
  <c r="AB498" i="1"/>
  <c r="AP498" i="1" s="1"/>
  <c r="AB522" i="1"/>
  <c r="AP522" i="1" s="1"/>
  <c r="AB534" i="1"/>
  <c r="AP534" i="1" s="1"/>
  <c r="AB546" i="1"/>
  <c r="AP546" i="1" s="1"/>
  <c r="AB558" i="1"/>
  <c r="AP558" i="1" s="1"/>
  <c r="AB570" i="1"/>
  <c r="AP570" i="1" s="1"/>
  <c r="AB582" i="1"/>
  <c r="AP582" i="1" s="1"/>
  <c r="AB594" i="1"/>
  <c r="AP594" i="1" s="1"/>
  <c r="AB618" i="1"/>
  <c r="AP618" i="1" s="1"/>
  <c r="AB642" i="1"/>
  <c r="AP642" i="1" s="1"/>
  <c r="AB654" i="1"/>
  <c r="AP654" i="1" s="1"/>
  <c r="AB666" i="1"/>
  <c r="AP666" i="1" s="1"/>
  <c r="AB690" i="1"/>
  <c r="AP690" i="1" s="1"/>
  <c r="AB702" i="1"/>
  <c r="AP702" i="1" s="1"/>
  <c r="AB714" i="1"/>
  <c r="AP714" i="1" s="1"/>
  <c r="AB738" i="1"/>
  <c r="AP738" i="1" s="1"/>
  <c r="AB750" i="1"/>
  <c r="AP750" i="1" s="1"/>
  <c r="AB762" i="1"/>
  <c r="AP762" i="1" s="1"/>
  <c r="AB774" i="1"/>
  <c r="AP774" i="1" s="1"/>
  <c r="AB786" i="1"/>
  <c r="AP786" i="1" s="1"/>
  <c r="AB846" i="1"/>
  <c r="AP846" i="1" s="1"/>
  <c r="AB858" i="1"/>
  <c r="AP858" i="1" s="1"/>
  <c r="AB870" i="1"/>
  <c r="AP870" i="1" s="1"/>
  <c r="AB882" i="1"/>
  <c r="AP882" i="1" s="1"/>
  <c r="AB894" i="1"/>
  <c r="AP894" i="1" s="1"/>
  <c r="AB918" i="1"/>
  <c r="AP918" i="1" s="1"/>
  <c r="AB930" i="1"/>
  <c r="AP930" i="1" s="1"/>
  <c r="AB942" i="1"/>
  <c r="AP942" i="1" s="1"/>
  <c r="AB954" i="1"/>
  <c r="AP954" i="1" s="1"/>
  <c r="AB966" i="1"/>
  <c r="AP966" i="1" s="1"/>
  <c r="AB978" i="1"/>
  <c r="AP978" i="1" s="1"/>
  <c r="AB990" i="1"/>
  <c r="AP990" i="1" s="1"/>
  <c r="AB1002" i="1"/>
  <c r="AP1002" i="1" s="1"/>
  <c r="AB1014" i="1"/>
  <c r="AP1014" i="1" s="1"/>
  <c r="AB1038" i="1"/>
  <c r="AP1038" i="1" s="1"/>
  <c r="AB1050" i="1"/>
  <c r="AP1050" i="1" s="1"/>
  <c r="AB1062" i="1"/>
  <c r="AP1062" i="1" s="1"/>
  <c r="AB1074" i="1"/>
  <c r="AP1074" i="1" s="1"/>
  <c r="AB1098" i="1"/>
  <c r="AP1098" i="1" s="1"/>
  <c r="AB1146" i="1"/>
  <c r="AP1146" i="1" s="1"/>
  <c r="AB1158" i="1"/>
  <c r="AP1158" i="1" s="1"/>
  <c r="AB1170" i="1"/>
  <c r="AP1170" i="1" s="1"/>
  <c r="AB1182" i="1"/>
  <c r="AP1182" i="1" s="1"/>
  <c r="AB1194" i="1"/>
  <c r="AP1194" i="1" s="1"/>
  <c r="AB1218" i="1"/>
  <c r="AP1218" i="1" s="1"/>
  <c r="AN483" i="1"/>
  <c r="AQ483" i="1" s="1"/>
  <c r="AN531" i="1"/>
  <c r="AQ531" i="1" s="1"/>
  <c r="AN675" i="1"/>
  <c r="AQ675" i="1" s="1"/>
  <c r="AN723" i="1"/>
  <c r="AQ723" i="1" s="1"/>
  <c r="AN867" i="1"/>
  <c r="AQ867" i="1" s="1"/>
  <c r="AN903" i="1"/>
  <c r="AQ903" i="1" s="1"/>
  <c r="AN963" i="1"/>
  <c r="AQ963" i="1" s="1"/>
  <c r="AN975" i="1"/>
  <c r="AQ975" i="1" s="1"/>
  <c r="AN1011" i="1"/>
  <c r="AQ1011" i="1" s="1"/>
  <c r="AN1023" i="1"/>
  <c r="AQ1023" i="1" s="1"/>
  <c r="AN1047" i="1"/>
  <c r="AQ1047" i="1" s="1"/>
  <c r="AN1071" i="1"/>
  <c r="AQ1071" i="1" s="1"/>
  <c r="AN1131" i="1"/>
  <c r="AQ1131" i="1" s="1"/>
  <c r="AN1179" i="1"/>
  <c r="AQ1179" i="1" s="1"/>
  <c r="AN1191" i="1"/>
  <c r="AQ1191" i="1" s="1"/>
  <c r="AN1215" i="1"/>
  <c r="AQ1215" i="1" s="1"/>
  <c r="AN1227" i="1"/>
  <c r="AQ1227" i="1" s="1"/>
  <c r="AN1600" i="1"/>
  <c r="AN2056" i="1"/>
  <c r="AN2068" i="1"/>
  <c r="AN2176" i="1"/>
  <c r="AB21" i="1"/>
  <c r="AP21" i="1" s="1"/>
  <c r="AB45" i="1"/>
  <c r="AP45" i="1" s="1"/>
  <c r="AB93" i="1"/>
  <c r="AP93" i="1" s="1"/>
  <c r="AB129" i="1"/>
  <c r="AP129" i="1" s="1"/>
  <c r="AB165" i="1"/>
  <c r="AP165" i="1" s="1"/>
  <c r="AB201" i="1"/>
  <c r="AP201" i="1" s="1"/>
  <c r="AB225" i="1"/>
  <c r="AP225" i="1" s="1"/>
  <c r="AB333" i="1"/>
  <c r="AP333" i="1" s="1"/>
  <c r="AB357" i="1"/>
  <c r="AP357" i="1" s="1"/>
  <c r="AB393" i="1"/>
  <c r="AP393" i="1" s="1"/>
  <c r="AB1173" i="1"/>
  <c r="AP1173" i="1" s="1"/>
  <c r="AN6" i="1"/>
  <c r="AQ6" i="1" s="1"/>
  <c r="AN18" i="1"/>
  <c r="AQ18" i="1" s="1"/>
  <c r="AN30" i="1"/>
  <c r="AQ30" i="1" s="1"/>
  <c r="AN42" i="1"/>
  <c r="AQ42" i="1" s="1"/>
  <c r="AN54" i="1"/>
  <c r="AQ54" i="1" s="1"/>
  <c r="AN66" i="1"/>
  <c r="AQ66" i="1" s="1"/>
  <c r="AN78" i="1"/>
  <c r="AQ78" i="1" s="1"/>
  <c r="AN90" i="1"/>
  <c r="AQ90" i="1" s="1"/>
  <c r="AN102" i="1"/>
  <c r="AQ102" i="1" s="1"/>
  <c r="AN114" i="1"/>
  <c r="AQ114" i="1" s="1"/>
  <c r="AN126" i="1"/>
  <c r="AQ126" i="1" s="1"/>
  <c r="AN138" i="1"/>
  <c r="AQ138" i="1" s="1"/>
  <c r="AN150" i="1"/>
  <c r="AQ150" i="1" s="1"/>
  <c r="AN162" i="1"/>
  <c r="AQ162" i="1" s="1"/>
  <c r="AN174" i="1"/>
  <c r="AQ174" i="1" s="1"/>
  <c r="AN186" i="1"/>
  <c r="AQ186" i="1" s="1"/>
  <c r="AN198" i="1"/>
  <c r="AQ198" i="1" s="1"/>
  <c r="AN210" i="1"/>
  <c r="AQ210" i="1" s="1"/>
  <c r="AN222" i="1"/>
  <c r="AQ222" i="1" s="1"/>
  <c r="AB1111" i="1"/>
  <c r="AP1111" i="1" s="1"/>
  <c r="AB1135" i="1"/>
  <c r="AP1135" i="1" s="1"/>
  <c r="AB875" i="1"/>
  <c r="AP875" i="1" s="1"/>
  <c r="AB923" i="1"/>
  <c r="AP923" i="1" s="1"/>
  <c r="AB935" i="1"/>
  <c r="AP935" i="1" s="1"/>
  <c r="AB959" i="1"/>
  <c r="AP959" i="1" s="1"/>
  <c r="AB995" i="1"/>
  <c r="AP995" i="1" s="1"/>
  <c r="AB1007" i="1"/>
  <c r="AP1007" i="1" s="1"/>
  <c r="AB1031" i="1"/>
  <c r="AP1031" i="1" s="1"/>
  <c r="AB1067" i="1"/>
  <c r="AP1067" i="1" s="1"/>
  <c r="AB1079" i="1"/>
  <c r="AP1079" i="1" s="1"/>
  <c r="AB1103" i="1"/>
  <c r="AP1103" i="1" s="1"/>
  <c r="AB1115" i="1"/>
  <c r="AP1115" i="1" s="1"/>
  <c r="AB1127" i="1"/>
  <c r="AP1127" i="1" s="1"/>
  <c r="AB1139" i="1"/>
  <c r="AP1139" i="1" s="1"/>
  <c r="AB1163" i="1"/>
  <c r="AP1163" i="1" s="1"/>
  <c r="AB1199" i="1"/>
  <c r="AP1199" i="1" s="1"/>
  <c r="AB1211" i="1"/>
  <c r="AP1211" i="1" s="1"/>
  <c r="AB1223" i="1"/>
  <c r="AP1223" i="1" s="1"/>
  <c r="AN8" i="1"/>
  <c r="AQ8" i="1" s="1"/>
  <c r="AN20" i="1"/>
  <c r="AQ20" i="1" s="1"/>
  <c r="AN32" i="1"/>
  <c r="AQ32" i="1" s="1"/>
  <c r="AN44" i="1"/>
  <c r="AQ44" i="1" s="1"/>
  <c r="AN56" i="1"/>
  <c r="AQ56" i="1" s="1"/>
  <c r="AN68" i="1"/>
  <c r="AQ68" i="1" s="1"/>
  <c r="AN80" i="1"/>
  <c r="AQ80" i="1" s="1"/>
  <c r="AN92" i="1"/>
  <c r="AQ92" i="1" s="1"/>
  <c r="AN104" i="1"/>
  <c r="AQ104" i="1" s="1"/>
  <c r="AN116" i="1"/>
  <c r="AQ116" i="1" s="1"/>
  <c r="AN128" i="1"/>
  <c r="AQ128" i="1" s="1"/>
  <c r="AN152" i="1"/>
  <c r="AQ152" i="1" s="1"/>
  <c r="AN164" i="1"/>
  <c r="AQ164" i="1" s="1"/>
  <c r="AN176" i="1"/>
  <c r="AQ176" i="1" s="1"/>
  <c r="AN188" i="1"/>
  <c r="AQ188" i="1" s="1"/>
  <c r="AN200" i="1"/>
  <c r="AQ200" i="1" s="1"/>
  <c r="AN212" i="1"/>
  <c r="AQ212" i="1" s="1"/>
  <c r="AN224" i="1"/>
  <c r="AQ224" i="1" s="1"/>
  <c r="AN236" i="1"/>
  <c r="AQ236" i="1" s="1"/>
  <c r="AN248" i="1"/>
  <c r="AQ248" i="1" s="1"/>
  <c r="AN260" i="1"/>
  <c r="AQ260" i="1" s="1"/>
  <c r="AN272" i="1"/>
  <c r="AQ272" i="1" s="1"/>
  <c r="AN284" i="1"/>
  <c r="AQ284" i="1" s="1"/>
  <c r="AN296" i="1"/>
  <c r="AQ296" i="1" s="1"/>
  <c r="AN308" i="1"/>
  <c r="AQ308" i="1" s="1"/>
  <c r="AN320" i="1"/>
  <c r="AQ320" i="1" s="1"/>
  <c r="AN332" i="1"/>
  <c r="AQ332" i="1" s="1"/>
  <c r="AN344" i="1"/>
  <c r="AQ344" i="1" s="1"/>
  <c r="AN356" i="1"/>
  <c r="AQ356" i="1" s="1"/>
  <c r="AN368" i="1"/>
  <c r="AQ368" i="1" s="1"/>
  <c r="AN380" i="1"/>
  <c r="AQ380" i="1" s="1"/>
  <c r="AN392" i="1"/>
  <c r="AQ392" i="1" s="1"/>
  <c r="AN404" i="1"/>
  <c r="AQ404" i="1" s="1"/>
  <c r="AN416" i="1"/>
  <c r="AQ416" i="1" s="1"/>
  <c r="AN428" i="1"/>
  <c r="AQ428" i="1" s="1"/>
  <c r="AN488" i="1"/>
  <c r="AQ488" i="1" s="1"/>
  <c r="AN500" i="1"/>
  <c r="AQ500" i="1" s="1"/>
  <c r="AN524" i="1"/>
  <c r="AQ524" i="1" s="1"/>
  <c r="AN548" i="1"/>
  <c r="AQ548" i="1" s="1"/>
  <c r="AN560" i="1"/>
  <c r="AQ560" i="1" s="1"/>
  <c r="AN584" i="1"/>
  <c r="AQ584" i="1" s="1"/>
  <c r="AN596" i="1"/>
  <c r="AQ596" i="1" s="1"/>
  <c r="AN632" i="1"/>
  <c r="AQ632" i="1" s="1"/>
  <c r="AN656" i="1"/>
  <c r="AQ656" i="1" s="1"/>
  <c r="AN668" i="1"/>
  <c r="AQ668" i="1" s="1"/>
  <c r="AN680" i="1"/>
  <c r="AQ680" i="1" s="1"/>
  <c r="AN692" i="1"/>
  <c r="AQ692" i="1" s="1"/>
  <c r="AN740" i="1"/>
  <c r="AQ740" i="1" s="1"/>
  <c r="AN776" i="1"/>
  <c r="AQ776" i="1" s="1"/>
  <c r="AN788" i="1"/>
  <c r="AQ788" i="1" s="1"/>
  <c r="AN824" i="1"/>
  <c r="AQ824" i="1" s="1"/>
  <c r="AN884" i="1"/>
  <c r="AQ884" i="1" s="1"/>
  <c r="AN908" i="1"/>
  <c r="AQ908" i="1" s="1"/>
  <c r="AN1040" i="1"/>
  <c r="AQ1040" i="1" s="1"/>
  <c r="AN1136" i="1"/>
  <c r="AQ1136" i="1" s="1"/>
  <c r="AN1148" i="1"/>
  <c r="AQ1148" i="1" s="1"/>
  <c r="AN1220" i="1"/>
  <c r="AQ1220" i="1" s="1"/>
  <c r="AN1558" i="1"/>
  <c r="AN1810" i="1"/>
  <c r="AN1263" i="1"/>
  <c r="AN1275" i="1"/>
  <c r="AN1287" i="1"/>
  <c r="AN1299" i="1"/>
  <c r="AN1311" i="1"/>
  <c r="AN1323" i="1"/>
  <c r="AN1335" i="1"/>
  <c r="AN1347" i="1"/>
  <c r="AN1359" i="1"/>
  <c r="AN1371" i="1"/>
  <c r="AN1383" i="1"/>
  <c r="AN1395" i="1"/>
  <c r="AN1407" i="1"/>
  <c r="AN1419" i="1"/>
  <c r="AN1431" i="1"/>
  <c r="AN1443" i="1"/>
  <c r="AN1455" i="1"/>
  <c r="AN1467" i="1"/>
  <c r="AN1479" i="1"/>
  <c r="AN1491" i="1"/>
  <c r="AN1503" i="1"/>
  <c r="AN1515" i="1"/>
  <c r="AN1527" i="1"/>
  <c r="AN1539" i="1"/>
  <c r="AN1551" i="1"/>
  <c r="AN1563" i="1"/>
  <c r="AN1575" i="1"/>
  <c r="AN1587" i="1"/>
  <c r="AN1599" i="1"/>
  <c r="AN1611" i="1"/>
  <c r="AN1623" i="1"/>
  <c r="AN1635" i="1"/>
  <c r="AN1647" i="1"/>
  <c r="AN1659" i="1"/>
  <c r="AN1671" i="1"/>
  <c r="AN1683" i="1"/>
  <c r="AN1695" i="1"/>
  <c r="AN1707" i="1"/>
  <c r="AN1719" i="1"/>
  <c r="AN1731" i="1"/>
  <c r="AN1743" i="1"/>
  <c r="AN1755" i="1"/>
  <c r="AN1767" i="1"/>
  <c r="AN1779" i="1"/>
  <c r="AN1791" i="1"/>
  <c r="AN1803" i="1"/>
  <c r="AN1815" i="1"/>
  <c r="AN1827" i="1"/>
  <c r="AN1839" i="1"/>
  <c r="AN1851" i="1"/>
  <c r="AN1863" i="1"/>
  <c r="AN1875" i="1"/>
  <c r="AN1887" i="1"/>
  <c r="AN1899" i="1"/>
  <c r="AN1911" i="1"/>
  <c r="AN1923" i="1"/>
  <c r="AN1935" i="1"/>
  <c r="AN1947" i="1"/>
  <c r="AN1959" i="1"/>
  <c r="AN1971" i="1"/>
  <c r="AN1983" i="1"/>
  <c r="AN1995" i="1"/>
  <c r="AN2007" i="1"/>
  <c r="AN2019" i="1"/>
  <c r="AN2031" i="1"/>
  <c r="AN2043" i="1"/>
  <c r="AN2055" i="1"/>
  <c r="AN2067" i="1"/>
  <c r="AN2079" i="1"/>
  <c r="AN2091" i="1"/>
  <c r="AN2103" i="1"/>
  <c r="AN2115" i="1"/>
  <c r="AN2127" i="1"/>
  <c r="AN2139" i="1"/>
  <c r="AN2151" i="1"/>
  <c r="AN2163" i="1"/>
  <c r="AN2175" i="1"/>
  <c r="AN2187" i="1"/>
  <c r="AN2199" i="1"/>
  <c r="AN2211" i="1"/>
  <c r="AN1255" i="1"/>
  <c r="AN1267" i="1"/>
  <c r="AN1279" i="1"/>
  <c r="AN1291" i="1"/>
  <c r="AN1315" i="1"/>
  <c r="AN1245" i="1"/>
  <c r="AN1257" i="1"/>
  <c r="AN1268" i="1"/>
  <c r="AN1281" i="1"/>
  <c r="AN1293" i="1"/>
  <c r="AN1305" i="1"/>
  <c r="AN1317" i="1"/>
  <c r="AN1329" i="1"/>
  <c r="AN1341" i="1"/>
  <c r="AN1353" i="1"/>
  <c r="AN1377" i="1"/>
  <c r="AN1389" i="1"/>
  <c r="AN1401" i="1"/>
  <c r="AN1412" i="1"/>
  <c r="AN1425" i="1"/>
  <c r="AN1437" i="1"/>
  <c r="AN1449" i="1"/>
  <c r="AN1473" i="1"/>
  <c r="AN1485" i="1"/>
  <c r="AN1497" i="1"/>
  <c r="AN1520" i="1"/>
  <c r="AN1533" i="1"/>
  <c r="AN1545" i="1"/>
  <c r="AN1557" i="1"/>
  <c r="AN1569" i="1"/>
  <c r="AN1581" i="1"/>
  <c r="AN1593" i="1"/>
  <c r="AN1605" i="1"/>
  <c r="AN1629" i="1"/>
  <c r="AN1641" i="1"/>
  <c r="AN1653" i="1"/>
  <c r="AN1665" i="1"/>
  <c r="AN1677" i="1"/>
  <c r="AN1689" i="1"/>
  <c r="AN1701" i="1"/>
  <c r="AN1713" i="1"/>
  <c r="AN1725" i="1"/>
  <c r="AN1737" i="1"/>
  <c r="AN1749" i="1"/>
  <c r="AB701" i="1"/>
  <c r="AP701" i="1" s="1"/>
  <c r="AB713" i="1"/>
  <c r="AP713" i="1" s="1"/>
  <c r="AB725" i="1"/>
  <c r="AP725" i="1" s="1"/>
  <c r="AB510" i="1"/>
  <c r="AP510" i="1" s="1"/>
  <c r="AB919" i="1"/>
  <c r="AP919" i="1" s="1"/>
  <c r="AB608" i="1"/>
  <c r="AP608" i="1" s="1"/>
  <c r="AB486" i="1"/>
  <c r="AP486" i="1" s="1"/>
  <c r="AN1133" i="1"/>
  <c r="AQ1133" i="1" s="1"/>
  <c r="AN1145" i="1"/>
  <c r="AQ1145" i="1" s="1"/>
  <c r="AN1157" i="1"/>
  <c r="AQ1157" i="1" s="1"/>
  <c r="AN1217" i="1"/>
  <c r="AQ1217" i="1" s="1"/>
  <c r="AN462" i="1"/>
  <c r="AQ462" i="1" s="1"/>
  <c r="AN498" i="1"/>
  <c r="AQ498" i="1" s="1"/>
  <c r="AN546" i="1"/>
  <c r="AQ546" i="1" s="1"/>
  <c r="AN654" i="1"/>
  <c r="AQ654" i="1" s="1"/>
  <c r="AN690" i="1"/>
  <c r="AQ690" i="1" s="1"/>
  <c r="AN738" i="1"/>
  <c r="AQ738" i="1" s="1"/>
  <c r="AN870" i="1"/>
  <c r="AQ870" i="1" s="1"/>
  <c r="AN882" i="1"/>
  <c r="AQ882" i="1" s="1"/>
  <c r="AN954" i="1"/>
  <c r="AQ954" i="1" s="1"/>
  <c r="AN1014" i="1"/>
  <c r="AQ1014" i="1" s="1"/>
  <c r="AN1086" i="1"/>
  <c r="AQ1086" i="1" s="1"/>
  <c r="AN1098" i="1"/>
  <c r="AQ1098" i="1" s="1"/>
  <c r="AN451" i="1"/>
  <c r="AQ451" i="1" s="1"/>
  <c r="AN2149" i="1"/>
  <c r="AN2080" i="1"/>
  <c r="AN263" i="1"/>
  <c r="AQ263" i="1" s="1"/>
  <c r="AB500" i="1"/>
  <c r="AP500" i="1" s="1"/>
  <c r="AB512" i="1"/>
  <c r="AP512" i="1" s="1"/>
  <c r="AB536" i="1"/>
  <c r="AP536" i="1" s="1"/>
  <c r="AB644" i="1"/>
  <c r="AP644" i="1" s="1"/>
  <c r="AB692" i="1"/>
  <c r="AP692" i="1" s="1"/>
  <c r="AB788" i="1"/>
  <c r="AP788" i="1" s="1"/>
  <c r="AB812" i="1"/>
  <c r="AP812" i="1" s="1"/>
  <c r="AB896" i="1"/>
  <c r="AP896" i="1" s="1"/>
  <c r="AB908" i="1"/>
  <c r="AP908" i="1" s="1"/>
  <c r="AB1088" i="1"/>
  <c r="AP1088" i="1" s="1"/>
  <c r="AB1152" i="1"/>
  <c r="AP1152" i="1" s="1"/>
  <c r="AN10" i="1"/>
  <c r="AQ10" i="1" s="1"/>
  <c r="AN22" i="1"/>
  <c r="AQ22" i="1" s="1"/>
  <c r="AN82" i="1"/>
  <c r="AQ82" i="1" s="1"/>
  <c r="AN106" i="1"/>
  <c r="AQ106" i="1" s="1"/>
  <c r="AN166" i="1"/>
  <c r="AQ166" i="1" s="1"/>
  <c r="AN178" i="1"/>
  <c r="AQ178" i="1" s="1"/>
  <c r="AN190" i="1"/>
  <c r="AQ190" i="1" s="1"/>
  <c r="AN202" i="1"/>
  <c r="AQ202" i="1" s="1"/>
  <c r="AN214" i="1"/>
  <c r="AQ214" i="1" s="1"/>
  <c r="AN226" i="1"/>
  <c r="AQ226" i="1" s="1"/>
  <c r="AN238" i="1"/>
  <c r="AQ238" i="1" s="1"/>
  <c r="AN250" i="1"/>
  <c r="AQ250" i="1" s="1"/>
  <c r="AN262" i="1"/>
  <c r="AQ262" i="1" s="1"/>
  <c r="AN274" i="1"/>
  <c r="AQ274" i="1" s="1"/>
  <c r="AN286" i="1"/>
  <c r="AQ286" i="1" s="1"/>
  <c r="AN298" i="1"/>
  <c r="AQ298" i="1" s="1"/>
  <c r="AN310" i="1"/>
  <c r="AQ310" i="1" s="1"/>
  <c r="AN322" i="1"/>
  <c r="AQ322" i="1" s="1"/>
  <c r="AN334" i="1"/>
  <c r="AQ334" i="1" s="1"/>
  <c r="AN346" i="1"/>
  <c r="AQ346" i="1" s="1"/>
  <c r="AN358" i="1"/>
  <c r="AQ358" i="1" s="1"/>
  <c r="AN370" i="1"/>
  <c r="AQ370" i="1" s="1"/>
  <c r="AN382" i="1"/>
  <c r="AQ382" i="1" s="1"/>
  <c r="AN394" i="1"/>
  <c r="AQ394" i="1" s="1"/>
  <c r="AN418" i="1"/>
  <c r="AQ418" i="1" s="1"/>
  <c r="AN454" i="1"/>
  <c r="AQ454" i="1" s="1"/>
  <c r="AN502" i="1"/>
  <c r="AQ502" i="1" s="1"/>
  <c r="AN538" i="1"/>
  <c r="AQ538" i="1" s="1"/>
  <c r="AN562" i="1"/>
  <c r="AQ562" i="1" s="1"/>
  <c r="AN586" i="1"/>
  <c r="AQ586" i="1" s="1"/>
  <c r="AN610" i="1"/>
  <c r="AQ610" i="1" s="1"/>
  <c r="AN646" i="1"/>
  <c r="AQ646" i="1" s="1"/>
  <c r="AN694" i="1"/>
  <c r="AQ694" i="1" s="1"/>
  <c r="AN730" i="1"/>
  <c r="AQ730" i="1" s="1"/>
  <c r="AN742" i="1"/>
  <c r="AQ742" i="1" s="1"/>
  <c r="AN754" i="1"/>
  <c r="AQ754" i="1" s="1"/>
  <c r="AN778" i="1"/>
  <c r="AQ778" i="1" s="1"/>
  <c r="AN802" i="1"/>
  <c r="AQ802" i="1" s="1"/>
  <c r="AN922" i="1"/>
  <c r="AQ922" i="1" s="1"/>
  <c r="AN1240" i="1"/>
  <c r="AN1252" i="1"/>
  <c r="AN1264" i="1"/>
  <c r="AN1276" i="1"/>
  <c r="AN1288" i="1"/>
  <c r="AN1312" i="1"/>
  <c r="AN1324" i="1"/>
  <c r="AN1336" i="1"/>
  <c r="AN1348" i="1"/>
  <c r="AN1360" i="1"/>
  <c r="AN1372" i="1"/>
  <c r="AN1384" i="1"/>
  <c r="AN1396" i="1"/>
  <c r="AN1408" i="1"/>
  <c r="AN1420" i="1"/>
  <c r="AN1432" i="1"/>
  <c r="AN1444" i="1"/>
  <c r="AN1456" i="1"/>
  <c r="AN1492" i="1"/>
  <c r="AN1528" i="1"/>
  <c r="AN1612" i="1"/>
  <c r="AN1672" i="1"/>
  <c r="AN1768" i="1"/>
  <c r="AN1876" i="1"/>
  <c r="AN1924" i="1"/>
  <c r="AN1960" i="1"/>
  <c r="AN2020" i="1"/>
  <c r="AN2032" i="1"/>
  <c r="AN2092" i="1"/>
  <c r="AN311" i="1"/>
  <c r="AQ311" i="1" s="1"/>
  <c r="AN866" i="1"/>
  <c r="AQ866" i="1" s="1"/>
  <c r="AN1082" i="1"/>
  <c r="AQ1082" i="1" s="1"/>
  <c r="AN1613" i="1"/>
  <c r="AN1913" i="1"/>
  <c r="AN1984" i="1"/>
  <c r="AB11" i="1"/>
  <c r="AP11" i="1" s="1"/>
  <c r="AB23" i="1"/>
  <c r="AP23" i="1" s="1"/>
  <c r="AB35" i="1"/>
  <c r="AP35" i="1" s="1"/>
  <c r="AB47" i="1"/>
  <c r="AP47" i="1" s="1"/>
  <c r="AB59" i="1"/>
  <c r="AP59" i="1" s="1"/>
  <c r="AB71" i="1"/>
  <c r="AP71" i="1" s="1"/>
  <c r="AB83" i="1"/>
  <c r="AP83" i="1" s="1"/>
  <c r="AB107" i="1"/>
  <c r="AP107" i="1" s="1"/>
  <c r="AB119" i="1"/>
  <c r="AP119" i="1" s="1"/>
  <c r="AB131" i="1"/>
  <c r="AP131" i="1" s="1"/>
  <c r="AB143" i="1"/>
  <c r="AP143" i="1" s="1"/>
  <c r="AB155" i="1"/>
  <c r="AP155" i="1" s="1"/>
  <c r="AB167" i="1"/>
  <c r="AP167" i="1" s="1"/>
  <c r="AB179" i="1"/>
  <c r="AP179" i="1" s="1"/>
  <c r="AB191" i="1"/>
  <c r="AP191" i="1" s="1"/>
  <c r="AB203" i="1"/>
  <c r="AP203" i="1" s="1"/>
  <c r="AB215" i="1"/>
  <c r="AP215" i="1" s="1"/>
  <c r="AB227" i="1"/>
  <c r="AP227" i="1" s="1"/>
  <c r="AB239" i="1"/>
  <c r="AP239" i="1" s="1"/>
  <c r="AB251" i="1"/>
  <c r="AP251" i="1" s="1"/>
  <c r="AB263" i="1"/>
  <c r="AP263" i="1" s="1"/>
  <c r="AB275" i="1"/>
  <c r="AP275" i="1" s="1"/>
  <c r="AB287" i="1"/>
  <c r="AP287" i="1" s="1"/>
  <c r="AB323" i="1"/>
  <c r="AP323" i="1" s="1"/>
  <c r="AB347" i="1"/>
  <c r="AP347" i="1" s="1"/>
  <c r="AB359" i="1"/>
  <c r="AP359" i="1" s="1"/>
  <c r="AB371" i="1"/>
  <c r="AP371" i="1" s="1"/>
  <c r="AB383" i="1"/>
  <c r="AP383" i="1" s="1"/>
  <c r="AB407" i="1"/>
  <c r="AP407" i="1" s="1"/>
  <c r="AB431" i="1"/>
  <c r="AP431" i="1" s="1"/>
  <c r="AB443" i="1"/>
  <c r="AP443" i="1" s="1"/>
  <c r="AB455" i="1"/>
  <c r="AP455" i="1" s="1"/>
  <c r="AB479" i="1"/>
  <c r="AP479" i="1" s="1"/>
  <c r="AB491" i="1"/>
  <c r="AP491" i="1" s="1"/>
  <c r="AB503" i="1"/>
  <c r="AP503" i="1" s="1"/>
  <c r="AB527" i="1"/>
  <c r="AP527" i="1" s="1"/>
  <c r="AB539" i="1"/>
  <c r="AP539" i="1" s="1"/>
  <c r="AB551" i="1"/>
  <c r="AP551" i="1" s="1"/>
  <c r="AB563" i="1"/>
  <c r="AP563" i="1" s="1"/>
  <c r="AB575" i="1"/>
  <c r="AP575" i="1" s="1"/>
  <c r="AB587" i="1"/>
  <c r="AP587" i="1" s="1"/>
  <c r="AB611" i="1"/>
  <c r="AP611" i="1" s="1"/>
  <c r="AB635" i="1"/>
  <c r="AP635" i="1" s="1"/>
  <c r="AB647" i="1"/>
  <c r="AP647" i="1" s="1"/>
  <c r="AB671" i="1"/>
  <c r="AP671" i="1" s="1"/>
  <c r="AB695" i="1"/>
  <c r="AP695" i="1" s="1"/>
  <c r="AB707" i="1"/>
  <c r="AP707" i="1" s="1"/>
  <c r="AB743" i="1"/>
  <c r="AP743" i="1" s="1"/>
  <c r="AB755" i="1"/>
  <c r="AP755" i="1" s="1"/>
  <c r="AB779" i="1"/>
  <c r="AP779" i="1" s="1"/>
  <c r="AB791" i="1"/>
  <c r="AP791" i="1" s="1"/>
  <c r="AB827" i="1"/>
  <c r="AP827" i="1" s="1"/>
  <c r="AB863" i="1"/>
  <c r="AP863" i="1" s="1"/>
  <c r="AB324" i="1"/>
  <c r="AP324" i="1" s="1"/>
  <c r="AB468" i="1"/>
  <c r="AP468" i="1" s="1"/>
  <c r="AB492" i="1"/>
  <c r="AP492" i="1" s="1"/>
  <c r="AB540" i="1"/>
  <c r="AP540" i="1" s="1"/>
  <c r="AB600" i="1"/>
  <c r="AP600" i="1" s="1"/>
  <c r="AB648" i="1"/>
  <c r="AP648" i="1" s="1"/>
  <c r="AB708" i="1"/>
  <c r="AP708" i="1" s="1"/>
  <c r="AB744" i="1"/>
  <c r="AP744" i="1" s="1"/>
  <c r="AB792" i="1"/>
  <c r="AP792" i="1" s="1"/>
  <c r="AB804" i="1"/>
  <c r="AP804" i="1" s="1"/>
  <c r="AB864" i="1"/>
  <c r="AP864" i="1" s="1"/>
  <c r="AB888" i="1"/>
  <c r="AP888" i="1" s="1"/>
  <c r="AB948" i="1"/>
  <c r="AP948" i="1" s="1"/>
  <c r="AB972" i="1"/>
  <c r="AP972" i="1" s="1"/>
  <c r="AB1020" i="1"/>
  <c r="AP1020" i="1" s="1"/>
  <c r="AB1116" i="1"/>
  <c r="AP1116" i="1" s="1"/>
  <c r="AB1164" i="1"/>
  <c r="AP1164" i="1" s="1"/>
  <c r="AN1614" i="1"/>
  <c r="AN496" i="1"/>
  <c r="AQ496" i="1" s="1"/>
  <c r="AN508" i="1"/>
  <c r="AQ508" i="1" s="1"/>
  <c r="AN520" i="1"/>
  <c r="AQ520" i="1" s="1"/>
  <c r="AN532" i="1"/>
  <c r="AQ532" i="1" s="1"/>
  <c r="AN544" i="1"/>
  <c r="AQ544" i="1" s="1"/>
  <c r="AN556" i="1"/>
  <c r="AQ556" i="1" s="1"/>
  <c r="AN568" i="1"/>
  <c r="AQ568" i="1" s="1"/>
  <c r="AN580" i="1"/>
  <c r="AQ580" i="1" s="1"/>
  <c r="AN592" i="1"/>
  <c r="AQ592" i="1" s="1"/>
  <c r="AN604" i="1"/>
  <c r="AQ604" i="1" s="1"/>
  <c r="AN616" i="1"/>
  <c r="AQ616" i="1" s="1"/>
  <c r="AN628" i="1"/>
  <c r="AQ628" i="1" s="1"/>
  <c r="AN640" i="1"/>
  <c r="AQ640" i="1" s="1"/>
  <c r="AN652" i="1"/>
  <c r="AQ652" i="1" s="1"/>
  <c r="AN664" i="1"/>
  <c r="AQ664" i="1" s="1"/>
  <c r="AN676" i="1"/>
  <c r="AQ676" i="1" s="1"/>
  <c r="AN688" i="1"/>
  <c r="AQ688" i="1" s="1"/>
  <c r="AN700" i="1"/>
  <c r="AQ700" i="1" s="1"/>
  <c r="AN712" i="1"/>
  <c r="AQ712" i="1" s="1"/>
  <c r="AN724" i="1"/>
  <c r="AQ724" i="1" s="1"/>
  <c r="AN736" i="1"/>
  <c r="AQ736" i="1" s="1"/>
  <c r="AN748" i="1"/>
  <c r="AQ748" i="1" s="1"/>
  <c r="AN760" i="1"/>
  <c r="AQ760" i="1" s="1"/>
  <c r="AN772" i="1"/>
  <c r="AQ772" i="1" s="1"/>
  <c r="AN784" i="1"/>
  <c r="AQ784" i="1" s="1"/>
  <c r="AN796" i="1"/>
  <c r="AQ796" i="1" s="1"/>
  <c r="AN808" i="1"/>
  <c r="AQ808" i="1" s="1"/>
  <c r="AN820" i="1"/>
  <c r="AQ820" i="1" s="1"/>
  <c r="AN832" i="1"/>
  <c r="AQ832" i="1" s="1"/>
  <c r="AN856" i="1"/>
  <c r="AQ856" i="1" s="1"/>
  <c r="AN868" i="1"/>
  <c r="AQ868" i="1" s="1"/>
  <c r="AN880" i="1"/>
  <c r="AQ880" i="1" s="1"/>
  <c r="AN916" i="1"/>
  <c r="AQ916" i="1" s="1"/>
  <c r="AN964" i="1"/>
  <c r="AQ964" i="1" s="1"/>
  <c r="AN976" i="1"/>
  <c r="AQ976" i="1" s="1"/>
  <c r="AN1012" i="1"/>
  <c r="AQ1012" i="1" s="1"/>
  <c r="AN1024" i="1"/>
  <c r="AQ1024" i="1" s="1"/>
  <c r="AN1036" i="1"/>
  <c r="AQ1036" i="1" s="1"/>
  <c r="AN1060" i="1"/>
  <c r="AQ1060" i="1" s="1"/>
  <c r="AN1084" i="1"/>
  <c r="AQ1084" i="1" s="1"/>
  <c r="AN1096" i="1"/>
  <c r="AQ1096" i="1" s="1"/>
  <c r="AN1120" i="1"/>
  <c r="AQ1120" i="1" s="1"/>
  <c r="AN1144" i="1"/>
  <c r="AQ1144" i="1" s="1"/>
  <c r="AN1168" i="1"/>
  <c r="AQ1168" i="1" s="1"/>
  <c r="AN1180" i="1"/>
  <c r="AQ1180" i="1" s="1"/>
  <c r="AN1204" i="1"/>
  <c r="AQ1204" i="1" s="1"/>
  <c r="AN1216" i="1"/>
  <c r="AQ1216" i="1" s="1"/>
  <c r="AN465" i="1"/>
  <c r="AQ465" i="1" s="1"/>
  <c r="AN477" i="1"/>
  <c r="AQ477" i="1" s="1"/>
  <c r="AN489" i="1"/>
  <c r="AQ489" i="1" s="1"/>
  <c r="AN501" i="1"/>
  <c r="AQ501" i="1" s="1"/>
  <c r="AN513" i="1"/>
  <c r="AQ513" i="1" s="1"/>
  <c r="AN525" i="1"/>
  <c r="AQ525" i="1" s="1"/>
  <c r="AN537" i="1"/>
  <c r="AQ537" i="1" s="1"/>
  <c r="AN549" i="1"/>
  <c r="AQ549" i="1" s="1"/>
  <c r="AN561" i="1"/>
  <c r="AQ561" i="1" s="1"/>
  <c r="AN573" i="1"/>
  <c r="AQ573" i="1" s="1"/>
  <c r="AN585" i="1"/>
  <c r="AQ585" i="1" s="1"/>
  <c r="AN597" i="1"/>
  <c r="AQ597" i="1" s="1"/>
  <c r="AN609" i="1"/>
  <c r="AQ609" i="1" s="1"/>
  <c r="AN621" i="1"/>
  <c r="AQ621" i="1" s="1"/>
  <c r="AN633" i="1"/>
  <c r="AQ633" i="1" s="1"/>
  <c r="AN645" i="1"/>
  <c r="AQ645" i="1" s="1"/>
  <c r="AN657" i="1"/>
  <c r="AQ657" i="1" s="1"/>
  <c r="AN669" i="1"/>
  <c r="AQ669" i="1" s="1"/>
  <c r="AN681" i="1"/>
  <c r="AQ681" i="1" s="1"/>
  <c r="AN693" i="1"/>
  <c r="AQ693" i="1" s="1"/>
  <c r="AN705" i="1"/>
  <c r="AQ705" i="1" s="1"/>
  <c r="AN717" i="1"/>
  <c r="AQ717" i="1" s="1"/>
  <c r="AN729" i="1"/>
  <c r="AQ729" i="1" s="1"/>
  <c r="AN741" i="1"/>
  <c r="AQ741" i="1" s="1"/>
  <c r="AN753" i="1"/>
  <c r="AQ753" i="1" s="1"/>
  <c r="AN765" i="1"/>
  <c r="AQ765" i="1" s="1"/>
  <c r="AN777" i="1"/>
  <c r="AQ777" i="1" s="1"/>
  <c r="AN789" i="1"/>
  <c r="AQ789" i="1" s="1"/>
  <c r="AN801" i="1"/>
  <c r="AQ801" i="1" s="1"/>
  <c r="AN813" i="1"/>
  <c r="AQ813" i="1" s="1"/>
  <c r="AN825" i="1"/>
  <c r="AQ825" i="1" s="1"/>
  <c r="AN837" i="1"/>
  <c r="AQ837" i="1" s="1"/>
  <c r="AN849" i="1"/>
  <c r="AQ849" i="1" s="1"/>
  <c r="AN861" i="1"/>
  <c r="AQ861" i="1" s="1"/>
  <c r="AN897" i="1"/>
  <c r="AQ897" i="1" s="1"/>
  <c r="AN909" i="1"/>
  <c r="AQ909" i="1" s="1"/>
  <c r="AN921" i="1"/>
  <c r="AQ921" i="1" s="1"/>
  <c r="AN933" i="1"/>
  <c r="AQ933" i="1" s="1"/>
  <c r="AN945" i="1"/>
  <c r="AQ945" i="1" s="1"/>
  <c r="AN969" i="1"/>
  <c r="AQ969" i="1" s="1"/>
  <c r="AN993" i="1"/>
  <c r="AQ993" i="1" s="1"/>
  <c r="AN1005" i="1"/>
  <c r="AQ1005" i="1" s="1"/>
  <c r="AN1017" i="1"/>
  <c r="AQ1017" i="1" s="1"/>
  <c r="AN1029" i="1"/>
  <c r="AQ1029" i="1" s="1"/>
  <c r="AN1041" i="1"/>
  <c r="AQ1041" i="1" s="1"/>
  <c r="AN1065" i="1"/>
  <c r="AQ1065" i="1" s="1"/>
  <c r="AN1077" i="1"/>
  <c r="AQ1077" i="1" s="1"/>
  <c r="AN1101" i="1"/>
  <c r="AQ1101" i="1" s="1"/>
  <c r="AN1113" i="1"/>
  <c r="AQ1113" i="1" s="1"/>
  <c r="AN1125" i="1"/>
  <c r="AQ1125" i="1" s="1"/>
  <c r="AN1137" i="1"/>
  <c r="AQ1137" i="1" s="1"/>
  <c r="AN1173" i="1"/>
  <c r="AQ1173" i="1" s="1"/>
  <c r="AN1185" i="1"/>
  <c r="AQ1185" i="1" s="1"/>
  <c r="AN1197" i="1"/>
  <c r="AQ1197" i="1" s="1"/>
  <c r="AN1209" i="1"/>
  <c r="AQ1209" i="1" s="1"/>
  <c r="AN1221" i="1"/>
  <c r="AQ1221" i="1" s="1"/>
  <c r="AN1233" i="1"/>
  <c r="AQ1233" i="1" s="1"/>
  <c r="AN1244" i="1"/>
  <c r="AN1316" i="1"/>
  <c r="AN1544" i="1"/>
  <c r="AN1664" i="1"/>
  <c r="AN970" i="1"/>
  <c r="AQ970" i="1" s="1"/>
  <c r="AN1078" i="1"/>
  <c r="AQ1078" i="1" s="1"/>
  <c r="AN1090" i="1"/>
  <c r="AQ1090" i="1" s="1"/>
  <c r="AN1150" i="1"/>
  <c r="AQ1150" i="1" s="1"/>
  <c r="AN1652" i="1"/>
  <c r="AN863" i="1"/>
  <c r="AQ863" i="1" s="1"/>
  <c r="AN887" i="1"/>
  <c r="AQ887" i="1" s="1"/>
  <c r="AN947" i="1"/>
  <c r="AQ947" i="1" s="1"/>
  <c r="AN1043" i="1"/>
  <c r="AQ1043" i="1" s="1"/>
  <c r="AN1055" i="1"/>
  <c r="AQ1055" i="1" s="1"/>
  <c r="AN1127" i="1"/>
  <c r="AQ1127" i="1" s="1"/>
  <c r="AN1139" i="1"/>
  <c r="AQ1139" i="1" s="1"/>
  <c r="AN1187" i="1"/>
  <c r="AQ1187" i="1" s="1"/>
  <c r="AN1211" i="1"/>
  <c r="AQ1211" i="1" s="1"/>
  <c r="AN1594" i="1"/>
  <c r="AN1678" i="1"/>
  <c r="AN1738" i="1"/>
  <c r="AN1750" i="1"/>
  <c r="AN1846" i="1"/>
  <c r="AN1966" i="1"/>
  <c r="AN2014" i="1"/>
  <c r="AN2122" i="1"/>
  <c r="AN2134" i="1"/>
  <c r="AN659" i="1"/>
  <c r="AQ659" i="1" s="1"/>
  <c r="AN1568" i="1"/>
  <c r="AN1688" i="1"/>
  <c r="AN612" i="1"/>
  <c r="AQ612" i="1" s="1"/>
  <c r="AN1093" i="1"/>
  <c r="AQ1093" i="1" s="1"/>
  <c r="AN1105" i="1"/>
  <c r="AQ1105" i="1" s="1"/>
  <c r="AN1117" i="1"/>
  <c r="AQ1117" i="1" s="1"/>
  <c r="AN1129" i="1"/>
  <c r="AQ1129" i="1" s="1"/>
  <c r="AN1189" i="1"/>
  <c r="AQ1189" i="1" s="1"/>
  <c r="AN1201" i="1"/>
  <c r="AQ1201" i="1" s="1"/>
  <c r="AN1248" i="1"/>
  <c r="AN1260" i="1"/>
  <c r="AN1560" i="1"/>
  <c r="AN1572" i="1"/>
  <c r="AN1728" i="1"/>
  <c r="AN1752" i="1"/>
  <c r="AN1764" i="1"/>
  <c r="AN1788" i="1"/>
  <c r="AN1812" i="1"/>
  <c r="AN1824" i="1"/>
  <c r="AN1848" i="1"/>
  <c r="AN1860" i="1"/>
  <c r="AN1884" i="1"/>
  <c r="AN1920" i="1"/>
  <c r="AN1932" i="1"/>
  <c r="AN1944" i="1"/>
  <c r="AN1956" i="1"/>
  <c r="AN1968" i="1"/>
  <c r="AN1980" i="1"/>
  <c r="AN2004" i="1"/>
  <c r="AN2040" i="1"/>
  <c r="AN2052" i="1"/>
  <c r="AN2076" i="1"/>
  <c r="AN2088" i="1"/>
  <c r="AN2100" i="1"/>
  <c r="AN2112" i="1"/>
  <c r="AN2124" i="1"/>
  <c r="AN2136" i="1"/>
  <c r="AB1168" i="1"/>
  <c r="AP1168" i="1" s="1"/>
  <c r="AN434" i="1"/>
  <c r="AQ434" i="1" s="1"/>
  <c r="AN446" i="1"/>
  <c r="AQ446" i="1" s="1"/>
  <c r="AN482" i="1"/>
  <c r="AQ482" i="1" s="1"/>
  <c r="AN530" i="1"/>
  <c r="AQ530" i="1" s="1"/>
  <c r="AN542" i="1"/>
  <c r="AQ542" i="1" s="1"/>
  <c r="AN566" i="1"/>
  <c r="AQ566" i="1" s="1"/>
  <c r="AN590" i="1"/>
  <c r="AQ590" i="1" s="1"/>
  <c r="AN602" i="1"/>
  <c r="AQ602" i="1" s="1"/>
  <c r="AN626" i="1"/>
  <c r="AQ626" i="1" s="1"/>
  <c r="AN638" i="1"/>
  <c r="AQ638" i="1" s="1"/>
  <c r="AN674" i="1"/>
  <c r="AQ674" i="1" s="1"/>
  <c r="AN722" i="1"/>
  <c r="AQ722" i="1" s="1"/>
  <c r="AN734" i="1"/>
  <c r="AQ734" i="1" s="1"/>
  <c r="AN782" i="1"/>
  <c r="AQ782" i="1" s="1"/>
  <c r="AN806" i="1"/>
  <c r="AQ806" i="1" s="1"/>
  <c r="AN818" i="1"/>
  <c r="AQ818" i="1" s="1"/>
  <c r="AN830" i="1"/>
  <c r="AQ830" i="1" s="1"/>
  <c r="AN854" i="1"/>
  <c r="AQ854" i="1" s="1"/>
  <c r="AN878" i="1"/>
  <c r="AQ878" i="1" s="1"/>
  <c r="AN890" i="1"/>
  <c r="AQ890" i="1" s="1"/>
  <c r="AN902" i="1"/>
  <c r="AQ902" i="1" s="1"/>
  <c r="AN914" i="1"/>
  <c r="AQ914" i="1" s="1"/>
  <c r="AN962" i="1"/>
  <c r="AQ962" i="1" s="1"/>
  <c r="AN1010" i="1"/>
  <c r="AQ1010" i="1" s="1"/>
  <c r="AN1226" i="1"/>
  <c r="AQ1226" i="1" s="1"/>
  <c r="AN1333" i="1"/>
  <c r="AN1381" i="1"/>
  <c r="AN1573" i="1"/>
  <c r="AN1609" i="1"/>
  <c r="AN1645" i="1"/>
  <c r="AN1717" i="1"/>
  <c r="AN1873" i="1"/>
  <c r="AN2137" i="1"/>
  <c r="AN2173" i="1"/>
  <c r="AN2209" i="1"/>
  <c r="AN1327" i="1"/>
  <c r="AN1339" i="1"/>
  <c r="AN1351" i="1"/>
  <c r="AN1363" i="1"/>
  <c r="AN1375" i="1"/>
  <c r="AN1387" i="1"/>
  <c r="AN1399" i="1"/>
  <c r="AN1411" i="1"/>
  <c r="AN1423" i="1"/>
  <c r="AN1435" i="1"/>
  <c r="AN1447" i="1"/>
  <c r="AN1459" i="1"/>
  <c r="AN1471" i="1"/>
  <c r="AN1483" i="1"/>
  <c r="AN1495" i="1"/>
  <c r="AN1507" i="1"/>
  <c r="AN1519" i="1"/>
  <c r="AN1531" i="1"/>
  <c r="AN1555" i="1"/>
  <c r="AN1567" i="1"/>
  <c r="AN1579" i="1"/>
  <c r="AN1591" i="1"/>
  <c r="AN1603" i="1"/>
  <c r="AN1615" i="1"/>
  <c r="AN1627" i="1"/>
  <c r="AN1639" i="1"/>
  <c r="AN1651" i="1"/>
  <c r="AN1663" i="1"/>
  <c r="AN1675" i="1"/>
  <c r="AN1687" i="1"/>
  <c r="AN1699" i="1"/>
  <c r="AN1711" i="1"/>
  <c r="AN1723" i="1"/>
  <c r="AN1735" i="1"/>
  <c r="AN1747" i="1"/>
  <c r="AN1759" i="1"/>
  <c r="AN1771" i="1"/>
  <c r="AN1783" i="1"/>
  <c r="AN1795" i="1"/>
  <c r="AN1807" i="1"/>
  <c r="AN1819" i="1"/>
  <c r="AN1831" i="1"/>
  <c r="AN1843" i="1"/>
  <c r="AN1855" i="1"/>
  <c r="AN1867" i="1"/>
  <c r="AN1879" i="1"/>
  <c r="AN1891" i="1"/>
  <c r="AN1903" i="1"/>
  <c r="AN1915" i="1"/>
  <c r="AN1927" i="1"/>
  <c r="AN1939" i="1"/>
  <c r="AN1951" i="1"/>
  <c r="AN1962" i="1"/>
  <c r="AN1975" i="1"/>
  <c r="AN1999" i="1"/>
  <c r="AN2011" i="1"/>
  <c r="AN2023" i="1"/>
  <c r="AN2035" i="1"/>
  <c r="AN2047" i="1"/>
  <c r="AN2059" i="1"/>
  <c r="AN2071" i="1"/>
  <c r="AN2083" i="1"/>
  <c r="AN2095" i="1"/>
  <c r="AN2107" i="1"/>
  <c r="AN2119" i="1"/>
  <c r="AN2131" i="1"/>
  <c r="AN2143" i="1"/>
  <c r="AN2155" i="1"/>
  <c r="AN2167" i="1"/>
  <c r="AN2179" i="1"/>
  <c r="AN2191" i="1"/>
  <c r="AN2203" i="1"/>
  <c r="AN2215" i="1"/>
  <c r="AN1761" i="1"/>
  <c r="AN1773" i="1"/>
  <c r="AN1797" i="1"/>
  <c r="AN1809" i="1"/>
  <c r="AN1821" i="1"/>
  <c r="AN1833" i="1"/>
  <c r="AN1845" i="1"/>
  <c r="AN1857" i="1"/>
  <c r="AN1869" i="1"/>
  <c r="AN1881" i="1"/>
  <c r="AN1905" i="1"/>
  <c r="AN1917" i="1"/>
  <c r="AN1929" i="1"/>
  <c r="AN1953" i="1"/>
  <c r="AN1977" i="1"/>
  <c r="AN1989" i="1"/>
  <c r="AN2001" i="1"/>
  <c r="AN2013" i="1"/>
  <c r="AN2025" i="1"/>
  <c r="AN2037" i="1"/>
  <c r="AN2049" i="1"/>
  <c r="AN2061" i="1"/>
  <c r="AN2073" i="1"/>
  <c r="AN2084" i="1"/>
  <c r="AN2097" i="1"/>
  <c r="AN2109" i="1"/>
  <c r="AN2121" i="1"/>
  <c r="AN2133" i="1"/>
  <c r="AN2145" i="1"/>
  <c r="AN2156" i="1"/>
  <c r="AN2169" i="1"/>
  <c r="AN2181" i="1"/>
  <c r="AN2205" i="1"/>
  <c r="AN2217" i="1"/>
  <c r="AB438" i="1"/>
  <c r="AP438" i="1" s="1"/>
  <c r="AN476" i="1"/>
  <c r="AQ476" i="1" s="1"/>
  <c r="AN475" i="1"/>
  <c r="AQ475" i="1" s="1"/>
  <c r="AB390" i="1"/>
  <c r="AP390" i="1" s="1"/>
  <c r="AB606" i="1"/>
  <c r="AP606" i="1" s="1"/>
  <c r="AB1026" i="1"/>
  <c r="AP1026" i="1" s="1"/>
  <c r="AN1162" i="1"/>
  <c r="AQ1162" i="1" s="1"/>
  <c r="AN1161" i="1"/>
  <c r="AQ1161" i="1" s="1"/>
  <c r="AN595" i="1"/>
  <c r="AQ595" i="1" s="1"/>
  <c r="AB185" i="1"/>
  <c r="AP185" i="1" s="1"/>
  <c r="AN140" i="1"/>
  <c r="AQ140" i="1" s="1"/>
  <c r="AN139" i="1"/>
  <c r="AQ139" i="1" s="1"/>
  <c r="AB450" i="1"/>
  <c r="AP450" i="1" s="1"/>
  <c r="AB726" i="1"/>
  <c r="AP726" i="1" s="1"/>
  <c r="AB834" i="1"/>
  <c r="AP834" i="1" s="1"/>
  <c r="AB1110" i="1"/>
  <c r="AP1110" i="1" s="1"/>
  <c r="AB1206" i="1"/>
  <c r="AP1206" i="1" s="1"/>
  <c r="AB115" i="1"/>
  <c r="AP115" i="1" s="1"/>
  <c r="AB739" i="1"/>
  <c r="AP739" i="1" s="1"/>
  <c r="AN415" i="1"/>
  <c r="AQ415" i="1" s="1"/>
  <c r="AN440" i="1"/>
  <c r="AQ440" i="1" s="1"/>
  <c r="AN439" i="1"/>
  <c r="AQ439" i="1" s="1"/>
  <c r="AB210" i="1"/>
  <c r="AP210" i="1" s="1"/>
  <c r="AB462" i="1"/>
  <c r="AP462" i="1" s="1"/>
  <c r="AB798" i="1"/>
  <c r="AP798" i="1" s="1"/>
  <c r="AB523" i="1"/>
  <c r="AP523" i="1" s="1"/>
  <c r="AB379" i="1"/>
  <c r="AP379" i="1" s="1"/>
  <c r="AB152" i="1"/>
  <c r="AP152" i="1" s="1"/>
  <c r="AB53" i="1"/>
  <c r="AP53" i="1" s="1"/>
  <c r="AN1100" i="1"/>
  <c r="AQ1100" i="1" s="1"/>
  <c r="AN1099" i="1"/>
  <c r="AQ1099" i="1" s="1"/>
  <c r="AN307" i="1"/>
  <c r="AQ307" i="1" s="1"/>
  <c r="AB678" i="1"/>
  <c r="AP678" i="1" s="1"/>
  <c r="AB906" i="1"/>
  <c r="AP906" i="1" s="1"/>
  <c r="AB1086" i="1"/>
  <c r="AP1086" i="1" s="1"/>
  <c r="AB1122" i="1"/>
  <c r="AP1122" i="1" s="1"/>
  <c r="AB259" i="1"/>
  <c r="AP259" i="1" s="1"/>
  <c r="AB223" i="1"/>
  <c r="AP223" i="1" s="1"/>
  <c r="AB10" i="1"/>
  <c r="AP10" i="1" s="1"/>
  <c r="AB22" i="1"/>
  <c r="AP22" i="1" s="1"/>
  <c r="AB34" i="1"/>
  <c r="AP34" i="1" s="1"/>
  <c r="AB1138" i="1"/>
  <c r="AP1138" i="1" s="1"/>
  <c r="AN13" i="1"/>
  <c r="AQ13" i="1" s="1"/>
  <c r="AN25" i="1"/>
  <c r="AQ25" i="1" s="1"/>
  <c r="AN37" i="1"/>
  <c r="AQ37" i="1" s="1"/>
  <c r="AN49" i="1"/>
  <c r="AQ49" i="1" s="1"/>
  <c r="AN61" i="1"/>
  <c r="AQ61" i="1" s="1"/>
  <c r="AN73" i="1"/>
  <c r="AQ73" i="1" s="1"/>
  <c r="AN109" i="1"/>
  <c r="AQ109" i="1" s="1"/>
  <c r="AN133" i="1"/>
  <c r="AQ133" i="1" s="1"/>
  <c r="AN253" i="1"/>
  <c r="AQ253" i="1" s="1"/>
  <c r="AN277" i="1"/>
  <c r="AQ277" i="1" s="1"/>
  <c r="AN337" i="1"/>
  <c r="AQ337" i="1" s="1"/>
  <c r="AN397" i="1"/>
  <c r="AQ397" i="1" s="1"/>
  <c r="AN541" i="1"/>
  <c r="AQ541" i="1" s="1"/>
  <c r="AN781" i="1"/>
  <c r="AQ781" i="1" s="1"/>
  <c r="AN853" i="1"/>
  <c r="AQ853" i="1" s="1"/>
  <c r="AN961" i="1"/>
  <c r="AQ961" i="1" s="1"/>
  <c r="AN960" i="1"/>
  <c r="AQ960" i="1" s="1"/>
  <c r="AB335" i="1"/>
  <c r="AP335" i="1" s="1"/>
  <c r="AB515" i="1"/>
  <c r="AP515" i="1" s="1"/>
  <c r="AB599" i="1"/>
  <c r="AP599" i="1" s="1"/>
  <c r="AB623" i="1"/>
  <c r="AP623" i="1" s="1"/>
  <c r="AB659" i="1"/>
  <c r="AP659" i="1" s="1"/>
  <c r="AB683" i="1"/>
  <c r="AP683" i="1" s="1"/>
  <c r="AB719" i="1"/>
  <c r="AP719" i="1" s="1"/>
  <c r="AB731" i="1"/>
  <c r="AP731" i="1" s="1"/>
  <c r="AB767" i="1"/>
  <c r="AP767" i="1" s="1"/>
  <c r="AB803" i="1"/>
  <c r="AP803" i="1" s="1"/>
  <c r="AB815" i="1"/>
  <c r="AP815" i="1" s="1"/>
  <c r="AB839" i="1"/>
  <c r="AP839" i="1" s="1"/>
  <c r="AB851" i="1"/>
  <c r="AP851" i="1" s="1"/>
  <c r="AB887" i="1"/>
  <c r="AP887" i="1" s="1"/>
  <c r="AB899" i="1"/>
  <c r="AP899" i="1" s="1"/>
  <c r="AB911" i="1"/>
  <c r="AP911" i="1" s="1"/>
  <c r="AB947" i="1"/>
  <c r="AP947" i="1" s="1"/>
  <c r="AB971" i="1"/>
  <c r="AP971" i="1" s="1"/>
  <c r="AB983" i="1"/>
  <c r="AP983" i="1" s="1"/>
  <c r="AB1019" i="1"/>
  <c r="AP1019" i="1" s="1"/>
  <c r="AB1043" i="1"/>
  <c r="AP1043" i="1" s="1"/>
  <c r="AB1055" i="1"/>
  <c r="AP1055" i="1" s="1"/>
  <c r="AB1091" i="1"/>
  <c r="AP1091" i="1" s="1"/>
  <c r="AB1175" i="1"/>
  <c r="AP1175" i="1" s="1"/>
  <c r="AB1187" i="1"/>
  <c r="AP1187" i="1" s="1"/>
  <c r="AB1235" i="1"/>
  <c r="AP1235" i="1" s="1"/>
  <c r="AN14" i="1"/>
  <c r="AQ14" i="1" s="1"/>
  <c r="AN26" i="1"/>
  <c r="AQ26" i="1" s="1"/>
  <c r="AN38" i="1"/>
  <c r="AQ38" i="1" s="1"/>
  <c r="AN50" i="1"/>
  <c r="AQ50" i="1" s="1"/>
  <c r="AN62" i="1"/>
  <c r="AQ62" i="1" s="1"/>
  <c r="AN74" i="1"/>
  <c r="AQ74" i="1" s="1"/>
  <c r="AN86" i="1"/>
  <c r="AQ86" i="1" s="1"/>
  <c r="AN98" i="1"/>
  <c r="AQ98" i="1" s="1"/>
  <c r="AN110" i="1"/>
  <c r="AQ110" i="1" s="1"/>
  <c r="AN122" i="1"/>
  <c r="AQ122" i="1" s="1"/>
  <c r="AN134" i="1"/>
  <c r="AQ134" i="1" s="1"/>
  <c r="AN146" i="1"/>
  <c r="AQ146" i="1" s="1"/>
  <c r="AN158" i="1"/>
  <c r="AQ158" i="1" s="1"/>
  <c r="AN170" i="1"/>
  <c r="AQ170" i="1" s="1"/>
  <c r="AN182" i="1"/>
  <c r="AQ182" i="1" s="1"/>
  <c r="AN194" i="1"/>
  <c r="AQ194" i="1" s="1"/>
  <c r="AN206" i="1"/>
  <c r="AQ206" i="1" s="1"/>
  <c r="AN218" i="1"/>
  <c r="AQ218" i="1" s="1"/>
  <c r="AN230" i="1"/>
  <c r="AQ230" i="1" s="1"/>
  <c r="AN242" i="1"/>
  <c r="AQ242" i="1" s="1"/>
  <c r="AN254" i="1"/>
  <c r="AQ254" i="1" s="1"/>
  <c r="AN266" i="1"/>
  <c r="AQ266" i="1" s="1"/>
  <c r="AN278" i="1"/>
  <c r="AQ278" i="1" s="1"/>
  <c r="AN290" i="1"/>
  <c r="AQ290" i="1" s="1"/>
  <c r="AN338" i="1"/>
  <c r="AQ338" i="1" s="1"/>
  <c r="AN350" i="1"/>
  <c r="AQ350" i="1" s="1"/>
  <c r="AN362" i="1"/>
  <c r="AQ362" i="1" s="1"/>
  <c r="AN398" i="1"/>
  <c r="AQ398" i="1" s="1"/>
  <c r="AN716" i="1"/>
  <c r="AQ716" i="1" s="1"/>
  <c r="AN715" i="1"/>
  <c r="AQ715" i="1" s="1"/>
  <c r="AB6" i="1"/>
  <c r="AP6" i="1" s="1"/>
  <c r="AB311" i="1"/>
  <c r="AP311" i="1" s="1"/>
  <c r="AB395" i="1"/>
  <c r="AP395" i="1" s="1"/>
  <c r="AN15" i="1"/>
  <c r="AQ15" i="1" s="1"/>
  <c r="AN27" i="1"/>
  <c r="AQ27" i="1" s="1"/>
  <c r="AN39" i="1"/>
  <c r="AQ39" i="1" s="1"/>
  <c r="AN51" i="1"/>
  <c r="AQ51" i="1" s="1"/>
  <c r="AN63" i="1"/>
  <c r="AQ63" i="1" s="1"/>
  <c r="AN75" i="1"/>
  <c r="AQ75" i="1" s="1"/>
  <c r="AN87" i="1"/>
  <c r="AQ87" i="1" s="1"/>
  <c r="AN99" i="1"/>
  <c r="AQ99" i="1" s="1"/>
  <c r="AN111" i="1"/>
  <c r="AQ111" i="1" s="1"/>
  <c r="AN123" i="1"/>
  <c r="AQ123" i="1" s="1"/>
  <c r="AR123" i="1" s="1"/>
  <c r="AN135" i="1"/>
  <c r="AQ135" i="1" s="1"/>
  <c r="AN147" i="1"/>
  <c r="AQ147" i="1" s="1"/>
  <c r="AN159" i="1"/>
  <c r="AQ159" i="1" s="1"/>
  <c r="AN171" i="1"/>
  <c r="AQ171" i="1" s="1"/>
  <c r="AN183" i="1"/>
  <c r="AQ183" i="1" s="1"/>
  <c r="AN195" i="1"/>
  <c r="AQ195" i="1" s="1"/>
  <c r="AN207" i="1"/>
  <c r="AQ207" i="1" s="1"/>
  <c r="AN219" i="1"/>
  <c r="AQ219" i="1" s="1"/>
  <c r="AN231" i="1"/>
  <c r="AQ231" i="1" s="1"/>
  <c r="AN243" i="1"/>
  <c r="AQ243" i="1" s="1"/>
  <c r="AN255" i="1"/>
  <c r="AQ255" i="1" s="1"/>
  <c r="AN267" i="1"/>
  <c r="AQ267" i="1" s="1"/>
  <c r="AR267" i="1" s="1"/>
  <c r="AN279" i="1"/>
  <c r="AQ279" i="1" s="1"/>
  <c r="AN291" i="1"/>
  <c r="AQ291" i="1" s="1"/>
  <c r="AN303" i="1"/>
  <c r="AQ303" i="1" s="1"/>
  <c r="AN315" i="1"/>
  <c r="AQ315" i="1" s="1"/>
  <c r="AN327" i="1"/>
  <c r="AQ327" i="1" s="1"/>
  <c r="AN339" i="1"/>
  <c r="AQ339" i="1" s="1"/>
  <c r="AN351" i="1"/>
  <c r="AQ351" i="1" s="1"/>
  <c r="AN363" i="1"/>
  <c r="AQ363" i="1" s="1"/>
  <c r="AN375" i="1"/>
  <c r="AQ375" i="1" s="1"/>
  <c r="AN387" i="1"/>
  <c r="AQ387" i="1" s="1"/>
  <c r="AN399" i="1"/>
  <c r="AQ399" i="1" s="1"/>
  <c r="AN411" i="1"/>
  <c r="AQ411" i="1" s="1"/>
  <c r="AR411" i="1" s="1"/>
  <c r="AN423" i="1"/>
  <c r="AQ423" i="1" s="1"/>
  <c r="AN435" i="1"/>
  <c r="AQ435" i="1" s="1"/>
  <c r="AN459" i="1"/>
  <c r="AQ459" i="1" s="1"/>
  <c r="AN507" i="1"/>
  <c r="AQ507" i="1" s="1"/>
  <c r="AN519" i="1"/>
  <c r="AQ519" i="1" s="1"/>
  <c r="AN543" i="1"/>
  <c r="AQ543" i="1" s="1"/>
  <c r="AN567" i="1"/>
  <c r="AQ567" i="1" s="1"/>
  <c r="AR567" i="1" s="1"/>
  <c r="AN603" i="1"/>
  <c r="AQ603" i="1" s="1"/>
  <c r="AN615" i="1"/>
  <c r="AQ615" i="1" s="1"/>
  <c r="AN627" i="1"/>
  <c r="AQ627" i="1" s="1"/>
  <c r="AN651" i="1"/>
  <c r="AQ651" i="1" s="1"/>
  <c r="AN687" i="1"/>
  <c r="AQ687" i="1" s="1"/>
  <c r="AN711" i="1"/>
  <c r="AQ711" i="1" s="1"/>
  <c r="AN759" i="1"/>
  <c r="AQ759" i="1" s="1"/>
  <c r="AN795" i="1"/>
  <c r="AQ795" i="1" s="1"/>
  <c r="AN807" i="1"/>
  <c r="AQ807" i="1" s="1"/>
  <c r="AN819" i="1"/>
  <c r="AQ819" i="1" s="1"/>
  <c r="AN1059" i="1"/>
  <c r="AQ1059" i="1" s="1"/>
  <c r="AN1143" i="1"/>
  <c r="AQ1143" i="1" s="1"/>
  <c r="AB485" i="1"/>
  <c r="AP485" i="1" s="1"/>
  <c r="AB419" i="1"/>
  <c r="AP419" i="1" s="1"/>
  <c r="AB216" i="1"/>
  <c r="AP216" i="1" s="1"/>
  <c r="AB264" i="1"/>
  <c r="AP264" i="1" s="1"/>
  <c r="AB385" i="1"/>
  <c r="AP385" i="1" s="1"/>
  <c r="AB409" i="1"/>
  <c r="AP409" i="1" s="1"/>
  <c r="AN16" i="1"/>
  <c r="AQ16" i="1" s="1"/>
  <c r="AN28" i="1"/>
  <c r="AQ28" i="1" s="1"/>
  <c r="AN40" i="1"/>
  <c r="AQ40" i="1" s="1"/>
  <c r="AN52" i="1"/>
  <c r="AQ52" i="1" s="1"/>
  <c r="AN64" i="1"/>
  <c r="AQ64" i="1" s="1"/>
  <c r="AN76" i="1"/>
  <c r="AQ76" i="1" s="1"/>
  <c r="AN88" i="1"/>
  <c r="AQ88" i="1" s="1"/>
  <c r="AN100" i="1"/>
  <c r="AQ100" i="1" s="1"/>
  <c r="AN112" i="1"/>
  <c r="AQ112" i="1" s="1"/>
  <c r="AN124" i="1"/>
  <c r="AQ124" i="1" s="1"/>
  <c r="AN136" i="1"/>
  <c r="AQ136" i="1" s="1"/>
  <c r="AN148" i="1"/>
  <c r="AQ148" i="1" s="1"/>
  <c r="AN160" i="1"/>
  <c r="AQ160" i="1" s="1"/>
  <c r="AN172" i="1"/>
  <c r="AQ172" i="1" s="1"/>
  <c r="AN184" i="1"/>
  <c r="AQ184" i="1" s="1"/>
  <c r="AN196" i="1"/>
  <c r="AQ196" i="1" s="1"/>
  <c r="AN208" i="1"/>
  <c r="AQ208" i="1" s="1"/>
  <c r="AN220" i="1"/>
  <c r="AQ220" i="1" s="1"/>
  <c r="AN232" i="1"/>
  <c r="AQ232" i="1" s="1"/>
  <c r="AN244" i="1"/>
  <c r="AQ244" i="1" s="1"/>
  <c r="AN256" i="1"/>
  <c r="AQ256" i="1" s="1"/>
  <c r="AN268" i="1"/>
  <c r="AQ268" i="1" s="1"/>
  <c r="AN280" i="1"/>
  <c r="AQ280" i="1" s="1"/>
  <c r="AN292" i="1"/>
  <c r="AQ292" i="1" s="1"/>
  <c r="AN304" i="1"/>
  <c r="AQ304" i="1" s="1"/>
  <c r="AN316" i="1"/>
  <c r="AQ316" i="1" s="1"/>
  <c r="AN328" i="1"/>
  <c r="AQ328" i="1" s="1"/>
  <c r="AN340" i="1"/>
  <c r="AQ340" i="1" s="1"/>
  <c r="AN352" i="1"/>
  <c r="AQ352" i="1" s="1"/>
  <c r="AN364" i="1"/>
  <c r="AQ364" i="1" s="1"/>
  <c r="AN376" i="1"/>
  <c r="AQ376" i="1" s="1"/>
  <c r="AN388" i="1"/>
  <c r="AQ388" i="1" s="1"/>
  <c r="AN400" i="1"/>
  <c r="AQ400" i="1" s="1"/>
  <c r="AN412" i="1"/>
  <c r="AQ412" i="1" s="1"/>
  <c r="AN424" i="1"/>
  <c r="AQ424" i="1" s="1"/>
  <c r="AN436" i="1"/>
  <c r="AQ436" i="1" s="1"/>
  <c r="AN448" i="1"/>
  <c r="AQ448" i="1" s="1"/>
  <c r="AN460" i="1"/>
  <c r="AQ460" i="1" s="1"/>
  <c r="AN844" i="1"/>
  <c r="AQ844" i="1" s="1"/>
  <c r="AN988" i="1"/>
  <c r="AQ988" i="1" s="1"/>
  <c r="AN1000" i="1"/>
  <c r="AQ1000" i="1" s="1"/>
  <c r="AN4" i="1"/>
  <c r="AB569" i="1"/>
  <c r="AP569" i="1" s="1"/>
  <c r="AB95" i="1"/>
  <c r="AP95" i="1" s="1"/>
  <c r="AB299" i="1"/>
  <c r="AP299" i="1" s="1"/>
  <c r="AB14" i="1"/>
  <c r="AP14" i="1" s="1"/>
  <c r="AB26" i="1"/>
  <c r="AP26" i="1" s="1"/>
  <c r="AB38" i="1"/>
  <c r="AP38" i="1" s="1"/>
  <c r="AB50" i="1"/>
  <c r="AP50" i="1" s="1"/>
  <c r="AB74" i="1"/>
  <c r="AP74" i="1" s="1"/>
  <c r="AB86" i="1"/>
  <c r="AP86" i="1" s="1"/>
  <c r="AB98" i="1"/>
  <c r="AP98" i="1" s="1"/>
  <c r="AB110" i="1"/>
  <c r="AP110" i="1" s="1"/>
  <c r="AB122" i="1"/>
  <c r="AP122" i="1" s="1"/>
  <c r="AB134" i="1"/>
  <c r="AP134" i="1" s="1"/>
  <c r="AB146" i="1"/>
  <c r="AP146" i="1" s="1"/>
  <c r="AB170" i="1"/>
  <c r="AP170" i="1" s="1"/>
  <c r="AB182" i="1"/>
  <c r="AP182" i="1" s="1"/>
  <c r="AB194" i="1"/>
  <c r="AP194" i="1" s="1"/>
  <c r="AB206" i="1"/>
  <c r="AP206" i="1" s="1"/>
  <c r="AB218" i="1"/>
  <c r="AP218" i="1" s="1"/>
  <c r="AB242" i="1"/>
  <c r="AP242" i="1" s="1"/>
  <c r="AB266" i="1"/>
  <c r="AP266" i="1" s="1"/>
  <c r="AB302" i="1"/>
  <c r="AP302" i="1" s="1"/>
  <c r="AB314" i="1"/>
  <c r="AP314" i="1" s="1"/>
  <c r="AB326" i="1"/>
  <c r="AP326" i="1" s="1"/>
  <c r="AB338" i="1"/>
  <c r="AP338" i="1" s="1"/>
  <c r="AB350" i="1"/>
  <c r="AP350" i="1" s="1"/>
  <c r="AB362" i="1"/>
  <c r="AP362" i="1" s="1"/>
  <c r="AB374" i="1"/>
  <c r="AP374" i="1" s="1"/>
  <c r="AB386" i="1"/>
  <c r="AP386" i="1" s="1"/>
  <c r="AB398" i="1"/>
  <c r="AP398" i="1" s="1"/>
  <c r="AB410" i="1"/>
  <c r="AP410" i="1" s="1"/>
  <c r="AB422" i="1"/>
  <c r="AP422" i="1" s="1"/>
  <c r="AB434" i="1"/>
  <c r="AP434" i="1" s="1"/>
  <c r="AB446" i="1"/>
  <c r="AP446" i="1" s="1"/>
  <c r="AB458" i="1"/>
  <c r="AP458" i="1" s="1"/>
  <c r="AB470" i="1"/>
  <c r="AP470" i="1" s="1"/>
  <c r="AB482" i="1"/>
  <c r="AP482" i="1" s="1"/>
  <c r="AB494" i="1"/>
  <c r="AP494" i="1" s="1"/>
  <c r="AB506" i="1"/>
  <c r="AP506" i="1" s="1"/>
  <c r="AB518" i="1"/>
  <c r="AP518" i="1" s="1"/>
  <c r="AB530" i="1"/>
  <c r="AP530" i="1" s="1"/>
  <c r="AN5" i="1"/>
  <c r="AQ5" i="1" s="1"/>
  <c r="AN17" i="1"/>
  <c r="AQ17" i="1" s="1"/>
  <c r="AN29" i="1"/>
  <c r="AQ29" i="1" s="1"/>
  <c r="AN41" i="1"/>
  <c r="AQ41" i="1" s="1"/>
  <c r="AN53" i="1"/>
  <c r="AQ53" i="1" s="1"/>
  <c r="AN65" i="1"/>
  <c r="AQ65" i="1" s="1"/>
  <c r="AN77" i="1"/>
  <c r="AQ77" i="1" s="1"/>
  <c r="AN89" i="1"/>
  <c r="AQ89" i="1" s="1"/>
  <c r="AN101" i="1"/>
  <c r="AQ101" i="1" s="1"/>
  <c r="AN113" i="1"/>
  <c r="AQ113" i="1" s="1"/>
  <c r="AR113" i="1" s="1"/>
  <c r="AN125" i="1"/>
  <c r="AQ125" i="1" s="1"/>
  <c r="AN137" i="1"/>
  <c r="AQ137" i="1" s="1"/>
  <c r="AN149" i="1"/>
  <c r="AQ149" i="1" s="1"/>
  <c r="AN161" i="1"/>
  <c r="AQ161" i="1" s="1"/>
  <c r="AN173" i="1"/>
  <c r="AQ173" i="1" s="1"/>
  <c r="AN185" i="1"/>
  <c r="AQ185" i="1" s="1"/>
  <c r="AN197" i="1"/>
  <c r="AQ197" i="1" s="1"/>
  <c r="AN209" i="1"/>
  <c r="AQ209" i="1" s="1"/>
  <c r="AN221" i="1"/>
  <c r="AQ221" i="1" s="1"/>
  <c r="AN233" i="1"/>
  <c r="AQ233" i="1" s="1"/>
  <c r="AN245" i="1"/>
  <c r="AQ245" i="1" s="1"/>
  <c r="AN257" i="1"/>
  <c r="AQ257" i="1" s="1"/>
  <c r="AN269" i="1"/>
  <c r="AQ269" i="1" s="1"/>
  <c r="AR269" i="1" s="1"/>
  <c r="AN281" i="1"/>
  <c r="AQ281" i="1" s="1"/>
  <c r="AN293" i="1"/>
  <c r="AQ293" i="1" s="1"/>
  <c r="AN305" i="1"/>
  <c r="AQ305" i="1" s="1"/>
  <c r="AN317" i="1"/>
  <c r="AQ317" i="1" s="1"/>
  <c r="AN329" i="1"/>
  <c r="AQ329" i="1" s="1"/>
  <c r="AN341" i="1"/>
  <c r="AQ341" i="1" s="1"/>
  <c r="AN353" i="1"/>
  <c r="AQ353" i="1" s="1"/>
  <c r="AN365" i="1"/>
  <c r="AQ365" i="1" s="1"/>
  <c r="AN377" i="1"/>
  <c r="AQ377" i="1" s="1"/>
  <c r="AN389" i="1"/>
  <c r="AQ389" i="1" s="1"/>
  <c r="AN401" i="1"/>
  <c r="AQ401" i="1" s="1"/>
  <c r="AN413" i="1"/>
  <c r="AQ413" i="1" s="1"/>
  <c r="AR413" i="1" s="1"/>
  <c r="AN425" i="1"/>
  <c r="AQ425" i="1" s="1"/>
  <c r="AN437" i="1"/>
  <c r="AQ437" i="1" s="1"/>
  <c r="AN449" i="1"/>
  <c r="AQ449" i="1" s="1"/>
  <c r="AN461" i="1"/>
  <c r="AQ461" i="1" s="1"/>
  <c r="AN473" i="1"/>
  <c r="AQ473" i="1" s="1"/>
  <c r="AN497" i="1"/>
  <c r="AQ497" i="1" s="1"/>
  <c r="AN593" i="1"/>
  <c r="AQ593" i="1" s="1"/>
  <c r="AN103" i="1"/>
  <c r="AQ103" i="1" s="1"/>
  <c r="AB28" i="1"/>
  <c r="AP28" i="1" s="1"/>
  <c r="AB40" i="1"/>
  <c r="AP40" i="1" s="1"/>
  <c r="AB64" i="1"/>
  <c r="AP64" i="1" s="1"/>
  <c r="AN259" i="1"/>
  <c r="AQ259" i="1" s="1"/>
  <c r="AN302" i="1"/>
  <c r="AQ302" i="1" s="1"/>
  <c r="AN314" i="1"/>
  <c r="AQ314" i="1" s="1"/>
  <c r="AN326" i="1"/>
  <c r="AQ326" i="1" s="1"/>
  <c r="AN374" i="1"/>
  <c r="AQ374" i="1" s="1"/>
  <c r="AN386" i="1"/>
  <c r="AQ386" i="1" s="1"/>
  <c r="AN410" i="1"/>
  <c r="AQ410" i="1" s="1"/>
  <c r="AN422" i="1"/>
  <c r="AQ422" i="1" s="1"/>
  <c r="AN458" i="1"/>
  <c r="AQ458" i="1" s="1"/>
  <c r="AN470" i="1"/>
  <c r="AQ470" i="1" s="1"/>
  <c r="AN494" i="1"/>
  <c r="AQ494" i="1" s="1"/>
  <c r="AN506" i="1"/>
  <c r="AQ506" i="1" s="1"/>
  <c r="AN518" i="1"/>
  <c r="AQ518" i="1" s="1"/>
  <c r="AN554" i="1"/>
  <c r="AQ554" i="1" s="1"/>
  <c r="AN578" i="1"/>
  <c r="AQ578" i="1" s="1"/>
  <c r="AN614" i="1"/>
  <c r="AQ614" i="1" s="1"/>
  <c r="AN650" i="1"/>
  <c r="AQ650" i="1" s="1"/>
  <c r="AN662" i="1"/>
  <c r="AQ662" i="1" s="1"/>
  <c r="AN686" i="1"/>
  <c r="AQ686" i="1" s="1"/>
  <c r="AN698" i="1"/>
  <c r="AQ698" i="1" s="1"/>
  <c r="AN710" i="1"/>
  <c r="AQ710" i="1" s="1"/>
  <c r="AN746" i="1"/>
  <c r="AQ746" i="1" s="1"/>
  <c r="AN758" i="1"/>
  <c r="AQ758" i="1" s="1"/>
  <c r="AN770" i="1"/>
  <c r="AQ770" i="1" s="1"/>
  <c r="AN794" i="1"/>
  <c r="AQ794" i="1" s="1"/>
  <c r="AN842" i="1"/>
  <c r="AQ842" i="1" s="1"/>
  <c r="AN926" i="1"/>
  <c r="AQ926" i="1" s="1"/>
  <c r="AN938" i="1"/>
  <c r="AQ938" i="1" s="1"/>
  <c r="AN950" i="1"/>
  <c r="AQ950" i="1" s="1"/>
  <c r="AN974" i="1"/>
  <c r="AQ974" i="1" s="1"/>
  <c r="AN986" i="1"/>
  <c r="AQ986" i="1" s="1"/>
  <c r="AN998" i="1"/>
  <c r="AQ998" i="1" s="1"/>
  <c r="AN1022" i="1"/>
  <c r="AQ1022" i="1" s="1"/>
  <c r="AN1034" i="1"/>
  <c r="AQ1034" i="1" s="1"/>
  <c r="AN1046" i="1"/>
  <c r="AQ1046" i="1" s="1"/>
  <c r="AN1058" i="1"/>
  <c r="AQ1058" i="1" s="1"/>
  <c r="AN1070" i="1"/>
  <c r="AQ1070" i="1" s="1"/>
  <c r="AN1154" i="1"/>
  <c r="AQ1154" i="1" s="1"/>
  <c r="AN1178" i="1"/>
  <c r="AQ1178" i="1" s="1"/>
  <c r="AN24" i="1"/>
  <c r="AQ24" i="1" s="1"/>
  <c r="AN271" i="1"/>
  <c r="AQ271" i="1" s="1"/>
  <c r="AN463" i="1"/>
  <c r="AQ463" i="1" s="1"/>
  <c r="AN499" i="1"/>
  <c r="AQ499" i="1" s="1"/>
  <c r="AN655" i="1"/>
  <c r="AQ655" i="1" s="1"/>
  <c r="AN691" i="1"/>
  <c r="AQ691" i="1" s="1"/>
  <c r="AN936" i="1"/>
  <c r="AQ936" i="1" s="1"/>
  <c r="AN984" i="1"/>
  <c r="AQ984" i="1" s="1"/>
  <c r="AN1104" i="1"/>
  <c r="AQ1104" i="1" s="1"/>
  <c r="AN1232" i="1"/>
  <c r="AQ1232" i="1" s="1"/>
  <c r="AN1271" i="1"/>
  <c r="AN1270" i="1"/>
  <c r="AN1379" i="1"/>
  <c r="AN1378" i="1"/>
  <c r="AN1403" i="1"/>
  <c r="AN1402" i="1"/>
  <c r="AN1523" i="1"/>
  <c r="AN1522" i="1"/>
  <c r="AN1414" i="1"/>
  <c r="AN447" i="1"/>
  <c r="AQ447" i="1" s="1"/>
  <c r="AN471" i="1"/>
  <c r="AQ471" i="1" s="1"/>
  <c r="AN495" i="1"/>
  <c r="AQ495" i="1" s="1"/>
  <c r="AN555" i="1"/>
  <c r="AQ555" i="1" s="1"/>
  <c r="AN579" i="1"/>
  <c r="AQ579" i="1" s="1"/>
  <c r="AN591" i="1"/>
  <c r="AQ591" i="1" s="1"/>
  <c r="AN639" i="1"/>
  <c r="AQ639" i="1" s="1"/>
  <c r="AN663" i="1"/>
  <c r="AQ663" i="1" s="1"/>
  <c r="AN699" i="1"/>
  <c r="AQ699" i="1" s="1"/>
  <c r="AN735" i="1"/>
  <c r="AQ735" i="1" s="1"/>
  <c r="AN747" i="1"/>
  <c r="AQ747" i="1" s="1"/>
  <c r="AN771" i="1"/>
  <c r="AQ771" i="1" s="1"/>
  <c r="AN783" i="1"/>
  <c r="AQ783" i="1" s="1"/>
  <c r="AN831" i="1"/>
  <c r="AQ831" i="1" s="1"/>
  <c r="AN843" i="1"/>
  <c r="AQ843" i="1" s="1"/>
  <c r="AN855" i="1"/>
  <c r="AQ855" i="1" s="1"/>
  <c r="AN879" i="1"/>
  <c r="AQ879" i="1" s="1"/>
  <c r="AN891" i="1"/>
  <c r="AQ891" i="1" s="1"/>
  <c r="AN915" i="1"/>
  <c r="AQ915" i="1" s="1"/>
  <c r="AN927" i="1"/>
  <c r="AQ927" i="1" s="1"/>
  <c r="AN939" i="1"/>
  <c r="AQ939" i="1" s="1"/>
  <c r="AN951" i="1"/>
  <c r="AQ951" i="1" s="1"/>
  <c r="AN987" i="1"/>
  <c r="AQ987" i="1" s="1"/>
  <c r="AN999" i="1"/>
  <c r="AQ999" i="1" s="1"/>
  <c r="AN1035" i="1"/>
  <c r="AQ1035" i="1" s="1"/>
  <c r="AN1083" i="1"/>
  <c r="AQ1083" i="1" s="1"/>
  <c r="AN1095" i="1"/>
  <c r="AQ1095" i="1" s="1"/>
  <c r="AN1107" i="1"/>
  <c r="AQ1107" i="1" s="1"/>
  <c r="AN1119" i="1"/>
  <c r="AQ1119" i="1" s="1"/>
  <c r="AN1155" i="1"/>
  <c r="AQ1155" i="1" s="1"/>
  <c r="AN1167" i="1"/>
  <c r="AQ1167" i="1" s="1"/>
  <c r="AN1203" i="1"/>
  <c r="AQ1203" i="1" s="1"/>
  <c r="AN59" i="1"/>
  <c r="AQ59" i="1" s="1"/>
  <c r="AN179" i="1"/>
  <c r="AQ179" i="1" s="1"/>
  <c r="AN211" i="1"/>
  <c r="AQ211" i="1" s="1"/>
  <c r="AN371" i="1"/>
  <c r="AQ371" i="1" s="1"/>
  <c r="AR371" i="1" s="1"/>
  <c r="AN403" i="1"/>
  <c r="AQ403" i="1" s="1"/>
  <c r="AN563" i="1"/>
  <c r="AQ563" i="1" s="1"/>
  <c r="AN755" i="1"/>
  <c r="AQ755" i="1" s="1"/>
  <c r="AN787" i="1"/>
  <c r="AQ787" i="1" s="1"/>
  <c r="AN1075" i="1"/>
  <c r="AQ1075" i="1" s="1"/>
  <c r="AN472" i="1"/>
  <c r="AQ472" i="1" s="1"/>
  <c r="AN484" i="1"/>
  <c r="AQ484" i="1" s="1"/>
  <c r="AN892" i="1"/>
  <c r="AQ892" i="1" s="1"/>
  <c r="AN904" i="1"/>
  <c r="AQ904" i="1" s="1"/>
  <c r="AN928" i="1"/>
  <c r="AQ928" i="1" s="1"/>
  <c r="AN940" i="1"/>
  <c r="AQ940" i="1" s="1"/>
  <c r="AN952" i="1"/>
  <c r="AQ952" i="1" s="1"/>
  <c r="AN1048" i="1"/>
  <c r="AQ1048" i="1" s="1"/>
  <c r="AN1072" i="1"/>
  <c r="AQ1072" i="1" s="1"/>
  <c r="AN1108" i="1"/>
  <c r="AQ1108" i="1" s="1"/>
  <c r="AN1132" i="1"/>
  <c r="AQ1132" i="1" s="1"/>
  <c r="AN1156" i="1"/>
  <c r="AQ1156" i="1" s="1"/>
  <c r="AN1192" i="1"/>
  <c r="AQ1192" i="1" s="1"/>
  <c r="AN1228" i="1"/>
  <c r="AQ1228" i="1" s="1"/>
  <c r="AN31" i="1"/>
  <c r="AQ31" i="1" s="1"/>
  <c r="AN60" i="1"/>
  <c r="AQ60" i="1" s="1"/>
  <c r="AN180" i="1"/>
  <c r="AQ180" i="1" s="1"/>
  <c r="AN275" i="1"/>
  <c r="AQ275" i="1" s="1"/>
  <c r="AN467" i="1"/>
  <c r="AQ467" i="1" s="1"/>
  <c r="AN564" i="1"/>
  <c r="AQ564" i="1" s="1"/>
  <c r="AN756" i="1"/>
  <c r="AQ756" i="1" s="1"/>
  <c r="AN485" i="1"/>
  <c r="AQ485" i="1" s="1"/>
  <c r="AN509" i="1"/>
  <c r="AQ509" i="1" s="1"/>
  <c r="AN521" i="1"/>
  <c r="AQ521" i="1" s="1"/>
  <c r="AN533" i="1"/>
  <c r="AQ533" i="1" s="1"/>
  <c r="AN545" i="1"/>
  <c r="AQ545" i="1" s="1"/>
  <c r="AN557" i="1"/>
  <c r="AQ557" i="1" s="1"/>
  <c r="AN569" i="1"/>
  <c r="AQ569" i="1" s="1"/>
  <c r="AN581" i="1"/>
  <c r="AQ581" i="1" s="1"/>
  <c r="AN605" i="1"/>
  <c r="AQ605" i="1" s="1"/>
  <c r="AN617" i="1"/>
  <c r="AQ617" i="1" s="1"/>
  <c r="AN641" i="1"/>
  <c r="AQ641" i="1" s="1"/>
  <c r="AR641" i="1" s="1"/>
  <c r="AN653" i="1"/>
  <c r="AQ653" i="1" s="1"/>
  <c r="AR653" i="1" s="1"/>
  <c r="AN677" i="1"/>
  <c r="AQ677" i="1" s="1"/>
  <c r="AN689" i="1"/>
  <c r="AQ689" i="1" s="1"/>
  <c r="AN701" i="1"/>
  <c r="AQ701" i="1" s="1"/>
  <c r="AN713" i="1"/>
  <c r="AQ713" i="1" s="1"/>
  <c r="AN737" i="1"/>
  <c r="AQ737" i="1" s="1"/>
  <c r="AN749" i="1"/>
  <c r="AQ749" i="1" s="1"/>
  <c r="AN761" i="1"/>
  <c r="AQ761" i="1" s="1"/>
  <c r="AN773" i="1"/>
  <c r="AQ773" i="1" s="1"/>
  <c r="AN785" i="1"/>
  <c r="AQ785" i="1" s="1"/>
  <c r="AN797" i="1"/>
  <c r="AQ797" i="1" s="1"/>
  <c r="AN809" i="1"/>
  <c r="AQ809" i="1" s="1"/>
  <c r="AN821" i="1"/>
  <c r="AQ821" i="1" s="1"/>
  <c r="AN833" i="1"/>
  <c r="AQ833" i="1" s="1"/>
  <c r="AN869" i="1"/>
  <c r="AQ869" i="1" s="1"/>
  <c r="AN881" i="1"/>
  <c r="AQ881" i="1" s="1"/>
  <c r="AN917" i="1"/>
  <c r="AQ917" i="1" s="1"/>
  <c r="AN965" i="1"/>
  <c r="AQ965" i="1" s="1"/>
  <c r="AN977" i="1"/>
  <c r="AQ977" i="1" s="1"/>
  <c r="AN1013" i="1"/>
  <c r="AQ1013" i="1" s="1"/>
  <c r="AN1025" i="1"/>
  <c r="AQ1025" i="1" s="1"/>
  <c r="AN1037" i="1"/>
  <c r="AQ1037" i="1" s="1"/>
  <c r="AN1061" i="1"/>
  <c r="AQ1061" i="1" s="1"/>
  <c r="AN1085" i="1"/>
  <c r="AQ1085" i="1" s="1"/>
  <c r="AN1097" i="1"/>
  <c r="AQ1097" i="1" s="1"/>
  <c r="AN1169" i="1"/>
  <c r="AQ1169" i="1" s="1"/>
  <c r="AN36" i="1"/>
  <c r="AQ36" i="1" s="1"/>
  <c r="AN119" i="1"/>
  <c r="AQ119" i="1" s="1"/>
  <c r="AN155" i="1"/>
  <c r="AQ155" i="1" s="1"/>
  <c r="AN347" i="1"/>
  <c r="AQ347" i="1" s="1"/>
  <c r="AN503" i="1"/>
  <c r="AQ503" i="1" s="1"/>
  <c r="AN539" i="1"/>
  <c r="AQ539" i="1" s="1"/>
  <c r="AN695" i="1"/>
  <c r="AQ695" i="1" s="1"/>
  <c r="AN731" i="1"/>
  <c r="AQ731" i="1" s="1"/>
  <c r="AN864" i="1"/>
  <c r="AQ864" i="1" s="1"/>
  <c r="AN1080" i="1"/>
  <c r="AQ1080" i="1" s="1"/>
  <c r="AN7" i="1"/>
  <c r="AQ7" i="1" s="1"/>
  <c r="AN120" i="1"/>
  <c r="AQ120" i="1" s="1"/>
  <c r="AN156" i="1"/>
  <c r="AQ156" i="1" s="1"/>
  <c r="AN312" i="1"/>
  <c r="AQ312" i="1" s="1"/>
  <c r="AN348" i="1"/>
  <c r="AQ348" i="1" s="1"/>
  <c r="AN504" i="1"/>
  <c r="AQ504" i="1" s="1"/>
  <c r="AN540" i="1"/>
  <c r="AQ540" i="1" s="1"/>
  <c r="AN905" i="1"/>
  <c r="AQ905" i="1" s="1"/>
  <c r="AN336" i="1"/>
  <c r="AQ336" i="1" s="1"/>
  <c r="AB836" i="1"/>
  <c r="AP836" i="1" s="1"/>
  <c r="AN55" i="1"/>
  <c r="AQ55" i="1" s="1"/>
  <c r="AR55" i="1" s="1"/>
  <c r="AN67" i="1"/>
  <c r="AQ67" i="1" s="1"/>
  <c r="AN175" i="1"/>
  <c r="AQ175" i="1" s="1"/>
  <c r="AN331" i="1"/>
  <c r="AQ331" i="1" s="1"/>
  <c r="AN367" i="1"/>
  <c r="AQ367" i="1" s="1"/>
  <c r="AN559" i="1"/>
  <c r="AQ559" i="1" s="1"/>
  <c r="AN619" i="1"/>
  <c r="AQ619" i="1" s="1"/>
  <c r="AN643" i="1"/>
  <c r="AQ643" i="1" s="1"/>
  <c r="AN751" i="1"/>
  <c r="AQ751" i="1" s="1"/>
  <c r="AR751" i="1" s="1"/>
  <c r="AN835" i="1"/>
  <c r="AQ835" i="1" s="1"/>
  <c r="AN1027" i="1"/>
  <c r="AQ1027" i="1" s="1"/>
  <c r="AN1039" i="1"/>
  <c r="AQ1039" i="1" s="1"/>
  <c r="AN1183" i="1"/>
  <c r="AQ1183" i="1" s="1"/>
  <c r="AN223" i="1"/>
  <c r="AQ223" i="1" s="1"/>
  <c r="AN444" i="1"/>
  <c r="AQ444" i="1" s="1"/>
  <c r="AN607" i="1"/>
  <c r="AQ607" i="1" s="1"/>
  <c r="AN636" i="1"/>
  <c r="AQ636" i="1" s="1"/>
  <c r="AN799" i="1"/>
  <c r="AQ799" i="1" s="1"/>
  <c r="AN828" i="1"/>
  <c r="AQ828" i="1" s="1"/>
  <c r="AN1214" i="1"/>
  <c r="AQ1214" i="1" s="1"/>
  <c r="AN1032" i="1"/>
  <c r="AQ1032" i="1" s="1"/>
  <c r="AN452" i="1"/>
  <c r="AQ452" i="1" s="1"/>
  <c r="AN464" i="1"/>
  <c r="AQ464" i="1" s="1"/>
  <c r="AN512" i="1"/>
  <c r="AQ512" i="1" s="1"/>
  <c r="AN536" i="1"/>
  <c r="AQ536" i="1" s="1"/>
  <c r="AN572" i="1"/>
  <c r="AQ572" i="1" s="1"/>
  <c r="AN608" i="1"/>
  <c r="AQ608" i="1" s="1"/>
  <c r="AN620" i="1"/>
  <c r="AQ620" i="1" s="1"/>
  <c r="AN644" i="1"/>
  <c r="AQ644" i="1" s="1"/>
  <c r="AN704" i="1"/>
  <c r="AQ704" i="1" s="1"/>
  <c r="AN728" i="1"/>
  <c r="AQ728" i="1" s="1"/>
  <c r="AN752" i="1"/>
  <c r="AQ752" i="1" s="1"/>
  <c r="AN764" i="1"/>
  <c r="AQ764" i="1" s="1"/>
  <c r="AN800" i="1"/>
  <c r="AQ800" i="1" s="1"/>
  <c r="AN812" i="1"/>
  <c r="AQ812" i="1" s="1"/>
  <c r="AN836" i="1"/>
  <c r="AQ836" i="1" s="1"/>
  <c r="AN848" i="1"/>
  <c r="AQ848" i="1" s="1"/>
  <c r="AN860" i="1"/>
  <c r="AQ860" i="1" s="1"/>
  <c r="AN872" i="1"/>
  <c r="AQ872" i="1" s="1"/>
  <c r="AN896" i="1"/>
  <c r="AQ896" i="1" s="1"/>
  <c r="AN920" i="1"/>
  <c r="AQ920" i="1" s="1"/>
  <c r="AN932" i="1"/>
  <c r="AQ932" i="1" s="1"/>
  <c r="AN944" i="1"/>
  <c r="AQ944" i="1" s="1"/>
  <c r="AN956" i="1"/>
  <c r="AQ956" i="1" s="1"/>
  <c r="AN968" i="1"/>
  <c r="AQ968" i="1" s="1"/>
  <c r="AN980" i="1"/>
  <c r="AQ980" i="1" s="1"/>
  <c r="AN992" i="1"/>
  <c r="AQ992" i="1" s="1"/>
  <c r="AN1004" i="1"/>
  <c r="AQ1004" i="1" s="1"/>
  <c r="AN1016" i="1"/>
  <c r="AQ1016" i="1" s="1"/>
  <c r="AN1028" i="1"/>
  <c r="AQ1028" i="1" s="1"/>
  <c r="AN1052" i="1"/>
  <c r="AQ1052" i="1" s="1"/>
  <c r="AN1064" i="1"/>
  <c r="AQ1064" i="1" s="1"/>
  <c r="AN1076" i="1"/>
  <c r="AQ1076" i="1" s="1"/>
  <c r="AN1088" i="1"/>
  <c r="AQ1088" i="1" s="1"/>
  <c r="AN1112" i="1"/>
  <c r="AQ1112" i="1" s="1"/>
  <c r="AN1124" i="1"/>
  <c r="AQ1124" i="1" s="1"/>
  <c r="AN1160" i="1"/>
  <c r="AQ1160" i="1" s="1"/>
  <c r="AN1172" i="1"/>
  <c r="AQ1172" i="1" s="1"/>
  <c r="AN1184" i="1"/>
  <c r="AQ1184" i="1" s="1"/>
  <c r="AN1196" i="1"/>
  <c r="AQ1196" i="1" s="1"/>
  <c r="AN11" i="1"/>
  <c r="AQ11" i="1" s="1"/>
  <c r="AN127" i="1"/>
  <c r="AQ127" i="1" s="1"/>
  <c r="AN288" i="1"/>
  <c r="AQ288" i="1" s="1"/>
  <c r="AN319" i="1"/>
  <c r="AQ319" i="1" s="1"/>
  <c r="AN480" i="1"/>
  <c r="AQ480" i="1" s="1"/>
  <c r="AN511" i="1"/>
  <c r="AQ511" i="1" s="1"/>
  <c r="AN672" i="1"/>
  <c r="AQ672" i="1" s="1"/>
  <c r="AN703" i="1"/>
  <c r="AQ703" i="1" s="1"/>
  <c r="AN871" i="1"/>
  <c r="AQ871" i="1" s="1"/>
  <c r="AN1207" i="1"/>
  <c r="AQ1207" i="1" s="1"/>
  <c r="AN1462" i="1"/>
  <c r="AN873" i="1"/>
  <c r="AQ873" i="1" s="1"/>
  <c r="AN885" i="1"/>
  <c r="AQ885" i="1" s="1"/>
  <c r="AN957" i="1"/>
  <c r="AQ957" i="1" s="1"/>
  <c r="AN981" i="1"/>
  <c r="AQ981" i="1" s="1"/>
  <c r="AN1053" i="1"/>
  <c r="AQ1053" i="1" s="1"/>
  <c r="AN1089" i="1"/>
  <c r="AQ1089" i="1" s="1"/>
  <c r="AN1149" i="1"/>
  <c r="AQ1149" i="1" s="1"/>
  <c r="AN19" i="1"/>
  <c r="AQ19" i="1" s="1"/>
  <c r="AR19" i="1" s="1"/>
  <c r="AN132" i="1"/>
  <c r="AQ132" i="1" s="1"/>
  <c r="AN163" i="1"/>
  <c r="AQ163" i="1" s="1"/>
  <c r="AN324" i="1"/>
  <c r="AQ324" i="1" s="1"/>
  <c r="AN355" i="1"/>
  <c r="AQ355" i="1" s="1"/>
  <c r="AN516" i="1"/>
  <c r="AQ516" i="1" s="1"/>
  <c r="AN547" i="1"/>
  <c r="AQ547" i="1" s="1"/>
  <c r="AN708" i="1"/>
  <c r="AQ708" i="1" s="1"/>
  <c r="AN739" i="1"/>
  <c r="AQ739" i="1" s="1"/>
  <c r="AN1123" i="1"/>
  <c r="AQ1123" i="1" s="1"/>
  <c r="AN1044" i="1"/>
  <c r="AQ1044" i="1" s="1"/>
  <c r="AN994" i="1"/>
  <c r="AQ994" i="1" s="1"/>
  <c r="AN840" i="1"/>
  <c r="AQ840" i="1" s="1"/>
  <c r="AN924" i="1"/>
  <c r="AQ924" i="1" s="1"/>
  <c r="AN1130" i="1"/>
  <c r="AQ1130" i="1" s="1"/>
  <c r="AN1219" i="1"/>
  <c r="AQ1219" i="1" s="1"/>
  <c r="AB660" i="1"/>
  <c r="AP660" i="1" s="1"/>
  <c r="AB720" i="1"/>
  <c r="AP720" i="1" s="1"/>
  <c r="AN71" i="1"/>
  <c r="AQ71" i="1" s="1"/>
  <c r="AN131" i="1"/>
  <c r="AQ131" i="1" s="1"/>
  <c r="AN215" i="1"/>
  <c r="AQ215" i="1" s="1"/>
  <c r="AR215" i="1" s="1"/>
  <c r="AN251" i="1"/>
  <c r="AQ251" i="1" s="1"/>
  <c r="AN299" i="1"/>
  <c r="AQ299" i="1" s="1"/>
  <c r="AN323" i="1"/>
  <c r="AQ323" i="1" s="1"/>
  <c r="AN407" i="1"/>
  <c r="AQ407" i="1" s="1"/>
  <c r="AN443" i="1"/>
  <c r="AQ443" i="1" s="1"/>
  <c r="AN491" i="1"/>
  <c r="AQ491" i="1" s="1"/>
  <c r="AN635" i="1"/>
  <c r="AQ635" i="1" s="1"/>
  <c r="AN683" i="1"/>
  <c r="AQ683" i="1" s="1"/>
  <c r="AN707" i="1"/>
  <c r="AQ707" i="1" s="1"/>
  <c r="AN791" i="1"/>
  <c r="AQ791" i="1" s="1"/>
  <c r="AR791" i="1" s="1"/>
  <c r="AN827" i="1"/>
  <c r="AQ827" i="1" s="1"/>
  <c r="AR827" i="1" s="1"/>
  <c r="AN839" i="1"/>
  <c r="AQ839" i="1" s="1"/>
  <c r="AN1067" i="1"/>
  <c r="AQ1067" i="1" s="1"/>
  <c r="AN1199" i="1"/>
  <c r="AQ1199" i="1" s="1"/>
  <c r="AN48" i="1"/>
  <c r="AQ48" i="1" s="1"/>
  <c r="AN79" i="1"/>
  <c r="AQ79" i="1" s="1"/>
  <c r="AN264" i="1"/>
  <c r="AQ264" i="1" s="1"/>
  <c r="AN359" i="1"/>
  <c r="AQ359" i="1" s="1"/>
  <c r="AN456" i="1"/>
  <c r="AQ456" i="1" s="1"/>
  <c r="AN551" i="1"/>
  <c r="AQ551" i="1" s="1"/>
  <c r="AN648" i="1"/>
  <c r="AQ648" i="1" s="1"/>
  <c r="AN743" i="1"/>
  <c r="AQ743" i="1" s="1"/>
  <c r="AN971" i="1"/>
  <c r="AQ971" i="1" s="1"/>
  <c r="AN1015" i="1"/>
  <c r="AQ1015" i="1" s="1"/>
  <c r="AB542" i="1"/>
  <c r="AP542" i="1" s="1"/>
  <c r="AB554" i="1"/>
  <c r="AP554" i="1" s="1"/>
  <c r="AB566" i="1"/>
  <c r="AP566" i="1" s="1"/>
  <c r="AB578" i="1"/>
  <c r="AP578" i="1" s="1"/>
  <c r="AB590" i="1"/>
  <c r="AP590" i="1" s="1"/>
  <c r="AB602" i="1"/>
  <c r="AP602" i="1" s="1"/>
  <c r="AB614" i="1"/>
  <c r="AP614" i="1" s="1"/>
  <c r="AB626" i="1"/>
  <c r="AP626" i="1" s="1"/>
  <c r="AB638" i="1"/>
  <c r="AP638" i="1" s="1"/>
  <c r="AB650" i="1"/>
  <c r="AP650" i="1" s="1"/>
  <c r="AB662" i="1"/>
  <c r="AP662" i="1" s="1"/>
  <c r="AB674" i="1"/>
  <c r="AP674" i="1" s="1"/>
  <c r="AB686" i="1"/>
  <c r="AP686" i="1" s="1"/>
  <c r="AB698" i="1"/>
  <c r="AP698" i="1" s="1"/>
  <c r="AB710" i="1"/>
  <c r="AP710" i="1" s="1"/>
  <c r="AB722" i="1"/>
  <c r="AP722" i="1" s="1"/>
  <c r="AB734" i="1"/>
  <c r="AP734" i="1" s="1"/>
  <c r="AB746" i="1"/>
  <c r="AP746" i="1" s="1"/>
  <c r="AB758" i="1"/>
  <c r="AP758" i="1" s="1"/>
  <c r="AB770" i="1"/>
  <c r="AP770" i="1" s="1"/>
  <c r="AB782" i="1"/>
  <c r="AP782" i="1" s="1"/>
  <c r="AB794" i="1"/>
  <c r="AP794" i="1" s="1"/>
  <c r="AB806" i="1"/>
  <c r="AP806" i="1" s="1"/>
  <c r="AB818" i="1"/>
  <c r="AP818" i="1" s="1"/>
  <c r="AB830" i="1"/>
  <c r="AP830" i="1" s="1"/>
  <c r="AB842" i="1"/>
  <c r="AP842" i="1" s="1"/>
  <c r="AB854" i="1"/>
  <c r="AP854" i="1" s="1"/>
  <c r="AB866" i="1"/>
  <c r="AP866" i="1" s="1"/>
  <c r="AB878" i="1"/>
  <c r="AP878" i="1" s="1"/>
  <c r="AB890" i="1"/>
  <c r="AP890" i="1" s="1"/>
  <c r="AB902" i="1"/>
  <c r="AP902" i="1" s="1"/>
  <c r="AB914" i="1"/>
  <c r="AP914" i="1" s="1"/>
  <c r="AB926" i="1"/>
  <c r="AP926" i="1" s="1"/>
  <c r="AB938" i="1"/>
  <c r="AP938" i="1" s="1"/>
  <c r="AB962" i="1"/>
  <c r="AP962" i="1" s="1"/>
  <c r="AB974" i="1"/>
  <c r="AP974" i="1" s="1"/>
  <c r="AB986" i="1"/>
  <c r="AP986" i="1" s="1"/>
  <c r="AB998" i="1"/>
  <c r="AP998" i="1" s="1"/>
  <c r="AB1010" i="1"/>
  <c r="AP1010" i="1" s="1"/>
  <c r="AB1022" i="1"/>
  <c r="AP1022" i="1" s="1"/>
  <c r="AB1034" i="1"/>
  <c r="AP1034" i="1" s="1"/>
  <c r="AB1046" i="1"/>
  <c r="AP1046" i="1" s="1"/>
  <c r="AB1070" i="1"/>
  <c r="AP1070" i="1" s="1"/>
  <c r="AB1082" i="1"/>
  <c r="AP1082" i="1" s="1"/>
  <c r="AB1094" i="1"/>
  <c r="AP1094" i="1" s="1"/>
  <c r="AB1106" i="1"/>
  <c r="AP1106" i="1" s="1"/>
  <c r="AB1118" i="1"/>
  <c r="AP1118" i="1" s="1"/>
  <c r="AB1130" i="1"/>
  <c r="AP1130" i="1" s="1"/>
  <c r="AB1142" i="1"/>
  <c r="AP1142" i="1" s="1"/>
  <c r="AB1154" i="1"/>
  <c r="AP1154" i="1" s="1"/>
  <c r="AB1166" i="1"/>
  <c r="AP1166" i="1" s="1"/>
  <c r="AB1178" i="1"/>
  <c r="AP1178" i="1" s="1"/>
  <c r="AB1190" i="1"/>
  <c r="AP1190" i="1" s="1"/>
  <c r="AB1202" i="1"/>
  <c r="AP1202" i="1" s="1"/>
  <c r="AB1214" i="1"/>
  <c r="AP1214" i="1" s="1"/>
  <c r="AB1226" i="1"/>
  <c r="AP1226" i="1" s="1"/>
  <c r="AN12" i="1"/>
  <c r="AQ12" i="1" s="1"/>
  <c r="AN72" i="1"/>
  <c r="AQ72" i="1" s="1"/>
  <c r="AN84" i="1"/>
  <c r="AQ84" i="1" s="1"/>
  <c r="AN108" i="1"/>
  <c r="AQ108" i="1" s="1"/>
  <c r="AN144" i="1"/>
  <c r="AQ144" i="1" s="1"/>
  <c r="AN192" i="1"/>
  <c r="AQ192" i="1" s="1"/>
  <c r="AN216" i="1"/>
  <c r="AQ216" i="1" s="1"/>
  <c r="AN228" i="1"/>
  <c r="AQ228" i="1" s="1"/>
  <c r="AN276" i="1"/>
  <c r="AQ276" i="1" s="1"/>
  <c r="AN300" i="1"/>
  <c r="AQ300" i="1" s="1"/>
  <c r="AN384" i="1"/>
  <c r="AQ384" i="1" s="1"/>
  <c r="AN408" i="1"/>
  <c r="AQ408" i="1" s="1"/>
  <c r="AN420" i="1"/>
  <c r="AQ420" i="1" s="1"/>
  <c r="AN468" i="1"/>
  <c r="AQ468" i="1" s="1"/>
  <c r="AN528" i="1"/>
  <c r="AQ528" i="1" s="1"/>
  <c r="AN576" i="1"/>
  <c r="AQ576" i="1" s="1"/>
  <c r="AN600" i="1"/>
  <c r="AQ600" i="1" s="1"/>
  <c r="AN660" i="1"/>
  <c r="AQ660" i="1" s="1"/>
  <c r="AN684" i="1"/>
  <c r="AQ684" i="1" s="1"/>
  <c r="AN720" i="1"/>
  <c r="AQ720" i="1" s="1"/>
  <c r="AN768" i="1"/>
  <c r="AQ768" i="1" s="1"/>
  <c r="AN792" i="1"/>
  <c r="AQ792" i="1" s="1"/>
  <c r="AN804" i="1"/>
  <c r="AQ804" i="1" s="1"/>
  <c r="AN852" i="1"/>
  <c r="AQ852" i="1" s="1"/>
  <c r="AN912" i="1"/>
  <c r="AQ912" i="1" s="1"/>
  <c r="AN1008" i="1"/>
  <c r="AQ1008" i="1" s="1"/>
  <c r="AN1068" i="1"/>
  <c r="AQ1068" i="1" s="1"/>
  <c r="AN107" i="1"/>
  <c r="AQ107" i="1" s="1"/>
  <c r="AN168" i="1"/>
  <c r="AQ168" i="1" s="1"/>
  <c r="AN360" i="1"/>
  <c r="AQ360" i="1" s="1"/>
  <c r="AN744" i="1"/>
  <c r="AQ744" i="1" s="1"/>
  <c r="AN883" i="1"/>
  <c r="AQ883" i="1" s="1"/>
  <c r="AN931" i="1"/>
  <c r="AQ931" i="1" s="1"/>
  <c r="AN972" i="1"/>
  <c r="AQ972" i="1" s="1"/>
  <c r="AN1020" i="1"/>
  <c r="AQ1020" i="1" s="1"/>
  <c r="AN85" i="1"/>
  <c r="AQ85" i="1" s="1"/>
  <c r="AN97" i="1"/>
  <c r="AQ97" i="1" s="1"/>
  <c r="AN121" i="1"/>
  <c r="AQ121" i="1" s="1"/>
  <c r="AN145" i="1"/>
  <c r="AQ145" i="1" s="1"/>
  <c r="AN157" i="1"/>
  <c r="AQ157" i="1" s="1"/>
  <c r="AN169" i="1"/>
  <c r="AQ169" i="1" s="1"/>
  <c r="AN181" i="1"/>
  <c r="AQ181" i="1" s="1"/>
  <c r="AN193" i="1"/>
  <c r="AQ193" i="1" s="1"/>
  <c r="AN205" i="1"/>
  <c r="AQ205" i="1" s="1"/>
  <c r="AN217" i="1"/>
  <c r="AQ217" i="1" s="1"/>
  <c r="AN229" i="1"/>
  <c r="AQ229" i="1" s="1"/>
  <c r="AN241" i="1"/>
  <c r="AQ241" i="1" s="1"/>
  <c r="AN265" i="1"/>
  <c r="AQ265" i="1" s="1"/>
  <c r="AN289" i="1"/>
  <c r="AQ289" i="1" s="1"/>
  <c r="AN325" i="1"/>
  <c r="AQ325" i="1" s="1"/>
  <c r="AN349" i="1"/>
  <c r="AQ349" i="1" s="1"/>
  <c r="AN361" i="1"/>
  <c r="AQ361" i="1" s="1"/>
  <c r="AN373" i="1"/>
  <c r="AQ373" i="1" s="1"/>
  <c r="AN385" i="1"/>
  <c r="AQ385" i="1" s="1"/>
  <c r="AR385" i="1" s="1"/>
  <c r="AN409" i="1"/>
  <c r="AQ409" i="1" s="1"/>
  <c r="AR409" i="1" s="1"/>
  <c r="AN433" i="1"/>
  <c r="AQ433" i="1" s="1"/>
  <c r="AN445" i="1"/>
  <c r="AQ445" i="1" s="1"/>
  <c r="AN457" i="1"/>
  <c r="AQ457" i="1" s="1"/>
  <c r="AN469" i="1"/>
  <c r="AQ469" i="1" s="1"/>
  <c r="AN481" i="1"/>
  <c r="AQ481" i="1" s="1"/>
  <c r="AN493" i="1"/>
  <c r="AQ493" i="1" s="1"/>
  <c r="AN505" i="1"/>
  <c r="AQ505" i="1" s="1"/>
  <c r="AN517" i="1"/>
  <c r="AQ517" i="1" s="1"/>
  <c r="AN529" i="1"/>
  <c r="AQ529" i="1" s="1"/>
  <c r="AN553" i="1"/>
  <c r="AQ553" i="1" s="1"/>
  <c r="AN565" i="1"/>
  <c r="AQ565" i="1" s="1"/>
  <c r="AN577" i="1"/>
  <c r="AQ577" i="1" s="1"/>
  <c r="AN589" i="1"/>
  <c r="AQ589" i="1" s="1"/>
  <c r="AN601" i="1"/>
  <c r="AQ601" i="1" s="1"/>
  <c r="AN613" i="1"/>
  <c r="AQ613" i="1" s="1"/>
  <c r="AN625" i="1"/>
  <c r="AQ625" i="1" s="1"/>
  <c r="AN637" i="1"/>
  <c r="AQ637" i="1" s="1"/>
  <c r="AN649" i="1"/>
  <c r="AQ649" i="1" s="1"/>
  <c r="AN661" i="1"/>
  <c r="AQ661" i="1" s="1"/>
  <c r="AN673" i="1"/>
  <c r="AQ673" i="1" s="1"/>
  <c r="AN685" i="1"/>
  <c r="AQ685" i="1" s="1"/>
  <c r="AN697" i="1"/>
  <c r="AQ697" i="1" s="1"/>
  <c r="AN709" i="1"/>
  <c r="AQ709" i="1" s="1"/>
  <c r="AN721" i="1"/>
  <c r="AQ721" i="1" s="1"/>
  <c r="AN733" i="1"/>
  <c r="AQ733" i="1" s="1"/>
  <c r="AN745" i="1"/>
  <c r="AQ745" i="1" s="1"/>
  <c r="AN757" i="1"/>
  <c r="AQ757" i="1" s="1"/>
  <c r="AN769" i="1"/>
  <c r="AQ769" i="1" s="1"/>
  <c r="AN805" i="1"/>
  <c r="AQ805" i="1" s="1"/>
  <c r="AN817" i="1"/>
  <c r="AQ817" i="1" s="1"/>
  <c r="AN829" i="1"/>
  <c r="AQ829" i="1" s="1"/>
  <c r="AN865" i="1"/>
  <c r="AQ865" i="1" s="1"/>
  <c r="AN889" i="1"/>
  <c r="AQ889" i="1" s="1"/>
  <c r="AN901" i="1"/>
  <c r="AQ901" i="1" s="1"/>
  <c r="AN913" i="1"/>
  <c r="AQ913" i="1" s="1"/>
  <c r="AN925" i="1"/>
  <c r="AQ925" i="1" s="1"/>
  <c r="AN949" i="1"/>
  <c r="AQ949" i="1" s="1"/>
  <c r="AN973" i="1"/>
  <c r="AQ973" i="1" s="1"/>
  <c r="AN985" i="1"/>
  <c r="AQ985" i="1" s="1"/>
  <c r="AN997" i="1"/>
  <c r="AQ997" i="1" s="1"/>
  <c r="AN1081" i="1"/>
  <c r="AQ1081" i="1" s="1"/>
  <c r="AN1153" i="1"/>
  <c r="AQ1153" i="1" s="1"/>
  <c r="AN1177" i="1"/>
  <c r="AQ1177" i="1" s="1"/>
  <c r="AN1213" i="1"/>
  <c r="AQ1213" i="1" s="1"/>
  <c r="AN23" i="1"/>
  <c r="AQ23" i="1" s="1"/>
  <c r="AN115" i="1"/>
  <c r="AQ115" i="1" s="1"/>
  <c r="AN204" i="1"/>
  <c r="AQ204" i="1" s="1"/>
  <c r="AN240" i="1"/>
  <c r="AQ240" i="1" s="1"/>
  <c r="AN396" i="1"/>
  <c r="AQ396" i="1" s="1"/>
  <c r="AN432" i="1"/>
  <c r="AQ432" i="1" s="1"/>
  <c r="AN588" i="1"/>
  <c r="AQ588" i="1" s="1"/>
  <c r="AN624" i="1"/>
  <c r="AQ624" i="1" s="1"/>
  <c r="AN780" i="1"/>
  <c r="AQ780" i="1" s="1"/>
  <c r="AN816" i="1"/>
  <c r="AQ816" i="1" s="1"/>
  <c r="AB737" i="1"/>
  <c r="AP737" i="1" s="1"/>
  <c r="AB749" i="1"/>
  <c r="AP749" i="1" s="1"/>
  <c r="AB761" i="1"/>
  <c r="AP761" i="1" s="1"/>
  <c r="AB773" i="1"/>
  <c r="AP773" i="1" s="1"/>
  <c r="AB785" i="1"/>
  <c r="AP785" i="1" s="1"/>
  <c r="AB797" i="1"/>
  <c r="AP797" i="1" s="1"/>
  <c r="AB809" i="1"/>
  <c r="AP809" i="1" s="1"/>
  <c r="AB821" i="1"/>
  <c r="AP821" i="1" s="1"/>
  <c r="AB833" i="1"/>
  <c r="AP833" i="1" s="1"/>
  <c r="AB845" i="1"/>
  <c r="AP845" i="1" s="1"/>
  <c r="AB857" i="1"/>
  <c r="AP857" i="1" s="1"/>
  <c r="AB869" i="1"/>
  <c r="AP869" i="1" s="1"/>
  <c r="AB881" i="1"/>
  <c r="AP881" i="1" s="1"/>
  <c r="AB893" i="1"/>
  <c r="AP893" i="1" s="1"/>
  <c r="AB905" i="1"/>
  <c r="AP905" i="1" s="1"/>
  <c r="AB917" i="1"/>
  <c r="AP917" i="1" s="1"/>
  <c r="AB929" i="1"/>
  <c r="AP929" i="1" s="1"/>
  <c r="AB941" i="1"/>
  <c r="AP941" i="1" s="1"/>
  <c r="AB953" i="1"/>
  <c r="AP953" i="1" s="1"/>
  <c r="AB965" i="1"/>
  <c r="AP965" i="1" s="1"/>
  <c r="AB977" i="1"/>
  <c r="AP977" i="1" s="1"/>
  <c r="AB989" i="1"/>
  <c r="AP989" i="1" s="1"/>
  <c r="AB1001" i="1"/>
  <c r="AP1001" i="1" s="1"/>
  <c r="AB1013" i="1"/>
  <c r="AP1013" i="1" s="1"/>
  <c r="AB1025" i="1"/>
  <c r="AP1025" i="1" s="1"/>
  <c r="AB1037" i="1"/>
  <c r="AP1037" i="1" s="1"/>
  <c r="AB1049" i="1"/>
  <c r="AP1049" i="1" s="1"/>
  <c r="AB1061" i="1"/>
  <c r="AP1061" i="1" s="1"/>
  <c r="AB1097" i="1"/>
  <c r="AP1097" i="1" s="1"/>
  <c r="AB1109" i="1"/>
  <c r="AP1109" i="1" s="1"/>
  <c r="AB1121" i="1"/>
  <c r="AP1121" i="1" s="1"/>
  <c r="AB1133" i="1"/>
  <c r="AP1133" i="1" s="1"/>
  <c r="AB1145" i="1"/>
  <c r="AP1145" i="1" s="1"/>
  <c r="AB1157" i="1"/>
  <c r="AP1157" i="1" s="1"/>
  <c r="AB1169" i="1"/>
  <c r="AP1169" i="1" s="1"/>
  <c r="AB1181" i="1"/>
  <c r="AP1181" i="1" s="1"/>
  <c r="AB1193" i="1"/>
  <c r="AP1193" i="1" s="1"/>
  <c r="AB1217" i="1"/>
  <c r="AP1217" i="1" s="1"/>
  <c r="AB1229" i="1"/>
  <c r="AP1229" i="1" s="1"/>
  <c r="AN43" i="1"/>
  <c r="AQ43" i="1" s="1"/>
  <c r="AN91" i="1"/>
  <c r="AQ91" i="1" s="1"/>
  <c r="AN151" i="1"/>
  <c r="AQ151" i="1" s="1"/>
  <c r="AN187" i="1"/>
  <c r="AQ187" i="1" s="1"/>
  <c r="AN199" i="1"/>
  <c r="AQ199" i="1" s="1"/>
  <c r="AN235" i="1"/>
  <c r="AQ235" i="1" s="1"/>
  <c r="AN247" i="1"/>
  <c r="AQ247" i="1" s="1"/>
  <c r="AN283" i="1"/>
  <c r="AQ283" i="1" s="1"/>
  <c r="AN295" i="1"/>
  <c r="AQ295" i="1" s="1"/>
  <c r="AN343" i="1"/>
  <c r="AQ343" i="1" s="1"/>
  <c r="AN379" i="1"/>
  <c r="AQ379" i="1" s="1"/>
  <c r="AN391" i="1"/>
  <c r="AQ391" i="1" s="1"/>
  <c r="AN427" i="1"/>
  <c r="AQ427" i="1" s="1"/>
  <c r="AN487" i="1"/>
  <c r="AQ487" i="1" s="1"/>
  <c r="AN523" i="1"/>
  <c r="AQ523" i="1" s="1"/>
  <c r="AN535" i="1"/>
  <c r="AQ535" i="1" s="1"/>
  <c r="AN571" i="1"/>
  <c r="AQ571" i="1" s="1"/>
  <c r="AN583" i="1"/>
  <c r="AQ583" i="1" s="1"/>
  <c r="AN631" i="1"/>
  <c r="AQ631" i="1" s="1"/>
  <c r="AN667" i="1"/>
  <c r="AQ667" i="1" s="1"/>
  <c r="AN679" i="1"/>
  <c r="AQ679" i="1" s="1"/>
  <c r="AN727" i="1"/>
  <c r="AQ727" i="1" s="1"/>
  <c r="AN763" i="1"/>
  <c r="AQ763" i="1" s="1"/>
  <c r="AR763" i="1" s="1"/>
  <c r="AN775" i="1"/>
  <c r="AQ775" i="1" s="1"/>
  <c r="AN811" i="1"/>
  <c r="AQ811" i="1" s="1"/>
  <c r="AN823" i="1"/>
  <c r="AQ823" i="1" s="1"/>
  <c r="AN847" i="1"/>
  <c r="AQ847" i="1" s="1"/>
  <c r="AN859" i="1"/>
  <c r="AQ859" i="1" s="1"/>
  <c r="AN895" i="1"/>
  <c r="AQ895" i="1" s="1"/>
  <c r="AN907" i="1"/>
  <c r="AQ907" i="1" s="1"/>
  <c r="AN919" i="1"/>
  <c r="AQ919" i="1" s="1"/>
  <c r="AN943" i="1"/>
  <c r="AQ943" i="1" s="1"/>
  <c r="AN967" i="1"/>
  <c r="AQ967" i="1" s="1"/>
  <c r="AN979" i="1"/>
  <c r="AQ979" i="1" s="1"/>
  <c r="AN991" i="1"/>
  <c r="AQ991" i="1" s="1"/>
  <c r="AN1003" i="1"/>
  <c r="AQ1003" i="1" s="1"/>
  <c r="AN1051" i="1"/>
  <c r="AQ1051" i="1" s="1"/>
  <c r="AN1063" i="1"/>
  <c r="AQ1063" i="1" s="1"/>
  <c r="AN1111" i="1"/>
  <c r="AQ1111" i="1" s="1"/>
  <c r="AN1135" i="1"/>
  <c r="AQ1135" i="1" s="1"/>
  <c r="AN1087" i="1"/>
  <c r="AQ1087" i="1" s="1"/>
  <c r="AN1198" i="1"/>
  <c r="AQ1198" i="1" s="1"/>
  <c r="AN1195" i="1"/>
  <c r="AQ1195" i="1" s="1"/>
  <c r="AB1114" i="1"/>
  <c r="AP1114" i="1" s="1"/>
  <c r="AN47" i="1"/>
  <c r="AQ47" i="1" s="1"/>
  <c r="AN95" i="1"/>
  <c r="AQ95" i="1" s="1"/>
  <c r="AN143" i="1"/>
  <c r="AQ143" i="1" s="1"/>
  <c r="AN239" i="1"/>
  <c r="AQ239" i="1" s="1"/>
  <c r="AN287" i="1"/>
  <c r="AQ287" i="1" s="1"/>
  <c r="AN335" i="1"/>
  <c r="AQ335" i="1" s="1"/>
  <c r="AN383" i="1"/>
  <c r="AQ383" i="1" s="1"/>
  <c r="AN431" i="1"/>
  <c r="AQ431" i="1" s="1"/>
  <c r="AN479" i="1"/>
  <c r="AQ479" i="1" s="1"/>
  <c r="AN527" i="1"/>
  <c r="AQ527" i="1" s="1"/>
  <c r="AN575" i="1"/>
  <c r="AQ575" i="1" s="1"/>
  <c r="AN623" i="1"/>
  <c r="AQ623" i="1" s="1"/>
  <c r="AN671" i="1"/>
  <c r="AQ671" i="1" s="1"/>
  <c r="AN719" i="1"/>
  <c r="AQ719" i="1" s="1"/>
  <c r="AN767" i="1"/>
  <c r="AQ767" i="1" s="1"/>
  <c r="AN851" i="1"/>
  <c r="AQ851" i="1" s="1"/>
  <c r="AN935" i="1"/>
  <c r="AQ935" i="1" s="1"/>
  <c r="AN983" i="1"/>
  <c r="AQ983" i="1" s="1"/>
  <c r="AN1007" i="1"/>
  <c r="AQ1007" i="1" s="1"/>
  <c r="AN1019" i="1"/>
  <c r="AQ1019" i="1" s="1"/>
  <c r="AN1031" i="1"/>
  <c r="AQ1031" i="1" s="1"/>
  <c r="AN1103" i="1"/>
  <c r="AQ1103" i="1" s="1"/>
  <c r="AN1115" i="1"/>
  <c r="AQ1115" i="1" s="1"/>
  <c r="AN1163" i="1"/>
  <c r="AQ1163" i="1" s="1"/>
  <c r="AN1175" i="1"/>
  <c r="AQ1175" i="1" s="1"/>
  <c r="AN1223" i="1"/>
  <c r="AQ1223" i="1" s="1"/>
  <c r="AN1235" i="1"/>
  <c r="AQ1235" i="1" s="1"/>
  <c r="AN1171" i="1"/>
  <c r="AQ1171" i="1" s="1"/>
  <c r="AN1242" i="1"/>
  <c r="AN1254" i="1"/>
  <c r="AN1266" i="1"/>
  <c r="AN1278" i="1"/>
  <c r="AN1290" i="1"/>
  <c r="AN1302" i="1"/>
  <c r="AN1314" i="1"/>
  <c r="AN1326" i="1"/>
  <c r="AN1350" i="1"/>
  <c r="AN1349" i="1"/>
  <c r="AN1362" i="1"/>
  <c r="AN1374" i="1"/>
  <c r="AN1398" i="1"/>
  <c r="AN1422" i="1"/>
  <c r="AN1434" i="1"/>
  <c r="AN1446" i="1"/>
  <c r="AN1445" i="1"/>
  <c r="AN1458" i="1"/>
  <c r="AN1470" i="1"/>
  <c r="AN1482" i="1"/>
  <c r="AN1518" i="1"/>
  <c r="AN1530" i="1"/>
  <c r="AN1529" i="1"/>
  <c r="AN1542" i="1"/>
  <c r="AN1554" i="1"/>
  <c r="AN1566" i="1"/>
  <c r="AN1578" i="1"/>
  <c r="AN1590" i="1"/>
  <c r="AN1602" i="1"/>
  <c r="AN1626" i="1"/>
  <c r="AN1638" i="1"/>
  <c r="AN1649" i="1"/>
  <c r="AN1650" i="1"/>
  <c r="AN1662" i="1"/>
  <c r="AN1674" i="1"/>
  <c r="AN1686" i="1"/>
  <c r="AN1710" i="1"/>
  <c r="AN1722" i="1"/>
  <c r="AN1734" i="1"/>
  <c r="AN1746" i="1"/>
  <c r="AN1758" i="1"/>
  <c r="AN1770" i="1"/>
  <c r="AN1782" i="1"/>
  <c r="AN1794" i="1"/>
  <c r="AN1806" i="1"/>
  <c r="AN1818" i="1"/>
  <c r="AN1842" i="1"/>
  <c r="AN1854" i="1"/>
  <c r="AN1853" i="1"/>
  <c r="AN1866" i="1"/>
  <c r="AN1878" i="1"/>
  <c r="AN1890" i="1"/>
  <c r="AN1902" i="1"/>
  <c r="AN1914" i="1"/>
  <c r="AN1926" i="1"/>
  <c r="AN1938" i="1"/>
  <c r="AN1950" i="1"/>
  <c r="AB46" i="1"/>
  <c r="AP46" i="1" s="1"/>
  <c r="AB58" i="1"/>
  <c r="AP58" i="1" s="1"/>
  <c r="AB94" i="1"/>
  <c r="AP94" i="1" s="1"/>
  <c r="AB106" i="1"/>
  <c r="AP106" i="1" s="1"/>
  <c r="AB130" i="1"/>
  <c r="AP130" i="1" s="1"/>
  <c r="AB142" i="1"/>
  <c r="AP142" i="1" s="1"/>
  <c r="AB166" i="1"/>
  <c r="AP166" i="1" s="1"/>
  <c r="AB178" i="1"/>
  <c r="AP178" i="1" s="1"/>
  <c r="AB190" i="1"/>
  <c r="AP190" i="1" s="1"/>
  <c r="AB202" i="1"/>
  <c r="AP202" i="1" s="1"/>
  <c r="AB214" i="1"/>
  <c r="AP214" i="1" s="1"/>
  <c r="AB226" i="1"/>
  <c r="AP226" i="1" s="1"/>
  <c r="AB238" i="1"/>
  <c r="AP238" i="1" s="1"/>
  <c r="AB250" i="1"/>
  <c r="AP250" i="1" s="1"/>
  <c r="AB274" i="1"/>
  <c r="AP274" i="1" s="1"/>
  <c r="AB322" i="1"/>
  <c r="AP322" i="1" s="1"/>
  <c r="AB334" i="1"/>
  <c r="AP334" i="1" s="1"/>
  <c r="AB346" i="1"/>
  <c r="AP346" i="1" s="1"/>
  <c r="AB358" i="1"/>
  <c r="AP358" i="1" s="1"/>
  <c r="AB370" i="1"/>
  <c r="AP370" i="1" s="1"/>
  <c r="AB382" i="1"/>
  <c r="AP382" i="1" s="1"/>
  <c r="AB394" i="1"/>
  <c r="AP394" i="1" s="1"/>
  <c r="AB406" i="1"/>
  <c r="AP406" i="1" s="1"/>
  <c r="AB418" i="1"/>
  <c r="AP418" i="1" s="1"/>
  <c r="AB442" i="1"/>
  <c r="AP442" i="1" s="1"/>
  <c r="AB454" i="1"/>
  <c r="AP454" i="1" s="1"/>
  <c r="AB466" i="1"/>
  <c r="AP466" i="1" s="1"/>
  <c r="AB478" i="1"/>
  <c r="AP478" i="1" s="1"/>
  <c r="AB490" i="1"/>
  <c r="AP490" i="1" s="1"/>
  <c r="AB502" i="1"/>
  <c r="AP502" i="1" s="1"/>
  <c r="AB514" i="1"/>
  <c r="AP514" i="1" s="1"/>
  <c r="AB526" i="1"/>
  <c r="AP526" i="1" s="1"/>
  <c r="AB538" i="1"/>
  <c r="AP538" i="1" s="1"/>
  <c r="AB550" i="1"/>
  <c r="AP550" i="1" s="1"/>
  <c r="AB562" i="1"/>
  <c r="AP562" i="1" s="1"/>
  <c r="AB574" i="1"/>
  <c r="AP574" i="1" s="1"/>
  <c r="AB586" i="1"/>
  <c r="AP586" i="1" s="1"/>
  <c r="AB622" i="1"/>
  <c r="AP622" i="1" s="1"/>
  <c r="AB634" i="1"/>
  <c r="AP634" i="1" s="1"/>
  <c r="AB646" i="1"/>
  <c r="AP646" i="1" s="1"/>
  <c r="AB658" i="1"/>
  <c r="AP658" i="1" s="1"/>
  <c r="AB670" i="1"/>
  <c r="AP670" i="1" s="1"/>
  <c r="AB694" i="1"/>
  <c r="AP694" i="1" s="1"/>
  <c r="AB706" i="1"/>
  <c r="AP706" i="1" s="1"/>
  <c r="AB718" i="1"/>
  <c r="AP718" i="1" s="1"/>
  <c r="AB730" i="1"/>
  <c r="AP730" i="1" s="1"/>
  <c r="AB742" i="1"/>
  <c r="AP742" i="1" s="1"/>
  <c r="AB766" i="1"/>
  <c r="AP766" i="1" s="1"/>
  <c r="AB790" i="1"/>
  <c r="AP790" i="1" s="1"/>
  <c r="AB802" i="1"/>
  <c r="AP802" i="1" s="1"/>
  <c r="AB814" i="1"/>
  <c r="AP814" i="1" s="1"/>
  <c r="AB826" i="1"/>
  <c r="AP826" i="1" s="1"/>
  <c r="AB838" i="1"/>
  <c r="AP838" i="1" s="1"/>
  <c r="AB850" i="1"/>
  <c r="AP850" i="1" s="1"/>
  <c r="AB874" i="1"/>
  <c r="AP874" i="1" s="1"/>
  <c r="AB886" i="1"/>
  <c r="AP886" i="1" s="1"/>
  <c r="AB898" i="1"/>
  <c r="AP898" i="1" s="1"/>
  <c r="AB910" i="1"/>
  <c r="AP910" i="1" s="1"/>
  <c r="AB934" i="1"/>
  <c r="AP934" i="1" s="1"/>
  <c r="AB946" i="1"/>
  <c r="AP946" i="1" s="1"/>
  <c r="AB958" i="1"/>
  <c r="AP958" i="1" s="1"/>
  <c r="AB970" i="1"/>
  <c r="AP970" i="1" s="1"/>
  <c r="AB982" i="1"/>
  <c r="AP982" i="1" s="1"/>
  <c r="AB994" i="1"/>
  <c r="AP994" i="1" s="1"/>
  <c r="AB1006" i="1"/>
  <c r="AP1006" i="1" s="1"/>
  <c r="AB1018" i="1"/>
  <c r="AP1018" i="1" s="1"/>
  <c r="AB1042" i="1"/>
  <c r="AP1042" i="1" s="1"/>
  <c r="AB1054" i="1"/>
  <c r="AP1054" i="1" s="1"/>
  <c r="AB1066" i="1"/>
  <c r="AP1066" i="1" s="1"/>
  <c r="AB1078" i="1"/>
  <c r="AP1078" i="1" s="1"/>
  <c r="AB1090" i="1"/>
  <c r="AP1090" i="1" s="1"/>
  <c r="AB1102" i="1"/>
  <c r="AP1102" i="1" s="1"/>
  <c r="AB1126" i="1"/>
  <c r="AP1126" i="1" s="1"/>
  <c r="AB1150" i="1"/>
  <c r="AP1150" i="1" s="1"/>
  <c r="AB1162" i="1"/>
  <c r="AP1162" i="1" s="1"/>
  <c r="AB1174" i="1"/>
  <c r="AP1174" i="1" s="1"/>
  <c r="AB1186" i="1"/>
  <c r="AP1186" i="1" s="1"/>
  <c r="AB1198" i="1"/>
  <c r="AP1198" i="1" s="1"/>
  <c r="AB1210" i="1"/>
  <c r="AP1210" i="1" s="1"/>
  <c r="AB1222" i="1"/>
  <c r="AP1222" i="1" s="1"/>
  <c r="AN876" i="1"/>
  <c r="AQ876" i="1" s="1"/>
  <c r="AN888" i="1"/>
  <c r="AQ888" i="1" s="1"/>
  <c r="AN900" i="1"/>
  <c r="AQ900" i="1" s="1"/>
  <c r="AN948" i="1"/>
  <c r="AQ948" i="1" s="1"/>
  <c r="AN996" i="1"/>
  <c r="AQ996" i="1" s="1"/>
  <c r="AN1056" i="1"/>
  <c r="AQ1056" i="1" s="1"/>
  <c r="AN1092" i="1"/>
  <c r="AQ1092" i="1" s="1"/>
  <c r="AN1128" i="1"/>
  <c r="AQ1128" i="1" s="1"/>
  <c r="AN1140" i="1"/>
  <c r="AQ1140" i="1" s="1"/>
  <c r="AN1152" i="1"/>
  <c r="AQ1152" i="1" s="1"/>
  <c r="AN1188" i="1"/>
  <c r="AQ1188" i="1" s="1"/>
  <c r="AN1212" i="1"/>
  <c r="AQ1212" i="1" s="1"/>
  <c r="AN1122" i="1"/>
  <c r="AQ1122" i="1" s="1"/>
  <c r="AR1122" i="1" s="1"/>
  <c r="AN1243" i="1"/>
  <c r="AN1987" i="1"/>
  <c r="AN1986" i="1"/>
  <c r="AN1673" i="1"/>
  <c r="AN1094" i="1"/>
  <c r="AQ1094" i="1" s="1"/>
  <c r="AN1218" i="1"/>
  <c r="AQ1218" i="1" s="1"/>
  <c r="AN1238" i="1"/>
  <c r="AN1250" i="1"/>
  <c r="AN1262" i="1"/>
  <c r="AN1274" i="1"/>
  <c r="AN1286" i="1"/>
  <c r="AN1285" i="1"/>
  <c r="AN1298" i="1"/>
  <c r="AN1310" i="1"/>
  <c r="AN1322" i="1"/>
  <c r="AN1334" i="1"/>
  <c r="AN1346" i="1"/>
  <c r="AN1358" i="1"/>
  <c r="AN1370" i="1"/>
  <c r="AN1382" i="1"/>
  <c r="AN1394" i="1"/>
  <c r="AN1406" i="1"/>
  <c r="AN1418" i="1"/>
  <c r="AN1417" i="1"/>
  <c r="AN1430" i="1"/>
  <c r="AN1442" i="1"/>
  <c r="AN1454" i="1"/>
  <c r="AN1466" i="1"/>
  <c r="AN1478" i="1"/>
  <c r="AN1477" i="1"/>
  <c r="AN1490" i="1"/>
  <c r="AN1502" i="1"/>
  <c r="AN1514" i="1"/>
  <c r="AN1526" i="1"/>
  <c r="AN1525" i="1"/>
  <c r="AN1538" i="1"/>
  <c r="AN1550" i="1"/>
  <c r="AN1562" i="1"/>
  <c r="AN1574" i="1"/>
  <c r="AN1586" i="1"/>
  <c r="AN1598" i="1"/>
  <c r="AN1610" i="1"/>
  <c r="AN1622" i="1"/>
  <c r="AN1634" i="1"/>
  <c r="AN1646" i="1"/>
  <c r="AN1658" i="1"/>
  <c r="AN1670" i="1"/>
  <c r="AN1682" i="1"/>
  <c r="AN1694" i="1"/>
  <c r="AN1706" i="1"/>
  <c r="AN1718" i="1"/>
  <c r="AN1730" i="1"/>
  <c r="AN1742" i="1"/>
  <c r="AN1741" i="1"/>
  <c r="AN1754" i="1"/>
  <c r="AN1753" i="1"/>
  <c r="AN1766" i="1"/>
  <c r="AN1778" i="1"/>
  <c r="AN1790" i="1"/>
  <c r="AN1789" i="1"/>
  <c r="AN1802" i="1"/>
  <c r="AN1814" i="1"/>
  <c r="AN1826" i="1"/>
  <c r="AN1838" i="1"/>
  <c r="AN1850" i="1"/>
  <c r="AN1862" i="1"/>
  <c r="AN1861" i="1"/>
  <c r="AN1874" i="1"/>
  <c r="AN1886" i="1"/>
  <c r="AN1898" i="1"/>
  <c r="AN1897" i="1"/>
  <c r="AN1910" i="1"/>
  <c r="AN1922" i="1"/>
  <c r="AN1934" i="1"/>
  <c r="AN1933" i="1"/>
  <c r="AN1946" i="1"/>
  <c r="AN1958" i="1"/>
  <c r="AN1970" i="1"/>
  <c r="AN1982" i="1"/>
  <c r="AN1994" i="1"/>
  <c r="AN2006" i="1"/>
  <c r="AN2018" i="1"/>
  <c r="AN2030" i="1"/>
  <c r="AN2042" i="1"/>
  <c r="AN2054" i="1"/>
  <c r="AN2053" i="1"/>
  <c r="AN2066" i="1"/>
  <c r="AN2065" i="1"/>
  <c r="AN2078" i="1"/>
  <c r="AN2090" i="1"/>
  <c r="AN2102" i="1"/>
  <c r="AN2101" i="1"/>
  <c r="AN2114" i="1"/>
  <c r="AN2126" i="1"/>
  <c r="AN2138" i="1"/>
  <c r="AN2150" i="1"/>
  <c r="AN2162" i="1"/>
  <c r="AN2174" i="1"/>
  <c r="AN2186" i="1"/>
  <c r="AN2185" i="1"/>
  <c r="AN2198" i="1"/>
  <c r="AN2210" i="1"/>
  <c r="AN1489" i="1"/>
  <c r="AN1159" i="1"/>
  <c r="AQ1159" i="1" s="1"/>
  <c r="AN1202" i="1"/>
  <c r="AQ1202" i="1" s="1"/>
  <c r="AN1277" i="1"/>
  <c r="AN1505" i="1"/>
  <c r="AN1685" i="1"/>
  <c r="AN1441" i="1"/>
  <c r="AN1993" i="1"/>
  <c r="AN1225" i="1"/>
  <c r="AQ1225" i="1" s="1"/>
  <c r="AN1237" i="1"/>
  <c r="AQ1237" i="1" s="1"/>
  <c r="AN1106" i="1"/>
  <c r="AQ1106" i="1" s="1"/>
  <c r="AN1166" i="1"/>
  <c r="AQ1166" i="1" s="1"/>
  <c r="AN1147" i="1"/>
  <c r="AQ1147" i="1" s="1"/>
  <c r="AN1190" i="1"/>
  <c r="AQ1190" i="1" s="1"/>
  <c r="AN1465" i="1"/>
  <c r="AN1729" i="1"/>
  <c r="AN1118" i="1"/>
  <c r="AQ1118" i="1" s="1"/>
  <c r="AN1146" i="1"/>
  <c r="AQ1146" i="1" s="1"/>
  <c r="AN1231" i="1"/>
  <c r="AQ1231" i="1" s="1"/>
  <c r="AN1461" i="1"/>
  <c r="AN1460" i="1"/>
  <c r="AN1509" i="1"/>
  <c r="AN1508" i="1"/>
  <c r="AN1785" i="1"/>
  <c r="AN1784" i="1"/>
  <c r="AN1893" i="1"/>
  <c r="AN1892" i="1"/>
  <c r="AN1965" i="1"/>
  <c r="AN1964" i="1"/>
  <c r="AN1976" i="1"/>
  <c r="AN2157" i="1"/>
  <c r="AN1142" i="1"/>
  <c r="AQ1142" i="1" s="1"/>
  <c r="AN2036" i="1"/>
  <c r="AN1194" i="1"/>
  <c r="AQ1194" i="1" s="1"/>
  <c r="AN1468" i="1"/>
  <c r="AN1480" i="1"/>
  <c r="AN1504" i="1"/>
  <c r="AN1516" i="1"/>
  <c r="AN1540" i="1"/>
  <c r="AN1552" i="1"/>
  <c r="AN1564" i="1"/>
  <c r="AN1576" i="1"/>
  <c r="AN1588" i="1"/>
  <c r="AN1624" i="1"/>
  <c r="AN1636" i="1"/>
  <c r="AN1648" i="1"/>
  <c r="AN1660" i="1"/>
  <c r="AN1684" i="1"/>
  <c r="AN1696" i="1"/>
  <c r="AN1708" i="1"/>
  <c r="AN1720" i="1"/>
  <c r="AN1732" i="1"/>
  <c r="AN1744" i="1"/>
  <c r="AN1756" i="1"/>
  <c r="AN1780" i="1"/>
  <c r="AN1792" i="1"/>
  <c r="AN1804" i="1"/>
  <c r="AN1816" i="1"/>
  <c r="AN1828" i="1"/>
  <c r="AN1840" i="1"/>
  <c r="AN1852" i="1"/>
  <c r="AN1864" i="1"/>
  <c r="AN1888" i="1"/>
  <c r="AN1900" i="1"/>
  <c r="AN1912" i="1"/>
  <c r="AN1936" i="1"/>
  <c r="AN1948" i="1"/>
  <c r="AN1972" i="1"/>
  <c r="AN1996" i="1"/>
  <c r="AN2008" i="1"/>
  <c r="AN2044" i="1"/>
  <c r="AN2104" i="1"/>
  <c r="AN2116" i="1"/>
  <c r="AN2128" i="1"/>
  <c r="AN2140" i="1"/>
  <c r="AN2152" i="1"/>
  <c r="AN2164" i="1"/>
  <c r="AN2188" i="1"/>
  <c r="AN2200" i="1"/>
  <c r="AN2212" i="1"/>
  <c r="AN2000" i="1"/>
  <c r="AN1253" i="1"/>
  <c r="AN1265" i="1"/>
  <c r="AN1289" i="1"/>
  <c r="AN1301" i="1"/>
  <c r="AN1325" i="1"/>
  <c r="AN1337" i="1"/>
  <c r="AN1361" i="1"/>
  <c r="AN1373" i="1"/>
  <c r="AN1385" i="1"/>
  <c r="AN1397" i="1"/>
  <c r="AN1409" i="1"/>
  <c r="AN1421" i="1"/>
  <c r="AN1433" i="1"/>
  <c r="AN1457" i="1"/>
  <c r="AN1469" i="1"/>
  <c r="AN1481" i="1"/>
  <c r="AN1493" i="1"/>
  <c r="AN1517" i="1"/>
  <c r="AN1541" i="1"/>
  <c r="AN1553" i="1"/>
  <c r="AN1565" i="1"/>
  <c r="AN1577" i="1"/>
  <c r="AN1589" i="1"/>
  <c r="AN1601" i="1"/>
  <c r="AN1625" i="1"/>
  <c r="AN1637" i="1"/>
  <c r="AN1661" i="1"/>
  <c r="AN1697" i="1"/>
  <c r="AN1709" i="1"/>
  <c r="AN1721" i="1"/>
  <c r="AN1733" i="1"/>
  <c r="AN1745" i="1"/>
  <c r="AN1757" i="1"/>
  <c r="AN1769" i="1"/>
  <c r="AN1781" i="1"/>
  <c r="AN1793" i="1"/>
  <c r="AN1805" i="1"/>
  <c r="AN1817" i="1"/>
  <c r="AN1829" i="1"/>
  <c r="AN1841" i="1"/>
  <c r="AN1865" i="1"/>
  <c r="AN1877" i="1"/>
  <c r="AN1889" i="1"/>
  <c r="AN1901" i="1"/>
  <c r="AN1925" i="1"/>
  <c r="AN1937" i="1"/>
  <c r="AN1949" i="1"/>
  <c r="AN1580" i="1"/>
  <c r="AN2132" i="1"/>
  <c r="AN1974" i="1"/>
  <c r="AN1998" i="1"/>
  <c r="AN2022" i="1"/>
  <c r="AN2034" i="1"/>
  <c r="AN2058" i="1"/>
  <c r="AN2070" i="1"/>
  <c r="AN2094" i="1"/>
  <c r="AN2106" i="1"/>
  <c r="AN2118" i="1"/>
  <c r="AN2130" i="1"/>
  <c r="AN2142" i="1"/>
  <c r="AN2154" i="1"/>
  <c r="AN2166" i="1"/>
  <c r="AN2178" i="1"/>
  <c r="AN2190" i="1"/>
  <c r="AN2214" i="1"/>
  <c r="AN1246" i="1"/>
  <c r="AN1258" i="1"/>
  <c r="AN1282" i="1"/>
  <c r="AN1294" i="1"/>
  <c r="AN1306" i="1"/>
  <c r="AN1318" i="1"/>
  <c r="AN1330" i="1"/>
  <c r="AN1342" i="1"/>
  <c r="AN1354" i="1"/>
  <c r="AN1366" i="1"/>
  <c r="AN1390" i="1"/>
  <c r="AN1426" i="1"/>
  <c r="AN1438" i="1"/>
  <c r="AN1450" i="1"/>
  <c r="AN1474" i="1"/>
  <c r="AN1486" i="1"/>
  <c r="AN1498" i="1"/>
  <c r="AN1510" i="1"/>
  <c r="AN1534" i="1"/>
  <c r="AN1570" i="1"/>
  <c r="AN1582" i="1"/>
  <c r="AN1606" i="1"/>
  <c r="AN1618" i="1"/>
  <c r="AN1630" i="1"/>
  <c r="AN1642" i="1"/>
  <c r="AN1654" i="1"/>
  <c r="AN1666" i="1"/>
  <c r="AN1690" i="1"/>
  <c r="AN1702" i="1"/>
  <c r="AN1726" i="1"/>
  <c r="AN1762" i="1"/>
  <c r="AN1786" i="1"/>
  <c r="AN1798" i="1"/>
  <c r="AN1822" i="1"/>
  <c r="AN1834" i="1"/>
  <c r="AN1882" i="1"/>
  <c r="AN1906" i="1"/>
  <c r="AN1918" i="1"/>
  <c r="AN1930" i="1"/>
  <c r="AN1942" i="1"/>
  <c r="AN1954" i="1"/>
  <c r="AN1978" i="1"/>
  <c r="AN1990" i="1"/>
  <c r="AN2026" i="1"/>
  <c r="AN2038" i="1"/>
  <c r="AN2050" i="1"/>
  <c r="AN2062" i="1"/>
  <c r="AN2074" i="1"/>
  <c r="AN2086" i="1"/>
  <c r="AN2098" i="1"/>
  <c r="AN2110" i="1"/>
  <c r="AN2146" i="1"/>
  <c r="AN2158" i="1"/>
  <c r="AN2170" i="1"/>
  <c r="AN2182" i="1"/>
  <c r="AN2194" i="1"/>
  <c r="AN2206" i="1"/>
  <c r="AN2218" i="1"/>
  <c r="AN1280" i="1"/>
  <c r="AN1304" i="1"/>
  <c r="AN1328" i="1"/>
  <c r="AN1340" i="1"/>
  <c r="AN1364" i="1"/>
  <c r="AN1388" i="1"/>
  <c r="AN1400" i="1"/>
  <c r="AN1424" i="1"/>
  <c r="AN1436" i="1"/>
  <c r="AN1448" i="1"/>
  <c r="AN1472" i="1"/>
  <c r="AN1484" i="1"/>
  <c r="AN1556" i="1"/>
  <c r="AN1592" i="1"/>
  <c r="AN1604" i="1"/>
  <c r="AN1616" i="1"/>
  <c r="AN1628" i="1"/>
  <c r="AN1640" i="1"/>
  <c r="AN1676" i="1"/>
  <c r="AN1700" i="1"/>
  <c r="AN1712" i="1"/>
  <c r="AN1736" i="1"/>
  <c r="AN1748" i="1"/>
  <c r="AN1760" i="1"/>
  <c r="AN1772" i="1"/>
  <c r="AN1796" i="1"/>
  <c r="AN1808" i="1"/>
  <c r="AN1820" i="1"/>
  <c r="AN1832" i="1"/>
  <c r="AN1868" i="1"/>
  <c r="AN1880" i="1"/>
  <c r="AN1904" i="1"/>
  <c r="AN1916" i="1"/>
  <c r="AN1952" i="1"/>
  <c r="AN1988" i="1"/>
  <c r="AN2024" i="1"/>
  <c r="AN2048" i="1"/>
  <c r="AN2060" i="1"/>
  <c r="AN2072" i="1"/>
  <c r="AN2096" i="1"/>
  <c r="AN2120" i="1"/>
  <c r="AN2144" i="1"/>
  <c r="AN2168" i="1"/>
  <c r="AN2180" i="1"/>
  <c r="AN2192" i="1"/>
  <c r="AN2204" i="1"/>
  <c r="AN2216" i="1"/>
  <c r="AN1284" i="1"/>
  <c r="AN1296" i="1"/>
  <c r="AN1344" i="1"/>
  <c r="AN1356" i="1"/>
  <c r="AN1380" i="1"/>
  <c r="AN1404" i="1"/>
  <c r="AN1452" i="1"/>
  <c r="AN1500" i="1"/>
  <c r="AN1512" i="1"/>
  <c r="AN1524" i="1"/>
  <c r="AN1536" i="1"/>
  <c r="AN1584" i="1"/>
  <c r="AN1608" i="1"/>
  <c r="AN1644" i="1"/>
  <c r="AN1656" i="1"/>
  <c r="AN1668" i="1"/>
  <c r="AN1680" i="1"/>
  <c r="AN1692" i="1"/>
  <c r="AN1716" i="1"/>
  <c r="AN1249" i="1"/>
  <c r="AN1261" i="1"/>
  <c r="AN1273" i="1"/>
  <c r="AN1297" i="1"/>
  <c r="AN1309" i="1"/>
  <c r="AN1321" i="1"/>
  <c r="AN1345" i="1"/>
  <c r="AN1357" i="1"/>
  <c r="AN1369" i="1"/>
  <c r="AN1393" i="1"/>
  <c r="AN1405" i="1"/>
  <c r="AN1429" i="1"/>
  <c r="AN1453" i="1"/>
  <c r="AN1501" i="1"/>
  <c r="AN1513" i="1"/>
  <c r="AN1537" i="1"/>
  <c r="AN1549" i="1"/>
  <c r="AN1561" i="1"/>
  <c r="AN1585" i="1"/>
  <c r="AN1621" i="1"/>
  <c r="AN1633" i="1"/>
  <c r="AN1657" i="1"/>
  <c r="AN1669" i="1"/>
  <c r="AN1681" i="1"/>
  <c r="AN1693" i="1"/>
  <c r="AN1765" i="1"/>
  <c r="AN1801" i="1"/>
  <c r="AN1813" i="1"/>
  <c r="AN1825" i="1"/>
  <c r="AN1837" i="1"/>
  <c r="AN1849" i="1"/>
  <c r="AN1885" i="1"/>
  <c r="AN1909" i="1"/>
  <c r="AN1921" i="1"/>
  <c r="AN1945" i="1"/>
  <c r="AN1957" i="1"/>
  <c r="AN1969" i="1"/>
  <c r="AN1981" i="1"/>
  <c r="AN2005" i="1"/>
  <c r="AN2017" i="1"/>
  <c r="AN2029" i="1"/>
  <c r="AN2041" i="1"/>
  <c r="AN2077" i="1"/>
  <c r="AN2089" i="1"/>
  <c r="AN2113" i="1"/>
  <c r="AN2125" i="1"/>
  <c r="AN2161" i="1"/>
  <c r="AN2197" i="1"/>
  <c r="AN2221" i="1"/>
  <c r="AB184" i="1"/>
  <c r="AP184" i="1" s="1"/>
  <c r="AB154" i="1"/>
  <c r="AP154" i="1" s="1"/>
  <c r="AB153" i="1"/>
  <c r="AP153" i="1" s="1"/>
  <c r="AB682" i="1"/>
  <c r="AP682" i="1" s="1"/>
  <c r="AB1058" i="1"/>
  <c r="AP1058" i="1" s="1"/>
  <c r="AB1057" i="1"/>
  <c r="AP1057" i="1" s="1"/>
  <c r="AB985" i="1"/>
  <c r="AP985" i="1" s="1"/>
  <c r="AB984" i="1"/>
  <c r="AP984" i="1" s="1"/>
  <c r="AB495" i="1"/>
  <c r="AP495" i="1" s="1"/>
  <c r="AB651" i="1"/>
  <c r="AP651" i="1" s="1"/>
  <c r="AB212" i="1"/>
  <c r="AP212" i="1" s="1"/>
  <c r="AB396" i="1"/>
  <c r="AP396" i="1" s="1"/>
  <c r="AB537" i="1"/>
  <c r="AP537" i="1" s="1"/>
  <c r="AB1089" i="1"/>
  <c r="AP1089" i="1" s="1"/>
  <c r="AB16" i="1"/>
  <c r="AP16" i="1" s="1"/>
  <c r="AB52" i="1"/>
  <c r="AP52" i="1" s="1"/>
  <c r="AB76" i="1"/>
  <c r="AP76" i="1" s="1"/>
  <c r="AB88" i="1"/>
  <c r="AP88" i="1" s="1"/>
  <c r="AB100" i="1"/>
  <c r="AP100" i="1" s="1"/>
  <c r="AB112" i="1"/>
  <c r="AP112" i="1" s="1"/>
  <c r="AB124" i="1"/>
  <c r="AP124" i="1" s="1"/>
  <c r="AB136" i="1"/>
  <c r="AP136" i="1" s="1"/>
  <c r="AB148" i="1"/>
  <c r="AP148" i="1" s="1"/>
  <c r="AB160" i="1"/>
  <c r="AP160" i="1" s="1"/>
  <c r="AB172" i="1"/>
  <c r="AP172" i="1" s="1"/>
  <c r="AB196" i="1"/>
  <c r="AP196" i="1" s="1"/>
  <c r="AB208" i="1"/>
  <c r="AP208" i="1" s="1"/>
  <c r="AB220" i="1"/>
  <c r="AP220" i="1" s="1"/>
  <c r="AB232" i="1"/>
  <c r="AP232" i="1" s="1"/>
  <c r="AB244" i="1"/>
  <c r="AP244" i="1" s="1"/>
  <c r="AB256" i="1"/>
  <c r="AP256" i="1" s="1"/>
  <c r="AB268" i="1"/>
  <c r="AP268" i="1" s="1"/>
  <c r="AB280" i="1"/>
  <c r="AP280" i="1" s="1"/>
  <c r="AB292" i="1"/>
  <c r="AP292" i="1" s="1"/>
  <c r="AB304" i="1"/>
  <c r="AP304" i="1" s="1"/>
  <c r="AB316" i="1"/>
  <c r="AP316" i="1" s="1"/>
  <c r="AB328" i="1"/>
  <c r="AP328" i="1" s="1"/>
  <c r="AB340" i="1"/>
  <c r="AP340" i="1" s="1"/>
  <c r="AB352" i="1"/>
  <c r="AP352" i="1" s="1"/>
  <c r="AB364" i="1"/>
  <c r="AP364" i="1" s="1"/>
  <c r="AB376" i="1"/>
  <c r="AP376" i="1" s="1"/>
  <c r="AB388" i="1"/>
  <c r="AP388" i="1" s="1"/>
  <c r="AB400" i="1"/>
  <c r="AP400" i="1" s="1"/>
  <c r="AB412" i="1"/>
  <c r="AP412" i="1" s="1"/>
  <c r="AB424" i="1"/>
  <c r="AP424" i="1" s="1"/>
  <c r="AB436" i="1"/>
  <c r="AP436" i="1" s="1"/>
  <c r="AB448" i="1"/>
  <c r="AP448" i="1" s="1"/>
  <c r="AB460" i="1"/>
  <c r="AP460" i="1" s="1"/>
  <c r="AB472" i="1"/>
  <c r="AP472" i="1" s="1"/>
  <c r="AB544" i="1"/>
  <c r="AP544" i="1" s="1"/>
  <c r="AB556" i="1"/>
  <c r="AP556" i="1" s="1"/>
  <c r="AB580" i="1"/>
  <c r="AP580" i="1" s="1"/>
  <c r="AB592" i="1"/>
  <c r="AP592" i="1" s="1"/>
  <c r="AB628" i="1"/>
  <c r="AP628" i="1" s="1"/>
  <c r="AB724" i="1"/>
  <c r="AP724" i="1" s="1"/>
  <c r="AB892" i="1"/>
  <c r="AP892" i="1" s="1"/>
  <c r="AB916" i="1"/>
  <c r="AP916" i="1" s="1"/>
  <c r="AB915" i="1"/>
  <c r="AP915" i="1" s="1"/>
  <c r="AB1000" i="1"/>
  <c r="AP1000" i="1" s="1"/>
  <c r="AB1180" i="1"/>
  <c r="AP1180" i="1" s="1"/>
  <c r="AB1216" i="1"/>
  <c r="AP1216" i="1" s="1"/>
  <c r="AB621" i="1"/>
  <c r="AP621" i="1" s="1"/>
  <c r="AB1073" i="1"/>
  <c r="AP1073" i="1" s="1"/>
  <c r="AB1085" i="1"/>
  <c r="AP1085" i="1" s="1"/>
  <c r="AB1205" i="1"/>
  <c r="AP1205" i="1" s="1"/>
  <c r="AB900" i="1"/>
  <c r="AP900" i="1" s="1"/>
  <c r="AB997" i="1"/>
  <c r="AP997" i="1" s="1"/>
  <c r="AB1101" i="1"/>
  <c r="AP1101" i="1" s="1"/>
  <c r="AB39" i="1"/>
  <c r="AP39" i="1" s="1"/>
  <c r="AB421" i="1"/>
  <c r="AP421" i="1" s="1"/>
  <c r="AB420" i="1"/>
  <c r="AP420" i="1" s="1"/>
  <c r="AB844" i="1"/>
  <c r="AP844" i="1" s="1"/>
  <c r="AB254" i="1"/>
  <c r="AP254" i="1" s="1"/>
  <c r="AB4" i="1"/>
  <c r="AB96" i="1"/>
  <c r="AP96" i="1" s="1"/>
  <c r="AB356" i="1"/>
  <c r="AP356" i="1" s="1"/>
  <c r="AB565" i="1"/>
  <c r="AP565" i="1" s="1"/>
  <c r="AB1141" i="1"/>
  <c r="AP1141" i="1" s="1"/>
  <c r="AB950" i="1"/>
  <c r="AP950" i="1" s="1"/>
  <c r="AB949" i="1"/>
  <c r="AP949" i="1" s="1"/>
  <c r="AB496" i="1"/>
  <c r="AP496" i="1" s="1"/>
  <c r="AB1009" i="1"/>
  <c r="AP1009" i="1" s="1"/>
  <c r="AB8" i="1"/>
  <c r="AP8" i="1" s="1"/>
  <c r="AB44" i="1"/>
  <c r="AP44" i="1" s="1"/>
  <c r="AB92" i="1"/>
  <c r="AP92" i="1" s="1"/>
  <c r="AB128" i="1"/>
  <c r="AP128" i="1" s="1"/>
  <c r="AB140" i="1"/>
  <c r="AP140" i="1" s="1"/>
  <c r="AB176" i="1"/>
  <c r="AP176" i="1" s="1"/>
  <c r="AB272" i="1"/>
  <c r="AP272" i="1" s="1"/>
  <c r="AB284" i="1"/>
  <c r="AP284" i="1" s="1"/>
  <c r="AB344" i="1"/>
  <c r="AP344" i="1" s="1"/>
  <c r="AB380" i="1"/>
  <c r="AP380" i="1" s="1"/>
  <c r="AB404" i="1"/>
  <c r="AP404" i="1" s="1"/>
  <c r="AB488" i="1"/>
  <c r="AP488" i="1" s="1"/>
  <c r="AB487" i="1"/>
  <c r="AP487" i="1" s="1"/>
  <c r="AB31" i="1"/>
  <c r="AP31" i="1" s="1"/>
  <c r="AB30" i="1"/>
  <c r="AP30" i="1" s="1"/>
  <c r="AB501" i="1"/>
  <c r="AP501" i="1" s="1"/>
  <c r="AB577" i="1"/>
  <c r="AP577" i="1" s="1"/>
  <c r="AB576" i="1"/>
  <c r="AP576" i="1" s="1"/>
  <c r="AB969" i="1"/>
  <c r="AP969" i="1" s="1"/>
  <c r="AB1060" i="1"/>
  <c r="AP1060" i="1" s="1"/>
  <c r="AB1059" i="1"/>
  <c r="AP1059" i="1" s="1"/>
  <c r="AB9" i="1"/>
  <c r="AP9" i="1" s="1"/>
  <c r="AB33" i="1"/>
  <c r="AP33" i="1" s="1"/>
  <c r="AB57" i="1"/>
  <c r="AP57" i="1" s="1"/>
  <c r="AB69" i="1"/>
  <c r="AP69" i="1" s="1"/>
  <c r="AB81" i="1"/>
  <c r="AP81" i="1" s="1"/>
  <c r="AB105" i="1"/>
  <c r="AP105" i="1" s="1"/>
  <c r="AB117" i="1"/>
  <c r="AP117" i="1" s="1"/>
  <c r="AB141" i="1"/>
  <c r="AP141" i="1" s="1"/>
  <c r="AB177" i="1"/>
  <c r="AP177" i="1" s="1"/>
  <c r="AB189" i="1"/>
  <c r="AP189" i="1" s="1"/>
  <c r="AB213" i="1"/>
  <c r="AP213" i="1" s="1"/>
  <c r="AB237" i="1"/>
  <c r="AP237" i="1" s="1"/>
  <c r="AB249" i="1"/>
  <c r="AP249" i="1" s="1"/>
  <c r="AB261" i="1"/>
  <c r="AP261" i="1" s="1"/>
  <c r="AB273" i="1"/>
  <c r="AP273" i="1" s="1"/>
  <c r="AB285" i="1"/>
  <c r="AP285" i="1" s="1"/>
  <c r="AB297" i="1"/>
  <c r="AP297" i="1" s="1"/>
  <c r="AB309" i="1"/>
  <c r="AP309" i="1" s="1"/>
  <c r="AB321" i="1"/>
  <c r="AP321" i="1" s="1"/>
  <c r="AB345" i="1"/>
  <c r="AP345" i="1" s="1"/>
  <c r="AB369" i="1"/>
  <c r="AP369" i="1" s="1"/>
  <c r="AB381" i="1"/>
  <c r="AP381" i="1" s="1"/>
  <c r="AB405" i="1"/>
  <c r="AP405" i="1" s="1"/>
  <c r="AB417" i="1"/>
  <c r="AP417" i="1" s="1"/>
  <c r="AB429" i="1"/>
  <c r="AP429" i="1" s="1"/>
  <c r="AB441" i="1"/>
  <c r="AP441" i="1" s="1"/>
  <c r="AB453" i="1"/>
  <c r="AP453" i="1" s="1"/>
  <c r="AB465" i="1"/>
  <c r="AP465" i="1" s="1"/>
  <c r="AB477" i="1"/>
  <c r="AP477" i="1" s="1"/>
  <c r="AB489" i="1"/>
  <c r="AP489" i="1" s="1"/>
  <c r="AB573" i="1"/>
  <c r="AP573" i="1" s="1"/>
  <c r="AB645" i="1"/>
  <c r="AP645" i="1" s="1"/>
  <c r="AB693" i="1"/>
  <c r="AP693" i="1" s="1"/>
  <c r="AB717" i="1"/>
  <c r="AP717" i="1" s="1"/>
  <c r="AB729" i="1"/>
  <c r="AP729" i="1" s="1"/>
  <c r="AB728" i="1"/>
  <c r="AP728" i="1" s="1"/>
  <c r="AB765" i="1"/>
  <c r="AP765" i="1" s="1"/>
  <c r="AB777" i="1"/>
  <c r="AP777" i="1" s="1"/>
  <c r="AB801" i="1"/>
  <c r="AP801" i="1" s="1"/>
  <c r="AB873" i="1"/>
  <c r="AP873" i="1" s="1"/>
  <c r="AB933" i="1"/>
  <c r="AP933" i="1" s="1"/>
  <c r="AB993" i="1"/>
  <c r="AP993" i="1" s="1"/>
  <c r="AB1017" i="1"/>
  <c r="AP1017" i="1" s="1"/>
  <c r="AB1053" i="1"/>
  <c r="AP1053" i="1" s="1"/>
  <c r="AB1077" i="1"/>
  <c r="AP1077" i="1" s="1"/>
  <c r="AB248" i="1"/>
  <c r="AP248" i="1" s="1"/>
  <c r="AB652" i="1"/>
  <c r="AP652" i="1" s="1"/>
  <c r="AB1220" i="1"/>
  <c r="AP1220" i="1" s="1"/>
  <c r="AB1219" i="1"/>
  <c r="AP1219" i="1" s="1"/>
  <c r="AB745" i="1"/>
  <c r="AP745" i="1" s="1"/>
  <c r="AB278" i="1"/>
  <c r="AP278" i="1" s="1"/>
  <c r="AB82" i="1"/>
  <c r="AP82" i="1" s="1"/>
  <c r="AB298" i="1"/>
  <c r="AP298" i="1" s="1"/>
  <c r="AB610" i="1"/>
  <c r="AP610" i="1" s="1"/>
  <c r="AB754" i="1"/>
  <c r="AP754" i="1" s="1"/>
  <c r="AB778" i="1"/>
  <c r="AP778" i="1" s="1"/>
  <c r="AB862" i="1"/>
  <c r="AP862" i="1" s="1"/>
  <c r="AB922" i="1"/>
  <c r="AP922" i="1" s="1"/>
  <c r="AB1030" i="1"/>
  <c r="AP1030" i="1" s="1"/>
  <c r="AB1234" i="1"/>
  <c r="AP1234" i="1" s="1"/>
  <c r="AB116" i="1"/>
  <c r="AP116" i="1" s="1"/>
  <c r="AB320" i="1"/>
  <c r="AP320" i="1" s="1"/>
  <c r="AB1063" i="1"/>
  <c r="AP1063" i="1" s="1"/>
  <c r="AB1064" i="1"/>
  <c r="AP1064" i="1" s="1"/>
  <c r="AB158" i="1"/>
  <c r="AP158" i="1" s="1"/>
  <c r="AB290" i="1"/>
  <c r="AP290" i="1" s="1"/>
  <c r="AB262" i="1"/>
  <c r="AP262" i="1" s="1"/>
  <c r="AB310" i="1"/>
  <c r="AP310" i="1" s="1"/>
  <c r="AB430" i="1"/>
  <c r="AP430" i="1" s="1"/>
  <c r="AB598" i="1"/>
  <c r="AP598" i="1" s="1"/>
  <c r="AB1151" i="1"/>
  <c r="AP1151" i="1" s="1"/>
  <c r="AB54" i="1"/>
  <c r="AP54" i="1" s="1"/>
  <c r="AB192" i="1"/>
  <c r="AP192" i="1" s="1"/>
  <c r="AB260" i="1"/>
  <c r="AP260" i="1" s="1"/>
  <c r="AB657" i="1"/>
  <c r="AP657" i="1" s="1"/>
  <c r="AB452" i="1"/>
  <c r="AP452" i="1" s="1"/>
  <c r="AB62" i="1"/>
  <c r="AP62" i="1" s="1"/>
  <c r="AB286" i="1"/>
  <c r="AP286" i="1" s="1"/>
  <c r="AB467" i="1"/>
  <c r="AP467" i="1" s="1"/>
  <c r="AB36" i="1"/>
  <c r="AP36" i="1" s="1"/>
  <c r="AB120" i="1"/>
  <c r="AP120" i="1" s="1"/>
  <c r="AB156" i="1"/>
  <c r="AP156" i="1" s="1"/>
  <c r="AB168" i="1"/>
  <c r="AP168" i="1" s="1"/>
  <c r="AB228" i="1"/>
  <c r="AP228" i="1" s="1"/>
  <c r="AB288" i="1"/>
  <c r="AP288" i="1" s="1"/>
  <c r="AB607" i="1"/>
  <c r="AP607" i="1" s="1"/>
  <c r="AB1231" i="1"/>
  <c r="AP1231" i="1" s="1"/>
  <c r="AB1230" i="1"/>
  <c r="AP1230" i="1" s="1"/>
  <c r="AB230" i="1"/>
  <c r="AP230" i="1" s="1"/>
  <c r="AB70" i="1"/>
  <c r="AP70" i="1" s="1"/>
  <c r="AB118" i="1"/>
  <c r="AP118" i="1" s="1"/>
  <c r="AB13" i="1"/>
  <c r="AP13" i="1" s="1"/>
  <c r="AB25" i="1"/>
  <c r="AP25" i="1" s="1"/>
  <c r="AB37" i="1"/>
  <c r="AP37" i="1" s="1"/>
  <c r="AB49" i="1"/>
  <c r="AP49" i="1" s="1"/>
  <c r="AB61" i="1"/>
  <c r="AP61" i="1" s="1"/>
  <c r="AB73" i="1"/>
  <c r="AP73" i="1" s="1"/>
  <c r="AB85" i="1"/>
  <c r="AP85" i="1" s="1"/>
  <c r="AB97" i="1"/>
  <c r="AP97" i="1" s="1"/>
  <c r="AB109" i="1"/>
  <c r="AP109" i="1" s="1"/>
  <c r="AB121" i="1"/>
  <c r="AP121" i="1" s="1"/>
  <c r="AB133" i="1"/>
  <c r="AP133" i="1" s="1"/>
  <c r="AB145" i="1"/>
  <c r="AP145" i="1" s="1"/>
  <c r="AB157" i="1"/>
  <c r="AP157" i="1" s="1"/>
  <c r="AB169" i="1"/>
  <c r="AP169" i="1" s="1"/>
  <c r="AB181" i="1"/>
  <c r="AP181" i="1" s="1"/>
  <c r="AB193" i="1"/>
  <c r="AP193" i="1" s="1"/>
  <c r="AB205" i="1"/>
  <c r="AP205" i="1" s="1"/>
  <c r="AB217" i="1"/>
  <c r="AP217" i="1" s="1"/>
  <c r="AB229" i="1"/>
  <c r="AP229" i="1" s="1"/>
  <c r="AB241" i="1"/>
  <c r="AP241" i="1" s="1"/>
  <c r="AB253" i="1"/>
  <c r="AP253" i="1" s="1"/>
  <c r="AB265" i="1"/>
  <c r="AP265" i="1" s="1"/>
  <c r="AB277" i="1"/>
  <c r="AP277" i="1" s="1"/>
  <c r="AB289" i="1"/>
  <c r="AP289" i="1" s="1"/>
  <c r="AB301" i="1"/>
  <c r="AP301" i="1" s="1"/>
  <c r="AB313" i="1"/>
  <c r="AP313" i="1" s="1"/>
  <c r="AB325" i="1"/>
  <c r="AP325" i="1" s="1"/>
  <c r="AB337" i="1"/>
  <c r="AP337" i="1" s="1"/>
  <c r="AB349" i="1"/>
  <c r="AP349" i="1" s="1"/>
  <c r="AB348" i="1"/>
  <c r="AP348" i="1" s="1"/>
  <c r="AB361" i="1"/>
  <c r="AP361" i="1" s="1"/>
  <c r="AB360" i="1"/>
  <c r="AP360" i="1" s="1"/>
  <c r="AB373" i="1"/>
  <c r="AP373" i="1" s="1"/>
  <c r="AB397" i="1"/>
  <c r="AP397" i="1" s="1"/>
  <c r="AB433" i="1"/>
  <c r="AP433" i="1" s="1"/>
  <c r="AB445" i="1"/>
  <c r="AP445" i="1" s="1"/>
  <c r="AB457" i="1"/>
  <c r="AP457" i="1" s="1"/>
  <c r="AB456" i="1"/>
  <c r="AP456" i="1" s="1"/>
  <c r="AB469" i="1"/>
  <c r="AP469" i="1" s="1"/>
  <c r="AB529" i="1"/>
  <c r="AP529" i="1" s="1"/>
  <c r="AB541" i="1"/>
  <c r="AP541" i="1" s="1"/>
  <c r="AB601" i="1"/>
  <c r="AP601" i="1" s="1"/>
  <c r="AB697" i="1"/>
  <c r="AP697" i="1" s="1"/>
  <c r="AB805" i="1"/>
  <c r="AP805" i="1" s="1"/>
  <c r="AB829" i="1"/>
  <c r="AP829" i="1" s="1"/>
  <c r="AB841" i="1"/>
  <c r="AP841" i="1" s="1"/>
  <c r="AB865" i="1"/>
  <c r="AP865" i="1" s="1"/>
  <c r="AB901" i="1"/>
  <c r="AP901" i="1" s="1"/>
  <c r="AB913" i="1"/>
  <c r="AP913" i="1" s="1"/>
  <c r="AB973" i="1"/>
  <c r="AP973" i="1" s="1"/>
  <c r="AB1105" i="1"/>
  <c r="AP1105" i="1" s="1"/>
  <c r="AB1129" i="1"/>
  <c r="AP1129" i="1" s="1"/>
  <c r="AB1128" i="1"/>
  <c r="AP1128" i="1" s="1"/>
  <c r="AB1189" i="1"/>
  <c r="AP1189" i="1" s="1"/>
  <c r="AB716" i="1"/>
  <c r="AP716" i="1" s="1"/>
  <c r="AB715" i="1"/>
  <c r="AP715" i="1" s="1"/>
  <c r="AB825" i="1"/>
  <c r="AP825" i="1" s="1"/>
  <c r="AB1125" i="1"/>
  <c r="AP1125" i="1" s="1"/>
  <c r="AB1124" i="1"/>
  <c r="AP1124" i="1" s="1"/>
  <c r="AB1185" i="1"/>
  <c r="AP1185" i="1" s="1"/>
  <c r="AB1184" i="1"/>
  <c r="AP1184" i="1" s="1"/>
  <c r="AB944" i="1"/>
  <c r="AP944" i="1" s="1"/>
  <c r="AB312" i="1"/>
  <c r="AP312" i="1" s="1"/>
  <c r="AB772" i="1"/>
  <c r="AP772" i="1" s="1"/>
  <c r="AB283" i="1"/>
  <c r="AP283" i="1" s="1"/>
  <c r="AB343" i="1"/>
  <c r="AP343" i="1" s="1"/>
  <c r="AB1052" i="1"/>
  <c r="AP1052" i="1" s="1"/>
  <c r="AB12" i="1"/>
  <c r="AP12" i="1" s="1"/>
  <c r="AB24" i="1"/>
  <c r="AP24" i="1" s="1"/>
  <c r="AB48" i="1"/>
  <c r="AP48" i="1" s="1"/>
  <c r="AB60" i="1"/>
  <c r="AP60" i="1" s="1"/>
  <c r="AB72" i="1"/>
  <c r="AP72" i="1" s="1"/>
  <c r="AB84" i="1"/>
  <c r="AP84" i="1" s="1"/>
  <c r="AB108" i="1"/>
  <c r="AP108" i="1" s="1"/>
  <c r="AB132" i="1"/>
  <c r="AP132" i="1" s="1"/>
  <c r="AB144" i="1"/>
  <c r="AP144" i="1" s="1"/>
  <c r="AB180" i="1"/>
  <c r="AP180" i="1" s="1"/>
  <c r="AB204" i="1"/>
  <c r="AP204" i="1" s="1"/>
  <c r="AB240" i="1"/>
  <c r="AP240" i="1" s="1"/>
  <c r="AB252" i="1"/>
  <c r="AP252" i="1" s="1"/>
  <c r="AB276" i="1"/>
  <c r="AP276" i="1" s="1"/>
  <c r="AB372" i="1"/>
  <c r="AP372" i="1" s="1"/>
  <c r="AB444" i="1"/>
  <c r="AP444" i="1" s="1"/>
  <c r="AB528" i="1"/>
  <c r="AP528" i="1" s="1"/>
  <c r="AB552" i="1"/>
  <c r="AP552" i="1" s="1"/>
  <c r="AB588" i="1"/>
  <c r="AP588" i="1" s="1"/>
  <c r="AB91" i="1"/>
  <c r="AP91" i="1" s="1"/>
  <c r="AB187" i="1"/>
  <c r="AP187" i="1" s="1"/>
  <c r="AB524" i="1"/>
  <c r="AP524" i="1" s="1"/>
  <c r="AB564" i="1"/>
  <c r="AP564" i="1" s="1"/>
  <c r="AB643" i="1"/>
  <c r="AP643" i="1" s="1"/>
  <c r="AB721" i="1"/>
  <c r="AP721" i="1" s="1"/>
  <c r="AB481" i="1"/>
  <c r="AP481" i="1" s="1"/>
  <c r="AB493" i="1"/>
  <c r="AP493" i="1" s="1"/>
  <c r="AB505" i="1"/>
  <c r="AP505" i="1" s="1"/>
  <c r="AB517" i="1"/>
  <c r="AP517" i="1" s="1"/>
  <c r="AB553" i="1"/>
  <c r="AP553" i="1" s="1"/>
  <c r="AB589" i="1"/>
  <c r="AP589" i="1" s="1"/>
  <c r="AB613" i="1"/>
  <c r="AP613" i="1" s="1"/>
  <c r="AB625" i="1"/>
  <c r="AP625" i="1" s="1"/>
  <c r="AB637" i="1"/>
  <c r="AP637" i="1" s="1"/>
  <c r="AB649" i="1"/>
  <c r="AP649" i="1" s="1"/>
  <c r="AB661" i="1"/>
  <c r="AP661" i="1" s="1"/>
  <c r="AB673" i="1"/>
  <c r="AP673" i="1" s="1"/>
  <c r="AB685" i="1"/>
  <c r="AP685" i="1" s="1"/>
  <c r="AB709" i="1"/>
  <c r="AP709" i="1" s="1"/>
  <c r="AB733" i="1"/>
  <c r="AP733" i="1" s="1"/>
  <c r="AB732" i="1"/>
  <c r="AP732" i="1" s="1"/>
  <c r="AB757" i="1"/>
  <c r="AP757" i="1" s="1"/>
  <c r="AB769" i="1"/>
  <c r="AP769" i="1" s="1"/>
  <c r="AB781" i="1"/>
  <c r="AP781" i="1" s="1"/>
  <c r="AB793" i="1"/>
  <c r="AP793" i="1" s="1"/>
  <c r="AB817" i="1"/>
  <c r="AP817" i="1" s="1"/>
  <c r="AB853" i="1"/>
  <c r="AP853" i="1" s="1"/>
  <c r="AB877" i="1"/>
  <c r="AP877" i="1" s="1"/>
  <c r="AB876" i="1"/>
  <c r="AP876" i="1" s="1"/>
  <c r="AB889" i="1"/>
  <c r="AP889" i="1" s="1"/>
  <c r="AB925" i="1"/>
  <c r="AP925" i="1" s="1"/>
  <c r="AB937" i="1"/>
  <c r="AP937" i="1" s="1"/>
  <c r="AB961" i="1"/>
  <c r="AP961" i="1" s="1"/>
  <c r="AB960" i="1"/>
  <c r="AP960" i="1" s="1"/>
  <c r="AB1021" i="1"/>
  <c r="AP1021" i="1" s="1"/>
  <c r="AB1033" i="1"/>
  <c r="AP1033" i="1" s="1"/>
  <c r="AB1045" i="1"/>
  <c r="AP1045" i="1" s="1"/>
  <c r="AB1069" i="1"/>
  <c r="AP1069" i="1" s="1"/>
  <c r="AB1081" i="1"/>
  <c r="AP1081" i="1" s="1"/>
  <c r="AB1080" i="1"/>
  <c r="AP1080" i="1" s="1"/>
  <c r="AB1093" i="1"/>
  <c r="AP1093" i="1" s="1"/>
  <c r="AB1092" i="1"/>
  <c r="AP1092" i="1" s="1"/>
  <c r="AB1117" i="1"/>
  <c r="AP1117" i="1" s="1"/>
  <c r="AB1153" i="1"/>
  <c r="AP1153" i="1" s="1"/>
  <c r="AB1165" i="1"/>
  <c r="AP1165" i="1" s="1"/>
  <c r="AB1176" i="1"/>
  <c r="AP1176" i="1" s="1"/>
  <c r="AB1177" i="1"/>
  <c r="AP1177" i="1" s="1"/>
  <c r="AB1201" i="1"/>
  <c r="AP1201" i="1" s="1"/>
  <c r="AB1213" i="1"/>
  <c r="AP1213" i="1" s="1"/>
  <c r="AB1225" i="1"/>
  <c r="AP1225" i="1" s="1"/>
  <c r="AB1237" i="1"/>
  <c r="AP1237" i="1" s="1"/>
  <c r="AB319" i="1"/>
  <c r="AP319" i="1" s="1"/>
  <c r="AB384" i="1"/>
  <c r="AP384" i="1" s="1"/>
  <c r="AB740" i="1"/>
  <c r="AP740" i="1" s="1"/>
  <c r="AB816" i="1"/>
  <c r="AP816" i="1" s="1"/>
  <c r="AB852" i="1"/>
  <c r="AP852" i="1" s="1"/>
  <c r="AB895" i="1"/>
  <c r="AP895" i="1" s="1"/>
  <c r="AB936" i="1"/>
  <c r="AP936" i="1" s="1"/>
  <c r="AB968" i="1"/>
  <c r="AP968" i="1" s="1"/>
  <c r="AB780" i="1"/>
  <c r="AP780" i="1" s="1"/>
  <c r="AB484" i="1"/>
  <c r="AP484" i="1" s="1"/>
  <c r="AB508" i="1"/>
  <c r="AP508" i="1" s="1"/>
  <c r="AB520" i="1"/>
  <c r="AP520" i="1" s="1"/>
  <c r="AB532" i="1"/>
  <c r="AP532" i="1" s="1"/>
  <c r="AB568" i="1"/>
  <c r="AP568" i="1" s="1"/>
  <c r="AB604" i="1"/>
  <c r="AP604" i="1" s="1"/>
  <c r="AB616" i="1"/>
  <c r="AP616" i="1" s="1"/>
  <c r="AB640" i="1"/>
  <c r="AP640" i="1" s="1"/>
  <c r="AB664" i="1"/>
  <c r="AP664" i="1" s="1"/>
  <c r="AB676" i="1"/>
  <c r="AP676" i="1" s="1"/>
  <c r="AB688" i="1"/>
  <c r="AP688" i="1" s="1"/>
  <c r="AB700" i="1"/>
  <c r="AP700" i="1" s="1"/>
  <c r="AB712" i="1"/>
  <c r="AP712" i="1" s="1"/>
  <c r="AB736" i="1"/>
  <c r="AP736" i="1" s="1"/>
  <c r="AB748" i="1"/>
  <c r="AP748" i="1" s="1"/>
  <c r="AB760" i="1"/>
  <c r="AP760" i="1" s="1"/>
  <c r="AB784" i="1"/>
  <c r="AP784" i="1" s="1"/>
  <c r="AB796" i="1"/>
  <c r="AP796" i="1" s="1"/>
  <c r="AB808" i="1"/>
  <c r="AP808" i="1" s="1"/>
  <c r="AB820" i="1"/>
  <c r="AP820" i="1" s="1"/>
  <c r="AB832" i="1"/>
  <c r="AP832" i="1" s="1"/>
  <c r="AB856" i="1"/>
  <c r="AP856" i="1" s="1"/>
  <c r="AB868" i="1"/>
  <c r="AP868" i="1" s="1"/>
  <c r="AB880" i="1"/>
  <c r="AP880" i="1" s="1"/>
  <c r="AB904" i="1"/>
  <c r="AP904" i="1" s="1"/>
  <c r="AB928" i="1"/>
  <c r="AP928" i="1" s="1"/>
  <c r="AB927" i="1"/>
  <c r="AP927" i="1" s="1"/>
  <c r="AB940" i="1"/>
  <c r="AP940" i="1" s="1"/>
  <c r="AB952" i="1"/>
  <c r="AP952" i="1" s="1"/>
  <c r="AB964" i="1"/>
  <c r="AP964" i="1" s="1"/>
  <c r="AB976" i="1"/>
  <c r="AP976" i="1" s="1"/>
  <c r="AB988" i="1"/>
  <c r="AP988" i="1" s="1"/>
  <c r="AB1012" i="1"/>
  <c r="AP1012" i="1" s="1"/>
  <c r="AB1024" i="1"/>
  <c r="AP1024" i="1" s="1"/>
  <c r="AB1023" i="1"/>
  <c r="AP1023" i="1" s="1"/>
  <c r="AB1036" i="1"/>
  <c r="AP1036" i="1" s="1"/>
  <c r="AB1048" i="1"/>
  <c r="AP1048" i="1" s="1"/>
  <c r="AB1047" i="1"/>
  <c r="AP1047" i="1" s="1"/>
  <c r="AB1072" i="1"/>
  <c r="AP1072" i="1" s="1"/>
  <c r="AB1084" i="1"/>
  <c r="AP1084" i="1" s="1"/>
  <c r="AB1096" i="1"/>
  <c r="AP1096" i="1" s="1"/>
  <c r="AB1108" i="1"/>
  <c r="AP1108" i="1" s="1"/>
  <c r="AB1107" i="1"/>
  <c r="AP1107" i="1" s="1"/>
  <c r="AB1120" i="1"/>
  <c r="AP1120" i="1" s="1"/>
  <c r="AB1132" i="1"/>
  <c r="AP1132" i="1" s="1"/>
  <c r="AB1131" i="1"/>
  <c r="AP1131" i="1" s="1"/>
  <c r="AB1144" i="1"/>
  <c r="AP1144" i="1" s="1"/>
  <c r="AB1156" i="1"/>
  <c r="AP1156" i="1" s="1"/>
  <c r="AB1155" i="1"/>
  <c r="AP1155" i="1" s="1"/>
  <c r="AB1192" i="1"/>
  <c r="AP1192" i="1" s="1"/>
  <c r="AB1204" i="1"/>
  <c r="AP1204" i="1" s="1"/>
  <c r="AB1228" i="1"/>
  <c r="AP1228" i="1" s="1"/>
  <c r="AB391" i="1"/>
  <c r="AP391" i="1" s="1"/>
  <c r="AB1100" i="1"/>
  <c r="AP1100" i="1" s="1"/>
  <c r="AB1236" i="1"/>
  <c r="AP1236" i="1" s="1"/>
  <c r="AB42" i="1"/>
  <c r="AP42" i="1" s="1"/>
  <c r="AB114" i="1"/>
  <c r="AP114" i="1" s="1"/>
  <c r="AB378" i="1"/>
  <c r="AP378" i="1" s="1"/>
  <c r="AB810" i="1"/>
  <c r="AP810" i="1" s="1"/>
  <c r="AB18" i="1"/>
  <c r="AP18" i="1" s="1"/>
  <c r="AB282" i="1"/>
  <c r="AP282" i="1" s="1"/>
  <c r="AB630" i="1"/>
  <c r="AP630" i="1" s="1"/>
  <c r="AB822" i="1"/>
  <c r="AP822" i="1" s="1"/>
  <c r="AB1134" i="1"/>
  <c r="AP1134" i="1" s="1"/>
  <c r="AB300" i="1"/>
  <c r="AP300" i="1" s="1"/>
  <c r="AB912" i="1"/>
  <c r="AP912" i="1" s="1"/>
  <c r="AB1065" i="1"/>
  <c r="AP1065" i="1" s="1"/>
  <c r="AB516" i="1"/>
  <c r="AP516" i="1" s="1"/>
  <c r="AB67" i="1"/>
  <c r="AP67" i="1" s="1"/>
  <c r="AB79" i="1"/>
  <c r="AP79" i="1" s="1"/>
  <c r="AB127" i="1"/>
  <c r="AP127" i="1" s="1"/>
  <c r="AB139" i="1"/>
  <c r="AP139" i="1" s="1"/>
  <c r="AB163" i="1"/>
  <c r="AP163" i="1" s="1"/>
  <c r="AB271" i="1"/>
  <c r="AP271" i="1" s="1"/>
  <c r="AB307" i="1"/>
  <c r="AP307" i="1" s="1"/>
  <c r="AB355" i="1"/>
  <c r="AP355" i="1" s="1"/>
  <c r="AB559" i="1"/>
  <c r="AP559" i="1" s="1"/>
  <c r="AB235" i="1"/>
  <c r="AP235" i="1" s="1"/>
  <c r="AB439" i="1"/>
  <c r="AP439" i="1" s="1"/>
  <c r="AB511" i="1"/>
  <c r="AP511" i="1" s="1"/>
  <c r="AB624" i="1"/>
  <c r="AP624" i="1" s="1"/>
  <c r="AB1040" i="1"/>
  <c r="AP1040" i="1" s="1"/>
  <c r="AB1104" i="1"/>
  <c r="AP1104" i="1" s="1"/>
  <c r="AB342" i="1"/>
  <c r="AP342" i="1" s="1"/>
  <c r="AB20" i="1"/>
  <c r="AP20" i="1" s="1"/>
  <c r="AB32" i="1"/>
  <c r="AP32" i="1" s="1"/>
  <c r="AB56" i="1"/>
  <c r="AP56" i="1" s="1"/>
  <c r="AB68" i="1"/>
  <c r="AP68" i="1" s="1"/>
  <c r="AB80" i="1"/>
  <c r="AP80" i="1" s="1"/>
  <c r="AB104" i="1"/>
  <c r="AP104" i="1" s="1"/>
  <c r="AB164" i="1"/>
  <c r="AP164" i="1" s="1"/>
  <c r="AB188" i="1"/>
  <c r="AP188" i="1" s="1"/>
  <c r="AB200" i="1"/>
  <c r="AP200" i="1" s="1"/>
  <c r="AB224" i="1"/>
  <c r="AP224" i="1" s="1"/>
  <c r="AB236" i="1"/>
  <c r="AP236" i="1" s="1"/>
  <c r="AB296" i="1"/>
  <c r="AP296" i="1" s="1"/>
  <c r="AB308" i="1"/>
  <c r="AP308" i="1" s="1"/>
  <c r="AB332" i="1"/>
  <c r="AP332" i="1" s="1"/>
  <c r="AB368" i="1"/>
  <c r="AP368" i="1" s="1"/>
  <c r="AB392" i="1"/>
  <c r="AP392" i="1" s="1"/>
  <c r="AB416" i="1"/>
  <c r="AP416" i="1" s="1"/>
  <c r="AB428" i="1"/>
  <c r="AP428" i="1" s="1"/>
  <c r="AB440" i="1"/>
  <c r="AP440" i="1" s="1"/>
  <c r="AB464" i="1"/>
  <c r="AP464" i="1" s="1"/>
  <c r="AB476" i="1"/>
  <c r="AP476" i="1" s="1"/>
  <c r="AB475" i="1"/>
  <c r="AP475" i="1" s="1"/>
  <c r="AB548" i="1"/>
  <c r="AP548" i="1" s="1"/>
  <c r="AB560" i="1"/>
  <c r="AP560" i="1" s="1"/>
  <c r="AB572" i="1"/>
  <c r="AP572" i="1" s="1"/>
  <c r="AB584" i="1"/>
  <c r="AP584" i="1" s="1"/>
  <c r="AB596" i="1"/>
  <c r="AP596" i="1" s="1"/>
  <c r="AB620" i="1"/>
  <c r="AP620" i="1" s="1"/>
  <c r="AB632" i="1"/>
  <c r="AP632" i="1" s="1"/>
  <c r="AB656" i="1"/>
  <c r="AP656" i="1" s="1"/>
  <c r="AB752" i="1"/>
  <c r="AP752" i="1" s="1"/>
  <c r="AB800" i="1"/>
  <c r="AP800" i="1" s="1"/>
  <c r="AB824" i="1"/>
  <c r="AP824" i="1" s="1"/>
  <c r="AB336" i="1"/>
  <c r="AP336" i="1" s="1"/>
  <c r="AB1140" i="1"/>
  <c r="AP1140" i="1" s="1"/>
  <c r="AB699" i="1"/>
  <c r="AP699" i="1" s="1"/>
  <c r="AB987" i="1"/>
  <c r="AP987" i="1" s="1"/>
  <c r="AB1172" i="1"/>
  <c r="AP1172" i="1" s="1"/>
  <c r="AB513" i="1"/>
  <c r="AP513" i="1" s="1"/>
  <c r="AB525" i="1"/>
  <c r="AP525" i="1" s="1"/>
  <c r="AB549" i="1"/>
  <c r="AP549" i="1" s="1"/>
  <c r="AB561" i="1"/>
  <c r="AP561" i="1" s="1"/>
  <c r="AB585" i="1"/>
  <c r="AP585" i="1" s="1"/>
  <c r="AB597" i="1"/>
  <c r="AP597" i="1" s="1"/>
  <c r="AB609" i="1"/>
  <c r="AP609" i="1" s="1"/>
  <c r="AB633" i="1"/>
  <c r="AP633" i="1" s="1"/>
  <c r="AB669" i="1"/>
  <c r="AP669" i="1" s="1"/>
  <c r="AB681" i="1"/>
  <c r="AP681" i="1" s="1"/>
  <c r="AB680" i="1"/>
  <c r="AP680" i="1" s="1"/>
  <c r="AB705" i="1"/>
  <c r="AP705" i="1" s="1"/>
  <c r="AB741" i="1"/>
  <c r="AP741" i="1" s="1"/>
  <c r="AB753" i="1"/>
  <c r="AP753" i="1" s="1"/>
  <c r="AB789" i="1"/>
  <c r="AP789" i="1" s="1"/>
  <c r="AB813" i="1"/>
  <c r="AP813" i="1" s="1"/>
  <c r="AB837" i="1"/>
  <c r="AP837" i="1" s="1"/>
  <c r="AB849" i="1"/>
  <c r="AP849" i="1" s="1"/>
  <c r="AB861" i="1"/>
  <c r="AP861" i="1" s="1"/>
  <c r="AB885" i="1"/>
  <c r="AP885" i="1" s="1"/>
  <c r="AB897" i="1"/>
  <c r="AP897" i="1" s="1"/>
  <c r="AB909" i="1"/>
  <c r="AP909" i="1" s="1"/>
  <c r="AB921" i="1"/>
  <c r="AP921" i="1" s="1"/>
  <c r="AB957" i="1"/>
  <c r="AP957" i="1" s="1"/>
  <c r="AB956" i="1"/>
  <c r="AP956" i="1" s="1"/>
  <c r="AB981" i="1"/>
  <c r="AP981" i="1" s="1"/>
  <c r="AB1005" i="1"/>
  <c r="AP1005" i="1" s="1"/>
  <c r="AB1029" i="1"/>
  <c r="AP1029" i="1" s="1"/>
  <c r="AB1028" i="1"/>
  <c r="AP1028" i="1" s="1"/>
  <c r="AB1041" i="1"/>
  <c r="AP1041" i="1" s="1"/>
  <c r="AB1113" i="1"/>
  <c r="AP1113" i="1" s="1"/>
  <c r="AB1137" i="1"/>
  <c r="AP1137" i="1" s="1"/>
  <c r="AB1161" i="1"/>
  <c r="AP1161" i="1" s="1"/>
  <c r="AB1160" i="1"/>
  <c r="AP1160" i="1" s="1"/>
  <c r="AB1197" i="1"/>
  <c r="AP1197" i="1" s="1"/>
  <c r="AB1209" i="1"/>
  <c r="AP1209" i="1" s="1"/>
  <c r="AB1221" i="1"/>
  <c r="AP1221" i="1" s="1"/>
  <c r="AB1233" i="1"/>
  <c r="AP1233" i="1" s="1"/>
  <c r="AB211" i="1"/>
  <c r="AP211" i="1" s="1"/>
  <c r="AB840" i="1"/>
  <c r="AP840" i="1" s="1"/>
  <c r="AB920" i="1"/>
  <c r="AP920" i="1" s="1"/>
  <c r="AB704" i="1"/>
  <c r="AP704" i="1" s="1"/>
  <c r="AB1051" i="1"/>
  <c r="AP1051" i="1" s="1"/>
  <c r="AB1227" i="1"/>
  <c r="AP1227" i="1" s="1"/>
  <c r="AB408" i="1"/>
  <c r="AP408" i="1" s="1"/>
  <c r="AB432" i="1"/>
  <c r="AP432" i="1" s="1"/>
  <c r="AB504" i="1"/>
  <c r="AP504" i="1" s="1"/>
  <c r="AB636" i="1"/>
  <c r="AP636" i="1" s="1"/>
  <c r="AB924" i="1"/>
  <c r="AP924" i="1" s="1"/>
  <c r="AB1068" i="1"/>
  <c r="AP1068" i="1" s="1"/>
  <c r="AB1212" i="1"/>
  <c r="AP1212" i="1" s="1"/>
  <c r="AB672" i="1"/>
  <c r="AP672" i="1" s="1"/>
  <c r="AB768" i="1"/>
  <c r="AP768" i="1" s="1"/>
  <c r="AB992" i="1"/>
  <c r="AP992" i="1" s="1"/>
  <c r="AB639" i="1"/>
  <c r="AP639" i="1" s="1"/>
  <c r="AB663" i="1"/>
  <c r="AP663" i="1" s="1"/>
  <c r="AB687" i="1"/>
  <c r="AP687" i="1" s="1"/>
  <c r="AB711" i="1"/>
  <c r="AP711" i="1" s="1"/>
  <c r="AB723" i="1"/>
  <c r="AP723" i="1" s="1"/>
  <c r="AB747" i="1"/>
  <c r="AP747" i="1" s="1"/>
  <c r="AB759" i="1"/>
  <c r="AP759" i="1" s="1"/>
  <c r="AB771" i="1"/>
  <c r="AP771" i="1" s="1"/>
  <c r="AB783" i="1"/>
  <c r="AP783" i="1" s="1"/>
  <c r="AB807" i="1"/>
  <c r="AP807" i="1" s="1"/>
  <c r="AB819" i="1"/>
  <c r="AP819" i="1" s="1"/>
  <c r="AB843" i="1"/>
  <c r="AP843" i="1" s="1"/>
  <c r="AB855" i="1"/>
  <c r="AP855" i="1" s="1"/>
  <c r="AB867" i="1"/>
  <c r="AP867" i="1" s="1"/>
  <c r="AB879" i="1"/>
  <c r="AP879" i="1" s="1"/>
  <c r="AB891" i="1"/>
  <c r="AP891" i="1" s="1"/>
  <c r="AB975" i="1"/>
  <c r="AP975" i="1" s="1"/>
  <c r="AB1143" i="1"/>
  <c r="AP1143" i="1" s="1"/>
  <c r="AB1191" i="1"/>
  <c r="AP1191" i="1" s="1"/>
  <c r="AB996" i="1"/>
  <c r="AP996" i="1" s="1"/>
  <c r="AB1087" i="1"/>
  <c r="AP1087" i="1" s="1"/>
  <c r="AB1112" i="1"/>
  <c r="AP1112" i="1" s="1"/>
  <c r="AB1188" i="1"/>
  <c r="AP1188" i="1" s="1"/>
  <c r="AB199" i="1"/>
  <c r="AP199" i="1" s="1"/>
  <c r="AB331" i="1"/>
  <c r="AP331" i="1" s="1"/>
  <c r="AB480" i="1"/>
  <c r="AP480" i="1" s="1"/>
  <c r="AB756" i="1"/>
  <c r="AP756" i="1" s="1"/>
  <c r="AB828" i="1"/>
  <c r="AP828" i="1" s="1"/>
  <c r="AB907" i="1"/>
  <c r="AP907" i="1" s="1"/>
  <c r="AB1196" i="1"/>
  <c r="AP1196" i="1" s="1"/>
  <c r="AB1224" i="1"/>
  <c r="AP1224" i="1" s="1"/>
  <c r="AB175" i="1"/>
  <c r="AP175" i="1" s="1"/>
  <c r="AB247" i="1"/>
  <c r="AP247" i="1" s="1"/>
  <c r="AB295" i="1"/>
  <c r="AP295" i="1" s="1"/>
  <c r="AB367" i="1"/>
  <c r="AP367" i="1" s="1"/>
  <c r="AB415" i="1"/>
  <c r="AP415" i="1" s="1"/>
  <c r="AB427" i="1"/>
  <c r="AP427" i="1" s="1"/>
  <c r="AB535" i="1"/>
  <c r="AP535" i="1" s="1"/>
  <c r="AB547" i="1"/>
  <c r="AP547" i="1" s="1"/>
  <c r="AB571" i="1"/>
  <c r="AP571" i="1" s="1"/>
  <c r="AB583" i="1"/>
  <c r="AP583" i="1" s="1"/>
  <c r="AB595" i="1"/>
  <c r="AP595" i="1" s="1"/>
  <c r="AB619" i="1"/>
  <c r="AP619" i="1" s="1"/>
  <c r="AB703" i="1"/>
  <c r="AP703" i="1" s="1"/>
  <c r="AB787" i="1"/>
  <c r="AP787" i="1" s="1"/>
  <c r="AB871" i="1"/>
  <c r="AP871" i="1" s="1"/>
  <c r="AB931" i="1"/>
  <c r="AP931" i="1" s="1"/>
  <c r="AB955" i="1"/>
  <c r="AP955" i="1" s="1"/>
  <c r="AB1039" i="1"/>
  <c r="AP1039" i="1" s="1"/>
  <c r="AB1099" i="1"/>
  <c r="AP1099" i="1" s="1"/>
  <c r="AB980" i="1"/>
  <c r="AP980" i="1" s="1"/>
  <c r="AB1123" i="1"/>
  <c r="AP1123" i="1" s="1"/>
  <c r="AB668" i="1"/>
  <c r="AP668" i="1" s="1"/>
  <c r="AB764" i="1"/>
  <c r="AP764" i="1" s="1"/>
  <c r="AB776" i="1"/>
  <c r="AP776" i="1" s="1"/>
  <c r="AB848" i="1"/>
  <c r="AP848" i="1" s="1"/>
  <c r="AB860" i="1"/>
  <c r="AP860" i="1" s="1"/>
  <c r="AB872" i="1"/>
  <c r="AP872" i="1" s="1"/>
  <c r="AB932" i="1"/>
  <c r="AP932" i="1" s="1"/>
  <c r="AB1076" i="1"/>
  <c r="AP1076" i="1" s="1"/>
  <c r="AB883" i="1"/>
  <c r="AP883" i="1" s="1"/>
  <c r="AB1008" i="1"/>
  <c r="AP1008" i="1" s="1"/>
  <c r="AB1200" i="1"/>
  <c r="AP1200" i="1" s="1"/>
  <c r="AB1044" i="1"/>
  <c r="AP1044" i="1" s="1"/>
  <c r="AB1136" i="1"/>
  <c r="AP1136" i="1" s="1"/>
  <c r="AB939" i="1"/>
  <c r="AP939" i="1" s="1"/>
  <c r="AB951" i="1"/>
  <c r="AP951" i="1" s="1"/>
  <c r="AB963" i="1"/>
  <c r="AP963" i="1" s="1"/>
  <c r="AB999" i="1"/>
  <c r="AP999" i="1" s="1"/>
  <c r="AB1011" i="1"/>
  <c r="AP1011" i="1" s="1"/>
  <c r="AB1083" i="1"/>
  <c r="AP1083" i="1" s="1"/>
  <c r="AB1095" i="1"/>
  <c r="AP1095" i="1" s="1"/>
  <c r="AB1167" i="1"/>
  <c r="AP1167" i="1" s="1"/>
  <c r="AB1179" i="1"/>
  <c r="AP1179" i="1" s="1"/>
  <c r="AB1203" i="1"/>
  <c r="AP1203" i="1" s="1"/>
  <c r="AB1215" i="1"/>
  <c r="AP1215" i="1" s="1"/>
  <c r="AB612" i="1"/>
  <c r="AP612" i="1" s="1"/>
  <c r="AB696" i="1"/>
  <c r="AP696" i="1" s="1"/>
  <c r="AB1032" i="1"/>
  <c r="AP1032" i="1" s="1"/>
  <c r="AB691" i="1"/>
  <c r="AP691" i="1" s="1"/>
  <c r="AB775" i="1"/>
  <c r="AP775" i="1" s="1"/>
  <c r="AB847" i="1"/>
  <c r="AP847" i="1" s="1"/>
  <c r="AB991" i="1"/>
  <c r="AP991" i="1" s="1"/>
  <c r="AB684" i="1"/>
  <c r="AP684" i="1" s="1"/>
  <c r="AB1004" i="1"/>
  <c r="AP1004" i="1" s="1"/>
  <c r="AB1016" i="1"/>
  <c r="AP1016" i="1" s="1"/>
  <c r="AB1148" i="1"/>
  <c r="AP1148" i="1" s="1"/>
  <c r="AB1232" i="1"/>
  <c r="AP1232" i="1" s="1"/>
  <c r="AB1056" i="1"/>
  <c r="AP1056" i="1" s="1"/>
  <c r="AR503" i="1" l="1"/>
  <c r="AR863" i="1"/>
  <c r="AR518" i="1"/>
  <c r="AR1135" i="1"/>
  <c r="AR155" i="1"/>
  <c r="AR1075" i="1"/>
  <c r="AR579" i="1"/>
  <c r="AR423" i="1"/>
  <c r="AR279" i="1"/>
  <c r="AR135" i="1"/>
  <c r="AR425" i="1"/>
  <c r="AR281" i="1"/>
  <c r="AR494" i="1"/>
  <c r="AG10" i="1"/>
  <c r="AQ4" i="1"/>
  <c r="AG7" i="1"/>
  <c r="AR125" i="1"/>
  <c r="AR103" i="1"/>
  <c r="AR593" i="1"/>
  <c r="AR506" i="1"/>
  <c r="AP4" i="1"/>
  <c r="AG4" i="1"/>
  <c r="AR149" i="1"/>
  <c r="AR1159" i="1"/>
  <c r="AR811" i="1"/>
  <c r="AR971" i="1"/>
  <c r="AR1171" i="1"/>
  <c r="AR836" i="1"/>
  <c r="AR461" i="1"/>
  <c r="AR317" i="1"/>
  <c r="AR459" i="1"/>
  <c r="AR15" i="1"/>
  <c r="AR591" i="1"/>
  <c r="AR435" i="1"/>
  <c r="AR303" i="1"/>
  <c r="AR159" i="1"/>
  <c r="AR546" i="1"/>
  <c r="AR720" i="1"/>
  <c r="AR533" i="1"/>
  <c r="AR449" i="1"/>
  <c r="AR305" i="1"/>
  <c r="AR531" i="1"/>
  <c r="AR498" i="1"/>
  <c r="AR1111" i="1"/>
  <c r="AR521" i="1"/>
  <c r="AR162" i="1"/>
  <c r="AR1035" i="1"/>
  <c r="AR1027" i="1"/>
  <c r="AR581" i="1"/>
  <c r="AR1031" i="1"/>
  <c r="AR443" i="1"/>
  <c r="AR795" i="1"/>
  <c r="AR122" i="1"/>
  <c r="AR908" i="1"/>
  <c r="AR222" i="1"/>
  <c r="AR858" i="1"/>
  <c r="AR1115" i="1"/>
  <c r="AR737" i="1"/>
  <c r="AR650" i="1"/>
  <c r="AR28" i="1"/>
  <c r="AR266" i="1"/>
  <c r="AR1127" i="1"/>
  <c r="AR702" i="1"/>
  <c r="AR522" i="1"/>
  <c r="AR323" i="1"/>
  <c r="AR259" i="1"/>
  <c r="AR174" i="1"/>
  <c r="AR333" i="1"/>
  <c r="AR708" i="1"/>
  <c r="AR1214" i="1"/>
  <c r="AR902" i="1"/>
  <c r="AR935" i="1"/>
  <c r="AR115" i="1"/>
  <c r="AR485" i="1"/>
  <c r="AR601" i="1"/>
  <c r="AR217" i="1"/>
  <c r="AR931" i="1"/>
  <c r="AR768" i="1"/>
  <c r="AR276" i="1"/>
  <c r="AR924" i="1"/>
  <c r="AR956" i="1"/>
  <c r="AR752" i="1"/>
  <c r="AR271" i="1"/>
  <c r="AR950" i="1"/>
  <c r="AR460" i="1"/>
  <c r="AR316" i="1"/>
  <c r="AR1101" i="1"/>
  <c r="AR976" i="1"/>
  <c r="AR616" i="1"/>
  <c r="AR394" i="1"/>
  <c r="AR335" i="1"/>
  <c r="AR287" i="1"/>
  <c r="AR1070" i="1"/>
  <c r="AR794" i="1"/>
  <c r="AR887" i="1"/>
  <c r="AR500" i="1"/>
  <c r="AR306" i="1"/>
  <c r="AR851" i="1"/>
  <c r="AR143" i="1"/>
  <c r="AR648" i="1"/>
  <c r="AR707" i="1"/>
  <c r="AR379" i="1"/>
  <c r="AR403" i="1"/>
  <c r="AR447" i="1"/>
  <c r="AR23" i="1"/>
  <c r="AR608" i="1"/>
  <c r="AR536" i="1"/>
  <c r="AR617" i="1"/>
  <c r="AR603" i="1"/>
  <c r="AR1163" i="1"/>
  <c r="AR623" i="1"/>
  <c r="AR551" i="1"/>
  <c r="AR179" i="1"/>
  <c r="AR1146" i="1"/>
  <c r="AR792" i="1"/>
  <c r="AR359" i="1"/>
  <c r="AR173" i="1"/>
  <c r="AR326" i="1"/>
  <c r="AR29" i="1"/>
  <c r="AR1118" i="1"/>
  <c r="AR973" i="1"/>
  <c r="AR468" i="1"/>
  <c r="AR1183" i="1"/>
  <c r="AR864" i="1"/>
  <c r="AR219" i="1"/>
  <c r="AR967" i="1"/>
  <c r="AR365" i="1"/>
  <c r="AR221" i="1"/>
  <c r="AR677" i="1"/>
  <c r="AR239" i="1"/>
  <c r="AR75" i="1"/>
  <c r="AR655" i="1"/>
  <c r="AR65" i="1"/>
  <c r="AR896" i="1"/>
  <c r="AR95" i="1"/>
  <c r="AR363" i="1"/>
  <c r="AR519" i="1"/>
  <c r="AR690" i="1"/>
  <c r="AR1218" i="1"/>
  <c r="AR767" i="1"/>
  <c r="AR743" i="1"/>
  <c r="AR527" i="1"/>
  <c r="AR479" i="1"/>
  <c r="AR895" i="1"/>
  <c r="AR745" i="1"/>
  <c r="AR445" i="1"/>
  <c r="AR703" i="1"/>
  <c r="AR643" i="1"/>
  <c r="AR545" i="1"/>
  <c r="AR1228" i="1"/>
  <c r="AR1167" i="1"/>
  <c r="AR639" i="1"/>
  <c r="AR61" i="1"/>
  <c r="AR741" i="1"/>
  <c r="AR760" i="1"/>
  <c r="AR754" i="1"/>
  <c r="AR250" i="1"/>
  <c r="AR584" i="1"/>
  <c r="AR356" i="1"/>
  <c r="AR212" i="1"/>
  <c r="AR56" i="1"/>
  <c r="AR1191" i="1"/>
  <c r="AR675" i="1"/>
  <c r="AR877" i="1"/>
  <c r="AR237" i="1"/>
  <c r="AR93" i="1"/>
  <c r="AR1018" i="1"/>
  <c r="AR574" i="1"/>
  <c r="AR118" i="1"/>
  <c r="AR1116" i="1"/>
  <c r="AR1109" i="1"/>
  <c r="AR959" i="1"/>
  <c r="AR455" i="1"/>
  <c r="AR198" i="1"/>
  <c r="AR470" i="1"/>
  <c r="AR635" i="1"/>
  <c r="AR251" i="1"/>
  <c r="AR7" i="1"/>
  <c r="AR1067" i="1"/>
  <c r="AR942" i="1"/>
  <c r="AR270" i="1"/>
  <c r="AR918" i="1"/>
  <c r="AR17" i="1"/>
  <c r="AR66" i="1"/>
  <c r="AR383" i="1"/>
  <c r="AR471" i="1"/>
  <c r="AR627" i="1"/>
  <c r="AR47" i="1"/>
  <c r="AR683" i="1"/>
  <c r="AR738" i="1"/>
  <c r="AR1208" i="1"/>
  <c r="AR575" i="1"/>
  <c r="AR835" i="1"/>
  <c r="AR327" i="1"/>
  <c r="AR183" i="1"/>
  <c r="AR614" i="1"/>
  <c r="AR291" i="1"/>
  <c r="AR147" i="1"/>
  <c r="AR884" i="1"/>
  <c r="AR225" i="1"/>
  <c r="AR846" i="1"/>
  <c r="AR510" i="1"/>
  <c r="AR923" i="1"/>
  <c r="AR1202" i="1"/>
  <c r="AR523" i="1"/>
  <c r="AR151" i="1"/>
  <c r="AR744" i="1"/>
  <c r="AR799" i="1"/>
  <c r="AR1119" i="1"/>
  <c r="AR437" i="1"/>
  <c r="AR293" i="1"/>
  <c r="AR199" i="1"/>
  <c r="AR1124" i="1"/>
  <c r="AR1147" i="1"/>
  <c r="AR1128" i="1"/>
  <c r="AR1051" i="1"/>
  <c r="AR427" i="1"/>
  <c r="AR901" i="1"/>
  <c r="AR553" i="1"/>
  <c r="AR373" i="1"/>
  <c r="AR169" i="1"/>
  <c r="AR1123" i="1"/>
  <c r="AR1053" i="1"/>
  <c r="AR1064" i="1"/>
  <c r="AR331" i="1"/>
  <c r="AR120" i="1"/>
  <c r="AR1169" i="1"/>
  <c r="AR833" i="1"/>
  <c r="AR1108" i="1"/>
  <c r="AR755" i="1"/>
  <c r="AR1095" i="1"/>
  <c r="AR843" i="1"/>
  <c r="AR1232" i="1"/>
  <c r="AR541" i="1"/>
  <c r="AR13" i="1"/>
  <c r="AR1099" i="1"/>
  <c r="AR1162" i="1"/>
  <c r="AR1029" i="1"/>
  <c r="AR837" i="1"/>
  <c r="AR693" i="1"/>
  <c r="AR1144" i="1"/>
  <c r="AR868" i="1"/>
  <c r="AR202" i="1"/>
  <c r="AR1157" i="1"/>
  <c r="AR164" i="1"/>
  <c r="AR8" i="1"/>
  <c r="AR30" i="1"/>
  <c r="AR1047" i="1"/>
  <c r="AR313" i="1"/>
  <c r="AR189" i="1"/>
  <c r="AR1206" i="1"/>
  <c r="AR810" i="1"/>
  <c r="AR630" i="1"/>
  <c r="AR450" i="1"/>
  <c r="AR1138" i="1"/>
  <c r="AR946" i="1"/>
  <c r="AR718" i="1"/>
  <c r="AR46" i="1"/>
  <c r="AR989" i="1"/>
  <c r="AR875" i="1"/>
  <c r="AR203" i="1"/>
  <c r="AR1216" i="1"/>
  <c r="AR1092" i="1"/>
  <c r="AR889" i="1"/>
  <c r="AR685" i="1"/>
  <c r="AR576" i="1"/>
  <c r="AR108" i="1"/>
  <c r="AR872" i="1"/>
  <c r="AR444" i="1"/>
  <c r="AR1097" i="1"/>
  <c r="AR756" i="1"/>
  <c r="AR1083" i="1"/>
  <c r="AR1104" i="1"/>
  <c r="AR770" i="1"/>
  <c r="AR400" i="1"/>
  <c r="AR256" i="1"/>
  <c r="AR62" i="1"/>
  <c r="AR397" i="1"/>
  <c r="AR1100" i="1"/>
  <c r="AR530" i="1"/>
  <c r="AR1117" i="1"/>
  <c r="AR1209" i="1"/>
  <c r="AR1017" i="1"/>
  <c r="AR825" i="1"/>
  <c r="AR537" i="1"/>
  <c r="AR1120" i="1"/>
  <c r="AR334" i="1"/>
  <c r="AR190" i="1"/>
  <c r="AR1145" i="1"/>
  <c r="AR740" i="1"/>
  <c r="AR1023" i="1"/>
  <c r="AR1069" i="1"/>
  <c r="AR550" i="1"/>
  <c r="AR177" i="1"/>
  <c r="AR798" i="1"/>
  <c r="AR618" i="1"/>
  <c r="AR438" i="1"/>
  <c r="AR294" i="1"/>
  <c r="AR34" i="1"/>
  <c r="AR626" i="1"/>
  <c r="AR829" i="1"/>
  <c r="AR11" i="1"/>
  <c r="AR746" i="1"/>
  <c r="AR347" i="1"/>
  <c r="AR172" i="1"/>
  <c r="AR597" i="1"/>
  <c r="AR512" i="1"/>
  <c r="AR605" i="1"/>
  <c r="AR1149" i="1"/>
  <c r="AR1088" i="1"/>
  <c r="AR119" i="1"/>
  <c r="AR701" i="1"/>
  <c r="AR689" i="1"/>
  <c r="AR697" i="1"/>
  <c r="AR124" i="1"/>
  <c r="AR981" i="1"/>
  <c r="AR243" i="1"/>
  <c r="AR375" i="1"/>
  <c r="AR231" i="1"/>
  <c r="AR87" i="1"/>
  <c r="AR43" i="1"/>
  <c r="AR412" i="1"/>
  <c r="AR255" i="1"/>
  <c r="AR1237" i="1"/>
  <c r="AR996" i="1"/>
  <c r="AR1223" i="1"/>
  <c r="AR979" i="1"/>
  <c r="AR727" i="1"/>
  <c r="AR343" i="1"/>
  <c r="AR1177" i="1"/>
  <c r="AR661" i="1"/>
  <c r="AR505" i="1"/>
  <c r="AR121" i="1"/>
  <c r="AR72" i="1"/>
  <c r="AR547" i="1"/>
  <c r="AR848" i="1"/>
  <c r="AR797" i="1"/>
  <c r="AR467" i="1"/>
  <c r="AR771" i="1"/>
  <c r="AR377" i="1"/>
  <c r="AR233" i="1"/>
  <c r="AR89" i="1"/>
  <c r="AR38" i="1"/>
  <c r="AR277" i="1"/>
  <c r="AR782" i="1"/>
  <c r="AR446" i="1"/>
  <c r="AR1150" i="1"/>
  <c r="AR1185" i="1"/>
  <c r="AR993" i="1"/>
  <c r="AR513" i="1"/>
  <c r="AR1084" i="1"/>
  <c r="AR820" i="1"/>
  <c r="AR532" i="1"/>
  <c r="AR562" i="1"/>
  <c r="AR166" i="1"/>
  <c r="AR116" i="1"/>
  <c r="AR138" i="1"/>
  <c r="AR441" i="1"/>
  <c r="AR297" i="1"/>
  <c r="AR9" i="1"/>
  <c r="AR414" i="1"/>
  <c r="AR1102" i="1"/>
  <c r="AR898" i="1"/>
  <c r="AR670" i="1"/>
  <c r="AR430" i="1"/>
  <c r="AR929" i="1"/>
  <c r="AR647" i="1"/>
  <c r="AR83" i="1"/>
  <c r="AR1166" i="1"/>
  <c r="AR206" i="1"/>
  <c r="AR1014" i="1"/>
  <c r="AR671" i="1"/>
  <c r="AR679" i="1"/>
  <c r="AR77" i="1"/>
  <c r="AR319" i="1"/>
  <c r="AR495" i="1"/>
  <c r="AR74" i="1"/>
  <c r="AR288" i="1"/>
  <c r="AR99" i="1"/>
  <c r="AR667" i="1"/>
  <c r="AR998" i="1"/>
  <c r="AR698" i="1"/>
  <c r="AR543" i="1"/>
  <c r="AR1211" i="1"/>
  <c r="AR945" i="1"/>
  <c r="AR129" i="1"/>
  <c r="AR570" i="1"/>
  <c r="AR607" i="1"/>
  <c r="AR399" i="1"/>
  <c r="AR831" i="1"/>
  <c r="AR1020" i="1"/>
  <c r="AR53" i="1"/>
  <c r="AR102" i="1"/>
  <c r="AR600" i="1"/>
  <c r="AR620" i="1"/>
  <c r="AR268" i="1"/>
  <c r="AR651" i="1"/>
  <c r="AR111" i="1"/>
  <c r="AR218" i="1"/>
  <c r="AR1221" i="1"/>
  <c r="AR346" i="1"/>
  <c r="AR1086" i="1"/>
  <c r="AR776" i="1"/>
  <c r="AR874" i="1"/>
  <c r="AR1003" i="1"/>
  <c r="AR361" i="1"/>
  <c r="AR107" i="1"/>
  <c r="AR1052" i="1"/>
  <c r="AR175" i="1"/>
  <c r="AR387" i="1"/>
  <c r="AR716" i="1"/>
  <c r="AR972" i="1"/>
  <c r="AR463" i="1"/>
  <c r="AR386" i="1"/>
  <c r="AR473" i="1"/>
  <c r="AR329" i="1"/>
  <c r="AR27" i="1"/>
  <c r="AR571" i="1"/>
  <c r="AR132" i="1"/>
  <c r="AR960" i="1"/>
  <c r="AR140" i="1"/>
  <c r="AR1188" i="1"/>
  <c r="AR859" i="1"/>
  <c r="AR396" i="1"/>
  <c r="AR589" i="1"/>
  <c r="AR205" i="1"/>
  <c r="AR228" i="1"/>
  <c r="AR840" i="1"/>
  <c r="AR672" i="1"/>
  <c r="AR1112" i="1"/>
  <c r="AR944" i="1"/>
  <c r="AR728" i="1"/>
  <c r="AR1192" i="1"/>
  <c r="AR24" i="1"/>
  <c r="AR448" i="1"/>
  <c r="AR304" i="1"/>
  <c r="AR160" i="1"/>
  <c r="AR890" i="1"/>
  <c r="AR602" i="1"/>
  <c r="AR1077" i="1"/>
  <c r="AR897" i="1"/>
  <c r="AR382" i="1"/>
  <c r="AR369" i="1"/>
  <c r="AR1006" i="1"/>
  <c r="AR419" i="1"/>
  <c r="AR432" i="1"/>
  <c r="AR78" i="1"/>
  <c r="AR354" i="1"/>
  <c r="AR847" i="1"/>
  <c r="AR925" i="1"/>
  <c r="AR48" i="1"/>
  <c r="AR932" i="1"/>
  <c r="AR879" i="1"/>
  <c r="AR1178" i="1"/>
  <c r="AR926" i="1"/>
  <c r="AR578" i="1"/>
  <c r="AR314" i="1"/>
  <c r="AR148" i="1"/>
  <c r="AR98" i="1"/>
  <c r="AR440" i="1"/>
  <c r="AR595" i="1"/>
  <c r="AR1043" i="1"/>
  <c r="AR1065" i="1"/>
  <c r="AR861" i="1"/>
  <c r="AR462" i="1"/>
  <c r="AR834" i="1"/>
  <c r="AR330" i="1"/>
  <c r="AR909" i="1"/>
  <c r="AR194" i="1"/>
  <c r="AR719" i="1"/>
  <c r="AR774" i="1"/>
  <c r="AR1225" i="1"/>
  <c r="AR295" i="1"/>
  <c r="AR816" i="1"/>
  <c r="AR817" i="1"/>
  <c r="AR493" i="1"/>
  <c r="AR912" i="1"/>
  <c r="AR420" i="1"/>
  <c r="AR873" i="1"/>
  <c r="AR1196" i="1"/>
  <c r="AR1037" i="1"/>
  <c r="AR785" i="1"/>
  <c r="AR747" i="1"/>
  <c r="AR364" i="1"/>
  <c r="AR220" i="1"/>
  <c r="AR350" i="1"/>
  <c r="AR26" i="1"/>
  <c r="AR402" i="1"/>
  <c r="AR258" i="1"/>
  <c r="AR283" i="1"/>
  <c r="AR637" i="1"/>
  <c r="AR481" i="1"/>
  <c r="AR265" i="1"/>
  <c r="AR408" i="1"/>
  <c r="AR180" i="1"/>
  <c r="AR928" i="1"/>
  <c r="AR1000" i="1"/>
  <c r="AR1059" i="1"/>
  <c r="AR339" i="1"/>
  <c r="AR195" i="1"/>
  <c r="AR51" i="1"/>
  <c r="AR158" i="1"/>
  <c r="AR1078" i="1"/>
  <c r="AR508" i="1"/>
  <c r="AR82" i="1"/>
  <c r="AR1148" i="1"/>
  <c r="AR1021" i="1"/>
  <c r="AR417" i="1"/>
  <c r="AR862" i="1"/>
  <c r="AR362" i="1"/>
  <c r="AR997" i="1"/>
  <c r="AR769" i="1"/>
  <c r="AR146" i="1"/>
  <c r="AR962" i="1"/>
  <c r="AR1187" i="1"/>
  <c r="AR40" i="1"/>
  <c r="AR484" i="1"/>
  <c r="AR915" i="1"/>
  <c r="AR374" i="1"/>
  <c r="AR552" i="1"/>
  <c r="AR381" i="1"/>
  <c r="AR1050" i="1"/>
  <c r="AR1222" i="1"/>
  <c r="AR826" i="1"/>
  <c r="AR665" i="1"/>
  <c r="AR1019" i="1"/>
  <c r="AR431" i="1"/>
  <c r="AR535" i="1"/>
  <c r="AR187" i="1"/>
  <c r="AR949" i="1"/>
  <c r="AR733" i="1"/>
  <c r="AR433" i="1"/>
  <c r="AR883" i="1"/>
  <c r="AR79" i="1"/>
  <c r="AR407" i="1"/>
  <c r="AR828" i="1"/>
  <c r="AR619" i="1"/>
  <c r="AR348" i="1"/>
  <c r="AR917" i="1"/>
  <c r="AR713" i="1"/>
  <c r="AR472" i="1"/>
  <c r="AR1155" i="1"/>
  <c r="AR891" i="1"/>
  <c r="AR938" i="1"/>
  <c r="AR161" i="1"/>
  <c r="AR16" i="1"/>
  <c r="AR759" i="1"/>
  <c r="AR254" i="1"/>
  <c r="AR110" i="1"/>
  <c r="AR961" i="1"/>
  <c r="AR49" i="1"/>
  <c r="AR439" i="1"/>
  <c r="AR1055" i="1"/>
  <c r="AR729" i="1"/>
  <c r="AR585" i="1"/>
  <c r="AR1204" i="1"/>
  <c r="AR964" i="1"/>
  <c r="AR748" i="1"/>
  <c r="AR604" i="1"/>
  <c r="AR1082" i="1"/>
  <c r="AR742" i="1"/>
  <c r="AR238" i="1"/>
  <c r="AR560" i="1"/>
  <c r="AR344" i="1"/>
  <c r="AR200" i="1"/>
  <c r="AR44" i="1"/>
  <c r="AR210" i="1"/>
  <c r="AR1179" i="1"/>
  <c r="AR841" i="1"/>
  <c r="AR492" i="1"/>
  <c r="AR81" i="1"/>
  <c r="AR1038" i="1"/>
  <c r="AR678" i="1"/>
  <c r="AR342" i="1"/>
  <c r="AR1210" i="1"/>
  <c r="AR814" i="1"/>
  <c r="AR526" i="1"/>
  <c r="AR94" i="1"/>
  <c r="AR1073" i="1"/>
  <c r="AR629" i="1"/>
  <c r="AR717" i="1"/>
  <c r="AR573" i="1"/>
  <c r="AR1180" i="1"/>
  <c r="AR916" i="1"/>
  <c r="AR736" i="1"/>
  <c r="AR592" i="1"/>
  <c r="AR866" i="1"/>
  <c r="AR730" i="1"/>
  <c r="AR370" i="1"/>
  <c r="AR226" i="1"/>
  <c r="AR451" i="1"/>
  <c r="AR824" i="1"/>
  <c r="AR548" i="1"/>
  <c r="AR332" i="1"/>
  <c r="AR188" i="1"/>
  <c r="AR32" i="1"/>
  <c r="AR54" i="1"/>
  <c r="AR1131" i="1"/>
  <c r="AR483" i="1"/>
  <c r="AR793" i="1"/>
  <c r="AR252" i="1"/>
  <c r="AR357" i="1"/>
  <c r="AR213" i="1"/>
  <c r="AR69" i="1"/>
  <c r="AR1026" i="1"/>
  <c r="AR1212" i="1"/>
  <c r="AR1087" i="1"/>
  <c r="AR264" i="1"/>
  <c r="AR504" i="1"/>
  <c r="AR965" i="1"/>
  <c r="AR1152" i="1"/>
  <c r="AR1007" i="1"/>
  <c r="AR240" i="1"/>
  <c r="AR721" i="1"/>
  <c r="AR577" i="1"/>
  <c r="AR193" i="1"/>
  <c r="AR684" i="1"/>
  <c r="AR216" i="1"/>
  <c r="AR994" i="1"/>
  <c r="AR511" i="1"/>
  <c r="AR704" i="1"/>
  <c r="AR559" i="1"/>
  <c r="AR312" i="1"/>
  <c r="AR881" i="1"/>
  <c r="AR1156" i="1"/>
  <c r="AR5" i="1"/>
  <c r="AR436" i="1"/>
  <c r="AR292" i="1"/>
  <c r="AR711" i="1"/>
  <c r="AR242" i="1"/>
  <c r="AR853" i="1"/>
  <c r="AR37" i="1"/>
  <c r="AR878" i="1"/>
  <c r="AR590" i="1"/>
  <c r="AR1201" i="1"/>
  <c r="AR1190" i="1"/>
  <c r="AR1140" i="1"/>
  <c r="AR983" i="1"/>
  <c r="AR1063" i="1"/>
  <c r="AR823" i="1"/>
  <c r="AR487" i="1"/>
  <c r="AR91" i="1"/>
  <c r="AR204" i="1"/>
  <c r="AR913" i="1"/>
  <c r="AR709" i="1"/>
  <c r="AR565" i="1"/>
  <c r="AR181" i="1"/>
  <c r="AR1141" i="1"/>
  <c r="AR775" i="1"/>
  <c r="AR391" i="1"/>
  <c r="AR529" i="1"/>
  <c r="AR157" i="1"/>
  <c r="AR1015" i="1"/>
  <c r="AR839" i="1"/>
  <c r="AR739" i="1"/>
  <c r="AR821" i="1"/>
  <c r="AR1072" i="1"/>
  <c r="AR563" i="1"/>
  <c r="AR1058" i="1"/>
  <c r="AR401" i="1"/>
  <c r="AR257" i="1"/>
  <c r="AR112" i="1"/>
  <c r="AR818" i="1"/>
  <c r="AR681" i="1"/>
  <c r="AR856" i="1"/>
  <c r="AR700" i="1"/>
  <c r="AR556" i="1"/>
  <c r="AR610" i="1"/>
  <c r="AR488" i="1"/>
  <c r="AR296" i="1"/>
  <c r="AR152" i="1"/>
  <c r="AR18" i="1"/>
  <c r="AR301" i="1"/>
  <c r="AR321" i="1"/>
  <c r="AR33" i="1"/>
  <c r="AR1182" i="1"/>
  <c r="AR978" i="1"/>
  <c r="AR1126" i="1"/>
  <c r="AR934" i="1"/>
  <c r="AR706" i="1"/>
  <c r="AR466" i="1"/>
  <c r="AR953" i="1"/>
  <c r="AR803" i="1"/>
  <c r="AR191" i="1"/>
  <c r="AR1106" i="1"/>
  <c r="AR1094" i="1"/>
  <c r="AR1056" i="1"/>
  <c r="AR1235" i="1"/>
  <c r="AR991" i="1"/>
  <c r="AR1213" i="1"/>
  <c r="AR865" i="1"/>
  <c r="AR673" i="1"/>
  <c r="AR517" i="1"/>
  <c r="AR349" i="1"/>
  <c r="AR145" i="1"/>
  <c r="AR1068" i="1"/>
  <c r="AR528" i="1"/>
  <c r="AR84" i="1"/>
  <c r="AR131" i="1"/>
  <c r="AR957" i="1"/>
  <c r="AR127" i="1"/>
  <c r="AR1028" i="1"/>
  <c r="AR860" i="1"/>
  <c r="AR572" i="1"/>
  <c r="AR223" i="1"/>
  <c r="AR67" i="1"/>
  <c r="AR168" i="1"/>
  <c r="AR542" i="1"/>
  <c r="AR1129" i="1"/>
  <c r="AR549" i="1"/>
  <c r="AR712" i="1"/>
  <c r="AR308" i="1"/>
  <c r="AR1194" i="1"/>
  <c r="AR999" i="1"/>
  <c r="AR1034" i="1"/>
  <c r="AR376" i="1"/>
  <c r="AR182" i="1"/>
  <c r="AR1093" i="1"/>
  <c r="AR801" i="1"/>
  <c r="AR310" i="1"/>
  <c r="AR680" i="1"/>
  <c r="AR272" i="1"/>
  <c r="AR975" i="1"/>
  <c r="AR1176" i="1"/>
  <c r="AR153" i="1"/>
  <c r="AR948" i="1"/>
  <c r="AR1175" i="1"/>
  <c r="AR1153" i="1"/>
  <c r="AR649" i="1"/>
  <c r="AR289" i="1"/>
  <c r="AR97" i="1"/>
  <c r="AR12" i="1"/>
  <c r="AR516" i="1"/>
  <c r="AR1004" i="1"/>
  <c r="AR1039" i="1"/>
  <c r="AR731" i="1"/>
  <c r="AR275" i="1"/>
  <c r="AR940" i="1"/>
  <c r="AR211" i="1"/>
  <c r="AR987" i="1"/>
  <c r="AR691" i="1"/>
  <c r="AR1022" i="1"/>
  <c r="AR710" i="1"/>
  <c r="AR458" i="1"/>
  <c r="AR76" i="1"/>
  <c r="AR1143" i="1"/>
  <c r="AR144" i="1"/>
  <c r="AR715" i="1"/>
  <c r="AR830" i="1"/>
  <c r="AR568" i="1"/>
  <c r="AR45" i="1"/>
  <c r="AR990" i="1"/>
  <c r="AR478" i="1"/>
  <c r="AR1008" i="1"/>
  <c r="AR885" i="1"/>
  <c r="AR1016" i="1"/>
  <c r="AR952" i="1"/>
  <c r="AR88" i="1"/>
  <c r="AR657" i="1"/>
  <c r="AR676" i="1"/>
  <c r="AR882" i="1"/>
  <c r="AR416" i="1"/>
  <c r="AR1045" i="1"/>
  <c r="AR1158" i="1"/>
  <c r="AR1229" i="1"/>
  <c r="AR1142" i="1"/>
  <c r="AR943" i="1"/>
  <c r="AR992" i="1"/>
  <c r="AR812" i="1"/>
  <c r="AR695" i="1"/>
  <c r="AR1025" i="1"/>
  <c r="AR773" i="1"/>
  <c r="AR951" i="1"/>
  <c r="AR735" i="1"/>
  <c r="AR422" i="1"/>
  <c r="AR353" i="1"/>
  <c r="AR209" i="1"/>
  <c r="AR352" i="1"/>
  <c r="AR208" i="1"/>
  <c r="AR64" i="1"/>
  <c r="AR338" i="1"/>
  <c r="AR14" i="1"/>
  <c r="AR133" i="1"/>
  <c r="AR476" i="1"/>
  <c r="AR1010" i="1"/>
  <c r="AR722" i="1"/>
  <c r="AR1137" i="1"/>
  <c r="AR777" i="1"/>
  <c r="AR633" i="1"/>
  <c r="AR489" i="1"/>
  <c r="AR1036" i="1"/>
  <c r="AR796" i="1"/>
  <c r="AR652" i="1"/>
  <c r="AR922" i="1"/>
  <c r="AR502" i="1"/>
  <c r="AR286" i="1"/>
  <c r="AR656" i="1"/>
  <c r="AR392" i="1"/>
  <c r="AR248" i="1"/>
  <c r="AR92" i="1"/>
  <c r="AR114" i="1"/>
  <c r="AR903" i="1"/>
  <c r="AR815" i="1"/>
  <c r="AR273" i="1"/>
  <c r="AR1110" i="1"/>
  <c r="AR750" i="1"/>
  <c r="AR390" i="1"/>
  <c r="AR246" i="1"/>
  <c r="AR1054" i="1"/>
  <c r="AR634" i="1"/>
  <c r="AR154" i="1"/>
  <c r="AR1193" i="1"/>
  <c r="AR857" i="1"/>
  <c r="AR1091" i="1"/>
  <c r="AR599" i="1"/>
  <c r="AR646" i="1"/>
  <c r="AR325" i="1"/>
  <c r="AR71" i="1"/>
  <c r="AR936" i="1"/>
  <c r="AR232" i="1"/>
  <c r="AR594" i="1"/>
  <c r="AR900" i="1"/>
  <c r="AR780" i="1"/>
  <c r="AR805" i="1"/>
  <c r="AR852" i="1"/>
  <c r="AR1184" i="1"/>
  <c r="AR336" i="1"/>
  <c r="AR1231" i="1"/>
  <c r="AR888" i="1"/>
  <c r="AR1195" i="1"/>
  <c r="AR919" i="1"/>
  <c r="AR631" i="1"/>
  <c r="AR247" i="1"/>
  <c r="AR624" i="1"/>
  <c r="AR625" i="1"/>
  <c r="AR469" i="1"/>
  <c r="AR241" i="1"/>
  <c r="AR804" i="1"/>
  <c r="AR384" i="1"/>
  <c r="AR456" i="1"/>
  <c r="AR1219" i="1"/>
  <c r="AR324" i="1"/>
  <c r="AR1207" i="1"/>
  <c r="AR1172" i="1"/>
  <c r="AR980" i="1"/>
  <c r="AR800" i="1"/>
  <c r="AR452" i="1"/>
  <c r="AR905" i="1"/>
  <c r="AR539" i="1"/>
  <c r="AR1013" i="1"/>
  <c r="AR761" i="1"/>
  <c r="AR569" i="1"/>
  <c r="AR60" i="1"/>
  <c r="AR904" i="1"/>
  <c r="AR59" i="1"/>
  <c r="AR939" i="1"/>
  <c r="AR699" i="1"/>
  <c r="AR499" i="1"/>
  <c r="AR986" i="1"/>
  <c r="AR686" i="1"/>
  <c r="AR410" i="1"/>
  <c r="AR497" i="1"/>
  <c r="AR341" i="1"/>
  <c r="AR197" i="1"/>
  <c r="AR988" i="1"/>
  <c r="AR340" i="1"/>
  <c r="AR196" i="1"/>
  <c r="AR52" i="1"/>
  <c r="AR819" i="1"/>
  <c r="AR39" i="1"/>
  <c r="AR290" i="1"/>
  <c r="AR109" i="1"/>
  <c r="AR674" i="1"/>
  <c r="AR970" i="1"/>
  <c r="AR1125" i="1"/>
  <c r="AR933" i="1"/>
  <c r="AR765" i="1"/>
  <c r="AR621" i="1"/>
  <c r="AR477" i="1"/>
  <c r="AR1024" i="1"/>
  <c r="AR784" i="1"/>
  <c r="AR640" i="1"/>
  <c r="AR496" i="1"/>
  <c r="AR802" i="1"/>
  <c r="AR454" i="1"/>
  <c r="AR274" i="1"/>
  <c r="AR22" i="1"/>
  <c r="AR1061" i="1"/>
  <c r="AR1081" i="1"/>
  <c r="AR85" i="1"/>
  <c r="AR355" i="1"/>
  <c r="AR464" i="1"/>
  <c r="AR876" i="1"/>
  <c r="AR1103" i="1"/>
  <c r="AR1198" i="1"/>
  <c r="AR907" i="1"/>
  <c r="AR583" i="1"/>
  <c r="AR235" i="1"/>
  <c r="AR588" i="1"/>
  <c r="AR985" i="1"/>
  <c r="AR757" i="1"/>
  <c r="AR613" i="1"/>
  <c r="AR457" i="1"/>
  <c r="AR229" i="1"/>
  <c r="AR300" i="1"/>
  <c r="AR491" i="1"/>
  <c r="AR1130" i="1"/>
  <c r="AR163" i="1"/>
  <c r="AR871" i="1"/>
  <c r="AR1160" i="1"/>
  <c r="AR968" i="1"/>
  <c r="AR764" i="1"/>
  <c r="AR1032" i="1"/>
  <c r="AR540" i="1"/>
  <c r="AR977" i="1"/>
  <c r="AR749" i="1"/>
  <c r="AR557" i="1"/>
  <c r="AR31" i="1"/>
  <c r="AR892" i="1"/>
  <c r="AR1203" i="1"/>
  <c r="AR927" i="1"/>
  <c r="AR663" i="1"/>
  <c r="AR974" i="1"/>
  <c r="AR662" i="1"/>
  <c r="AR185" i="1"/>
  <c r="AR41" i="1"/>
  <c r="AR844" i="1"/>
  <c r="AR328" i="1"/>
  <c r="AR184" i="1"/>
  <c r="AR807" i="1"/>
  <c r="AR507" i="1"/>
  <c r="AR315" i="1"/>
  <c r="AR171" i="1"/>
  <c r="AR666" i="1"/>
  <c r="AR486" i="1"/>
  <c r="AR1186" i="1"/>
  <c r="AR982" i="1"/>
  <c r="AR790" i="1"/>
  <c r="AR514" i="1"/>
  <c r="AR70" i="1"/>
  <c r="AR1049" i="1"/>
  <c r="AR911" i="1"/>
  <c r="AR395" i="1"/>
  <c r="AR360" i="1"/>
  <c r="AR660" i="1"/>
  <c r="AR192" i="1"/>
  <c r="AR1199" i="1"/>
  <c r="AR299" i="1"/>
  <c r="AR1044" i="1"/>
  <c r="AR1089" i="1"/>
  <c r="AR480" i="1"/>
  <c r="AR1076" i="1"/>
  <c r="AR920" i="1"/>
  <c r="AR644" i="1"/>
  <c r="AR636" i="1"/>
  <c r="AR367" i="1"/>
  <c r="AR156" i="1"/>
  <c r="AR36" i="1"/>
  <c r="AR869" i="1"/>
  <c r="AR509" i="1"/>
  <c r="AR1132" i="1"/>
  <c r="AR787" i="1"/>
  <c r="AR1107" i="1"/>
  <c r="AR855" i="1"/>
  <c r="AR555" i="1"/>
  <c r="AR1154" i="1"/>
  <c r="AR842" i="1"/>
  <c r="AR554" i="1"/>
  <c r="AR302" i="1"/>
  <c r="AR137" i="1"/>
  <c r="AR424" i="1"/>
  <c r="AR280" i="1"/>
  <c r="AR136" i="1"/>
  <c r="AR687" i="1"/>
  <c r="AR230" i="1"/>
  <c r="AR86" i="1"/>
  <c r="AR781" i="1"/>
  <c r="AR25" i="1"/>
  <c r="AR307" i="1"/>
  <c r="AR415" i="1"/>
  <c r="AR1161" i="1"/>
  <c r="AR854" i="1"/>
  <c r="AR566" i="1"/>
  <c r="AR1189" i="1"/>
  <c r="AR947" i="1"/>
  <c r="AR1233" i="1"/>
  <c r="AR1041" i="1"/>
  <c r="AR849" i="1"/>
  <c r="AR705" i="1"/>
  <c r="AR561" i="1"/>
  <c r="AR1168" i="1"/>
  <c r="AR880" i="1"/>
  <c r="AR724" i="1"/>
  <c r="AR580" i="1"/>
  <c r="AR311" i="1"/>
  <c r="AR694" i="1"/>
  <c r="AR358" i="1"/>
  <c r="AR214" i="1"/>
  <c r="AR1098" i="1"/>
  <c r="AR1217" i="1"/>
  <c r="AR788" i="1"/>
  <c r="AR524" i="1"/>
  <c r="AR320" i="1"/>
  <c r="AR176" i="1"/>
  <c r="AR20" i="1"/>
  <c r="AR186" i="1"/>
  <c r="AR42" i="1"/>
  <c r="AR1071" i="1"/>
  <c r="AR1165" i="1"/>
  <c r="AR421" i="1"/>
  <c r="AR96" i="1"/>
  <c r="AR345" i="1"/>
  <c r="AR201" i="1"/>
  <c r="AR57" i="1"/>
  <c r="AR1230" i="1"/>
  <c r="AR1002" i="1"/>
  <c r="AR822" i="1"/>
  <c r="AR642" i="1"/>
  <c r="AR474" i="1"/>
  <c r="AR318" i="1"/>
  <c r="AR1174" i="1"/>
  <c r="AR958" i="1"/>
  <c r="AR766" i="1"/>
  <c r="AR490" i="1"/>
  <c r="AR58" i="1"/>
  <c r="AR1001" i="1"/>
  <c r="AR899" i="1"/>
  <c r="AR227" i="1"/>
  <c r="AR1080" i="1"/>
  <c r="AR1085" i="1"/>
  <c r="AR809" i="1"/>
  <c r="AR564" i="1"/>
  <c r="AR1048" i="1"/>
  <c r="AR783" i="1"/>
  <c r="AR984" i="1"/>
  <c r="AR1046" i="1"/>
  <c r="AR758" i="1"/>
  <c r="AR389" i="1"/>
  <c r="AR245" i="1"/>
  <c r="AR101" i="1"/>
  <c r="AR388" i="1"/>
  <c r="AR244" i="1"/>
  <c r="AR100" i="1"/>
  <c r="AR615" i="1"/>
  <c r="AR398" i="1"/>
  <c r="AR50" i="1"/>
  <c r="AR337" i="1"/>
  <c r="AR806" i="1"/>
  <c r="AR482" i="1"/>
  <c r="AR1105" i="1"/>
  <c r="AR1197" i="1"/>
  <c r="AR1005" i="1"/>
  <c r="AR813" i="1"/>
  <c r="AR669" i="1"/>
  <c r="AR525" i="1"/>
  <c r="AR1096" i="1"/>
  <c r="AR832" i="1"/>
  <c r="AR688" i="1"/>
  <c r="AR544" i="1"/>
  <c r="AR586" i="1"/>
  <c r="AR322" i="1"/>
  <c r="AR178" i="1"/>
  <c r="AR954" i="1"/>
  <c r="AR1133" i="1"/>
  <c r="AR692" i="1"/>
  <c r="AR428" i="1"/>
  <c r="AR284" i="1"/>
  <c r="AR128" i="1"/>
  <c r="AR150" i="1"/>
  <c r="AR6" i="1"/>
  <c r="AR1011" i="1"/>
  <c r="AR1057" i="1"/>
  <c r="AR1200" i="1"/>
  <c r="AR453" i="1"/>
  <c r="AR309" i="1"/>
  <c r="AR165" i="1"/>
  <c r="AR21" i="1"/>
  <c r="AR1170" i="1"/>
  <c r="AR966" i="1"/>
  <c r="AR786" i="1"/>
  <c r="AR606" i="1"/>
  <c r="AR426" i="1"/>
  <c r="AR282" i="1"/>
  <c r="AR1114" i="1"/>
  <c r="AR910" i="1"/>
  <c r="AR682" i="1"/>
  <c r="AR442" i="1"/>
  <c r="AR941" i="1"/>
  <c r="AR779" i="1"/>
  <c r="AR167" i="1"/>
  <c r="AR351" i="1"/>
  <c r="AR207" i="1"/>
  <c r="AR63" i="1"/>
  <c r="AR170" i="1"/>
  <c r="AR253" i="1"/>
  <c r="AR475" i="1"/>
  <c r="AR1226" i="1"/>
  <c r="AR734" i="1"/>
  <c r="AR434" i="1"/>
  <c r="AR612" i="1"/>
  <c r="AR1090" i="1"/>
  <c r="AR1173" i="1"/>
  <c r="AR969" i="1"/>
  <c r="AR789" i="1"/>
  <c r="AR645" i="1"/>
  <c r="AR501" i="1"/>
  <c r="AR1060" i="1"/>
  <c r="AR808" i="1"/>
  <c r="AR664" i="1"/>
  <c r="AR520" i="1"/>
  <c r="AR538" i="1"/>
  <c r="AR298" i="1"/>
  <c r="AR106" i="1"/>
  <c r="AR870" i="1"/>
  <c r="AR1220" i="1"/>
  <c r="AR668" i="1"/>
  <c r="AR404" i="1"/>
  <c r="AR260" i="1"/>
  <c r="AR104" i="1"/>
  <c r="AR126" i="1"/>
  <c r="AR963" i="1"/>
  <c r="AR1033" i="1"/>
  <c r="AR1164" i="1"/>
  <c r="AR429" i="1"/>
  <c r="AR285" i="1"/>
  <c r="AR141" i="1"/>
  <c r="AR1134" i="1"/>
  <c r="AR930" i="1"/>
  <c r="AR762" i="1"/>
  <c r="AR582" i="1"/>
  <c r="AR1066" i="1"/>
  <c r="AR886" i="1"/>
  <c r="AR658" i="1"/>
  <c r="AR406" i="1"/>
  <c r="AR1205" i="1"/>
  <c r="AR893" i="1"/>
  <c r="AR1151" i="1"/>
  <c r="AR611" i="1"/>
  <c r="AR35" i="1"/>
  <c r="AR1136" i="1"/>
  <c r="AR632" i="1"/>
  <c r="AR380" i="1"/>
  <c r="AR236" i="1"/>
  <c r="AR80" i="1"/>
  <c r="AR1227" i="1"/>
  <c r="AR867" i="1"/>
  <c r="AR1009" i="1"/>
  <c r="AR732" i="1"/>
  <c r="AR405" i="1"/>
  <c r="AR261" i="1"/>
  <c r="AR117" i="1"/>
  <c r="AR1074" i="1"/>
  <c r="AR906" i="1"/>
  <c r="AR726" i="1"/>
  <c r="AR558" i="1"/>
  <c r="AR378" i="1"/>
  <c r="AR234" i="1"/>
  <c r="AR1042" i="1"/>
  <c r="AR850" i="1"/>
  <c r="AR622" i="1"/>
  <c r="AR142" i="1"/>
  <c r="AR1236" i="1"/>
  <c r="AR1181" i="1"/>
  <c r="AR845" i="1"/>
  <c r="AR372" i="1"/>
  <c r="AR1079" i="1"/>
  <c r="AR587" i="1"/>
  <c r="AR278" i="1"/>
  <c r="AR134" i="1"/>
  <c r="AR73" i="1"/>
  <c r="AR139" i="1"/>
  <c r="AR914" i="1"/>
  <c r="AR638" i="1"/>
  <c r="AR659" i="1"/>
  <c r="AR1139" i="1"/>
  <c r="AR1113" i="1"/>
  <c r="AR921" i="1"/>
  <c r="AR753" i="1"/>
  <c r="AR609" i="1"/>
  <c r="AR465" i="1"/>
  <c r="AR1012" i="1"/>
  <c r="AR772" i="1"/>
  <c r="AR628" i="1"/>
  <c r="AR778" i="1"/>
  <c r="AR418" i="1"/>
  <c r="AR262" i="1"/>
  <c r="AR10" i="1"/>
  <c r="AR263" i="1"/>
  <c r="AR654" i="1"/>
  <c r="AR1040" i="1"/>
  <c r="AR596" i="1"/>
  <c r="AR368" i="1"/>
  <c r="AR224" i="1"/>
  <c r="AR68" i="1"/>
  <c r="AR90" i="1"/>
  <c r="AR1215" i="1"/>
  <c r="AR723" i="1"/>
  <c r="AR937" i="1"/>
  <c r="AR696" i="1"/>
  <c r="AR393" i="1"/>
  <c r="AR249" i="1"/>
  <c r="AR105" i="1"/>
  <c r="AR1062" i="1"/>
  <c r="AR894" i="1"/>
  <c r="AR714" i="1"/>
  <c r="AR534" i="1"/>
  <c r="AR366" i="1"/>
  <c r="AR1234" i="1"/>
  <c r="AR1030" i="1"/>
  <c r="AR838" i="1"/>
  <c r="AR598" i="1"/>
  <c r="AR130" i="1"/>
  <c r="AR1224" i="1"/>
  <c r="AR1121" i="1"/>
  <c r="AR725" i="1"/>
  <c r="AR995" i="1"/>
  <c r="AR515" i="1"/>
  <c r="AR955" i="1"/>
  <c r="AE7" i="1" a="1"/>
  <c r="AE7" i="1" s="1"/>
  <c r="AD7" i="1"/>
  <c r="AE4" i="1" a="1"/>
  <c r="AE4" i="1" s="1"/>
  <c r="AD4" i="1"/>
  <c r="AF10" i="1"/>
  <c r="AE21" i="1" l="1"/>
  <c r="AE17" i="1"/>
  <c r="AD15" i="1"/>
  <c r="AE15" i="1" s="1"/>
  <c r="AR4" i="1"/>
  <c r="AU4" i="1" s="1"/>
  <c r="AE10" i="1"/>
  <c r="AD12" i="1"/>
  <c r="AE12" i="1" s="1"/>
  <c r="AD10" i="1"/>
  <c r="AF21" i="1" l="1"/>
  <c r="AF23" i="1" s="1"/>
  <c r="AF17" i="1"/>
  <c r="AF19" i="1" s="1"/>
  <c r="AH19" i="1" s="1"/>
  <c r="AV8" i="1"/>
  <c r="AV6" i="1" s="1"/>
  <c r="AW6" i="1" s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AG19" i="1" l="1"/>
  <c r="AF25" i="1"/>
  <c r="AV7" i="1"/>
  <c r="AW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<sst xmlns="http://schemas.openxmlformats.org/spreadsheetml/2006/main" count="58" uniqueCount="42">
  <si>
    <t>Data</t>
  </si>
  <si>
    <t>Fechamento</t>
  </si>
  <si>
    <t>Fechamento T10</t>
  </si>
  <si>
    <t>Fechamento WSP(S&amp;P)</t>
  </si>
  <si>
    <t>Fechamento DAPQ26</t>
  </si>
  <si>
    <t>Fechamento DAPK27</t>
  </si>
  <si>
    <t>Fechamento DAPQ28</t>
  </si>
  <si>
    <t>Fechamento DAPQ30</t>
  </si>
  <si>
    <t>Fechamento DAPQ32</t>
  </si>
  <si>
    <t>Fechamento DAPK35</t>
  </si>
  <si>
    <t>.</t>
  </si>
  <si>
    <t>Fechamento DOL PTAX</t>
  </si>
  <si>
    <t>T10 adj</t>
  </si>
  <si>
    <t>Fechamento WDO</t>
  </si>
  <si>
    <t>HOLIDAYS BZ</t>
  </si>
  <si>
    <t>du</t>
  </si>
  <si>
    <t>risco (vol)</t>
  </si>
  <si>
    <t>cov</t>
  </si>
  <si>
    <t>VaR port</t>
  </si>
  <si>
    <t>ret1*w1</t>
  </si>
  <si>
    <t>ret2*w2</t>
  </si>
  <si>
    <t>vol1</t>
  </si>
  <si>
    <t>retorno1</t>
  </si>
  <si>
    <t>peso1</t>
  </si>
  <si>
    <t>vol2</t>
  </si>
  <si>
    <t>retorno2</t>
  </si>
  <si>
    <t>peso2</t>
  </si>
  <si>
    <t>ret port</t>
  </si>
  <si>
    <t>VaR 95%</t>
  </si>
  <si>
    <t>retorno diario</t>
  </si>
  <si>
    <t>retorno na</t>
  </si>
  <si>
    <t>risco (vol) an</t>
  </si>
  <si>
    <t>VaR 95% portfolio</t>
  </si>
  <si>
    <t>var1</t>
  </si>
  <si>
    <t>var2</t>
  </si>
  <si>
    <t>corr</t>
  </si>
  <si>
    <t>dVaRPort/dw1</t>
  </si>
  <si>
    <t>MVAR1</t>
  </si>
  <si>
    <t>MVAR2</t>
  </si>
  <si>
    <t>Total VaR</t>
  </si>
  <si>
    <t>dVaRPort/dw2</t>
  </si>
  <si>
    <t>VaRC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</si>
</sst>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%"/>
    <numFmt numFmtId="165" formatCode="0.0000%"/>
    <numFmt numFmtId="167" formatCode="0.0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10" fontId="0" fillId="0" borderId="0" xfId="2" applyNumberFormat="1" applyFont="1"/>
    <xf numFmtId="164" fontId="0" fillId="0" borderId="0" xfId="2" applyNumberFormat="1" applyFont="1"/>
    <xf numFmtId="43" fontId="0" fillId="0" borderId="0" xfId="1" applyFont="1"/>
    <xf numFmtId="14" fontId="0" fillId="0" borderId="0" xfId="1" applyNumberFormat="1" applyFont="1"/>
    <xf numFmtId="43" fontId="0" fillId="0" borderId="0" xfId="0" applyNumberFormat="1"/>
    <xf numFmtId="15" fontId="0" fillId="0" borderId="0" xfId="0" applyNumberFormat="1"/>
    <xf numFmtId="14" fontId="0" fillId="2" borderId="0" xfId="0" applyNumberFormat="1" applyFill="1"/>
    <xf numFmtId="0" fontId="0" fillId="0" borderId="0" xfId="0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0" fontId="0" fillId="0" borderId="0" xfId="0" applyNumberFormat="1"/>
    <xf numFmtId="165" fontId="0" fillId="0" borderId="0" xfId="2" applyNumberFormat="1" applyFont="1"/>
    <xf numFmtId="9" fontId="0" fillId="0" borderId="0" xfId="2" applyFont="1"/>
    <xf numFmtId="164" fontId="0" fillId="0" borderId="0" xfId="0" applyNumberFormat="1"/>
    <xf numFmtId="167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B0C1-D13C-4130-A0EE-83DD53C8FE5F}">
  <dimension ref="B1:AW7647"/>
  <sheetViews>
    <sheetView tabSelected="1" topLeftCell="T1" workbookViewId="0">
      <selection activeCell="AH19" sqref="AH19"/>
    </sheetView>
  </sheetViews>
  <sheetFormatPr defaultRowHeight="14.5" x14ac:dyDescent="0.35"/>
  <cols>
    <col min="2" max="2" width="10.453125" bestFit="1" customWidth="1"/>
    <col min="3" max="3" width="20.81640625" bestFit="1" customWidth="1"/>
    <col min="4" max="5" width="20.81640625" customWidth="1"/>
    <col min="6" max="6" width="10.453125" bestFit="1" customWidth="1"/>
    <col min="7" max="7" width="14.81640625" bestFit="1" customWidth="1"/>
    <col min="8" max="11" width="14.81640625" customWidth="1"/>
    <col min="12" max="12" width="10.453125" bestFit="1" customWidth="1"/>
    <col min="13" max="13" width="18.90625" bestFit="1" customWidth="1"/>
    <col min="14" max="14" width="10.453125" bestFit="1" customWidth="1"/>
    <col min="15" max="15" width="18.6328125" bestFit="1" customWidth="1"/>
    <col min="16" max="16" width="10.453125" bestFit="1" customWidth="1"/>
    <col min="17" max="17" width="18.90625" bestFit="1" customWidth="1"/>
    <col min="18" max="18" width="10.453125" bestFit="1" customWidth="1"/>
    <col min="19" max="19" width="18.90625" bestFit="1" customWidth="1"/>
    <col min="20" max="20" width="10.453125" bestFit="1" customWidth="1"/>
    <col min="21" max="21" width="18.90625" bestFit="1" customWidth="1"/>
    <col min="22" max="22" width="10.453125" bestFit="1" customWidth="1"/>
    <col min="23" max="23" width="18.6328125" bestFit="1" customWidth="1"/>
    <col min="24" max="24" width="10.453125" bestFit="1" customWidth="1"/>
    <col min="25" max="25" width="10.453125" customWidth="1"/>
    <col min="26" max="26" width="11.08984375" bestFit="1" customWidth="1"/>
    <col min="27" max="27" width="10.08984375" bestFit="1" customWidth="1"/>
    <col min="30" max="30" width="12" bestFit="1" customWidth="1"/>
    <col min="31" max="33" width="11.81640625" bestFit="1" customWidth="1"/>
    <col min="34" max="34" width="10.08984375" bestFit="1" customWidth="1"/>
    <col min="36" max="36" width="10.453125" bestFit="1" customWidth="1"/>
    <col min="39" max="39" width="11.08984375" bestFit="1" customWidth="1"/>
    <col min="41" max="41" width="12.7265625" bestFit="1" customWidth="1"/>
    <col min="45" max="45" width="11.81640625" bestFit="1" customWidth="1"/>
    <col min="46" max="46" width="16.08984375" bestFit="1" customWidth="1"/>
    <col min="47" max="47" width="11.08984375" bestFit="1" customWidth="1"/>
    <col min="48" max="48" width="10.08984375" bestFit="1" customWidth="1"/>
  </cols>
  <sheetData>
    <row r="1" spans="2:49" x14ac:dyDescent="0.35">
      <c r="Z1" s="8">
        <v>47850</v>
      </c>
      <c r="AJ1" s="8">
        <v>46389</v>
      </c>
    </row>
    <row r="2" spans="2:49" x14ac:dyDescent="0.35">
      <c r="H2" s="6"/>
      <c r="K2" s="6"/>
      <c r="Z2" s="4">
        <v>100000</v>
      </c>
    </row>
    <row r="3" spans="2:49" x14ac:dyDescent="0.35">
      <c r="B3" t="s">
        <v>0</v>
      </c>
      <c r="C3" t="s">
        <v>3</v>
      </c>
      <c r="D3" t="s">
        <v>0</v>
      </c>
      <c r="E3" t="s">
        <v>11</v>
      </c>
      <c r="F3" t="s">
        <v>0</v>
      </c>
      <c r="G3" t="s">
        <v>2</v>
      </c>
      <c r="H3" t="s">
        <v>12</v>
      </c>
      <c r="I3" t="s">
        <v>0</v>
      </c>
      <c r="J3" t="s">
        <v>13</v>
      </c>
      <c r="L3" t="s">
        <v>0</v>
      </c>
      <c r="M3" t="s">
        <v>4</v>
      </c>
      <c r="N3" t="s">
        <v>0</v>
      </c>
      <c r="O3" t="s">
        <v>5</v>
      </c>
      <c r="P3" t="s">
        <v>0</v>
      </c>
      <c r="Q3" t="s">
        <v>6</v>
      </c>
      <c r="R3" t="s">
        <v>0</v>
      </c>
      <c r="S3" t="s">
        <v>7</v>
      </c>
      <c r="T3" t="s">
        <v>0</v>
      </c>
      <c r="U3" t="s">
        <v>8</v>
      </c>
      <c r="V3" t="s">
        <v>0</v>
      </c>
      <c r="W3" t="s">
        <v>9</v>
      </c>
      <c r="X3" t="s">
        <v>0</v>
      </c>
      <c r="Y3" t="s">
        <v>15</v>
      </c>
      <c r="Z3" t="s">
        <v>1</v>
      </c>
      <c r="AD3" s="9" t="s">
        <v>21</v>
      </c>
      <c r="AE3" s="9" t="s">
        <v>22</v>
      </c>
      <c r="AF3" s="9" t="s">
        <v>23</v>
      </c>
      <c r="AG3" s="9" t="s">
        <v>33</v>
      </c>
      <c r="AH3" s="9"/>
      <c r="AI3" s="9"/>
      <c r="AJ3" t="s">
        <v>0</v>
      </c>
      <c r="AK3" t="s">
        <v>15</v>
      </c>
      <c r="AL3" t="s">
        <v>1</v>
      </c>
      <c r="AP3" t="s">
        <v>19</v>
      </c>
      <c r="AQ3" t="s">
        <v>20</v>
      </c>
      <c r="AR3" t="s">
        <v>27</v>
      </c>
      <c r="AT3" t="s">
        <v>32</v>
      </c>
      <c r="AU3" s="4">
        <v>60000</v>
      </c>
      <c r="AV3" s="2">
        <v>1E-4</v>
      </c>
    </row>
    <row r="4" spans="2:49" x14ac:dyDescent="0.35">
      <c r="B4" s="1">
        <v>45639</v>
      </c>
      <c r="C4">
        <v>6033.98</v>
      </c>
      <c r="D4" s="1">
        <v>45639</v>
      </c>
      <c r="E4">
        <v>6.0393999999999997</v>
      </c>
      <c r="F4" s="1">
        <v>45639</v>
      </c>
      <c r="G4">
        <v>109.925</v>
      </c>
      <c r="H4" s="4">
        <f t="shared" ref="H4:H67" si="0">G4*E4*1000</f>
        <v>663881.04499999993</v>
      </c>
      <c r="I4" s="5">
        <v>45639</v>
      </c>
      <c r="J4" s="4">
        <v>6073.5</v>
      </c>
      <c r="K4" s="4">
        <f>J4*10</f>
        <v>60735</v>
      </c>
      <c r="L4" s="1">
        <v>45639</v>
      </c>
      <c r="M4">
        <v>8.2200000000000006</v>
      </c>
      <c r="N4" s="1">
        <v>45639</v>
      </c>
      <c r="O4">
        <v>8.0299999999999994</v>
      </c>
      <c r="P4" s="1">
        <v>45639</v>
      </c>
      <c r="Q4">
        <v>7.79</v>
      </c>
      <c r="R4" s="1">
        <v>45639</v>
      </c>
      <c r="S4">
        <v>7.3</v>
      </c>
      <c r="T4" s="1">
        <v>45639</v>
      </c>
      <c r="U4">
        <v>7.14</v>
      </c>
      <c r="V4" s="1">
        <v>45639</v>
      </c>
      <c r="W4">
        <v>6.9</v>
      </c>
      <c r="X4" s="1">
        <v>45639</v>
      </c>
      <c r="Y4">
        <f>NETWORKDAYS(X4,$Z$1,FERIADO!$A$2:$A$408)</f>
        <v>1528</v>
      </c>
      <c r="Z4">
        <v>14.04</v>
      </c>
      <c r="AA4" s="6">
        <f>$Z$2/(1+Z4/100)^(Y4/252)</f>
        <v>45085.20702775017</v>
      </c>
      <c r="AB4" s="2">
        <f>LOG(AA4/AA5)</f>
        <v>-4.1674776097432222E-3</v>
      </c>
      <c r="AD4" s="10">
        <f>_xlfn.STDEV.S(AB4:AB1237)*SQRT(252)</f>
        <v>8.8373529769860806E-2</v>
      </c>
      <c r="AE4" s="10" cm="1">
        <f t="array" ref="AE4">AVERAGE(AB4:AB1237*252)</f>
        <v>-3.2365429878232722E-3</v>
      </c>
      <c r="AF4" s="10">
        <v>0.5</v>
      </c>
      <c r="AG4" s="10">
        <f>_xlfn.PERCENTILE.INC(AB4:AB1237,0.05)</f>
        <v>-7.5368285689638237E-3</v>
      </c>
      <c r="AH4" s="10"/>
      <c r="AI4" s="10"/>
      <c r="AJ4" s="1">
        <v>45639</v>
      </c>
      <c r="AK4">
        <f>NETWORKDAYS(AJ4,$AJ$1,FERIADO!$A$2:$A$408)</f>
        <v>515</v>
      </c>
      <c r="AL4">
        <v>14.885</v>
      </c>
      <c r="AM4" s="6">
        <f>$Z$2/(1+AL4/100)^(AK4/252)</f>
        <v>75308.292494522975</v>
      </c>
      <c r="AN4" s="2">
        <f>LOG(AM4/AM5)</f>
        <v>-1.1164835750391165E-3</v>
      </c>
      <c r="AP4" s="11">
        <f>AB4*$AF$4</f>
        <v>-2.0837388048716111E-3</v>
      </c>
      <c r="AQ4" s="11">
        <f>AN4*$AF$7</f>
        <v>-3.3494507251173496E-4</v>
      </c>
      <c r="AR4" s="11">
        <f>AQ4+AP4</f>
        <v>-2.4186838773833461E-3</v>
      </c>
      <c r="AT4" t="s">
        <v>28</v>
      </c>
      <c r="AU4" s="2">
        <f>_xlfn.PERCENTILE.INC(AR4:AR1237,0.05)</f>
        <v>-5.0019286125686461E-3</v>
      </c>
    </row>
    <row r="5" spans="2:49" x14ac:dyDescent="0.35">
      <c r="B5" s="1">
        <v>45638</v>
      </c>
      <c r="C5">
        <v>6045.59</v>
      </c>
      <c r="D5" s="1">
        <v>45638</v>
      </c>
      <c r="E5">
        <v>5.9401999999999999</v>
      </c>
      <c r="F5" s="1">
        <v>45638</v>
      </c>
      <c r="G5">
        <v>110.351</v>
      </c>
      <c r="H5" s="4">
        <f t="shared" si="0"/>
        <v>655507.01020000002</v>
      </c>
      <c r="I5" s="5">
        <v>45638</v>
      </c>
      <c r="J5" s="4">
        <v>5984.5</v>
      </c>
      <c r="K5" s="4">
        <f t="shared" ref="K5:K68" si="1">J5*10</f>
        <v>59845</v>
      </c>
      <c r="L5" s="1">
        <v>45638</v>
      </c>
      <c r="M5">
        <v>8.07</v>
      </c>
      <c r="N5" s="1">
        <v>45638</v>
      </c>
      <c r="O5">
        <v>7.85</v>
      </c>
      <c r="P5" s="1">
        <v>45638</v>
      </c>
      <c r="Q5">
        <v>7.66</v>
      </c>
      <c r="R5" s="1">
        <v>45638</v>
      </c>
      <c r="S5">
        <v>7.24</v>
      </c>
      <c r="T5" s="1">
        <v>45638</v>
      </c>
      <c r="U5">
        <v>7.07</v>
      </c>
      <c r="V5" s="1">
        <v>45638</v>
      </c>
      <c r="W5">
        <v>6.94</v>
      </c>
      <c r="X5" s="1">
        <v>45638</v>
      </c>
      <c r="Y5">
        <f>NETWORKDAYS(X5,$Z$1,FERIADO!$A$2:$A$408)</f>
        <v>1529</v>
      </c>
      <c r="Z5">
        <v>13.85</v>
      </c>
      <c r="AA5" s="6">
        <f t="shared" ref="AA5:AA68" si="2">$Z$2/(1+Z5/100)^(Y5/252)</f>
        <v>45519.92584278353</v>
      </c>
      <c r="AB5" s="2">
        <f t="shared" ref="AB5:AB68" si="3">LOG(AA5/AA6)</f>
        <v>-6.2692975814467701E-3</v>
      </c>
      <c r="AJ5" s="1">
        <v>45638</v>
      </c>
      <c r="AK5">
        <f>NETWORKDAYS(AJ5,$AJ$1,FERIADO!$A$2:$A$408)</f>
        <v>516</v>
      </c>
      <c r="AL5">
        <v>14.71</v>
      </c>
      <c r="AM5" s="6">
        <f t="shared" ref="AM5:AM68" si="4">$Z$2/(1+AL5/100)^(AK5/252)</f>
        <v>75502.144004936359</v>
      </c>
      <c r="AN5" s="2">
        <f t="shared" ref="AN5:AN68" si="5">LOG(AM5/AM6)</f>
        <v>-2.5641310086125121E-3</v>
      </c>
      <c r="AP5" s="11">
        <f t="shared" ref="AP5:AP68" si="6">AB5*$AF$4</f>
        <v>-3.1346487907233851E-3</v>
      </c>
      <c r="AQ5" s="11">
        <f t="shared" ref="AQ5:AQ68" si="7">AN5*$AF$7</f>
        <v>-7.6923930258375364E-4</v>
      </c>
      <c r="AR5" s="11">
        <f t="shared" ref="AR5:AR68" si="8">AQ5+AP5</f>
        <v>-3.9038880933071388E-3</v>
      </c>
    </row>
    <row r="6" spans="2:49" x14ac:dyDescent="0.35">
      <c r="B6" s="1">
        <v>45637</v>
      </c>
      <c r="C6">
        <v>6085.3</v>
      </c>
      <c r="D6" s="1">
        <v>45637</v>
      </c>
      <c r="E6">
        <v>6.0313999999999997</v>
      </c>
      <c r="F6" s="1">
        <v>45637</v>
      </c>
      <c r="G6">
        <v>110.669</v>
      </c>
      <c r="H6" s="4">
        <f t="shared" si="0"/>
        <v>667489.00659999996</v>
      </c>
      <c r="I6" s="5">
        <v>45637</v>
      </c>
      <c r="J6" s="4">
        <v>5965</v>
      </c>
      <c r="K6" s="4">
        <f t="shared" si="1"/>
        <v>59650</v>
      </c>
      <c r="L6" s="1">
        <v>45637</v>
      </c>
      <c r="M6">
        <v>7.56</v>
      </c>
      <c r="N6" s="1">
        <v>45637</v>
      </c>
      <c r="O6">
        <v>7.46</v>
      </c>
      <c r="P6" s="1">
        <v>45637</v>
      </c>
      <c r="Q6">
        <v>7.34</v>
      </c>
      <c r="R6" s="1">
        <v>45637</v>
      </c>
      <c r="S6">
        <v>7.05</v>
      </c>
      <c r="T6" s="1">
        <v>45637</v>
      </c>
      <c r="U6">
        <v>6.97</v>
      </c>
      <c r="V6" s="1">
        <v>45637</v>
      </c>
      <c r="W6">
        <v>6.81</v>
      </c>
      <c r="X6" s="1">
        <v>45637</v>
      </c>
      <c r="Y6">
        <f>NETWORKDAYS(X6,$Z$1,FERIADO!$A$2:$A$408)</f>
        <v>1530</v>
      </c>
      <c r="Z6">
        <v>13.57</v>
      </c>
      <c r="AA6" s="6">
        <f t="shared" si="2"/>
        <v>46181.798650532961</v>
      </c>
      <c r="AB6" s="2">
        <f t="shared" si="3"/>
        <v>8.1065386786949769E-3</v>
      </c>
      <c r="AD6" s="9" t="s">
        <v>24</v>
      </c>
      <c r="AE6" s="9" t="s">
        <v>25</v>
      </c>
      <c r="AF6" t="s">
        <v>26</v>
      </c>
      <c r="AG6" t="s">
        <v>34</v>
      </c>
      <c r="AH6" s="6"/>
      <c r="AJ6" s="1">
        <v>45637</v>
      </c>
      <c r="AK6">
        <f>NETWORKDAYS(AJ6,$AJ$1,FERIADO!$A$2:$A$408)</f>
        <v>517</v>
      </c>
      <c r="AL6">
        <v>14.35</v>
      </c>
      <c r="AM6" s="6">
        <f t="shared" si="4"/>
        <v>75949.237014939237</v>
      </c>
      <c r="AN6" s="2">
        <f t="shared" si="5"/>
        <v>2.4922243819070385E-3</v>
      </c>
      <c r="AP6" s="11">
        <f t="shared" si="6"/>
        <v>4.0532693393474884E-3</v>
      </c>
      <c r="AQ6" s="11">
        <f t="shared" si="7"/>
        <v>7.4766731457211156E-4</v>
      </c>
      <c r="AR6" s="11">
        <f t="shared" si="8"/>
        <v>4.8009366539196003E-3</v>
      </c>
      <c r="AT6">
        <v>1</v>
      </c>
      <c r="AU6" s="6">
        <f>AM4</f>
        <v>75308.292494522975</v>
      </c>
      <c r="AV6" s="6">
        <f>AU6/$AU$8*$AV$8</f>
        <v>-376.68670299204314</v>
      </c>
      <c r="AW6">
        <f>$AU$3/AV6</f>
        <v>-159.28356250278205</v>
      </c>
    </row>
    <row r="7" spans="2:49" x14ac:dyDescent="0.35">
      <c r="B7" s="1">
        <v>45636</v>
      </c>
      <c r="C7">
        <v>6031.88</v>
      </c>
      <c r="D7" s="1">
        <v>45636</v>
      </c>
      <c r="E7">
        <v>6.0522999999999998</v>
      </c>
      <c r="F7" s="1">
        <v>45636</v>
      </c>
      <c r="G7">
        <v>110.92700000000001</v>
      </c>
      <c r="H7" s="4">
        <f t="shared" si="0"/>
        <v>671363.48210000002</v>
      </c>
      <c r="I7" s="5">
        <v>45636</v>
      </c>
      <c r="J7" s="4">
        <v>6057.5</v>
      </c>
      <c r="K7" s="4">
        <f t="shared" si="1"/>
        <v>60575</v>
      </c>
      <c r="L7" s="1">
        <v>45636</v>
      </c>
      <c r="M7">
        <v>7.63</v>
      </c>
      <c r="N7" s="1">
        <v>45636</v>
      </c>
      <c r="O7">
        <v>7.6</v>
      </c>
      <c r="P7" s="1">
        <v>45636</v>
      </c>
      <c r="Q7">
        <v>7.53</v>
      </c>
      <c r="R7" s="1">
        <v>45636</v>
      </c>
      <c r="S7">
        <v>7.25</v>
      </c>
      <c r="T7" s="1">
        <v>45636</v>
      </c>
      <c r="U7">
        <v>7.14</v>
      </c>
      <c r="V7" s="1">
        <v>45636</v>
      </c>
      <c r="W7">
        <v>6.97</v>
      </c>
      <c r="X7" s="1">
        <v>45636</v>
      </c>
      <c r="Y7">
        <f>NETWORKDAYS(X7,$Z$1,FERIADO!$A$2:$A$408)</f>
        <v>1531</v>
      </c>
      <c r="Z7">
        <v>13.91</v>
      </c>
      <c r="AA7" s="6">
        <f t="shared" si="2"/>
        <v>45327.764913872263</v>
      </c>
      <c r="AB7" s="2">
        <f t="shared" si="3"/>
        <v>1.0403236601138054E-2</v>
      </c>
      <c r="AD7" s="2">
        <f>_xlfn.STDEV.S(AN4:AN1237)*SQRT(252)</f>
        <v>5.4886845730613823E-2</v>
      </c>
      <c r="AE7" s="10" cm="1">
        <f t="array" ref="AE7">AVERAGE(AN4:AN1237*252)</f>
        <v>1.5493358312734065E-2</v>
      </c>
      <c r="AF7" s="10">
        <v>0.3</v>
      </c>
      <c r="AG7" s="2">
        <f>_xlfn.PERCENTILE.INC(AN4:AN1237,0.05)</f>
        <v>-4.3249773463377335E-3</v>
      </c>
      <c r="AH7" s="6"/>
      <c r="AJ7" s="1">
        <v>45636</v>
      </c>
      <c r="AK7">
        <f>NETWORKDAYS(AJ7,$AJ$1,FERIADO!$A$2:$A$408)</f>
        <v>518</v>
      </c>
      <c r="AL7">
        <v>14.64</v>
      </c>
      <c r="AM7" s="6">
        <f t="shared" si="4"/>
        <v>75514.646014947895</v>
      </c>
      <c r="AN7" s="2">
        <f t="shared" si="5"/>
        <v>3.1953795443424161E-3</v>
      </c>
      <c r="AP7" s="11">
        <f t="shared" si="6"/>
        <v>5.201618300569027E-3</v>
      </c>
      <c r="AQ7" s="11">
        <f t="shared" si="7"/>
        <v>9.5861386330272475E-4</v>
      </c>
      <c r="AR7" s="11">
        <f t="shared" si="8"/>
        <v>6.160232163871752E-3</v>
      </c>
      <c r="AT7">
        <v>2</v>
      </c>
      <c r="AU7" s="6">
        <f>AA4</f>
        <v>45085.20702775017</v>
      </c>
      <c r="AV7" s="6">
        <f>AU7/$AU$8*$AV$8</f>
        <v>-225.5129870356846</v>
      </c>
      <c r="AW7">
        <f>$AU$3/AV7</f>
        <v>-266.06006504851871</v>
      </c>
    </row>
    <row r="8" spans="2:49" x14ac:dyDescent="0.35">
      <c r="B8" s="1">
        <v>45635</v>
      </c>
      <c r="C8">
        <v>6047.66</v>
      </c>
      <c r="D8" s="1">
        <v>45635</v>
      </c>
      <c r="E8">
        <v>6.0564</v>
      </c>
      <c r="F8" s="1">
        <v>45635</v>
      </c>
      <c r="G8">
        <v>111.18</v>
      </c>
      <c r="H8" s="4">
        <f t="shared" si="0"/>
        <v>673350.55200000003</v>
      </c>
      <c r="I8" s="5">
        <v>45635</v>
      </c>
      <c r="J8" s="4">
        <v>6092</v>
      </c>
      <c r="K8" s="4">
        <f t="shared" si="1"/>
        <v>60920</v>
      </c>
      <c r="L8" s="1">
        <v>45635</v>
      </c>
      <c r="M8">
        <v>7.76</v>
      </c>
      <c r="N8" s="1">
        <v>45635</v>
      </c>
      <c r="O8">
        <v>7.71</v>
      </c>
      <c r="P8" s="1">
        <v>45635</v>
      </c>
      <c r="Q8">
        <v>7.65</v>
      </c>
      <c r="R8" s="1">
        <v>45635</v>
      </c>
      <c r="S8">
        <v>7.34</v>
      </c>
      <c r="T8" s="1">
        <v>45635</v>
      </c>
      <c r="U8">
        <v>7.24</v>
      </c>
      <c r="V8" s="1">
        <v>45635</v>
      </c>
      <c r="W8">
        <v>7.08</v>
      </c>
      <c r="X8" s="1">
        <v>45635</v>
      </c>
      <c r="Y8">
        <f>NETWORKDAYS(X8,$Z$1,FERIADO!$A$2:$A$408)</f>
        <v>1532</v>
      </c>
      <c r="Z8">
        <v>14.35</v>
      </c>
      <c r="AA8" s="6">
        <f t="shared" si="2"/>
        <v>44254.869881801285</v>
      </c>
      <c r="AB8" s="2">
        <f t="shared" si="3"/>
        <v>-6.0143974042733504E-3</v>
      </c>
      <c r="AJ8" s="1">
        <v>45635</v>
      </c>
      <c r="AK8">
        <f>NETWORKDAYS(AJ8,$AJ$1,FERIADO!$A$2:$A$408)</f>
        <v>519</v>
      </c>
      <c r="AL8">
        <v>15.02</v>
      </c>
      <c r="AM8" s="6">
        <f t="shared" si="4"/>
        <v>74961.0759205551</v>
      </c>
      <c r="AN8" s="2">
        <f t="shared" si="5"/>
        <v>-2.333682971057285E-3</v>
      </c>
      <c r="AP8" s="11">
        <f t="shared" si="6"/>
        <v>-3.0071987021366752E-3</v>
      </c>
      <c r="AQ8" s="11">
        <f t="shared" si="7"/>
        <v>-7.0010489131718554E-4</v>
      </c>
      <c r="AR8" s="11">
        <f t="shared" si="8"/>
        <v>-3.7073035934538606E-3</v>
      </c>
      <c r="AU8" s="6">
        <f>SUM(AU6:AU7)</f>
        <v>120393.49952227314</v>
      </c>
      <c r="AV8" s="6">
        <f>AU4*AU8</f>
        <v>-602.19969002772768</v>
      </c>
    </row>
    <row r="9" spans="2:49" x14ac:dyDescent="0.35">
      <c r="B9" s="1">
        <v>45632</v>
      </c>
      <c r="C9">
        <v>6082.65</v>
      </c>
      <c r="D9" s="1">
        <v>45632</v>
      </c>
      <c r="E9">
        <v>6.0286999999999997</v>
      </c>
      <c r="F9" s="1">
        <v>45632</v>
      </c>
      <c r="G9">
        <v>111.5</v>
      </c>
      <c r="H9" s="4">
        <f t="shared" si="0"/>
        <v>672200.04999999993</v>
      </c>
      <c r="I9" s="5">
        <v>45632</v>
      </c>
      <c r="J9" s="4">
        <v>6101.5</v>
      </c>
      <c r="K9" s="4">
        <f t="shared" si="1"/>
        <v>61015</v>
      </c>
      <c r="L9" s="1">
        <v>45632</v>
      </c>
      <c r="M9">
        <v>7.68</v>
      </c>
      <c r="N9" s="1">
        <v>45632</v>
      </c>
      <c r="O9">
        <v>7.68</v>
      </c>
      <c r="P9" s="1">
        <v>45632</v>
      </c>
      <c r="Q9">
        <v>7.64</v>
      </c>
      <c r="R9" s="1">
        <v>45632</v>
      </c>
      <c r="S9">
        <v>7.3</v>
      </c>
      <c r="T9" s="1">
        <v>45632</v>
      </c>
      <c r="U9">
        <v>7.21</v>
      </c>
      <c r="V9" s="1">
        <v>45632</v>
      </c>
      <c r="W9">
        <v>7.05</v>
      </c>
      <c r="X9" s="1">
        <v>45632</v>
      </c>
      <c r="Y9">
        <f>NETWORKDAYS(X9,$Z$1,FERIADO!$A$2:$A$408)</f>
        <v>1533</v>
      </c>
      <c r="Z9">
        <v>14.08</v>
      </c>
      <c r="AA9" s="6">
        <f>$Z$2/(1+Z9/100)^(Y9/252)</f>
        <v>44872.003985749492</v>
      </c>
      <c r="AB9" s="2">
        <f t="shared" si="3"/>
        <v>-2.7873063344986755E-3</v>
      </c>
      <c r="AD9" t="s">
        <v>29</v>
      </c>
      <c r="AE9" t="s">
        <v>30</v>
      </c>
      <c r="AF9" t="s">
        <v>17</v>
      </c>
      <c r="AG9" t="s">
        <v>35</v>
      </c>
      <c r="AH9" s="2"/>
      <c r="AJ9" s="1">
        <v>45632</v>
      </c>
      <c r="AK9">
        <f>NETWORKDAYS(AJ9,$AJ$1,FERIADO!$A$2:$A$408)</f>
        <v>520</v>
      </c>
      <c r="AL9">
        <v>14.69</v>
      </c>
      <c r="AM9" s="6">
        <f t="shared" si="4"/>
        <v>75364.96370784771</v>
      </c>
      <c r="AN9" s="2">
        <f t="shared" si="5"/>
        <v>-1.8015896725925525E-3</v>
      </c>
      <c r="AP9" s="11">
        <f t="shared" si="6"/>
        <v>-1.3936531672493378E-3</v>
      </c>
      <c r="AQ9" s="11">
        <f t="shared" si="7"/>
        <v>-5.4047690177776576E-4</v>
      </c>
      <c r="AR9" s="11">
        <f t="shared" si="8"/>
        <v>-1.9341300690271035E-3</v>
      </c>
    </row>
    <row r="10" spans="2:49" x14ac:dyDescent="0.35">
      <c r="B10" s="1">
        <v>45631</v>
      </c>
      <c r="C10">
        <v>6080.81</v>
      </c>
      <c r="D10" s="1">
        <v>45631</v>
      </c>
      <c r="E10">
        <v>5.9843000000000002</v>
      </c>
      <c r="F10" s="1">
        <v>45631</v>
      </c>
      <c r="G10">
        <v>111.232</v>
      </c>
      <c r="H10" s="4">
        <f t="shared" si="0"/>
        <v>665645.65760000004</v>
      </c>
      <c r="I10" s="5">
        <v>45631</v>
      </c>
      <c r="J10" s="4">
        <v>6030</v>
      </c>
      <c r="K10" s="4">
        <f t="shared" si="1"/>
        <v>60300</v>
      </c>
      <c r="L10" s="1">
        <v>45631</v>
      </c>
      <c r="M10">
        <v>7.49</v>
      </c>
      <c r="N10" s="1">
        <v>45631</v>
      </c>
      <c r="O10">
        <v>7.47</v>
      </c>
      <c r="P10" s="1">
        <v>45631</v>
      </c>
      <c r="Q10">
        <v>7.38</v>
      </c>
      <c r="R10" s="1">
        <v>45631</v>
      </c>
      <c r="S10">
        <v>7.16</v>
      </c>
      <c r="T10" s="1">
        <v>45631</v>
      </c>
      <c r="U10">
        <v>7.1</v>
      </c>
      <c r="V10" s="1">
        <v>45631</v>
      </c>
      <c r="W10">
        <v>6.95</v>
      </c>
      <c r="X10" s="1">
        <v>45631</v>
      </c>
      <c r="Y10">
        <f>NETWORKDAYS(X10,$Z$1,FERIADO!$A$2:$A$408)</f>
        <v>1534</v>
      </c>
      <c r="Z10">
        <v>13.95</v>
      </c>
      <c r="AA10" s="6">
        <f t="shared" si="2"/>
        <v>45160.919095053803</v>
      </c>
      <c r="AB10" s="2">
        <f t="shared" si="3"/>
        <v>-1.1682392785176744E-3</v>
      </c>
      <c r="AD10" s="11">
        <f>AF4*AE4+AF7*AE7</f>
        <v>3.029735999908583E-3</v>
      </c>
      <c r="AE10" s="11">
        <f>AF4*AD4+AF7*AD7</f>
        <v>6.0652818604114547E-2</v>
      </c>
      <c r="AF10" s="12">
        <f>_xlfn.COVARIANCE.S(AB4:AB1237,AN4:AN1237)</f>
        <v>1.8444436040626462E-5</v>
      </c>
      <c r="AG10">
        <f>CORREL(AB4:AB1237,AN4:AN1237)</f>
        <v>0.95824253927277991</v>
      </c>
      <c r="AH10" s="2"/>
      <c r="AJ10" s="1">
        <v>45631</v>
      </c>
      <c r="AK10">
        <f>NETWORKDAYS(AJ10,$AJ$1,FERIADO!$A$2:$A$408)</f>
        <v>521</v>
      </c>
      <c r="AL10">
        <v>14.43</v>
      </c>
      <c r="AM10" s="6">
        <f t="shared" si="4"/>
        <v>75678.250562800153</v>
      </c>
      <c r="AN10" s="2">
        <f t="shared" si="5"/>
        <v>-6.7224456525544121E-4</v>
      </c>
      <c r="AP10" s="11">
        <f t="shared" si="6"/>
        <v>-5.8411963925883719E-4</v>
      </c>
      <c r="AQ10" s="11">
        <f t="shared" si="7"/>
        <v>-2.0167336957663235E-4</v>
      </c>
      <c r="AR10" s="11">
        <f t="shared" si="8"/>
        <v>-7.8579300883546959E-4</v>
      </c>
      <c r="AT10" t="s">
        <v>37</v>
      </c>
      <c r="AU10" s="13">
        <v>0.5</v>
      </c>
      <c r="AV10" s="6">
        <f>AU10*$AU$3</f>
        <v>30000</v>
      </c>
    </row>
    <row r="11" spans="2:49" x14ac:dyDescent="0.35">
      <c r="B11" s="1">
        <v>45630</v>
      </c>
      <c r="C11">
        <v>6088.16</v>
      </c>
      <c r="D11" s="1">
        <v>45630</v>
      </c>
      <c r="E11">
        <v>6.0575000000000001</v>
      </c>
      <c r="F11" s="1">
        <v>45630</v>
      </c>
      <c r="G11">
        <v>111.242</v>
      </c>
      <c r="H11" s="4">
        <f t="shared" si="0"/>
        <v>673848.41500000004</v>
      </c>
      <c r="I11" s="5">
        <v>45630</v>
      </c>
      <c r="J11" s="4">
        <v>6056</v>
      </c>
      <c r="K11" s="4">
        <f t="shared" si="1"/>
        <v>60560</v>
      </c>
      <c r="L11" s="1">
        <v>45630</v>
      </c>
      <c r="M11">
        <v>7.43</v>
      </c>
      <c r="N11" s="1">
        <v>45630</v>
      </c>
      <c r="O11">
        <v>7.37</v>
      </c>
      <c r="P11" s="1">
        <v>45630</v>
      </c>
      <c r="Q11">
        <v>7.29</v>
      </c>
      <c r="R11" s="1">
        <v>45630</v>
      </c>
      <c r="S11">
        <v>7.13</v>
      </c>
      <c r="T11" s="1">
        <v>45630</v>
      </c>
      <c r="U11">
        <v>7.04</v>
      </c>
      <c r="V11" s="1">
        <v>45630</v>
      </c>
      <c r="W11">
        <v>6.94</v>
      </c>
      <c r="X11" s="1">
        <v>45630</v>
      </c>
      <c r="Y11">
        <f>NETWORKDAYS(X11,$Z$1,FERIADO!$A$2:$A$408)</f>
        <v>1535</v>
      </c>
      <c r="Z11">
        <v>13.89</v>
      </c>
      <c r="AA11" s="6">
        <f t="shared" si="2"/>
        <v>45282.564165762524</v>
      </c>
      <c r="AB11" s="2">
        <f t="shared" si="3"/>
        <v>9.2134287995774178E-4</v>
      </c>
      <c r="AD11" t="s">
        <v>16</v>
      </c>
      <c r="AE11" t="s">
        <v>31</v>
      </c>
      <c r="AJ11" s="1">
        <v>45630</v>
      </c>
      <c r="AK11">
        <f>NETWORKDAYS(AJ11,$AJ$1,FERIADO!$A$2:$A$408)</f>
        <v>522</v>
      </c>
      <c r="AL11">
        <v>14.315</v>
      </c>
      <c r="AM11" s="6">
        <f t="shared" si="4"/>
        <v>75795.483659836493</v>
      </c>
      <c r="AN11" s="2">
        <f t="shared" si="5"/>
        <v>-2.0319158830191643E-4</v>
      </c>
      <c r="AP11" s="11">
        <f t="shared" si="6"/>
        <v>4.6067143997887089E-4</v>
      </c>
      <c r="AQ11" s="11">
        <f t="shared" si="7"/>
        <v>-6.0957476490574928E-5</v>
      </c>
      <c r="AR11" s="11">
        <f t="shared" si="8"/>
        <v>3.9971396348829598E-4</v>
      </c>
      <c r="AT11" t="s">
        <v>38</v>
      </c>
      <c r="AU11" s="13">
        <v>0.3</v>
      </c>
      <c r="AV11" s="6">
        <f>AU11*$AU$3</f>
        <v>18000</v>
      </c>
    </row>
    <row r="12" spans="2:49" x14ac:dyDescent="0.35">
      <c r="B12" s="1">
        <v>45629</v>
      </c>
      <c r="C12">
        <v>6053.51</v>
      </c>
      <c r="D12" s="1">
        <v>45629</v>
      </c>
      <c r="E12">
        <v>6.0701000000000001</v>
      </c>
      <c r="F12" s="1">
        <v>45629</v>
      </c>
      <c r="G12">
        <v>110.9</v>
      </c>
      <c r="H12" s="4">
        <f t="shared" si="0"/>
        <v>673174.09000000008</v>
      </c>
      <c r="I12" s="5">
        <v>45629</v>
      </c>
      <c r="J12" s="4">
        <v>6059</v>
      </c>
      <c r="K12" s="4">
        <f t="shared" si="1"/>
        <v>60590</v>
      </c>
      <c r="L12" s="1">
        <v>45629</v>
      </c>
      <c r="M12">
        <v>7.36</v>
      </c>
      <c r="N12" s="1">
        <v>45629</v>
      </c>
      <c r="O12">
        <v>7.35</v>
      </c>
      <c r="P12" s="1">
        <v>45629</v>
      </c>
      <c r="Q12">
        <v>7.3</v>
      </c>
      <c r="R12" s="1">
        <v>45629</v>
      </c>
      <c r="S12">
        <v>7.16</v>
      </c>
      <c r="T12" s="1">
        <v>45629</v>
      </c>
      <c r="U12">
        <v>7.11</v>
      </c>
      <c r="V12" s="1">
        <v>45629</v>
      </c>
      <c r="W12">
        <v>6.96</v>
      </c>
      <c r="X12" s="1">
        <v>45629</v>
      </c>
      <c r="Y12">
        <f>NETWORKDAYS(X12,$Z$1,FERIADO!$A$2:$A$408)</f>
        <v>1536</v>
      </c>
      <c r="Z12">
        <v>13.92</v>
      </c>
      <c r="AA12" s="6">
        <f t="shared" si="2"/>
        <v>45186.600375273527</v>
      </c>
      <c r="AB12" s="2">
        <f t="shared" si="3"/>
        <v>-5.3617293832282434E-3</v>
      </c>
      <c r="AD12" s="3">
        <f>AF4^2*AD4^2+AF7^2*AD7^2+2*AF10*AF7*AF4</f>
        <v>2.2291344468913644E-3</v>
      </c>
      <c r="AE12" s="2">
        <f>SQRT(AD12)</f>
        <v>4.7213710369884768E-2</v>
      </c>
      <c r="AJ12" s="1">
        <v>45629</v>
      </c>
      <c r="AK12">
        <f>NETWORKDAYS(AJ12,$AJ$1,FERIADO!$A$2:$A$408)</f>
        <v>523</v>
      </c>
      <c r="AL12">
        <v>14.26</v>
      </c>
      <c r="AM12" s="6">
        <f t="shared" si="4"/>
        <v>75830.954080754629</v>
      </c>
      <c r="AN12" s="2">
        <f t="shared" si="5"/>
        <v>-1.1544381981871946E-3</v>
      </c>
      <c r="AP12" s="11">
        <f t="shared" si="6"/>
        <v>-2.6808646916141217E-3</v>
      </c>
      <c r="AQ12" s="11">
        <f t="shared" si="7"/>
        <v>-3.4633145945615836E-4</v>
      </c>
      <c r="AR12" s="11">
        <f t="shared" si="8"/>
        <v>-3.0271961510702802E-3</v>
      </c>
    </row>
    <row r="13" spans="2:49" x14ac:dyDescent="0.35">
      <c r="B13" s="1">
        <v>45628</v>
      </c>
      <c r="C13">
        <v>6047.62</v>
      </c>
      <c r="D13" s="1">
        <v>45628</v>
      </c>
      <c r="E13">
        <v>6.0628000000000002</v>
      </c>
      <c r="F13" s="1">
        <v>45628</v>
      </c>
      <c r="G13">
        <v>111.188</v>
      </c>
      <c r="H13" s="4">
        <f t="shared" si="0"/>
        <v>674110.60640000005</v>
      </c>
      <c r="I13" s="5">
        <v>45628</v>
      </c>
      <c r="J13" s="4">
        <v>6080.5</v>
      </c>
      <c r="K13" s="4">
        <f t="shared" si="1"/>
        <v>60805</v>
      </c>
      <c r="L13" s="1">
        <v>45628</v>
      </c>
      <c r="M13">
        <v>7.18</v>
      </c>
      <c r="N13" s="1">
        <v>45628</v>
      </c>
      <c r="O13">
        <v>7.19</v>
      </c>
      <c r="P13" s="1">
        <v>45628</v>
      </c>
      <c r="Q13">
        <v>7.2</v>
      </c>
      <c r="R13" s="1">
        <v>45628</v>
      </c>
      <c r="S13">
        <v>7.08</v>
      </c>
      <c r="T13" s="1">
        <v>45628</v>
      </c>
      <c r="U13">
        <v>7.02</v>
      </c>
      <c r="V13" s="1">
        <v>45628</v>
      </c>
      <c r="W13">
        <v>6.88</v>
      </c>
      <c r="X13" s="1">
        <v>45628</v>
      </c>
      <c r="Y13">
        <f>NETWORKDAYS(X13,$Z$1,FERIADO!$A$2:$A$408)</f>
        <v>1537</v>
      </c>
      <c r="Z13">
        <v>13.68</v>
      </c>
      <c r="AA13" s="6">
        <f t="shared" si="2"/>
        <v>45747.924710047664</v>
      </c>
      <c r="AB13" s="2">
        <f t="shared" si="3"/>
        <v>-1.6449766920164197E-3</v>
      </c>
      <c r="AE13" s="11"/>
      <c r="AJ13" s="1">
        <v>45628</v>
      </c>
      <c r="AK13">
        <f>NETWORKDAYS(AJ13,$AJ$1,FERIADO!$A$2:$A$408)</f>
        <v>524</v>
      </c>
      <c r="AL13">
        <v>14.085000000000001</v>
      </c>
      <c r="AM13" s="6">
        <f t="shared" si="4"/>
        <v>76032.795478105545</v>
      </c>
      <c r="AN13" s="2">
        <f t="shared" si="5"/>
        <v>-1.2985696563242957E-4</v>
      </c>
      <c r="AP13" s="11">
        <f t="shared" si="6"/>
        <v>-8.2248834600820984E-4</v>
      </c>
      <c r="AQ13" s="11">
        <f t="shared" si="7"/>
        <v>-3.895708968972887E-5</v>
      </c>
      <c r="AR13" s="11">
        <f t="shared" si="8"/>
        <v>-8.6144543569793874E-4</v>
      </c>
    </row>
    <row r="14" spans="2:49" x14ac:dyDescent="0.35">
      <c r="B14" s="1">
        <v>45625</v>
      </c>
      <c r="C14">
        <v>6026.86</v>
      </c>
      <c r="D14" s="1">
        <v>45625</v>
      </c>
      <c r="E14">
        <v>6.0529000000000002</v>
      </c>
      <c r="F14" s="1">
        <v>45625</v>
      </c>
      <c r="G14">
        <v>111.2</v>
      </c>
      <c r="H14" s="4">
        <f t="shared" si="0"/>
        <v>673082.48</v>
      </c>
      <c r="I14" s="5">
        <v>45625</v>
      </c>
      <c r="J14" s="4">
        <v>6008</v>
      </c>
      <c r="K14" s="4">
        <f t="shared" si="1"/>
        <v>60080</v>
      </c>
      <c r="L14" s="1">
        <v>45625</v>
      </c>
      <c r="M14">
        <v>7.27</v>
      </c>
      <c r="N14" s="1">
        <v>45625</v>
      </c>
      <c r="O14">
        <v>7.24</v>
      </c>
      <c r="P14" s="1">
        <v>45625</v>
      </c>
      <c r="Q14">
        <v>7.24</v>
      </c>
      <c r="R14" s="1">
        <v>45625</v>
      </c>
      <c r="S14">
        <v>7.12</v>
      </c>
      <c r="T14" s="1">
        <v>45625</v>
      </c>
      <c r="U14">
        <v>7.06</v>
      </c>
      <c r="V14" s="1">
        <v>45625</v>
      </c>
      <c r="W14">
        <v>6.94</v>
      </c>
      <c r="X14" s="1">
        <v>45625</v>
      </c>
      <c r="Y14">
        <f>NETWORKDAYS(X14,$Z$1,FERIADO!$A$2:$A$408)</f>
        <v>1538</v>
      </c>
      <c r="Z14">
        <v>13.6</v>
      </c>
      <c r="AA14" s="6">
        <f t="shared" si="2"/>
        <v>45921.532649737994</v>
      </c>
      <c r="AB14" s="2">
        <f t="shared" si="3"/>
        <v>3.7195997889351439E-3</v>
      </c>
      <c r="AE14" t="s">
        <v>18</v>
      </c>
      <c r="AJ14" s="1">
        <v>45625</v>
      </c>
      <c r="AK14">
        <f>NETWORKDAYS(AJ14,$AJ$1,FERIADO!$A$2:$A$408)</f>
        <v>525</v>
      </c>
      <c r="AL14">
        <v>14.04</v>
      </c>
      <c r="AM14" s="6">
        <f t="shared" si="4"/>
        <v>76055.533193578827</v>
      </c>
      <c r="AN14" s="2">
        <f t="shared" si="5"/>
        <v>2.2641749459287983E-4</v>
      </c>
      <c r="AP14" s="11">
        <f t="shared" si="6"/>
        <v>1.8597998944675719E-3</v>
      </c>
      <c r="AQ14" s="11">
        <f t="shared" si="7"/>
        <v>6.7925248377863942E-5</v>
      </c>
      <c r="AR14" s="11">
        <f t="shared" si="8"/>
        <v>1.9277251428454359E-3</v>
      </c>
    </row>
    <row r="15" spans="2:49" x14ac:dyDescent="0.35">
      <c r="B15" s="1">
        <v>45624</v>
      </c>
      <c r="C15">
        <v>6003.59</v>
      </c>
      <c r="D15" s="1">
        <v>45624</v>
      </c>
      <c r="E15">
        <v>5.9865000000000004</v>
      </c>
      <c r="F15" s="1">
        <v>45624</v>
      </c>
      <c r="G15">
        <v>110.91800000000001</v>
      </c>
      <c r="H15" s="4">
        <f t="shared" si="0"/>
        <v>664010.60700000008</v>
      </c>
      <c r="I15" s="5">
        <v>45624</v>
      </c>
      <c r="J15" s="4">
        <v>6048</v>
      </c>
      <c r="K15" s="4">
        <f t="shared" si="1"/>
        <v>60480</v>
      </c>
      <c r="L15" s="1">
        <v>45624</v>
      </c>
      <c r="M15">
        <v>7.14</v>
      </c>
      <c r="N15" s="1">
        <v>45624</v>
      </c>
      <c r="O15">
        <v>7.2</v>
      </c>
      <c r="P15" s="1">
        <v>45624</v>
      </c>
      <c r="Q15">
        <v>7.2</v>
      </c>
      <c r="R15" s="1">
        <v>45624</v>
      </c>
      <c r="S15">
        <v>7.13</v>
      </c>
      <c r="T15" s="1">
        <v>45624</v>
      </c>
      <c r="U15">
        <v>7.07</v>
      </c>
      <c r="V15" s="1">
        <v>45624</v>
      </c>
      <c r="W15">
        <v>6.98</v>
      </c>
      <c r="X15" s="1">
        <v>45624</v>
      </c>
      <c r="Y15">
        <f>NETWORKDAYS(X15,$Z$1,FERIADO!$A$2:$A$408)</f>
        <v>1539</v>
      </c>
      <c r="Z15">
        <v>13.75</v>
      </c>
      <c r="AA15" s="6">
        <f t="shared" si="2"/>
        <v>45529.908193419469</v>
      </c>
      <c r="AB15" s="2">
        <f t="shared" si="3"/>
        <v>-1.0532478313717763E-2</v>
      </c>
      <c r="AD15" s="12">
        <f>AF4^2*AG4^2+AF7^2*AG7^2+2*AF7*AF4*AG10*AG4*AG7</f>
        <v>2.5255073146905736E-5</v>
      </c>
      <c r="AE15" s="2">
        <f>SQRT(AD15)</f>
        <v>5.0254425821917156E-3</v>
      </c>
      <c r="AJ15" s="1">
        <v>45624</v>
      </c>
      <c r="AK15">
        <f>NETWORKDAYS(AJ15,$AJ$1,FERIADO!$A$2:$A$408)</f>
        <v>526</v>
      </c>
      <c r="AL15">
        <v>14.04</v>
      </c>
      <c r="AM15" s="6">
        <f t="shared" si="4"/>
        <v>76015.892314155426</v>
      </c>
      <c r="AN15" s="2">
        <f t="shared" si="5"/>
        <v>-3.1246828541697459E-3</v>
      </c>
      <c r="AP15" s="11">
        <f t="shared" si="6"/>
        <v>-5.2662391568588816E-3</v>
      </c>
      <c r="AQ15" s="11">
        <f t="shared" si="7"/>
        <v>-9.3740485625092376E-4</v>
      </c>
      <c r="AR15" s="11">
        <f t="shared" si="8"/>
        <v>-6.2036440131098053E-3</v>
      </c>
    </row>
    <row r="16" spans="2:49" x14ac:dyDescent="0.35">
      <c r="B16" s="1">
        <v>45623</v>
      </c>
      <c r="C16">
        <v>6001.25</v>
      </c>
      <c r="D16" s="1">
        <v>45623</v>
      </c>
      <c r="E16">
        <v>5.8285</v>
      </c>
      <c r="F16" s="1">
        <v>45623</v>
      </c>
      <c r="G16">
        <v>110.8</v>
      </c>
      <c r="H16" s="4">
        <f t="shared" si="0"/>
        <v>645797.79999999993</v>
      </c>
      <c r="I16" s="5">
        <v>45623</v>
      </c>
      <c r="J16" s="4">
        <v>5987.26</v>
      </c>
      <c r="K16" s="4">
        <f t="shared" si="1"/>
        <v>59872.600000000006</v>
      </c>
      <c r="L16" s="1">
        <v>45623</v>
      </c>
      <c r="M16">
        <v>7.17</v>
      </c>
      <c r="N16" s="1">
        <v>45623</v>
      </c>
      <c r="O16">
        <v>7.14</v>
      </c>
      <c r="P16" s="1">
        <v>45623</v>
      </c>
      <c r="Q16">
        <v>7.14</v>
      </c>
      <c r="R16" s="1">
        <v>45623</v>
      </c>
      <c r="S16">
        <v>7.05</v>
      </c>
      <c r="T16" s="1">
        <v>45623</v>
      </c>
      <c r="U16">
        <v>7.01</v>
      </c>
      <c r="V16" s="1">
        <v>45623</v>
      </c>
      <c r="W16">
        <v>6.92</v>
      </c>
      <c r="X16" s="1">
        <v>45623</v>
      </c>
      <c r="Y16">
        <f>NETWORKDAYS(X16,$Z$1,FERIADO!$A$2:$A$408)</f>
        <v>1540</v>
      </c>
      <c r="Z16">
        <v>13.29</v>
      </c>
      <c r="AA16" s="6">
        <f t="shared" si="2"/>
        <v>46647.594471325836</v>
      </c>
      <c r="AB16" s="2">
        <f t="shared" si="3"/>
        <v>-8.7078907069265427E-3</v>
      </c>
      <c r="AF16" t="s">
        <v>36</v>
      </c>
      <c r="AJ16" s="1">
        <v>45623</v>
      </c>
      <c r="AK16">
        <f>NETWORKDAYS(AJ16,$AJ$1,FERIADO!$A$2:$A$408)</f>
        <v>527</v>
      </c>
      <c r="AL16">
        <v>13.62</v>
      </c>
      <c r="AM16" s="6">
        <f t="shared" si="4"/>
        <v>76564.787357543129</v>
      </c>
      <c r="AN16" s="2">
        <f t="shared" si="5"/>
        <v>-2.1455850087714473E-3</v>
      </c>
      <c r="AP16" s="11">
        <f t="shared" si="6"/>
        <v>-4.3539453534632714E-3</v>
      </c>
      <c r="AQ16" s="11">
        <f t="shared" si="7"/>
        <v>-6.4367550263143421E-4</v>
      </c>
      <c r="AR16" s="11">
        <f t="shared" si="8"/>
        <v>-4.9976208560947059E-3</v>
      </c>
    </row>
    <row r="17" spans="2:44" x14ac:dyDescent="0.35">
      <c r="B17" s="1">
        <v>45622</v>
      </c>
      <c r="C17">
        <v>6025.23</v>
      </c>
      <c r="D17" s="1">
        <v>45622</v>
      </c>
      <c r="E17">
        <v>5.7984</v>
      </c>
      <c r="F17" s="1">
        <v>45622</v>
      </c>
      <c r="G17">
        <v>110.35</v>
      </c>
      <c r="H17" s="4">
        <f t="shared" si="0"/>
        <v>639853.43999999994</v>
      </c>
      <c r="I17" s="5">
        <v>45622</v>
      </c>
      <c r="J17" s="4">
        <v>5834.15</v>
      </c>
      <c r="K17" s="4">
        <f t="shared" si="1"/>
        <v>58341.5</v>
      </c>
      <c r="L17" s="1">
        <v>45622</v>
      </c>
      <c r="M17">
        <v>7.02</v>
      </c>
      <c r="N17" s="1">
        <v>45622</v>
      </c>
      <c r="O17">
        <v>7</v>
      </c>
      <c r="P17" s="1">
        <v>45622</v>
      </c>
      <c r="Q17">
        <v>7</v>
      </c>
      <c r="R17" s="1">
        <v>45622</v>
      </c>
      <c r="S17">
        <v>6.92</v>
      </c>
      <c r="T17" s="1">
        <v>45622</v>
      </c>
      <c r="U17">
        <v>6.85</v>
      </c>
      <c r="V17" s="1">
        <v>45622</v>
      </c>
      <c r="W17">
        <v>6.74</v>
      </c>
      <c r="X17" s="1">
        <v>45622</v>
      </c>
      <c r="Y17">
        <f>NETWORKDAYS(X17,$Z$1,FERIADO!$A$2:$A$408)</f>
        <v>1541</v>
      </c>
      <c r="Z17">
        <v>12.91</v>
      </c>
      <c r="AA17" s="6">
        <f t="shared" si="2"/>
        <v>47592.349324284325</v>
      </c>
      <c r="AB17" s="2">
        <f t="shared" si="3"/>
        <v>1.6210505262955551E-3</v>
      </c>
      <c r="AE17" s="15">
        <f>AF4*AG4^2+AF7*AG10*AG7*AG4</f>
        <v>3.7772530752222944E-5</v>
      </c>
      <c r="AF17" s="11">
        <f>AE17/$AE$15</f>
        <v>7.5162595402193293E-3</v>
      </c>
      <c r="AG17" s="3"/>
      <c r="AJ17" s="1">
        <v>45622</v>
      </c>
      <c r="AK17">
        <f>NETWORKDAYS(AJ17,$AJ$1,FERIADO!$A$2:$A$408)</f>
        <v>528</v>
      </c>
      <c r="AL17">
        <v>13.324999999999999</v>
      </c>
      <c r="AM17" s="6">
        <f t="shared" si="4"/>
        <v>76943.983341993415</v>
      </c>
      <c r="AN17" s="2">
        <f t="shared" si="5"/>
        <v>4.1667539229620581E-4</v>
      </c>
      <c r="AP17" s="11">
        <f t="shared" si="6"/>
        <v>8.1052526314777753E-4</v>
      </c>
      <c r="AQ17" s="11">
        <f t="shared" si="7"/>
        <v>1.2500261768886174E-4</v>
      </c>
      <c r="AR17" s="11">
        <f t="shared" si="8"/>
        <v>9.3552788083663932E-4</v>
      </c>
    </row>
    <row r="18" spans="2:44" x14ac:dyDescent="0.35">
      <c r="B18" s="1">
        <v>45621</v>
      </c>
      <c r="C18">
        <v>5992.97</v>
      </c>
      <c r="D18" s="1">
        <v>45621</v>
      </c>
      <c r="E18">
        <v>5.7995999999999999</v>
      </c>
      <c r="F18" s="1">
        <v>45621</v>
      </c>
      <c r="G18">
        <v>110.505</v>
      </c>
      <c r="H18" s="4">
        <f t="shared" si="0"/>
        <v>640884.79799999995</v>
      </c>
      <c r="I18" s="5">
        <v>45621</v>
      </c>
      <c r="J18" s="4">
        <v>5824.61</v>
      </c>
      <c r="K18" s="4">
        <f t="shared" si="1"/>
        <v>58246.1</v>
      </c>
      <c r="L18" s="1">
        <v>45621</v>
      </c>
      <c r="M18">
        <v>6.99</v>
      </c>
      <c r="N18" s="1">
        <v>45621</v>
      </c>
      <c r="O18">
        <v>6.98</v>
      </c>
      <c r="P18" s="1">
        <v>45621</v>
      </c>
      <c r="Q18">
        <v>6.97</v>
      </c>
      <c r="R18" s="1">
        <v>45621</v>
      </c>
      <c r="S18">
        <v>6.86</v>
      </c>
      <c r="T18" s="1">
        <v>45621</v>
      </c>
      <c r="U18">
        <v>6.82</v>
      </c>
      <c r="V18" s="1">
        <v>45621</v>
      </c>
      <c r="W18">
        <v>6.74</v>
      </c>
      <c r="X18" s="1">
        <v>45621</v>
      </c>
      <c r="Y18">
        <f>NETWORKDAYS(X18,$Z$1,FERIADO!$A$2:$A$408)</f>
        <v>1542</v>
      </c>
      <c r="Z18">
        <v>12.97</v>
      </c>
      <c r="AA18" s="6">
        <f t="shared" si="2"/>
        <v>47415.036923270542</v>
      </c>
      <c r="AB18" s="2">
        <f t="shared" si="3"/>
        <v>1.1515613694254396E-3</v>
      </c>
      <c r="AG18" s="14"/>
      <c r="AH18" t="s">
        <v>41</v>
      </c>
      <c r="AJ18" s="1">
        <v>45621</v>
      </c>
      <c r="AK18">
        <f>NETWORKDAYS(AJ18,$AJ$1,FERIADO!$A$2:$A$408)</f>
        <v>529</v>
      </c>
      <c r="AL18">
        <v>13.35</v>
      </c>
      <c r="AM18" s="6">
        <f t="shared" si="4"/>
        <v>76870.196336387191</v>
      </c>
      <c r="AN18" s="2">
        <f t="shared" si="5"/>
        <v>4.1739125174104444E-4</v>
      </c>
      <c r="AP18" s="11">
        <f t="shared" si="6"/>
        <v>5.7578068471271981E-4</v>
      </c>
      <c r="AQ18" s="11">
        <f t="shared" si="7"/>
        <v>1.2521737552231334E-4</v>
      </c>
      <c r="AR18" s="11">
        <f t="shared" si="8"/>
        <v>7.0099806023503309E-4</v>
      </c>
    </row>
    <row r="19" spans="2:44" x14ac:dyDescent="0.35">
      <c r="B19" s="1">
        <v>45618</v>
      </c>
      <c r="C19">
        <v>5980.75</v>
      </c>
      <c r="D19" s="1">
        <v>45618</v>
      </c>
      <c r="E19">
        <v>5.8117999999999999</v>
      </c>
      <c r="F19" s="1">
        <v>45618</v>
      </c>
      <c r="G19">
        <v>109.61</v>
      </c>
      <c r="H19" s="4">
        <f t="shared" si="0"/>
        <v>637031.39799999993</v>
      </c>
      <c r="I19" s="5">
        <v>45618</v>
      </c>
      <c r="J19" s="4">
        <v>5833.15</v>
      </c>
      <c r="K19" s="4">
        <f t="shared" si="1"/>
        <v>58331.5</v>
      </c>
      <c r="L19" s="1">
        <v>45618</v>
      </c>
      <c r="M19">
        <v>6.99</v>
      </c>
      <c r="N19" s="1">
        <v>45618</v>
      </c>
      <c r="O19">
        <v>7</v>
      </c>
      <c r="P19" s="1">
        <v>45618</v>
      </c>
      <c r="Q19">
        <v>6.99</v>
      </c>
      <c r="R19" s="1">
        <v>45618</v>
      </c>
      <c r="S19">
        <v>6.89</v>
      </c>
      <c r="T19" s="1">
        <v>45618</v>
      </c>
      <c r="U19">
        <v>6.85</v>
      </c>
      <c r="V19" s="1">
        <v>45618</v>
      </c>
      <c r="W19">
        <v>6.71</v>
      </c>
      <c r="X19" s="1">
        <v>45618</v>
      </c>
      <c r="Y19">
        <f>NETWORKDAYS(X19,$Z$1,FERIADO!$A$2:$A$408)</f>
        <v>1543</v>
      </c>
      <c r="Z19">
        <v>13.01</v>
      </c>
      <c r="AA19" s="6">
        <f t="shared" si="2"/>
        <v>47289.47926251631</v>
      </c>
      <c r="AB19" s="2">
        <f t="shared" si="3"/>
        <v>-4.9568773017842952E-4</v>
      </c>
      <c r="AE19" t="s">
        <v>37</v>
      </c>
      <c r="AF19" s="11">
        <f>AF17*AF4</f>
        <v>3.7581297701096647E-3</v>
      </c>
      <c r="AG19" s="11">
        <f>AF19/AE15</f>
        <v>0.74782065631931949</v>
      </c>
      <c r="AH19" s="6">
        <f>AF19*AA4</f>
        <v>169.4360587225454</v>
      </c>
      <c r="AJ19" s="1">
        <v>45618</v>
      </c>
      <c r="AK19">
        <f>NETWORKDAYS(AJ19,$AJ$1,FERIADO!$A$2:$A$408)</f>
        <v>530</v>
      </c>
      <c r="AL19">
        <v>13.375</v>
      </c>
      <c r="AM19" s="6">
        <f t="shared" si="4"/>
        <v>76796.353504708954</v>
      </c>
      <c r="AN19" s="2">
        <f t="shared" si="5"/>
        <v>-2.5842308860407293E-5</v>
      </c>
      <c r="AP19" s="11">
        <f t="shared" si="6"/>
        <v>-2.4784386508921476E-4</v>
      </c>
      <c r="AQ19" s="11">
        <f t="shared" si="7"/>
        <v>-7.7526926581221868E-6</v>
      </c>
      <c r="AR19" s="11">
        <f t="shared" si="8"/>
        <v>-2.5559655774733695E-4</v>
      </c>
    </row>
    <row r="20" spans="2:44" x14ac:dyDescent="0.35">
      <c r="B20" s="1">
        <v>45617</v>
      </c>
      <c r="C20">
        <v>5965.82</v>
      </c>
      <c r="D20" s="1">
        <v>45617</v>
      </c>
      <c r="E20">
        <v>5.8167</v>
      </c>
      <c r="F20" s="1">
        <v>45617</v>
      </c>
      <c r="G20">
        <v>109.58</v>
      </c>
      <c r="H20" s="4">
        <f t="shared" si="0"/>
        <v>637393.98600000003</v>
      </c>
      <c r="I20" s="5">
        <v>45617</v>
      </c>
      <c r="J20" s="4">
        <v>5845.7</v>
      </c>
      <c r="K20" s="4">
        <f t="shared" si="1"/>
        <v>58457</v>
      </c>
      <c r="L20" s="1">
        <v>45617</v>
      </c>
      <c r="M20">
        <v>6.92</v>
      </c>
      <c r="N20" s="1">
        <v>45617</v>
      </c>
      <c r="O20">
        <v>6.92</v>
      </c>
      <c r="P20" s="1">
        <v>45617</v>
      </c>
      <c r="Q20">
        <v>6.89</v>
      </c>
      <c r="R20" s="1">
        <v>45617</v>
      </c>
      <c r="S20">
        <v>6.82</v>
      </c>
      <c r="T20" s="1">
        <v>45617</v>
      </c>
      <c r="U20">
        <v>6.81</v>
      </c>
      <c r="V20" s="1">
        <v>45617</v>
      </c>
      <c r="W20">
        <v>6.67</v>
      </c>
      <c r="X20" s="1">
        <v>45617</v>
      </c>
      <c r="Y20">
        <f>NETWORKDAYS(X20,$Z$1,FERIADO!$A$2:$A$408)</f>
        <v>1544</v>
      </c>
      <c r="Z20">
        <v>12.98</v>
      </c>
      <c r="AA20" s="6">
        <f t="shared" si="2"/>
        <v>47343.484546825704</v>
      </c>
      <c r="AB20" s="2">
        <f t="shared" si="3"/>
        <v>6.5646295083345496E-4</v>
      </c>
      <c r="AF20" t="s">
        <v>40</v>
      </c>
      <c r="AJ20" s="1">
        <v>45617</v>
      </c>
      <c r="AK20">
        <f>NETWORKDAYS(AJ20,$AJ$1,FERIADO!$A$2:$A$408)</f>
        <v>531</v>
      </c>
      <c r="AL20">
        <v>13.345000000000001</v>
      </c>
      <c r="AM20" s="6">
        <f t="shared" si="4"/>
        <v>76800.923339731686</v>
      </c>
      <c r="AN20" s="2">
        <f t="shared" si="5"/>
        <v>3.9124306560242811E-4</v>
      </c>
      <c r="AP20" s="11">
        <f t="shared" si="6"/>
        <v>3.2823147541672748E-4</v>
      </c>
      <c r="AQ20" s="11">
        <f t="shared" si="7"/>
        <v>1.1737291968072842E-4</v>
      </c>
      <c r="AR20" s="11">
        <f t="shared" si="8"/>
        <v>4.4560439509745589E-4</v>
      </c>
    </row>
    <row r="21" spans="2:44" x14ac:dyDescent="0.35">
      <c r="B21" s="1">
        <v>45615</v>
      </c>
      <c r="C21">
        <v>5926.57</v>
      </c>
      <c r="D21" s="1">
        <v>45615</v>
      </c>
      <c r="E21">
        <v>5.7736999999999998</v>
      </c>
      <c r="F21" s="1">
        <v>45615</v>
      </c>
      <c r="G21">
        <v>109.755</v>
      </c>
      <c r="H21" s="4">
        <f t="shared" si="0"/>
        <v>633692.44349999994</v>
      </c>
      <c r="I21" s="5">
        <v>45615</v>
      </c>
      <c r="J21" s="4">
        <v>5798.51</v>
      </c>
      <c r="K21" s="4">
        <f t="shared" si="1"/>
        <v>57985.100000000006</v>
      </c>
      <c r="L21" s="1">
        <v>45615</v>
      </c>
      <c r="M21">
        <v>7.05</v>
      </c>
      <c r="N21" s="1">
        <v>45615</v>
      </c>
      <c r="O21">
        <v>6.96</v>
      </c>
      <c r="P21" s="1">
        <v>45615</v>
      </c>
      <c r="Q21">
        <v>6.95</v>
      </c>
      <c r="R21" s="1">
        <v>45615</v>
      </c>
      <c r="S21">
        <v>6.89</v>
      </c>
      <c r="T21" s="1">
        <v>45615</v>
      </c>
      <c r="U21">
        <v>6.84</v>
      </c>
      <c r="V21" s="1">
        <v>45615</v>
      </c>
      <c r="W21">
        <v>6.73</v>
      </c>
      <c r="X21" s="1">
        <v>45615</v>
      </c>
      <c r="Y21">
        <f>NETWORKDAYS(X21,$Z$1,FERIADO!$A$2:$A$408)</f>
        <v>1546</v>
      </c>
      <c r="Z21">
        <v>12.99</v>
      </c>
      <c r="AA21" s="6">
        <f t="shared" si="2"/>
        <v>47271.976002291347</v>
      </c>
      <c r="AB21" s="2">
        <f t="shared" si="3"/>
        <v>2.0974695403589553E-3</v>
      </c>
      <c r="AE21">
        <f>AF7*AG7^2+AF4*AG10*AG7*AG4</f>
        <v>2.1229359235980884E-5</v>
      </c>
      <c r="AF21" s="11">
        <f>AE21/$AE$15</f>
        <v>4.2243760402735026E-3</v>
      </c>
      <c r="AJ21" s="1">
        <v>45615</v>
      </c>
      <c r="AK21">
        <f>NETWORKDAYS(AJ21,$AJ$1,FERIADO!$A$2:$A$408)</f>
        <v>533</v>
      </c>
      <c r="AL21">
        <v>13.34</v>
      </c>
      <c r="AM21" s="6">
        <f t="shared" si="4"/>
        <v>76731.766812529648</v>
      </c>
      <c r="AN21" s="2">
        <f t="shared" si="5"/>
        <v>1.1896590527680942E-3</v>
      </c>
      <c r="AP21" s="11">
        <f t="shared" si="6"/>
        <v>1.0487347701794777E-3</v>
      </c>
      <c r="AQ21" s="11">
        <f t="shared" si="7"/>
        <v>3.5689771583042825E-4</v>
      </c>
      <c r="AR21" s="11">
        <f t="shared" si="8"/>
        <v>1.4056324860099059E-3</v>
      </c>
    </row>
    <row r="22" spans="2:44" x14ac:dyDescent="0.35">
      <c r="B22" s="1">
        <v>45614</v>
      </c>
      <c r="C22">
        <v>5900.95</v>
      </c>
      <c r="D22" s="1">
        <v>45614</v>
      </c>
      <c r="E22">
        <v>5.7596999999999996</v>
      </c>
      <c r="F22" s="1">
        <v>45614</v>
      </c>
      <c r="G22">
        <v>109.57299999999999</v>
      </c>
      <c r="H22" s="4">
        <f t="shared" si="0"/>
        <v>631107.60809999984</v>
      </c>
      <c r="I22" s="5">
        <v>45614</v>
      </c>
      <c r="J22" s="4">
        <v>5777.43</v>
      </c>
      <c r="K22" s="4">
        <f t="shared" si="1"/>
        <v>57774.3</v>
      </c>
      <c r="L22" s="1">
        <v>45614</v>
      </c>
      <c r="M22">
        <v>7.16</v>
      </c>
      <c r="N22" s="1">
        <v>45614</v>
      </c>
      <c r="O22">
        <v>7.02</v>
      </c>
      <c r="P22" s="1">
        <v>45614</v>
      </c>
      <c r="Q22">
        <v>6.99</v>
      </c>
      <c r="R22" s="1">
        <v>45614</v>
      </c>
      <c r="S22">
        <v>6.93</v>
      </c>
      <c r="T22" s="1">
        <v>45614</v>
      </c>
      <c r="U22">
        <v>6.88</v>
      </c>
      <c r="V22" s="1">
        <v>45614</v>
      </c>
      <c r="W22">
        <v>6.75</v>
      </c>
      <c r="X22" s="1">
        <v>45614</v>
      </c>
      <c r="Y22">
        <f>NETWORKDAYS(X22,$Z$1,FERIADO!$A$2:$A$408)</f>
        <v>1547</v>
      </c>
      <c r="Z22">
        <v>13.07</v>
      </c>
      <c r="AA22" s="6">
        <f t="shared" si="2"/>
        <v>47044.221592165253</v>
      </c>
      <c r="AB22" s="2">
        <f t="shared" si="3"/>
        <v>6.8354052971608974E-4</v>
      </c>
      <c r="AJ22" s="1">
        <v>45614</v>
      </c>
      <c r="AK22">
        <f>NETWORKDAYS(AJ22,$AJ$1,FERIADO!$A$2:$A$408)</f>
        <v>534</v>
      </c>
      <c r="AL22">
        <v>13.46</v>
      </c>
      <c r="AM22" s="6">
        <f t="shared" si="4"/>
        <v>76521.863782905217</v>
      </c>
      <c r="AN22" s="2">
        <f t="shared" si="5"/>
        <v>5.5089030727974405E-5</v>
      </c>
      <c r="AP22" s="11">
        <f t="shared" si="6"/>
        <v>3.4177026485804487E-4</v>
      </c>
      <c r="AQ22" s="11">
        <f t="shared" si="7"/>
        <v>1.6526709218392321E-5</v>
      </c>
      <c r="AR22" s="11">
        <f t="shared" si="8"/>
        <v>3.5829697407643721E-4</v>
      </c>
    </row>
    <row r="23" spans="2:44" x14ac:dyDescent="0.35">
      <c r="B23" s="1">
        <v>45610</v>
      </c>
      <c r="C23">
        <v>5962.02</v>
      </c>
      <c r="D23" s="1">
        <v>45610</v>
      </c>
      <c r="E23">
        <v>5.7878999999999996</v>
      </c>
      <c r="F23" s="1">
        <v>45610</v>
      </c>
      <c r="G23">
        <v>109.35599999999999</v>
      </c>
      <c r="H23" s="4">
        <f t="shared" si="0"/>
        <v>632941.59239999985</v>
      </c>
      <c r="I23" s="5">
        <v>45610</v>
      </c>
      <c r="J23" s="4">
        <v>5812.57</v>
      </c>
      <c r="K23" s="4">
        <f t="shared" si="1"/>
        <v>58125.7</v>
      </c>
      <c r="L23" s="1">
        <v>45610</v>
      </c>
      <c r="M23">
        <v>7.06</v>
      </c>
      <c r="N23" s="1">
        <v>45610</v>
      </c>
      <c r="O23">
        <v>7.08</v>
      </c>
      <c r="P23" s="1">
        <v>45610</v>
      </c>
      <c r="Q23">
        <v>6.96</v>
      </c>
      <c r="R23" s="1">
        <v>45610</v>
      </c>
      <c r="S23">
        <v>6.92</v>
      </c>
      <c r="T23" s="1">
        <v>45610</v>
      </c>
      <c r="U23">
        <v>6.81</v>
      </c>
      <c r="V23" s="1">
        <v>45610</v>
      </c>
      <c r="W23">
        <v>6.76</v>
      </c>
      <c r="X23" s="1">
        <v>45610</v>
      </c>
      <c r="Y23">
        <f>NETWORKDAYS(X23,$Z$1,FERIADO!$A$2:$A$408)</f>
        <v>1548</v>
      </c>
      <c r="Z23">
        <v>13.09</v>
      </c>
      <c r="AA23" s="6">
        <f t="shared" si="2"/>
        <v>46970.236448602518</v>
      </c>
      <c r="AB23" s="2">
        <f t="shared" si="3"/>
        <v>-2.6221486391692335E-3</v>
      </c>
      <c r="AE23" t="s">
        <v>38</v>
      </c>
      <c r="AF23" s="11">
        <f>AF21*AF7</f>
        <v>1.2673128120820507E-3</v>
      </c>
      <c r="AJ23" s="1">
        <v>45610</v>
      </c>
      <c r="AK23">
        <f>NETWORKDAYS(AJ23,$AJ$1,FERIADO!$A$2:$A$408)</f>
        <v>535</v>
      </c>
      <c r="AL23">
        <v>13.44</v>
      </c>
      <c r="AM23" s="6">
        <f t="shared" si="4"/>
        <v>76512.157815804239</v>
      </c>
      <c r="AN23" s="2">
        <f t="shared" si="5"/>
        <v>-4.3434041087242285E-4</v>
      </c>
      <c r="AP23" s="11">
        <f t="shared" si="6"/>
        <v>-1.3110743195846168E-3</v>
      </c>
      <c r="AQ23" s="11">
        <f t="shared" si="7"/>
        <v>-1.3030212326172686E-4</v>
      </c>
      <c r="AR23" s="11">
        <f t="shared" si="8"/>
        <v>-1.4413764428463437E-3</v>
      </c>
    </row>
    <row r="24" spans="2:44" x14ac:dyDescent="0.35">
      <c r="B24" s="1">
        <v>45609</v>
      </c>
      <c r="C24">
        <v>6006.04</v>
      </c>
      <c r="D24" s="1">
        <v>45609</v>
      </c>
      <c r="E24">
        <v>5.7706999999999997</v>
      </c>
      <c r="F24" s="1">
        <v>45609</v>
      </c>
      <c r="G24">
        <v>109.501</v>
      </c>
      <c r="H24" s="4">
        <f t="shared" si="0"/>
        <v>631897.42070000002</v>
      </c>
      <c r="I24" s="5">
        <v>45609</v>
      </c>
      <c r="J24" s="4">
        <v>5840.68</v>
      </c>
      <c r="K24" s="4">
        <f t="shared" si="1"/>
        <v>58406.8</v>
      </c>
      <c r="L24" s="1">
        <v>45609</v>
      </c>
      <c r="M24">
        <v>7.07</v>
      </c>
      <c r="N24" s="1">
        <v>45609</v>
      </c>
      <c r="O24">
        <v>6.98</v>
      </c>
      <c r="P24" s="1">
        <v>45609</v>
      </c>
      <c r="Q24">
        <v>6.99</v>
      </c>
      <c r="R24" s="1">
        <v>45609</v>
      </c>
      <c r="S24">
        <v>6.99</v>
      </c>
      <c r="T24" s="1">
        <v>45609</v>
      </c>
      <c r="U24">
        <v>6.89</v>
      </c>
      <c r="V24" s="1">
        <v>45609</v>
      </c>
      <c r="W24">
        <v>6.81</v>
      </c>
      <c r="X24" s="1">
        <v>45609</v>
      </c>
      <c r="Y24">
        <f>NETWORKDAYS(X24,$Z$1,FERIADO!$A$2:$A$408)</f>
        <v>1549</v>
      </c>
      <c r="Z24">
        <v>12.97</v>
      </c>
      <c r="AA24" s="6">
        <f t="shared" si="2"/>
        <v>47254.687455609361</v>
      </c>
      <c r="AB24" s="2">
        <f t="shared" si="3"/>
        <v>1.1558320962983342E-3</v>
      </c>
      <c r="AJ24" s="1">
        <v>45609</v>
      </c>
      <c r="AK24">
        <f>NETWORKDAYS(AJ24,$AJ$1,FERIADO!$A$2:$A$408)</f>
        <v>536</v>
      </c>
      <c r="AL24">
        <v>13.36</v>
      </c>
      <c r="AM24" s="6">
        <f t="shared" si="4"/>
        <v>76588.716342120984</v>
      </c>
      <c r="AN24" s="2">
        <f t="shared" si="5"/>
        <v>9.3643709549345668E-5</v>
      </c>
      <c r="AP24" s="11">
        <f t="shared" si="6"/>
        <v>5.779160481491671E-4</v>
      </c>
      <c r="AQ24" s="11">
        <f t="shared" si="7"/>
        <v>2.8093112864803698E-5</v>
      </c>
      <c r="AR24" s="11">
        <f t="shared" si="8"/>
        <v>6.0600916101397084E-4</v>
      </c>
    </row>
    <row r="25" spans="2:44" x14ac:dyDescent="0.35">
      <c r="B25" s="1">
        <v>45608</v>
      </c>
      <c r="C25">
        <v>5996.82</v>
      </c>
      <c r="D25" s="1">
        <v>45608</v>
      </c>
      <c r="E25">
        <v>5.7687999999999997</v>
      </c>
      <c r="F25" s="1">
        <v>45608</v>
      </c>
      <c r="G25">
        <v>109.40600000000001</v>
      </c>
      <c r="H25" s="4">
        <f t="shared" si="0"/>
        <v>631141.33279999997</v>
      </c>
      <c r="I25" s="5">
        <v>45608</v>
      </c>
      <c r="J25" s="4">
        <v>5780.94</v>
      </c>
      <c r="K25" s="4">
        <f t="shared" si="1"/>
        <v>57809.399999999994</v>
      </c>
      <c r="L25" s="1">
        <v>45608</v>
      </c>
      <c r="M25">
        <v>7</v>
      </c>
      <c r="N25" s="1">
        <v>45608</v>
      </c>
      <c r="O25">
        <v>6.93</v>
      </c>
      <c r="P25" s="1">
        <v>45608</v>
      </c>
      <c r="Q25">
        <v>6.93</v>
      </c>
      <c r="R25" s="1">
        <v>45608</v>
      </c>
      <c r="S25">
        <v>6.88</v>
      </c>
      <c r="T25" s="1">
        <v>45608</v>
      </c>
      <c r="U25">
        <v>6.85</v>
      </c>
      <c r="V25" s="1">
        <v>45608</v>
      </c>
      <c r="W25">
        <v>6.79</v>
      </c>
      <c r="X25" s="1">
        <v>45608</v>
      </c>
      <c r="Y25">
        <f>NETWORKDAYS(X25,$Z$1,FERIADO!$A$2:$A$408)</f>
        <v>1550</v>
      </c>
      <c r="Z25">
        <v>13.01</v>
      </c>
      <c r="AA25" s="6">
        <f t="shared" si="2"/>
        <v>47129.090952996012</v>
      </c>
      <c r="AB25" s="2">
        <f t="shared" si="3"/>
        <v>-4.286992784211064E-3</v>
      </c>
      <c r="AE25" t="s">
        <v>39</v>
      </c>
      <c r="AF25" s="11">
        <f>AF23+AF19</f>
        <v>5.0254425821917156E-3</v>
      </c>
      <c r="AJ25" s="1">
        <v>45608</v>
      </c>
      <c r="AK25">
        <f>NETWORKDAYS(AJ25,$AJ$1,FERIADO!$A$2:$A$408)</f>
        <v>537</v>
      </c>
      <c r="AL25">
        <v>13.345000000000001</v>
      </c>
      <c r="AM25" s="6">
        <f t="shared" si="4"/>
        <v>76572.203863528557</v>
      </c>
      <c r="AN25" s="2">
        <f t="shared" si="5"/>
        <v>-9.710052722817972E-4</v>
      </c>
      <c r="AP25" s="11">
        <f t="shared" si="6"/>
        <v>-2.143496392105532E-3</v>
      </c>
      <c r="AQ25" s="11">
        <f t="shared" si="7"/>
        <v>-2.9130158168453913E-4</v>
      </c>
      <c r="AR25" s="11">
        <f t="shared" si="8"/>
        <v>-2.434797973790071E-3</v>
      </c>
    </row>
    <row r="26" spans="2:44" x14ac:dyDescent="0.35">
      <c r="B26" s="1">
        <v>45607</v>
      </c>
      <c r="C26">
        <v>6020.89</v>
      </c>
      <c r="D26" s="1">
        <v>45607</v>
      </c>
      <c r="E26">
        <v>5.7973999999999997</v>
      </c>
      <c r="F26" s="1">
        <v>45607</v>
      </c>
      <c r="G26">
        <v>109.977</v>
      </c>
      <c r="H26" s="4">
        <f t="shared" si="0"/>
        <v>637580.65980000002</v>
      </c>
      <c r="I26" s="5">
        <v>45607</v>
      </c>
      <c r="J26" s="4">
        <v>5795</v>
      </c>
      <c r="K26" s="4">
        <f t="shared" si="1"/>
        <v>57950</v>
      </c>
      <c r="L26" s="1">
        <v>45607</v>
      </c>
      <c r="M26">
        <v>6.86</v>
      </c>
      <c r="N26" s="1">
        <v>45607</v>
      </c>
      <c r="O26">
        <v>6.82</v>
      </c>
      <c r="P26" s="1">
        <v>45607</v>
      </c>
      <c r="Q26">
        <v>6.82</v>
      </c>
      <c r="R26" s="1">
        <v>45607</v>
      </c>
      <c r="S26">
        <v>6.77</v>
      </c>
      <c r="T26" s="1">
        <v>45607</v>
      </c>
      <c r="U26">
        <v>6.73</v>
      </c>
      <c r="V26" s="1">
        <v>45607</v>
      </c>
      <c r="W26">
        <v>6.63</v>
      </c>
      <c r="X26" s="1">
        <v>45607</v>
      </c>
      <c r="Y26">
        <f>NETWORKDAYS(X26,$Z$1,FERIADO!$A$2:$A$408)</f>
        <v>1551</v>
      </c>
      <c r="Z26">
        <v>12.82</v>
      </c>
      <c r="AA26" s="6">
        <f t="shared" si="2"/>
        <v>47596.613719145789</v>
      </c>
      <c r="AB26" s="2">
        <f t="shared" si="3"/>
        <v>-1.214958949190734E-3</v>
      </c>
      <c r="AJ26" s="1">
        <v>45607</v>
      </c>
      <c r="AK26">
        <f>NETWORKDAYS(AJ26,$AJ$1,FERIADO!$A$2:$A$408)</f>
        <v>538</v>
      </c>
      <c r="AL26">
        <v>13.2</v>
      </c>
      <c r="AM26" s="6">
        <f t="shared" si="4"/>
        <v>76743.597232977685</v>
      </c>
      <c r="AN26" s="2">
        <f t="shared" si="5"/>
        <v>-6.8941132196549985E-4</v>
      </c>
      <c r="AP26" s="11">
        <f t="shared" si="6"/>
        <v>-6.0747947459536698E-4</v>
      </c>
      <c r="AQ26" s="11">
        <f t="shared" si="7"/>
        <v>-2.0682339658964995E-4</v>
      </c>
      <c r="AR26" s="11">
        <f t="shared" si="8"/>
        <v>-8.1430287118501696E-4</v>
      </c>
    </row>
    <row r="27" spans="2:44" x14ac:dyDescent="0.35">
      <c r="B27" s="1">
        <v>45604</v>
      </c>
      <c r="C27">
        <v>6014.44</v>
      </c>
      <c r="D27" s="1">
        <v>45604</v>
      </c>
      <c r="E27">
        <v>5.7641999999999998</v>
      </c>
      <c r="F27" s="1">
        <v>45604</v>
      </c>
      <c r="G27">
        <v>110.304</v>
      </c>
      <c r="H27" s="4">
        <f t="shared" si="0"/>
        <v>635814.31680000003</v>
      </c>
      <c r="I27" s="5">
        <v>45604</v>
      </c>
      <c r="J27" s="4">
        <v>5779.94</v>
      </c>
      <c r="K27" s="4">
        <f t="shared" si="1"/>
        <v>57799.399999999994</v>
      </c>
      <c r="L27" s="1">
        <v>45604</v>
      </c>
      <c r="M27">
        <v>6.79</v>
      </c>
      <c r="N27" s="1">
        <v>45604</v>
      </c>
      <c r="O27">
        <v>6.77</v>
      </c>
      <c r="P27" s="1">
        <v>45604</v>
      </c>
      <c r="Q27">
        <v>6.76</v>
      </c>
      <c r="R27" s="1">
        <v>45604</v>
      </c>
      <c r="S27">
        <v>6.81</v>
      </c>
      <c r="T27" s="1">
        <v>45604</v>
      </c>
      <c r="U27">
        <v>6.72</v>
      </c>
      <c r="V27" s="1">
        <v>45604</v>
      </c>
      <c r="W27">
        <v>6.62</v>
      </c>
      <c r="X27" s="1">
        <v>45604</v>
      </c>
      <c r="Y27">
        <f>NETWORKDAYS(X27,$Z$1,FERIADO!$A$2:$A$408)</f>
        <v>1552</v>
      </c>
      <c r="Z27">
        <v>12.76</v>
      </c>
      <c r="AA27" s="6">
        <f t="shared" si="2"/>
        <v>47729.953878518529</v>
      </c>
      <c r="AB27" s="2">
        <f t="shared" si="3"/>
        <v>-5.0519809697819934E-4</v>
      </c>
      <c r="AJ27" s="1">
        <v>45604</v>
      </c>
      <c r="AK27">
        <f>NETWORKDAYS(AJ27,$AJ$1,FERIADO!$A$2:$A$408)</f>
        <v>539</v>
      </c>
      <c r="AL27">
        <v>13.09</v>
      </c>
      <c r="AM27" s="6">
        <f t="shared" si="4"/>
        <v>76865.518931289771</v>
      </c>
      <c r="AN27" s="2">
        <f t="shared" si="5"/>
        <v>-3.2304568237084705E-4</v>
      </c>
      <c r="AP27" s="11">
        <f t="shared" si="6"/>
        <v>-2.5259904848909967E-4</v>
      </c>
      <c r="AQ27" s="11">
        <f t="shared" si="7"/>
        <v>-9.6913704711254112E-5</v>
      </c>
      <c r="AR27" s="11">
        <f t="shared" si="8"/>
        <v>-3.4951275320035377E-4</v>
      </c>
    </row>
    <row r="28" spans="2:44" x14ac:dyDescent="0.35">
      <c r="B28" s="1">
        <v>45603</v>
      </c>
      <c r="C28">
        <v>5989.5</v>
      </c>
      <c r="D28" s="1">
        <v>45603</v>
      </c>
      <c r="E28">
        <v>5.6618000000000004</v>
      </c>
      <c r="F28" s="1">
        <v>45603</v>
      </c>
      <c r="G28">
        <v>110.372</v>
      </c>
      <c r="H28" s="4">
        <f t="shared" si="0"/>
        <v>624904.18960000004</v>
      </c>
      <c r="I28" s="5">
        <v>45603</v>
      </c>
      <c r="J28" s="4">
        <v>5729.74</v>
      </c>
      <c r="K28" s="4">
        <f t="shared" si="1"/>
        <v>57297.399999999994</v>
      </c>
      <c r="L28" s="1">
        <v>45603</v>
      </c>
      <c r="M28">
        <v>6.85</v>
      </c>
      <c r="N28" s="1">
        <v>45603</v>
      </c>
      <c r="O28">
        <v>6.79</v>
      </c>
      <c r="P28" s="1">
        <v>45603</v>
      </c>
      <c r="Q28">
        <v>6.8</v>
      </c>
      <c r="R28" s="1">
        <v>45603</v>
      </c>
      <c r="S28">
        <v>6.74</v>
      </c>
      <c r="T28" s="1">
        <v>45603</v>
      </c>
      <c r="U28">
        <v>6.72</v>
      </c>
      <c r="V28" s="1">
        <v>45603</v>
      </c>
      <c r="W28">
        <v>6.63</v>
      </c>
      <c r="X28" s="1">
        <v>45603</v>
      </c>
      <c r="Y28">
        <f>NETWORKDAYS(X28,$Z$1,FERIADO!$A$2:$A$408)</f>
        <v>1553</v>
      </c>
      <c r="Z28">
        <v>12.73</v>
      </c>
      <c r="AA28" s="6">
        <f t="shared" si="2"/>
        <v>47785.5086074516</v>
      </c>
      <c r="AB28" s="2">
        <f t="shared" si="3"/>
        <v>4.0049632148361309E-3</v>
      </c>
      <c r="AJ28" s="1">
        <v>45603</v>
      </c>
      <c r="AK28">
        <f>NETWORKDAYS(AJ28,$AJ$1,FERIADO!$A$2:$A$408)</f>
        <v>540</v>
      </c>
      <c r="AL28">
        <v>13.025</v>
      </c>
      <c r="AM28" s="6">
        <f t="shared" si="4"/>
        <v>76922.715862207551</v>
      </c>
      <c r="AN28" s="2">
        <f t="shared" si="5"/>
        <v>3.7597736932577704E-4</v>
      </c>
      <c r="AP28" s="11">
        <f t="shared" si="6"/>
        <v>2.0024816074180655E-3</v>
      </c>
      <c r="AQ28" s="11">
        <f t="shared" si="7"/>
        <v>1.1279321079773311E-4</v>
      </c>
      <c r="AR28" s="11">
        <f t="shared" si="8"/>
        <v>2.1152748182157984E-3</v>
      </c>
    </row>
    <row r="29" spans="2:44" x14ac:dyDescent="0.35">
      <c r="B29" s="1">
        <v>45602</v>
      </c>
      <c r="C29">
        <v>5947.78</v>
      </c>
      <c r="D29" s="1">
        <v>45602</v>
      </c>
      <c r="E29">
        <v>5.7641999999999998</v>
      </c>
      <c r="F29" s="1">
        <v>45602</v>
      </c>
      <c r="G29">
        <v>109.489</v>
      </c>
      <c r="H29" s="4">
        <f t="shared" si="0"/>
        <v>631116.49379999994</v>
      </c>
      <c r="I29" s="5">
        <v>45602</v>
      </c>
      <c r="J29" s="4">
        <v>5749.82</v>
      </c>
      <c r="K29" s="4">
        <f t="shared" si="1"/>
        <v>57498.2</v>
      </c>
      <c r="L29" s="1">
        <v>45602</v>
      </c>
      <c r="M29">
        <v>6.92</v>
      </c>
      <c r="N29" s="1">
        <v>45602</v>
      </c>
      <c r="O29">
        <v>6.84</v>
      </c>
      <c r="P29" s="1">
        <v>45602</v>
      </c>
      <c r="Q29">
        <v>6.85</v>
      </c>
      <c r="R29" s="1">
        <v>45602</v>
      </c>
      <c r="S29">
        <v>6.78</v>
      </c>
      <c r="T29" s="1">
        <v>45602</v>
      </c>
      <c r="U29">
        <v>6.78</v>
      </c>
      <c r="V29" s="1">
        <v>45602</v>
      </c>
      <c r="W29">
        <v>6.68</v>
      </c>
      <c r="X29" s="1">
        <v>45602</v>
      </c>
      <c r="Y29">
        <f>NETWORKDAYS(X29,$Z$1,FERIADO!$A$2:$A$408)</f>
        <v>1554</v>
      </c>
      <c r="Z29">
        <v>12.89</v>
      </c>
      <c r="AA29" s="6">
        <f t="shared" si="2"/>
        <v>47346.867337490417</v>
      </c>
      <c r="AB29" s="2">
        <f t="shared" si="3"/>
        <v>-5.0330823817293629E-4</v>
      </c>
      <c r="AJ29" s="1">
        <v>45602</v>
      </c>
      <c r="AK29">
        <f>NETWORKDAYS(AJ29,$AJ$1,FERIADO!$A$2:$A$408)</f>
        <v>541</v>
      </c>
      <c r="AL29">
        <v>13.045</v>
      </c>
      <c r="AM29" s="6">
        <f t="shared" si="4"/>
        <v>76856.151154760053</v>
      </c>
      <c r="AN29" s="2">
        <f t="shared" si="5"/>
        <v>-6.153392528705058E-4</v>
      </c>
      <c r="AP29" s="11">
        <f t="shared" si="6"/>
        <v>-2.5165411908646814E-4</v>
      </c>
      <c r="AQ29" s="11">
        <f t="shared" si="7"/>
        <v>-1.8460177586115172E-4</v>
      </c>
      <c r="AR29" s="11">
        <f t="shared" si="8"/>
        <v>-4.3625589494761989E-4</v>
      </c>
    </row>
    <row r="30" spans="2:44" x14ac:dyDescent="0.35">
      <c r="B30" s="1">
        <v>45601</v>
      </c>
      <c r="C30">
        <v>5801.94</v>
      </c>
      <c r="D30" s="1">
        <v>45601</v>
      </c>
      <c r="E30">
        <v>5.7839999999999998</v>
      </c>
      <c r="F30" s="1">
        <v>45601</v>
      </c>
      <c r="G30">
        <v>110.44</v>
      </c>
      <c r="H30" s="4">
        <f t="shared" si="0"/>
        <v>638784.96</v>
      </c>
      <c r="I30" s="5">
        <v>45601</v>
      </c>
      <c r="J30" s="4">
        <v>5788.47</v>
      </c>
      <c r="K30" s="4">
        <f t="shared" si="1"/>
        <v>57884.700000000004</v>
      </c>
      <c r="L30" s="1">
        <v>45601</v>
      </c>
      <c r="M30">
        <v>6.9</v>
      </c>
      <c r="N30" s="1">
        <v>45601</v>
      </c>
      <c r="O30">
        <v>6.85</v>
      </c>
      <c r="P30" s="1">
        <v>45601</v>
      </c>
      <c r="Q30">
        <v>6.86</v>
      </c>
      <c r="R30" s="1">
        <v>45601</v>
      </c>
      <c r="S30">
        <v>6.8</v>
      </c>
      <c r="T30" s="1">
        <v>45601</v>
      </c>
      <c r="U30">
        <v>6.78</v>
      </c>
      <c r="V30" s="1">
        <v>45601</v>
      </c>
      <c r="W30">
        <v>6.7</v>
      </c>
      <c r="X30" s="1">
        <v>45601</v>
      </c>
      <c r="Y30">
        <f>NETWORKDAYS(X30,$Z$1,FERIADO!$A$2:$A$408)</f>
        <v>1555</v>
      </c>
      <c r="Z30">
        <v>12.86</v>
      </c>
      <c r="AA30" s="6">
        <f t="shared" si="2"/>
        <v>47401.76990513708</v>
      </c>
      <c r="AB30" s="2">
        <f t="shared" si="3"/>
        <v>2.8208607784046512E-3</v>
      </c>
      <c r="AJ30" s="1">
        <v>45601</v>
      </c>
      <c r="AK30">
        <f>NETWORKDAYS(AJ30,$AJ$1,FERIADO!$A$2:$A$408)</f>
        <v>542</v>
      </c>
      <c r="AL30">
        <v>12.945</v>
      </c>
      <c r="AM30" s="6">
        <f t="shared" si="4"/>
        <v>76965.123587504277</v>
      </c>
      <c r="AN30" s="2">
        <f t="shared" si="5"/>
        <v>9.137888908980576E-4</v>
      </c>
      <c r="AP30" s="11">
        <f t="shared" si="6"/>
        <v>1.4104303892023256E-3</v>
      </c>
      <c r="AQ30" s="11">
        <f t="shared" si="7"/>
        <v>2.7413666726941726E-4</v>
      </c>
      <c r="AR30" s="11">
        <f t="shared" si="8"/>
        <v>1.6845670564717427E-3</v>
      </c>
    </row>
    <row r="31" spans="2:44" x14ac:dyDescent="0.35">
      <c r="B31" s="1">
        <v>45600</v>
      </c>
      <c r="C31">
        <v>5739.37</v>
      </c>
      <c r="D31" s="1">
        <v>45600</v>
      </c>
      <c r="E31">
        <v>5.7892000000000001</v>
      </c>
      <c r="F31" s="1">
        <v>45600</v>
      </c>
      <c r="G31">
        <v>110.40300000000001</v>
      </c>
      <c r="H31" s="4">
        <f t="shared" si="0"/>
        <v>639145.04760000005</v>
      </c>
      <c r="I31" s="5">
        <v>45600</v>
      </c>
      <c r="J31" s="4">
        <v>5832.14</v>
      </c>
      <c r="K31" s="4">
        <f t="shared" si="1"/>
        <v>58321.4</v>
      </c>
      <c r="L31" s="1">
        <v>45600</v>
      </c>
      <c r="M31">
        <v>6.94</v>
      </c>
      <c r="N31" s="1">
        <v>45600</v>
      </c>
      <c r="O31">
        <v>6.87</v>
      </c>
      <c r="P31" s="1">
        <v>45600</v>
      </c>
      <c r="Q31">
        <v>6.89</v>
      </c>
      <c r="R31" s="1">
        <v>45600</v>
      </c>
      <c r="S31">
        <v>6.85</v>
      </c>
      <c r="T31" s="1">
        <v>45600</v>
      </c>
      <c r="U31">
        <v>6.81</v>
      </c>
      <c r="V31" s="1">
        <v>45600</v>
      </c>
      <c r="W31">
        <v>6.71</v>
      </c>
      <c r="X31" s="1">
        <v>45600</v>
      </c>
      <c r="Y31">
        <f>NETWORKDAYS(X31,$Z$1,FERIADO!$A$2:$A$408)</f>
        <v>1556</v>
      </c>
      <c r="Z31">
        <v>12.97</v>
      </c>
      <c r="AA31" s="6">
        <f t="shared" si="2"/>
        <v>47094.880262160077</v>
      </c>
      <c r="AB31" s="2">
        <f t="shared" si="3"/>
        <v>4.0078817877063737E-3</v>
      </c>
      <c r="AJ31" s="1">
        <v>45600</v>
      </c>
      <c r="AK31">
        <f>NETWORKDAYS(AJ31,$AJ$1,FERIADO!$A$2:$A$408)</f>
        <v>543</v>
      </c>
      <c r="AL31">
        <v>13.03</v>
      </c>
      <c r="AM31" s="6">
        <f t="shared" si="4"/>
        <v>76803.353314130713</v>
      </c>
      <c r="AN31" s="2">
        <f t="shared" si="5"/>
        <v>1.8685154437133578E-3</v>
      </c>
      <c r="AP31" s="11">
        <f t="shared" si="6"/>
        <v>2.0039408938531868E-3</v>
      </c>
      <c r="AQ31" s="11">
        <f t="shared" si="7"/>
        <v>5.6055463311400729E-4</v>
      </c>
      <c r="AR31" s="11">
        <f t="shared" si="8"/>
        <v>2.5644955269671942E-3</v>
      </c>
    </row>
    <row r="32" spans="2:44" x14ac:dyDescent="0.35">
      <c r="B32" s="1">
        <v>45597</v>
      </c>
      <c r="C32">
        <v>5752.67</v>
      </c>
      <c r="D32" s="1">
        <v>45597</v>
      </c>
      <c r="E32">
        <v>5.8067000000000002</v>
      </c>
      <c r="F32" s="1">
        <v>45597</v>
      </c>
      <c r="G32">
        <v>109.899</v>
      </c>
      <c r="H32" s="4">
        <f t="shared" si="0"/>
        <v>638150.5233</v>
      </c>
      <c r="I32" s="5">
        <v>45597</v>
      </c>
      <c r="J32" s="4">
        <v>5918.49</v>
      </c>
      <c r="K32" s="4">
        <f t="shared" si="1"/>
        <v>59184.899999999994</v>
      </c>
      <c r="L32" s="1">
        <v>45597</v>
      </c>
      <c r="M32">
        <v>7.06</v>
      </c>
      <c r="N32" s="1">
        <v>45597</v>
      </c>
      <c r="O32">
        <v>7.02</v>
      </c>
      <c r="P32" s="1">
        <v>45597</v>
      </c>
      <c r="Q32">
        <v>7.01</v>
      </c>
      <c r="R32" s="1">
        <v>45597</v>
      </c>
      <c r="S32">
        <v>6.96</v>
      </c>
      <c r="T32" s="1">
        <v>45597</v>
      </c>
      <c r="U32">
        <v>6.94</v>
      </c>
      <c r="V32" s="1">
        <v>45597</v>
      </c>
      <c r="W32">
        <v>6.81</v>
      </c>
      <c r="X32" s="1">
        <v>45597</v>
      </c>
      <c r="Y32">
        <f>NETWORKDAYS(X32,$Z$1,FERIADO!$A$2:$A$408)</f>
        <v>1557</v>
      </c>
      <c r="Z32">
        <v>13.13</v>
      </c>
      <c r="AA32" s="6">
        <f t="shared" si="2"/>
        <v>46662.264947460375</v>
      </c>
      <c r="AB32" s="2">
        <f t="shared" si="3"/>
        <v>-4.3006667282721612E-3</v>
      </c>
      <c r="AJ32" s="1">
        <v>45597</v>
      </c>
      <c r="AK32">
        <f>NETWORKDAYS(AJ32,$AJ$1,FERIADO!$A$2:$A$408)</f>
        <v>544</v>
      </c>
      <c r="AL32">
        <v>13.23</v>
      </c>
      <c r="AM32" s="6">
        <f t="shared" si="4"/>
        <v>76473.62317952422</v>
      </c>
      <c r="AN32" s="2">
        <f t="shared" si="5"/>
        <v>-1.7372283451705345E-3</v>
      </c>
      <c r="AP32" s="11">
        <f t="shared" si="6"/>
        <v>-2.1503333641360806E-3</v>
      </c>
      <c r="AQ32" s="11">
        <f t="shared" si="7"/>
        <v>-5.2116850355116032E-4</v>
      </c>
      <c r="AR32" s="11">
        <f t="shared" si="8"/>
        <v>-2.6715018676872408E-3</v>
      </c>
    </row>
    <row r="33" spans="2:44" x14ac:dyDescent="0.35">
      <c r="B33" s="1">
        <v>45596</v>
      </c>
      <c r="C33">
        <v>5724.93</v>
      </c>
      <c r="D33" s="1">
        <v>45596</v>
      </c>
      <c r="E33">
        <v>5.7773000000000003</v>
      </c>
      <c r="F33" s="1">
        <v>45596</v>
      </c>
      <c r="G33">
        <v>110.395</v>
      </c>
      <c r="H33" s="4">
        <f t="shared" si="0"/>
        <v>637785.03350000002</v>
      </c>
      <c r="I33" s="5">
        <v>45596</v>
      </c>
      <c r="J33" s="4">
        <v>5834.65</v>
      </c>
      <c r="K33" s="4">
        <f t="shared" si="1"/>
        <v>58346.5</v>
      </c>
      <c r="L33" s="1">
        <v>45596</v>
      </c>
      <c r="M33">
        <v>6.94</v>
      </c>
      <c r="N33" s="1">
        <v>45596</v>
      </c>
      <c r="O33">
        <v>6.89</v>
      </c>
      <c r="P33" s="1">
        <v>45596</v>
      </c>
      <c r="Q33">
        <v>6.93</v>
      </c>
      <c r="R33" s="1">
        <v>45596</v>
      </c>
      <c r="S33">
        <v>6.9</v>
      </c>
      <c r="T33" s="1">
        <v>45596</v>
      </c>
      <c r="U33">
        <v>6.87</v>
      </c>
      <c r="V33" s="1">
        <v>45596</v>
      </c>
      <c r="W33">
        <v>6.78</v>
      </c>
      <c r="X33" s="1">
        <v>45596</v>
      </c>
      <c r="Y33">
        <f>NETWORKDAYS(X33,$Z$1,FERIADO!$A$2:$A$408)</f>
        <v>1558</v>
      </c>
      <c r="Z33">
        <v>12.94</v>
      </c>
      <c r="AA33" s="6">
        <f t="shared" si="2"/>
        <v>47126.640556704042</v>
      </c>
      <c r="AB33" s="2">
        <f t="shared" si="3"/>
        <v>-2.6465231210514931E-3</v>
      </c>
      <c r="AJ33" s="1">
        <v>45596</v>
      </c>
      <c r="AK33">
        <f>NETWORKDAYS(AJ33,$AJ$1,FERIADO!$A$2:$A$408)</f>
        <v>545</v>
      </c>
      <c r="AL33">
        <v>12.994999999999999</v>
      </c>
      <c r="AM33" s="6">
        <f t="shared" si="4"/>
        <v>76780.139191223614</v>
      </c>
      <c r="AN33" s="2">
        <f t="shared" si="5"/>
        <v>-7.476032882139462E-4</v>
      </c>
      <c r="AP33" s="11">
        <f t="shared" si="6"/>
        <v>-1.3232615605257465E-3</v>
      </c>
      <c r="AQ33" s="11">
        <f t="shared" si="7"/>
        <v>-2.2428098646418384E-4</v>
      </c>
      <c r="AR33" s="11">
        <f t="shared" si="8"/>
        <v>-1.5475425469899304E-3</v>
      </c>
    </row>
    <row r="34" spans="2:44" x14ac:dyDescent="0.35">
      <c r="B34" s="1">
        <v>45595</v>
      </c>
      <c r="C34">
        <v>5832.02</v>
      </c>
      <c r="D34" s="1">
        <v>45595</v>
      </c>
      <c r="E34">
        <v>5.7794999999999996</v>
      </c>
      <c r="F34" s="1">
        <v>45595</v>
      </c>
      <c r="G34">
        <v>110.408</v>
      </c>
      <c r="H34" s="4">
        <f t="shared" si="0"/>
        <v>638103.03599999996</v>
      </c>
      <c r="I34" s="5">
        <v>45595</v>
      </c>
      <c r="J34" s="4">
        <v>5806.54</v>
      </c>
      <c r="K34" s="4">
        <f t="shared" si="1"/>
        <v>58065.4</v>
      </c>
      <c r="L34" s="1">
        <v>45595</v>
      </c>
      <c r="M34">
        <v>6.9</v>
      </c>
      <c r="N34" s="1">
        <v>45595</v>
      </c>
      <c r="O34">
        <v>6.86</v>
      </c>
      <c r="P34" s="1">
        <v>45595</v>
      </c>
      <c r="Q34">
        <v>6.88</v>
      </c>
      <c r="R34" s="1">
        <v>45595</v>
      </c>
      <c r="S34">
        <v>6.87</v>
      </c>
      <c r="T34" s="1">
        <v>45595</v>
      </c>
      <c r="U34">
        <v>6.87</v>
      </c>
      <c r="V34" s="1">
        <v>45595</v>
      </c>
      <c r="W34">
        <v>6.81</v>
      </c>
      <c r="X34" s="1">
        <v>45595</v>
      </c>
      <c r="Y34">
        <f>NETWORKDAYS(X34,$Z$1,FERIADO!$A$2:$A$408)</f>
        <v>1559</v>
      </c>
      <c r="Z34">
        <v>12.82</v>
      </c>
      <c r="AA34" s="6">
        <f t="shared" si="2"/>
        <v>47414.699787552432</v>
      </c>
      <c r="AB34" s="2">
        <f t="shared" si="3"/>
        <v>1.6372954451553895E-3</v>
      </c>
      <c r="AJ34" s="1">
        <v>45595</v>
      </c>
      <c r="AK34">
        <f>NETWORKDAYS(AJ34,$AJ$1,FERIADO!$A$2:$A$408)</f>
        <v>546</v>
      </c>
      <c r="AL34">
        <v>12.88</v>
      </c>
      <c r="AM34" s="6">
        <f t="shared" si="4"/>
        <v>76912.423898898152</v>
      </c>
      <c r="AN34" s="2">
        <f t="shared" si="5"/>
        <v>4.5930334160845771E-4</v>
      </c>
      <c r="AP34" s="11">
        <f t="shared" si="6"/>
        <v>8.1864772257769476E-4</v>
      </c>
      <c r="AQ34" s="11">
        <f t="shared" si="7"/>
        <v>1.377910024825373E-4</v>
      </c>
      <c r="AR34" s="11">
        <f t="shared" si="8"/>
        <v>9.5643872506023212E-4</v>
      </c>
    </row>
    <row r="35" spans="2:44" x14ac:dyDescent="0.35">
      <c r="B35" s="1">
        <v>45594</v>
      </c>
      <c r="C35">
        <v>5869.01</v>
      </c>
      <c r="D35" s="1">
        <v>45594</v>
      </c>
      <c r="E35">
        <v>5.7134</v>
      </c>
      <c r="F35" s="1">
        <v>45594</v>
      </c>
      <c r="G35">
        <v>110.855</v>
      </c>
      <c r="H35" s="4">
        <f t="shared" si="0"/>
        <v>633358.95700000005</v>
      </c>
      <c r="I35" s="5">
        <v>45594</v>
      </c>
      <c r="J35" s="4">
        <v>5803.52</v>
      </c>
      <c r="K35" s="4">
        <f t="shared" si="1"/>
        <v>58035.200000000004</v>
      </c>
      <c r="L35" s="1">
        <v>45594</v>
      </c>
      <c r="M35">
        <v>6.87</v>
      </c>
      <c r="N35" s="1">
        <v>45594</v>
      </c>
      <c r="O35">
        <v>6.83</v>
      </c>
      <c r="P35" s="1">
        <v>45594</v>
      </c>
      <c r="Q35">
        <v>6.88</v>
      </c>
      <c r="R35" s="1">
        <v>45594</v>
      </c>
      <c r="S35">
        <v>6.88</v>
      </c>
      <c r="T35" s="1">
        <v>45594</v>
      </c>
      <c r="U35">
        <v>6.87</v>
      </c>
      <c r="V35" s="1">
        <v>45594</v>
      </c>
      <c r="W35">
        <v>6.83</v>
      </c>
      <c r="X35" s="1">
        <v>45594</v>
      </c>
      <c r="Y35">
        <f>NETWORKDAYS(X35,$Z$1,FERIADO!$A$2:$A$408)</f>
        <v>1560</v>
      </c>
      <c r="Z35">
        <v>12.88</v>
      </c>
      <c r="AA35" s="6">
        <f t="shared" si="2"/>
        <v>47236.28232566837</v>
      </c>
      <c r="AB35" s="2">
        <f t="shared" si="3"/>
        <v>-1.6984786299309035E-3</v>
      </c>
      <c r="AJ35" s="1">
        <v>45594</v>
      </c>
      <c r="AK35">
        <f>NETWORKDAYS(AJ35,$AJ$1,FERIADO!$A$2:$A$408)</f>
        <v>547</v>
      </c>
      <c r="AL35">
        <v>12.91</v>
      </c>
      <c r="AM35" s="6">
        <f t="shared" si="4"/>
        <v>76831.125468529062</v>
      </c>
      <c r="AN35" s="2">
        <f t="shared" si="5"/>
        <v>-5.4383561977382395E-4</v>
      </c>
      <c r="AP35" s="11">
        <f t="shared" si="6"/>
        <v>-8.4923931496545173E-4</v>
      </c>
      <c r="AQ35" s="11">
        <f t="shared" si="7"/>
        <v>-1.6315068593214719E-4</v>
      </c>
      <c r="AR35" s="11">
        <f t="shared" si="8"/>
        <v>-1.012390000897599E-3</v>
      </c>
    </row>
    <row r="36" spans="2:44" x14ac:dyDescent="0.35">
      <c r="B36" s="1">
        <v>45593</v>
      </c>
      <c r="C36">
        <v>5854.31</v>
      </c>
      <c r="D36" s="1">
        <v>45593</v>
      </c>
      <c r="E36">
        <v>5.6981999999999999</v>
      </c>
      <c r="F36" s="1">
        <v>45593</v>
      </c>
      <c r="G36">
        <v>110.68</v>
      </c>
      <c r="H36" s="4">
        <f t="shared" si="0"/>
        <v>630676.77600000007</v>
      </c>
      <c r="I36" s="5">
        <v>45593</v>
      </c>
      <c r="J36" s="4">
        <v>5752.68</v>
      </c>
      <c r="K36" s="4">
        <f t="shared" si="1"/>
        <v>57526.8</v>
      </c>
      <c r="L36" s="1">
        <v>45593</v>
      </c>
      <c r="M36">
        <v>6.75</v>
      </c>
      <c r="N36" s="1">
        <v>45593</v>
      </c>
      <c r="O36">
        <v>6.73</v>
      </c>
      <c r="P36" s="1">
        <v>45593</v>
      </c>
      <c r="Q36">
        <v>6.8</v>
      </c>
      <c r="R36" s="1">
        <v>45593</v>
      </c>
      <c r="S36">
        <v>6.82</v>
      </c>
      <c r="T36" s="1">
        <v>45593</v>
      </c>
      <c r="U36">
        <v>6.83</v>
      </c>
      <c r="V36" s="1">
        <v>45593</v>
      </c>
      <c r="W36">
        <v>6.8</v>
      </c>
      <c r="X36" s="1">
        <v>45593</v>
      </c>
      <c r="Y36">
        <f>NETWORKDAYS(X36,$Z$1,FERIADO!$A$2:$A$408)</f>
        <v>1561</v>
      </c>
      <c r="Z36">
        <v>12.8</v>
      </c>
      <c r="AA36" s="6">
        <f t="shared" si="2"/>
        <v>47421.38001678195</v>
      </c>
      <c r="AB36" s="2">
        <f t="shared" si="3"/>
        <v>-2.6976021954688357E-4</v>
      </c>
      <c r="AJ36" s="1">
        <v>45593</v>
      </c>
      <c r="AK36">
        <f>NETWORKDAYS(AJ36,$AJ$1,FERIADO!$A$2:$A$408)</f>
        <v>548</v>
      </c>
      <c r="AL36">
        <v>12.82</v>
      </c>
      <c r="AM36" s="6">
        <f t="shared" si="4"/>
        <v>76927.395802678599</v>
      </c>
      <c r="AN36" s="2">
        <f t="shared" si="5"/>
        <v>3.3366736063526731E-4</v>
      </c>
      <c r="AP36" s="11">
        <f t="shared" si="6"/>
        <v>-1.3488010977344178E-4</v>
      </c>
      <c r="AQ36" s="11">
        <f t="shared" si="7"/>
        <v>1.0010020819058019E-4</v>
      </c>
      <c r="AR36" s="11">
        <f t="shared" si="8"/>
        <v>-3.4779901582861591E-5</v>
      </c>
    </row>
    <row r="37" spans="2:44" x14ac:dyDescent="0.35">
      <c r="B37" s="1">
        <v>45590</v>
      </c>
      <c r="C37">
        <v>5830.56</v>
      </c>
      <c r="D37" s="1">
        <v>45590</v>
      </c>
      <c r="E37">
        <v>5.6962999999999999</v>
      </c>
      <c r="F37" s="1">
        <v>45590</v>
      </c>
      <c r="G37">
        <v>111.008</v>
      </c>
      <c r="H37" s="4">
        <f t="shared" si="0"/>
        <v>632334.87040000001</v>
      </c>
      <c r="I37" s="5">
        <v>45590</v>
      </c>
      <c r="J37" s="4">
        <v>5752.68</v>
      </c>
      <c r="K37" s="4">
        <f t="shared" si="1"/>
        <v>57526.8</v>
      </c>
      <c r="L37" s="1">
        <v>45590</v>
      </c>
      <c r="M37">
        <v>6.67</v>
      </c>
      <c r="N37" s="1">
        <v>45590</v>
      </c>
      <c r="O37">
        <v>6.67</v>
      </c>
      <c r="P37" s="1">
        <v>45590</v>
      </c>
      <c r="Q37">
        <v>6.77</v>
      </c>
      <c r="R37" s="1">
        <v>45590</v>
      </c>
      <c r="S37">
        <v>6.8</v>
      </c>
      <c r="T37" s="1">
        <v>45590</v>
      </c>
      <c r="U37">
        <v>6.77</v>
      </c>
      <c r="V37" s="1">
        <v>45590</v>
      </c>
      <c r="W37">
        <v>6.76</v>
      </c>
      <c r="X37" s="1">
        <v>45590</v>
      </c>
      <c r="Y37">
        <f>NETWORKDAYS(X37,$Z$1,FERIADO!$A$2:$A$408)</f>
        <v>1562</v>
      </c>
      <c r="Z37">
        <v>12.78</v>
      </c>
      <c r="AA37" s="6">
        <f t="shared" si="2"/>
        <v>47450.844760669388</v>
      </c>
      <c r="AB37" s="2">
        <f t="shared" si="3"/>
        <v>-3.138594618310891E-3</v>
      </c>
      <c r="AJ37" s="1">
        <v>45590</v>
      </c>
      <c r="AK37">
        <f>NETWORKDAYS(AJ37,$AJ$1,FERIADO!$A$2:$A$408)</f>
        <v>549</v>
      </c>
      <c r="AL37">
        <v>12.835000000000001</v>
      </c>
      <c r="AM37" s="6">
        <f t="shared" si="4"/>
        <v>76868.315376101586</v>
      </c>
      <c r="AN37" s="2">
        <f t="shared" si="5"/>
        <v>-9.6868295938959891E-4</v>
      </c>
      <c r="AP37" s="11">
        <f t="shared" si="6"/>
        <v>-1.5692973091554455E-3</v>
      </c>
      <c r="AQ37" s="11">
        <f t="shared" si="7"/>
        <v>-2.9060488781687966E-4</v>
      </c>
      <c r="AR37" s="11">
        <f t="shared" si="8"/>
        <v>-1.8599021969723253E-3</v>
      </c>
    </row>
    <row r="38" spans="2:44" x14ac:dyDescent="0.35">
      <c r="B38" s="1">
        <v>45589</v>
      </c>
      <c r="C38">
        <v>5842.91</v>
      </c>
      <c r="D38" s="1">
        <v>45589</v>
      </c>
      <c r="E38">
        <v>5.7081</v>
      </c>
      <c r="F38" s="1">
        <v>45589</v>
      </c>
      <c r="G38">
        <v>111.15600000000001</v>
      </c>
      <c r="H38" s="4">
        <f t="shared" si="0"/>
        <v>634489.56359999999</v>
      </c>
      <c r="I38" s="5">
        <v>45589</v>
      </c>
      <c r="J38" s="4">
        <v>5709.39</v>
      </c>
      <c r="K38" s="4">
        <f t="shared" si="1"/>
        <v>57093.9</v>
      </c>
      <c r="L38" s="1">
        <v>45589</v>
      </c>
      <c r="M38">
        <v>6.63</v>
      </c>
      <c r="N38" s="1">
        <v>45589</v>
      </c>
      <c r="O38">
        <v>6.6</v>
      </c>
      <c r="P38" s="1">
        <v>45589</v>
      </c>
      <c r="Q38">
        <v>6.7</v>
      </c>
      <c r="R38" s="1">
        <v>45589</v>
      </c>
      <c r="S38">
        <v>6.72</v>
      </c>
      <c r="T38" s="1">
        <v>45589</v>
      </c>
      <c r="U38">
        <v>6.74</v>
      </c>
      <c r="V38" s="1">
        <v>45589</v>
      </c>
      <c r="W38">
        <v>6.69</v>
      </c>
      <c r="X38" s="1">
        <v>45589</v>
      </c>
      <c r="Y38">
        <f>NETWORKDAYS(X38,$Z$1,FERIADO!$A$2:$A$408)</f>
        <v>1563</v>
      </c>
      <c r="Z38">
        <v>12.64</v>
      </c>
      <c r="AA38" s="6">
        <f t="shared" si="2"/>
        <v>47795.008494995149</v>
      </c>
      <c r="AB38" s="2">
        <f t="shared" si="3"/>
        <v>7.1356749266112632E-3</v>
      </c>
      <c r="AJ38" s="1">
        <v>45589</v>
      </c>
      <c r="AK38">
        <f>NETWORKDAYS(AJ38,$AJ$1,FERIADO!$A$2:$A$408)</f>
        <v>550</v>
      </c>
      <c r="AL38">
        <v>12.695</v>
      </c>
      <c r="AM38" s="6">
        <f t="shared" si="4"/>
        <v>77039.959580278664</v>
      </c>
      <c r="AN38" s="2">
        <f t="shared" si="5"/>
        <v>2.4362872240756869E-3</v>
      </c>
      <c r="AP38" s="11">
        <f t="shared" si="6"/>
        <v>3.5678374633056316E-3</v>
      </c>
      <c r="AQ38" s="11">
        <f t="shared" si="7"/>
        <v>7.308861672227061E-4</v>
      </c>
      <c r="AR38" s="11">
        <f t="shared" si="8"/>
        <v>4.2987236305283378E-3</v>
      </c>
    </row>
    <row r="39" spans="2:44" x14ac:dyDescent="0.35">
      <c r="B39" s="1">
        <v>45588</v>
      </c>
      <c r="C39">
        <v>5837.24</v>
      </c>
      <c r="D39" s="1">
        <v>45588</v>
      </c>
      <c r="E39">
        <v>5.7142999999999997</v>
      </c>
      <c r="F39" s="1">
        <v>45588</v>
      </c>
      <c r="G39">
        <v>111</v>
      </c>
      <c r="H39" s="4">
        <f t="shared" si="0"/>
        <v>634287.29999999993</v>
      </c>
      <c r="I39" s="5">
        <v>45588</v>
      </c>
      <c r="J39" s="4">
        <v>5729.52</v>
      </c>
      <c r="K39" s="4">
        <f t="shared" si="1"/>
        <v>57295.200000000004</v>
      </c>
      <c r="L39" s="1">
        <v>45588</v>
      </c>
      <c r="M39">
        <v>6.78</v>
      </c>
      <c r="N39" s="1">
        <v>45588</v>
      </c>
      <c r="O39">
        <v>6.76</v>
      </c>
      <c r="P39" s="1">
        <v>45588</v>
      </c>
      <c r="Q39">
        <v>6.87</v>
      </c>
      <c r="R39" s="1">
        <v>45588</v>
      </c>
      <c r="S39">
        <v>6.86</v>
      </c>
      <c r="T39" s="1">
        <v>45588</v>
      </c>
      <c r="U39">
        <v>6.86</v>
      </c>
      <c r="V39" s="1">
        <v>45588</v>
      </c>
      <c r="W39">
        <v>6.78</v>
      </c>
      <c r="X39" s="1">
        <v>45588</v>
      </c>
      <c r="Y39">
        <f>NETWORKDAYS(X39,$Z$1,FERIADO!$A$2:$A$408)</f>
        <v>1564</v>
      </c>
      <c r="Z39">
        <v>12.93</v>
      </c>
      <c r="AA39" s="6">
        <f t="shared" si="2"/>
        <v>47016.128881801655</v>
      </c>
      <c r="AB39" s="2">
        <f t="shared" si="3"/>
        <v>-2.6579223223774195E-3</v>
      </c>
      <c r="AJ39" s="1">
        <v>45588</v>
      </c>
      <c r="AK39">
        <f>NETWORKDAYS(AJ39,$AJ$1,FERIADO!$A$2:$A$408)</f>
        <v>551</v>
      </c>
      <c r="AL39">
        <v>12.96</v>
      </c>
      <c r="AM39" s="6">
        <f t="shared" si="4"/>
        <v>76608.99393786228</v>
      </c>
      <c r="AN39" s="2">
        <f t="shared" si="5"/>
        <v>-7.168163434577978E-4</v>
      </c>
      <c r="AP39" s="11">
        <f t="shared" si="6"/>
        <v>-1.3289611611887098E-3</v>
      </c>
      <c r="AQ39" s="11">
        <f t="shared" si="7"/>
        <v>-2.1504490303733933E-4</v>
      </c>
      <c r="AR39" s="11">
        <f t="shared" si="8"/>
        <v>-1.5440060642260491E-3</v>
      </c>
    </row>
    <row r="40" spans="2:44" x14ac:dyDescent="0.35">
      <c r="B40" s="1">
        <v>45587</v>
      </c>
      <c r="C40">
        <v>5876.31</v>
      </c>
      <c r="D40" s="1">
        <v>45587</v>
      </c>
      <c r="E40">
        <v>5.6951999999999998</v>
      </c>
      <c r="F40" s="1">
        <v>45587</v>
      </c>
      <c r="G40">
        <v>111.34</v>
      </c>
      <c r="H40" s="4">
        <f t="shared" si="0"/>
        <v>634103.56799999997</v>
      </c>
      <c r="I40" s="5">
        <v>45587</v>
      </c>
      <c r="J40" s="4">
        <v>5737.07</v>
      </c>
      <c r="K40" s="4">
        <f t="shared" si="1"/>
        <v>57370.7</v>
      </c>
      <c r="L40" s="1">
        <v>45587</v>
      </c>
      <c r="M40">
        <v>6.78</v>
      </c>
      <c r="N40" s="1">
        <v>45587</v>
      </c>
      <c r="O40">
        <v>6.74</v>
      </c>
      <c r="P40" s="1">
        <v>45587</v>
      </c>
      <c r="Q40">
        <v>6.81</v>
      </c>
      <c r="R40" s="1">
        <v>45587</v>
      </c>
      <c r="S40">
        <v>6.79</v>
      </c>
      <c r="T40" s="1">
        <v>45587</v>
      </c>
      <c r="U40">
        <v>6.82</v>
      </c>
      <c r="V40" s="1">
        <v>45587</v>
      </c>
      <c r="W40">
        <v>6.7</v>
      </c>
      <c r="X40" s="1">
        <v>45587</v>
      </c>
      <c r="Y40">
        <f>NETWORKDAYS(X40,$Z$1,FERIADO!$A$2:$A$408)</f>
        <v>1565</v>
      </c>
      <c r="Z40">
        <v>12.81</v>
      </c>
      <c r="AA40" s="6">
        <f t="shared" si="2"/>
        <v>47304.754237011359</v>
      </c>
      <c r="AB40" s="2">
        <f t="shared" si="3"/>
        <v>1.4036474050812405E-3</v>
      </c>
      <c r="AJ40" s="1">
        <v>45587</v>
      </c>
      <c r="AK40">
        <f>NETWORKDAYS(AJ40,$AJ$1,FERIADO!$A$2:$A$408)</f>
        <v>552</v>
      </c>
      <c r="AL40">
        <v>12.85</v>
      </c>
      <c r="AM40" s="6">
        <f t="shared" si="4"/>
        <v>76735.543837162521</v>
      </c>
      <c r="AN40" s="2">
        <f t="shared" si="5"/>
        <v>8.1653876217473577E-5</v>
      </c>
      <c r="AP40" s="11">
        <f t="shared" si="6"/>
        <v>7.0182370254062026E-4</v>
      </c>
      <c r="AQ40" s="11">
        <f t="shared" si="7"/>
        <v>2.4496162865242072E-5</v>
      </c>
      <c r="AR40" s="11">
        <f t="shared" si="8"/>
        <v>7.2631986540586232E-4</v>
      </c>
    </row>
    <row r="41" spans="2:44" x14ac:dyDescent="0.35">
      <c r="B41" s="1">
        <v>45586</v>
      </c>
      <c r="C41">
        <v>5891.34</v>
      </c>
      <c r="D41" s="1">
        <v>45586</v>
      </c>
      <c r="E41">
        <v>5.7061999999999999</v>
      </c>
      <c r="F41" s="1">
        <v>45586</v>
      </c>
      <c r="G41">
        <v>111.42100000000001</v>
      </c>
      <c r="H41" s="4">
        <f t="shared" si="0"/>
        <v>635790.51020000014</v>
      </c>
      <c r="I41" s="5">
        <v>45586</v>
      </c>
      <c r="J41" s="4">
        <v>5735.06</v>
      </c>
      <c r="K41" s="4">
        <f t="shared" si="1"/>
        <v>57350.600000000006</v>
      </c>
      <c r="L41" s="1">
        <v>45586</v>
      </c>
      <c r="M41">
        <v>6.75</v>
      </c>
      <c r="N41" s="1">
        <v>45586</v>
      </c>
      <c r="O41">
        <v>6.74</v>
      </c>
      <c r="P41" s="1">
        <v>45586</v>
      </c>
      <c r="Q41">
        <v>6.82</v>
      </c>
      <c r="R41" s="1">
        <v>45586</v>
      </c>
      <c r="S41">
        <v>6.79</v>
      </c>
      <c r="T41" s="1">
        <v>45586</v>
      </c>
      <c r="U41">
        <v>6.79</v>
      </c>
      <c r="V41" s="1">
        <v>45586</v>
      </c>
      <c r="W41">
        <v>6.68</v>
      </c>
      <c r="X41" s="1">
        <v>45586</v>
      </c>
      <c r="Y41">
        <f>NETWORKDAYS(X41,$Z$1,FERIADO!$A$2:$A$408)</f>
        <v>1566</v>
      </c>
      <c r="Z41">
        <v>12.86</v>
      </c>
      <c r="AA41" s="6">
        <f t="shared" si="2"/>
        <v>47152.111244484149</v>
      </c>
      <c r="AB41" s="2">
        <f t="shared" si="3"/>
        <v>4.4776512817372812E-4</v>
      </c>
      <c r="AJ41" s="1">
        <v>45586</v>
      </c>
      <c r="AK41">
        <f>NETWORKDAYS(AJ41,$AJ$1,FERIADO!$A$2:$A$408)</f>
        <v>553</v>
      </c>
      <c r="AL41">
        <v>12.835000000000001</v>
      </c>
      <c r="AM41" s="6">
        <f t="shared" si="4"/>
        <v>76721.117760230802</v>
      </c>
      <c r="AN41" s="2">
        <f t="shared" si="5"/>
        <v>7.5795256039027964E-4</v>
      </c>
      <c r="AP41" s="11">
        <f t="shared" si="6"/>
        <v>2.2388256408686406E-4</v>
      </c>
      <c r="AQ41" s="11">
        <f t="shared" si="7"/>
        <v>2.2738576811708389E-4</v>
      </c>
      <c r="AR41" s="11">
        <f t="shared" si="8"/>
        <v>4.5126833220394795E-4</v>
      </c>
    </row>
    <row r="42" spans="2:44" x14ac:dyDescent="0.35">
      <c r="B42" s="1">
        <v>45583</v>
      </c>
      <c r="C42">
        <v>5900.3</v>
      </c>
      <c r="D42" s="1">
        <v>45583</v>
      </c>
      <c r="E42">
        <v>5.6665999999999999</v>
      </c>
      <c r="F42" s="1">
        <v>45583</v>
      </c>
      <c r="G42">
        <v>112.215</v>
      </c>
      <c r="H42" s="4">
        <f t="shared" si="0"/>
        <v>635877.51899999997</v>
      </c>
      <c r="I42" s="5">
        <v>45583</v>
      </c>
      <c r="J42" s="4">
        <v>5747.14</v>
      </c>
      <c r="K42" s="4">
        <f t="shared" si="1"/>
        <v>57471.4</v>
      </c>
      <c r="L42" s="1">
        <v>45583</v>
      </c>
      <c r="M42">
        <v>6.73</v>
      </c>
      <c r="N42" s="1">
        <v>45583</v>
      </c>
      <c r="O42">
        <v>6.73</v>
      </c>
      <c r="P42" s="1">
        <v>45583</v>
      </c>
      <c r="Q42">
        <v>6.81</v>
      </c>
      <c r="R42" s="1">
        <v>45583</v>
      </c>
      <c r="S42">
        <v>6.78</v>
      </c>
      <c r="T42" s="1">
        <v>45583</v>
      </c>
      <c r="U42">
        <v>6.79</v>
      </c>
      <c r="V42" s="1">
        <v>45583</v>
      </c>
      <c r="W42">
        <v>6.69</v>
      </c>
      <c r="X42" s="1">
        <v>45583</v>
      </c>
      <c r="Y42">
        <f>NETWORKDAYS(X42,$Z$1,FERIADO!$A$2:$A$408)</f>
        <v>1567</v>
      </c>
      <c r="Z42">
        <v>12.87</v>
      </c>
      <c r="AA42" s="6">
        <f t="shared" si="2"/>
        <v>47103.52165427975</v>
      </c>
      <c r="AB42" s="2">
        <f t="shared" si="3"/>
        <v>-7.491846755020399E-4</v>
      </c>
      <c r="AJ42" s="1">
        <v>45583</v>
      </c>
      <c r="AK42">
        <f>NETWORKDAYS(AJ42,$AJ$1,FERIADO!$A$2:$A$408)</f>
        <v>554</v>
      </c>
      <c r="AL42">
        <v>12.9</v>
      </c>
      <c r="AM42" s="6">
        <f t="shared" si="4"/>
        <v>76587.336983419402</v>
      </c>
      <c r="AN42" s="2">
        <f t="shared" si="5"/>
        <v>-5.9607005033166492E-4</v>
      </c>
      <c r="AP42" s="11">
        <f t="shared" si="6"/>
        <v>-3.7459233775101995E-4</v>
      </c>
      <c r="AQ42" s="11">
        <f t="shared" si="7"/>
        <v>-1.7882101509949946E-4</v>
      </c>
      <c r="AR42" s="11">
        <f t="shared" si="8"/>
        <v>-5.5341335285051941E-4</v>
      </c>
    </row>
    <row r="43" spans="2:44" x14ac:dyDescent="0.35">
      <c r="B43" s="1">
        <v>45582</v>
      </c>
      <c r="C43">
        <v>5875.35</v>
      </c>
      <c r="D43" s="1">
        <v>45582</v>
      </c>
      <c r="E43">
        <v>5.6752000000000002</v>
      </c>
      <c r="F43" s="1">
        <v>45582</v>
      </c>
      <c r="G43">
        <v>112.09399999999999</v>
      </c>
      <c r="H43" s="4">
        <f t="shared" si="0"/>
        <v>636155.86880000005</v>
      </c>
      <c r="I43" s="5">
        <v>45582</v>
      </c>
      <c r="J43" s="4">
        <v>5698.82</v>
      </c>
      <c r="K43" s="4">
        <f t="shared" si="1"/>
        <v>56988.2</v>
      </c>
      <c r="L43" s="1">
        <v>45582</v>
      </c>
      <c r="M43">
        <v>6.69</v>
      </c>
      <c r="N43" s="1">
        <v>45582</v>
      </c>
      <c r="O43">
        <v>6.66</v>
      </c>
      <c r="P43" s="1">
        <v>45582</v>
      </c>
      <c r="Q43">
        <v>6.73</v>
      </c>
      <c r="R43" s="1">
        <v>45582</v>
      </c>
      <c r="S43">
        <v>6.69</v>
      </c>
      <c r="T43" s="1">
        <v>45582</v>
      </c>
      <c r="U43">
        <v>6.7</v>
      </c>
      <c r="V43" s="1">
        <v>45582</v>
      </c>
      <c r="W43">
        <v>6.57</v>
      </c>
      <c r="X43" s="1">
        <v>45582</v>
      </c>
      <c r="Y43">
        <f>NETWORKDAYS(X43,$Z$1,FERIADO!$A$2:$A$408)</f>
        <v>1568</v>
      </c>
      <c r="Z43">
        <v>12.83</v>
      </c>
      <c r="AA43" s="6">
        <f t="shared" si="2"/>
        <v>47184.84825090591</v>
      </c>
      <c r="AB43" s="2">
        <f t="shared" si="3"/>
        <v>-5.1101928611886811E-4</v>
      </c>
      <c r="AJ43" s="1">
        <v>45582</v>
      </c>
      <c r="AK43">
        <f>NETWORKDAYS(AJ43,$AJ$1,FERIADO!$A$2:$A$408)</f>
        <v>555</v>
      </c>
      <c r="AL43">
        <v>12.805</v>
      </c>
      <c r="AM43" s="6">
        <f t="shared" si="4"/>
        <v>76692.525426706386</v>
      </c>
      <c r="AN43" s="2">
        <f t="shared" si="5"/>
        <v>2.5012299668439184E-4</v>
      </c>
      <c r="AP43" s="11">
        <f t="shared" si="6"/>
        <v>-2.5550964305943405E-4</v>
      </c>
      <c r="AQ43" s="11">
        <f t="shared" si="7"/>
        <v>7.5036899005317555E-5</v>
      </c>
      <c r="AR43" s="11">
        <f t="shared" si="8"/>
        <v>-1.8047274405411649E-4</v>
      </c>
    </row>
    <row r="44" spans="2:44" x14ac:dyDescent="0.35">
      <c r="B44" s="1">
        <v>45581</v>
      </c>
      <c r="C44">
        <v>5875.36</v>
      </c>
      <c r="D44" s="1">
        <v>45581</v>
      </c>
      <c r="E44">
        <v>5.6742999999999997</v>
      </c>
      <c r="F44" s="1">
        <v>45581</v>
      </c>
      <c r="G44">
        <v>112.51300000000001</v>
      </c>
      <c r="H44" s="4">
        <f t="shared" si="0"/>
        <v>638432.5159</v>
      </c>
      <c r="I44" s="5">
        <v>45581</v>
      </c>
      <c r="J44" s="4">
        <v>5717.44</v>
      </c>
      <c r="K44" s="4">
        <f t="shared" si="1"/>
        <v>57174.399999999994</v>
      </c>
      <c r="L44" s="1">
        <v>45581</v>
      </c>
      <c r="M44">
        <v>6.77</v>
      </c>
      <c r="N44" s="1">
        <v>45581</v>
      </c>
      <c r="O44">
        <v>6.68</v>
      </c>
      <c r="P44" s="1">
        <v>45581</v>
      </c>
      <c r="Q44">
        <v>6.77</v>
      </c>
      <c r="R44" s="1">
        <v>45581</v>
      </c>
      <c r="S44">
        <v>6.69</v>
      </c>
      <c r="T44" s="1">
        <v>45581</v>
      </c>
      <c r="U44">
        <v>6.68</v>
      </c>
      <c r="V44" s="1">
        <v>45581</v>
      </c>
      <c r="W44">
        <v>6.57</v>
      </c>
      <c r="X44" s="1">
        <v>45581</v>
      </c>
      <c r="Y44">
        <f>NETWORKDAYS(X44,$Z$1,FERIADO!$A$2:$A$408)</f>
        <v>1569</v>
      </c>
      <c r="Z44">
        <v>12.8</v>
      </c>
      <c r="AA44" s="6">
        <f t="shared" si="2"/>
        <v>47240.401706300843</v>
      </c>
      <c r="AB44" s="2">
        <f t="shared" si="3"/>
        <v>-1.9521078859790885E-3</v>
      </c>
      <c r="AJ44" s="1">
        <v>45581</v>
      </c>
      <c r="AK44">
        <f>NETWORKDAYS(AJ44,$AJ$1,FERIADO!$A$2:$A$408)</f>
        <v>556</v>
      </c>
      <c r="AL44">
        <v>12.81</v>
      </c>
      <c r="AM44" s="6">
        <f t="shared" si="4"/>
        <v>76648.368656956256</v>
      </c>
      <c r="AN44" s="2">
        <f t="shared" si="5"/>
        <v>-9.0141449061020983E-5</v>
      </c>
      <c r="AP44" s="11">
        <f t="shared" si="6"/>
        <v>-9.7605394298954425E-4</v>
      </c>
      <c r="AQ44" s="11">
        <f t="shared" si="7"/>
        <v>-2.7042434718306294E-5</v>
      </c>
      <c r="AR44" s="11">
        <f t="shared" si="8"/>
        <v>-1.0030963777078507E-3</v>
      </c>
    </row>
    <row r="45" spans="2:44" x14ac:dyDescent="0.35">
      <c r="B45" s="1">
        <v>45580</v>
      </c>
      <c r="C45">
        <v>5851.11</v>
      </c>
      <c r="D45" s="1">
        <v>45580</v>
      </c>
      <c r="E45">
        <v>5.6372</v>
      </c>
      <c r="F45" s="1">
        <v>45580</v>
      </c>
      <c r="G45">
        <v>112.438</v>
      </c>
      <c r="H45" s="4">
        <f t="shared" si="0"/>
        <v>633835.49360000005</v>
      </c>
      <c r="I45" s="5">
        <v>45580</v>
      </c>
      <c r="J45" s="4">
        <v>5704.35</v>
      </c>
      <c r="K45" s="4">
        <f t="shared" si="1"/>
        <v>57043.5</v>
      </c>
      <c r="L45" s="1">
        <v>45580</v>
      </c>
      <c r="M45">
        <v>6.83</v>
      </c>
      <c r="N45" s="1">
        <v>45580</v>
      </c>
      <c r="O45">
        <v>6.73</v>
      </c>
      <c r="P45" s="1">
        <v>45580</v>
      </c>
      <c r="Q45">
        <v>6.76</v>
      </c>
      <c r="R45" s="1">
        <v>45580</v>
      </c>
      <c r="S45">
        <v>6.66</v>
      </c>
      <c r="T45" s="1">
        <v>45580</v>
      </c>
      <c r="U45">
        <v>6.67</v>
      </c>
      <c r="V45" s="1">
        <v>45580</v>
      </c>
      <c r="W45">
        <v>6.55</v>
      </c>
      <c r="X45" s="1">
        <v>45580</v>
      </c>
      <c r="Y45">
        <f>NETWORKDAYS(X45,$Z$1,FERIADO!$A$2:$A$408)</f>
        <v>1570</v>
      </c>
      <c r="Z45">
        <v>12.71</v>
      </c>
      <c r="AA45" s="6">
        <f t="shared" si="2"/>
        <v>47453.220269145706</v>
      </c>
      <c r="AB45" s="2">
        <f t="shared" si="3"/>
        <v>-2.9183782781421201E-3</v>
      </c>
      <c r="AJ45" s="1">
        <v>45580</v>
      </c>
      <c r="AK45">
        <f>NETWORKDAYS(AJ45,$AJ$1,FERIADO!$A$2:$A$408)</f>
        <v>557</v>
      </c>
      <c r="AL45">
        <v>12.775</v>
      </c>
      <c r="AM45" s="6">
        <f t="shared" si="4"/>
        <v>76664.279317549532</v>
      </c>
      <c r="AN45" s="2">
        <f t="shared" si="5"/>
        <v>-9.0197826456588429E-4</v>
      </c>
      <c r="AP45" s="11">
        <f t="shared" si="6"/>
        <v>-1.4591891390710601E-3</v>
      </c>
      <c r="AQ45" s="11">
        <f t="shared" si="7"/>
        <v>-2.7059347936976525E-4</v>
      </c>
      <c r="AR45" s="11">
        <f t="shared" si="8"/>
        <v>-1.7297826184408253E-3</v>
      </c>
    </row>
    <row r="46" spans="2:44" x14ac:dyDescent="0.35">
      <c r="B46" s="1">
        <v>45579</v>
      </c>
      <c r="C46">
        <v>5901.22</v>
      </c>
      <c r="D46" s="1">
        <v>45579</v>
      </c>
      <c r="E46">
        <v>5.6039000000000003</v>
      </c>
      <c r="F46" s="1">
        <v>45579</v>
      </c>
      <c r="G46">
        <v>111.77500000000001</v>
      </c>
      <c r="H46" s="4">
        <f t="shared" si="0"/>
        <v>626375.9225000001</v>
      </c>
      <c r="I46" s="5">
        <v>45579</v>
      </c>
      <c r="J46" s="4">
        <v>5635.39</v>
      </c>
      <c r="K46" s="4">
        <f t="shared" si="1"/>
        <v>56353.9</v>
      </c>
      <c r="L46" s="1">
        <v>45579</v>
      </c>
      <c r="M46">
        <v>6.74</v>
      </c>
      <c r="N46" s="1">
        <v>45579</v>
      </c>
      <c r="O46">
        <v>6.66</v>
      </c>
      <c r="P46" s="1">
        <v>45579</v>
      </c>
      <c r="Q46">
        <v>6.68</v>
      </c>
      <c r="R46" s="1">
        <v>45579</v>
      </c>
      <c r="S46">
        <v>6.61</v>
      </c>
      <c r="T46" s="1">
        <v>45579</v>
      </c>
      <c r="U46">
        <v>6.6</v>
      </c>
      <c r="V46" s="1">
        <v>45579</v>
      </c>
      <c r="W46">
        <v>6.49</v>
      </c>
      <c r="X46" s="1">
        <v>45579</v>
      </c>
      <c r="Y46">
        <f>NETWORKDAYS(X46,$Z$1,FERIADO!$A$2:$A$408)</f>
        <v>1571</v>
      </c>
      <c r="Z46">
        <v>12.58</v>
      </c>
      <c r="AA46" s="6">
        <f t="shared" si="2"/>
        <v>47773.170898631361</v>
      </c>
      <c r="AB46" s="2">
        <f t="shared" si="3"/>
        <v>2.6095833170655465E-3</v>
      </c>
      <c r="AJ46" s="1">
        <v>45579</v>
      </c>
      <c r="AK46">
        <f>NETWORKDAYS(AJ46,$AJ$1,FERIADO!$A$2:$A$408)</f>
        <v>558</v>
      </c>
      <c r="AL46">
        <v>12.645</v>
      </c>
      <c r="AM46" s="6">
        <f t="shared" si="4"/>
        <v>76823.66741460163</v>
      </c>
      <c r="AN46" s="2">
        <f t="shared" si="5"/>
        <v>1.2736526239418271E-3</v>
      </c>
      <c r="AP46" s="11">
        <f t="shared" si="6"/>
        <v>1.3047916585327733E-3</v>
      </c>
      <c r="AQ46" s="11">
        <f t="shared" si="7"/>
        <v>3.8209578718254814E-4</v>
      </c>
      <c r="AR46" s="11">
        <f t="shared" si="8"/>
        <v>1.6868874457153214E-3</v>
      </c>
    </row>
    <row r="47" spans="2:44" x14ac:dyDescent="0.35">
      <c r="B47" s="1">
        <v>45576</v>
      </c>
      <c r="C47">
        <v>5843.39</v>
      </c>
      <c r="D47" s="1">
        <v>45576</v>
      </c>
      <c r="E47">
        <v>5.6257000000000001</v>
      </c>
      <c r="F47" s="1">
        <v>45576</v>
      </c>
      <c r="G47">
        <v>112.11</v>
      </c>
      <c r="H47" s="4">
        <f t="shared" si="0"/>
        <v>630697.22699999996</v>
      </c>
      <c r="I47" s="5">
        <v>45576</v>
      </c>
      <c r="J47" s="4">
        <v>5654.02</v>
      </c>
      <c r="K47" s="4">
        <f t="shared" si="1"/>
        <v>56540.200000000004</v>
      </c>
      <c r="L47" s="1">
        <v>45576</v>
      </c>
      <c r="M47">
        <v>6.75</v>
      </c>
      <c r="N47" s="1">
        <v>45576</v>
      </c>
      <c r="O47">
        <v>6.72</v>
      </c>
      <c r="P47" s="1">
        <v>45576</v>
      </c>
      <c r="Q47">
        <v>6.71</v>
      </c>
      <c r="R47" s="1">
        <v>45576</v>
      </c>
      <c r="S47">
        <v>6.59</v>
      </c>
      <c r="T47" s="1">
        <v>45576</v>
      </c>
      <c r="U47">
        <v>6.57</v>
      </c>
      <c r="V47" s="1">
        <v>45576</v>
      </c>
      <c r="W47">
        <v>6.48</v>
      </c>
      <c r="X47" s="1">
        <v>45576</v>
      </c>
      <c r="Y47">
        <f>NETWORKDAYS(X47,$Z$1,FERIADO!$A$2:$A$408)</f>
        <v>1572</v>
      </c>
      <c r="Z47">
        <v>12.68</v>
      </c>
      <c r="AA47" s="6">
        <f t="shared" si="2"/>
        <v>47486.972772575304</v>
      </c>
      <c r="AB47" s="2">
        <f t="shared" si="3"/>
        <v>-3.1645202877767071E-3</v>
      </c>
      <c r="AJ47" s="1">
        <v>45576</v>
      </c>
      <c r="AK47">
        <f>NETWORKDAYS(AJ47,$AJ$1,FERIADO!$A$2:$A$408)</f>
        <v>559</v>
      </c>
      <c r="AL47">
        <v>12.77</v>
      </c>
      <c r="AM47" s="6">
        <f t="shared" si="4"/>
        <v>76598.697186639372</v>
      </c>
      <c r="AN47" s="2">
        <f t="shared" si="5"/>
        <v>-7.3473491542266336E-4</v>
      </c>
      <c r="AP47" s="11">
        <f t="shared" si="6"/>
        <v>-1.5822601438883535E-3</v>
      </c>
      <c r="AQ47" s="11">
        <f t="shared" si="7"/>
        <v>-2.20420474626799E-4</v>
      </c>
      <c r="AR47" s="11">
        <f t="shared" si="8"/>
        <v>-1.8026806185151526E-3</v>
      </c>
    </row>
    <row r="48" spans="2:44" x14ac:dyDescent="0.35">
      <c r="B48" s="1">
        <v>45575</v>
      </c>
      <c r="C48">
        <v>5817.45</v>
      </c>
      <c r="D48" s="1">
        <v>45575</v>
      </c>
      <c r="E48">
        <v>5.5812999999999997</v>
      </c>
      <c r="F48" s="1">
        <v>45575</v>
      </c>
      <c r="G48">
        <v>112.22</v>
      </c>
      <c r="H48" s="4">
        <f t="shared" si="0"/>
        <v>626333.48600000003</v>
      </c>
      <c r="I48" s="5">
        <v>45575</v>
      </c>
      <c r="J48" s="4">
        <v>5635.89</v>
      </c>
      <c r="K48" s="4">
        <f t="shared" si="1"/>
        <v>56358.9</v>
      </c>
      <c r="L48" s="1">
        <v>45575</v>
      </c>
      <c r="M48">
        <v>6.82</v>
      </c>
      <c r="N48" s="1">
        <v>45575</v>
      </c>
      <c r="O48">
        <v>6.76</v>
      </c>
      <c r="P48" s="1">
        <v>45575</v>
      </c>
      <c r="Q48">
        <v>6.76</v>
      </c>
      <c r="R48" s="1">
        <v>45575</v>
      </c>
      <c r="S48">
        <v>6.62</v>
      </c>
      <c r="T48" s="1">
        <v>45575</v>
      </c>
      <c r="U48">
        <v>6.62</v>
      </c>
      <c r="V48" s="1">
        <v>45575</v>
      </c>
      <c r="W48">
        <v>6.42</v>
      </c>
      <c r="X48" s="1">
        <v>45575</v>
      </c>
      <c r="Y48">
        <f>NETWORKDAYS(X48,$Z$1,FERIADO!$A$2:$A$408)</f>
        <v>1573</v>
      </c>
      <c r="Z48">
        <v>12.54</v>
      </c>
      <c r="AA48" s="6">
        <f t="shared" si="2"/>
        <v>47834.253976738168</v>
      </c>
      <c r="AB48" s="2">
        <f t="shared" si="3"/>
        <v>-1.4841768428705022E-3</v>
      </c>
      <c r="AJ48" s="1">
        <v>45575</v>
      </c>
      <c r="AK48">
        <f>NETWORKDAYS(AJ48,$AJ$1,FERIADO!$A$2:$A$408)</f>
        <v>560</v>
      </c>
      <c r="AL48">
        <v>12.66</v>
      </c>
      <c r="AM48" s="6">
        <f t="shared" si="4"/>
        <v>76728.395751192162</v>
      </c>
      <c r="AN48" s="2">
        <f t="shared" si="5"/>
        <v>-5.2429028733140201E-4</v>
      </c>
      <c r="AP48" s="11">
        <f t="shared" si="6"/>
        <v>-7.4208842143525108E-4</v>
      </c>
      <c r="AQ48" s="11">
        <f t="shared" si="7"/>
        <v>-1.5728708619942061E-4</v>
      </c>
      <c r="AR48" s="11">
        <f t="shared" si="8"/>
        <v>-8.9937550763467171E-4</v>
      </c>
    </row>
    <row r="49" spans="2:44" x14ac:dyDescent="0.35">
      <c r="B49" s="1">
        <v>45574</v>
      </c>
      <c r="C49">
        <v>5826.49</v>
      </c>
      <c r="D49" s="1">
        <v>45574</v>
      </c>
      <c r="E49">
        <v>5.5731000000000002</v>
      </c>
      <c r="F49" s="1">
        <v>45574</v>
      </c>
      <c r="G49">
        <v>112.10899999999999</v>
      </c>
      <c r="H49" s="4">
        <f t="shared" si="0"/>
        <v>624794.6679</v>
      </c>
      <c r="I49" s="5">
        <v>45574</v>
      </c>
      <c r="J49" s="4">
        <v>5647.98</v>
      </c>
      <c r="K49" s="4">
        <f t="shared" si="1"/>
        <v>56479.799999999996</v>
      </c>
      <c r="L49" s="1">
        <v>45574</v>
      </c>
      <c r="M49">
        <v>6.86</v>
      </c>
      <c r="N49" s="1">
        <v>45574</v>
      </c>
      <c r="O49">
        <v>6.8</v>
      </c>
      <c r="P49" s="1">
        <v>45574</v>
      </c>
      <c r="Q49">
        <v>6.82</v>
      </c>
      <c r="R49" s="1">
        <v>45574</v>
      </c>
      <c r="S49">
        <v>6.68</v>
      </c>
      <c r="T49" s="1">
        <v>45574</v>
      </c>
      <c r="U49">
        <v>6.65</v>
      </c>
      <c r="V49" s="1">
        <v>45574</v>
      </c>
      <c r="W49">
        <v>6.51</v>
      </c>
      <c r="X49" s="1">
        <v>45574</v>
      </c>
      <c r="Y49">
        <f>NETWORKDAYS(X49,$Z$1,FERIADO!$A$2:$A$408)</f>
        <v>1574</v>
      </c>
      <c r="Z49">
        <v>12.47</v>
      </c>
      <c r="AA49" s="6">
        <f t="shared" si="2"/>
        <v>47998.004480489311</v>
      </c>
      <c r="AB49" s="2">
        <f t="shared" si="3"/>
        <v>-3.9033414304503133E-3</v>
      </c>
      <c r="AJ49" s="1">
        <v>45574</v>
      </c>
      <c r="AK49">
        <f>NETWORKDAYS(AJ49,$AJ$1,FERIADO!$A$2:$A$408)</f>
        <v>561</v>
      </c>
      <c r="AL49">
        <v>12.574999999999999</v>
      </c>
      <c r="AM49" s="6">
        <f t="shared" si="4"/>
        <v>76821.079969300452</v>
      </c>
      <c r="AN49" s="2">
        <f t="shared" si="5"/>
        <v>-1.9491467787816829E-3</v>
      </c>
      <c r="AP49" s="11">
        <f t="shared" si="6"/>
        <v>-1.9516707152251566E-3</v>
      </c>
      <c r="AQ49" s="11">
        <f t="shared" si="7"/>
        <v>-5.847440336345049E-4</v>
      </c>
      <c r="AR49" s="11">
        <f t="shared" si="8"/>
        <v>-2.5364147488596616E-3</v>
      </c>
    </row>
    <row r="50" spans="2:44" x14ac:dyDescent="0.35">
      <c r="B50" s="1">
        <v>45573</v>
      </c>
      <c r="C50">
        <v>5789.73</v>
      </c>
      <c r="D50" s="1">
        <v>45573</v>
      </c>
      <c r="E50">
        <v>5.5190999999999999</v>
      </c>
      <c r="F50" s="1">
        <v>45573</v>
      </c>
      <c r="G50">
        <v>112.67100000000001</v>
      </c>
      <c r="H50" s="4">
        <f t="shared" si="0"/>
        <v>621842.51610000001</v>
      </c>
      <c r="I50" s="5">
        <v>45573</v>
      </c>
      <c r="J50" s="4">
        <v>5588.58</v>
      </c>
      <c r="K50" s="4">
        <f t="shared" si="1"/>
        <v>55885.8</v>
      </c>
      <c r="L50" s="1">
        <v>45573</v>
      </c>
      <c r="M50">
        <v>6.72</v>
      </c>
      <c r="N50" s="1">
        <v>45573</v>
      </c>
      <c r="O50">
        <v>6.66</v>
      </c>
      <c r="P50" s="1">
        <v>45573</v>
      </c>
      <c r="Q50">
        <v>6.67</v>
      </c>
      <c r="R50" s="1">
        <v>45573</v>
      </c>
      <c r="S50">
        <v>6.6</v>
      </c>
      <c r="T50" s="1">
        <v>45573</v>
      </c>
      <c r="U50">
        <v>6.55</v>
      </c>
      <c r="V50" s="1">
        <v>45573</v>
      </c>
      <c r="W50">
        <v>6.45</v>
      </c>
      <c r="X50" s="1">
        <v>45573</v>
      </c>
      <c r="Y50">
        <f>NETWORKDAYS(X50,$Z$1,FERIADO!$A$2:$A$408)</f>
        <v>1575</v>
      </c>
      <c r="Z50">
        <v>12.3</v>
      </c>
      <c r="AA50" s="6">
        <f t="shared" si="2"/>
        <v>48431.34424638666</v>
      </c>
      <c r="AB50" s="2">
        <f t="shared" si="3"/>
        <v>-2.838391549650198E-4</v>
      </c>
      <c r="AJ50" s="1">
        <v>45573</v>
      </c>
      <c r="AK50">
        <f>NETWORKDAYS(AJ50,$AJ$1,FERIADO!$A$2:$A$408)</f>
        <v>562</v>
      </c>
      <c r="AL50">
        <v>12.324999999999999</v>
      </c>
      <c r="AM50" s="6">
        <f t="shared" si="4"/>
        <v>77166.633694657707</v>
      </c>
      <c r="AN50" s="2">
        <f t="shared" si="5"/>
        <v>2.4349257398812907E-4</v>
      </c>
      <c r="AP50" s="11">
        <f t="shared" si="6"/>
        <v>-1.419195774825099E-4</v>
      </c>
      <c r="AQ50" s="11">
        <f t="shared" si="7"/>
        <v>7.3047772196438716E-5</v>
      </c>
      <c r="AR50" s="11">
        <f t="shared" si="8"/>
        <v>-6.8871805286071182E-5</v>
      </c>
    </row>
    <row r="51" spans="2:44" x14ac:dyDescent="0.35">
      <c r="B51" s="1">
        <v>45572</v>
      </c>
      <c r="C51">
        <v>5742.71</v>
      </c>
      <c r="D51" s="1">
        <v>45572</v>
      </c>
      <c r="E51">
        <v>5.4619999999999997</v>
      </c>
      <c r="F51" s="1">
        <v>45572</v>
      </c>
      <c r="G51">
        <v>112.52</v>
      </c>
      <c r="H51" s="4">
        <f t="shared" si="0"/>
        <v>614584.23999999987</v>
      </c>
      <c r="I51" s="5">
        <v>45572</v>
      </c>
      <c r="J51" s="4">
        <v>5551.33</v>
      </c>
      <c r="K51" s="4">
        <f t="shared" si="1"/>
        <v>55513.3</v>
      </c>
      <c r="L51" s="1">
        <v>45572</v>
      </c>
      <c r="M51">
        <v>6.71</v>
      </c>
      <c r="N51" s="1">
        <v>45572</v>
      </c>
      <c r="O51">
        <v>6.65</v>
      </c>
      <c r="P51" s="1">
        <v>45572</v>
      </c>
      <c r="Q51">
        <v>6.68</v>
      </c>
      <c r="R51" s="1">
        <v>45572</v>
      </c>
      <c r="S51">
        <v>6.61</v>
      </c>
      <c r="T51" s="1">
        <v>45572</v>
      </c>
      <c r="U51">
        <v>6.59</v>
      </c>
      <c r="V51" s="1">
        <v>45572</v>
      </c>
      <c r="W51">
        <v>6.49</v>
      </c>
      <c r="X51" s="1">
        <v>45572</v>
      </c>
      <c r="Y51">
        <f>NETWORKDAYS(X51,$Z$1,FERIADO!$A$2:$A$408)</f>
        <v>1576</v>
      </c>
      <c r="Z51">
        <v>12.28</v>
      </c>
      <c r="AA51" s="6">
        <f t="shared" si="2"/>
        <v>48463.007565984713</v>
      </c>
      <c r="AB51" s="2">
        <f t="shared" si="3"/>
        <v>3.5862639853827807E-3</v>
      </c>
      <c r="AJ51" s="1">
        <v>45572</v>
      </c>
      <c r="AK51">
        <f>NETWORKDAYS(AJ51,$AJ$1,FERIADO!$A$2:$A$408)</f>
        <v>563</v>
      </c>
      <c r="AL51">
        <v>12.33</v>
      </c>
      <c r="AM51" s="6">
        <f t="shared" si="4"/>
        <v>77123.381392941141</v>
      </c>
      <c r="AN51" s="2">
        <f t="shared" si="5"/>
        <v>9.7883892099945562E-4</v>
      </c>
      <c r="AP51" s="11">
        <f t="shared" si="6"/>
        <v>1.7931319926913904E-3</v>
      </c>
      <c r="AQ51" s="11">
        <f t="shared" si="7"/>
        <v>2.9365167629983669E-4</v>
      </c>
      <c r="AR51" s="11">
        <f t="shared" si="8"/>
        <v>2.086783668991227E-3</v>
      </c>
    </row>
    <row r="52" spans="2:44" x14ac:dyDescent="0.35">
      <c r="B52" s="1">
        <v>45569</v>
      </c>
      <c r="C52">
        <v>5785.13</v>
      </c>
      <c r="D52" s="1">
        <v>45569</v>
      </c>
      <c r="E52">
        <v>5.468</v>
      </c>
      <c r="F52" s="1">
        <v>45569</v>
      </c>
      <c r="G52">
        <v>112.94199999999999</v>
      </c>
      <c r="H52" s="4">
        <f t="shared" si="0"/>
        <v>617566.85599999991</v>
      </c>
      <c r="I52" s="5">
        <v>45569</v>
      </c>
      <c r="J52" s="4">
        <v>5501.99</v>
      </c>
      <c r="K52" s="4">
        <f t="shared" si="1"/>
        <v>55019.899999999994</v>
      </c>
      <c r="L52" s="1">
        <v>45569</v>
      </c>
      <c r="M52">
        <v>6.76</v>
      </c>
      <c r="N52" s="1">
        <v>45569</v>
      </c>
      <c r="O52">
        <v>6.71</v>
      </c>
      <c r="P52" s="1">
        <v>45569</v>
      </c>
      <c r="Q52">
        <v>6.71</v>
      </c>
      <c r="R52" s="1">
        <v>45569</v>
      </c>
      <c r="S52">
        <v>6.64</v>
      </c>
      <c r="T52" s="1">
        <v>45569</v>
      </c>
      <c r="U52">
        <v>6.63</v>
      </c>
      <c r="V52" s="1">
        <v>45569</v>
      </c>
      <c r="W52">
        <v>6.56</v>
      </c>
      <c r="X52" s="1">
        <v>45569</v>
      </c>
      <c r="Y52">
        <f>NETWORKDAYS(X52,$Z$1,FERIADO!$A$2:$A$408)</f>
        <v>1577</v>
      </c>
      <c r="Z52">
        <v>12.42</v>
      </c>
      <c r="AA52" s="6">
        <f t="shared" si="2"/>
        <v>48064.463444178349</v>
      </c>
      <c r="AB52" s="2">
        <f t="shared" si="3"/>
        <v>-5.2405552264917529E-4</v>
      </c>
      <c r="AJ52" s="1">
        <v>45569</v>
      </c>
      <c r="AK52">
        <f>NETWORKDAYS(AJ52,$AJ$1,FERIADO!$A$2:$A$408)</f>
        <v>564</v>
      </c>
      <c r="AL52">
        <v>12.42</v>
      </c>
      <c r="AM52" s="6">
        <f t="shared" si="4"/>
        <v>76949.751837503572</v>
      </c>
      <c r="AN52" s="2">
        <f t="shared" si="5"/>
        <v>-3.1806313695208167E-4</v>
      </c>
      <c r="AP52" s="11">
        <f t="shared" si="6"/>
        <v>-2.6202776132458765E-4</v>
      </c>
      <c r="AQ52" s="11">
        <f t="shared" si="7"/>
        <v>-9.5418941085624495E-5</v>
      </c>
      <c r="AR52" s="11">
        <f t="shared" si="8"/>
        <v>-3.5744670241021211E-4</v>
      </c>
    </row>
    <row r="53" spans="2:44" x14ac:dyDescent="0.35">
      <c r="B53" s="1">
        <v>45568</v>
      </c>
      <c r="C53">
        <v>5737.7</v>
      </c>
      <c r="D53" s="1">
        <v>45568</v>
      </c>
      <c r="E53">
        <v>5.4843999999999999</v>
      </c>
      <c r="F53" s="1">
        <v>45568</v>
      </c>
      <c r="G53">
        <v>113.92700000000001</v>
      </c>
      <c r="H53" s="4">
        <f t="shared" si="0"/>
        <v>624821.23880000005</v>
      </c>
      <c r="I53" s="5">
        <v>45568</v>
      </c>
      <c r="J53" s="4">
        <v>5532.2</v>
      </c>
      <c r="K53" s="4">
        <f t="shared" si="1"/>
        <v>55322</v>
      </c>
      <c r="L53" s="1">
        <v>45568</v>
      </c>
      <c r="M53">
        <v>6.73</v>
      </c>
      <c r="N53" s="1">
        <v>45568</v>
      </c>
      <c r="O53">
        <v>6.65</v>
      </c>
      <c r="P53" s="1">
        <v>45568</v>
      </c>
      <c r="Q53">
        <v>6.67</v>
      </c>
      <c r="R53" s="1">
        <v>45568</v>
      </c>
      <c r="S53">
        <v>6.6</v>
      </c>
      <c r="T53" s="1">
        <v>45568</v>
      </c>
      <c r="U53">
        <v>6.58</v>
      </c>
      <c r="V53" s="1">
        <v>45568</v>
      </c>
      <c r="W53">
        <v>6.52</v>
      </c>
      <c r="X53" s="1">
        <v>45568</v>
      </c>
      <c r="Y53">
        <f>NETWORKDAYS(X53,$Z$1,FERIADO!$A$2:$A$408)</f>
        <v>1578</v>
      </c>
      <c r="Z53">
        <v>12.39</v>
      </c>
      <c r="AA53" s="6">
        <f t="shared" si="2"/>
        <v>48122.49699492439</v>
      </c>
      <c r="AB53" s="2">
        <f t="shared" si="3"/>
        <v>-1.0095901726141932E-3</v>
      </c>
      <c r="AJ53" s="1">
        <v>45568</v>
      </c>
      <c r="AK53">
        <f>NETWORKDAYS(AJ53,$AJ$1,FERIADO!$A$2:$A$408)</f>
        <v>565</v>
      </c>
      <c r="AL53">
        <v>12.36</v>
      </c>
      <c r="AM53" s="6">
        <f t="shared" si="4"/>
        <v>77006.127971596972</v>
      </c>
      <c r="AN53" s="2">
        <f t="shared" si="5"/>
        <v>-7.1113026250972254E-4</v>
      </c>
      <c r="AP53" s="11">
        <f t="shared" si="6"/>
        <v>-5.0479508630709661E-4</v>
      </c>
      <c r="AQ53" s="11">
        <f t="shared" si="7"/>
        <v>-2.1333907875291676E-4</v>
      </c>
      <c r="AR53" s="11">
        <f t="shared" si="8"/>
        <v>-7.1813416506001334E-4</v>
      </c>
    </row>
    <row r="54" spans="2:44" x14ac:dyDescent="0.35">
      <c r="B54" s="1">
        <v>45567</v>
      </c>
      <c r="C54">
        <v>5764.05</v>
      </c>
      <c r="D54" s="1">
        <v>45567</v>
      </c>
      <c r="E54">
        <v>5.4298999999999999</v>
      </c>
      <c r="F54" s="1">
        <v>45567</v>
      </c>
      <c r="G54">
        <v>114.396</v>
      </c>
      <c r="H54" s="4">
        <f t="shared" si="0"/>
        <v>621158.84039999999</v>
      </c>
      <c r="I54" s="5">
        <v>45567</v>
      </c>
      <c r="J54" s="4">
        <v>5495.95</v>
      </c>
      <c r="K54" s="4">
        <f t="shared" si="1"/>
        <v>54959.5</v>
      </c>
      <c r="L54" s="1">
        <v>45567</v>
      </c>
      <c r="M54">
        <v>6.74</v>
      </c>
      <c r="N54" s="1">
        <v>45567</v>
      </c>
      <c r="O54">
        <v>6.64</v>
      </c>
      <c r="P54" s="1">
        <v>45567</v>
      </c>
      <c r="Q54">
        <v>6.64</v>
      </c>
      <c r="R54" s="1">
        <v>45567</v>
      </c>
      <c r="S54">
        <v>6.56</v>
      </c>
      <c r="T54" s="1">
        <v>45567</v>
      </c>
      <c r="U54">
        <v>6.57</v>
      </c>
      <c r="V54" s="1">
        <v>45567</v>
      </c>
      <c r="W54">
        <v>6.47</v>
      </c>
      <c r="X54" s="1">
        <v>45567</v>
      </c>
      <c r="Y54">
        <f>NETWORKDAYS(X54,$Z$1,FERIADO!$A$2:$A$408)</f>
        <v>1579</v>
      </c>
      <c r="Z54">
        <v>12.34</v>
      </c>
      <c r="AA54" s="6">
        <f t="shared" si="2"/>
        <v>48234.495918871777</v>
      </c>
      <c r="AB54" s="2">
        <f t="shared" si="3"/>
        <v>2.0053341087344844E-4</v>
      </c>
      <c r="AJ54" s="1">
        <v>45567</v>
      </c>
      <c r="AK54">
        <f>NETWORKDAYS(AJ54,$AJ$1,FERIADO!$A$2:$A$408)</f>
        <v>566</v>
      </c>
      <c r="AL54">
        <v>12.255000000000001</v>
      </c>
      <c r="AM54" s="6">
        <f t="shared" si="4"/>
        <v>77132.324018176761</v>
      </c>
      <c r="AN54" s="2">
        <f t="shared" si="5"/>
        <v>1.992289452789461E-4</v>
      </c>
      <c r="AP54" s="11">
        <f t="shared" si="6"/>
        <v>1.0026670543672422E-4</v>
      </c>
      <c r="AQ54" s="11">
        <f t="shared" si="7"/>
        <v>5.9768683583683827E-5</v>
      </c>
      <c r="AR54" s="11">
        <f t="shared" si="8"/>
        <v>1.6003538902040806E-4</v>
      </c>
    </row>
    <row r="55" spans="2:44" x14ac:dyDescent="0.35">
      <c r="B55" s="1">
        <v>45566</v>
      </c>
      <c r="C55">
        <v>5750.02</v>
      </c>
      <c r="D55" s="1">
        <v>45566</v>
      </c>
      <c r="E55">
        <v>5.4515000000000002</v>
      </c>
      <c r="F55" s="1">
        <v>45566</v>
      </c>
      <c r="G55">
        <v>114.746</v>
      </c>
      <c r="H55" s="4">
        <f t="shared" si="0"/>
        <v>625537.81900000002</v>
      </c>
      <c r="I55" s="5">
        <v>45566</v>
      </c>
      <c r="J55" s="4">
        <v>5480.35</v>
      </c>
      <c r="K55" s="4">
        <f t="shared" si="1"/>
        <v>54803.5</v>
      </c>
      <c r="L55" s="1">
        <v>45566</v>
      </c>
      <c r="M55">
        <v>6.79</v>
      </c>
      <c r="N55" s="1">
        <v>45566</v>
      </c>
      <c r="O55">
        <v>6.67</v>
      </c>
      <c r="P55" s="1">
        <v>45566</v>
      </c>
      <c r="Q55">
        <v>6.67</v>
      </c>
      <c r="R55" s="1">
        <v>45566</v>
      </c>
      <c r="S55">
        <v>6.54</v>
      </c>
      <c r="T55" s="1">
        <v>45566</v>
      </c>
      <c r="U55">
        <v>6.53</v>
      </c>
      <c r="V55" s="1">
        <v>45566</v>
      </c>
      <c r="W55">
        <v>6.48</v>
      </c>
      <c r="X55" s="1">
        <v>45566</v>
      </c>
      <c r="Y55">
        <f>NETWORKDAYS(X55,$Z$1,FERIADO!$A$2:$A$408)</f>
        <v>1580</v>
      </c>
      <c r="Z55">
        <v>12.34</v>
      </c>
      <c r="AA55" s="6">
        <f t="shared" si="2"/>
        <v>48212.229011070667</v>
      </c>
      <c r="AB55" s="2">
        <f t="shared" si="3"/>
        <v>3.5939625474751672E-3</v>
      </c>
      <c r="AJ55" s="1">
        <v>45566</v>
      </c>
      <c r="AK55">
        <f>NETWORKDAYS(AJ55,$AJ$1,FERIADO!$A$2:$A$408)</f>
        <v>567</v>
      </c>
      <c r="AL55">
        <v>12.255000000000001</v>
      </c>
      <c r="AM55" s="6">
        <f t="shared" si="4"/>
        <v>77096.948327255013</v>
      </c>
      <c r="AN55" s="2">
        <f t="shared" si="5"/>
        <v>1.4192961988099898E-3</v>
      </c>
      <c r="AP55" s="11">
        <f t="shared" si="6"/>
        <v>1.7969812737375836E-3</v>
      </c>
      <c r="AQ55" s="11">
        <f t="shared" si="7"/>
        <v>4.2578885964299689E-4</v>
      </c>
      <c r="AR55" s="11">
        <f t="shared" si="8"/>
        <v>2.2227701333805807E-3</v>
      </c>
    </row>
    <row r="56" spans="2:44" x14ac:dyDescent="0.35">
      <c r="B56" s="1">
        <v>45565</v>
      </c>
      <c r="C56">
        <v>5796.68</v>
      </c>
      <c r="D56" s="1">
        <v>45565</v>
      </c>
      <c r="E56">
        <v>5.4474999999999998</v>
      </c>
      <c r="F56" s="1">
        <v>45565</v>
      </c>
      <c r="G56">
        <v>114.41800000000001</v>
      </c>
      <c r="H56" s="4">
        <f t="shared" si="0"/>
        <v>623292.05500000005</v>
      </c>
      <c r="I56" s="5">
        <v>45565</v>
      </c>
      <c r="J56" s="4">
        <v>5508.03</v>
      </c>
      <c r="K56" s="4">
        <f t="shared" si="1"/>
        <v>55080.299999999996</v>
      </c>
      <c r="L56" s="1">
        <v>45565</v>
      </c>
      <c r="M56">
        <v>6.79</v>
      </c>
      <c r="N56" s="1">
        <v>45565</v>
      </c>
      <c r="O56">
        <v>6.67</v>
      </c>
      <c r="P56" s="1">
        <v>45565</v>
      </c>
      <c r="Q56">
        <v>6.67</v>
      </c>
      <c r="R56" s="1">
        <v>45565</v>
      </c>
      <c r="S56">
        <v>6.53</v>
      </c>
      <c r="T56" s="1">
        <v>45565</v>
      </c>
      <c r="U56">
        <v>6.53</v>
      </c>
      <c r="V56" s="1">
        <v>45565</v>
      </c>
      <c r="W56">
        <v>6.47</v>
      </c>
      <c r="X56" s="1">
        <v>45565</v>
      </c>
      <c r="Y56">
        <f>NETWORKDAYS(X56,$Z$1,FERIADO!$A$2:$A$408)</f>
        <v>1581</v>
      </c>
      <c r="Z56">
        <v>12.48</v>
      </c>
      <c r="AA56" s="6">
        <f t="shared" si="2"/>
        <v>47814.899608264386</v>
      </c>
      <c r="AB56" s="2">
        <f t="shared" si="3"/>
        <v>-2.9502143202980251E-3</v>
      </c>
      <c r="AJ56" s="1">
        <v>45565</v>
      </c>
      <c r="AK56">
        <f>NETWORKDAYS(AJ56,$AJ$1,FERIADO!$A$2:$A$408)</f>
        <v>568</v>
      </c>
      <c r="AL56">
        <v>12.395</v>
      </c>
      <c r="AM56" s="6">
        <f t="shared" si="4"/>
        <v>76845.402879926012</v>
      </c>
      <c r="AN56" s="2">
        <f t="shared" si="5"/>
        <v>-6.2781724832877163E-4</v>
      </c>
      <c r="AP56" s="11">
        <f t="shared" si="6"/>
        <v>-1.4751071601490126E-3</v>
      </c>
      <c r="AQ56" s="11">
        <f t="shared" si="7"/>
        <v>-1.8834517449863147E-4</v>
      </c>
      <c r="AR56" s="11">
        <f t="shared" si="8"/>
        <v>-1.663452334647644E-3</v>
      </c>
    </row>
    <row r="57" spans="2:44" x14ac:dyDescent="0.35">
      <c r="B57" s="1">
        <v>45562</v>
      </c>
      <c r="C57">
        <v>5769.74</v>
      </c>
      <c r="D57" s="1">
        <v>45562</v>
      </c>
      <c r="E57">
        <v>5.4424999999999999</v>
      </c>
      <c r="F57" s="1">
        <v>45562</v>
      </c>
      <c r="G57">
        <v>114.735</v>
      </c>
      <c r="H57" s="4">
        <f t="shared" si="0"/>
        <v>624445.23749999993</v>
      </c>
      <c r="I57" s="5">
        <v>45562</v>
      </c>
      <c r="J57" s="4">
        <v>5489.91</v>
      </c>
      <c r="K57" s="4">
        <f t="shared" si="1"/>
        <v>54899.1</v>
      </c>
      <c r="L57" s="1">
        <v>45562</v>
      </c>
      <c r="M57">
        <v>6.71</v>
      </c>
      <c r="N57" s="1">
        <v>45562</v>
      </c>
      <c r="O57">
        <v>6.59</v>
      </c>
      <c r="P57" s="1">
        <v>45562</v>
      </c>
      <c r="Q57">
        <v>6.62</v>
      </c>
      <c r="R57" s="1">
        <v>45562</v>
      </c>
      <c r="S57">
        <v>6.52</v>
      </c>
      <c r="T57" s="1">
        <v>45562</v>
      </c>
      <c r="U57">
        <v>6.46</v>
      </c>
      <c r="V57" s="1">
        <v>45562</v>
      </c>
      <c r="W57">
        <v>6.41</v>
      </c>
      <c r="X57" s="1">
        <v>45562</v>
      </c>
      <c r="Y57">
        <f>NETWORKDAYS(X57,$Z$1,FERIADO!$A$2:$A$408)</f>
        <v>1582</v>
      </c>
      <c r="Z57">
        <v>12.35</v>
      </c>
      <c r="AA57" s="6">
        <f t="shared" si="2"/>
        <v>48140.817682790075</v>
      </c>
      <c r="AB57" s="2">
        <f t="shared" si="3"/>
        <v>-4.2147994556560922E-5</v>
      </c>
      <c r="AJ57" s="1">
        <v>45562</v>
      </c>
      <c r="AK57">
        <f>NETWORKDAYS(AJ57,$AJ$1,FERIADO!$A$2:$A$408)</f>
        <v>569</v>
      </c>
      <c r="AL57">
        <v>12.3</v>
      </c>
      <c r="AM57" s="6">
        <f t="shared" si="4"/>
        <v>76956.57113017849</v>
      </c>
      <c r="AN57" s="2">
        <f t="shared" si="5"/>
        <v>-2.8130505516400127E-4</v>
      </c>
      <c r="AP57" s="11">
        <f t="shared" si="6"/>
        <v>-2.1073997278280461E-5</v>
      </c>
      <c r="AQ57" s="11">
        <f t="shared" si="7"/>
        <v>-8.4391516549200385E-5</v>
      </c>
      <c r="AR57" s="11">
        <f t="shared" si="8"/>
        <v>-1.0546551382748084E-4</v>
      </c>
    </row>
    <row r="58" spans="2:44" x14ac:dyDescent="0.35">
      <c r="B58" s="1">
        <v>45561</v>
      </c>
      <c r="C58">
        <v>5794.55</v>
      </c>
      <c r="D58" s="1">
        <v>45561</v>
      </c>
      <c r="E58">
        <v>5.4405999999999999</v>
      </c>
      <c r="F58" s="1">
        <v>45561</v>
      </c>
      <c r="G58">
        <v>114.303</v>
      </c>
      <c r="H58" s="4">
        <f t="shared" si="0"/>
        <v>621876.90179999988</v>
      </c>
      <c r="I58" s="5">
        <v>45561</v>
      </c>
      <c r="J58" s="4">
        <v>5500.03</v>
      </c>
      <c r="K58" s="4">
        <f t="shared" si="1"/>
        <v>55000.299999999996</v>
      </c>
      <c r="L58" s="1">
        <v>45561</v>
      </c>
      <c r="M58">
        <v>6.7</v>
      </c>
      <c r="N58" s="1">
        <v>45561</v>
      </c>
      <c r="O58">
        <v>6.57</v>
      </c>
      <c r="P58" s="1">
        <v>45561</v>
      </c>
      <c r="Q58">
        <v>6.59</v>
      </c>
      <c r="R58" s="1">
        <v>45561</v>
      </c>
      <c r="S58">
        <v>6.49</v>
      </c>
      <c r="T58" s="1">
        <v>45561</v>
      </c>
      <c r="U58">
        <v>6.46</v>
      </c>
      <c r="V58" s="1">
        <v>45561</v>
      </c>
      <c r="W58">
        <v>6.38</v>
      </c>
      <c r="X58" s="1">
        <v>45561</v>
      </c>
      <c r="Y58">
        <f>NETWORKDAYS(X58,$Z$1,FERIADO!$A$2:$A$408)</f>
        <v>1583</v>
      </c>
      <c r="Z58">
        <v>12.34</v>
      </c>
      <c r="AA58" s="6">
        <f t="shared" si="2"/>
        <v>48145.489944280445</v>
      </c>
      <c r="AB58" s="2">
        <f t="shared" si="3"/>
        <v>-1.2578502205212675E-3</v>
      </c>
      <c r="AJ58" s="1">
        <v>45561</v>
      </c>
      <c r="AK58">
        <f>NETWORKDAYS(AJ58,$AJ$1,FERIADO!$A$2:$A$408)</f>
        <v>570</v>
      </c>
      <c r="AL58">
        <v>12.244999999999999</v>
      </c>
      <c r="AM58" s="6">
        <f t="shared" si="4"/>
        <v>77006.4342668483</v>
      </c>
      <c r="AN58" s="2">
        <f t="shared" si="5"/>
        <v>-7.657715858867374E-4</v>
      </c>
      <c r="AP58" s="11">
        <f t="shared" si="6"/>
        <v>-6.2892511026063375E-4</v>
      </c>
      <c r="AQ58" s="11">
        <f t="shared" si="7"/>
        <v>-2.297314757660212E-4</v>
      </c>
      <c r="AR58" s="11">
        <f t="shared" si="8"/>
        <v>-8.586565860266549E-4</v>
      </c>
    </row>
    <row r="59" spans="2:44" x14ac:dyDescent="0.35">
      <c r="B59" s="1">
        <v>45560</v>
      </c>
      <c r="C59">
        <v>5774.89</v>
      </c>
      <c r="D59" s="1">
        <v>45560</v>
      </c>
      <c r="E59">
        <v>5.4729999999999999</v>
      </c>
      <c r="F59" s="1">
        <v>45560</v>
      </c>
      <c r="G59">
        <v>114.52800000000001</v>
      </c>
      <c r="H59" s="4">
        <f t="shared" si="0"/>
        <v>626811.74399999995</v>
      </c>
      <c r="I59" s="5">
        <v>45560</v>
      </c>
      <c r="J59" s="4">
        <v>5537.45</v>
      </c>
      <c r="K59" s="4">
        <f t="shared" si="1"/>
        <v>55374.5</v>
      </c>
      <c r="L59" s="1">
        <v>45560</v>
      </c>
      <c r="M59">
        <v>6.63</v>
      </c>
      <c r="N59" s="1">
        <v>45560</v>
      </c>
      <c r="O59">
        <v>6.52</v>
      </c>
      <c r="P59" s="1">
        <v>45560</v>
      </c>
      <c r="Q59">
        <v>6.54</v>
      </c>
      <c r="R59" s="1">
        <v>45560</v>
      </c>
      <c r="S59">
        <v>6.45</v>
      </c>
      <c r="T59" s="1">
        <v>45560</v>
      </c>
      <c r="U59">
        <v>6.46</v>
      </c>
      <c r="V59" s="1">
        <v>45560</v>
      </c>
      <c r="W59">
        <v>6.36</v>
      </c>
      <c r="X59" s="1">
        <v>45560</v>
      </c>
      <c r="Y59">
        <f>NETWORKDAYS(X59,$Z$1,FERIADO!$A$2:$A$408)</f>
        <v>1584</v>
      </c>
      <c r="Z59">
        <v>12.28</v>
      </c>
      <c r="AA59" s="6">
        <f t="shared" si="2"/>
        <v>48285.136203475413</v>
      </c>
      <c r="AB59" s="2">
        <f t="shared" si="3"/>
        <v>-4.3680487530263151E-5</v>
      </c>
      <c r="AJ59" s="1">
        <v>45560</v>
      </c>
      <c r="AK59">
        <f>NETWORKDAYS(AJ59,$AJ$1,FERIADO!$A$2:$A$408)</f>
        <v>571</v>
      </c>
      <c r="AL59">
        <v>12.135</v>
      </c>
      <c r="AM59" s="6">
        <f t="shared" si="4"/>
        <v>77142.33596786033</v>
      </c>
      <c r="AN59" s="2">
        <f t="shared" si="5"/>
        <v>4.1713633687702017E-4</v>
      </c>
      <c r="AP59" s="11">
        <f t="shared" si="6"/>
        <v>-2.1840243765131576E-5</v>
      </c>
      <c r="AQ59" s="11">
        <f t="shared" si="7"/>
        <v>1.2514090106310606E-4</v>
      </c>
      <c r="AR59" s="11">
        <f t="shared" si="8"/>
        <v>1.0330065729797448E-4</v>
      </c>
    </row>
    <row r="60" spans="2:44" x14ac:dyDescent="0.35">
      <c r="B60" s="1">
        <v>45559</v>
      </c>
      <c r="C60">
        <v>5783.36</v>
      </c>
      <c r="D60" s="1">
        <v>45559</v>
      </c>
      <c r="E60">
        <v>5.4695999999999998</v>
      </c>
      <c r="F60" s="1">
        <v>45559</v>
      </c>
      <c r="G60">
        <v>114.91500000000001</v>
      </c>
      <c r="H60" s="4">
        <f t="shared" si="0"/>
        <v>628539.08400000003</v>
      </c>
      <c r="I60" s="5">
        <v>45559</v>
      </c>
      <c r="J60" s="4">
        <v>5515.2</v>
      </c>
      <c r="K60" s="4">
        <f t="shared" si="1"/>
        <v>55152</v>
      </c>
      <c r="L60" s="1">
        <v>45559</v>
      </c>
      <c r="M60">
        <v>6.65</v>
      </c>
      <c r="N60" s="1">
        <v>45559</v>
      </c>
      <c r="O60">
        <v>6.55</v>
      </c>
      <c r="P60" s="1">
        <v>45559</v>
      </c>
      <c r="Q60">
        <v>6.59</v>
      </c>
      <c r="R60" s="1">
        <v>45559</v>
      </c>
      <c r="S60">
        <v>6.48</v>
      </c>
      <c r="T60" s="1">
        <v>45559</v>
      </c>
      <c r="U60">
        <v>6.48</v>
      </c>
      <c r="V60" s="1">
        <v>45559</v>
      </c>
      <c r="W60">
        <v>6.4</v>
      </c>
      <c r="X60" s="1">
        <v>45559</v>
      </c>
      <c r="Y60">
        <f>NETWORKDAYS(X60,$Z$1,FERIADO!$A$2:$A$408)</f>
        <v>1585</v>
      </c>
      <c r="Z60">
        <v>12.27</v>
      </c>
      <c r="AA60" s="6">
        <f t="shared" si="2"/>
        <v>48289.992872041948</v>
      </c>
      <c r="AB60" s="2">
        <f t="shared" si="3"/>
        <v>5.5502841892435045E-3</v>
      </c>
      <c r="AJ60" s="1">
        <v>45559</v>
      </c>
      <c r="AK60">
        <f>NETWORKDAYS(AJ60,$AJ$1,FERIADO!$A$2:$A$408)</f>
        <v>572</v>
      </c>
      <c r="AL60">
        <v>12.16</v>
      </c>
      <c r="AM60" s="6">
        <f t="shared" si="4"/>
        <v>77068.276950401705</v>
      </c>
      <c r="AN60" s="2">
        <f t="shared" si="5"/>
        <v>1.8252443608518104E-3</v>
      </c>
      <c r="AP60" s="11">
        <f t="shared" si="6"/>
        <v>2.7751420946217522E-3</v>
      </c>
      <c r="AQ60" s="11">
        <f t="shared" si="7"/>
        <v>5.4757330825554314E-4</v>
      </c>
      <c r="AR60" s="11">
        <f t="shared" si="8"/>
        <v>3.3227154028772953E-3</v>
      </c>
    </row>
    <row r="61" spans="2:44" x14ac:dyDescent="0.35">
      <c r="B61" s="1">
        <v>45558</v>
      </c>
      <c r="C61">
        <v>5761.76</v>
      </c>
      <c r="D61" s="1">
        <v>45558</v>
      </c>
      <c r="E61">
        <v>5.5439999999999996</v>
      </c>
      <c r="F61" s="1">
        <v>45558</v>
      </c>
      <c r="G61">
        <v>114.652</v>
      </c>
      <c r="H61" s="4">
        <f t="shared" si="0"/>
        <v>635630.68799999997</v>
      </c>
      <c r="I61" s="5">
        <v>45558</v>
      </c>
      <c r="J61" s="4">
        <v>5604.2</v>
      </c>
      <c r="K61" s="4">
        <f t="shared" si="1"/>
        <v>56042</v>
      </c>
      <c r="L61" s="1">
        <v>45558</v>
      </c>
      <c r="M61">
        <v>6.71</v>
      </c>
      <c r="N61" s="1">
        <v>45558</v>
      </c>
      <c r="O61">
        <v>6.64</v>
      </c>
      <c r="P61" s="1">
        <v>45558</v>
      </c>
      <c r="Q61">
        <v>6.71</v>
      </c>
      <c r="R61" s="1">
        <v>45558</v>
      </c>
      <c r="S61">
        <v>6.58</v>
      </c>
      <c r="T61" s="1">
        <v>45558</v>
      </c>
      <c r="U61">
        <v>6.57</v>
      </c>
      <c r="V61" s="1">
        <v>45558</v>
      </c>
      <c r="W61">
        <v>6.46</v>
      </c>
      <c r="X61" s="1">
        <v>45558</v>
      </c>
      <c r="Y61">
        <f>NETWORKDAYS(X61,$Z$1,FERIADO!$A$2:$A$408)</f>
        <v>1586</v>
      </c>
      <c r="Z61">
        <v>12.49</v>
      </c>
      <c r="AA61" s="6">
        <f t="shared" si="2"/>
        <v>47676.773502729069</v>
      </c>
      <c r="AB61" s="2">
        <f t="shared" si="3"/>
        <v>-3.6900899230067246E-3</v>
      </c>
      <c r="AJ61" s="1">
        <v>45558</v>
      </c>
      <c r="AK61">
        <f>NETWORKDAYS(AJ61,$AJ$1,FERIADO!$A$2:$A$408)</f>
        <v>573</v>
      </c>
      <c r="AL61">
        <v>12.345000000000001</v>
      </c>
      <c r="AM61" s="6">
        <f t="shared" si="4"/>
        <v>76745.055592196761</v>
      </c>
      <c r="AN61" s="2">
        <f t="shared" si="5"/>
        <v>-9.8881403011820217E-4</v>
      </c>
      <c r="AP61" s="11">
        <f t="shared" si="6"/>
        <v>-1.8450449615033623E-3</v>
      </c>
      <c r="AQ61" s="11">
        <f t="shared" si="7"/>
        <v>-2.9664420903546064E-4</v>
      </c>
      <c r="AR61" s="11">
        <f t="shared" si="8"/>
        <v>-2.1416891705388231E-3</v>
      </c>
    </row>
    <row r="62" spans="2:44" x14ac:dyDescent="0.35">
      <c r="B62" s="1">
        <v>45555</v>
      </c>
      <c r="C62">
        <v>5750.1</v>
      </c>
      <c r="D62" s="1">
        <v>45555</v>
      </c>
      <c r="E62">
        <v>5.4768999999999997</v>
      </c>
      <c r="F62" s="1">
        <v>45555</v>
      </c>
      <c r="G62">
        <v>114.754</v>
      </c>
      <c r="H62" s="4">
        <f t="shared" si="0"/>
        <v>628496.18259999994</v>
      </c>
      <c r="I62" s="5">
        <v>45555</v>
      </c>
      <c r="J62" s="4">
        <v>5581.95</v>
      </c>
      <c r="K62" s="4">
        <f t="shared" si="1"/>
        <v>55819.5</v>
      </c>
      <c r="L62" s="1">
        <v>45555</v>
      </c>
      <c r="M62">
        <v>6.73</v>
      </c>
      <c r="N62" s="1">
        <v>45555</v>
      </c>
      <c r="O62">
        <v>6.63</v>
      </c>
      <c r="P62" s="1">
        <v>45555</v>
      </c>
      <c r="Q62">
        <v>6.74</v>
      </c>
      <c r="R62" s="1">
        <v>45555</v>
      </c>
      <c r="S62">
        <v>6.6</v>
      </c>
      <c r="T62" s="1">
        <v>45555</v>
      </c>
      <c r="U62">
        <v>6.6</v>
      </c>
      <c r="V62" s="1">
        <v>45555</v>
      </c>
      <c r="W62">
        <v>6.48</v>
      </c>
      <c r="X62" s="1">
        <v>45555</v>
      </c>
      <c r="Y62">
        <f>NETWORKDAYS(X62,$Z$1,FERIADO!$A$2:$A$408)</f>
        <v>1587</v>
      </c>
      <c r="Z62">
        <v>12.33</v>
      </c>
      <c r="AA62" s="6">
        <f t="shared" si="2"/>
        <v>48083.59682930346</v>
      </c>
      <c r="AB62" s="2">
        <f t="shared" si="3"/>
        <v>-5.6530996635379936E-3</v>
      </c>
      <c r="AJ62" s="1">
        <v>45555</v>
      </c>
      <c r="AK62">
        <f>NETWORKDAYS(AJ62,$AJ$1,FERIADO!$A$2:$A$408)</f>
        <v>574</v>
      </c>
      <c r="AL62">
        <v>12.21</v>
      </c>
      <c r="AM62" s="6">
        <f t="shared" si="4"/>
        <v>76919.989990055736</v>
      </c>
      <c r="AN62" s="2">
        <f t="shared" si="5"/>
        <v>-1.569279329094941E-3</v>
      </c>
      <c r="AP62" s="11">
        <f t="shared" si="6"/>
        <v>-2.8265498317689968E-3</v>
      </c>
      <c r="AQ62" s="11">
        <f t="shared" si="7"/>
        <v>-4.7078379872848229E-4</v>
      </c>
      <c r="AR62" s="11">
        <f t="shared" si="8"/>
        <v>-3.2973336304974793E-3</v>
      </c>
    </row>
    <row r="63" spans="2:44" x14ac:dyDescent="0.35">
      <c r="B63" s="1">
        <v>45554</v>
      </c>
      <c r="C63">
        <v>5767.45</v>
      </c>
      <c r="D63" s="1">
        <v>45554</v>
      </c>
      <c r="E63">
        <v>5.4183000000000003</v>
      </c>
      <c r="F63" s="1">
        <v>45554</v>
      </c>
      <c r="G63">
        <v>114.855</v>
      </c>
      <c r="H63" s="4">
        <f t="shared" si="0"/>
        <v>622318.8465000001</v>
      </c>
      <c r="I63" s="5">
        <v>45554</v>
      </c>
      <c r="J63" s="4">
        <v>5489.91</v>
      </c>
      <c r="K63" s="4">
        <f t="shared" si="1"/>
        <v>54899.1</v>
      </c>
      <c r="L63" s="1">
        <v>45554</v>
      </c>
      <c r="M63">
        <v>6.6</v>
      </c>
      <c r="N63" s="1">
        <v>45554</v>
      </c>
      <c r="O63">
        <v>6.48</v>
      </c>
      <c r="P63" s="1">
        <v>45554</v>
      </c>
      <c r="Q63">
        <v>6.58</v>
      </c>
      <c r="R63" s="1">
        <v>45554</v>
      </c>
      <c r="S63">
        <v>6.43</v>
      </c>
      <c r="T63" s="1">
        <v>45554</v>
      </c>
      <c r="U63">
        <v>6.46</v>
      </c>
      <c r="V63" s="1">
        <v>45554</v>
      </c>
      <c r="W63">
        <v>6.37</v>
      </c>
      <c r="X63" s="1">
        <v>45554</v>
      </c>
      <c r="Y63">
        <f>NETWORKDAYS(X63,$Z$1,FERIADO!$A$2:$A$408)</f>
        <v>1588</v>
      </c>
      <c r="Z63">
        <v>12.09</v>
      </c>
      <c r="AA63" s="6">
        <f t="shared" si="2"/>
        <v>48713.579921343189</v>
      </c>
      <c r="AB63" s="2">
        <f t="shared" si="3"/>
        <v>-2.0029770259835811E-3</v>
      </c>
      <c r="AJ63" s="1">
        <v>45554</v>
      </c>
      <c r="AK63">
        <f>NETWORKDAYS(AJ63,$AJ$1,FERIADO!$A$2:$A$408)</f>
        <v>575</v>
      </c>
      <c r="AL63">
        <v>12.01</v>
      </c>
      <c r="AM63" s="6">
        <f t="shared" si="4"/>
        <v>77198.435383790667</v>
      </c>
      <c r="AN63" s="2">
        <f t="shared" si="5"/>
        <v>-1.6673792202287427E-3</v>
      </c>
      <c r="AP63" s="11">
        <f t="shared" si="6"/>
        <v>-1.0014885129917906E-3</v>
      </c>
      <c r="AQ63" s="11">
        <f t="shared" si="7"/>
        <v>-5.0021376606862282E-4</v>
      </c>
      <c r="AR63" s="11">
        <f t="shared" si="8"/>
        <v>-1.5017022790604134E-3</v>
      </c>
    </row>
    <row r="64" spans="2:44" x14ac:dyDescent="0.35">
      <c r="B64" s="1">
        <v>45553</v>
      </c>
      <c r="C64">
        <v>5691.1</v>
      </c>
      <c r="D64" s="1">
        <v>45553</v>
      </c>
      <c r="E64">
        <v>5.4760999999999997</v>
      </c>
      <c r="F64" s="1">
        <v>45553</v>
      </c>
      <c r="G64">
        <v>114.96</v>
      </c>
      <c r="H64" s="4">
        <f t="shared" si="0"/>
        <v>629532.45599999989</v>
      </c>
      <c r="I64" s="5">
        <v>45553</v>
      </c>
      <c r="J64" s="4">
        <v>5529.86</v>
      </c>
      <c r="K64" s="4">
        <f t="shared" si="1"/>
        <v>55298.6</v>
      </c>
      <c r="L64" s="1">
        <v>45553</v>
      </c>
      <c r="M64">
        <v>6.45</v>
      </c>
      <c r="N64" s="1">
        <v>45553</v>
      </c>
      <c r="O64">
        <v>6.31</v>
      </c>
      <c r="P64" s="1">
        <v>45553</v>
      </c>
      <c r="Q64">
        <v>6.38</v>
      </c>
      <c r="R64" s="1">
        <v>45553</v>
      </c>
      <c r="S64">
        <v>6.31</v>
      </c>
      <c r="T64" s="1">
        <v>45553</v>
      </c>
      <c r="U64">
        <v>6.31</v>
      </c>
      <c r="V64" s="1">
        <v>45553</v>
      </c>
      <c r="W64">
        <v>6.27</v>
      </c>
      <c r="X64" s="1">
        <v>45553</v>
      </c>
      <c r="Y64">
        <f>NETWORKDAYS(X64,$Z$1,FERIADO!$A$2:$A$408)</f>
        <v>1589</v>
      </c>
      <c r="Z64">
        <v>12</v>
      </c>
      <c r="AA64" s="6">
        <f t="shared" si="2"/>
        <v>48938.767057004086</v>
      </c>
      <c r="AB64" s="2">
        <f t="shared" si="3"/>
        <v>-4.9361253298418628E-5</v>
      </c>
      <c r="AJ64" s="1">
        <v>45553</v>
      </c>
      <c r="AK64">
        <f>NETWORKDAYS(AJ64,$AJ$1,FERIADO!$A$2:$A$408)</f>
        <v>576</v>
      </c>
      <c r="AL64">
        <v>11.8</v>
      </c>
      <c r="AM64" s="6">
        <f t="shared" si="4"/>
        <v>77495.391673418126</v>
      </c>
      <c r="AN64" s="2">
        <f t="shared" si="5"/>
        <v>2.8116963165750734E-4</v>
      </c>
      <c r="AP64" s="11">
        <f t="shared" si="6"/>
        <v>-2.4680626649209314E-5</v>
      </c>
      <c r="AQ64" s="11">
        <f t="shared" si="7"/>
        <v>8.4350889497252198E-5</v>
      </c>
      <c r="AR64" s="11">
        <f t="shared" si="8"/>
        <v>5.9670262848042881E-5</v>
      </c>
    </row>
    <row r="65" spans="2:44" x14ac:dyDescent="0.35">
      <c r="B65" s="1">
        <v>45552</v>
      </c>
      <c r="C65">
        <v>5697.41</v>
      </c>
      <c r="D65" s="1">
        <v>45552</v>
      </c>
      <c r="E65">
        <v>5.5004</v>
      </c>
      <c r="F65" s="1">
        <v>45552</v>
      </c>
      <c r="G65">
        <v>115.383</v>
      </c>
      <c r="H65" s="4">
        <f t="shared" si="0"/>
        <v>634652.65319999994</v>
      </c>
      <c r="I65" s="5">
        <v>45552</v>
      </c>
      <c r="J65" s="4">
        <v>5550.6</v>
      </c>
      <c r="K65" s="4">
        <f t="shared" si="1"/>
        <v>55506</v>
      </c>
      <c r="L65" s="1">
        <v>45552</v>
      </c>
      <c r="M65">
        <v>6.44</v>
      </c>
      <c r="N65" s="1">
        <v>45552</v>
      </c>
      <c r="O65">
        <v>6.33</v>
      </c>
      <c r="P65" s="1">
        <v>45552</v>
      </c>
      <c r="Q65">
        <v>6.38</v>
      </c>
      <c r="R65" s="1">
        <v>45552</v>
      </c>
      <c r="S65">
        <v>6.32</v>
      </c>
      <c r="T65" s="1">
        <v>45552</v>
      </c>
      <c r="U65">
        <v>6.32</v>
      </c>
      <c r="V65" s="1">
        <v>45552</v>
      </c>
      <c r="W65">
        <v>6.29</v>
      </c>
      <c r="X65" s="1">
        <v>45552</v>
      </c>
      <c r="Y65">
        <f>NETWORKDAYS(X65,$Z$1,FERIADO!$A$2:$A$408)</f>
        <v>1590</v>
      </c>
      <c r="Z65">
        <v>11.99</v>
      </c>
      <c r="AA65" s="6">
        <f t="shared" si="2"/>
        <v>48944.329679288923</v>
      </c>
      <c r="AB65" s="2">
        <f t="shared" si="3"/>
        <v>-2.9455935425825821E-4</v>
      </c>
      <c r="AJ65" s="1">
        <v>45552</v>
      </c>
      <c r="AK65">
        <f>NETWORKDAYS(AJ65,$AJ$1,FERIADO!$A$2:$A$408)</f>
        <v>577</v>
      </c>
      <c r="AL65">
        <v>11.81</v>
      </c>
      <c r="AM65" s="6">
        <f t="shared" si="4"/>
        <v>77445.23607678157</v>
      </c>
      <c r="AN65" s="2">
        <f t="shared" si="5"/>
        <v>5.9320971575256229E-4</v>
      </c>
      <c r="AP65" s="11">
        <f t="shared" si="6"/>
        <v>-1.472796771291291E-4</v>
      </c>
      <c r="AQ65" s="11">
        <f t="shared" si="7"/>
        <v>1.7796291472576867E-4</v>
      </c>
      <c r="AR65" s="11">
        <f t="shared" si="8"/>
        <v>3.0683237596639565E-5</v>
      </c>
    </row>
    <row r="66" spans="2:44" x14ac:dyDescent="0.35">
      <c r="B66" s="1">
        <v>45551</v>
      </c>
      <c r="C66">
        <v>5687.49</v>
      </c>
      <c r="D66" s="1">
        <v>45551</v>
      </c>
      <c r="E66">
        <v>5.5201000000000002</v>
      </c>
      <c r="F66" s="1">
        <v>45551</v>
      </c>
      <c r="G66">
        <v>115.50700000000001</v>
      </c>
      <c r="H66" s="4">
        <f t="shared" si="0"/>
        <v>637610.19070000004</v>
      </c>
      <c r="I66" s="5">
        <v>45551</v>
      </c>
      <c r="J66" s="4">
        <v>5575.88</v>
      </c>
      <c r="K66" s="4">
        <f t="shared" si="1"/>
        <v>55758.8</v>
      </c>
      <c r="L66" s="1">
        <v>45551</v>
      </c>
      <c r="M66">
        <v>6.49</v>
      </c>
      <c r="N66" s="1">
        <v>45551</v>
      </c>
      <c r="O66">
        <v>6.36</v>
      </c>
      <c r="P66" s="1">
        <v>45551</v>
      </c>
      <c r="Q66">
        <v>6.39</v>
      </c>
      <c r="R66" s="1">
        <v>45551</v>
      </c>
      <c r="S66">
        <v>6.34</v>
      </c>
      <c r="T66" s="1">
        <v>45551</v>
      </c>
      <c r="U66">
        <v>6.33</v>
      </c>
      <c r="V66" s="1">
        <v>45551</v>
      </c>
      <c r="W66">
        <v>6.3</v>
      </c>
      <c r="X66" s="1">
        <v>45551</v>
      </c>
      <c r="Y66">
        <f>NETWORKDAYS(X66,$Z$1,FERIADO!$A$2:$A$408)</f>
        <v>1591</v>
      </c>
      <c r="Z66">
        <v>11.97</v>
      </c>
      <c r="AA66" s="6">
        <f t="shared" si="2"/>
        <v>48977.537332172891</v>
      </c>
      <c r="AB66" s="2">
        <f t="shared" si="3"/>
        <v>-2.2565801782169575E-3</v>
      </c>
      <c r="AJ66" s="1">
        <v>45551</v>
      </c>
      <c r="AK66">
        <f>NETWORKDAYS(AJ66,$AJ$1,FERIADO!$A$2:$A$408)</f>
        <v>578</v>
      </c>
      <c r="AL66">
        <v>11.855</v>
      </c>
      <c r="AM66" s="6">
        <f t="shared" si="4"/>
        <v>77339.524614349284</v>
      </c>
      <c r="AN66" s="2">
        <f t="shared" si="5"/>
        <v>-4.3157898530103852E-4</v>
      </c>
      <c r="AP66" s="11">
        <f t="shared" si="6"/>
        <v>-1.1282900891084787E-3</v>
      </c>
      <c r="AQ66" s="11">
        <f t="shared" si="7"/>
        <v>-1.2947369559031155E-4</v>
      </c>
      <c r="AR66" s="11">
        <f t="shared" si="8"/>
        <v>-1.2577637846987902E-3</v>
      </c>
    </row>
    <row r="67" spans="2:44" x14ac:dyDescent="0.35">
      <c r="B67" s="1">
        <v>45548</v>
      </c>
      <c r="C67">
        <v>5679.19</v>
      </c>
      <c r="D67" s="1">
        <v>45548</v>
      </c>
      <c r="E67">
        <v>5.5711000000000004</v>
      </c>
      <c r="F67" s="1">
        <v>45548</v>
      </c>
      <c r="G67">
        <v>115.361</v>
      </c>
      <c r="H67" s="4">
        <f t="shared" si="0"/>
        <v>642687.66710000008</v>
      </c>
      <c r="I67" s="5">
        <v>45548</v>
      </c>
      <c r="J67" s="4">
        <v>5638.08</v>
      </c>
      <c r="K67" s="4">
        <f t="shared" si="1"/>
        <v>56380.800000000003</v>
      </c>
      <c r="L67" s="1">
        <v>45548</v>
      </c>
      <c r="M67">
        <v>6.48</v>
      </c>
      <c r="N67" s="1">
        <v>45548</v>
      </c>
      <c r="O67">
        <v>6.35</v>
      </c>
      <c r="P67" s="1">
        <v>45548</v>
      </c>
      <c r="Q67">
        <v>6.37</v>
      </c>
      <c r="R67" s="1">
        <v>45548</v>
      </c>
      <c r="S67">
        <v>6.3</v>
      </c>
      <c r="T67" s="1">
        <v>45548</v>
      </c>
      <c r="U67">
        <v>6.3</v>
      </c>
      <c r="V67" s="1">
        <v>45548</v>
      </c>
      <c r="W67">
        <v>6.25</v>
      </c>
      <c r="X67" s="1">
        <v>45548</v>
      </c>
      <c r="Y67">
        <f>NETWORKDAYS(X67,$Z$1,FERIADO!$A$2:$A$408)</f>
        <v>1592</v>
      </c>
      <c r="Z67">
        <v>11.87</v>
      </c>
      <c r="AA67" s="6">
        <f t="shared" si="2"/>
        <v>49232.685339351206</v>
      </c>
      <c r="AB67" s="2">
        <f t="shared" si="3"/>
        <v>2.6462760370150312E-3</v>
      </c>
      <c r="AJ67" s="1">
        <v>45548</v>
      </c>
      <c r="AK67">
        <f>NETWORKDAYS(AJ67,$AJ$1,FERIADO!$A$2:$A$408)</f>
        <v>579</v>
      </c>
      <c r="AL67">
        <v>11.785</v>
      </c>
      <c r="AM67" s="6">
        <f t="shared" si="4"/>
        <v>77416.418761406268</v>
      </c>
      <c r="AN67" s="2">
        <f t="shared" si="5"/>
        <v>8.6241333019272356E-4</v>
      </c>
      <c r="AP67" s="11">
        <f t="shared" si="6"/>
        <v>1.3231380185075156E-3</v>
      </c>
      <c r="AQ67" s="11">
        <f t="shared" si="7"/>
        <v>2.5872399905781703E-4</v>
      </c>
      <c r="AR67" s="11">
        <f t="shared" si="8"/>
        <v>1.5818620175653327E-3</v>
      </c>
    </row>
    <row r="68" spans="2:44" x14ac:dyDescent="0.35">
      <c r="B68" s="1">
        <v>45547</v>
      </c>
      <c r="C68">
        <v>5648.49</v>
      </c>
      <c r="D68" s="1">
        <v>45547</v>
      </c>
      <c r="E68">
        <v>5.6547999999999998</v>
      </c>
      <c r="F68" s="1">
        <v>45547</v>
      </c>
      <c r="G68">
        <v>115.11</v>
      </c>
      <c r="H68" s="4">
        <f t="shared" ref="H68:H131" si="9">G68*E68*1000</f>
        <v>650924.02800000005</v>
      </c>
      <c r="I68" s="5">
        <v>45547</v>
      </c>
      <c r="J68" s="4">
        <v>5699.78</v>
      </c>
      <c r="K68" s="4">
        <f t="shared" si="1"/>
        <v>56997.799999999996</v>
      </c>
      <c r="L68" s="1">
        <v>45547</v>
      </c>
      <c r="M68">
        <v>6.54</v>
      </c>
      <c r="N68" s="1">
        <v>45547</v>
      </c>
      <c r="O68">
        <v>6.39</v>
      </c>
      <c r="P68" s="1">
        <v>45547</v>
      </c>
      <c r="Q68">
        <v>6.4</v>
      </c>
      <c r="R68" s="1">
        <v>45547</v>
      </c>
      <c r="S68">
        <v>6.32</v>
      </c>
      <c r="T68" s="1">
        <v>45547</v>
      </c>
      <c r="U68">
        <v>6.31</v>
      </c>
      <c r="V68" s="1">
        <v>45547</v>
      </c>
      <c r="W68">
        <v>6.27</v>
      </c>
      <c r="X68" s="1">
        <v>45547</v>
      </c>
      <c r="Y68">
        <f>NETWORKDAYS(X68,$Z$1,FERIADO!$A$2:$A$408)</f>
        <v>1593</v>
      </c>
      <c r="Z68">
        <v>11.97</v>
      </c>
      <c r="AA68" s="6">
        <f t="shared" si="2"/>
        <v>48933.609113729028</v>
      </c>
      <c r="AB68" s="2">
        <f t="shared" si="3"/>
        <v>-3.7334179105915611E-3</v>
      </c>
      <c r="AJ68" s="1">
        <v>45547</v>
      </c>
      <c r="AK68">
        <f>NETWORKDAYS(AJ68,$AJ$1,FERIADO!$A$2:$A$408)</f>
        <v>580</v>
      </c>
      <c r="AL68">
        <v>11.86</v>
      </c>
      <c r="AM68" s="6">
        <f t="shared" si="4"/>
        <v>77262.839317279984</v>
      </c>
      <c r="AN68" s="2">
        <f t="shared" si="5"/>
        <v>-7.4717165303739069E-4</v>
      </c>
      <c r="AP68" s="11">
        <f t="shared" si="6"/>
        <v>-1.8667089552957805E-3</v>
      </c>
      <c r="AQ68" s="11">
        <f t="shared" si="7"/>
        <v>-2.2415149591121719E-4</v>
      </c>
      <c r="AR68" s="11">
        <f t="shared" si="8"/>
        <v>-2.0908604512069979E-3</v>
      </c>
    </row>
    <row r="69" spans="2:44" x14ac:dyDescent="0.35">
      <c r="B69" s="1">
        <v>45546</v>
      </c>
      <c r="C69">
        <v>5611.15</v>
      </c>
      <c r="D69" s="1">
        <v>45546</v>
      </c>
      <c r="E69">
        <v>5.6380999999999997</v>
      </c>
      <c r="F69" s="1">
        <v>45546</v>
      </c>
      <c r="G69">
        <v>115.27</v>
      </c>
      <c r="H69" s="4">
        <f t="shared" si="9"/>
        <v>649903.78700000001</v>
      </c>
      <c r="I69" s="5">
        <v>45546</v>
      </c>
      <c r="J69" s="4">
        <v>5742.76</v>
      </c>
      <c r="K69" s="4">
        <f t="shared" ref="K69:K132" si="10">J69*10</f>
        <v>57427.600000000006</v>
      </c>
      <c r="L69" s="1">
        <v>45546</v>
      </c>
      <c r="M69">
        <v>6.49</v>
      </c>
      <c r="N69" s="1">
        <v>45546</v>
      </c>
      <c r="O69">
        <v>6.34</v>
      </c>
      <c r="P69" s="1">
        <v>45546</v>
      </c>
      <c r="Q69">
        <v>6.34</v>
      </c>
      <c r="R69" s="1">
        <v>45546</v>
      </c>
      <c r="S69">
        <v>6.24</v>
      </c>
      <c r="T69" s="1">
        <v>45546</v>
      </c>
      <c r="U69">
        <v>6.23</v>
      </c>
      <c r="V69" s="1">
        <v>45546</v>
      </c>
      <c r="W69">
        <v>6.17</v>
      </c>
      <c r="X69" s="1">
        <v>45546</v>
      </c>
      <c r="Y69">
        <f>NETWORKDAYS(X69,$Z$1,FERIADO!$A$2:$A$408)</f>
        <v>1594</v>
      </c>
      <c r="Z69">
        <v>11.81</v>
      </c>
      <c r="AA69" s="6">
        <f t="shared" ref="AA69:AA132" si="11">$Z$2/(1+Z69/100)^(Y69/252)</f>
        <v>49356.080782321034</v>
      </c>
      <c r="AB69" s="2">
        <f t="shared" ref="AB69:AB132" si="12">LOG(AA69/AA70)</f>
        <v>-2.9935321088303004E-4</v>
      </c>
      <c r="AJ69" s="1">
        <v>45546</v>
      </c>
      <c r="AK69">
        <f>NETWORKDAYS(AJ69,$AJ$1,FERIADO!$A$2:$A$408)</f>
        <v>581</v>
      </c>
      <c r="AL69">
        <v>11.755000000000001</v>
      </c>
      <c r="AM69" s="6">
        <f t="shared" ref="AM69:AM132" si="13">$Z$2/(1+AL69/100)^(AK69/252)</f>
        <v>77395.878748295334</v>
      </c>
      <c r="AN69" s="2">
        <f t="shared" ref="AN69:AN132" si="14">LOG(AM69/AM70)</f>
        <v>-7.7753886796595709E-5</v>
      </c>
      <c r="AP69" s="11">
        <f t="shared" ref="AP69:AP132" si="15">AB69*$AF$4</f>
        <v>-1.4967660544151502E-4</v>
      </c>
      <c r="AQ69" s="11">
        <f t="shared" ref="AQ69:AQ132" si="16">AN69*$AF$7</f>
        <v>-2.3326166038978712E-5</v>
      </c>
      <c r="AR69" s="11">
        <f t="shared" ref="AR69:AR132" si="17">AQ69+AP69</f>
        <v>-1.7300277148049373E-4</v>
      </c>
    </row>
    <row r="70" spans="2:44" x14ac:dyDescent="0.35">
      <c r="B70" s="1">
        <v>45545</v>
      </c>
      <c r="C70">
        <v>5552.52</v>
      </c>
      <c r="D70" s="1">
        <v>45545</v>
      </c>
      <c r="E70">
        <v>5.6247999999999996</v>
      </c>
      <c r="F70" s="1">
        <v>45545</v>
      </c>
      <c r="G70">
        <v>115.4</v>
      </c>
      <c r="H70" s="4">
        <f t="shared" si="9"/>
        <v>649101.91999999993</v>
      </c>
      <c r="I70" s="5">
        <v>45545</v>
      </c>
      <c r="J70" s="4">
        <v>5741.25</v>
      </c>
      <c r="K70" s="4">
        <f t="shared" si="10"/>
        <v>57412.5</v>
      </c>
      <c r="L70" s="1">
        <v>45545</v>
      </c>
      <c r="M70">
        <v>6.53</v>
      </c>
      <c r="N70" s="1">
        <v>45545</v>
      </c>
      <c r="O70">
        <v>6.37</v>
      </c>
      <c r="P70" s="1">
        <v>45545</v>
      </c>
      <c r="Q70">
        <v>6.33</v>
      </c>
      <c r="R70" s="1">
        <v>45545</v>
      </c>
      <c r="S70">
        <v>6.22</v>
      </c>
      <c r="T70" s="1">
        <v>45545</v>
      </c>
      <c r="U70">
        <v>6.22</v>
      </c>
      <c r="V70" s="1">
        <v>45545</v>
      </c>
      <c r="W70">
        <v>6.17</v>
      </c>
      <c r="X70" s="1">
        <v>45545</v>
      </c>
      <c r="Y70">
        <f>NETWORKDAYS(X70,$Z$1,FERIADO!$A$2:$A$408)</f>
        <v>1595</v>
      </c>
      <c r="Z70">
        <v>11.79</v>
      </c>
      <c r="AA70" s="6">
        <f t="shared" si="11"/>
        <v>49390.112977324432</v>
      </c>
      <c r="AB70" s="2">
        <f t="shared" si="12"/>
        <v>4.3810874137205401E-4</v>
      </c>
      <c r="AJ70" s="1">
        <v>45545</v>
      </c>
      <c r="AK70">
        <f>NETWORKDAYS(AJ70,$AJ$1,FERIADO!$A$2:$A$408)</f>
        <v>582</v>
      </c>
      <c r="AL70">
        <v>11.725</v>
      </c>
      <c r="AM70" s="6">
        <f t="shared" si="13"/>
        <v>77409.736555333191</v>
      </c>
      <c r="AN70" s="2">
        <f t="shared" si="14"/>
        <v>1.0113939043719608E-4</v>
      </c>
      <c r="AP70" s="11">
        <f t="shared" si="15"/>
        <v>2.1905437068602701E-4</v>
      </c>
      <c r="AQ70" s="11">
        <f t="shared" si="16"/>
        <v>3.0341817131158821E-5</v>
      </c>
      <c r="AR70" s="11">
        <f t="shared" si="17"/>
        <v>2.4939618781718583E-4</v>
      </c>
    </row>
    <row r="71" spans="2:44" x14ac:dyDescent="0.35">
      <c r="B71" s="1">
        <v>45544</v>
      </c>
      <c r="C71">
        <v>5537.33</v>
      </c>
      <c r="D71" s="1">
        <v>45544</v>
      </c>
      <c r="E71">
        <v>5.6090999999999998</v>
      </c>
      <c r="F71" s="1">
        <v>45544</v>
      </c>
      <c r="G71">
        <v>115.03400000000001</v>
      </c>
      <c r="H71" s="4">
        <f t="shared" si="9"/>
        <v>645237.20939999993</v>
      </c>
      <c r="I71" s="5">
        <v>45544</v>
      </c>
      <c r="J71" s="4">
        <v>5662.86</v>
      </c>
      <c r="K71" s="4">
        <f t="shared" si="10"/>
        <v>56628.6</v>
      </c>
      <c r="L71" s="1">
        <v>45544</v>
      </c>
      <c r="M71">
        <v>6.56</v>
      </c>
      <c r="N71" s="1">
        <v>45544</v>
      </c>
      <c r="O71">
        <v>6.35</v>
      </c>
      <c r="P71" s="1">
        <v>45544</v>
      </c>
      <c r="Q71">
        <v>6.3</v>
      </c>
      <c r="R71" s="1">
        <v>45544</v>
      </c>
      <c r="S71">
        <v>6.2</v>
      </c>
      <c r="T71" s="1">
        <v>45544</v>
      </c>
      <c r="U71">
        <v>6.2</v>
      </c>
      <c r="V71" s="1">
        <v>45544</v>
      </c>
      <c r="W71">
        <v>6.15</v>
      </c>
      <c r="X71" s="1">
        <v>45544</v>
      </c>
      <c r="Y71">
        <f>NETWORKDAYS(X71,$Z$1,FERIADO!$A$2:$A$408)</f>
        <v>1596</v>
      </c>
      <c r="Z71">
        <v>11.8</v>
      </c>
      <c r="AA71" s="6">
        <f t="shared" si="11"/>
        <v>49340.314210215358</v>
      </c>
      <c r="AB71" s="2">
        <f t="shared" si="12"/>
        <v>1.922293791683344E-4</v>
      </c>
      <c r="AJ71" s="1">
        <v>45544</v>
      </c>
      <c r="AK71">
        <f>NETWORKDAYS(AJ71,$AJ$1,FERIADO!$A$2:$A$408)</f>
        <v>583</v>
      </c>
      <c r="AL71">
        <v>11.715</v>
      </c>
      <c r="AM71" s="6">
        <f t="shared" si="13"/>
        <v>77391.711315941327</v>
      </c>
      <c r="AN71" s="2">
        <f t="shared" si="14"/>
        <v>1.0718936290739018E-5</v>
      </c>
      <c r="AP71" s="11">
        <f t="shared" si="15"/>
        <v>9.6114689584167202E-5</v>
      </c>
      <c r="AQ71" s="11">
        <f t="shared" si="16"/>
        <v>3.2156808872217052E-6</v>
      </c>
      <c r="AR71" s="11">
        <f t="shared" si="17"/>
        <v>9.9330370471388904E-5</v>
      </c>
    </row>
    <row r="72" spans="2:44" x14ac:dyDescent="0.35">
      <c r="B72" s="1">
        <v>45541</v>
      </c>
      <c r="C72">
        <v>5451.36</v>
      </c>
      <c r="D72" s="1">
        <v>45541</v>
      </c>
      <c r="E72">
        <v>5.5696000000000003</v>
      </c>
      <c r="F72" s="1">
        <v>45541</v>
      </c>
      <c r="G72">
        <v>114.887</v>
      </c>
      <c r="H72" s="4">
        <f t="shared" si="9"/>
        <v>639874.63520000002</v>
      </c>
      <c r="I72" s="5">
        <v>45541</v>
      </c>
      <c r="J72" s="4">
        <v>5678.03</v>
      </c>
      <c r="K72" s="4">
        <f t="shared" si="10"/>
        <v>56780.299999999996</v>
      </c>
      <c r="L72" s="1">
        <v>45541</v>
      </c>
      <c r="M72">
        <v>6.55</v>
      </c>
      <c r="N72" s="1">
        <v>45541</v>
      </c>
      <c r="O72">
        <v>6.37</v>
      </c>
      <c r="P72" s="1">
        <v>45541</v>
      </c>
      <c r="Q72">
        <v>6.3</v>
      </c>
      <c r="R72" s="1">
        <v>45541</v>
      </c>
      <c r="S72">
        <v>6.19</v>
      </c>
      <c r="T72" s="1">
        <v>45541</v>
      </c>
      <c r="U72">
        <v>6.2</v>
      </c>
      <c r="V72" s="1">
        <v>45541</v>
      </c>
      <c r="W72">
        <v>6.15</v>
      </c>
      <c r="X72" s="1">
        <v>45541</v>
      </c>
      <c r="Y72">
        <f>NETWORKDAYS(X72,$Z$1,FERIADO!$A$2:$A$408)</f>
        <v>1597</v>
      </c>
      <c r="Z72">
        <v>11.8</v>
      </c>
      <c r="AA72" s="6">
        <f t="shared" si="11"/>
        <v>49318.479810741293</v>
      </c>
      <c r="AB72" s="2">
        <f t="shared" si="12"/>
        <v>-5.4112452055400538E-5</v>
      </c>
      <c r="AJ72" s="1">
        <v>45541</v>
      </c>
      <c r="AK72">
        <f>NETWORKDAYS(AJ72,$AJ$1,FERIADO!$A$2:$A$408)</f>
        <v>584</v>
      </c>
      <c r="AL72">
        <v>11.695</v>
      </c>
      <c r="AM72" s="6">
        <f t="shared" si="13"/>
        <v>77389.80121433879</v>
      </c>
      <c r="AN72" s="2">
        <f t="shared" si="14"/>
        <v>-2.156516842386673E-4</v>
      </c>
      <c r="AP72" s="11">
        <f t="shared" si="15"/>
        <v>-2.7056226027700269E-5</v>
      </c>
      <c r="AQ72" s="11">
        <f t="shared" si="16"/>
        <v>-6.4695505271600184E-5</v>
      </c>
      <c r="AR72" s="11">
        <f t="shared" si="17"/>
        <v>-9.175173129930045E-5</v>
      </c>
    </row>
    <row r="73" spans="2:44" x14ac:dyDescent="0.35">
      <c r="B73" s="1">
        <v>45540</v>
      </c>
      <c r="C73">
        <v>5566.26</v>
      </c>
      <c r="D73" s="1">
        <v>45540</v>
      </c>
      <c r="E73">
        <v>5.6043000000000003</v>
      </c>
      <c r="F73" s="1">
        <v>45540</v>
      </c>
      <c r="G73">
        <v>114.77200000000001</v>
      </c>
      <c r="H73" s="4">
        <f t="shared" si="9"/>
        <v>643216.71960000007</v>
      </c>
      <c r="I73" s="5">
        <v>45540</v>
      </c>
      <c r="J73" s="4">
        <v>5649.72</v>
      </c>
      <c r="K73" s="4">
        <f t="shared" si="10"/>
        <v>56497.200000000004</v>
      </c>
      <c r="L73" s="1">
        <v>45540</v>
      </c>
      <c r="M73">
        <v>6.52</v>
      </c>
      <c r="N73" s="1">
        <v>45540</v>
      </c>
      <c r="O73">
        <v>6.33</v>
      </c>
      <c r="P73" s="1">
        <v>45540</v>
      </c>
      <c r="Q73">
        <v>6.28</v>
      </c>
      <c r="R73" s="1">
        <v>45540</v>
      </c>
      <c r="S73">
        <v>6.18</v>
      </c>
      <c r="T73" s="1">
        <v>45540</v>
      </c>
      <c r="U73">
        <v>6.2</v>
      </c>
      <c r="V73" s="1">
        <v>45540</v>
      </c>
      <c r="W73">
        <v>6.15</v>
      </c>
      <c r="X73" s="1">
        <v>45540</v>
      </c>
      <c r="Y73">
        <f>NETWORKDAYS(X73,$Z$1,FERIADO!$A$2:$A$408)</f>
        <v>1598</v>
      </c>
      <c r="Z73">
        <v>11.79</v>
      </c>
      <c r="AA73" s="6">
        <f t="shared" si="11"/>
        <v>49324.625203448537</v>
      </c>
      <c r="AB73" s="2">
        <f t="shared" si="12"/>
        <v>4.3795113044736564E-3</v>
      </c>
      <c r="AJ73" s="1">
        <v>45540</v>
      </c>
      <c r="AK73">
        <f>NETWORKDAYS(AJ73,$AJ$1,FERIADO!$A$2:$A$408)</f>
        <v>585</v>
      </c>
      <c r="AL73">
        <v>11.65</v>
      </c>
      <c r="AM73" s="6">
        <f t="shared" si="13"/>
        <v>77428.239154332536</v>
      </c>
      <c r="AN73" s="2">
        <f t="shared" si="14"/>
        <v>1.4102925435618241E-3</v>
      </c>
      <c r="AP73" s="11">
        <f t="shared" si="15"/>
        <v>2.1897556522368282E-3</v>
      </c>
      <c r="AQ73" s="11">
        <f t="shared" si="16"/>
        <v>4.230877630685472E-4</v>
      </c>
      <c r="AR73" s="11">
        <f t="shared" si="17"/>
        <v>2.6128434153053753E-3</v>
      </c>
    </row>
    <row r="74" spans="2:44" x14ac:dyDescent="0.35">
      <c r="B74" s="1">
        <v>45539</v>
      </c>
      <c r="C74">
        <v>5579.56</v>
      </c>
      <c r="D74" s="1">
        <v>45539</v>
      </c>
      <c r="E74">
        <v>5.6353</v>
      </c>
      <c r="F74" s="1">
        <v>45539</v>
      </c>
      <c r="G74">
        <v>114.586</v>
      </c>
      <c r="H74" s="4">
        <f t="shared" si="9"/>
        <v>645726.48580000002</v>
      </c>
      <c r="I74" s="5">
        <v>45539</v>
      </c>
      <c r="J74" s="4">
        <v>5721.52</v>
      </c>
      <c r="K74" s="4">
        <f t="shared" si="10"/>
        <v>57215.200000000004</v>
      </c>
      <c r="L74" s="1">
        <v>45539</v>
      </c>
      <c r="M74">
        <v>6.55</v>
      </c>
      <c r="N74" s="1">
        <v>45539</v>
      </c>
      <c r="O74">
        <v>6.38</v>
      </c>
      <c r="P74" s="1">
        <v>45539</v>
      </c>
      <c r="Q74">
        <v>6.34</v>
      </c>
      <c r="R74" s="1">
        <v>45539</v>
      </c>
      <c r="S74">
        <v>6.22</v>
      </c>
      <c r="T74" s="1">
        <v>45539</v>
      </c>
      <c r="U74">
        <v>6.24</v>
      </c>
      <c r="V74" s="1">
        <v>45539</v>
      </c>
      <c r="W74">
        <v>6.22</v>
      </c>
      <c r="X74" s="1">
        <v>45539</v>
      </c>
      <c r="Y74">
        <f>NETWORKDAYS(X74,$Z$1,FERIADO!$A$2:$A$408)</f>
        <v>1599</v>
      </c>
      <c r="Z74">
        <v>11.96</v>
      </c>
      <c r="AA74" s="6">
        <f t="shared" si="11"/>
        <v>48829.72547123774</v>
      </c>
      <c r="AB74" s="2">
        <f t="shared" si="12"/>
        <v>4.1324673031435293E-3</v>
      </c>
      <c r="AJ74" s="1">
        <v>45539</v>
      </c>
      <c r="AK74">
        <f>NETWORKDAYS(AJ74,$AJ$1,FERIADO!$A$2:$A$408)</f>
        <v>586</v>
      </c>
      <c r="AL74">
        <v>11.785</v>
      </c>
      <c r="AM74" s="6">
        <f t="shared" si="13"/>
        <v>77177.21279599487</v>
      </c>
      <c r="AN74" s="2">
        <f t="shared" si="14"/>
        <v>1.7744724397279689E-3</v>
      </c>
      <c r="AP74" s="11">
        <f t="shared" si="15"/>
        <v>2.0662336515717646E-3</v>
      </c>
      <c r="AQ74" s="11">
        <f t="shared" si="16"/>
        <v>5.3234173191839067E-4</v>
      </c>
      <c r="AR74" s="11">
        <f t="shared" si="17"/>
        <v>2.5985753834901551E-3</v>
      </c>
    </row>
    <row r="75" spans="2:44" x14ac:dyDescent="0.35">
      <c r="B75" s="1">
        <v>45538</v>
      </c>
      <c r="C75">
        <v>5588</v>
      </c>
      <c r="D75" s="1">
        <v>45538</v>
      </c>
      <c r="E75">
        <v>5.6218000000000004</v>
      </c>
      <c r="F75" s="1">
        <v>45538</v>
      </c>
      <c r="G75">
        <v>114.047</v>
      </c>
      <c r="H75" s="4">
        <f t="shared" si="9"/>
        <v>641149.42460000003</v>
      </c>
      <c r="I75" s="5">
        <v>45538</v>
      </c>
      <c r="J75" s="4">
        <v>5728.1</v>
      </c>
      <c r="K75" s="4">
        <f t="shared" si="10"/>
        <v>57281</v>
      </c>
      <c r="L75" s="1">
        <v>45538</v>
      </c>
      <c r="M75">
        <v>6.64</v>
      </c>
      <c r="N75" s="1">
        <v>45538</v>
      </c>
      <c r="O75">
        <v>6.46</v>
      </c>
      <c r="P75" s="1">
        <v>45538</v>
      </c>
      <c r="Q75">
        <v>6.42</v>
      </c>
      <c r="R75" s="1">
        <v>45538</v>
      </c>
      <c r="S75">
        <v>6.27</v>
      </c>
      <c r="T75" s="1">
        <v>45538</v>
      </c>
      <c r="U75">
        <v>6.24</v>
      </c>
      <c r="V75" s="1">
        <v>45538</v>
      </c>
      <c r="W75">
        <v>6.25</v>
      </c>
      <c r="X75" s="1">
        <v>45538</v>
      </c>
      <c r="Y75">
        <f>NETWORKDAYS(X75,$Z$1,FERIADO!$A$2:$A$408)</f>
        <v>1600</v>
      </c>
      <c r="Z75">
        <v>12.12</v>
      </c>
      <c r="AA75" s="6">
        <f t="shared" si="11"/>
        <v>48367.296747838751</v>
      </c>
      <c r="AB75" s="2">
        <f t="shared" si="12"/>
        <v>6.8928901002344761E-4</v>
      </c>
      <c r="AJ75" s="1">
        <v>45538</v>
      </c>
      <c r="AK75">
        <f>NETWORKDAYS(AJ75,$AJ$1,FERIADO!$A$2:$A$408)</f>
        <v>587</v>
      </c>
      <c r="AL75">
        <v>11.96</v>
      </c>
      <c r="AM75" s="6">
        <f t="shared" si="13"/>
        <v>76862.51978099854</v>
      </c>
      <c r="AN75" s="2">
        <f t="shared" si="14"/>
        <v>3.7569852507995846E-4</v>
      </c>
      <c r="AP75" s="11">
        <f t="shared" si="15"/>
        <v>3.4464450501172381E-4</v>
      </c>
      <c r="AQ75" s="11">
        <f t="shared" si="16"/>
        <v>1.1270955752398753E-4</v>
      </c>
      <c r="AR75" s="11">
        <f t="shared" si="17"/>
        <v>4.5735406253571135E-4</v>
      </c>
    </row>
    <row r="76" spans="2:44" x14ac:dyDescent="0.35">
      <c r="B76" s="1">
        <v>45537</v>
      </c>
      <c r="C76">
        <v>5722.33</v>
      </c>
      <c r="D76" s="1">
        <v>45537</v>
      </c>
      <c r="E76">
        <v>5.6223999999999998</v>
      </c>
      <c r="F76" s="1">
        <v>45537</v>
      </c>
      <c r="G76">
        <v>113.40600000000001</v>
      </c>
      <c r="H76" s="4">
        <f t="shared" si="9"/>
        <v>637613.89440000011</v>
      </c>
      <c r="I76" s="5">
        <v>45537</v>
      </c>
      <c r="J76" s="4">
        <v>5696.24</v>
      </c>
      <c r="K76" s="4">
        <f t="shared" si="10"/>
        <v>56962.399999999994</v>
      </c>
      <c r="L76" s="1">
        <v>45537</v>
      </c>
      <c r="M76">
        <v>6.57</v>
      </c>
      <c r="N76" s="1">
        <v>45537</v>
      </c>
      <c r="O76">
        <v>6.45</v>
      </c>
      <c r="P76" s="1">
        <v>45537</v>
      </c>
      <c r="Q76">
        <v>6.42</v>
      </c>
      <c r="R76" s="1">
        <v>45537</v>
      </c>
      <c r="S76">
        <v>6.28</v>
      </c>
      <c r="T76" s="1">
        <v>45537</v>
      </c>
      <c r="U76">
        <v>6.27</v>
      </c>
      <c r="V76" s="1">
        <v>45537</v>
      </c>
      <c r="W76">
        <v>6.25</v>
      </c>
      <c r="X76" s="1">
        <v>45537</v>
      </c>
      <c r="Y76">
        <f>NETWORKDAYS(X76,$Z$1,FERIADO!$A$2:$A$408)</f>
        <v>1601</v>
      </c>
      <c r="Z76">
        <v>12.14</v>
      </c>
      <c r="AA76" s="6">
        <f t="shared" si="11"/>
        <v>48290.591644514599</v>
      </c>
      <c r="AB76" s="2">
        <f t="shared" si="12"/>
        <v>9.3595978664859868E-4</v>
      </c>
      <c r="AJ76" s="1">
        <v>45537</v>
      </c>
      <c r="AK76">
        <f>NETWORKDAYS(AJ76,$AJ$1,FERIADO!$A$2:$A$408)</f>
        <v>588</v>
      </c>
      <c r="AL76">
        <v>11.98</v>
      </c>
      <c r="AM76" s="6">
        <f t="shared" si="13"/>
        <v>76796.056471804652</v>
      </c>
      <c r="AN76" s="2">
        <f t="shared" si="14"/>
        <v>1.9500183793254709E-4</v>
      </c>
      <c r="AP76" s="11">
        <f t="shared" si="15"/>
        <v>4.6797989332429934E-4</v>
      </c>
      <c r="AQ76" s="11">
        <f t="shared" si="16"/>
        <v>5.8500551379764125E-5</v>
      </c>
      <c r="AR76" s="11">
        <f t="shared" si="17"/>
        <v>5.2648044470406346E-4</v>
      </c>
    </row>
    <row r="77" spans="2:44" x14ac:dyDescent="0.35">
      <c r="B77" s="1">
        <v>45534</v>
      </c>
      <c r="C77">
        <v>5708.94</v>
      </c>
      <c r="D77" s="1">
        <v>45534</v>
      </c>
      <c r="E77">
        <v>5.6555999999999997</v>
      </c>
      <c r="F77" s="1">
        <v>45534</v>
      </c>
      <c r="G77">
        <v>113.602</v>
      </c>
      <c r="H77" s="4">
        <f t="shared" si="9"/>
        <v>642487.47119999991</v>
      </c>
      <c r="I77" s="5">
        <v>45534</v>
      </c>
      <c r="J77" s="4">
        <v>5693.71</v>
      </c>
      <c r="K77" s="4">
        <f t="shared" si="10"/>
        <v>56937.1</v>
      </c>
      <c r="L77" s="1">
        <v>45534</v>
      </c>
      <c r="M77">
        <v>6.6</v>
      </c>
      <c r="N77" s="1">
        <v>45534</v>
      </c>
      <c r="O77">
        <v>6.46</v>
      </c>
      <c r="P77" s="1">
        <v>45534</v>
      </c>
      <c r="Q77">
        <v>6.41</v>
      </c>
      <c r="R77" s="1">
        <v>45534</v>
      </c>
      <c r="S77">
        <v>6.23</v>
      </c>
      <c r="T77" s="1">
        <v>45534</v>
      </c>
      <c r="U77">
        <v>6.23</v>
      </c>
      <c r="V77" s="1">
        <v>45534</v>
      </c>
      <c r="W77">
        <v>6.2</v>
      </c>
      <c r="X77" s="1">
        <v>45534</v>
      </c>
      <c r="Y77">
        <f>NETWORKDAYS(X77,$Z$1,FERIADO!$A$2:$A$408)</f>
        <v>1602</v>
      </c>
      <c r="Z77">
        <v>12.17</v>
      </c>
      <c r="AA77" s="6">
        <f t="shared" si="11"/>
        <v>48186.631348147246</v>
      </c>
      <c r="AB77" s="2">
        <f t="shared" si="12"/>
        <v>-7.2005690244629078E-3</v>
      </c>
      <c r="AJ77" s="1">
        <v>45534</v>
      </c>
      <c r="AK77">
        <f>NETWORKDAYS(AJ77,$AJ$1,FERIADO!$A$2:$A$408)</f>
        <v>589</v>
      </c>
      <c r="AL77">
        <v>11.98</v>
      </c>
      <c r="AM77" s="6">
        <f t="shared" si="13"/>
        <v>76761.582143321109</v>
      </c>
      <c r="AN77" s="2">
        <f t="shared" si="14"/>
        <v>-1.3952757632997297E-3</v>
      </c>
      <c r="AP77" s="11">
        <f t="shared" si="15"/>
        <v>-3.6002845122314539E-3</v>
      </c>
      <c r="AQ77" s="11">
        <f t="shared" si="16"/>
        <v>-4.1858272898991891E-4</v>
      </c>
      <c r="AR77" s="11">
        <f t="shared" si="17"/>
        <v>-4.0188672412213725E-3</v>
      </c>
    </row>
    <row r="78" spans="2:44" x14ac:dyDescent="0.35">
      <c r="B78" s="1">
        <v>45533</v>
      </c>
      <c r="C78">
        <v>5673.84</v>
      </c>
      <c r="D78" s="1">
        <v>45533</v>
      </c>
      <c r="E78">
        <v>5.6352000000000002</v>
      </c>
      <c r="F78" s="1">
        <v>45533</v>
      </c>
      <c r="G78">
        <v>113.917</v>
      </c>
      <c r="H78" s="4">
        <f t="shared" si="9"/>
        <v>641945.0784</v>
      </c>
      <c r="I78" s="5">
        <v>45533</v>
      </c>
      <c r="J78" s="4">
        <v>5710.91</v>
      </c>
      <c r="K78" s="4">
        <f t="shared" si="10"/>
        <v>57109.1</v>
      </c>
      <c r="L78" s="1">
        <v>45533</v>
      </c>
      <c r="M78">
        <v>6.69</v>
      </c>
      <c r="N78" s="1">
        <v>45533</v>
      </c>
      <c r="O78">
        <v>6.5</v>
      </c>
      <c r="P78" s="1">
        <v>45533</v>
      </c>
      <c r="Q78">
        <v>6.38</v>
      </c>
      <c r="R78" s="1">
        <v>45533</v>
      </c>
      <c r="S78">
        <v>6.16</v>
      </c>
      <c r="T78" s="1">
        <v>45533</v>
      </c>
      <c r="U78">
        <v>6.16</v>
      </c>
      <c r="V78" s="1">
        <v>45533</v>
      </c>
      <c r="W78">
        <v>6.12</v>
      </c>
      <c r="X78" s="1">
        <v>45533</v>
      </c>
      <c r="Y78">
        <f>NETWORKDAYS(X78,$Z$1,FERIADO!$A$2:$A$408)</f>
        <v>1603</v>
      </c>
      <c r="Z78">
        <v>11.87</v>
      </c>
      <c r="AA78" s="6">
        <f t="shared" si="11"/>
        <v>48992.221840442864</v>
      </c>
      <c r="AB78" s="2">
        <f t="shared" si="12"/>
        <v>-2.7734953580157212E-3</v>
      </c>
      <c r="AJ78" s="1">
        <v>45533</v>
      </c>
      <c r="AK78">
        <f>NETWORKDAYS(AJ78,$AJ$1,FERIADO!$A$2:$A$408)</f>
        <v>590</v>
      </c>
      <c r="AL78">
        <v>11.805</v>
      </c>
      <c r="AM78" s="6">
        <f t="shared" si="13"/>
        <v>77008.593818616777</v>
      </c>
      <c r="AN78" s="2">
        <f t="shared" si="14"/>
        <v>-1.266309453075914E-3</v>
      </c>
      <c r="AP78" s="11">
        <f t="shared" si="15"/>
        <v>-1.3867476790078606E-3</v>
      </c>
      <c r="AQ78" s="11">
        <f t="shared" si="16"/>
        <v>-3.798928359227742E-4</v>
      </c>
      <c r="AR78" s="11">
        <f t="shared" si="17"/>
        <v>-1.7666405149306349E-3</v>
      </c>
    </row>
    <row r="79" spans="2:44" x14ac:dyDescent="0.35">
      <c r="B79" s="1">
        <v>45532</v>
      </c>
      <c r="C79">
        <v>5647.14</v>
      </c>
      <c r="D79" s="1">
        <v>45532</v>
      </c>
      <c r="E79">
        <v>5.5308999999999999</v>
      </c>
      <c r="F79" s="1">
        <v>45532</v>
      </c>
      <c r="G79">
        <v>113.52</v>
      </c>
      <c r="H79" s="4">
        <f t="shared" si="9"/>
        <v>627867.76799999992</v>
      </c>
      <c r="I79" s="5">
        <v>45532</v>
      </c>
      <c r="J79" s="4">
        <v>5647.5</v>
      </c>
      <c r="K79" s="4">
        <f t="shared" si="10"/>
        <v>56475</v>
      </c>
      <c r="L79" s="1">
        <v>45532</v>
      </c>
      <c r="M79">
        <v>6.62</v>
      </c>
      <c r="N79" s="1">
        <v>45532</v>
      </c>
      <c r="O79">
        <v>6.42</v>
      </c>
      <c r="P79" s="1">
        <v>45532</v>
      </c>
      <c r="Q79">
        <v>6.32</v>
      </c>
      <c r="R79" s="1">
        <v>45532</v>
      </c>
      <c r="S79">
        <v>6.13</v>
      </c>
      <c r="T79" s="1">
        <v>45532</v>
      </c>
      <c r="U79">
        <v>6.12</v>
      </c>
      <c r="V79" s="1">
        <v>45532</v>
      </c>
      <c r="W79">
        <v>6.06</v>
      </c>
      <c r="X79" s="1">
        <v>45532</v>
      </c>
      <c r="Y79">
        <f>NETWORKDAYS(X79,$Z$1,FERIADO!$A$2:$A$408)</f>
        <v>1604</v>
      </c>
      <c r="Z79">
        <v>11.75</v>
      </c>
      <c r="AA79" s="6">
        <f t="shared" si="11"/>
        <v>49306.097583072835</v>
      </c>
      <c r="AB79" s="2">
        <f t="shared" si="12"/>
        <v>-2.5326086029439847E-3</v>
      </c>
      <c r="AJ79" s="1">
        <v>45532</v>
      </c>
      <c r="AK79">
        <f>NETWORKDAYS(AJ79,$AJ$1,FERIADO!$A$2:$A$408)</f>
        <v>591</v>
      </c>
      <c r="AL79">
        <v>11.645</v>
      </c>
      <c r="AM79" s="6">
        <f t="shared" si="13"/>
        <v>77233.462016492893</v>
      </c>
      <c r="AN79" s="2">
        <f t="shared" si="14"/>
        <v>-9.0734933817597616E-4</v>
      </c>
      <c r="AP79" s="11">
        <f t="shared" si="15"/>
        <v>-1.2663043014719923E-3</v>
      </c>
      <c r="AQ79" s="11">
        <f t="shared" si="16"/>
        <v>-2.7220480145279281E-4</v>
      </c>
      <c r="AR79" s="11">
        <f t="shared" si="17"/>
        <v>-1.5385091029247852E-3</v>
      </c>
    </row>
    <row r="80" spans="2:44" x14ac:dyDescent="0.35">
      <c r="B80" s="1">
        <v>45531</v>
      </c>
      <c r="C80">
        <v>5701.91</v>
      </c>
      <c r="D80" s="1">
        <v>45531</v>
      </c>
      <c r="E80">
        <v>5.4962999999999997</v>
      </c>
      <c r="F80" s="1">
        <v>45531</v>
      </c>
      <c r="G80">
        <v>113.53400000000001</v>
      </c>
      <c r="H80" s="4">
        <f t="shared" si="9"/>
        <v>624016.92419999989</v>
      </c>
      <c r="I80" s="5">
        <v>45531</v>
      </c>
      <c r="J80" s="4">
        <v>5592.71</v>
      </c>
      <c r="K80" s="4">
        <f t="shared" si="10"/>
        <v>55927.1</v>
      </c>
      <c r="L80" s="1">
        <v>45531</v>
      </c>
      <c r="M80">
        <v>6.49</v>
      </c>
      <c r="N80" s="1">
        <v>45531</v>
      </c>
      <c r="O80">
        <v>6.3</v>
      </c>
      <c r="P80" s="1">
        <v>45531</v>
      </c>
      <c r="Q80">
        <v>6.23</v>
      </c>
      <c r="R80" s="1">
        <v>45531</v>
      </c>
      <c r="S80">
        <v>6.05</v>
      </c>
      <c r="T80" s="1">
        <v>45531</v>
      </c>
      <c r="U80">
        <v>6.06</v>
      </c>
      <c r="V80" s="1">
        <v>45531</v>
      </c>
      <c r="W80">
        <v>6.04</v>
      </c>
      <c r="X80" s="1">
        <v>45531</v>
      </c>
      <c r="Y80">
        <f>NETWORKDAYS(X80,$Z$1,FERIADO!$A$2:$A$408)</f>
        <v>1605</v>
      </c>
      <c r="Z80">
        <v>11.64</v>
      </c>
      <c r="AA80" s="6">
        <f t="shared" si="11"/>
        <v>49594.468406180138</v>
      </c>
      <c r="AB80" s="2">
        <f t="shared" si="12"/>
        <v>-2.7868645825959402E-3</v>
      </c>
      <c r="AJ80" s="1">
        <v>45531</v>
      </c>
      <c r="AK80">
        <f>NETWORKDAYS(AJ80,$AJ$1,FERIADO!$A$2:$A$408)</f>
        <v>592</v>
      </c>
      <c r="AL80">
        <v>11.525</v>
      </c>
      <c r="AM80" s="6">
        <f t="shared" si="13"/>
        <v>77394.990632427551</v>
      </c>
      <c r="AN80" s="2">
        <f t="shared" si="14"/>
        <v>-1.0957251777313148E-3</v>
      </c>
      <c r="AP80" s="11">
        <f t="shared" si="15"/>
        <v>-1.3934322912979701E-3</v>
      </c>
      <c r="AQ80" s="11">
        <f t="shared" si="16"/>
        <v>-3.2871755331939444E-4</v>
      </c>
      <c r="AR80" s="11">
        <f t="shared" si="17"/>
        <v>-1.7221498446173646E-3</v>
      </c>
    </row>
    <row r="81" spans="2:44" x14ac:dyDescent="0.35">
      <c r="B81" s="1">
        <v>45530</v>
      </c>
      <c r="C81">
        <v>5687.9</v>
      </c>
      <c r="D81" s="1">
        <v>45530</v>
      </c>
      <c r="E81">
        <v>5.4915000000000003</v>
      </c>
      <c r="F81" s="1">
        <v>45530</v>
      </c>
      <c r="G81">
        <v>113.566</v>
      </c>
      <c r="H81" s="4">
        <f t="shared" si="9"/>
        <v>623647.68900000001</v>
      </c>
      <c r="I81" s="5">
        <v>45530</v>
      </c>
      <c r="J81" s="4">
        <v>5580.03</v>
      </c>
      <c r="K81" s="4">
        <f t="shared" si="10"/>
        <v>55800.299999999996</v>
      </c>
      <c r="L81" s="1">
        <v>45530</v>
      </c>
      <c r="M81">
        <v>6.45</v>
      </c>
      <c r="N81" s="1">
        <v>45530</v>
      </c>
      <c r="O81">
        <v>6.28</v>
      </c>
      <c r="P81" s="1">
        <v>45530</v>
      </c>
      <c r="Q81">
        <v>6.2</v>
      </c>
      <c r="R81" s="1">
        <v>45530</v>
      </c>
      <c r="S81">
        <v>6.02</v>
      </c>
      <c r="T81" s="1">
        <v>45530</v>
      </c>
      <c r="U81">
        <v>6.03</v>
      </c>
      <c r="V81" s="1">
        <v>45530</v>
      </c>
      <c r="W81">
        <v>6</v>
      </c>
      <c r="X81" s="1">
        <v>45530</v>
      </c>
      <c r="Y81">
        <f>NETWORKDAYS(X81,$Z$1,FERIADO!$A$2:$A$408)</f>
        <v>1606</v>
      </c>
      <c r="Z81">
        <v>11.52</v>
      </c>
      <c r="AA81" s="6">
        <f t="shared" si="11"/>
        <v>49913.739038157808</v>
      </c>
      <c r="AB81" s="2">
        <f t="shared" si="12"/>
        <v>1.181090153806845E-3</v>
      </c>
      <c r="AJ81" s="1">
        <v>45530</v>
      </c>
      <c r="AK81">
        <f>NETWORKDAYS(AJ81,$AJ$1,FERIADO!$A$2:$A$408)</f>
        <v>593</v>
      </c>
      <c r="AL81">
        <v>11.385</v>
      </c>
      <c r="AM81" s="6">
        <f t="shared" si="13"/>
        <v>77590.504766828104</v>
      </c>
      <c r="AN81" s="2">
        <f t="shared" si="14"/>
        <v>7.8303454270365008E-4</v>
      </c>
      <c r="AP81" s="11">
        <f t="shared" si="15"/>
        <v>5.9054507690342248E-4</v>
      </c>
      <c r="AQ81" s="11">
        <f t="shared" si="16"/>
        <v>2.3491036281109501E-4</v>
      </c>
      <c r="AR81" s="11">
        <f t="shared" si="17"/>
        <v>8.2545543971451751E-4</v>
      </c>
    </row>
    <row r="82" spans="2:44" x14ac:dyDescent="0.35">
      <c r="B82" s="1">
        <v>45527</v>
      </c>
      <c r="C82">
        <v>5706.58</v>
      </c>
      <c r="D82" s="1">
        <v>45527</v>
      </c>
      <c r="E82">
        <v>5.5256999999999996</v>
      </c>
      <c r="F82" s="1">
        <v>45527</v>
      </c>
      <c r="G82">
        <v>113.795</v>
      </c>
      <c r="H82" s="4">
        <f t="shared" si="9"/>
        <v>628797.03150000004</v>
      </c>
      <c r="I82" s="5">
        <v>45527</v>
      </c>
      <c r="J82" s="4">
        <v>5564.3</v>
      </c>
      <c r="K82" s="4">
        <f t="shared" si="10"/>
        <v>55643</v>
      </c>
      <c r="L82" s="1">
        <v>45527</v>
      </c>
      <c r="M82">
        <v>6.51</v>
      </c>
      <c r="N82" s="1">
        <v>45527</v>
      </c>
      <c r="O82">
        <v>6.31</v>
      </c>
      <c r="P82" s="1">
        <v>45527</v>
      </c>
      <c r="Q82">
        <v>6.27</v>
      </c>
      <c r="R82" s="1">
        <v>45527</v>
      </c>
      <c r="S82">
        <v>6.01</v>
      </c>
      <c r="T82" s="1">
        <v>45527</v>
      </c>
      <c r="U82">
        <v>6</v>
      </c>
      <c r="V82" s="1">
        <v>45527</v>
      </c>
      <c r="W82">
        <v>5.96</v>
      </c>
      <c r="X82" s="1">
        <v>45527</v>
      </c>
      <c r="Y82">
        <f>NETWORKDAYS(X82,$Z$1,FERIADO!$A$2:$A$408)</f>
        <v>1607</v>
      </c>
      <c r="Z82">
        <v>11.56</v>
      </c>
      <c r="AA82" s="6">
        <f t="shared" si="11"/>
        <v>49778.180015025027</v>
      </c>
      <c r="AB82" s="2">
        <f t="shared" si="12"/>
        <v>2.9196407160854334E-3</v>
      </c>
      <c r="AJ82" s="1">
        <v>45527</v>
      </c>
      <c r="AK82">
        <f>NETWORKDAYS(AJ82,$AJ$1,FERIADO!$A$2:$A$408)</f>
        <v>594</v>
      </c>
      <c r="AL82">
        <v>11.45</v>
      </c>
      <c r="AM82" s="6">
        <f t="shared" si="13"/>
        <v>77450.734843045168</v>
      </c>
      <c r="AN82" s="2">
        <f t="shared" si="14"/>
        <v>1.4741147154954434E-3</v>
      </c>
      <c r="AP82" s="11">
        <f t="shared" si="15"/>
        <v>1.4598203580427167E-3</v>
      </c>
      <c r="AQ82" s="11">
        <f t="shared" si="16"/>
        <v>4.4223441464863298E-4</v>
      </c>
      <c r="AR82" s="11">
        <f t="shared" si="17"/>
        <v>1.9020547726913497E-3</v>
      </c>
    </row>
    <row r="83" spans="2:44" x14ac:dyDescent="0.35">
      <c r="B83" s="1">
        <v>45526</v>
      </c>
      <c r="C83">
        <v>5656.12</v>
      </c>
      <c r="D83" s="1">
        <v>45526</v>
      </c>
      <c r="E83">
        <v>5.5518000000000001</v>
      </c>
      <c r="F83" s="1">
        <v>45526</v>
      </c>
      <c r="G83">
        <v>113.306</v>
      </c>
      <c r="H83" s="4">
        <f t="shared" si="9"/>
        <v>629052.25080000004</v>
      </c>
      <c r="I83" s="5">
        <v>45526</v>
      </c>
      <c r="J83" s="4">
        <v>5688.08</v>
      </c>
      <c r="K83" s="4">
        <f t="shared" si="10"/>
        <v>56880.800000000003</v>
      </c>
      <c r="L83" s="1">
        <v>45526</v>
      </c>
      <c r="M83">
        <v>6.57</v>
      </c>
      <c r="N83" s="1">
        <v>45526</v>
      </c>
      <c r="O83">
        <v>6.38</v>
      </c>
      <c r="P83" s="1">
        <v>45526</v>
      </c>
      <c r="Q83">
        <v>6.3</v>
      </c>
      <c r="R83" s="1">
        <v>45526</v>
      </c>
      <c r="S83">
        <v>6.08</v>
      </c>
      <c r="T83" s="1">
        <v>45526</v>
      </c>
      <c r="U83">
        <v>6.08</v>
      </c>
      <c r="V83" s="1">
        <v>45526</v>
      </c>
      <c r="W83">
        <v>6.02</v>
      </c>
      <c r="X83" s="1">
        <v>45526</v>
      </c>
      <c r="Y83">
        <f>NETWORKDAYS(X83,$Z$1,FERIADO!$A$2:$A$408)</f>
        <v>1608</v>
      </c>
      <c r="Z83">
        <v>11.67</v>
      </c>
      <c r="AA83" s="6">
        <f t="shared" si="11"/>
        <v>49444.657534900238</v>
      </c>
      <c r="AB83" s="2">
        <f t="shared" si="12"/>
        <v>-3.5370075275834548E-3</v>
      </c>
      <c r="AJ83" s="1">
        <v>45526</v>
      </c>
      <c r="AK83">
        <f>NETWORKDAYS(AJ83,$AJ$1,FERIADO!$A$2:$A$408)</f>
        <v>595</v>
      </c>
      <c r="AL83">
        <v>11.59</v>
      </c>
      <c r="AM83" s="6">
        <f t="shared" si="13"/>
        <v>77188.291437854423</v>
      </c>
      <c r="AN83" s="2">
        <f t="shared" si="14"/>
        <v>-1.2848030640156697E-3</v>
      </c>
      <c r="AP83" s="11">
        <f t="shared" si="15"/>
        <v>-1.7685037637917274E-3</v>
      </c>
      <c r="AQ83" s="11">
        <f t="shared" si="16"/>
        <v>-3.8544091920470088E-4</v>
      </c>
      <c r="AR83" s="11">
        <f t="shared" si="17"/>
        <v>-2.1539446829964282E-3</v>
      </c>
    </row>
    <row r="84" spans="2:44" x14ac:dyDescent="0.35">
      <c r="B84" s="1">
        <v>45525</v>
      </c>
      <c r="C84">
        <v>5696.98</v>
      </c>
      <c r="D84" s="1">
        <v>45525</v>
      </c>
      <c r="E84">
        <v>5.4701000000000004</v>
      </c>
      <c r="F84" s="1">
        <v>45525</v>
      </c>
      <c r="G84">
        <v>113.765</v>
      </c>
      <c r="H84" s="4">
        <f t="shared" si="9"/>
        <v>622305.92650000006</v>
      </c>
      <c r="I84" s="5">
        <v>45525</v>
      </c>
      <c r="J84" s="4">
        <v>5563.8</v>
      </c>
      <c r="K84" s="4">
        <f t="shared" si="10"/>
        <v>55638</v>
      </c>
      <c r="L84" s="1">
        <v>45525</v>
      </c>
      <c r="M84">
        <v>6.53</v>
      </c>
      <c r="N84" s="1">
        <v>45525</v>
      </c>
      <c r="O84">
        <v>6.36</v>
      </c>
      <c r="P84" s="1">
        <v>45525</v>
      </c>
      <c r="Q84">
        <v>6.29</v>
      </c>
      <c r="R84" s="1">
        <v>45525</v>
      </c>
      <c r="S84">
        <v>6.05</v>
      </c>
      <c r="T84" s="1">
        <v>45525</v>
      </c>
      <c r="U84">
        <v>6.04</v>
      </c>
      <c r="V84" s="1">
        <v>45525</v>
      </c>
      <c r="W84">
        <v>6</v>
      </c>
      <c r="X84" s="1">
        <v>45525</v>
      </c>
      <c r="Y84">
        <f>NETWORKDAYS(X84,$Z$1,FERIADO!$A$2:$A$408)</f>
        <v>1609</v>
      </c>
      <c r="Z84">
        <v>11.52</v>
      </c>
      <c r="AA84" s="6">
        <f t="shared" si="11"/>
        <v>49848.991989070411</v>
      </c>
      <c r="AB84" s="2">
        <f t="shared" si="12"/>
        <v>-1.3053163237621674E-3</v>
      </c>
      <c r="AJ84" s="1">
        <v>45525</v>
      </c>
      <c r="AK84">
        <f>NETWORKDAYS(AJ84,$AJ$1,FERIADO!$A$2:$A$408)</f>
        <v>596</v>
      </c>
      <c r="AL84">
        <v>11.43</v>
      </c>
      <c r="AM84" s="6">
        <f t="shared" si="13"/>
        <v>77416.980945869029</v>
      </c>
      <c r="AN84" s="2">
        <f t="shared" si="14"/>
        <v>1.8342313554900203E-6</v>
      </c>
      <c r="AP84" s="11">
        <f t="shared" si="15"/>
        <v>-6.526581618810837E-4</v>
      </c>
      <c r="AQ84" s="11">
        <f t="shared" si="16"/>
        <v>5.5026940664700604E-7</v>
      </c>
      <c r="AR84" s="11">
        <f t="shared" si="17"/>
        <v>-6.5210789247443666E-4</v>
      </c>
    </row>
    <row r="85" spans="2:44" x14ac:dyDescent="0.35">
      <c r="B85" s="1">
        <v>45524</v>
      </c>
      <c r="C85">
        <v>5675.95</v>
      </c>
      <c r="D85" s="1">
        <v>45524</v>
      </c>
      <c r="E85">
        <v>5.4541000000000004</v>
      </c>
      <c r="F85" s="1">
        <v>45524</v>
      </c>
      <c r="G85">
        <v>113.625</v>
      </c>
      <c r="H85" s="4">
        <f t="shared" si="9"/>
        <v>619722.11250000005</v>
      </c>
      <c r="I85" s="5">
        <v>45524</v>
      </c>
      <c r="J85" s="4">
        <v>5564.81</v>
      </c>
      <c r="K85" s="4">
        <f t="shared" si="10"/>
        <v>55648.100000000006</v>
      </c>
      <c r="L85" s="1">
        <v>45524</v>
      </c>
      <c r="M85">
        <v>6.59</v>
      </c>
      <c r="N85" s="1">
        <v>45524</v>
      </c>
      <c r="O85">
        <v>6.41</v>
      </c>
      <c r="P85" s="1">
        <v>45524</v>
      </c>
      <c r="Q85">
        <v>6.32</v>
      </c>
      <c r="R85" s="1">
        <v>45524</v>
      </c>
      <c r="S85">
        <v>6.07</v>
      </c>
      <c r="T85" s="1">
        <v>45524</v>
      </c>
      <c r="U85">
        <v>6.07</v>
      </c>
      <c r="V85" s="1">
        <v>45524</v>
      </c>
      <c r="W85">
        <v>6</v>
      </c>
      <c r="X85" s="1">
        <v>45524</v>
      </c>
      <c r="Y85">
        <f>NETWORKDAYS(X85,$Z$1,FERIADO!$A$2:$A$408)</f>
        <v>1610</v>
      </c>
      <c r="Z85">
        <v>11.46</v>
      </c>
      <c r="AA85" s="6">
        <f t="shared" si="11"/>
        <v>49999.043599285018</v>
      </c>
      <c r="AB85" s="2">
        <f t="shared" si="12"/>
        <v>-2.0557558169901685E-3</v>
      </c>
      <c r="AJ85" s="1">
        <v>45524</v>
      </c>
      <c r="AK85">
        <f>NETWORKDAYS(AJ85,$AJ$1,FERIADO!$A$2:$A$408)</f>
        <v>597</v>
      </c>
      <c r="AL85">
        <v>11.41</v>
      </c>
      <c r="AM85" s="6">
        <f t="shared" si="13"/>
        <v>77416.653977970636</v>
      </c>
      <c r="AN85" s="2">
        <f t="shared" si="14"/>
        <v>2.3245803125131932E-4</v>
      </c>
      <c r="AP85" s="11">
        <f t="shared" si="15"/>
        <v>-1.0278779084950842E-3</v>
      </c>
      <c r="AQ85" s="11">
        <f t="shared" si="16"/>
        <v>6.9737409375395792E-5</v>
      </c>
      <c r="AR85" s="11">
        <f t="shared" si="17"/>
        <v>-9.5814049911968841E-4</v>
      </c>
    </row>
    <row r="86" spans="2:44" x14ac:dyDescent="0.35">
      <c r="B86" s="1">
        <v>45523</v>
      </c>
      <c r="C86">
        <v>5683.7</v>
      </c>
      <c r="D86" s="1">
        <v>45523</v>
      </c>
      <c r="E86">
        <v>5.4230999999999998</v>
      </c>
      <c r="F86" s="1">
        <v>45523</v>
      </c>
      <c r="G86">
        <v>113.176</v>
      </c>
      <c r="H86" s="4">
        <f t="shared" si="9"/>
        <v>613764.76560000004</v>
      </c>
      <c r="I86" s="5">
        <v>45523</v>
      </c>
      <c r="J86" s="4">
        <v>5493.28</v>
      </c>
      <c r="K86" s="4">
        <f t="shared" si="10"/>
        <v>54932.799999999996</v>
      </c>
      <c r="L86" s="1">
        <v>45523</v>
      </c>
      <c r="M86">
        <v>6.61</v>
      </c>
      <c r="N86" s="1">
        <v>45523</v>
      </c>
      <c r="O86">
        <v>6.39</v>
      </c>
      <c r="P86" s="1">
        <v>45523</v>
      </c>
      <c r="Q86">
        <v>6.27</v>
      </c>
      <c r="R86" s="1">
        <v>45523</v>
      </c>
      <c r="S86">
        <v>5.99</v>
      </c>
      <c r="T86" s="1">
        <v>45523</v>
      </c>
      <c r="U86">
        <v>5.97</v>
      </c>
      <c r="V86" s="1">
        <v>45523</v>
      </c>
      <c r="W86">
        <v>5.97</v>
      </c>
      <c r="X86" s="1">
        <v>45523</v>
      </c>
      <c r="Y86">
        <f>NETWORKDAYS(X86,$Z$1,FERIADO!$A$2:$A$408)</f>
        <v>1611</v>
      </c>
      <c r="Z86">
        <v>11.37</v>
      </c>
      <c r="AA86" s="6">
        <f t="shared" si="11"/>
        <v>50236.277744261504</v>
      </c>
      <c r="AB86" s="2">
        <f t="shared" si="12"/>
        <v>3.1773565372833828E-3</v>
      </c>
      <c r="AJ86" s="1">
        <v>45523</v>
      </c>
      <c r="AK86">
        <f>NETWORKDAYS(AJ86,$AJ$1,FERIADO!$A$2:$A$408)</f>
        <v>598</v>
      </c>
      <c r="AL86">
        <v>11.414999999999999</v>
      </c>
      <c r="AM86" s="6">
        <f t="shared" si="13"/>
        <v>77375.227461340372</v>
      </c>
      <c r="AN86" s="2">
        <f t="shared" si="14"/>
        <v>1.3438175157284465E-3</v>
      </c>
      <c r="AP86" s="11">
        <f t="shared" si="15"/>
        <v>1.5886782686416914E-3</v>
      </c>
      <c r="AQ86" s="11">
        <f t="shared" si="16"/>
        <v>4.0314525471853391E-4</v>
      </c>
      <c r="AR86" s="11">
        <f t="shared" si="17"/>
        <v>1.9918235233602252E-3</v>
      </c>
    </row>
    <row r="87" spans="2:44" x14ac:dyDescent="0.35">
      <c r="B87" s="1">
        <v>45520</v>
      </c>
      <c r="C87">
        <v>5637.86</v>
      </c>
      <c r="D87" s="1">
        <v>45520</v>
      </c>
      <c r="E87">
        <v>5.4626000000000001</v>
      </c>
      <c r="F87" s="1">
        <v>45520</v>
      </c>
      <c r="G87">
        <v>113.14</v>
      </c>
      <c r="H87" s="4">
        <f t="shared" si="9"/>
        <v>618038.56400000001</v>
      </c>
      <c r="I87" s="5">
        <v>45520</v>
      </c>
      <c r="J87" s="4">
        <v>5564.3</v>
      </c>
      <c r="K87" s="4">
        <f t="shared" si="10"/>
        <v>55643</v>
      </c>
      <c r="L87" s="1">
        <v>45520</v>
      </c>
      <c r="M87">
        <v>6.55</v>
      </c>
      <c r="N87" s="1">
        <v>45520</v>
      </c>
      <c r="O87">
        <v>6.36</v>
      </c>
      <c r="P87" s="1">
        <v>45520</v>
      </c>
      <c r="Q87">
        <v>6.25</v>
      </c>
      <c r="R87" s="1">
        <v>45520</v>
      </c>
      <c r="S87">
        <v>5.99</v>
      </c>
      <c r="T87" s="1">
        <v>45520</v>
      </c>
      <c r="U87">
        <v>5.95</v>
      </c>
      <c r="V87" s="1">
        <v>45520</v>
      </c>
      <c r="W87">
        <v>5.89</v>
      </c>
      <c r="X87" s="1">
        <v>45520</v>
      </c>
      <c r="Y87">
        <f>NETWORKDAYS(X87,$Z$1,FERIADO!$A$2:$A$408)</f>
        <v>1612</v>
      </c>
      <c r="Z87">
        <v>11.49</v>
      </c>
      <c r="AA87" s="6">
        <f t="shared" si="11"/>
        <v>49870.083610817157</v>
      </c>
      <c r="AB87" s="2">
        <f t="shared" si="12"/>
        <v>-1.3089650581610906E-3</v>
      </c>
      <c r="AJ87" s="1">
        <v>45520</v>
      </c>
      <c r="AK87">
        <f>NETWORKDAYS(AJ87,$AJ$1,FERIADO!$A$2:$A$408)</f>
        <v>599</v>
      </c>
      <c r="AL87">
        <v>11.54</v>
      </c>
      <c r="AM87" s="6">
        <f t="shared" si="13"/>
        <v>77136.178869665484</v>
      </c>
      <c r="AN87" s="2">
        <f t="shared" si="14"/>
        <v>-4.1454301659870805E-4</v>
      </c>
      <c r="AP87" s="11">
        <f t="shared" si="15"/>
        <v>-6.5448252908054528E-4</v>
      </c>
      <c r="AQ87" s="11">
        <f t="shared" si="16"/>
        <v>-1.2436290497961242E-4</v>
      </c>
      <c r="AR87" s="11">
        <f t="shared" si="17"/>
        <v>-7.7884543406015773E-4</v>
      </c>
    </row>
    <row r="88" spans="2:44" x14ac:dyDescent="0.35">
      <c r="B88" s="1">
        <v>45519</v>
      </c>
      <c r="C88">
        <v>5626.33</v>
      </c>
      <c r="D88" s="1">
        <v>45519</v>
      </c>
      <c r="E88">
        <v>5.4645000000000001</v>
      </c>
      <c r="F88" s="1">
        <v>45519</v>
      </c>
      <c r="G88">
        <v>112.99</v>
      </c>
      <c r="H88" s="4">
        <f t="shared" si="9"/>
        <v>617433.85499999998</v>
      </c>
      <c r="I88" s="5">
        <v>45519</v>
      </c>
      <c r="J88" s="4">
        <v>5575.46</v>
      </c>
      <c r="K88" s="4">
        <f t="shared" si="10"/>
        <v>55754.6</v>
      </c>
      <c r="L88" s="1">
        <v>45519</v>
      </c>
      <c r="M88">
        <v>6.36</v>
      </c>
      <c r="N88" s="1">
        <v>45519</v>
      </c>
      <c r="O88">
        <v>6.22</v>
      </c>
      <c r="P88" s="1">
        <v>45519</v>
      </c>
      <c r="Q88">
        <v>6.16</v>
      </c>
      <c r="R88" s="1">
        <v>45519</v>
      </c>
      <c r="S88">
        <v>5.92</v>
      </c>
      <c r="T88" s="1">
        <v>45519</v>
      </c>
      <c r="U88">
        <v>5.91</v>
      </c>
      <c r="V88" s="1">
        <v>45519</v>
      </c>
      <c r="W88">
        <v>5.86</v>
      </c>
      <c r="X88" s="1">
        <v>45519</v>
      </c>
      <c r="Y88">
        <f>NETWORKDAYS(X88,$Z$1,FERIADO!$A$2:$A$408)</f>
        <v>1613</v>
      </c>
      <c r="Z88">
        <v>11.43</v>
      </c>
      <c r="AA88" s="6">
        <f t="shared" si="11"/>
        <v>50020.618956949962</v>
      </c>
      <c r="AB88" s="2">
        <f t="shared" si="12"/>
        <v>1.8651639094645581E-4</v>
      </c>
      <c r="AJ88" s="1">
        <v>45519</v>
      </c>
      <c r="AK88">
        <f>NETWORKDAYS(AJ88,$AJ$1,FERIADO!$A$2:$A$408)</f>
        <v>600</v>
      </c>
      <c r="AL88">
        <v>11.475</v>
      </c>
      <c r="AM88" s="6">
        <f t="shared" si="13"/>
        <v>77209.842090057195</v>
      </c>
      <c r="AN88" s="2">
        <f t="shared" si="14"/>
        <v>-7.4234392453671467E-4</v>
      </c>
      <c r="AP88" s="11">
        <f t="shared" si="15"/>
        <v>9.3258195473227903E-5</v>
      </c>
      <c r="AQ88" s="11">
        <f t="shared" si="16"/>
        <v>-2.227031773610144E-4</v>
      </c>
      <c r="AR88" s="11">
        <f t="shared" si="17"/>
        <v>-1.2944498188778651E-4</v>
      </c>
    </row>
    <row r="89" spans="2:44" x14ac:dyDescent="0.35">
      <c r="B89" s="1">
        <v>45518</v>
      </c>
      <c r="C89">
        <v>5540.72</v>
      </c>
      <c r="D89" s="1">
        <v>45518</v>
      </c>
      <c r="E89">
        <v>5.4496000000000002</v>
      </c>
      <c r="F89" s="1">
        <v>45518</v>
      </c>
      <c r="G89">
        <v>113.626</v>
      </c>
      <c r="H89" s="4">
        <f t="shared" si="9"/>
        <v>619216.2496000001</v>
      </c>
      <c r="I89" s="5">
        <v>45518</v>
      </c>
      <c r="J89" s="4">
        <v>5558.72</v>
      </c>
      <c r="K89" s="4">
        <f t="shared" si="10"/>
        <v>55587.200000000004</v>
      </c>
      <c r="L89" s="1">
        <v>45518</v>
      </c>
      <c r="M89">
        <v>6.27</v>
      </c>
      <c r="N89" s="1">
        <v>45518</v>
      </c>
      <c r="O89">
        <v>6.1</v>
      </c>
      <c r="P89" s="1">
        <v>45518</v>
      </c>
      <c r="Q89">
        <v>6.08</v>
      </c>
      <c r="R89" s="1">
        <v>45518</v>
      </c>
      <c r="S89">
        <v>5.87</v>
      </c>
      <c r="T89" s="1">
        <v>45518</v>
      </c>
      <c r="U89">
        <v>5.86</v>
      </c>
      <c r="V89" s="1">
        <v>45518</v>
      </c>
      <c r="W89">
        <v>5.82</v>
      </c>
      <c r="X89" s="1">
        <v>45518</v>
      </c>
      <c r="Y89">
        <f>NETWORKDAYS(X89,$Z$1,FERIADO!$A$2:$A$408)</f>
        <v>1614</v>
      </c>
      <c r="Z89">
        <v>11.43</v>
      </c>
      <c r="AA89" s="6">
        <f t="shared" si="11"/>
        <v>49999.141221010024</v>
      </c>
      <c r="AB89" s="2">
        <f t="shared" si="12"/>
        <v>-8.1277493796168613E-4</v>
      </c>
      <c r="AJ89" s="1">
        <v>45518</v>
      </c>
      <c r="AK89">
        <f>NETWORKDAYS(AJ89,$AJ$1,FERIADO!$A$2:$A$408)</f>
        <v>601</v>
      </c>
      <c r="AL89">
        <v>11.375</v>
      </c>
      <c r="AM89" s="6">
        <f t="shared" si="13"/>
        <v>77341.930507318262</v>
      </c>
      <c r="AN89" s="2">
        <f t="shared" si="14"/>
        <v>-1.8700969248001506E-4</v>
      </c>
      <c r="AP89" s="11">
        <f t="shared" si="15"/>
        <v>-4.0638746898084306E-4</v>
      </c>
      <c r="AQ89" s="11">
        <f t="shared" si="16"/>
        <v>-5.6102907744004515E-5</v>
      </c>
      <c r="AR89" s="11">
        <f t="shared" si="17"/>
        <v>-4.6249037672484758E-4</v>
      </c>
    </row>
    <row r="90" spans="2:44" x14ac:dyDescent="0.35">
      <c r="B90" s="1">
        <v>45517</v>
      </c>
      <c r="C90">
        <v>5508.11</v>
      </c>
      <c r="D90" s="1">
        <v>45517</v>
      </c>
      <c r="E90">
        <v>5.4869000000000003</v>
      </c>
      <c r="F90" s="1">
        <v>45517</v>
      </c>
      <c r="G90">
        <v>113.66200000000001</v>
      </c>
      <c r="H90" s="4">
        <f t="shared" si="9"/>
        <v>623652.02780000004</v>
      </c>
      <c r="I90" s="5">
        <v>45517</v>
      </c>
      <c r="J90" s="4">
        <v>5547.56</v>
      </c>
      <c r="K90" s="4">
        <f t="shared" si="10"/>
        <v>55475.600000000006</v>
      </c>
      <c r="L90" s="1">
        <v>45517</v>
      </c>
      <c r="M90">
        <v>6.27</v>
      </c>
      <c r="N90" s="1">
        <v>45517</v>
      </c>
      <c r="O90">
        <v>6.14</v>
      </c>
      <c r="P90" s="1">
        <v>45517</v>
      </c>
      <c r="Q90">
        <v>6.09</v>
      </c>
      <c r="R90" s="1">
        <v>45517</v>
      </c>
      <c r="S90">
        <v>5.91</v>
      </c>
      <c r="T90" s="1">
        <v>45517</v>
      </c>
      <c r="U90">
        <v>5.89</v>
      </c>
      <c r="V90" s="1">
        <v>45517</v>
      </c>
      <c r="W90">
        <v>5.82</v>
      </c>
      <c r="X90" s="1">
        <v>45517</v>
      </c>
      <c r="Y90">
        <f>NETWORKDAYS(X90,$Z$1,FERIADO!$A$2:$A$408)</f>
        <v>1615</v>
      </c>
      <c r="Z90">
        <v>11.39</v>
      </c>
      <c r="AA90" s="6">
        <f t="shared" si="11"/>
        <v>50092.80140102686</v>
      </c>
      <c r="AB90" s="2">
        <f t="shared" si="12"/>
        <v>5.930484156410361E-3</v>
      </c>
      <c r="AJ90" s="1">
        <v>45517</v>
      </c>
      <c r="AK90">
        <f>NETWORKDAYS(AJ90,$AJ$1,FERIADO!$A$2:$A$408)</f>
        <v>602</v>
      </c>
      <c r="AL90">
        <v>11.335000000000001</v>
      </c>
      <c r="AM90" s="6">
        <f t="shared" si="13"/>
        <v>77375.241557225338</v>
      </c>
      <c r="AN90" s="2">
        <f t="shared" si="14"/>
        <v>2.2830848082963447E-3</v>
      </c>
      <c r="AP90" s="11">
        <f t="shared" si="15"/>
        <v>2.9652420782051805E-3</v>
      </c>
      <c r="AQ90" s="11">
        <f t="shared" si="16"/>
        <v>6.8492544248890334E-4</v>
      </c>
      <c r="AR90" s="11">
        <f t="shared" si="17"/>
        <v>3.6501675206940839E-3</v>
      </c>
    </row>
    <row r="91" spans="2:44" x14ac:dyDescent="0.35">
      <c r="B91" s="1">
        <v>45516</v>
      </c>
      <c r="C91">
        <v>5423.2</v>
      </c>
      <c r="D91" s="1">
        <v>45516</v>
      </c>
      <c r="E91">
        <v>5.4904999999999999</v>
      </c>
      <c r="F91" s="1">
        <v>45516</v>
      </c>
      <c r="G91">
        <v>113.249</v>
      </c>
      <c r="H91" s="4">
        <f t="shared" si="9"/>
        <v>621793.63449999993</v>
      </c>
      <c r="I91" s="5">
        <v>45516</v>
      </c>
      <c r="J91" s="4">
        <v>5586.12</v>
      </c>
      <c r="K91" s="4">
        <f t="shared" si="10"/>
        <v>55861.2</v>
      </c>
      <c r="L91" s="1">
        <v>45516</v>
      </c>
      <c r="M91">
        <v>6.35</v>
      </c>
      <c r="N91" s="1">
        <v>45516</v>
      </c>
      <c r="O91">
        <v>6.22</v>
      </c>
      <c r="P91" s="1">
        <v>45516</v>
      </c>
      <c r="Q91">
        <v>6.14</v>
      </c>
      <c r="R91" s="1">
        <v>45516</v>
      </c>
      <c r="S91">
        <v>5.97</v>
      </c>
      <c r="T91" s="1">
        <v>45516</v>
      </c>
      <c r="U91">
        <v>5.95</v>
      </c>
      <c r="V91" s="1">
        <v>45516</v>
      </c>
      <c r="W91">
        <v>5.89</v>
      </c>
      <c r="X91" s="1">
        <v>45516</v>
      </c>
      <c r="Y91">
        <f>NETWORKDAYS(X91,$Z$1,FERIADO!$A$2:$A$408)</f>
        <v>1616</v>
      </c>
      <c r="Z91">
        <v>11.62</v>
      </c>
      <c r="AA91" s="6">
        <f t="shared" si="11"/>
        <v>49413.411180897943</v>
      </c>
      <c r="AB91" s="2">
        <f t="shared" si="12"/>
        <v>-8.093729789382287E-4</v>
      </c>
      <c r="AJ91" s="1">
        <v>45516</v>
      </c>
      <c r="AK91">
        <f>NETWORKDAYS(AJ91,$AJ$1,FERIADO!$A$2:$A$408)</f>
        <v>603</v>
      </c>
      <c r="AL91">
        <v>11.56</v>
      </c>
      <c r="AM91" s="6">
        <f t="shared" si="13"/>
        <v>76969.547441651754</v>
      </c>
      <c r="AN91" s="2">
        <f t="shared" si="14"/>
        <v>-3.7146417914672041E-4</v>
      </c>
      <c r="AP91" s="11">
        <f t="shared" si="15"/>
        <v>-4.0468648946911435E-4</v>
      </c>
      <c r="AQ91" s="11">
        <f t="shared" si="16"/>
        <v>-1.1143925374401612E-4</v>
      </c>
      <c r="AR91" s="11">
        <f t="shared" si="17"/>
        <v>-5.1612574321313045E-4</v>
      </c>
    </row>
    <row r="92" spans="2:44" x14ac:dyDescent="0.35">
      <c r="B92" s="1">
        <v>45513</v>
      </c>
      <c r="C92">
        <v>5412.65</v>
      </c>
      <c r="D92" s="1">
        <v>45513</v>
      </c>
      <c r="E92">
        <v>5.5109000000000004</v>
      </c>
      <c r="F92" s="1">
        <v>45513</v>
      </c>
      <c r="G92">
        <v>112.97</v>
      </c>
      <c r="H92" s="4">
        <f t="shared" si="9"/>
        <v>622566.37300000002</v>
      </c>
      <c r="I92" s="5">
        <v>45513</v>
      </c>
      <c r="J92" s="4">
        <v>5601.33</v>
      </c>
      <c r="K92" s="4">
        <f t="shared" si="10"/>
        <v>56013.3</v>
      </c>
      <c r="L92" s="1">
        <v>45513</v>
      </c>
      <c r="M92">
        <v>6.3</v>
      </c>
      <c r="N92" s="1">
        <v>45513</v>
      </c>
      <c r="O92">
        <v>6.19</v>
      </c>
      <c r="P92" s="1">
        <v>45513</v>
      </c>
      <c r="Q92">
        <v>6.14</v>
      </c>
      <c r="R92" s="1">
        <v>45513</v>
      </c>
      <c r="S92">
        <v>6.01</v>
      </c>
      <c r="T92" s="1">
        <v>45513</v>
      </c>
      <c r="U92">
        <v>6</v>
      </c>
      <c r="V92" s="1">
        <v>45513</v>
      </c>
      <c r="W92">
        <v>5.97</v>
      </c>
      <c r="X92" s="1">
        <v>45513</v>
      </c>
      <c r="Y92">
        <f>NETWORKDAYS(X92,$Z$1,FERIADO!$A$2:$A$408)</f>
        <v>1617</v>
      </c>
      <c r="Z92">
        <v>11.58</v>
      </c>
      <c r="AA92" s="6">
        <f t="shared" si="11"/>
        <v>49505.586356814478</v>
      </c>
      <c r="AB92" s="2">
        <f t="shared" si="12"/>
        <v>6.9281345031776582E-3</v>
      </c>
      <c r="AJ92" s="1">
        <v>45513</v>
      </c>
      <c r="AK92">
        <f>NETWORKDAYS(AJ92,$AJ$1,FERIADO!$A$2:$A$408)</f>
        <v>604</v>
      </c>
      <c r="AL92">
        <v>11.5</v>
      </c>
      <c r="AM92" s="6">
        <f t="shared" si="13"/>
        <v>77035.409804546172</v>
      </c>
      <c r="AN92" s="2">
        <f t="shared" si="14"/>
        <v>2.3361442595090346E-3</v>
      </c>
      <c r="AP92" s="11">
        <f t="shared" si="15"/>
        <v>3.4640672515888291E-3</v>
      </c>
      <c r="AQ92" s="11">
        <f t="shared" si="16"/>
        <v>7.0084327785271039E-4</v>
      </c>
      <c r="AR92" s="11">
        <f t="shared" si="17"/>
        <v>4.1649105294415392E-3</v>
      </c>
    </row>
    <row r="93" spans="2:44" x14ac:dyDescent="0.35">
      <c r="B93" s="1">
        <v>45512</v>
      </c>
      <c r="C93">
        <v>5408.71</v>
      </c>
      <c r="D93" s="1">
        <v>45512</v>
      </c>
      <c r="E93">
        <v>5.6166</v>
      </c>
      <c r="F93" s="1">
        <v>45512</v>
      </c>
      <c r="G93">
        <v>112.764</v>
      </c>
      <c r="H93" s="4">
        <f t="shared" si="9"/>
        <v>633350.28240000003</v>
      </c>
      <c r="I93" s="5">
        <v>45512</v>
      </c>
      <c r="J93" s="4">
        <v>5628.22</v>
      </c>
      <c r="K93" s="4">
        <f t="shared" si="10"/>
        <v>56282.200000000004</v>
      </c>
      <c r="L93" s="1">
        <v>45512</v>
      </c>
      <c r="M93">
        <v>6.28</v>
      </c>
      <c r="N93" s="1">
        <v>45512</v>
      </c>
      <c r="O93">
        <v>6.19</v>
      </c>
      <c r="P93" s="1">
        <v>45512</v>
      </c>
      <c r="Q93">
        <v>6.16</v>
      </c>
      <c r="R93" s="1">
        <v>45512</v>
      </c>
      <c r="S93">
        <v>6.06</v>
      </c>
      <c r="T93" s="1">
        <v>45512</v>
      </c>
      <c r="U93">
        <v>6.05</v>
      </c>
      <c r="V93" s="1">
        <v>45512</v>
      </c>
      <c r="W93">
        <v>6.03</v>
      </c>
      <c r="X93" s="1">
        <v>45512</v>
      </c>
      <c r="Y93">
        <f>NETWORKDAYS(X93,$Z$1,FERIADO!$A$2:$A$408)</f>
        <v>1618</v>
      </c>
      <c r="Z93">
        <v>11.85</v>
      </c>
      <c r="AA93" s="6">
        <f t="shared" si="11"/>
        <v>48722.108465459598</v>
      </c>
      <c r="AB93" s="2">
        <f t="shared" si="12"/>
        <v>6.9186813120864865E-4</v>
      </c>
      <c r="AJ93" s="1">
        <v>45512</v>
      </c>
      <c r="AK93">
        <f>NETWORKDAYS(AJ93,$AJ$1,FERIADO!$A$2:$A$408)</f>
        <v>605</v>
      </c>
      <c r="AL93">
        <v>11.73</v>
      </c>
      <c r="AM93" s="6">
        <f t="shared" si="13"/>
        <v>76622.135698787752</v>
      </c>
      <c r="AN93" s="2">
        <f t="shared" si="14"/>
        <v>-2.7632005680411299E-4</v>
      </c>
      <c r="AP93" s="11">
        <f t="shared" si="15"/>
        <v>3.4593406560432433E-4</v>
      </c>
      <c r="AQ93" s="11">
        <f t="shared" si="16"/>
        <v>-8.2896017041233889E-5</v>
      </c>
      <c r="AR93" s="11">
        <f t="shared" si="17"/>
        <v>2.6303804856309045E-4</v>
      </c>
    </row>
    <row r="94" spans="2:44" x14ac:dyDescent="0.35">
      <c r="B94" s="1">
        <v>45511</v>
      </c>
      <c r="C94">
        <v>5254.54</v>
      </c>
      <c r="D94" s="1">
        <v>45511</v>
      </c>
      <c r="E94">
        <v>5.6086999999999998</v>
      </c>
      <c r="F94" s="1">
        <v>45511</v>
      </c>
      <c r="G94">
        <v>113.066</v>
      </c>
      <c r="H94" s="4">
        <f t="shared" si="9"/>
        <v>634153.27419999999</v>
      </c>
      <c r="I94" s="5">
        <v>45511</v>
      </c>
      <c r="J94" s="4">
        <v>5736.27</v>
      </c>
      <c r="K94" s="4">
        <f t="shared" si="10"/>
        <v>57362.700000000004</v>
      </c>
      <c r="L94" s="1">
        <v>45511</v>
      </c>
      <c r="M94">
        <v>6.29</v>
      </c>
      <c r="N94" s="1">
        <v>45511</v>
      </c>
      <c r="O94">
        <v>6.18</v>
      </c>
      <c r="P94" s="1">
        <v>45511</v>
      </c>
      <c r="Q94">
        <v>6.16</v>
      </c>
      <c r="R94" s="1">
        <v>45511</v>
      </c>
      <c r="S94">
        <v>6.08</v>
      </c>
      <c r="T94" s="1">
        <v>45511</v>
      </c>
      <c r="U94">
        <v>6.09</v>
      </c>
      <c r="V94" s="1">
        <v>45511</v>
      </c>
      <c r="W94">
        <v>6.07</v>
      </c>
      <c r="X94" s="1">
        <v>45511</v>
      </c>
      <c r="Y94">
        <f>NETWORKDAYS(X94,$Z$1,FERIADO!$A$2:$A$408)</f>
        <v>1619</v>
      </c>
      <c r="Z94">
        <v>11.87</v>
      </c>
      <c r="AA94" s="6">
        <f t="shared" si="11"/>
        <v>48644.551786949181</v>
      </c>
      <c r="AB94" s="2">
        <f t="shared" si="12"/>
        <v>4.4286277810853168E-4</v>
      </c>
      <c r="AJ94" s="1">
        <v>45511</v>
      </c>
      <c r="AK94">
        <f>NETWORKDAYS(AJ94,$AJ$1,FERIADO!$A$2:$A$408)</f>
        <v>606</v>
      </c>
      <c r="AL94">
        <v>11.68</v>
      </c>
      <c r="AM94" s="6">
        <f t="shared" si="13"/>
        <v>76670.902078793108</v>
      </c>
      <c r="AN94" s="2">
        <f t="shared" si="14"/>
        <v>2.8404365187766897E-4</v>
      </c>
      <c r="AP94" s="11">
        <f t="shared" si="15"/>
        <v>2.2143138905426584E-4</v>
      </c>
      <c r="AQ94" s="11">
        <f t="shared" si="16"/>
        <v>8.5213095563300693E-5</v>
      </c>
      <c r="AR94" s="11">
        <f t="shared" si="17"/>
        <v>3.0664448461756652E-4</v>
      </c>
    </row>
    <row r="95" spans="2:44" x14ac:dyDescent="0.35">
      <c r="B95" s="1">
        <v>45510</v>
      </c>
      <c r="C95">
        <v>5294.73</v>
      </c>
      <c r="D95" s="1">
        <v>45510</v>
      </c>
      <c r="E95">
        <v>5.6521999999999997</v>
      </c>
      <c r="F95" s="1">
        <v>45510</v>
      </c>
      <c r="G95">
        <v>113.35899999999999</v>
      </c>
      <c r="H95" s="4">
        <f t="shared" si="9"/>
        <v>640727.73979999986</v>
      </c>
      <c r="I95" s="5">
        <v>45510</v>
      </c>
      <c r="J95" s="4">
        <v>5755.04</v>
      </c>
      <c r="K95" s="4">
        <f t="shared" si="10"/>
        <v>57550.400000000001</v>
      </c>
      <c r="L95" s="1">
        <v>45510</v>
      </c>
      <c r="M95">
        <v>6.31</v>
      </c>
      <c r="N95" s="1">
        <v>45510</v>
      </c>
      <c r="O95">
        <v>6.16</v>
      </c>
      <c r="P95" s="1">
        <v>45510</v>
      </c>
      <c r="Q95">
        <v>6.16</v>
      </c>
      <c r="R95" s="1">
        <v>45510</v>
      </c>
      <c r="S95">
        <v>6.1</v>
      </c>
      <c r="T95" s="1">
        <v>45510</v>
      </c>
      <c r="U95">
        <v>6.11</v>
      </c>
      <c r="V95" s="1">
        <v>45510</v>
      </c>
      <c r="W95">
        <v>6.08</v>
      </c>
      <c r="X95" s="1">
        <v>45510</v>
      </c>
      <c r="Y95">
        <f>NETWORKDAYS(X95,$Z$1,FERIADO!$A$2:$A$408)</f>
        <v>1620</v>
      </c>
      <c r="Z95">
        <v>11.88</v>
      </c>
      <c r="AA95" s="6">
        <f t="shared" si="11"/>
        <v>48594.972798425697</v>
      </c>
      <c r="AB95" s="2">
        <f t="shared" si="12"/>
        <v>-3.3044929644173542E-3</v>
      </c>
      <c r="AJ95" s="1">
        <v>45510</v>
      </c>
      <c r="AK95">
        <f>NETWORKDAYS(AJ95,$AJ$1,FERIADO!$A$2:$A$408)</f>
        <v>607</v>
      </c>
      <c r="AL95">
        <v>11.69</v>
      </c>
      <c r="AM95" s="6">
        <f t="shared" si="13"/>
        <v>76620.773044846341</v>
      </c>
      <c r="AN95" s="2">
        <f t="shared" si="14"/>
        <v>-2.5806758699004752E-3</v>
      </c>
      <c r="AP95" s="11">
        <f t="shared" si="15"/>
        <v>-1.6522464822086771E-3</v>
      </c>
      <c r="AQ95" s="11">
        <f t="shared" si="16"/>
        <v>-7.7420276097014257E-4</v>
      </c>
      <c r="AR95" s="11">
        <f t="shared" si="17"/>
        <v>-2.4264492431788198E-3</v>
      </c>
    </row>
    <row r="96" spans="2:44" x14ac:dyDescent="0.35">
      <c r="B96" s="1">
        <v>45509</v>
      </c>
      <c r="C96">
        <v>5296.34</v>
      </c>
      <c r="D96" s="1">
        <v>45509</v>
      </c>
      <c r="E96">
        <v>5.7640000000000002</v>
      </c>
      <c r="F96" s="1">
        <v>45509</v>
      </c>
      <c r="G96">
        <v>114.16</v>
      </c>
      <c r="H96" s="4">
        <f t="shared" si="9"/>
        <v>658018.24</v>
      </c>
      <c r="I96" s="5">
        <v>45509</v>
      </c>
      <c r="J96" s="4">
        <v>5819.46</v>
      </c>
      <c r="K96" s="4">
        <f t="shared" si="10"/>
        <v>58194.6</v>
      </c>
      <c r="L96" s="1">
        <v>45509</v>
      </c>
      <c r="M96">
        <v>6.1</v>
      </c>
      <c r="N96" s="1">
        <v>45509</v>
      </c>
      <c r="O96">
        <v>6</v>
      </c>
      <c r="P96" s="1">
        <v>45509</v>
      </c>
      <c r="Q96">
        <v>6.01</v>
      </c>
      <c r="R96" s="1">
        <v>45509</v>
      </c>
      <c r="S96">
        <v>6.01</v>
      </c>
      <c r="T96" s="1">
        <v>45509</v>
      </c>
      <c r="U96">
        <v>6.03</v>
      </c>
      <c r="V96" s="1">
        <v>45509</v>
      </c>
      <c r="W96">
        <v>6.03</v>
      </c>
      <c r="X96" s="1">
        <v>45509</v>
      </c>
      <c r="Y96">
        <f>NETWORKDAYS(X96,$Z$1,FERIADO!$A$2:$A$408)</f>
        <v>1621</v>
      </c>
      <c r="Z96">
        <v>11.74</v>
      </c>
      <c r="AA96" s="6">
        <f t="shared" si="11"/>
        <v>48966.136209848075</v>
      </c>
      <c r="AB96" s="2">
        <f t="shared" si="12"/>
        <v>9.4169747738988036E-4</v>
      </c>
      <c r="AJ96" s="1">
        <v>45509</v>
      </c>
      <c r="AK96">
        <f>NETWORKDAYS(AJ96,$AJ$1,FERIADO!$A$2:$A$408)</f>
        <v>608</v>
      </c>
      <c r="AL96">
        <v>11.395</v>
      </c>
      <c r="AM96" s="6">
        <f t="shared" si="13"/>
        <v>77077.426403298741</v>
      </c>
      <c r="AN96" s="2">
        <f t="shared" si="14"/>
        <v>5.1568732375230179E-4</v>
      </c>
      <c r="AP96" s="11">
        <f t="shared" si="15"/>
        <v>4.7084873869494018E-4</v>
      </c>
      <c r="AQ96" s="11">
        <f t="shared" si="16"/>
        <v>1.5470619712569053E-4</v>
      </c>
      <c r="AR96" s="11">
        <f t="shared" si="17"/>
        <v>6.2555493582063069E-4</v>
      </c>
    </row>
    <row r="97" spans="2:44" x14ac:dyDescent="0.35">
      <c r="B97" s="1">
        <v>45506</v>
      </c>
      <c r="C97">
        <v>5409.89</v>
      </c>
      <c r="D97" s="1">
        <v>45506</v>
      </c>
      <c r="E97">
        <v>5.7359999999999998</v>
      </c>
      <c r="F97" s="1">
        <v>45506</v>
      </c>
      <c r="G97">
        <v>114.089</v>
      </c>
      <c r="H97" s="4">
        <f t="shared" si="9"/>
        <v>654414.50399999996</v>
      </c>
      <c r="I97" s="5">
        <v>45506</v>
      </c>
      <c r="J97" s="4">
        <v>5832.65</v>
      </c>
      <c r="K97" s="4">
        <f t="shared" si="10"/>
        <v>58326.5</v>
      </c>
      <c r="L97" s="1">
        <v>45506</v>
      </c>
      <c r="M97">
        <v>6.14</v>
      </c>
      <c r="N97" s="1">
        <v>45506</v>
      </c>
      <c r="O97">
        <v>6.06</v>
      </c>
      <c r="P97" s="1">
        <v>45506</v>
      </c>
      <c r="Q97">
        <v>6.07</v>
      </c>
      <c r="R97" s="1">
        <v>45506</v>
      </c>
      <c r="S97">
        <v>6.04</v>
      </c>
      <c r="T97" s="1">
        <v>45506</v>
      </c>
      <c r="U97">
        <v>6.05</v>
      </c>
      <c r="V97" s="1">
        <v>45506</v>
      </c>
      <c r="W97">
        <v>5.99</v>
      </c>
      <c r="X97" s="1">
        <v>45506</v>
      </c>
      <c r="Y97">
        <f>NETWORKDAYS(X97,$Z$1,FERIADO!$A$2:$A$408)</f>
        <v>1622</v>
      </c>
      <c r="Z97">
        <v>11.77</v>
      </c>
      <c r="AA97" s="6">
        <f t="shared" si="11"/>
        <v>48860.076076600839</v>
      </c>
      <c r="AB97" s="2">
        <f t="shared" si="12"/>
        <v>7.4396675280264338E-3</v>
      </c>
      <c r="AJ97" s="1">
        <v>45506</v>
      </c>
      <c r="AK97">
        <f>NETWORKDAYS(AJ97,$AJ$1,FERIADO!$A$2:$A$408)</f>
        <v>609</v>
      </c>
      <c r="AL97">
        <v>11.43</v>
      </c>
      <c r="AM97" s="6">
        <f t="shared" si="13"/>
        <v>76985.957908625525</v>
      </c>
      <c r="AN97" s="2">
        <f t="shared" si="14"/>
        <v>3.7654661629621055E-3</v>
      </c>
      <c r="AP97" s="11">
        <f t="shared" si="15"/>
        <v>3.7198337640132169E-3</v>
      </c>
      <c r="AQ97" s="11">
        <f t="shared" si="16"/>
        <v>1.1296398488886317E-3</v>
      </c>
      <c r="AR97" s="11">
        <f t="shared" si="17"/>
        <v>4.849473612901849E-3</v>
      </c>
    </row>
    <row r="98" spans="2:44" x14ac:dyDescent="0.35">
      <c r="B98" s="1">
        <v>45505</v>
      </c>
      <c r="C98">
        <v>5525.38</v>
      </c>
      <c r="D98" s="1">
        <v>45505</v>
      </c>
      <c r="E98">
        <v>5.6675000000000004</v>
      </c>
      <c r="F98" s="1">
        <v>45505</v>
      </c>
      <c r="G98">
        <v>112.754</v>
      </c>
      <c r="H98" s="4">
        <f t="shared" si="9"/>
        <v>639033.29500000004</v>
      </c>
      <c r="I98" s="5">
        <v>45505</v>
      </c>
      <c r="J98" s="4">
        <v>5854.46</v>
      </c>
      <c r="K98" s="4">
        <f t="shared" si="10"/>
        <v>58544.6</v>
      </c>
      <c r="L98" s="1">
        <v>45505</v>
      </c>
      <c r="M98">
        <v>6.34</v>
      </c>
      <c r="N98" s="1">
        <v>45505</v>
      </c>
      <c r="O98">
        <v>6.28</v>
      </c>
      <c r="P98" s="1">
        <v>45505</v>
      </c>
      <c r="Q98">
        <v>6.29</v>
      </c>
      <c r="R98" s="1">
        <v>45505</v>
      </c>
      <c r="S98">
        <v>6.22</v>
      </c>
      <c r="T98" s="1">
        <v>45505</v>
      </c>
      <c r="U98">
        <v>6.21</v>
      </c>
      <c r="V98" s="1">
        <v>45505</v>
      </c>
      <c r="W98">
        <v>6.16</v>
      </c>
      <c r="X98" s="1">
        <v>45505</v>
      </c>
      <c r="Y98">
        <f>NETWORKDAYS(X98,$Z$1,FERIADO!$A$2:$A$408)</f>
        <v>1623</v>
      </c>
      <c r="Z98">
        <v>12.06</v>
      </c>
      <c r="AA98" s="6">
        <f t="shared" si="11"/>
        <v>48030.208433224005</v>
      </c>
      <c r="AB98" s="2">
        <f t="shared" si="12"/>
        <v>-2.3024611184380215E-3</v>
      </c>
      <c r="AJ98" s="1">
        <v>45505</v>
      </c>
      <c r="AK98">
        <f>NETWORKDAYS(AJ98,$AJ$1,FERIADO!$A$2:$A$408)</f>
        <v>610</v>
      </c>
      <c r="AL98">
        <v>11.81</v>
      </c>
      <c r="AM98" s="6">
        <f t="shared" si="13"/>
        <v>76321.351410594783</v>
      </c>
      <c r="AN98" s="2">
        <f t="shared" si="14"/>
        <v>3.8072045292081666E-4</v>
      </c>
      <c r="AP98" s="11">
        <f t="shared" si="15"/>
        <v>-1.1512305592190108E-3</v>
      </c>
      <c r="AQ98" s="11">
        <f t="shared" si="16"/>
        <v>1.1421613587624499E-4</v>
      </c>
      <c r="AR98" s="11">
        <f t="shared" si="17"/>
        <v>-1.0370144233427657E-3</v>
      </c>
    </row>
    <row r="99" spans="2:44" x14ac:dyDescent="0.35">
      <c r="B99" s="1">
        <v>45504</v>
      </c>
      <c r="C99">
        <v>5626.5</v>
      </c>
      <c r="D99" s="1">
        <v>45504</v>
      </c>
      <c r="E99">
        <v>5.6615000000000002</v>
      </c>
      <c r="F99" s="1">
        <v>45504</v>
      </c>
      <c r="G99">
        <v>112.289</v>
      </c>
      <c r="H99" s="4">
        <f t="shared" si="9"/>
        <v>635724.17350000003</v>
      </c>
      <c r="I99" s="5">
        <v>45504</v>
      </c>
      <c r="J99" s="4">
        <v>5760.11</v>
      </c>
      <c r="K99" s="4">
        <f t="shared" si="10"/>
        <v>57601.1</v>
      </c>
      <c r="L99" s="1">
        <v>45504</v>
      </c>
      <c r="M99">
        <v>6.5</v>
      </c>
      <c r="N99" s="1">
        <v>45504</v>
      </c>
      <c r="O99">
        <v>6.41</v>
      </c>
      <c r="P99" s="1">
        <v>45504</v>
      </c>
      <c r="Q99">
        <v>6.38</v>
      </c>
      <c r="R99" s="1">
        <v>45504</v>
      </c>
      <c r="S99">
        <v>6.28</v>
      </c>
      <c r="T99" s="1">
        <v>45504</v>
      </c>
      <c r="U99">
        <v>6.28</v>
      </c>
      <c r="V99" s="1">
        <v>45504</v>
      </c>
      <c r="W99">
        <v>6.22</v>
      </c>
      <c r="X99" s="1">
        <v>45504</v>
      </c>
      <c r="Y99">
        <f>NETWORKDAYS(X99,$Z$1,FERIADO!$A$2:$A$408)</f>
        <v>1624</v>
      </c>
      <c r="Z99">
        <v>11.96</v>
      </c>
      <c r="AA99" s="6">
        <f t="shared" si="11"/>
        <v>48285.522183056659</v>
      </c>
      <c r="AB99" s="2">
        <f t="shared" si="12"/>
        <v>3.9442059502139519E-3</v>
      </c>
      <c r="AJ99" s="1">
        <v>45504</v>
      </c>
      <c r="AK99">
        <f>NETWORKDAYS(AJ99,$AJ$1,FERIADO!$A$2:$A$408)</f>
        <v>611</v>
      </c>
      <c r="AL99">
        <v>11.83</v>
      </c>
      <c r="AM99" s="6">
        <f t="shared" si="13"/>
        <v>76254.474284400712</v>
      </c>
      <c r="AN99" s="2">
        <f t="shared" si="14"/>
        <v>1.0411777583160292E-3</v>
      </c>
      <c r="AP99" s="11">
        <f t="shared" si="15"/>
        <v>1.972102975106976E-3</v>
      </c>
      <c r="AQ99" s="11">
        <f t="shared" si="16"/>
        <v>3.1235332749480875E-4</v>
      </c>
      <c r="AR99" s="11">
        <f t="shared" si="17"/>
        <v>2.2844563026017846E-3</v>
      </c>
    </row>
    <row r="100" spans="2:44" x14ac:dyDescent="0.35">
      <c r="B100" s="1">
        <v>45503</v>
      </c>
      <c r="C100">
        <v>5506.84</v>
      </c>
      <c r="D100" s="1">
        <v>45503</v>
      </c>
      <c r="E100">
        <v>5.6525999999999996</v>
      </c>
      <c r="F100" s="1">
        <v>45503</v>
      </c>
      <c r="G100">
        <v>111.57</v>
      </c>
      <c r="H100" s="4">
        <f t="shared" si="9"/>
        <v>630660.58199999982</v>
      </c>
      <c r="I100" s="5">
        <v>45503</v>
      </c>
      <c r="J100" s="4">
        <v>5710.4</v>
      </c>
      <c r="K100" s="4">
        <f t="shared" si="10"/>
        <v>57104</v>
      </c>
      <c r="L100" s="1">
        <v>45503</v>
      </c>
      <c r="M100">
        <v>6.52</v>
      </c>
      <c r="N100" s="1">
        <v>45503</v>
      </c>
      <c r="O100">
        <v>6.46</v>
      </c>
      <c r="P100" s="1">
        <v>45503</v>
      </c>
      <c r="Q100">
        <v>6.42</v>
      </c>
      <c r="R100" s="1">
        <v>45503</v>
      </c>
      <c r="S100">
        <v>6.31</v>
      </c>
      <c r="T100" s="1">
        <v>45503</v>
      </c>
      <c r="U100">
        <v>6.3</v>
      </c>
      <c r="V100" s="1">
        <v>45503</v>
      </c>
      <c r="W100">
        <v>6.27</v>
      </c>
      <c r="X100" s="1">
        <v>45503</v>
      </c>
      <c r="Y100">
        <f>NETWORKDAYS(X100,$Z$1,FERIADO!$A$2:$A$408)</f>
        <v>1625</v>
      </c>
      <c r="Z100">
        <v>12.11</v>
      </c>
      <c r="AA100" s="6">
        <f t="shared" si="11"/>
        <v>47848.984645197525</v>
      </c>
      <c r="AB100" s="2">
        <f t="shared" si="12"/>
        <v>1.9461328571230667E-3</v>
      </c>
      <c r="AJ100" s="1">
        <v>45503</v>
      </c>
      <c r="AK100">
        <f>NETWORKDAYS(AJ100,$AJ$1,FERIADO!$A$2:$A$408)</f>
        <v>612</v>
      </c>
      <c r="AL100">
        <v>11.92</v>
      </c>
      <c r="AM100" s="6">
        <f t="shared" si="13"/>
        <v>76071.880740729699</v>
      </c>
      <c r="AN100" s="2">
        <f t="shared" si="14"/>
        <v>9.9610816383067851E-4</v>
      </c>
      <c r="AP100" s="11">
        <f t="shared" si="15"/>
        <v>9.7306642856153334E-4</v>
      </c>
      <c r="AQ100" s="11">
        <f t="shared" si="16"/>
        <v>2.9883244914920352E-4</v>
      </c>
      <c r="AR100" s="11">
        <f t="shared" si="17"/>
        <v>1.2718988777107368E-3</v>
      </c>
    </row>
    <row r="101" spans="2:44" x14ac:dyDescent="0.35">
      <c r="B101" s="1">
        <v>45502</v>
      </c>
      <c r="C101">
        <v>5554.3</v>
      </c>
      <c r="D101" s="1">
        <v>45502</v>
      </c>
      <c r="E101">
        <v>5.6473000000000004</v>
      </c>
      <c r="F101" s="1">
        <v>45502</v>
      </c>
      <c r="G101">
        <v>111.383</v>
      </c>
      <c r="H101" s="4">
        <f t="shared" si="9"/>
        <v>629013.21589999995</v>
      </c>
      <c r="I101" s="5">
        <v>45502</v>
      </c>
      <c r="J101" s="4">
        <v>5714.98</v>
      </c>
      <c r="K101" s="4">
        <f t="shared" si="10"/>
        <v>57149.799999999996</v>
      </c>
      <c r="L101" s="1">
        <v>45502</v>
      </c>
      <c r="M101">
        <v>6.57</v>
      </c>
      <c r="N101" s="1">
        <v>45502</v>
      </c>
      <c r="O101">
        <v>6.51</v>
      </c>
      <c r="P101" s="1">
        <v>45502</v>
      </c>
      <c r="Q101">
        <v>6.46</v>
      </c>
      <c r="R101" s="1">
        <v>45502</v>
      </c>
      <c r="S101">
        <v>6.34</v>
      </c>
      <c r="T101" s="1">
        <v>45502</v>
      </c>
      <c r="U101">
        <v>6.32</v>
      </c>
      <c r="V101" s="1">
        <v>45502</v>
      </c>
      <c r="W101">
        <v>6.28</v>
      </c>
      <c r="X101" s="1">
        <v>45502</v>
      </c>
      <c r="Y101">
        <f>NETWORKDAYS(X101,$Z$1,FERIADO!$A$2:$A$408)</f>
        <v>1626</v>
      </c>
      <c r="Z101">
        <v>12.18</v>
      </c>
      <c r="AA101" s="6">
        <f t="shared" si="11"/>
        <v>47635.046514322814</v>
      </c>
      <c r="AB101" s="2">
        <f t="shared" si="12"/>
        <v>1.9807712568857495E-4</v>
      </c>
      <c r="AJ101" s="1">
        <v>45502</v>
      </c>
      <c r="AK101">
        <f>NETWORKDAYS(AJ101,$AJ$1,FERIADO!$A$2:$A$408)</f>
        <v>613</v>
      </c>
      <c r="AL101">
        <v>12.005000000000001</v>
      </c>
      <c r="AM101" s="6">
        <f t="shared" si="13"/>
        <v>75897.60040702844</v>
      </c>
      <c r="AN101" s="2">
        <f t="shared" si="14"/>
        <v>-2.7709155834055015E-4</v>
      </c>
      <c r="AP101" s="11">
        <f t="shared" si="15"/>
        <v>9.9038562844287476E-5</v>
      </c>
      <c r="AQ101" s="11">
        <f t="shared" si="16"/>
        <v>-8.3127467502165038E-5</v>
      </c>
      <c r="AR101" s="11">
        <f t="shared" si="17"/>
        <v>1.5911095342122439E-5</v>
      </c>
    </row>
    <row r="102" spans="2:44" x14ac:dyDescent="0.35">
      <c r="B102" s="1">
        <v>45499</v>
      </c>
      <c r="C102">
        <v>5550.28</v>
      </c>
      <c r="D102" s="1">
        <v>45499</v>
      </c>
      <c r="E102">
        <v>5.6459000000000001</v>
      </c>
      <c r="F102" s="1">
        <v>45499</v>
      </c>
      <c r="G102">
        <v>111.262</v>
      </c>
      <c r="H102" s="4">
        <f t="shared" si="9"/>
        <v>628174.12580000004</v>
      </c>
      <c r="I102" s="5">
        <v>45499</v>
      </c>
      <c r="J102" s="4">
        <v>5768.91</v>
      </c>
      <c r="K102" s="4">
        <f t="shared" si="10"/>
        <v>57689.1</v>
      </c>
      <c r="L102" s="1">
        <v>45499</v>
      </c>
      <c r="M102">
        <v>6.61</v>
      </c>
      <c r="N102" s="1">
        <v>45499</v>
      </c>
      <c r="O102">
        <v>6.52</v>
      </c>
      <c r="P102" s="1">
        <v>45499</v>
      </c>
      <c r="Q102">
        <v>6.47</v>
      </c>
      <c r="R102" s="1">
        <v>45499</v>
      </c>
      <c r="S102">
        <v>6.33</v>
      </c>
      <c r="T102" s="1">
        <v>45499</v>
      </c>
      <c r="U102">
        <v>6.33</v>
      </c>
      <c r="V102" s="1">
        <v>45499</v>
      </c>
      <c r="W102">
        <v>6.26</v>
      </c>
      <c r="X102" s="1">
        <v>45499</v>
      </c>
      <c r="Y102">
        <f>NETWORKDAYS(X102,$Z$1,FERIADO!$A$2:$A$408)</f>
        <v>1627</v>
      </c>
      <c r="Z102">
        <v>12.18</v>
      </c>
      <c r="AA102" s="6">
        <f t="shared" si="11"/>
        <v>47613.325626492922</v>
      </c>
      <c r="AB102" s="2">
        <f t="shared" si="12"/>
        <v>2.1982056897101357E-3</v>
      </c>
      <c r="AJ102" s="1">
        <v>45499</v>
      </c>
      <c r="AK102">
        <f>NETWORKDAYS(AJ102,$AJ$1,FERIADO!$A$2:$A$408)</f>
        <v>614</v>
      </c>
      <c r="AL102">
        <v>11.955</v>
      </c>
      <c r="AM102" s="6">
        <f t="shared" si="13"/>
        <v>75946.040568517856</v>
      </c>
      <c r="AN102" s="2">
        <f t="shared" si="14"/>
        <v>9.0440924723440039E-4</v>
      </c>
      <c r="AP102" s="11">
        <f t="shared" si="15"/>
        <v>1.0991028448550679E-3</v>
      </c>
      <c r="AQ102" s="11">
        <f t="shared" si="16"/>
        <v>2.7132277417032008E-4</v>
      </c>
      <c r="AR102" s="11">
        <f t="shared" si="17"/>
        <v>1.370425619025388E-3</v>
      </c>
    </row>
    <row r="103" spans="2:44" x14ac:dyDescent="0.35">
      <c r="B103" s="1">
        <v>45498</v>
      </c>
      <c r="C103">
        <v>5496.85</v>
      </c>
      <c r="D103" s="1">
        <v>45498</v>
      </c>
      <c r="E103">
        <v>5.6395999999999997</v>
      </c>
      <c r="F103" s="1">
        <v>45498</v>
      </c>
      <c r="G103">
        <v>110.89100000000001</v>
      </c>
      <c r="H103" s="4">
        <f t="shared" si="9"/>
        <v>625380.88359999994</v>
      </c>
      <c r="I103" s="5">
        <v>45498</v>
      </c>
      <c r="J103" s="4">
        <v>5739.91</v>
      </c>
      <c r="K103" s="4">
        <f t="shared" si="10"/>
        <v>57399.1</v>
      </c>
      <c r="L103" s="1">
        <v>45498</v>
      </c>
      <c r="M103">
        <v>6.61</v>
      </c>
      <c r="N103" s="1">
        <v>45498</v>
      </c>
      <c r="O103">
        <v>6.54</v>
      </c>
      <c r="P103" s="1">
        <v>45498</v>
      </c>
      <c r="Q103">
        <v>6.49</v>
      </c>
      <c r="R103" s="1">
        <v>45498</v>
      </c>
      <c r="S103">
        <v>6.37</v>
      </c>
      <c r="T103" s="1">
        <v>45498</v>
      </c>
      <c r="U103">
        <v>6.38</v>
      </c>
      <c r="V103" s="1">
        <v>45498</v>
      </c>
      <c r="W103">
        <v>6.31</v>
      </c>
      <c r="X103" s="1">
        <v>45498</v>
      </c>
      <c r="Y103">
        <f>NETWORKDAYS(X103,$Z$1,FERIADO!$A$2:$A$408)</f>
        <v>1628</v>
      </c>
      <c r="Z103">
        <v>12.26</v>
      </c>
      <c r="AA103" s="6">
        <f t="shared" si="11"/>
        <v>47372.937012426191</v>
      </c>
      <c r="AB103" s="2">
        <f t="shared" si="12"/>
        <v>-1.802051438333163E-3</v>
      </c>
      <c r="AJ103" s="1">
        <v>45498</v>
      </c>
      <c r="AK103">
        <f>NETWORKDAYS(AJ103,$AJ$1,FERIADO!$A$2:$A$408)</f>
        <v>615</v>
      </c>
      <c r="AL103">
        <v>12.03</v>
      </c>
      <c r="AM103" s="6">
        <f t="shared" si="13"/>
        <v>75788.049078961514</v>
      </c>
      <c r="AN103" s="2">
        <f t="shared" si="14"/>
        <v>-1.7960796134905692E-3</v>
      </c>
      <c r="AP103" s="11">
        <f t="shared" si="15"/>
        <v>-9.010257191665815E-4</v>
      </c>
      <c r="AQ103" s="11">
        <f t="shared" si="16"/>
        <v>-5.3882388404717077E-4</v>
      </c>
      <c r="AR103" s="11">
        <f t="shared" si="17"/>
        <v>-1.4398496032137524E-3</v>
      </c>
    </row>
    <row r="104" spans="2:44" x14ac:dyDescent="0.35">
      <c r="B104" s="1">
        <v>45497</v>
      </c>
      <c r="C104">
        <v>5533.98</v>
      </c>
      <c r="D104" s="1">
        <v>45497</v>
      </c>
      <c r="E104">
        <v>5.6340000000000003</v>
      </c>
      <c r="F104" s="1">
        <v>45497</v>
      </c>
      <c r="G104">
        <v>110.68</v>
      </c>
      <c r="H104" s="4">
        <f t="shared" si="9"/>
        <v>623571.12000000011</v>
      </c>
      <c r="I104" s="5">
        <v>45497</v>
      </c>
      <c r="J104" s="4">
        <v>5758.74</v>
      </c>
      <c r="K104" s="4">
        <f t="shared" si="10"/>
        <v>57587.399999999994</v>
      </c>
      <c r="L104" s="1">
        <v>45497</v>
      </c>
      <c r="M104">
        <v>6.55</v>
      </c>
      <c r="N104" s="1">
        <v>45497</v>
      </c>
      <c r="O104">
        <v>6.48</v>
      </c>
      <c r="P104" s="1">
        <v>45497</v>
      </c>
      <c r="Q104">
        <v>6.46</v>
      </c>
      <c r="R104" s="1">
        <v>45497</v>
      </c>
      <c r="S104">
        <v>6.38</v>
      </c>
      <c r="T104" s="1">
        <v>45497</v>
      </c>
      <c r="U104">
        <v>6.38</v>
      </c>
      <c r="V104" s="1">
        <v>45497</v>
      </c>
      <c r="W104">
        <v>6.34</v>
      </c>
      <c r="X104" s="1">
        <v>45497</v>
      </c>
      <c r="Y104">
        <f>NETWORKDAYS(X104,$Z$1,FERIADO!$A$2:$A$408)</f>
        <v>1629</v>
      </c>
      <c r="Z104">
        <v>12.18</v>
      </c>
      <c r="AA104" s="6">
        <f t="shared" si="11"/>
        <v>47569.913559542932</v>
      </c>
      <c r="AB104" s="2">
        <f t="shared" si="12"/>
        <v>-3.0279244967098385E-4</v>
      </c>
      <c r="AJ104" s="1">
        <v>45497</v>
      </c>
      <c r="AK104">
        <f>NETWORKDAYS(AJ104,$AJ$1,FERIADO!$A$2:$A$408)</f>
        <v>616</v>
      </c>
      <c r="AL104">
        <v>11.82</v>
      </c>
      <c r="AM104" s="6">
        <f t="shared" si="13"/>
        <v>76102.129127300708</v>
      </c>
      <c r="AN104" s="2">
        <f t="shared" si="14"/>
        <v>-2.3546786163534784E-4</v>
      </c>
      <c r="AP104" s="11">
        <f t="shared" si="15"/>
        <v>-1.5139622483549192E-4</v>
      </c>
      <c r="AQ104" s="11">
        <f t="shared" si="16"/>
        <v>-7.064035849060435E-5</v>
      </c>
      <c r="AR104" s="11">
        <f t="shared" si="17"/>
        <v>-2.2203658332609627E-4</v>
      </c>
    </row>
    <row r="105" spans="2:44" x14ac:dyDescent="0.35">
      <c r="B105" s="1">
        <v>45496</v>
      </c>
      <c r="C105">
        <v>5661.01</v>
      </c>
      <c r="D105" s="1">
        <v>45496</v>
      </c>
      <c r="E105">
        <v>5.5800999999999998</v>
      </c>
      <c r="F105" s="1">
        <v>45496</v>
      </c>
      <c r="G105">
        <v>110.756</v>
      </c>
      <c r="H105" s="4">
        <f t="shared" si="9"/>
        <v>618029.55559999996</v>
      </c>
      <c r="I105" s="5">
        <v>45496</v>
      </c>
      <c r="J105" s="4">
        <v>5691.57</v>
      </c>
      <c r="K105" s="4">
        <f t="shared" si="10"/>
        <v>56915.7</v>
      </c>
      <c r="L105" s="1">
        <v>45496</v>
      </c>
      <c r="M105">
        <v>6.5</v>
      </c>
      <c r="N105" s="1">
        <v>45496</v>
      </c>
      <c r="O105">
        <v>6.47</v>
      </c>
      <c r="P105" s="1">
        <v>45496</v>
      </c>
      <c r="Q105">
        <v>6.44</v>
      </c>
      <c r="R105" s="1">
        <v>45496</v>
      </c>
      <c r="S105">
        <v>6.33</v>
      </c>
      <c r="T105" s="1">
        <v>45496</v>
      </c>
      <c r="U105">
        <v>6.37</v>
      </c>
      <c r="V105" s="1">
        <v>45496</v>
      </c>
      <c r="W105">
        <v>6.33</v>
      </c>
      <c r="X105" s="1">
        <v>45496</v>
      </c>
      <c r="Y105">
        <f>NETWORKDAYS(X105,$Z$1,FERIADO!$A$2:$A$408)</f>
        <v>1630</v>
      </c>
      <c r="Z105">
        <v>12.16</v>
      </c>
      <c r="AA105" s="6">
        <f t="shared" si="11"/>
        <v>47603.091123688981</v>
      </c>
      <c r="AB105" s="2">
        <f t="shared" si="12"/>
        <v>-3.3129724767517028E-3</v>
      </c>
      <c r="AJ105" s="1">
        <v>45496</v>
      </c>
      <c r="AK105">
        <f>NETWORKDAYS(AJ105,$AJ$1,FERIADO!$A$2:$A$408)</f>
        <v>617</v>
      </c>
      <c r="AL105">
        <v>11.775</v>
      </c>
      <c r="AM105" s="6">
        <f t="shared" si="13"/>
        <v>76143.40173173217</v>
      </c>
      <c r="AN105" s="2">
        <f t="shared" si="14"/>
        <v>-1.0475905787111638E-3</v>
      </c>
      <c r="AP105" s="11">
        <f t="shared" si="15"/>
        <v>-1.6564862383758514E-3</v>
      </c>
      <c r="AQ105" s="11">
        <f t="shared" si="16"/>
        <v>-3.1427717361334913E-4</v>
      </c>
      <c r="AR105" s="11">
        <f t="shared" si="17"/>
        <v>-1.9707634119892005E-3</v>
      </c>
    </row>
    <row r="106" spans="2:44" x14ac:dyDescent="0.35">
      <c r="B106" s="1">
        <v>45495</v>
      </c>
      <c r="C106">
        <v>5662.37</v>
      </c>
      <c r="D106" s="1">
        <v>45495</v>
      </c>
      <c r="E106">
        <v>5.5591999999999997</v>
      </c>
      <c r="F106" s="1">
        <v>45495</v>
      </c>
      <c r="G106">
        <v>110.71</v>
      </c>
      <c r="H106" s="4">
        <f t="shared" si="9"/>
        <v>615459.03200000001</v>
      </c>
      <c r="I106" s="5">
        <v>45495</v>
      </c>
      <c r="J106" s="4">
        <v>5676.82</v>
      </c>
      <c r="K106" s="4">
        <f t="shared" si="10"/>
        <v>56768.2</v>
      </c>
      <c r="L106" s="1">
        <v>45495</v>
      </c>
      <c r="M106">
        <v>6.44</v>
      </c>
      <c r="N106" s="1">
        <v>45495</v>
      </c>
      <c r="O106">
        <v>6.37</v>
      </c>
      <c r="P106" s="1">
        <v>45495</v>
      </c>
      <c r="Q106">
        <v>6.32</v>
      </c>
      <c r="R106" s="1">
        <v>45495</v>
      </c>
      <c r="S106">
        <v>6.25</v>
      </c>
      <c r="T106" s="1">
        <v>45495</v>
      </c>
      <c r="U106">
        <v>6.28</v>
      </c>
      <c r="V106" s="1">
        <v>45495</v>
      </c>
      <c r="W106">
        <v>6.26</v>
      </c>
      <c r="X106" s="1">
        <v>45495</v>
      </c>
      <c r="Y106">
        <f>NETWORKDAYS(X106,$Z$1,FERIADO!$A$2:$A$408)</f>
        <v>1631</v>
      </c>
      <c r="Z106">
        <v>12.02</v>
      </c>
      <c r="AA106" s="6">
        <f t="shared" si="11"/>
        <v>47967.615193635815</v>
      </c>
      <c r="AB106" s="2">
        <f t="shared" si="12"/>
        <v>3.7085121642325006E-3</v>
      </c>
      <c r="AJ106" s="1">
        <v>45495</v>
      </c>
      <c r="AK106">
        <f>NETWORKDAYS(AJ106,$AJ$1,FERIADO!$A$2:$A$408)</f>
        <v>618</v>
      </c>
      <c r="AL106">
        <v>11.645</v>
      </c>
      <c r="AM106" s="6">
        <f t="shared" si="13"/>
        <v>76327.293990989681</v>
      </c>
      <c r="AN106" s="2">
        <f t="shared" si="14"/>
        <v>1.0017127094336673E-3</v>
      </c>
      <c r="AP106" s="11">
        <f t="shared" si="15"/>
        <v>1.8542560821162503E-3</v>
      </c>
      <c r="AQ106" s="11">
        <f t="shared" si="16"/>
        <v>3.0051381283010018E-4</v>
      </c>
      <c r="AR106" s="11">
        <f t="shared" si="17"/>
        <v>2.1547698949463505E-3</v>
      </c>
    </row>
    <row r="107" spans="2:44" x14ac:dyDescent="0.35">
      <c r="B107" s="1">
        <v>45492</v>
      </c>
      <c r="C107">
        <v>5608.17</v>
      </c>
      <c r="D107" s="1">
        <v>45492</v>
      </c>
      <c r="E107">
        <v>5.5537000000000001</v>
      </c>
      <c r="F107" s="1">
        <v>45492</v>
      </c>
      <c r="G107">
        <v>110.83</v>
      </c>
      <c r="H107" s="4">
        <f t="shared" si="9"/>
        <v>615516.571</v>
      </c>
      <c r="I107" s="5">
        <v>45492</v>
      </c>
      <c r="J107" s="4">
        <v>5718.03</v>
      </c>
      <c r="K107" s="4">
        <f t="shared" si="10"/>
        <v>57180.299999999996</v>
      </c>
      <c r="L107" s="1">
        <v>45492</v>
      </c>
      <c r="M107">
        <v>6.42</v>
      </c>
      <c r="N107" s="1">
        <v>45492</v>
      </c>
      <c r="O107">
        <v>6.42</v>
      </c>
      <c r="P107" s="1">
        <v>45492</v>
      </c>
      <c r="Q107">
        <v>6.36</v>
      </c>
      <c r="R107" s="1">
        <v>45492</v>
      </c>
      <c r="S107">
        <v>6.28</v>
      </c>
      <c r="T107" s="1">
        <v>45492</v>
      </c>
      <c r="U107">
        <v>6.3</v>
      </c>
      <c r="V107" s="1">
        <v>45492</v>
      </c>
      <c r="W107">
        <v>6.26</v>
      </c>
      <c r="X107" s="1">
        <v>45492</v>
      </c>
      <c r="Y107">
        <f>NETWORKDAYS(X107,$Z$1,FERIADO!$A$2:$A$408)</f>
        <v>1632</v>
      </c>
      <c r="Z107">
        <v>12.16</v>
      </c>
      <c r="AA107" s="6">
        <f t="shared" si="11"/>
        <v>47559.75568926055</v>
      </c>
      <c r="AB107" s="2">
        <f t="shared" si="12"/>
        <v>-3.3172774949251247E-3</v>
      </c>
      <c r="AJ107" s="1">
        <v>45492</v>
      </c>
      <c r="AK107">
        <f>NETWORKDAYS(AJ107,$AJ$1,FERIADO!$A$2:$A$408)</f>
        <v>619</v>
      </c>
      <c r="AL107">
        <v>11.73</v>
      </c>
      <c r="AM107" s="6">
        <f t="shared" si="13"/>
        <v>76151.445770270511</v>
      </c>
      <c r="AN107" s="2">
        <f t="shared" si="14"/>
        <v>-1.3400671722666596E-3</v>
      </c>
      <c r="AP107" s="11">
        <f t="shared" si="15"/>
        <v>-1.6586387474625624E-3</v>
      </c>
      <c r="AQ107" s="11">
        <f t="shared" si="16"/>
        <v>-4.0202015167999788E-4</v>
      </c>
      <c r="AR107" s="11">
        <f t="shared" si="17"/>
        <v>-2.0606588991425603E-3</v>
      </c>
    </row>
    <row r="108" spans="2:44" x14ac:dyDescent="0.35">
      <c r="B108" s="1">
        <v>45491</v>
      </c>
      <c r="C108">
        <v>5658.93</v>
      </c>
      <c r="D108" s="1">
        <v>45491</v>
      </c>
      <c r="E108">
        <v>5.5419999999999998</v>
      </c>
      <c r="F108" s="1">
        <v>45491</v>
      </c>
      <c r="G108">
        <v>111.117</v>
      </c>
      <c r="H108" s="4">
        <f t="shared" si="9"/>
        <v>615810.41399999999</v>
      </c>
      <c r="I108" s="5">
        <v>45491</v>
      </c>
      <c r="J108" s="4">
        <v>5656.46</v>
      </c>
      <c r="K108" s="4">
        <f t="shared" si="10"/>
        <v>56564.6</v>
      </c>
      <c r="L108" s="1">
        <v>45491</v>
      </c>
      <c r="M108">
        <v>6.43</v>
      </c>
      <c r="N108" s="1">
        <v>45491</v>
      </c>
      <c r="O108">
        <v>6.39</v>
      </c>
      <c r="P108" s="1">
        <v>45491</v>
      </c>
      <c r="Q108">
        <v>6.33</v>
      </c>
      <c r="R108" s="1">
        <v>45491</v>
      </c>
      <c r="S108">
        <v>6.25</v>
      </c>
      <c r="T108" s="1">
        <v>45491</v>
      </c>
      <c r="U108">
        <v>6.29</v>
      </c>
      <c r="V108" s="1">
        <v>45491</v>
      </c>
      <c r="W108">
        <v>6.23</v>
      </c>
      <c r="X108" s="1">
        <v>45491</v>
      </c>
      <c r="Y108">
        <f>NETWORKDAYS(X108,$Z$1,FERIADO!$A$2:$A$408)</f>
        <v>1633</v>
      </c>
      <c r="Z108">
        <v>12.02</v>
      </c>
      <c r="AA108" s="6">
        <f t="shared" si="11"/>
        <v>47924.422971690845</v>
      </c>
      <c r="AB108" s="2">
        <f t="shared" si="12"/>
        <v>-3.3259809776543538E-3</v>
      </c>
      <c r="AJ108" s="1">
        <v>45491</v>
      </c>
      <c r="AK108">
        <f>NETWORKDAYS(AJ108,$AJ$1,FERIADO!$A$2:$A$408)</f>
        <v>620</v>
      </c>
      <c r="AL108">
        <v>11.57</v>
      </c>
      <c r="AM108" s="6">
        <f t="shared" si="13"/>
        <v>76386.782988689374</v>
      </c>
      <c r="AN108" s="2">
        <f t="shared" si="14"/>
        <v>-1.0590606645849668E-3</v>
      </c>
      <c r="AP108" s="11">
        <f t="shared" si="15"/>
        <v>-1.6629904888271769E-3</v>
      </c>
      <c r="AQ108" s="11">
        <f t="shared" si="16"/>
        <v>-3.1771819937549006E-4</v>
      </c>
      <c r="AR108" s="11">
        <f t="shared" si="17"/>
        <v>-1.980708688202667E-3</v>
      </c>
    </row>
    <row r="109" spans="2:44" x14ac:dyDescent="0.35">
      <c r="B109" s="1">
        <v>45490</v>
      </c>
      <c r="C109">
        <v>5701.52</v>
      </c>
      <c r="D109" s="1">
        <v>45490</v>
      </c>
      <c r="E109">
        <v>5.4664000000000001</v>
      </c>
      <c r="F109" s="1">
        <v>45490</v>
      </c>
      <c r="G109">
        <v>111.39</v>
      </c>
      <c r="H109" s="4">
        <f t="shared" si="9"/>
        <v>608902.29599999997</v>
      </c>
      <c r="I109" s="5">
        <v>45490</v>
      </c>
      <c r="J109" s="4">
        <v>5595.41</v>
      </c>
      <c r="K109" s="4">
        <f t="shared" si="10"/>
        <v>55954.1</v>
      </c>
      <c r="L109" s="1">
        <v>45490</v>
      </c>
      <c r="M109">
        <v>6.24</v>
      </c>
      <c r="N109" s="1">
        <v>45490</v>
      </c>
      <c r="O109">
        <v>6.19</v>
      </c>
      <c r="P109" s="1">
        <v>45490</v>
      </c>
      <c r="Q109">
        <v>6.16</v>
      </c>
      <c r="R109" s="1">
        <v>45490</v>
      </c>
      <c r="S109">
        <v>6.13</v>
      </c>
      <c r="T109" s="1">
        <v>45490</v>
      </c>
      <c r="U109">
        <v>6.17</v>
      </c>
      <c r="V109" s="1">
        <v>45490</v>
      </c>
      <c r="W109">
        <v>6.15</v>
      </c>
      <c r="X109" s="1">
        <v>45490</v>
      </c>
      <c r="Y109">
        <f>NETWORKDAYS(X109,$Z$1,FERIADO!$A$2:$A$408)</f>
        <v>1634</v>
      </c>
      <c r="Z109">
        <v>11.88</v>
      </c>
      <c r="AA109" s="6">
        <f t="shared" si="11"/>
        <v>48292.854166114637</v>
      </c>
      <c r="AB109" s="2">
        <f t="shared" si="12"/>
        <v>-8.1413450134890509E-4</v>
      </c>
      <c r="AJ109" s="1">
        <v>45490</v>
      </c>
      <c r="AK109">
        <f>NETWORKDAYS(AJ109,$AJ$1,FERIADO!$A$2:$A$408)</f>
        <v>621</v>
      </c>
      <c r="AL109">
        <v>11.44</v>
      </c>
      <c r="AM109" s="6">
        <f t="shared" si="13"/>
        <v>76573.285371433958</v>
      </c>
      <c r="AN109" s="2">
        <f t="shared" si="14"/>
        <v>-6.7939495675739699E-4</v>
      </c>
      <c r="AP109" s="11">
        <f t="shared" si="15"/>
        <v>-4.0706725067445255E-4</v>
      </c>
      <c r="AQ109" s="11">
        <f t="shared" si="16"/>
        <v>-2.038184870272191E-4</v>
      </c>
      <c r="AR109" s="11">
        <f t="shared" si="17"/>
        <v>-6.108857377016717E-4</v>
      </c>
    </row>
    <row r="110" spans="2:44" x14ac:dyDescent="0.35">
      <c r="B110" s="1">
        <v>45489</v>
      </c>
      <c r="C110">
        <v>5775.49</v>
      </c>
      <c r="D110" s="1">
        <v>45489</v>
      </c>
      <c r="E110">
        <v>5.4268000000000001</v>
      </c>
      <c r="F110" s="1">
        <v>45489</v>
      </c>
      <c r="G110">
        <v>111.399</v>
      </c>
      <c r="H110" s="4">
        <f t="shared" si="9"/>
        <v>604540.0932</v>
      </c>
      <c r="I110" s="5">
        <v>45489</v>
      </c>
      <c r="J110" s="4">
        <v>5529.77</v>
      </c>
      <c r="K110" s="4">
        <f t="shared" si="10"/>
        <v>55297.700000000004</v>
      </c>
      <c r="L110" s="1">
        <v>45489</v>
      </c>
      <c r="M110">
        <v>6.18</v>
      </c>
      <c r="N110" s="1">
        <v>45489</v>
      </c>
      <c r="O110">
        <v>6.14</v>
      </c>
      <c r="P110" s="1">
        <v>45489</v>
      </c>
      <c r="Q110">
        <v>6.13</v>
      </c>
      <c r="R110" s="1">
        <v>45489</v>
      </c>
      <c r="S110">
        <v>6.1</v>
      </c>
      <c r="T110" s="1">
        <v>45489</v>
      </c>
      <c r="U110">
        <v>6.13</v>
      </c>
      <c r="V110" s="1">
        <v>45489</v>
      </c>
      <c r="W110">
        <v>6.15</v>
      </c>
      <c r="X110" s="1">
        <v>45489</v>
      </c>
      <c r="Y110">
        <f>NETWORKDAYS(X110,$Z$1,FERIADO!$A$2:$A$408)</f>
        <v>1635</v>
      </c>
      <c r="Z110">
        <v>11.84</v>
      </c>
      <c r="AA110" s="6">
        <f t="shared" si="11"/>
        <v>48383.46953289603</v>
      </c>
      <c r="AB110" s="2">
        <f t="shared" si="12"/>
        <v>1.4530556721117115E-3</v>
      </c>
      <c r="AJ110" s="1">
        <v>45489</v>
      </c>
      <c r="AK110">
        <f>NETWORKDAYS(AJ110,$AJ$1,FERIADO!$A$2:$A$408)</f>
        <v>622</v>
      </c>
      <c r="AL110">
        <v>11.35</v>
      </c>
      <c r="AM110" s="6">
        <f t="shared" si="13"/>
        <v>76693.167661370811</v>
      </c>
      <c r="AN110" s="2">
        <f t="shared" si="14"/>
        <v>1.0527370473598725E-3</v>
      </c>
      <c r="AP110" s="11">
        <f t="shared" si="15"/>
        <v>7.2652783605585576E-4</v>
      </c>
      <c r="AQ110" s="11">
        <f t="shared" si="16"/>
        <v>3.1582111420796176E-4</v>
      </c>
      <c r="AR110" s="11">
        <f t="shared" si="17"/>
        <v>1.0423489502638175E-3</v>
      </c>
    </row>
    <row r="111" spans="2:44" x14ac:dyDescent="0.35">
      <c r="B111" s="1">
        <v>45488</v>
      </c>
      <c r="C111">
        <v>5746.33</v>
      </c>
      <c r="D111" s="1">
        <v>45488</v>
      </c>
      <c r="E111">
        <v>5.4557000000000002</v>
      </c>
      <c r="F111" s="1">
        <v>45488</v>
      </c>
      <c r="G111">
        <v>111</v>
      </c>
      <c r="H111" s="4">
        <f t="shared" si="9"/>
        <v>605582.70000000007</v>
      </c>
      <c r="I111" s="5">
        <v>45488</v>
      </c>
      <c r="J111" s="4">
        <v>5556.23</v>
      </c>
      <c r="K111" s="4">
        <f t="shared" si="10"/>
        <v>55562.299999999996</v>
      </c>
      <c r="L111" s="1">
        <v>45488</v>
      </c>
      <c r="M111">
        <v>6.21</v>
      </c>
      <c r="N111" s="1">
        <v>45488</v>
      </c>
      <c r="O111">
        <v>6.19</v>
      </c>
      <c r="P111" s="1">
        <v>45488</v>
      </c>
      <c r="Q111">
        <v>6.16</v>
      </c>
      <c r="R111" s="1">
        <v>45488</v>
      </c>
      <c r="S111">
        <v>6.13</v>
      </c>
      <c r="T111" s="1">
        <v>45488</v>
      </c>
      <c r="U111">
        <v>6.18</v>
      </c>
      <c r="V111" s="1">
        <v>45488</v>
      </c>
      <c r="W111">
        <v>6.18</v>
      </c>
      <c r="X111" s="1">
        <v>45488</v>
      </c>
      <c r="Y111">
        <f>NETWORKDAYS(X111,$Z$1,FERIADO!$A$2:$A$408)</f>
        <v>1636</v>
      </c>
      <c r="Z111">
        <v>11.89</v>
      </c>
      <c r="AA111" s="6">
        <f t="shared" si="11"/>
        <v>48221.859385814729</v>
      </c>
      <c r="AB111" s="2">
        <f t="shared" si="12"/>
        <v>-3.0861051637734818E-3</v>
      </c>
      <c r="AJ111" s="1">
        <v>45488</v>
      </c>
      <c r="AK111">
        <f>NETWORKDAYS(AJ111,$AJ$1,FERIADO!$A$2:$A$408)</f>
        <v>623</v>
      </c>
      <c r="AL111">
        <v>11.44</v>
      </c>
      <c r="AM111" s="6">
        <f t="shared" si="13"/>
        <v>76507.487284471907</v>
      </c>
      <c r="AN111" s="2">
        <f t="shared" si="14"/>
        <v>-7.3046981146697042E-4</v>
      </c>
      <c r="AP111" s="11">
        <f t="shared" si="15"/>
        <v>-1.5430525818867409E-3</v>
      </c>
      <c r="AQ111" s="11">
        <f t="shared" si="16"/>
        <v>-2.1914094344009112E-4</v>
      </c>
      <c r="AR111" s="11">
        <f t="shared" si="17"/>
        <v>-1.762193525326832E-3</v>
      </c>
    </row>
    <row r="112" spans="2:44" x14ac:dyDescent="0.35">
      <c r="B112" s="1">
        <v>45485</v>
      </c>
      <c r="C112">
        <v>5728.15</v>
      </c>
      <c r="D112" s="1">
        <v>45485</v>
      </c>
      <c r="E112">
        <v>5.4523000000000001</v>
      </c>
      <c r="F112" s="1">
        <v>45485</v>
      </c>
      <c r="G112">
        <v>111.16500000000001</v>
      </c>
      <c r="H112" s="4">
        <f t="shared" si="9"/>
        <v>606104.92949999997</v>
      </c>
      <c r="I112" s="5">
        <v>45485</v>
      </c>
      <c r="J112" s="4">
        <v>5536.38</v>
      </c>
      <c r="K112" s="4">
        <f t="shared" si="10"/>
        <v>55363.8</v>
      </c>
      <c r="L112" s="1">
        <v>45485</v>
      </c>
      <c r="M112">
        <v>6.21</v>
      </c>
      <c r="N112" s="1">
        <v>45485</v>
      </c>
      <c r="O112">
        <v>6.15</v>
      </c>
      <c r="P112" s="1">
        <v>45485</v>
      </c>
      <c r="Q112">
        <v>6.12</v>
      </c>
      <c r="R112" s="1">
        <v>45485</v>
      </c>
      <c r="S112">
        <v>6.09</v>
      </c>
      <c r="T112" s="1">
        <v>45485</v>
      </c>
      <c r="U112">
        <v>6.15</v>
      </c>
      <c r="V112" s="1">
        <v>45485</v>
      </c>
      <c r="W112">
        <v>6.14</v>
      </c>
      <c r="X112" s="1">
        <v>45485</v>
      </c>
      <c r="Y112">
        <f>NETWORKDAYS(X112,$Z$1,FERIADO!$A$2:$A$408)</f>
        <v>1637</v>
      </c>
      <c r="Z112">
        <v>11.76</v>
      </c>
      <c r="AA112" s="6">
        <f t="shared" si="11"/>
        <v>48565.745253602552</v>
      </c>
      <c r="AB112" s="2">
        <f t="shared" si="12"/>
        <v>-5.6625053964494431E-4</v>
      </c>
      <c r="AJ112" s="1">
        <v>45485</v>
      </c>
      <c r="AK112">
        <f>NETWORKDAYS(AJ112,$AJ$1,FERIADO!$A$2:$A$408)</f>
        <v>624</v>
      </c>
      <c r="AL112">
        <v>11.345000000000001</v>
      </c>
      <c r="AM112" s="6">
        <f t="shared" si="13"/>
        <v>76636.27877988918</v>
      </c>
      <c r="AN112" s="2">
        <f t="shared" si="14"/>
        <v>-1.534318105733845E-4</v>
      </c>
      <c r="AP112" s="11">
        <f t="shared" si="15"/>
        <v>-2.8312526982247216E-4</v>
      </c>
      <c r="AQ112" s="11">
        <f t="shared" si="16"/>
        <v>-4.6029543172015351E-5</v>
      </c>
      <c r="AR112" s="11">
        <f t="shared" si="17"/>
        <v>-3.291548129944875E-4</v>
      </c>
    </row>
    <row r="113" spans="2:44" x14ac:dyDescent="0.35">
      <c r="B113" s="1">
        <v>45484</v>
      </c>
      <c r="C113">
        <v>5700.12</v>
      </c>
      <c r="D113" s="1">
        <v>45484</v>
      </c>
      <c r="E113">
        <v>5.4093999999999998</v>
      </c>
      <c r="F113" s="1">
        <v>45484</v>
      </c>
      <c r="G113">
        <v>111.047</v>
      </c>
      <c r="H113" s="4">
        <f t="shared" si="9"/>
        <v>600697.64179999998</v>
      </c>
      <c r="I113" s="5">
        <v>45484</v>
      </c>
      <c r="J113" s="4">
        <v>5547.07</v>
      </c>
      <c r="K113" s="4">
        <f t="shared" si="10"/>
        <v>55470.7</v>
      </c>
      <c r="L113" s="1">
        <v>45484</v>
      </c>
      <c r="M113">
        <v>6.22</v>
      </c>
      <c r="N113" s="1">
        <v>45484</v>
      </c>
      <c r="O113">
        <v>6.16</v>
      </c>
      <c r="P113" s="1">
        <v>45484</v>
      </c>
      <c r="Q113">
        <v>6.16</v>
      </c>
      <c r="R113" s="1">
        <v>45484</v>
      </c>
      <c r="S113">
        <v>6.11</v>
      </c>
      <c r="T113" s="1">
        <v>45484</v>
      </c>
      <c r="U113">
        <v>6.17</v>
      </c>
      <c r="V113" s="1">
        <v>45484</v>
      </c>
      <c r="W113">
        <v>6.13</v>
      </c>
      <c r="X113" s="1">
        <v>45484</v>
      </c>
      <c r="Y113">
        <f>NETWORKDAYS(X113,$Z$1,FERIADO!$A$2:$A$408)</f>
        <v>1638</v>
      </c>
      <c r="Z113">
        <v>11.73</v>
      </c>
      <c r="AA113" s="6">
        <f t="shared" si="11"/>
        <v>48629.108516197804</v>
      </c>
      <c r="AB113" s="2">
        <f t="shared" si="12"/>
        <v>9.4947588175705417E-4</v>
      </c>
      <c r="AJ113" s="1">
        <v>45484</v>
      </c>
      <c r="AK113">
        <f>NETWORKDAYS(AJ113,$AJ$1,FERIADO!$A$2:$A$408)</f>
        <v>625</v>
      </c>
      <c r="AL113">
        <v>11.31</v>
      </c>
      <c r="AM113" s="6">
        <f t="shared" si="13"/>
        <v>76663.358378669436</v>
      </c>
      <c r="AN113" s="2">
        <f t="shared" si="14"/>
        <v>3.3003318049673467E-4</v>
      </c>
      <c r="AP113" s="11">
        <f t="shared" si="15"/>
        <v>4.7473794087852709E-4</v>
      </c>
      <c r="AQ113" s="11">
        <f t="shared" si="16"/>
        <v>9.90099541490204E-5</v>
      </c>
      <c r="AR113" s="11">
        <f t="shared" si="17"/>
        <v>5.7374789502754751E-4</v>
      </c>
    </row>
    <row r="114" spans="2:44" x14ac:dyDescent="0.35">
      <c r="B114" s="1">
        <v>45483</v>
      </c>
      <c r="C114">
        <v>5743.88</v>
      </c>
      <c r="D114" s="1">
        <v>45483</v>
      </c>
      <c r="E114">
        <v>5.3960999999999997</v>
      </c>
      <c r="F114" s="1">
        <v>45483</v>
      </c>
      <c r="G114">
        <v>110.48099999999999</v>
      </c>
      <c r="H114" s="4">
        <f t="shared" si="9"/>
        <v>596166.52409999992</v>
      </c>
      <c r="I114" s="5">
        <v>45483</v>
      </c>
      <c r="J114" s="4">
        <v>5524.68</v>
      </c>
      <c r="K114" s="4">
        <f t="shared" si="10"/>
        <v>55246.8</v>
      </c>
      <c r="L114" s="1">
        <v>45483</v>
      </c>
      <c r="M114">
        <v>6.28</v>
      </c>
      <c r="N114" s="1">
        <v>45483</v>
      </c>
      <c r="O114">
        <v>6.24</v>
      </c>
      <c r="P114" s="1">
        <v>45483</v>
      </c>
      <c r="Q114">
        <v>6.23</v>
      </c>
      <c r="R114" s="1">
        <v>45483</v>
      </c>
      <c r="S114">
        <v>6.21</v>
      </c>
      <c r="T114" s="1">
        <v>45483</v>
      </c>
      <c r="U114">
        <v>6.29</v>
      </c>
      <c r="V114" s="1">
        <v>45483</v>
      </c>
      <c r="W114">
        <v>6.21</v>
      </c>
      <c r="X114" s="1">
        <v>45483</v>
      </c>
      <c r="Y114">
        <f>NETWORKDAYS(X114,$Z$1,FERIADO!$A$2:$A$408)</f>
        <v>1639</v>
      </c>
      <c r="Z114">
        <v>11.76</v>
      </c>
      <c r="AA114" s="6">
        <f t="shared" si="11"/>
        <v>48522.909307032489</v>
      </c>
      <c r="AB114" s="2">
        <f t="shared" si="12"/>
        <v>4.4875708978827219E-3</v>
      </c>
      <c r="AJ114" s="1">
        <v>45483</v>
      </c>
      <c r="AK114">
        <f>NETWORKDAYS(AJ114,$AJ$1,FERIADO!$A$2:$A$408)</f>
        <v>626</v>
      </c>
      <c r="AL114">
        <v>11.324999999999999</v>
      </c>
      <c r="AM114" s="6">
        <f t="shared" si="13"/>
        <v>76605.121763141753</v>
      </c>
      <c r="AN114" s="2">
        <f t="shared" si="14"/>
        <v>1.4459887295232346E-3</v>
      </c>
      <c r="AP114" s="11">
        <f t="shared" si="15"/>
        <v>2.243785448941361E-3</v>
      </c>
      <c r="AQ114" s="11">
        <f t="shared" si="16"/>
        <v>4.3379661885697035E-4</v>
      </c>
      <c r="AR114" s="11">
        <f t="shared" si="17"/>
        <v>2.6775820677983312E-3</v>
      </c>
    </row>
    <row r="115" spans="2:44" x14ac:dyDescent="0.35">
      <c r="B115" s="1">
        <v>45482</v>
      </c>
      <c r="C115">
        <v>5689.67</v>
      </c>
      <c r="D115" s="1">
        <v>45482</v>
      </c>
      <c r="E115">
        <v>5.4381000000000004</v>
      </c>
      <c r="F115" s="1">
        <v>45482</v>
      </c>
      <c r="G115">
        <v>110.432</v>
      </c>
      <c r="H115" s="4">
        <f t="shared" si="9"/>
        <v>600540.25920000009</v>
      </c>
      <c r="I115" s="5">
        <v>45482</v>
      </c>
      <c r="J115" s="4">
        <v>5527.23</v>
      </c>
      <c r="K115" s="4">
        <f t="shared" si="10"/>
        <v>55272.299999999996</v>
      </c>
      <c r="L115" s="1">
        <v>45482</v>
      </c>
      <c r="M115">
        <v>6.35</v>
      </c>
      <c r="N115" s="1">
        <v>45482</v>
      </c>
      <c r="O115">
        <v>6.35</v>
      </c>
      <c r="P115" s="1">
        <v>45482</v>
      </c>
      <c r="Q115">
        <v>6.34</v>
      </c>
      <c r="R115" s="1">
        <v>45482</v>
      </c>
      <c r="S115">
        <v>6.32</v>
      </c>
      <c r="T115" s="1">
        <v>45482</v>
      </c>
      <c r="U115">
        <v>6.34</v>
      </c>
      <c r="V115" s="1">
        <v>45482</v>
      </c>
      <c r="W115">
        <v>6.31</v>
      </c>
      <c r="X115" s="1">
        <v>45482</v>
      </c>
      <c r="Y115">
        <f>NETWORKDAYS(X115,$Z$1,FERIADO!$A$2:$A$408)</f>
        <v>1640</v>
      </c>
      <c r="Z115">
        <v>11.93</v>
      </c>
      <c r="AA115" s="6">
        <f t="shared" si="11"/>
        <v>48024.10293769728</v>
      </c>
      <c r="AB115" s="2">
        <f t="shared" si="12"/>
        <v>2.214833693963642E-3</v>
      </c>
      <c r="AJ115" s="1">
        <v>45482</v>
      </c>
      <c r="AK115">
        <f>NETWORKDAYS(AJ115,$AJ$1,FERIADO!$A$2:$A$408)</f>
        <v>627</v>
      </c>
      <c r="AL115">
        <v>11.455</v>
      </c>
      <c r="AM115" s="6">
        <f t="shared" si="13"/>
        <v>76350.488221786582</v>
      </c>
      <c r="AN115" s="2">
        <f t="shared" si="14"/>
        <v>7.6937927077690247E-4</v>
      </c>
      <c r="AP115" s="11">
        <f t="shared" si="15"/>
        <v>1.107416846981821E-3</v>
      </c>
      <c r="AQ115" s="11">
        <f t="shared" si="16"/>
        <v>2.3081378123307073E-4</v>
      </c>
      <c r="AR115" s="11">
        <f t="shared" si="17"/>
        <v>1.3382306282148917E-3</v>
      </c>
    </row>
    <row r="116" spans="2:44" x14ac:dyDescent="0.35">
      <c r="B116" s="1">
        <v>45481</v>
      </c>
      <c r="C116">
        <v>5686.34</v>
      </c>
      <c r="D116" s="1">
        <v>45481</v>
      </c>
      <c r="E116">
        <v>5.4714</v>
      </c>
      <c r="F116" s="1">
        <v>45481</v>
      </c>
      <c r="G116">
        <v>110.489</v>
      </c>
      <c r="H116" s="4">
        <f t="shared" si="9"/>
        <v>604529.51460000011</v>
      </c>
      <c r="I116" s="5">
        <v>45481</v>
      </c>
      <c r="J116" s="4">
        <v>5583.7</v>
      </c>
      <c r="K116" s="4">
        <f t="shared" si="10"/>
        <v>55837</v>
      </c>
      <c r="L116" s="1">
        <v>45481</v>
      </c>
      <c r="M116">
        <v>6.39</v>
      </c>
      <c r="N116" s="1">
        <v>45481</v>
      </c>
      <c r="O116">
        <v>6.38</v>
      </c>
      <c r="P116" s="1">
        <v>45481</v>
      </c>
      <c r="Q116">
        <v>6.37</v>
      </c>
      <c r="R116" s="1">
        <v>45481</v>
      </c>
      <c r="S116">
        <v>6.32</v>
      </c>
      <c r="T116" s="1">
        <v>45481</v>
      </c>
      <c r="U116">
        <v>6.37</v>
      </c>
      <c r="V116" s="1">
        <v>45481</v>
      </c>
      <c r="W116">
        <v>6.32</v>
      </c>
      <c r="X116" s="1">
        <v>45481</v>
      </c>
      <c r="Y116">
        <f>NETWORKDAYS(X116,$Z$1,FERIADO!$A$2:$A$408)</f>
        <v>1641</v>
      </c>
      <c r="Z116">
        <v>12.01</v>
      </c>
      <c r="AA116" s="6">
        <f t="shared" si="11"/>
        <v>47779.811004960604</v>
      </c>
      <c r="AB116" s="2">
        <f t="shared" si="12"/>
        <v>4.4809104858937744E-4</v>
      </c>
      <c r="AJ116" s="1">
        <v>45481</v>
      </c>
      <c r="AK116">
        <f>NETWORKDAYS(AJ116,$AJ$1,FERIADO!$A$2:$A$408)</f>
        <v>628</v>
      </c>
      <c r="AL116">
        <v>11.515000000000001</v>
      </c>
      <c r="AM116" s="6">
        <f t="shared" si="13"/>
        <v>76215.348395799636</v>
      </c>
      <c r="AN116" s="2">
        <f t="shared" si="14"/>
        <v>4.3082278142574852E-4</v>
      </c>
      <c r="AP116" s="11">
        <f t="shared" si="15"/>
        <v>2.2404552429468872E-4</v>
      </c>
      <c r="AQ116" s="11">
        <f t="shared" si="16"/>
        <v>1.2924683442772455E-4</v>
      </c>
      <c r="AR116" s="11">
        <f t="shared" si="17"/>
        <v>3.5329235872241327E-4</v>
      </c>
    </row>
    <row r="117" spans="2:44" x14ac:dyDescent="0.35">
      <c r="B117" s="1">
        <v>45478</v>
      </c>
      <c r="C117">
        <v>5676.97</v>
      </c>
      <c r="D117" s="1">
        <v>45478</v>
      </c>
      <c r="E117">
        <v>5.4964000000000004</v>
      </c>
      <c r="F117" s="1">
        <v>45478</v>
      </c>
      <c r="G117">
        <v>110.547</v>
      </c>
      <c r="H117" s="4">
        <f t="shared" si="9"/>
        <v>607610.53079999995</v>
      </c>
      <c r="I117" s="5">
        <v>45478</v>
      </c>
      <c r="J117" s="4">
        <v>5570.47</v>
      </c>
      <c r="K117" s="4">
        <f t="shared" si="10"/>
        <v>55704.700000000004</v>
      </c>
      <c r="L117" s="1">
        <v>45478</v>
      </c>
      <c r="M117">
        <v>6.4</v>
      </c>
      <c r="N117" s="1">
        <v>45478</v>
      </c>
      <c r="O117">
        <v>6.37</v>
      </c>
      <c r="P117" s="1">
        <v>45478</v>
      </c>
      <c r="Q117">
        <v>6.38</v>
      </c>
      <c r="R117" s="1">
        <v>45478</v>
      </c>
      <c r="S117">
        <v>6.39</v>
      </c>
      <c r="T117" s="1">
        <v>45478</v>
      </c>
      <c r="U117">
        <v>6.35</v>
      </c>
      <c r="V117" s="1">
        <v>45478</v>
      </c>
      <c r="W117">
        <v>6.31</v>
      </c>
      <c r="X117" s="1">
        <v>45478</v>
      </c>
      <c r="Y117">
        <f>NETWORKDAYS(X117,$Z$1,FERIADO!$A$2:$A$408)</f>
        <v>1642</v>
      </c>
      <c r="Z117">
        <v>12.02</v>
      </c>
      <c r="AA117" s="6">
        <f t="shared" si="11"/>
        <v>47730.538759095631</v>
      </c>
      <c r="AB117" s="2">
        <f t="shared" si="12"/>
        <v>2.974724579846212E-3</v>
      </c>
      <c r="AJ117" s="1">
        <v>45478</v>
      </c>
      <c r="AK117">
        <f>NETWORKDAYS(AJ117,$AJ$1,FERIADO!$A$2:$A$408)</f>
        <v>629</v>
      </c>
      <c r="AL117">
        <v>11.54</v>
      </c>
      <c r="AM117" s="6">
        <f t="shared" si="13"/>
        <v>76139.779792647882</v>
      </c>
      <c r="AN117" s="2">
        <f t="shared" si="14"/>
        <v>7.2345775613324385E-4</v>
      </c>
      <c r="AP117" s="11">
        <f t="shared" si="15"/>
        <v>1.487362289923106E-3</v>
      </c>
      <c r="AQ117" s="11">
        <f t="shared" si="16"/>
        <v>2.1703732683997314E-4</v>
      </c>
      <c r="AR117" s="11">
        <f t="shared" si="17"/>
        <v>1.7043996167630791E-3</v>
      </c>
    </row>
    <row r="118" spans="2:44" x14ac:dyDescent="0.35">
      <c r="B118" s="1">
        <v>45477</v>
      </c>
      <c r="C118">
        <v>5650.87</v>
      </c>
      <c r="D118" s="1">
        <v>45477</v>
      </c>
      <c r="E118">
        <v>5.4832999999999998</v>
      </c>
      <c r="F118" s="1">
        <v>45477</v>
      </c>
      <c r="G118">
        <v>109.83</v>
      </c>
      <c r="H118" s="4">
        <f t="shared" si="9"/>
        <v>602230.83899999992</v>
      </c>
      <c r="I118" s="5">
        <v>45477</v>
      </c>
      <c r="J118" s="4">
        <v>5594.9</v>
      </c>
      <c r="K118" s="4">
        <f t="shared" si="10"/>
        <v>55949</v>
      </c>
      <c r="L118" s="1">
        <v>45477</v>
      </c>
      <c r="M118">
        <v>6.41</v>
      </c>
      <c r="N118" s="1">
        <v>45477</v>
      </c>
      <c r="O118">
        <v>6.4</v>
      </c>
      <c r="P118" s="1">
        <v>45477</v>
      </c>
      <c r="Q118">
        <v>6.4</v>
      </c>
      <c r="R118" s="1">
        <v>45477</v>
      </c>
      <c r="S118">
        <v>6.38</v>
      </c>
      <c r="T118" s="1">
        <v>45477</v>
      </c>
      <c r="U118">
        <v>6.39</v>
      </c>
      <c r="V118" s="1">
        <v>45477</v>
      </c>
      <c r="W118">
        <v>6.38</v>
      </c>
      <c r="X118" s="1">
        <v>45477</v>
      </c>
      <c r="Y118">
        <f>NETWORKDAYS(X118,$Z$1,FERIADO!$A$2:$A$408)</f>
        <v>1643</v>
      </c>
      <c r="Z118">
        <v>12.13</v>
      </c>
      <c r="AA118" s="6">
        <f t="shared" si="11"/>
        <v>47404.722859407848</v>
      </c>
      <c r="AB118" s="2">
        <f t="shared" si="12"/>
        <v>3.7325644176098684E-3</v>
      </c>
      <c r="AJ118" s="1">
        <v>45477</v>
      </c>
      <c r="AK118">
        <f>NETWORKDAYS(AJ118,$AJ$1,FERIADO!$A$2:$A$408)</f>
        <v>630</v>
      </c>
      <c r="AL118">
        <v>11.595000000000001</v>
      </c>
      <c r="AM118" s="6">
        <f t="shared" si="13"/>
        <v>76013.04997688187</v>
      </c>
      <c r="AN118" s="2">
        <f t="shared" si="14"/>
        <v>2.3307895995579508E-3</v>
      </c>
      <c r="AP118" s="11">
        <f t="shared" si="15"/>
        <v>1.8662822088049342E-3</v>
      </c>
      <c r="AQ118" s="11">
        <f t="shared" si="16"/>
        <v>6.9923687986738522E-4</v>
      </c>
      <c r="AR118" s="11">
        <f t="shared" si="17"/>
        <v>2.5655190886723195E-3</v>
      </c>
    </row>
    <row r="119" spans="2:44" x14ac:dyDescent="0.35">
      <c r="B119" s="1">
        <v>45476</v>
      </c>
      <c r="C119">
        <v>5646.58</v>
      </c>
      <c r="D119" s="1">
        <v>45476</v>
      </c>
      <c r="E119">
        <v>5.5857000000000001</v>
      </c>
      <c r="F119" s="1">
        <v>45476</v>
      </c>
      <c r="G119">
        <v>109.97</v>
      </c>
      <c r="H119" s="4">
        <f t="shared" si="9"/>
        <v>614259.429</v>
      </c>
      <c r="I119" s="5">
        <v>45476</v>
      </c>
      <c r="J119" s="4">
        <v>5668.68</v>
      </c>
      <c r="K119" s="4">
        <f t="shared" si="10"/>
        <v>56686.8</v>
      </c>
      <c r="L119" s="1">
        <v>45476</v>
      </c>
      <c r="M119">
        <v>6.58</v>
      </c>
      <c r="N119" s="1">
        <v>45476</v>
      </c>
      <c r="O119">
        <v>6.55</v>
      </c>
      <c r="P119" s="1">
        <v>45476</v>
      </c>
      <c r="Q119">
        <v>6.55</v>
      </c>
      <c r="R119" s="1">
        <v>45476</v>
      </c>
      <c r="S119">
        <v>6.5</v>
      </c>
      <c r="T119" s="1">
        <v>45476</v>
      </c>
      <c r="U119">
        <v>6.52</v>
      </c>
      <c r="V119" s="1">
        <v>45476</v>
      </c>
      <c r="W119">
        <v>6.5</v>
      </c>
      <c r="X119" s="1">
        <v>45476</v>
      </c>
      <c r="Y119">
        <f>NETWORKDAYS(X119,$Z$1,FERIADO!$A$2:$A$408)</f>
        <v>1644</v>
      </c>
      <c r="Z119">
        <v>12.27</v>
      </c>
      <c r="AA119" s="6">
        <f t="shared" si="11"/>
        <v>46999.046531241809</v>
      </c>
      <c r="AB119" s="2">
        <f t="shared" si="12"/>
        <v>4.4889552740069024E-3</v>
      </c>
      <c r="AJ119" s="1">
        <v>45476</v>
      </c>
      <c r="AK119">
        <f>NETWORKDAYS(AJ119,$AJ$1,FERIADO!$A$2:$A$408)</f>
        <v>631</v>
      </c>
      <c r="AL119">
        <v>11.815</v>
      </c>
      <c r="AM119" s="6">
        <f t="shared" si="13"/>
        <v>75606.192740012251</v>
      </c>
      <c r="AN119" s="2">
        <f t="shared" si="14"/>
        <v>1.7498966440486596E-3</v>
      </c>
      <c r="AP119" s="11">
        <f t="shared" si="15"/>
        <v>2.2444776370034512E-3</v>
      </c>
      <c r="AQ119" s="11">
        <f t="shared" si="16"/>
        <v>5.2496899321459781E-4</v>
      </c>
      <c r="AR119" s="11">
        <f t="shared" si="17"/>
        <v>2.7694466302180488E-3</v>
      </c>
    </row>
    <row r="120" spans="2:44" x14ac:dyDescent="0.35">
      <c r="B120" s="1">
        <v>45475</v>
      </c>
      <c r="C120">
        <v>5618.61</v>
      </c>
      <c r="D120" s="1">
        <v>45475</v>
      </c>
      <c r="E120">
        <v>5.6670999999999996</v>
      </c>
      <c r="F120" s="1">
        <v>45475</v>
      </c>
      <c r="G120">
        <v>109.518</v>
      </c>
      <c r="H120" s="4">
        <f t="shared" si="9"/>
        <v>620649.45779999997</v>
      </c>
      <c r="I120" s="5">
        <v>45475</v>
      </c>
      <c r="J120" s="4">
        <v>5793.33</v>
      </c>
      <c r="K120" s="4">
        <f t="shared" si="10"/>
        <v>57933.3</v>
      </c>
      <c r="L120" s="1">
        <v>45475</v>
      </c>
      <c r="M120">
        <v>6.65</v>
      </c>
      <c r="N120" s="1">
        <v>45475</v>
      </c>
      <c r="O120">
        <v>6.63</v>
      </c>
      <c r="P120" s="1">
        <v>45475</v>
      </c>
      <c r="Q120">
        <v>6.69</v>
      </c>
      <c r="R120" s="1">
        <v>45475</v>
      </c>
      <c r="S120">
        <v>6.6</v>
      </c>
      <c r="T120" s="1">
        <v>45475</v>
      </c>
      <c r="U120">
        <v>6.65</v>
      </c>
      <c r="V120" s="1">
        <v>45475</v>
      </c>
      <c r="W120">
        <v>6.61</v>
      </c>
      <c r="X120" s="1">
        <v>45475</v>
      </c>
      <c r="Y120">
        <f>NETWORKDAYS(X120,$Z$1,FERIADO!$A$2:$A$408)</f>
        <v>1645</v>
      </c>
      <c r="Z120">
        <v>12.44</v>
      </c>
      <c r="AA120" s="6">
        <f t="shared" si="11"/>
        <v>46515.756908350304</v>
      </c>
      <c r="AB120" s="2">
        <f t="shared" si="12"/>
        <v>1.463215306324353E-3</v>
      </c>
      <c r="AJ120" s="1">
        <v>45475</v>
      </c>
      <c r="AK120">
        <f>NETWORKDAYS(AJ120,$AJ$1,FERIADO!$A$2:$A$408)</f>
        <v>632</v>
      </c>
      <c r="AL120">
        <v>11.975</v>
      </c>
      <c r="AM120" s="6">
        <f t="shared" si="13"/>
        <v>75302.166686895041</v>
      </c>
      <c r="AN120" s="2">
        <f t="shared" si="14"/>
        <v>1.0227156011921004E-3</v>
      </c>
      <c r="AP120" s="11">
        <f t="shared" si="15"/>
        <v>7.3160765316217648E-4</v>
      </c>
      <c r="AQ120" s="11">
        <f t="shared" si="16"/>
        <v>3.0681468035763013E-4</v>
      </c>
      <c r="AR120" s="11">
        <f t="shared" si="17"/>
        <v>1.0384223335198066E-3</v>
      </c>
    </row>
    <row r="121" spans="2:44" x14ac:dyDescent="0.35">
      <c r="B121" s="1">
        <v>45474</v>
      </c>
      <c r="C121">
        <v>5587.65</v>
      </c>
      <c r="D121" s="1">
        <v>45474</v>
      </c>
      <c r="E121">
        <v>5.5887000000000002</v>
      </c>
      <c r="F121" s="1">
        <v>45474</v>
      </c>
      <c r="G121">
        <v>109.24</v>
      </c>
      <c r="H121" s="4">
        <f t="shared" si="9"/>
        <v>610509.58799999999</v>
      </c>
      <c r="I121" s="5">
        <v>45474</v>
      </c>
      <c r="J121" s="4">
        <v>5772.47</v>
      </c>
      <c r="K121" s="4">
        <f t="shared" si="10"/>
        <v>57724.700000000004</v>
      </c>
      <c r="L121" s="1">
        <v>45474</v>
      </c>
      <c r="M121">
        <v>6.64</v>
      </c>
      <c r="N121" s="1">
        <v>45474</v>
      </c>
      <c r="O121">
        <v>6.65</v>
      </c>
      <c r="P121" s="1">
        <v>45474</v>
      </c>
      <c r="Q121">
        <v>6.6</v>
      </c>
      <c r="R121" s="1">
        <v>45474</v>
      </c>
      <c r="S121">
        <v>6.58</v>
      </c>
      <c r="T121" s="1">
        <v>45474</v>
      </c>
      <c r="U121">
        <v>6.62</v>
      </c>
      <c r="V121" s="1">
        <v>45474</v>
      </c>
      <c r="W121">
        <v>6.62</v>
      </c>
      <c r="X121" s="1">
        <v>45474</v>
      </c>
      <c r="Y121">
        <f>NETWORKDAYS(X121,$Z$1,FERIADO!$A$2:$A$408)</f>
        <v>1646</v>
      </c>
      <c r="Z121">
        <v>12.49</v>
      </c>
      <c r="AA121" s="6">
        <f t="shared" si="11"/>
        <v>46359.300767322624</v>
      </c>
      <c r="AB121" s="2">
        <f t="shared" si="12"/>
        <v>-5.5424848161998383E-4</v>
      </c>
      <c r="AJ121" s="1">
        <v>45474</v>
      </c>
      <c r="AK121">
        <f>NETWORKDAYS(AJ121,$AJ$1,FERIADO!$A$2:$A$408)</f>
        <v>633</v>
      </c>
      <c r="AL121">
        <v>12.06</v>
      </c>
      <c r="AM121" s="6">
        <f t="shared" si="13"/>
        <v>75125.047020841215</v>
      </c>
      <c r="AN121" s="2">
        <f t="shared" si="14"/>
        <v>-6.8165592478441114E-4</v>
      </c>
      <c r="AP121" s="11">
        <f t="shared" si="15"/>
        <v>-2.7712424080999191E-4</v>
      </c>
      <c r="AQ121" s="11">
        <f t="shared" si="16"/>
        <v>-2.0449677743532334E-4</v>
      </c>
      <c r="AR121" s="11">
        <f t="shared" si="17"/>
        <v>-4.8162101824531525E-4</v>
      </c>
    </row>
    <row r="122" spans="2:44" x14ac:dyDescent="0.35">
      <c r="B122" s="1">
        <v>45471</v>
      </c>
      <c r="C122">
        <v>5591.62</v>
      </c>
      <c r="D122" s="1">
        <v>45471</v>
      </c>
      <c r="E122">
        <v>5.5583</v>
      </c>
      <c r="F122" s="1">
        <v>45471</v>
      </c>
      <c r="G122">
        <v>109.672</v>
      </c>
      <c r="H122" s="4">
        <f t="shared" si="9"/>
        <v>609589.87760000001</v>
      </c>
      <c r="I122" s="5">
        <v>45471</v>
      </c>
      <c r="J122" s="4">
        <v>5709.89</v>
      </c>
      <c r="K122" s="4">
        <f t="shared" si="10"/>
        <v>57098.9</v>
      </c>
      <c r="L122" s="1">
        <v>45471</v>
      </c>
      <c r="M122">
        <v>6.47</v>
      </c>
      <c r="N122" s="1">
        <v>45471</v>
      </c>
      <c r="O122">
        <v>6.47</v>
      </c>
      <c r="P122" s="1">
        <v>45471</v>
      </c>
      <c r="Q122">
        <v>6.48</v>
      </c>
      <c r="R122" s="1">
        <v>45471</v>
      </c>
      <c r="S122">
        <v>6.46</v>
      </c>
      <c r="T122" s="1">
        <v>45471</v>
      </c>
      <c r="U122">
        <v>6.52</v>
      </c>
      <c r="V122" s="1">
        <v>45471</v>
      </c>
      <c r="W122">
        <v>6.49</v>
      </c>
      <c r="X122" s="1">
        <v>45471</v>
      </c>
      <c r="Y122">
        <f>NETWORKDAYS(X122,$Z$1,FERIADO!$A$2:$A$408)</f>
        <v>1647</v>
      </c>
      <c r="Z122">
        <v>12.46</v>
      </c>
      <c r="AA122" s="6">
        <f t="shared" si="11"/>
        <v>46418.502474618443</v>
      </c>
      <c r="AB122" s="2">
        <f t="shared" si="12"/>
        <v>-4.3471217004995696E-3</v>
      </c>
      <c r="AJ122" s="1">
        <v>45471</v>
      </c>
      <c r="AK122">
        <f>NETWORKDAYS(AJ122,$AJ$1,FERIADO!$A$2:$A$408)</f>
        <v>634</v>
      </c>
      <c r="AL122">
        <v>11.97</v>
      </c>
      <c r="AM122" s="6">
        <f t="shared" si="13"/>
        <v>75243.05368449082</v>
      </c>
      <c r="AN122" s="2">
        <f t="shared" si="14"/>
        <v>-2.1533403484286489E-3</v>
      </c>
      <c r="AP122" s="11">
        <f t="shared" si="15"/>
        <v>-2.1735608502497848E-3</v>
      </c>
      <c r="AQ122" s="11">
        <f t="shared" si="16"/>
        <v>-6.4600210452859467E-4</v>
      </c>
      <c r="AR122" s="11">
        <f t="shared" si="17"/>
        <v>-2.8195629547783795E-3</v>
      </c>
    </row>
    <row r="123" spans="2:44" x14ac:dyDescent="0.35">
      <c r="B123" s="1">
        <v>45470</v>
      </c>
      <c r="C123">
        <v>5606.06</v>
      </c>
      <c r="D123" s="1">
        <v>45470</v>
      </c>
      <c r="E123">
        <v>5.5223000000000004</v>
      </c>
      <c r="F123" s="1">
        <v>45470</v>
      </c>
      <c r="G123">
        <v>110.26</v>
      </c>
      <c r="H123" s="4">
        <f t="shared" si="9"/>
        <v>608888.79800000007</v>
      </c>
      <c r="I123" s="5">
        <v>45470</v>
      </c>
      <c r="J123" s="4">
        <v>5620.85</v>
      </c>
      <c r="K123" s="4">
        <f t="shared" si="10"/>
        <v>56208.5</v>
      </c>
      <c r="L123" s="1">
        <v>45470</v>
      </c>
      <c r="M123">
        <v>6.29</v>
      </c>
      <c r="N123" s="1">
        <v>45470</v>
      </c>
      <c r="O123">
        <v>6.31</v>
      </c>
      <c r="P123" s="1">
        <v>45470</v>
      </c>
      <c r="Q123">
        <v>6.35</v>
      </c>
      <c r="R123" s="1">
        <v>45470</v>
      </c>
      <c r="S123">
        <v>6.35</v>
      </c>
      <c r="T123" s="1">
        <v>45470</v>
      </c>
      <c r="U123">
        <v>6.42</v>
      </c>
      <c r="V123" s="1">
        <v>45470</v>
      </c>
      <c r="W123">
        <v>6.38</v>
      </c>
      <c r="X123" s="1">
        <v>45470</v>
      </c>
      <c r="Y123">
        <f>NETWORKDAYS(X123,$Z$1,FERIADO!$A$2:$A$408)</f>
        <v>1648</v>
      </c>
      <c r="Z123">
        <v>12.28</v>
      </c>
      <c r="AA123" s="6">
        <f t="shared" si="11"/>
        <v>46885.467104957432</v>
      </c>
      <c r="AB123" s="2">
        <f t="shared" si="12"/>
        <v>-2.5859153095487198E-3</v>
      </c>
      <c r="AJ123" s="1">
        <v>45470</v>
      </c>
      <c r="AK123">
        <f>NETWORKDAYS(AJ123,$AJ$1,FERIADO!$A$2:$A$408)</f>
        <v>635</v>
      </c>
      <c r="AL123">
        <v>11.73</v>
      </c>
      <c r="AM123" s="6">
        <f t="shared" si="13"/>
        <v>75617.053936306023</v>
      </c>
      <c r="AN123" s="2">
        <f t="shared" si="14"/>
        <v>-9.3758639334852814E-4</v>
      </c>
      <c r="AP123" s="11">
        <f t="shared" si="15"/>
        <v>-1.2929576547743599E-3</v>
      </c>
      <c r="AQ123" s="11">
        <f t="shared" si="16"/>
        <v>-2.8127591800455843E-4</v>
      </c>
      <c r="AR123" s="11">
        <f t="shared" si="17"/>
        <v>-1.5742335727789184E-3</v>
      </c>
    </row>
    <row r="124" spans="2:44" x14ac:dyDescent="0.35">
      <c r="B124" s="1">
        <v>45469</v>
      </c>
      <c r="C124">
        <v>5591.73</v>
      </c>
      <c r="D124" s="1">
        <v>45469</v>
      </c>
      <c r="E124">
        <v>5.5091000000000001</v>
      </c>
      <c r="F124" s="1">
        <v>45469</v>
      </c>
      <c r="G124">
        <v>110</v>
      </c>
      <c r="H124" s="4">
        <f t="shared" si="9"/>
        <v>606001</v>
      </c>
      <c r="I124" s="5">
        <v>45469</v>
      </c>
      <c r="J124" s="4">
        <v>5648.43</v>
      </c>
      <c r="K124" s="4">
        <f t="shared" si="10"/>
        <v>56484.3</v>
      </c>
      <c r="L124" s="1">
        <v>45469</v>
      </c>
      <c r="M124">
        <v>6.31</v>
      </c>
      <c r="N124" s="1">
        <v>45469</v>
      </c>
      <c r="O124">
        <v>6.3</v>
      </c>
      <c r="P124" s="1">
        <v>45469</v>
      </c>
      <c r="Q124">
        <v>6.33</v>
      </c>
      <c r="R124" s="1">
        <v>45469</v>
      </c>
      <c r="S124">
        <v>6.33</v>
      </c>
      <c r="T124" s="1">
        <v>45469</v>
      </c>
      <c r="U124">
        <v>6.41</v>
      </c>
      <c r="V124" s="1">
        <v>45469</v>
      </c>
      <c r="W124">
        <v>6.39</v>
      </c>
      <c r="X124" s="1">
        <v>45469</v>
      </c>
      <c r="Y124">
        <f>NETWORKDAYS(X124,$Z$1,FERIADO!$A$2:$A$408)</f>
        <v>1649</v>
      </c>
      <c r="Z124">
        <v>12.17</v>
      </c>
      <c r="AA124" s="6">
        <f t="shared" si="11"/>
        <v>47165.469555571093</v>
      </c>
      <c r="AB124" s="2">
        <f t="shared" si="12"/>
        <v>-2.8457961696404868E-3</v>
      </c>
      <c r="AJ124" s="1">
        <v>45469</v>
      </c>
      <c r="AK124">
        <f>NETWORKDAYS(AJ124,$AJ$1,FERIADO!$A$2:$A$408)</f>
        <v>636</v>
      </c>
      <c r="AL124">
        <v>11.615</v>
      </c>
      <c r="AM124" s="6">
        <f t="shared" si="13"/>
        <v>75780.47785322812</v>
      </c>
      <c r="AN124" s="2">
        <f t="shared" si="14"/>
        <v>-1.1884723591650509E-3</v>
      </c>
      <c r="AP124" s="11">
        <f t="shared" si="15"/>
        <v>-1.4228980848202434E-3</v>
      </c>
      <c r="AQ124" s="11">
        <f t="shared" si="16"/>
        <v>-3.5654170774951523E-4</v>
      </c>
      <c r="AR124" s="11">
        <f t="shared" si="17"/>
        <v>-1.7794397925697586E-3</v>
      </c>
    </row>
    <row r="125" spans="2:44" x14ac:dyDescent="0.35">
      <c r="B125" s="1">
        <v>45468</v>
      </c>
      <c r="C125">
        <v>5592.11</v>
      </c>
      <c r="D125" s="1">
        <v>45468</v>
      </c>
      <c r="E125">
        <v>5.4283000000000001</v>
      </c>
      <c r="F125" s="1">
        <v>45468</v>
      </c>
      <c r="G125">
        <v>110.63500000000001</v>
      </c>
      <c r="H125" s="4">
        <f t="shared" si="9"/>
        <v>600559.97050000005</v>
      </c>
      <c r="I125" s="5">
        <v>45468</v>
      </c>
      <c r="J125" s="4">
        <v>5575.9</v>
      </c>
      <c r="K125" s="4">
        <f t="shared" si="10"/>
        <v>55759</v>
      </c>
      <c r="L125" s="1">
        <v>45468</v>
      </c>
      <c r="M125">
        <v>6.26</v>
      </c>
      <c r="N125" s="1">
        <v>45468</v>
      </c>
      <c r="O125">
        <v>6.26</v>
      </c>
      <c r="P125" s="1">
        <v>45468</v>
      </c>
      <c r="Q125">
        <v>6.3</v>
      </c>
      <c r="R125" s="1">
        <v>45468</v>
      </c>
      <c r="S125">
        <v>6.28</v>
      </c>
      <c r="T125" s="1">
        <v>45468</v>
      </c>
      <c r="U125">
        <v>6.34</v>
      </c>
      <c r="V125" s="1">
        <v>45468</v>
      </c>
      <c r="W125">
        <v>6.35</v>
      </c>
      <c r="X125" s="1">
        <v>45468</v>
      </c>
      <c r="Y125">
        <f>NETWORKDAYS(X125,$Z$1,FERIADO!$A$2:$A$408)</f>
        <v>1650</v>
      </c>
      <c r="Z125">
        <v>12.05</v>
      </c>
      <c r="AA125" s="6">
        <f t="shared" si="11"/>
        <v>47475.544958464678</v>
      </c>
      <c r="AB125" s="2">
        <f t="shared" si="12"/>
        <v>-1.3279266936136245E-3</v>
      </c>
      <c r="AJ125" s="1">
        <v>45468</v>
      </c>
      <c r="AK125">
        <f>NETWORKDAYS(AJ125,$AJ$1,FERIADO!$A$2:$A$408)</f>
        <v>637</v>
      </c>
      <c r="AL125">
        <v>11.475</v>
      </c>
      <c r="AM125" s="6">
        <f t="shared" si="13"/>
        <v>75988.139591719097</v>
      </c>
      <c r="AN125" s="2">
        <f t="shared" si="14"/>
        <v>1.3789408362461508E-4</v>
      </c>
      <c r="AP125" s="11">
        <f t="shared" si="15"/>
        <v>-6.6396334680681227E-4</v>
      </c>
      <c r="AQ125" s="11">
        <f t="shared" si="16"/>
        <v>4.1368225087384523E-5</v>
      </c>
      <c r="AR125" s="11">
        <f t="shared" si="17"/>
        <v>-6.2259512171942771E-4</v>
      </c>
    </row>
    <row r="126" spans="2:44" x14ac:dyDescent="0.35">
      <c r="B126" s="1">
        <v>45467</v>
      </c>
      <c r="C126">
        <v>5575.67</v>
      </c>
      <c r="D126" s="1">
        <v>45467</v>
      </c>
      <c r="E126">
        <v>5.3994</v>
      </c>
      <c r="F126" s="1">
        <v>45467</v>
      </c>
      <c r="G126">
        <v>110.64</v>
      </c>
      <c r="H126" s="4">
        <f t="shared" si="9"/>
        <v>597389.61600000004</v>
      </c>
      <c r="I126" s="5">
        <v>45467</v>
      </c>
      <c r="J126" s="4">
        <v>5512.07</v>
      </c>
      <c r="K126" s="4">
        <f t="shared" si="10"/>
        <v>55120.7</v>
      </c>
      <c r="L126" s="1">
        <v>45467</v>
      </c>
      <c r="M126">
        <v>6.28</v>
      </c>
      <c r="N126" s="1">
        <v>45467</v>
      </c>
      <c r="O126">
        <v>6.22</v>
      </c>
      <c r="P126" s="1">
        <v>45467</v>
      </c>
      <c r="Q126">
        <v>6.27</v>
      </c>
      <c r="R126" s="1">
        <v>45467</v>
      </c>
      <c r="S126">
        <v>6.24</v>
      </c>
      <c r="T126" s="1">
        <v>45467</v>
      </c>
      <c r="U126">
        <v>6.29</v>
      </c>
      <c r="V126" s="1">
        <v>45467</v>
      </c>
      <c r="W126">
        <v>6.3</v>
      </c>
      <c r="X126" s="1">
        <v>45467</v>
      </c>
      <c r="Y126">
        <f>NETWORKDAYS(X126,$Z$1,FERIADO!$A$2:$A$408)</f>
        <v>1651</v>
      </c>
      <c r="Z126">
        <v>11.99</v>
      </c>
      <c r="AA126" s="6">
        <f t="shared" si="11"/>
        <v>47620.931391275531</v>
      </c>
      <c r="AB126" s="2">
        <f t="shared" si="12"/>
        <v>1.9741596937638893E-3</v>
      </c>
      <c r="AJ126" s="1">
        <v>45467</v>
      </c>
      <c r="AK126">
        <f>NETWORKDAYS(AJ126,$AJ$1,FERIADO!$A$2:$A$408)</f>
        <v>638</v>
      </c>
      <c r="AL126">
        <v>11.47</v>
      </c>
      <c r="AM126" s="6">
        <f t="shared" si="13"/>
        <v>75964.016210032089</v>
      </c>
      <c r="AN126" s="2">
        <f t="shared" si="14"/>
        <v>5.3285651350103364E-4</v>
      </c>
      <c r="AP126" s="11">
        <f t="shared" si="15"/>
        <v>9.8707984688194464E-4</v>
      </c>
      <c r="AQ126" s="11">
        <f t="shared" si="16"/>
        <v>1.5985695405031008E-4</v>
      </c>
      <c r="AR126" s="11">
        <f t="shared" si="17"/>
        <v>1.1469368009322546E-3</v>
      </c>
    </row>
    <row r="127" spans="2:44" x14ac:dyDescent="0.35">
      <c r="B127" s="1">
        <v>45464</v>
      </c>
      <c r="C127">
        <v>5592.58</v>
      </c>
      <c r="D127" s="1">
        <v>45464</v>
      </c>
      <c r="E127">
        <v>5.4409999999999998</v>
      </c>
      <c r="F127" s="1">
        <v>45464</v>
      </c>
      <c r="G127">
        <v>110.471</v>
      </c>
      <c r="H127" s="4">
        <f t="shared" si="9"/>
        <v>601072.71100000001</v>
      </c>
      <c r="I127" s="5">
        <v>45464</v>
      </c>
      <c r="J127" s="4">
        <v>5554.45</v>
      </c>
      <c r="K127" s="4">
        <f t="shared" si="10"/>
        <v>55544.5</v>
      </c>
      <c r="L127" s="1">
        <v>45464</v>
      </c>
      <c r="M127">
        <v>6.33</v>
      </c>
      <c r="N127" s="1">
        <v>45464</v>
      </c>
      <c r="O127">
        <v>6.29</v>
      </c>
      <c r="P127" s="1">
        <v>45464</v>
      </c>
      <c r="Q127">
        <v>6.29</v>
      </c>
      <c r="R127" s="1">
        <v>45464</v>
      </c>
      <c r="S127">
        <v>6.25</v>
      </c>
      <c r="T127" s="1">
        <v>45464</v>
      </c>
      <c r="U127">
        <v>6.34</v>
      </c>
      <c r="V127" s="1">
        <v>45464</v>
      </c>
      <c r="W127">
        <v>6.29</v>
      </c>
      <c r="X127" s="1">
        <v>45464</v>
      </c>
      <c r="Y127">
        <f>NETWORKDAYS(X127,$Z$1,FERIADO!$A$2:$A$408)</f>
        <v>1652</v>
      </c>
      <c r="Z127">
        <v>12.06</v>
      </c>
      <c r="AA127" s="6">
        <f t="shared" si="11"/>
        <v>47404.953573513238</v>
      </c>
      <c r="AB127" s="2">
        <f t="shared" si="12"/>
        <v>2.9912571357424184E-3</v>
      </c>
      <c r="AJ127" s="1">
        <v>45464</v>
      </c>
      <c r="AK127">
        <f>NETWORKDAYS(AJ127,$AJ$1,FERIADO!$A$2:$A$408)</f>
        <v>639</v>
      </c>
      <c r="AL127">
        <v>11.505000000000001</v>
      </c>
      <c r="AM127" s="6">
        <f t="shared" si="13"/>
        <v>75870.869507675758</v>
      </c>
      <c r="AN127" s="2">
        <f t="shared" si="14"/>
        <v>1.1269840624404514E-3</v>
      </c>
      <c r="AP127" s="11">
        <f t="shared" si="15"/>
        <v>1.4956285678712092E-3</v>
      </c>
      <c r="AQ127" s="11">
        <f t="shared" si="16"/>
        <v>3.3809521873213539E-4</v>
      </c>
      <c r="AR127" s="11">
        <f t="shared" si="17"/>
        <v>1.8337237866033445E-3</v>
      </c>
    </row>
    <row r="128" spans="2:44" x14ac:dyDescent="0.35">
      <c r="B128" s="1">
        <v>45463</v>
      </c>
      <c r="C128">
        <v>5598.56</v>
      </c>
      <c r="D128" s="1">
        <v>45463</v>
      </c>
      <c r="E128">
        <v>5.4248000000000003</v>
      </c>
      <c r="F128" s="1">
        <v>45463</v>
      </c>
      <c r="G128">
        <v>110.54</v>
      </c>
      <c r="H128" s="4">
        <f t="shared" si="9"/>
        <v>599657.39200000011</v>
      </c>
      <c r="I128" s="5">
        <v>45463</v>
      </c>
      <c r="J128" s="4">
        <v>5571.31</v>
      </c>
      <c r="K128" s="4">
        <f t="shared" si="10"/>
        <v>55713.100000000006</v>
      </c>
      <c r="L128" s="1">
        <v>45463</v>
      </c>
      <c r="M128">
        <v>6.39</v>
      </c>
      <c r="N128" s="1">
        <v>45463</v>
      </c>
      <c r="O128">
        <v>6.37</v>
      </c>
      <c r="P128" s="1">
        <v>45463</v>
      </c>
      <c r="Q128">
        <v>6.36</v>
      </c>
      <c r="R128" s="1">
        <v>45463</v>
      </c>
      <c r="S128">
        <v>6.29</v>
      </c>
      <c r="T128" s="1">
        <v>45463</v>
      </c>
      <c r="U128">
        <v>6.36</v>
      </c>
      <c r="V128" s="1">
        <v>45463</v>
      </c>
      <c r="W128">
        <v>6.36</v>
      </c>
      <c r="X128" s="1">
        <v>45463</v>
      </c>
      <c r="Y128">
        <f>NETWORKDAYS(X128,$Z$1,FERIADO!$A$2:$A$408)</f>
        <v>1653</v>
      </c>
      <c r="Z128">
        <v>12.17</v>
      </c>
      <c r="AA128" s="6">
        <f t="shared" si="11"/>
        <v>47079.567926641226</v>
      </c>
      <c r="AB128" s="2">
        <f t="shared" si="12"/>
        <v>-2.3444316405729546E-3</v>
      </c>
      <c r="AJ128" s="1">
        <v>45463</v>
      </c>
      <c r="AK128">
        <f>NETWORKDAYS(AJ128,$AJ$1,FERIADO!$A$2:$A$408)</f>
        <v>640</v>
      </c>
      <c r="AL128">
        <v>11.6</v>
      </c>
      <c r="AM128" s="6">
        <f t="shared" si="13"/>
        <v>75674.241601683345</v>
      </c>
      <c r="AN128" s="2">
        <f t="shared" si="14"/>
        <v>-5.8351275567190368E-5</v>
      </c>
      <c r="AP128" s="11">
        <f t="shared" si="15"/>
        <v>-1.1722158202864773E-3</v>
      </c>
      <c r="AQ128" s="11">
        <f t="shared" si="16"/>
        <v>-1.750538267015711E-5</v>
      </c>
      <c r="AR128" s="11">
        <f t="shared" si="17"/>
        <v>-1.1897212029566345E-3</v>
      </c>
    </row>
    <row r="129" spans="2:44" x14ac:dyDescent="0.35">
      <c r="B129" s="1">
        <v>45462</v>
      </c>
      <c r="C129">
        <v>5615.39</v>
      </c>
      <c r="D129" s="1">
        <v>45462</v>
      </c>
      <c r="E129">
        <v>5.4641000000000002</v>
      </c>
      <c r="F129" s="1">
        <v>45461</v>
      </c>
      <c r="G129">
        <v>110.76</v>
      </c>
      <c r="H129" s="4">
        <f t="shared" si="9"/>
        <v>605203.71600000013</v>
      </c>
      <c r="I129" s="5">
        <v>45462</v>
      </c>
      <c r="J129" s="4">
        <v>5536.58</v>
      </c>
      <c r="K129" s="4">
        <f t="shared" si="10"/>
        <v>55365.8</v>
      </c>
      <c r="L129" s="1">
        <v>45462</v>
      </c>
      <c r="M129">
        <v>6.52</v>
      </c>
      <c r="N129" s="1">
        <v>45462</v>
      </c>
      <c r="O129">
        <v>6.48</v>
      </c>
      <c r="P129" s="1">
        <v>45462</v>
      </c>
      <c r="Q129">
        <v>6.43</v>
      </c>
      <c r="R129" s="1">
        <v>45462</v>
      </c>
      <c r="S129">
        <v>6.32</v>
      </c>
      <c r="T129" s="1">
        <v>45462</v>
      </c>
      <c r="U129">
        <v>6.36</v>
      </c>
      <c r="V129" s="1">
        <v>45462</v>
      </c>
      <c r="W129">
        <v>6.32</v>
      </c>
      <c r="X129" s="1">
        <v>45462</v>
      </c>
      <c r="Y129">
        <f>NETWORKDAYS(X129,$Z$1,FERIADO!$A$2:$A$408)</f>
        <v>1654</v>
      </c>
      <c r="Z129">
        <v>12.07</v>
      </c>
      <c r="AA129" s="6">
        <f t="shared" si="11"/>
        <v>47334.402573928986</v>
      </c>
      <c r="AB129" s="2">
        <f t="shared" si="12"/>
        <v>1.9773491618834444E-3</v>
      </c>
      <c r="AJ129" s="1">
        <v>45462</v>
      </c>
      <c r="AK129">
        <f>NETWORKDAYS(AJ129,$AJ$1,FERIADO!$A$2:$A$408)</f>
        <v>641</v>
      </c>
      <c r="AL129">
        <v>11.574999999999999</v>
      </c>
      <c r="AM129" s="6">
        <f t="shared" si="13"/>
        <v>75684.409783333336</v>
      </c>
      <c r="AN129" s="2">
        <f t="shared" si="14"/>
        <v>6.3490336673207443E-4</v>
      </c>
      <c r="AP129" s="11">
        <f t="shared" si="15"/>
        <v>9.8867458094172218E-4</v>
      </c>
      <c r="AQ129" s="11">
        <f t="shared" si="16"/>
        <v>1.9047101001962231E-4</v>
      </c>
      <c r="AR129" s="11">
        <f t="shared" si="17"/>
        <v>1.1791455909613445E-3</v>
      </c>
    </row>
    <row r="130" spans="2:44" x14ac:dyDescent="0.35">
      <c r="B130" s="1">
        <v>45461</v>
      </c>
      <c r="C130">
        <v>5615.16</v>
      </c>
      <c r="D130" s="1">
        <v>45461</v>
      </c>
      <c r="E130">
        <v>5.4067999999999996</v>
      </c>
      <c r="F130" s="1">
        <v>45460</v>
      </c>
      <c r="G130">
        <v>110.32</v>
      </c>
      <c r="H130" s="4">
        <f t="shared" si="9"/>
        <v>596478.17599999998</v>
      </c>
      <c r="I130" s="5">
        <v>45461</v>
      </c>
      <c r="J130" s="4">
        <v>5561.6</v>
      </c>
      <c r="K130" s="4">
        <f t="shared" si="10"/>
        <v>55616</v>
      </c>
      <c r="L130" s="1">
        <v>45461</v>
      </c>
      <c r="M130">
        <v>6.52</v>
      </c>
      <c r="N130" s="1">
        <v>45461</v>
      </c>
      <c r="O130">
        <v>6.48</v>
      </c>
      <c r="P130" s="1">
        <v>45461</v>
      </c>
      <c r="Q130">
        <v>6.44</v>
      </c>
      <c r="R130" s="1">
        <v>45461</v>
      </c>
      <c r="S130">
        <v>6.31</v>
      </c>
      <c r="T130" s="1">
        <v>45461</v>
      </c>
      <c r="U130">
        <v>6.38</v>
      </c>
      <c r="V130" s="1">
        <v>45461</v>
      </c>
      <c r="W130">
        <v>6.35</v>
      </c>
      <c r="X130" s="1">
        <v>45461</v>
      </c>
      <c r="Y130">
        <f>NETWORKDAYS(X130,$Z$1,FERIADO!$A$2:$A$408)</f>
        <v>1655</v>
      </c>
      <c r="Z130">
        <v>12.14</v>
      </c>
      <c r="AA130" s="6">
        <f t="shared" si="11"/>
        <v>47119.378218992708</v>
      </c>
      <c r="AB130" s="2">
        <f t="shared" si="12"/>
        <v>-1.584576368759984E-3</v>
      </c>
      <c r="AJ130" s="1">
        <v>45461</v>
      </c>
      <c r="AK130">
        <f>NETWORKDAYS(AJ130,$AJ$1,FERIADO!$A$2:$A$408)</f>
        <v>642</v>
      </c>
      <c r="AL130">
        <v>11.62</v>
      </c>
      <c r="AM130" s="6">
        <f t="shared" si="13"/>
        <v>75573.846141805756</v>
      </c>
      <c r="AN130" s="2">
        <f t="shared" si="14"/>
        <v>-1.0842137652821923E-4</v>
      </c>
      <c r="AP130" s="11">
        <f t="shared" si="15"/>
        <v>-7.92288184379992E-4</v>
      </c>
      <c r="AQ130" s="11">
        <f t="shared" si="16"/>
        <v>-3.252641295846577E-5</v>
      </c>
      <c r="AR130" s="11">
        <f t="shared" si="17"/>
        <v>-8.2481459733845777E-4</v>
      </c>
    </row>
    <row r="131" spans="2:44" x14ac:dyDescent="0.35">
      <c r="B131" s="1">
        <v>45460</v>
      </c>
      <c r="C131">
        <v>5604.39</v>
      </c>
      <c r="D131" s="1">
        <v>45460</v>
      </c>
      <c r="E131">
        <v>5.4123999999999999</v>
      </c>
      <c r="F131" s="1">
        <v>45457</v>
      </c>
      <c r="G131">
        <v>110.78700000000001</v>
      </c>
      <c r="H131" s="4">
        <f t="shared" si="9"/>
        <v>599623.55880000012</v>
      </c>
      <c r="I131" s="5">
        <v>45460</v>
      </c>
      <c r="J131" s="4">
        <v>5547.82</v>
      </c>
      <c r="K131" s="4">
        <f t="shared" si="10"/>
        <v>55478.2</v>
      </c>
      <c r="L131" s="1">
        <v>45460</v>
      </c>
      <c r="M131">
        <v>6.53</v>
      </c>
      <c r="N131" s="1">
        <v>45460</v>
      </c>
      <c r="O131">
        <v>6.5</v>
      </c>
      <c r="P131" s="1">
        <v>45460</v>
      </c>
      <c r="Q131">
        <v>6.46</v>
      </c>
      <c r="R131" s="1">
        <v>45460</v>
      </c>
      <c r="S131">
        <v>6.37</v>
      </c>
      <c r="T131" s="1">
        <v>45460</v>
      </c>
      <c r="U131">
        <v>6.39</v>
      </c>
      <c r="V131" s="1">
        <v>45460</v>
      </c>
      <c r="W131">
        <v>6.37</v>
      </c>
      <c r="X131" s="1">
        <v>45460</v>
      </c>
      <c r="Y131">
        <f>NETWORKDAYS(X131,$Z$1,FERIADO!$A$2:$A$408)</f>
        <v>1656</v>
      </c>
      <c r="Z131">
        <v>12.07</v>
      </c>
      <c r="AA131" s="6">
        <f t="shared" si="11"/>
        <v>47291.613034264097</v>
      </c>
      <c r="AB131" s="2">
        <f t="shared" si="12"/>
        <v>-8.2303657101354425E-4</v>
      </c>
      <c r="AJ131" s="1">
        <v>45460</v>
      </c>
      <c r="AK131">
        <f>NETWORKDAYS(AJ131,$AJ$1,FERIADO!$A$2:$A$408)</f>
        <v>643</v>
      </c>
      <c r="AL131">
        <v>11.59</v>
      </c>
      <c r="AM131" s="6">
        <f t="shared" si="13"/>
        <v>75592.715465838599</v>
      </c>
      <c r="AN131" s="2">
        <f t="shared" si="14"/>
        <v>-7.0650353045736134E-4</v>
      </c>
      <c r="AP131" s="11">
        <f t="shared" si="15"/>
        <v>-4.1151828550677213E-4</v>
      </c>
      <c r="AQ131" s="11">
        <f t="shared" si="16"/>
        <v>-2.1195105913720839E-4</v>
      </c>
      <c r="AR131" s="11">
        <f t="shared" si="17"/>
        <v>-6.2346934464398054E-4</v>
      </c>
    </row>
    <row r="132" spans="2:44" x14ac:dyDescent="0.35">
      <c r="B132" s="1">
        <v>45457</v>
      </c>
      <c r="C132">
        <v>5554.8</v>
      </c>
      <c r="D132" s="1">
        <v>45457</v>
      </c>
      <c r="E132">
        <v>5.3624000000000001</v>
      </c>
      <c r="F132" s="1">
        <v>45456</v>
      </c>
      <c r="G132">
        <v>110.65</v>
      </c>
      <c r="H132" s="4">
        <f t="shared" ref="H132:H195" si="18">G132*E132*1000</f>
        <v>593349.55999999994</v>
      </c>
      <c r="I132" s="5">
        <v>45457</v>
      </c>
      <c r="J132" s="4">
        <v>5497.77</v>
      </c>
      <c r="K132" s="4">
        <f t="shared" si="10"/>
        <v>54977.700000000004</v>
      </c>
      <c r="L132" s="1">
        <v>45457</v>
      </c>
      <c r="M132">
        <v>6.48</v>
      </c>
      <c r="N132" s="1">
        <v>45457</v>
      </c>
      <c r="O132">
        <v>6.46</v>
      </c>
      <c r="P132" s="1">
        <v>45457</v>
      </c>
      <c r="Q132">
        <v>6.45</v>
      </c>
      <c r="R132" s="1">
        <v>45457</v>
      </c>
      <c r="S132">
        <v>6.35</v>
      </c>
      <c r="T132" s="1">
        <v>45457</v>
      </c>
      <c r="U132">
        <v>6.4</v>
      </c>
      <c r="V132" s="1">
        <v>45457</v>
      </c>
      <c r="W132">
        <v>6.37</v>
      </c>
      <c r="X132" s="1">
        <v>45457</v>
      </c>
      <c r="Y132">
        <f>NETWORKDAYS(X132,$Z$1,FERIADO!$A$2:$A$408)</f>
        <v>1657</v>
      </c>
      <c r="Z132">
        <v>12.03</v>
      </c>
      <c r="AA132" s="6">
        <f t="shared" si="11"/>
        <v>47381.320901668601</v>
      </c>
      <c r="AB132" s="2">
        <f t="shared" si="12"/>
        <v>4.2737409304703421E-3</v>
      </c>
      <c r="AJ132" s="1">
        <v>45457</v>
      </c>
      <c r="AK132">
        <f>NETWORKDAYS(AJ132,$AJ$1,FERIADO!$A$2:$A$408)</f>
        <v>644</v>
      </c>
      <c r="AL132">
        <v>11.5</v>
      </c>
      <c r="AM132" s="6">
        <f t="shared" si="13"/>
        <v>75715.78860306702</v>
      </c>
      <c r="AN132" s="2">
        <f t="shared" si="14"/>
        <v>1.2338921350055182E-3</v>
      </c>
      <c r="AP132" s="11">
        <f t="shared" si="15"/>
        <v>2.136870465235171E-3</v>
      </c>
      <c r="AQ132" s="11">
        <f t="shared" si="16"/>
        <v>3.7016764050165542E-4</v>
      </c>
      <c r="AR132" s="11">
        <f t="shared" si="17"/>
        <v>2.5070381057368265E-3</v>
      </c>
    </row>
    <row r="133" spans="2:44" x14ac:dyDescent="0.35">
      <c r="B133" s="1">
        <v>45456</v>
      </c>
      <c r="C133">
        <v>5559.38</v>
      </c>
      <c r="D133" s="1">
        <v>45456</v>
      </c>
      <c r="E133">
        <v>5.3967999999999998</v>
      </c>
      <c r="F133" s="1">
        <v>45455</v>
      </c>
      <c r="G133">
        <v>110.18</v>
      </c>
      <c r="H133" s="4">
        <f t="shared" si="18"/>
        <v>594619.424</v>
      </c>
      <c r="I133" s="5">
        <v>45456</v>
      </c>
      <c r="J133" s="4">
        <v>5488.06</v>
      </c>
      <c r="K133" s="4">
        <f t="shared" ref="K133:K196" si="19">J133*10</f>
        <v>54880.600000000006</v>
      </c>
      <c r="L133" s="1">
        <v>45456</v>
      </c>
      <c r="M133">
        <v>6.47</v>
      </c>
      <c r="N133" s="1">
        <v>45456</v>
      </c>
      <c r="O133">
        <v>6.49</v>
      </c>
      <c r="P133" s="1">
        <v>45456</v>
      </c>
      <c r="Q133">
        <v>6.48</v>
      </c>
      <c r="R133" s="1">
        <v>45456</v>
      </c>
      <c r="S133">
        <v>6.42</v>
      </c>
      <c r="T133" s="1">
        <v>45456</v>
      </c>
      <c r="U133">
        <v>6.43</v>
      </c>
      <c r="V133" s="1">
        <v>45456</v>
      </c>
      <c r="W133">
        <v>6.44</v>
      </c>
      <c r="X133" s="1">
        <v>45456</v>
      </c>
      <c r="Y133">
        <f>NETWORKDAYS(X133,$Z$1,FERIADO!$A$2:$A$408)</f>
        <v>1658</v>
      </c>
      <c r="Z133">
        <v>12.19</v>
      </c>
      <c r="AA133" s="6">
        <f t="shared" ref="AA133:AA196" si="20">$Z$2/(1+Z133/100)^(Y133/252)</f>
        <v>46917.344463489331</v>
      </c>
      <c r="AB133" s="2">
        <f t="shared" ref="AB133:AB196" si="21">LOG(AA133/AA134)</f>
        <v>3.2547356314548493E-3</v>
      </c>
      <c r="AJ133" s="1">
        <v>45456</v>
      </c>
      <c r="AK133">
        <f>NETWORKDAYS(AJ133,$AJ$1,FERIADO!$A$2:$A$408)</f>
        <v>645</v>
      </c>
      <c r="AL133">
        <v>11.605</v>
      </c>
      <c r="AM133" s="6">
        <f t="shared" ref="AM133:AM196" si="22">$Z$2/(1+AL133/100)^(AK133/252)</f>
        <v>75500.974626498166</v>
      </c>
      <c r="AN133" s="2">
        <f t="shared" ref="AN133:AN196" si="23">LOG(AM133/AM134)</f>
        <v>1.5350931911312453E-3</v>
      </c>
      <c r="AP133" s="11">
        <f t="shared" ref="AP133:AP196" si="24">AB133*$AF$4</f>
        <v>1.6273678157274246E-3</v>
      </c>
      <c r="AQ133" s="11">
        <f t="shared" ref="AQ133:AQ196" si="25">AN133*$AF$7</f>
        <v>4.6052795733937359E-4</v>
      </c>
      <c r="AR133" s="11">
        <f t="shared" ref="AR133:AR196" si="26">AQ133+AP133</f>
        <v>2.0878957730667983E-3</v>
      </c>
    </row>
    <row r="134" spans="2:44" x14ac:dyDescent="0.35">
      <c r="B134" s="1">
        <v>45455</v>
      </c>
      <c r="C134">
        <v>5555.43</v>
      </c>
      <c r="D134" s="1">
        <v>45455</v>
      </c>
      <c r="E134">
        <v>5.3884999999999996</v>
      </c>
      <c r="F134" s="1">
        <v>45454</v>
      </c>
      <c r="G134">
        <v>109.563</v>
      </c>
      <c r="H134" s="4">
        <f t="shared" si="18"/>
        <v>590380.22549999994</v>
      </c>
      <c r="I134" s="5">
        <v>45455</v>
      </c>
      <c r="J134" s="4">
        <v>5528.41</v>
      </c>
      <c r="K134" s="4">
        <f t="shared" si="19"/>
        <v>55284.1</v>
      </c>
      <c r="L134" s="1">
        <v>45455</v>
      </c>
      <c r="M134">
        <v>6.49</v>
      </c>
      <c r="N134" s="1">
        <v>45455</v>
      </c>
      <c r="O134">
        <v>6.52</v>
      </c>
      <c r="P134" s="1">
        <v>45455</v>
      </c>
      <c r="Q134">
        <v>6.5</v>
      </c>
      <c r="R134" s="1">
        <v>45455</v>
      </c>
      <c r="S134">
        <v>6.44</v>
      </c>
      <c r="T134" s="1">
        <v>45455</v>
      </c>
      <c r="U134">
        <v>6.49</v>
      </c>
      <c r="V134" s="1">
        <v>45455</v>
      </c>
      <c r="W134">
        <v>6.48</v>
      </c>
      <c r="X134" s="1">
        <v>45455</v>
      </c>
      <c r="Y134">
        <f>NETWORKDAYS(X134,$Z$1,FERIADO!$A$2:$A$408)</f>
        <v>1659</v>
      </c>
      <c r="Z134">
        <v>12.31</v>
      </c>
      <c r="AA134" s="6">
        <f t="shared" si="20"/>
        <v>46567.045801429325</v>
      </c>
      <c r="AB134" s="2">
        <f t="shared" si="21"/>
        <v>-6.1751773861393848E-3</v>
      </c>
      <c r="AJ134" s="1">
        <v>45455</v>
      </c>
      <c r="AK134">
        <f>NETWORKDAYS(AJ134,$AJ$1,FERIADO!$A$2:$A$408)</f>
        <v>646</v>
      </c>
      <c r="AL134">
        <v>11.74</v>
      </c>
      <c r="AM134" s="6">
        <f t="shared" si="22"/>
        <v>75234.573736460123</v>
      </c>
      <c r="AN134" s="2">
        <f t="shared" si="23"/>
        <v>-2.0062011500104121E-3</v>
      </c>
      <c r="AP134" s="11">
        <f t="shared" si="24"/>
        <v>-3.0875886930696924E-3</v>
      </c>
      <c r="AQ134" s="11">
        <f t="shared" si="25"/>
        <v>-6.0186034500312358E-4</v>
      </c>
      <c r="AR134" s="11">
        <f t="shared" si="26"/>
        <v>-3.6894490380728158E-3</v>
      </c>
    </row>
    <row r="135" spans="2:44" x14ac:dyDescent="0.35">
      <c r="B135" s="1">
        <v>45454</v>
      </c>
      <c r="C135">
        <v>5501.3</v>
      </c>
      <c r="D135" s="1">
        <v>45454</v>
      </c>
      <c r="E135">
        <v>5.3518999999999997</v>
      </c>
      <c r="F135" s="1">
        <v>45453</v>
      </c>
      <c r="G135">
        <v>109.12</v>
      </c>
      <c r="H135" s="4">
        <f t="shared" si="18"/>
        <v>583999.32799999998</v>
      </c>
      <c r="I135" s="5">
        <v>45454</v>
      </c>
      <c r="J135" s="4">
        <v>5494.19</v>
      </c>
      <c r="K135" s="4">
        <f t="shared" si="19"/>
        <v>54941.899999999994</v>
      </c>
      <c r="L135" s="1">
        <v>45454</v>
      </c>
      <c r="M135">
        <v>6.38</v>
      </c>
      <c r="N135" s="1">
        <v>45454</v>
      </c>
      <c r="O135">
        <v>6.36</v>
      </c>
      <c r="P135" s="1">
        <v>45454</v>
      </c>
      <c r="Q135">
        <v>6.37</v>
      </c>
      <c r="R135" s="1">
        <v>45454</v>
      </c>
      <c r="S135">
        <v>6.3</v>
      </c>
      <c r="T135" s="1">
        <v>45454</v>
      </c>
      <c r="U135">
        <v>6.34</v>
      </c>
      <c r="V135" s="1">
        <v>45454</v>
      </c>
      <c r="W135">
        <v>6.34</v>
      </c>
      <c r="X135" s="1">
        <v>45454</v>
      </c>
      <c r="Y135">
        <f>NETWORKDAYS(X135,$Z$1,FERIADO!$A$2:$A$408)</f>
        <v>1660</v>
      </c>
      <c r="Z135">
        <v>12.06</v>
      </c>
      <c r="AA135" s="6">
        <f t="shared" si="20"/>
        <v>47233.906404296824</v>
      </c>
      <c r="AB135" s="2">
        <f t="shared" si="21"/>
        <v>1.9623261163309371E-4</v>
      </c>
      <c r="AJ135" s="1">
        <v>45454</v>
      </c>
      <c r="AK135">
        <f>NETWORKDAYS(AJ135,$AJ$1,FERIADO!$A$2:$A$408)</f>
        <v>647</v>
      </c>
      <c r="AL135">
        <v>11.52</v>
      </c>
      <c r="AM135" s="6">
        <f t="shared" si="22"/>
        <v>75582.919966800269</v>
      </c>
      <c r="AN135" s="2">
        <f t="shared" si="23"/>
        <v>9.8873767466445576E-4</v>
      </c>
      <c r="AP135" s="11">
        <f t="shared" si="24"/>
        <v>9.8116305816546857E-5</v>
      </c>
      <c r="AQ135" s="11">
        <f t="shared" si="25"/>
        <v>2.966213023993367E-4</v>
      </c>
      <c r="AR135" s="11">
        <f t="shared" si="26"/>
        <v>3.9473760821588357E-4</v>
      </c>
    </row>
    <row r="136" spans="2:44" x14ac:dyDescent="0.35">
      <c r="B136" s="1">
        <v>45453</v>
      </c>
      <c r="C136">
        <v>5485.6</v>
      </c>
      <c r="D136" s="1">
        <v>45450</v>
      </c>
      <c r="E136">
        <v>5.2796000000000003</v>
      </c>
      <c r="F136" s="1">
        <v>45450</v>
      </c>
      <c r="G136">
        <v>109.288</v>
      </c>
      <c r="H136" s="4">
        <f t="shared" si="18"/>
        <v>576996.92480000004</v>
      </c>
      <c r="I136" s="5">
        <v>45453</v>
      </c>
      <c r="J136" s="4">
        <v>5480.4</v>
      </c>
      <c r="K136" s="4">
        <f t="shared" si="19"/>
        <v>54804</v>
      </c>
      <c r="L136" s="1">
        <v>45453</v>
      </c>
      <c r="M136">
        <v>6.36</v>
      </c>
      <c r="N136" s="1">
        <v>45453</v>
      </c>
      <c r="O136">
        <v>6.36</v>
      </c>
      <c r="P136" s="1">
        <v>45453</v>
      </c>
      <c r="Q136">
        <v>6.33</v>
      </c>
      <c r="R136" s="1">
        <v>45453</v>
      </c>
      <c r="S136">
        <v>6.26</v>
      </c>
      <c r="T136" s="1">
        <v>45453</v>
      </c>
      <c r="U136">
        <v>6.31</v>
      </c>
      <c r="V136" s="1">
        <v>45453</v>
      </c>
      <c r="W136">
        <v>6.3</v>
      </c>
      <c r="X136" s="1">
        <v>45453</v>
      </c>
      <c r="Y136">
        <f>NETWORKDAYS(X136,$Z$1,FERIADO!$A$2:$A$408)</f>
        <v>1661</v>
      </c>
      <c r="Z136">
        <v>12.06</v>
      </c>
      <c r="AA136" s="6">
        <f t="shared" si="20"/>
        <v>47212.568948981279</v>
      </c>
      <c r="AB136" s="2">
        <f t="shared" si="21"/>
        <v>1.4739573558442511E-3</v>
      </c>
      <c r="AJ136" s="1">
        <v>45453</v>
      </c>
      <c r="AK136">
        <f>NETWORKDAYS(AJ136,$AJ$1,FERIADO!$A$2:$A$408)</f>
        <v>648</v>
      </c>
      <c r="AL136">
        <v>11.6</v>
      </c>
      <c r="AM136" s="6">
        <f t="shared" si="22"/>
        <v>75411.039643367461</v>
      </c>
      <c r="AN136" s="2">
        <f t="shared" si="23"/>
        <v>1.8914362937120821E-4</v>
      </c>
      <c r="AP136" s="11">
        <f t="shared" si="24"/>
        <v>7.3697867792212556E-4</v>
      </c>
      <c r="AQ136" s="11">
        <f t="shared" si="25"/>
        <v>5.6743088811362461E-5</v>
      </c>
      <c r="AR136" s="11">
        <f t="shared" si="26"/>
        <v>7.9372176673348806E-4</v>
      </c>
    </row>
    <row r="137" spans="2:44" x14ac:dyDescent="0.35">
      <c r="B137" s="1">
        <v>45450</v>
      </c>
      <c r="C137">
        <v>5473.62</v>
      </c>
      <c r="D137" s="1">
        <v>45449</v>
      </c>
      <c r="E137">
        <v>5.2675000000000001</v>
      </c>
      <c r="F137" s="1">
        <v>45449</v>
      </c>
      <c r="G137">
        <v>110.34399999999999</v>
      </c>
      <c r="H137" s="4">
        <f t="shared" si="18"/>
        <v>581237.02</v>
      </c>
      <c r="I137" s="5">
        <v>45450</v>
      </c>
      <c r="J137" s="4">
        <v>5480.4</v>
      </c>
      <c r="K137" s="4">
        <f t="shared" si="19"/>
        <v>54804</v>
      </c>
      <c r="L137" s="1">
        <v>45450</v>
      </c>
      <c r="M137">
        <v>6.34</v>
      </c>
      <c r="N137" s="1">
        <v>45450</v>
      </c>
      <c r="O137">
        <v>6.34</v>
      </c>
      <c r="P137" s="1">
        <v>45450</v>
      </c>
      <c r="Q137">
        <v>6.3</v>
      </c>
      <c r="R137" s="1">
        <v>45450</v>
      </c>
      <c r="S137">
        <v>6.28</v>
      </c>
      <c r="T137" s="1">
        <v>45450</v>
      </c>
      <c r="U137">
        <v>6.35</v>
      </c>
      <c r="V137" s="1">
        <v>45450</v>
      </c>
      <c r="W137">
        <v>6.29</v>
      </c>
      <c r="X137" s="1">
        <v>45450</v>
      </c>
      <c r="Y137">
        <f>NETWORKDAYS(X137,$Z$1,FERIADO!$A$2:$A$408)</f>
        <v>1662</v>
      </c>
      <c r="Z137">
        <v>12.11</v>
      </c>
      <c r="AA137" s="6">
        <f t="shared" si="20"/>
        <v>47052.605238510616</v>
      </c>
      <c r="AB137" s="2">
        <f t="shared" si="21"/>
        <v>-7.995229714962122E-3</v>
      </c>
      <c r="AJ137" s="1">
        <v>45450</v>
      </c>
      <c r="AK137">
        <f>NETWORKDAYS(AJ137,$AJ$1,FERIADO!$A$2:$A$408)</f>
        <v>649</v>
      </c>
      <c r="AL137">
        <v>11.6</v>
      </c>
      <c r="AM137" s="6">
        <f t="shared" si="22"/>
        <v>75378.203830896324</v>
      </c>
      <c r="AN137" s="2">
        <f t="shared" si="23"/>
        <v>-3.8835072662199936E-3</v>
      </c>
      <c r="AP137" s="11">
        <f t="shared" si="24"/>
        <v>-3.997614857481061E-3</v>
      </c>
      <c r="AQ137" s="11">
        <f t="shared" si="25"/>
        <v>-1.1650521798659979E-3</v>
      </c>
      <c r="AR137" s="11">
        <f t="shared" si="26"/>
        <v>-5.1626670373470587E-3</v>
      </c>
    </row>
    <row r="138" spans="2:44" x14ac:dyDescent="0.35">
      <c r="B138" s="1">
        <v>45449</v>
      </c>
      <c r="C138">
        <v>5480.88</v>
      </c>
      <c r="D138" s="1">
        <v>45448</v>
      </c>
      <c r="E138">
        <v>5.2835000000000001</v>
      </c>
      <c r="F138" s="1">
        <v>45448</v>
      </c>
      <c r="G138">
        <v>110.407</v>
      </c>
      <c r="H138" s="4">
        <f t="shared" si="18"/>
        <v>583335.38450000004</v>
      </c>
      <c r="I138" s="5">
        <v>45449</v>
      </c>
      <c r="J138" s="4">
        <v>5384.39</v>
      </c>
      <c r="K138" s="4">
        <f t="shared" si="19"/>
        <v>53843.9</v>
      </c>
      <c r="L138" s="1">
        <v>45449</v>
      </c>
      <c r="M138">
        <v>6.15</v>
      </c>
      <c r="N138" s="1">
        <v>45449</v>
      </c>
      <c r="O138">
        <v>6.14</v>
      </c>
      <c r="P138" s="1">
        <v>45449</v>
      </c>
      <c r="Q138">
        <v>6.16</v>
      </c>
      <c r="R138" s="1">
        <v>45449</v>
      </c>
      <c r="S138">
        <v>6.14</v>
      </c>
      <c r="T138" s="1">
        <v>45449</v>
      </c>
      <c r="U138">
        <v>6.21</v>
      </c>
      <c r="V138" s="1">
        <v>45449</v>
      </c>
      <c r="W138">
        <v>6.19</v>
      </c>
      <c r="X138" s="1">
        <v>45449</v>
      </c>
      <c r="Y138">
        <f>NETWORKDAYS(X138,$Z$1,FERIADO!$A$2:$A$408)</f>
        <v>1663</v>
      </c>
      <c r="Z138">
        <v>11.79</v>
      </c>
      <c r="AA138" s="6">
        <f t="shared" si="20"/>
        <v>47926.852050635491</v>
      </c>
      <c r="AB138" s="2">
        <f t="shared" si="21"/>
        <v>1.7308280552419462E-3</v>
      </c>
      <c r="AJ138" s="1">
        <v>45449</v>
      </c>
      <c r="AK138">
        <f>NETWORKDAYS(AJ138,$AJ$1,FERIADO!$A$2:$A$408)</f>
        <v>650</v>
      </c>
      <c r="AL138">
        <v>11.195</v>
      </c>
      <c r="AM138" s="6">
        <f t="shared" si="22"/>
        <v>76055.26638608861</v>
      </c>
      <c r="AN138" s="2">
        <f t="shared" si="23"/>
        <v>9.393525956368201E-4</v>
      </c>
      <c r="AP138" s="11">
        <f t="shared" si="24"/>
        <v>8.6541402762097311E-4</v>
      </c>
      <c r="AQ138" s="11">
        <f t="shared" si="25"/>
        <v>2.8180577869104604E-4</v>
      </c>
      <c r="AR138" s="11">
        <f t="shared" si="26"/>
        <v>1.1472198063120192E-3</v>
      </c>
    </row>
    <row r="139" spans="2:44" x14ac:dyDescent="0.35">
      <c r="B139" s="1">
        <v>45448</v>
      </c>
      <c r="C139">
        <v>5486.19</v>
      </c>
      <c r="D139" s="1">
        <v>45447</v>
      </c>
      <c r="E139">
        <v>5.2680999999999996</v>
      </c>
      <c r="F139" s="1">
        <v>45447</v>
      </c>
      <c r="G139">
        <v>110.062</v>
      </c>
      <c r="H139" s="4">
        <f t="shared" si="18"/>
        <v>579817.62219999998</v>
      </c>
      <c r="I139" s="5">
        <v>45448</v>
      </c>
      <c r="J139" s="4">
        <v>5425.76</v>
      </c>
      <c r="K139" s="4">
        <f t="shared" si="19"/>
        <v>54257.600000000006</v>
      </c>
      <c r="L139" s="1">
        <v>45448</v>
      </c>
      <c r="M139">
        <v>6.2</v>
      </c>
      <c r="N139" s="1">
        <v>45448</v>
      </c>
      <c r="O139">
        <v>6.16</v>
      </c>
      <c r="P139" s="1">
        <v>45448</v>
      </c>
      <c r="Q139">
        <v>6.21</v>
      </c>
      <c r="R139" s="1">
        <v>45448</v>
      </c>
      <c r="S139">
        <v>6.16</v>
      </c>
      <c r="T139" s="1">
        <v>45448</v>
      </c>
      <c r="U139">
        <v>6.22</v>
      </c>
      <c r="V139" s="1">
        <v>45448</v>
      </c>
      <c r="W139">
        <v>6.21</v>
      </c>
      <c r="X139" s="1">
        <v>45448</v>
      </c>
      <c r="Y139">
        <f>NETWORKDAYS(X139,$Z$1,FERIADO!$A$2:$A$408)</f>
        <v>1664</v>
      </c>
      <c r="Z139">
        <v>11.85</v>
      </c>
      <c r="AA139" s="6">
        <f t="shared" si="20"/>
        <v>47736.225498589229</v>
      </c>
      <c r="AB139" s="2">
        <f t="shared" si="21"/>
        <v>1.9299995409785667E-4</v>
      </c>
      <c r="AJ139" s="1">
        <v>45448</v>
      </c>
      <c r="AK139">
        <f>NETWORKDAYS(AJ139,$AJ$1,FERIADO!$A$2:$A$408)</f>
        <v>651</v>
      </c>
      <c r="AL139">
        <v>11.27</v>
      </c>
      <c r="AM139" s="6">
        <f t="shared" si="22"/>
        <v>75890.941239405045</v>
      </c>
      <c r="AN139" s="2">
        <f t="shared" si="23"/>
        <v>-3.7151018843755487E-4</v>
      </c>
      <c r="AP139" s="11">
        <f t="shared" si="24"/>
        <v>9.6499977048928334E-5</v>
      </c>
      <c r="AQ139" s="11">
        <f t="shared" si="25"/>
        <v>-1.1145305653126645E-4</v>
      </c>
      <c r="AR139" s="11">
        <f t="shared" si="26"/>
        <v>-1.4953079482338114E-5</v>
      </c>
    </row>
    <row r="140" spans="2:44" x14ac:dyDescent="0.35">
      <c r="B140" s="1">
        <v>45447</v>
      </c>
      <c r="C140">
        <v>5422.25</v>
      </c>
      <c r="D140" s="1">
        <v>45446</v>
      </c>
      <c r="E140">
        <v>5.2366999999999999</v>
      </c>
      <c r="F140" s="1">
        <v>45446</v>
      </c>
      <c r="G140">
        <v>109.60899999999999</v>
      </c>
      <c r="H140" s="4">
        <f t="shared" si="18"/>
        <v>573989.45029999991</v>
      </c>
      <c r="I140" s="5">
        <v>45447</v>
      </c>
      <c r="J140" s="4">
        <v>5416.56</v>
      </c>
      <c r="K140" s="4">
        <f t="shared" si="19"/>
        <v>54165.600000000006</v>
      </c>
      <c r="L140" s="1">
        <v>45447</v>
      </c>
      <c r="M140">
        <v>6.14</v>
      </c>
      <c r="N140" s="1">
        <v>45447</v>
      </c>
      <c r="O140">
        <v>6.15</v>
      </c>
      <c r="P140" s="1">
        <v>45447</v>
      </c>
      <c r="Q140">
        <v>6.17</v>
      </c>
      <c r="R140" s="1">
        <v>45447</v>
      </c>
      <c r="S140">
        <v>6.11</v>
      </c>
      <c r="T140" s="1">
        <v>45447</v>
      </c>
      <c r="U140">
        <v>6.18</v>
      </c>
      <c r="V140" s="1">
        <v>45447</v>
      </c>
      <c r="W140">
        <v>6.19</v>
      </c>
      <c r="X140" s="1">
        <v>45447</v>
      </c>
      <c r="Y140">
        <f>NETWORKDAYS(X140,$Z$1,FERIADO!$A$2:$A$408)</f>
        <v>1665</v>
      </c>
      <c r="Z140">
        <v>11.85</v>
      </c>
      <c r="AA140" s="6">
        <f t="shared" si="20"/>
        <v>47715.016289460247</v>
      </c>
      <c r="AB140" s="2">
        <f t="shared" si="21"/>
        <v>-1.0907778785152432E-3</v>
      </c>
      <c r="AJ140" s="1">
        <v>45447</v>
      </c>
      <c r="AK140">
        <f>NETWORKDAYS(AJ140,$AJ$1,FERIADO!$A$2:$A$408)</f>
        <v>652</v>
      </c>
      <c r="AL140">
        <v>11.215</v>
      </c>
      <c r="AM140" s="6">
        <f t="shared" si="22"/>
        <v>75955.888692472305</v>
      </c>
      <c r="AN140" s="2">
        <f t="shared" si="23"/>
        <v>-6.7724794783922666E-4</v>
      </c>
      <c r="AP140" s="11">
        <f t="shared" si="24"/>
        <v>-5.4538893925762161E-4</v>
      </c>
      <c r="AQ140" s="11">
        <f t="shared" si="25"/>
        <v>-2.03174384351768E-4</v>
      </c>
      <c r="AR140" s="11">
        <f t="shared" si="26"/>
        <v>-7.4856332360938955E-4</v>
      </c>
    </row>
    <row r="141" spans="2:44" x14ac:dyDescent="0.35">
      <c r="B141" s="1">
        <v>45446</v>
      </c>
      <c r="C141">
        <v>5420.8</v>
      </c>
      <c r="D141" s="1">
        <v>45443</v>
      </c>
      <c r="E141">
        <v>5.2409999999999997</v>
      </c>
      <c r="F141" s="1">
        <v>45443</v>
      </c>
      <c r="G141">
        <v>108.872</v>
      </c>
      <c r="H141" s="4">
        <f t="shared" si="18"/>
        <v>570598.15199999989</v>
      </c>
      <c r="I141" s="5">
        <v>45446</v>
      </c>
      <c r="J141" s="4">
        <v>5377.75</v>
      </c>
      <c r="K141" s="4">
        <f t="shared" si="19"/>
        <v>53777.5</v>
      </c>
      <c r="L141" s="1">
        <v>45446</v>
      </c>
      <c r="M141">
        <v>6.12</v>
      </c>
      <c r="N141" s="1">
        <v>45446</v>
      </c>
      <c r="O141">
        <v>6.12</v>
      </c>
      <c r="P141" s="1">
        <v>45446</v>
      </c>
      <c r="Q141">
        <v>6.12</v>
      </c>
      <c r="R141" s="1">
        <v>45446</v>
      </c>
      <c r="S141">
        <v>6.08</v>
      </c>
      <c r="T141" s="1">
        <v>45446</v>
      </c>
      <c r="U141">
        <v>6.14</v>
      </c>
      <c r="V141" s="1">
        <v>45446</v>
      </c>
      <c r="W141">
        <v>6.14</v>
      </c>
      <c r="X141" s="1">
        <v>45446</v>
      </c>
      <c r="Y141">
        <f>NETWORKDAYS(X141,$Z$1,FERIADO!$A$2:$A$408)</f>
        <v>1666</v>
      </c>
      <c r="Z141">
        <v>11.8</v>
      </c>
      <c r="AA141" s="6">
        <f t="shared" si="20"/>
        <v>47835.008371729789</v>
      </c>
      <c r="AB141" s="2">
        <f t="shared" si="21"/>
        <v>1.4767777867108148E-3</v>
      </c>
      <c r="AJ141" s="1">
        <v>45446</v>
      </c>
      <c r="AK141">
        <f>NETWORKDAYS(AJ141,$AJ$1,FERIADO!$A$2:$A$408)</f>
        <v>653</v>
      </c>
      <c r="AL141">
        <v>11.13</v>
      </c>
      <c r="AM141" s="6">
        <f t="shared" si="22"/>
        <v>76074.428305132722</v>
      </c>
      <c r="AN141" s="2">
        <f t="shared" si="23"/>
        <v>2.83287273007676E-4</v>
      </c>
      <c r="AP141" s="11">
        <f t="shared" si="24"/>
        <v>7.3838889335540742E-4</v>
      </c>
      <c r="AQ141" s="11">
        <f t="shared" si="25"/>
        <v>8.4986181902302793E-5</v>
      </c>
      <c r="AR141" s="11">
        <f t="shared" si="26"/>
        <v>8.2337507525771022E-4</v>
      </c>
    </row>
    <row r="142" spans="2:44" x14ac:dyDescent="0.35">
      <c r="B142" s="1">
        <v>45443</v>
      </c>
      <c r="C142">
        <v>5421.3</v>
      </c>
      <c r="D142" s="1">
        <v>45441</v>
      </c>
      <c r="E142">
        <v>5.1966000000000001</v>
      </c>
      <c r="F142" s="1">
        <v>45441</v>
      </c>
      <c r="G142">
        <v>108.17</v>
      </c>
      <c r="H142" s="4">
        <f t="shared" si="18"/>
        <v>562116.22199999995</v>
      </c>
      <c r="I142" s="5">
        <v>45443</v>
      </c>
      <c r="J142" s="4">
        <v>5373.66</v>
      </c>
      <c r="K142" s="4">
        <f t="shared" si="19"/>
        <v>53736.6</v>
      </c>
      <c r="L142" s="1">
        <v>45443</v>
      </c>
      <c r="M142">
        <v>6.11</v>
      </c>
      <c r="N142" s="1">
        <v>45443</v>
      </c>
      <c r="O142">
        <v>6.1</v>
      </c>
      <c r="P142" s="1">
        <v>45443</v>
      </c>
      <c r="Q142">
        <v>6.12</v>
      </c>
      <c r="R142" s="1">
        <v>45443</v>
      </c>
      <c r="S142">
        <v>6.05</v>
      </c>
      <c r="T142" s="1">
        <v>45443</v>
      </c>
      <c r="U142">
        <v>6.12</v>
      </c>
      <c r="V142" s="1">
        <v>45443</v>
      </c>
      <c r="W142">
        <v>6.12</v>
      </c>
      <c r="X142" s="1">
        <v>45443</v>
      </c>
      <c r="Y142">
        <f>NETWORKDAYS(X142,$Z$1,FERIADO!$A$2:$A$408)</f>
        <v>1667</v>
      </c>
      <c r="Z142">
        <v>11.85</v>
      </c>
      <c r="AA142" s="6">
        <f t="shared" si="20"/>
        <v>47672.626136775922</v>
      </c>
      <c r="AB142" s="2">
        <f t="shared" si="21"/>
        <v>-3.210586768155797E-4</v>
      </c>
      <c r="AJ142" s="1">
        <v>45443</v>
      </c>
      <c r="AK142">
        <f>NETWORKDAYS(AJ142,$AJ$1,FERIADO!$A$2:$A$408)</f>
        <v>654</v>
      </c>
      <c r="AL142">
        <v>11.14</v>
      </c>
      <c r="AM142" s="6">
        <f t="shared" si="22"/>
        <v>76024.821664917152</v>
      </c>
      <c r="AN142" s="2">
        <f t="shared" si="23"/>
        <v>4.8668669068251396E-4</v>
      </c>
      <c r="AP142" s="11">
        <f t="shared" si="24"/>
        <v>-1.6052933840778985E-4</v>
      </c>
      <c r="AQ142" s="11">
        <f t="shared" si="25"/>
        <v>1.4600600720475419E-4</v>
      </c>
      <c r="AR142" s="11">
        <f t="shared" si="26"/>
        <v>-1.4523331203035656E-5</v>
      </c>
    </row>
    <row r="143" spans="2:44" x14ac:dyDescent="0.35">
      <c r="B143" s="1">
        <v>45441</v>
      </c>
      <c r="C143">
        <v>5391.57</v>
      </c>
      <c r="D143" s="1">
        <v>45440</v>
      </c>
      <c r="E143">
        <v>5.1532</v>
      </c>
      <c r="F143" s="1">
        <v>45440</v>
      </c>
      <c r="G143">
        <v>108.24</v>
      </c>
      <c r="H143" s="4">
        <f t="shared" si="18"/>
        <v>557782.36800000002</v>
      </c>
      <c r="I143" s="5">
        <v>45441</v>
      </c>
      <c r="J143" s="4">
        <v>5329.23</v>
      </c>
      <c r="K143" s="4">
        <f t="shared" si="19"/>
        <v>53292.299999999996</v>
      </c>
      <c r="L143" s="1">
        <v>45441</v>
      </c>
      <c r="M143">
        <v>6.15</v>
      </c>
      <c r="N143" s="1">
        <v>45441</v>
      </c>
      <c r="O143">
        <v>6.13</v>
      </c>
      <c r="P143" s="1">
        <v>45441</v>
      </c>
      <c r="Q143">
        <v>6.13</v>
      </c>
      <c r="R143" s="1">
        <v>45441</v>
      </c>
      <c r="S143">
        <v>6.08</v>
      </c>
      <c r="T143" s="1">
        <v>45441</v>
      </c>
      <c r="U143">
        <v>6.13</v>
      </c>
      <c r="V143" s="1">
        <v>45441</v>
      </c>
      <c r="W143">
        <v>6.16</v>
      </c>
      <c r="X143" s="1">
        <v>45441</v>
      </c>
      <c r="Y143">
        <f>NETWORKDAYS(X143,$Z$1,FERIADO!$A$2:$A$408)</f>
        <v>1668</v>
      </c>
      <c r="Z143">
        <v>11.83</v>
      </c>
      <c r="AA143" s="6">
        <f t="shared" si="20"/>
        <v>47707.881867132994</v>
      </c>
      <c r="AB143" s="2">
        <f t="shared" si="21"/>
        <v>-1.6083168116831077E-3</v>
      </c>
      <c r="AJ143" s="1">
        <v>45441</v>
      </c>
      <c r="AK143">
        <f>NETWORKDAYS(AJ143,$AJ$1,FERIADO!$A$2:$A$408)</f>
        <v>655</v>
      </c>
      <c r="AL143">
        <v>11.17</v>
      </c>
      <c r="AM143" s="6">
        <f t="shared" si="22"/>
        <v>75939.67311662987</v>
      </c>
      <c r="AN143" s="2">
        <f t="shared" si="23"/>
        <v>-9.8760839794613357E-4</v>
      </c>
      <c r="AP143" s="11">
        <f t="shared" si="24"/>
        <v>-8.0415840584155385E-4</v>
      </c>
      <c r="AQ143" s="11">
        <f t="shared" si="25"/>
        <v>-2.9628251938384006E-4</v>
      </c>
      <c r="AR143" s="11">
        <f t="shared" si="26"/>
        <v>-1.100440925225394E-3</v>
      </c>
    </row>
    <row r="144" spans="2:44" x14ac:dyDescent="0.35">
      <c r="B144" s="1">
        <v>45440</v>
      </c>
      <c r="C144">
        <v>5441.61</v>
      </c>
      <c r="D144" s="1">
        <v>45439</v>
      </c>
      <c r="E144">
        <v>5.1698000000000004</v>
      </c>
      <c r="F144" s="1">
        <v>45439</v>
      </c>
      <c r="G144">
        <v>108.7</v>
      </c>
      <c r="H144" s="4">
        <f t="shared" si="18"/>
        <v>561957.26</v>
      </c>
      <c r="I144" s="5">
        <v>45440</v>
      </c>
      <c r="J144" s="4">
        <v>5287.76</v>
      </c>
      <c r="K144" s="4">
        <f t="shared" si="19"/>
        <v>52877.600000000006</v>
      </c>
      <c r="L144" s="1">
        <v>45440</v>
      </c>
      <c r="M144">
        <v>6.07</v>
      </c>
      <c r="N144" s="1">
        <v>45440</v>
      </c>
      <c r="O144">
        <v>6.07</v>
      </c>
      <c r="P144" s="1">
        <v>45440</v>
      </c>
      <c r="Q144">
        <v>6.09</v>
      </c>
      <c r="R144" s="1">
        <v>45440</v>
      </c>
      <c r="S144">
        <v>6.07</v>
      </c>
      <c r="T144" s="1">
        <v>45440</v>
      </c>
      <c r="U144">
        <v>6.12</v>
      </c>
      <c r="V144" s="1">
        <v>45440</v>
      </c>
      <c r="W144">
        <v>6.11</v>
      </c>
      <c r="X144" s="1">
        <v>45440</v>
      </c>
      <c r="Y144">
        <f>NETWORKDAYS(X144,$Z$1,FERIADO!$A$2:$A$408)</f>
        <v>1669</v>
      </c>
      <c r="Z144">
        <v>11.76</v>
      </c>
      <c r="AA144" s="6">
        <f t="shared" si="20"/>
        <v>47884.885358200765</v>
      </c>
      <c r="AB144" s="2">
        <f t="shared" si="21"/>
        <v>-1.6116040776667229E-3</v>
      </c>
      <c r="AJ144" s="1">
        <v>45440</v>
      </c>
      <c r="AK144">
        <f>NETWORKDAYS(AJ144,$AJ$1,FERIADO!$A$2:$A$408)</f>
        <v>656</v>
      </c>
      <c r="AL144">
        <v>11.055</v>
      </c>
      <c r="AM144" s="6">
        <f t="shared" si="22"/>
        <v>76112.560413503772</v>
      </c>
      <c r="AN144" s="2">
        <f t="shared" si="23"/>
        <v>-2.3222723462222928E-5</v>
      </c>
      <c r="AP144" s="11">
        <f t="shared" si="24"/>
        <v>-8.0580203883336143E-4</v>
      </c>
      <c r="AQ144" s="11">
        <f t="shared" si="25"/>
        <v>-6.9668170386668785E-6</v>
      </c>
      <c r="AR144" s="11">
        <f t="shared" si="26"/>
        <v>-8.1276885587202826E-4</v>
      </c>
    </row>
    <row r="145" spans="2:44" x14ac:dyDescent="0.35">
      <c r="B145" s="1">
        <v>45439</v>
      </c>
      <c r="C145">
        <v>5452.1</v>
      </c>
      <c r="D145" s="1">
        <v>45436</v>
      </c>
      <c r="E145">
        <v>5.1501999999999999</v>
      </c>
      <c r="F145" s="1">
        <v>45436</v>
      </c>
      <c r="G145">
        <v>108.797</v>
      </c>
      <c r="H145" s="4">
        <f t="shared" si="18"/>
        <v>560326.30940000003</v>
      </c>
      <c r="I145" s="5">
        <v>45439</v>
      </c>
      <c r="J145" s="4">
        <v>5297.49</v>
      </c>
      <c r="K145" s="4">
        <f t="shared" si="19"/>
        <v>52974.899999999994</v>
      </c>
      <c r="L145" s="1">
        <v>45439</v>
      </c>
      <c r="M145">
        <v>6.09</v>
      </c>
      <c r="N145" s="1">
        <v>45439</v>
      </c>
      <c r="O145">
        <v>6.07</v>
      </c>
      <c r="P145" s="1">
        <v>45439</v>
      </c>
      <c r="Q145">
        <v>6.08</v>
      </c>
      <c r="R145" s="1">
        <v>45439</v>
      </c>
      <c r="S145">
        <v>6.04</v>
      </c>
      <c r="T145" s="1">
        <v>45439</v>
      </c>
      <c r="U145">
        <v>6.12</v>
      </c>
      <c r="V145" s="1">
        <v>45439</v>
      </c>
      <c r="W145">
        <v>6.11</v>
      </c>
      <c r="X145" s="1">
        <v>45439</v>
      </c>
      <c r="Y145">
        <f>NETWORKDAYS(X145,$Z$1,FERIADO!$A$2:$A$408)</f>
        <v>1670</v>
      </c>
      <c r="Z145">
        <v>11.69</v>
      </c>
      <c r="AA145" s="6">
        <f t="shared" si="20"/>
        <v>48062.909355977055</v>
      </c>
      <c r="AB145" s="2">
        <f t="shared" si="21"/>
        <v>1.7371419757512055E-3</v>
      </c>
      <c r="AJ145" s="1">
        <v>45439</v>
      </c>
      <c r="AK145">
        <f>NETWORKDAYS(AJ145,$AJ$1,FERIADO!$A$2:$A$408)</f>
        <v>657</v>
      </c>
      <c r="AL145">
        <v>11.035</v>
      </c>
      <c r="AM145" s="6">
        <f t="shared" si="22"/>
        <v>76116.630435744941</v>
      </c>
      <c r="AN145" s="2">
        <f t="shared" si="23"/>
        <v>1.3542739829262888E-3</v>
      </c>
      <c r="AP145" s="11">
        <f t="shared" si="24"/>
        <v>8.6857098787560276E-4</v>
      </c>
      <c r="AQ145" s="11">
        <f t="shared" si="25"/>
        <v>4.0628219487788661E-4</v>
      </c>
      <c r="AR145" s="11">
        <f t="shared" si="26"/>
        <v>1.2748531827534893E-3</v>
      </c>
    </row>
    <row r="146" spans="2:44" x14ac:dyDescent="0.35">
      <c r="B146" s="1">
        <v>45436</v>
      </c>
      <c r="C146">
        <v>5441.74</v>
      </c>
      <c r="D146" s="1">
        <v>45435</v>
      </c>
      <c r="E146">
        <v>5.1436999999999999</v>
      </c>
      <c r="F146" s="1">
        <v>45435</v>
      </c>
      <c r="G146">
        <v>108.718</v>
      </c>
      <c r="H146" s="4">
        <f t="shared" si="18"/>
        <v>559212.77659999998</v>
      </c>
      <c r="I146" s="5">
        <v>45436</v>
      </c>
      <c r="J146" s="4">
        <v>5295.95</v>
      </c>
      <c r="K146" s="4">
        <f t="shared" si="19"/>
        <v>52959.5</v>
      </c>
      <c r="L146" s="1">
        <v>45436</v>
      </c>
      <c r="M146">
        <v>6.11</v>
      </c>
      <c r="N146" s="1">
        <v>45436</v>
      </c>
      <c r="O146">
        <v>6.08</v>
      </c>
      <c r="P146" s="1">
        <v>45436</v>
      </c>
      <c r="Q146">
        <v>6.1</v>
      </c>
      <c r="R146" s="1">
        <v>45436</v>
      </c>
      <c r="S146">
        <v>6.02</v>
      </c>
      <c r="T146" s="1">
        <v>45436</v>
      </c>
      <c r="U146">
        <v>6.08</v>
      </c>
      <c r="V146" s="1">
        <v>45436</v>
      </c>
      <c r="W146">
        <v>6.09</v>
      </c>
      <c r="X146" s="1">
        <v>45436</v>
      </c>
      <c r="Y146">
        <f>NETWORKDAYS(X146,$Z$1,FERIADO!$A$2:$A$408)</f>
        <v>1671</v>
      </c>
      <c r="Z146">
        <v>11.75</v>
      </c>
      <c r="AA146" s="6">
        <f t="shared" si="20"/>
        <v>47871.045672540546</v>
      </c>
      <c r="AB146" s="2">
        <f t="shared" si="21"/>
        <v>-1.6140794357503143E-3</v>
      </c>
      <c r="AJ146" s="1">
        <v>45436</v>
      </c>
      <c r="AK146">
        <f>NETWORKDAYS(AJ146,$AJ$1,FERIADO!$A$2:$A$408)</f>
        <v>658</v>
      </c>
      <c r="AL146">
        <v>11.15</v>
      </c>
      <c r="AM146" s="6">
        <f t="shared" si="22"/>
        <v>75879.643275231138</v>
      </c>
      <c r="AN146" s="2">
        <f t="shared" si="23"/>
        <v>-9.4234011520773133E-4</v>
      </c>
      <c r="AP146" s="11">
        <f t="shared" si="24"/>
        <v>-8.0703971787515717E-4</v>
      </c>
      <c r="AQ146" s="11">
        <f t="shared" si="25"/>
        <v>-2.8270203456231939E-4</v>
      </c>
      <c r="AR146" s="11">
        <f t="shared" si="26"/>
        <v>-1.0897417524374764E-3</v>
      </c>
    </row>
    <row r="147" spans="2:44" x14ac:dyDescent="0.35">
      <c r="B147" s="1">
        <v>45435</v>
      </c>
      <c r="C147">
        <v>5405.23</v>
      </c>
      <c r="D147" s="1">
        <v>45434</v>
      </c>
      <c r="E147">
        <v>5.1496000000000004</v>
      </c>
      <c r="F147" s="1">
        <v>45434</v>
      </c>
      <c r="G147">
        <v>109.05500000000001</v>
      </c>
      <c r="H147" s="4">
        <f t="shared" si="18"/>
        <v>561589.62800000003</v>
      </c>
      <c r="I147" s="5">
        <v>45435</v>
      </c>
      <c r="J147" s="4">
        <v>5266.77</v>
      </c>
      <c r="K147" s="4">
        <f t="shared" si="19"/>
        <v>52667.700000000004</v>
      </c>
      <c r="L147" s="1">
        <v>45435</v>
      </c>
      <c r="M147">
        <v>6.07</v>
      </c>
      <c r="N147" s="1">
        <v>45435</v>
      </c>
      <c r="O147">
        <v>6.05</v>
      </c>
      <c r="P147" s="1">
        <v>45435</v>
      </c>
      <c r="Q147">
        <v>6.06</v>
      </c>
      <c r="R147" s="1">
        <v>45435</v>
      </c>
      <c r="S147">
        <v>6</v>
      </c>
      <c r="T147" s="1">
        <v>45435</v>
      </c>
      <c r="U147">
        <v>6.07</v>
      </c>
      <c r="V147" s="1">
        <v>45435</v>
      </c>
      <c r="W147">
        <v>6.07</v>
      </c>
      <c r="X147" s="1">
        <v>45435</v>
      </c>
      <c r="Y147">
        <f>NETWORKDAYS(X147,$Z$1,FERIADO!$A$2:$A$408)</f>
        <v>1672</v>
      </c>
      <c r="Z147">
        <v>11.68</v>
      </c>
      <c r="AA147" s="6">
        <f t="shared" si="20"/>
        <v>48049.292084692155</v>
      </c>
      <c r="AB147" s="2">
        <f t="shared" si="21"/>
        <v>3.544625383085219E-3</v>
      </c>
      <c r="AJ147" s="1">
        <v>45435</v>
      </c>
      <c r="AK147">
        <f>NETWORKDAYS(AJ147,$AJ$1,FERIADO!$A$2:$A$408)</f>
        <v>659</v>
      </c>
      <c r="AL147">
        <v>11.04</v>
      </c>
      <c r="AM147" s="6">
        <f t="shared" si="22"/>
        <v>76044.46706811816</v>
      </c>
      <c r="AN147" s="2">
        <f t="shared" si="23"/>
        <v>1.2555330153910429E-3</v>
      </c>
      <c r="AP147" s="11">
        <f t="shared" si="24"/>
        <v>1.7723126915426095E-3</v>
      </c>
      <c r="AQ147" s="11">
        <f t="shared" si="25"/>
        <v>3.7665990461731286E-4</v>
      </c>
      <c r="AR147" s="11">
        <f t="shared" si="26"/>
        <v>2.1489725961599225E-3</v>
      </c>
    </row>
    <row r="148" spans="2:44" x14ac:dyDescent="0.35">
      <c r="B148" s="1">
        <v>45434</v>
      </c>
      <c r="C148">
        <v>5447.18</v>
      </c>
      <c r="D148" s="1">
        <v>45433</v>
      </c>
      <c r="E148">
        <v>5.1031000000000004</v>
      </c>
      <c r="F148" s="1">
        <v>45433</v>
      </c>
      <c r="G148">
        <v>109.205</v>
      </c>
      <c r="H148" s="4">
        <f t="shared" si="18"/>
        <v>557284.03550000011</v>
      </c>
      <c r="I148" s="5">
        <v>45434</v>
      </c>
      <c r="J148" s="4">
        <v>5278.03</v>
      </c>
      <c r="K148" s="4">
        <f t="shared" si="19"/>
        <v>52780.299999999996</v>
      </c>
      <c r="L148" s="1">
        <v>45434</v>
      </c>
      <c r="M148">
        <v>6.03</v>
      </c>
      <c r="N148" s="1">
        <v>45434</v>
      </c>
      <c r="O148">
        <v>6.05</v>
      </c>
      <c r="P148" s="1">
        <v>45434</v>
      </c>
      <c r="Q148">
        <v>6.08</v>
      </c>
      <c r="R148" s="1">
        <v>45434</v>
      </c>
      <c r="S148">
        <v>6.03</v>
      </c>
      <c r="T148" s="1">
        <v>45434</v>
      </c>
      <c r="U148">
        <v>6.08</v>
      </c>
      <c r="V148" s="1">
        <v>45434</v>
      </c>
      <c r="W148">
        <v>6.09</v>
      </c>
      <c r="X148" s="1">
        <v>45434</v>
      </c>
      <c r="Y148">
        <f>NETWORKDAYS(X148,$Z$1,FERIADO!$A$2:$A$408)</f>
        <v>1673</v>
      </c>
      <c r="Z148">
        <v>11.81</v>
      </c>
      <c r="AA148" s="6">
        <f t="shared" si="20"/>
        <v>47658.719353973211</v>
      </c>
      <c r="AB148" s="2">
        <f t="shared" si="21"/>
        <v>-2.9055563208947965E-3</v>
      </c>
      <c r="AJ148" s="1">
        <v>45434</v>
      </c>
      <c r="AK148">
        <f>NETWORKDAYS(AJ148,$AJ$1,FERIADO!$A$2:$A$408)</f>
        <v>660</v>
      </c>
      <c r="AL148">
        <v>11.145</v>
      </c>
      <c r="AM148" s="6">
        <f t="shared" si="22"/>
        <v>75824.942146158675</v>
      </c>
      <c r="AN148" s="2">
        <f t="shared" si="23"/>
        <v>-1.1510892923201352E-3</v>
      </c>
      <c r="AP148" s="11">
        <f t="shared" si="24"/>
        <v>-1.4527781604473983E-3</v>
      </c>
      <c r="AQ148" s="11">
        <f t="shared" si="25"/>
        <v>-3.4532678769604058E-4</v>
      </c>
      <c r="AR148" s="11">
        <f t="shared" si="26"/>
        <v>-1.7981049481434388E-3</v>
      </c>
    </row>
    <row r="149" spans="2:44" x14ac:dyDescent="0.35">
      <c r="B149" s="1">
        <v>45433</v>
      </c>
      <c r="C149">
        <v>5466.25</v>
      </c>
      <c r="D149" s="1">
        <v>45432</v>
      </c>
      <c r="E149">
        <v>5.1078999999999999</v>
      </c>
      <c r="F149" s="1">
        <v>45432</v>
      </c>
      <c r="G149">
        <v>108.98399999999999</v>
      </c>
      <c r="H149" s="4">
        <f t="shared" si="18"/>
        <v>556679.37359999993</v>
      </c>
      <c r="I149" s="5">
        <v>45433</v>
      </c>
      <c r="J149" s="4">
        <v>5250.39</v>
      </c>
      <c r="K149" s="4">
        <f t="shared" si="19"/>
        <v>52503.9</v>
      </c>
      <c r="L149" s="1">
        <v>45433</v>
      </c>
      <c r="M149">
        <v>6.03</v>
      </c>
      <c r="N149" s="1">
        <v>45433</v>
      </c>
      <c r="O149">
        <v>5.99</v>
      </c>
      <c r="P149" s="1">
        <v>45433</v>
      </c>
      <c r="Q149">
        <v>6.01</v>
      </c>
      <c r="R149" s="1">
        <v>45433</v>
      </c>
      <c r="S149">
        <v>5.99</v>
      </c>
      <c r="T149" s="1">
        <v>45433</v>
      </c>
      <c r="U149">
        <v>6.06</v>
      </c>
      <c r="V149" s="1">
        <v>45433</v>
      </c>
      <c r="W149">
        <v>6.06</v>
      </c>
      <c r="X149" s="1">
        <v>45433</v>
      </c>
      <c r="Y149">
        <f>NETWORKDAYS(X149,$Z$1,FERIADO!$A$2:$A$408)</f>
        <v>1674</v>
      </c>
      <c r="Z149">
        <v>11.69</v>
      </c>
      <c r="AA149" s="6">
        <f t="shared" si="20"/>
        <v>47978.63902396812</v>
      </c>
      <c r="AB149" s="2">
        <f t="shared" si="21"/>
        <v>1.9991485018117957E-3</v>
      </c>
      <c r="AJ149" s="1">
        <v>45433</v>
      </c>
      <c r="AK149">
        <f>NETWORKDAYS(AJ149,$AJ$1,FERIADO!$A$2:$A$408)</f>
        <v>661</v>
      </c>
      <c r="AL149">
        <v>11.015000000000001</v>
      </c>
      <c r="AM149" s="6">
        <f t="shared" si="22"/>
        <v>76026.181290529843</v>
      </c>
      <c r="AN149" s="2">
        <f t="shared" si="23"/>
        <v>5.9108600054629391E-4</v>
      </c>
      <c r="AP149" s="11">
        <f t="shared" si="24"/>
        <v>9.9957425090589787E-4</v>
      </c>
      <c r="AQ149" s="11">
        <f t="shared" si="25"/>
        <v>1.7732580016388818E-4</v>
      </c>
      <c r="AR149" s="11">
        <f t="shared" si="26"/>
        <v>1.176900051069786E-3</v>
      </c>
    </row>
    <row r="150" spans="2:44" x14ac:dyDescent="0.35">
      <c r="B150" s="1">
        <v>45432</v>
      </c>
      <c r="C150">
        <v>5451.87</v>
      </c>
      <c r="D150" s="1">
        <v>45429</v>
      </c>
      <c r="E150">
        <v>5.1151</v>
      </c>
      <c r="F150" s="1">
        <v>45429</v>
      </c>
      <c r="G150">
        <v>109.166</v>
      </c>
      <c r="H150" s="4">
        <f t="shared" si="18"/>
        <v>558395.00659999996</v>
      </c>
      <c r="I150" s="5">
        <v>45432</v>
      </c>
      <c r="J150" s="4">
        <v>5229.3999999999996</v>
      </c>
      <c r="K150" s="4">
        <f t="shared" si="19"/>
        <v>52294</v>
      </c>
      <c r="L150" s="1">
        <v>45432</v>
      </c>
      <c r="M150">
        <v>6.01</v>
      </c>
      <c r="N150" s="1">
        <v>45432</v>
      </c>
      <c r="O150">
        <v>5.97</v>
      </c>
      <c r="P150" s="1">
        <v>45432</v>
      </c>
      <c r="Q150">
        <v>5.99</v>
      </c>
      <c r="R150" s="1">
        <v>45432</v>
      </c>
      <c r="S150">
        <v>5.97</v>
      </c>
      <c r="T150" s="1">
        <v>45432</v>
      </c>
      <c r="U150">
        <v>6.06</v>
      </c>
      <c r="V150" s="1">
        <v>45432</v>
      </c>
      <c r="W150">
        <v>6.06</v>
      </c>
      <c r="X150" s="1">
        <v>45432</v>
      </c>
      <c r="Y150">
        <f>NETWORKDAYS(X150,$Z$1,FERIADO!$A$2:$A$408)</f>
        <v>1675</v>
      </c>
      <c r="Z150">
        <v>11.76</v>
      </c>
      <c r="AA150" s="6">
        <f t="shared" si="20"/>
        <v>47758.290838670779</v>
      </c>
      <c r="AB150" s="2">
        <f t="shared" si="21"/>
        <v>-1.6180827007161269E-3</v>
      </c>
      <c r="AJ150" s="1">
        <v>45432</v>
      </c>
      <c r="AK150">
        <f>NETWORKDAYS(AJ150,$AJ$1,FERIADO!$A$2:$A$408)</f>
        <v>662</v>
      </c>
      <c r="AL150">
        <v>11.055</v>
      </c>
      <c r="AM150" s="6">
        <f t="shared" si="22"/>
        <v>75922.778078471252</v>
      </c>
      <c r="AN150" s="2">
        <f t="shared" si="23"/>
        <v>-1.7945334965154753E-4</v>
      </c>
      <c r="AP150" s="11">
        <f t="shared" si="24"/>
        <v>-8.0904135035806345E-4</v>
      </c>
      <c r="AQ150" s="11">
        <f t="shared" si="25"/>
        <v>-5.383600489546426E-5</v>
      </c>
      <c r="AR150" s="11">
        <f t="shared" si="26"/>
        <v>-8.6287735525352773E-4</v>
      </c>
    </row>
    <row r="151" spans="2:44" x14ac:dyDescent="0.35">
      <c r="B151" s="1">
        <v>45429</v>
      </c>
      <c r="C151">
        <v>5446.78</v>
      </c>
      <c r="D151" s="1">
        <v>45428</v>
      </c>
      <c r="E151">
        <v>5.1264000000000003</v>
      </c>
      <c r="F151" s="1">
        <v>45428</v>
      </c>
      <c r="G151">
        <v>109.47</v>
      </c>
      <c r="H151" s="4">
        <f t="shared" si="18"/>
        <v>561187.00800000003</v>
      </c>
      <c r="I151" s="5">
        <v>45429</v>
      </c>
      <c r="J151" s="4">
        <v>5227.3500000000004</v>
      </c>
      <c r="K151" s="4">
        <f t="shared" si="19"/>
        <v>52273.5</v>
      </c>
      <c r="L151" s="1">
        <v>45429</v>
      </c>
      <c r="M151">
        <v>5.99</v>
      </c>
      <c r="N151" s="1">
        <v>45429</v>
      </c>
      <c r="O151">
        <v>5.94</v>
      </c>
      <c r="P151" s="1">
        <v>45429</v>
      </c>
      <c r="Q151">
        <v>5.96</v>
      </c>
      <c r="R151" s="1">
        <v>45429</v>
      </c>
      <c r="S151">
        <v>5.96</v>
      </c>
      <c r="T151" s="1">
        <v>45429</v>
      </c>
      <c r="U151">
        <v>6.04</v>
      </c>
      <c r="V151" s="1">
        <v>45429</v>
      </c>
      <c r="W151">
        <v>6.02</v>
      </c>
      <c r="X151" s="1">
        <v>45429</v>
      </c>
      <c r="Y151">
        <f>NETWORKDAYS(X151,$Z$1,FERIADO!$A$2:$A$408)</f>
        <v>1676</v>
      </c>
      <c r="Z151">
        <v>11.69</v>
      </c>
      <c r="AA151" s="6">
        <f t="shared" si="20"/>
        <v>47936.559281929338</v>
      </c>
      <c r="AB151" s="2">
        <f t="shared" si="21"/>
        <v>-1.6213774731889529E-3</v>
      </c>
      <c r="AJ151" s="1">
        <v>45429</v>
      </c>
      <c r="AK151">
        <f>NETWORKDAYS(AJ151,$AJ$1,FERIADO!$A$2:$A$408)</f>
        <v>663</v>
      </c>
      <c r="AL151">
        <v>11.02</v>
      </c>
      <c r="AM151" s="6">
        <f t="shared" si="22"/>
        <v>75954.156354464503</v>
      </c>
      <c r="AN151" s="2">
        <f t="shared" si="23"/>
        <v>-7.4788183163903503E-4</v>
      </c>
      <c r="AP151" s="11">
        <f t="shared" si="24"/>
        <v>-8.1068873659447644E-4</v>
      </c>
      <c r="AQ151" s="11">
        <f t="shared" si="25"/>
        <v>-2.243645494917105E-4</v>
      </c>
      <c r="AR151" s="11">
        <f t="shared" si="26"/>
        <v>-1.035053286086187E-3</v>
      </c>
    </row>
    <row r="152" spans="2:44" x14ac:dyDescent="0.35">
      <c r="B152" s="1">
        <v>45428</v>
      </c>
      <c r="C152">
        <v>5431.73</v>
      </c>
      <c r="D152" s="1">
        <v>45427</v>
      </c>
      <c r="E152">
        <v>5.1417000000000002</v>
      </c>
      <c r="F152" s="1">
        <v>45427</v>
      </c>
      <c r="G152">
        <v>109.756</v>
      </c>
      <c r="H152" s="4">
        <f t="shared" si="18"/>
        <v>564332.42519999994</v>
      </c>
      <c r="I152" s="5">
        <v>45428</v>
      </c>
      <c r="J152" s="4">
        <v>5263.19</v>
      </c>
      <c r="K152" s="4">
        <f t="shared" si="19"/>
        <v>52631.899999999994</v>
      </c>
      <c r="L152" s="1">
        <v>45428</v>
      </c>
      <c r="M152">
        <v>5.98</v>
      </c>
      <c r="N152" s="1">
        <v>45428</v>
      </c>
      <c r="O152">
        <v>5.92</v>
      </c>
      <c r="P152" s="1">
        <v>45428</v>
      </c>
      <c r="Q152">
        <v>5.95</v>
      </c>
      <c r="R152" s="1">
        <v>45428</v>
      </c>
      <c r="S152">
        <v>5.96</v>
      </c>
      <c r="T152" s="1">
        <v>45428</v>
      </c>
      <c r="U152">
        <v>6.04</v>
      </c>
      <c r="V152" s="1">
        <v>45428</v>
      </c>
      <c r="W152">
        <v>6.01</v>
      </c>
      <c r="X152" s="1">
        <v>45428</v>
      </c>
      <c r="Y152">
        <f>NETWORKDAYS(X152,$Z$1,FERIADO!$A$2:$A$408)</f>
        <v>1677</v>
      </c>
      <c r="Z152">
        <v>11.62</v>
      </c>
      <c r="AA152" s="6">
        <f t="shared" si="20"/>
        <v>48115.85818108778</v>
      </c>
      <c r="AB152" s="2">
        <f t="shared" si="21"/>
        <v>-1.1062372340736066E-3</v>
      </c>
      <c r="AJ152" s="1">
        <v>45428</v>
      </c>
      <c r="AK152">
        <f>NETWORKDAYS(AJ152,$AJ$1,FERIADO!$A$2:$A$408)</f>
        <v>664</v>
      </c>
      <c r="AL152">
        <v>10.93</v>
      </c>
      <c r="AM152" s="6">
        <f t="shared" si="22"/>
        <v>76085.066772753911</v>
      </c>
      <c r="AN152" s="2">
        <f t="shared" si="23"/>
        <v>-1.8288782259127031E-4</v>
      </c>
      <c r="AP152" s="11">
        <f t="shared" si="24"/>
        <v>-5.5311861703680328E-4</v>
      </c>
      <c r="AQ152" s="11">
        <f t="shared" si="25"/>
        <v>-5.4866346777381095E-5</v>
      </c>
      <c r="AR152" s="11">
        <f t="shared" si="26"/>
        <v>-6.0798496381418439E-4</v>
      </c>
    </row>
    <row r="153" spans="2:44" x14ac:dyDescent="0.35">
      <c r="B153" s="1">
        <v>45427</v>
      </c>
      <c r="C153">
        <v>5447.13</v>
      </c>
      <c r="D153" s="1">
        <v>45426</v>
      </c>
      <c r="E153">
        <v>5.1349999999999998</v>
      </c>
      <c r="F153" s="1">
        <v>45426</v>
      </c>
      <c r="G153">
        <v>109.023</v>
      </c>
      <c r="H153" s="4">
        <f t="shared" si="18"/>
        <v>559833.10499999998</v>
      </c>
      <c r="I153" s="5">
        <v>45427</v>
      </c>
      <c r="J153" s="4">
        <v>5267.28</v>
      </c>
      <c r="K153" s="4">
        <f t="shared" si="19"/>
        <v>52672.799999999996</v>
      </c>
      <c r="L153" s="1">
        <v>45427</v>
      </c>
      <c r="M153">
        <v>6.05</v>
      </c>
      <c r="N153" s="1">
        <v>45427</v>
      </c>
      <c r="O153">
        <v>5.97</v>
      </c>
      <c r="P153" s="1">
        <v>45427</v>
      </c>
      <c r="Q153">
        <v>6</v>
      </c>
      <c r="R153" s="1">
        <v>45427</v>
      </c>
      <c r="S153">
        <v>5.99</v>
      </c>
      <c r="T153" s="1">
        <v>45427</v>
      </c>
      <c r="U153">
        <v>6.07</v>
      </c>
      <c r="V153" s="1">
        <v>45427</v>
      </c>
      <c r="W153">
        <v>6.07</v>
      </c>
      <c r="X153" s="1">
        <v>45427</v>
      </c>
      <c r="Y153">
        <f>NETWORKDAYS(X153,$Z$1,FERIADO!$A$2:$A$408)</f>
        <v>1678</v>
      </c>
      <c r="Z153">
        <v>11.57</v>
      </c>
      <c r="AA153" s="6">
        <f t="shared" si="20"/>
        <v>48238.57537976552</v>
      </c>
      <c r="AB153" s="2">
        <f t="shared" si="21"/>
        <v>4.4801913446304028E-4</v>
      </c>
      <c r="AJ153" s="1">
        <v>45427</v>
      </c>
      <c r="AK153">
        <f>NETWORKDAYS(AJ153,$AJ$1,FERIADO!$A$2:$A$408)</f>
        <v>665</v>
      </c>
      <c r="AL153">
        <v>10.895</v>
      </c>
      <c r="AM153" s="6">
        <f t="shared" si="22"/>
        <v>76117.114065772519</v>
      </c>
      <c r="AN153" s="2">
        <f t="shared" si="23"/>
        <v>-8.056047342902946E-5</v>
      </c>
      <c r="AP153" s="11">
        <f t="shared" si="24"/>
        <v>2.2400956723152014E-4</v>
      </c>
      <c r="AQ153" s="11">
        <f t="shared" si="25"/>
        <v>-2.4168142028708838E-5</v>
      </c>
      <c r="AR153" s="11">
        <f t="shared" si="26"/>
        <v>1.998414252028113E-4</v>
      </c>
    </row>
    <row r="154" spans="2:44" x14ac:dyDescent="0.35">
      <c r="B154" s="1">
        <v>45426</v>
      </c>
      <c r="C154">
        <v>5390.07</v>
      </c>
      <c r="D154" s="1">
        <v>45425</v>
      </c>
      <c r="E154">
        <v>5.1406000000000001</v>
      </c>
      <c r="F154" s="1">
        <v>45425</v>
      </c>
      <c r="G154">
        <v>108.78</v>
      </c>
      <c r="H154" s="4">
        <f t="shared" si="18"/>
        <v>559194.46799999999</v>
      </c>
      <c r="I154" s="5">
        <v>45426</v>
      </c>
      <c r="J154" s="4">
        <v>5256.02</v>
      </c>
      <c r="K154" s="4">
        <f t="shared" si="19"/>
        <v>52560.200000000004</v>
      </c>
      <c r="L154" s="1">
        <v>45426</v>
      </c>
      <c r="M154">
        <v>6.06</v>
      </c>
      <c r="N154" s="1">
        <v>45426</v>
      </c>
      <c r="O154">
        <v>5.97</v>
      </c>
      <c r="P154" s="1">
        <v>45426</v>
      </c>
      <c r="Q154">
        <v>5.99</v>
      </c>
      <c r="R154" s="1">
        <v>45426</v>
      </c>
      <c r="S154">
        <v>6</v>
      </c>
      <c r="T154" s="1">
        <v>45426</v>
      </c>
      <c r="U154">
        <v>6.07</v>
      </c>
      <c r="V154" s="1">
        <v>45426</v>
      </c>
      <c r="W154">
        <v>6.12</v>
      </c>
      <c r="X154" s="1">
        <v>45426</v>
      </c>
      <c r="Y154">
        <f>NETWORKDAYS(X154,$Z$1,FERIADO!$A$2:$A$408)</f>
        <v>1679</v>
      </c>
      <c r="Z154">
        <v>11.58</v>
      </c>
      <c r="AA154" s="6">
        <f t="shared" si="20"/>
        <v>48188.838019220493</v>
      </c>
      <c r="AB154" s="2">
        <f t="shared" si="21"/>
        <v>3.3009416920197717E-3</v>
      </c>
      <c r="AJ154" s="1">
        <v>45426</v>
      </c>
      <c r="AK154">
        <f>NETWORKDAYS(AJ154,$AJ$1,FERIADO!$A$2:$A$408)</f>
        <v>666</v>
      </c>
      <c r="AL154">
        <v>10.87</v>
      </c>
      <c r="AM154" s="6">
        <f t="shared" si="22"/>
        <v>76131.234898004128</v>
      </c>
      <c r="AN154" s="2">
        <f t="shared" si="23"/>
        <v>1.006975503178863E-3</v>
      </c>
      <c r="AP154" s="11">
        <f t="shared" si="24"/>
        <v>1.6504708460098859E-3</v>
      </c>
      <c r="AQ154" s="11">
        <f t="shared" si="25"/>
        <v>3.0209265095365888E-4</v>
      </c>
      <c r="AR154" s="11">
        <f t="shared" si="26"/>
        <v>1.9525634969635448E-3</v>
      </c>
    </row>
    <row r="155" spans="2:44" x14ac:dyDescent="0.35">
      <c r="B155" s="1">
        <v>45425</v>
      </c>
      <c r="C155">
        <v>5358.03</v>
      </c>
      <c r="D155" s="1">
        <v>45422</v>
      </c>
      <c r="E155">
        <v>5.1458000000000004</v>
      </c>
      <c r="F155" s="1">
        <v>45422</v>
      </c>
      <c r="G155">
        <v>108.681</v>
      </c>
      <c r="H155" s="4">
        <f t="shared" si="18"/>
        <v>559250.68980000005</v>
      </c>
      <c r="I155" s="5">
        <v>45425</v>
      </c>
      <c r="J155" s="4">
        <v>5289.3</v>
      </c>
      <c r="K155" s="4">
        <f t="shared" si="19"/>
        <v>52893</v>
      </c>
      <c r="L155" s="1">
        <v>45425</v>
      </c>
      <c r="M155">
        <v>6.06</v>
      </c>
      <c r="N155" s="1">
        <v>45425</v>
      </c>
      <c r="O155">
        <v>5.98</v>
      </c>
      <c r="P155" s="1">
        <v>45425</v>
      </c>
      <c r="Q155">
        <v>6.02</v>
      </c>
      <c r="R155" s="1">
        <v>45425</v>
      </c>
      <c r="S155">
        <v>6.03</v>
      </c>
      <c r="T155" s="1">
        <v>45425</v>
      </c>
      <c r="U155">
        <v>6.11</v>
      </c>
      <c r="V155" s="1">
        <v>45425</v>
      </c>
      <c r="W155">
        <v>6.14</v>
      </c>
      <c r="X155" s="1">
        <v>45425</v>
      </c>
      <c r="Y155">
        <f>NETWORKDAYS(X155,$Z$1,FERIADO!$A$2:$A$408)</f>
        <v>1680</v>
      </c>
      <c r="Z155">
        <v>11.7</v>
      </c>
      <c r="AA155" s="6">
        <f t="shared" si="20"/>
        <v>47823.957589667792</v>
      </c>
      <c r="AB155" s="2">
        <f t="shared" si="21"/>
        <v>2.2648021478791983E-3</v>
      </c>
      <c r="AJ155" s="1">
        <v>45425</v>
      </c>
      <c r="AK155">
        <f>NETWORKDAYS(AJ155,$AJ$1,FERIADO!$A$2:$A$408)</f>
        <v>667</v>
      </c>
      <c r="AL155">
        <v>10.95</v>
      </c>
      <c r="AM155" s="6">
        <f t="shared" si="22"/>
        <v>75954.917942512824</v>
      </c>
      <c r="AN155" s="2">
        <f t="shared" si="23"/>
        <v>6.4590513569338719E-4</v>
      </c>
      <c r="AP155" s="11">
        <f t="shared" si="24"/>
        <v>1.1324010739395991E-3</v>
      </c>
      <c r="AQ155" s="11">
        <f t="shared" si="25"/>
        <v>1.9377154070801615E-4</v>
      </c>
      <c r="AR155" s="11">
        <f t="shared" si="26"/>
        <v>1.3261726146476154E-3</v>
      </c>
    </row>
    <row r="156" spans="2:44" x14ac:dyDescent="0.35">
      <c r="B156" s="1">
        <v>45422</v>
      </c>
      <c r="C156">
        <v>5358.02</v>
      </c>
      <c r="D156" s="1">
        <v>45421</v>
      </c>
      <c r="E156">
        <v>5.1570999999999998</v>
      </c>
      <c r="F156" s="1">
        <v>45421</v>
      </c>
      <c r="G156">
        <v>109.015</v>
      </c>
      <c r="H156" s="4">
        <f t="shared" si="18"/>
        <v>562201.25650000002</v>
      </c>
      <c r="I156" s="5">
        <v>45422</v>
      </c>
      <c r="J156" s="4">
        <v>5297.49</v>
      </c>
      <c r="K156" s="4">
        <f t="shared" si="19"/>
        <v>52974.899999999994</v>
      </c>
      <c r="L156" s="1">
        <v>45422</v>
      </c>
      <c r="M156">
        <v>6</v>
      </c>
      <c r="N156" s="1">
        <v>45422</v>
      </c>
      <c r="O156">
        <v>5.95</v>
      </c>
      <c r="P156" s="1">
        <v>45422</v>
      </c>
      <c r="Q156">
        <v>5.99</v>
      </c>
      <c r="R156" s="1">
        <v>45422</v>
      </c>
      <c r="S156">
        <v>5.99</v>
      </c>
      <c r="T156" s="1">
        <v>45422</v>
      </c>
      <c r="U156">
        <v>6.08</v>
      </c>
      <c r="V156" s="1">
        <v>45422</v>
      </c>
      <c r="W156">
        <v>6.1</v>
      </c>
      <c r="X156" s="1">
        <v>45422</v>
      </c>
      <c r="Y156">
        <f>NETWORKDAYS(X156,$Z$1,FERIADO!$A$2:$A$408)</f>
        <v>1681</v>
      </c>
      <c r="Z156">
        <v>11.78</v>
      </c>
      <c r="AA156" s="6">
        <f t="shared" si="20"/>
        <v>47575.209610892591</v>
      </c>
      <c r="AB156" s="2">
        <f t="shared" si="21"/>
        <v>-3.1812756989938549E-3</v>
      </c>
      <c r="AJ156" s="1">
        <v>45422</v>
      </c>
      <c r="AK156">
        <f>NETWORKDAYS(AJ156,$AJ$1,FERIADO!$A$2:$A$408)</f>
        <v>668</v>
      </c>
      <c r="AL156">
        <v>10.994999999999999</v>
      </c>
      <c r="AM156" s="6">
        <f t="shared" si="22"/>
        <v>75842.037835428142</v>
      </c>
      <c r="AN156" s="2">
        <f t="shared" si="23"/>
        <v>-1.3273808757128388E-3</v>
      </c>
      <c r="AP156" s="11">
        <f t="shared" si="24"/>
        <v>-1.5906378494969274E-3</v>
      </c>
      <c r="AQ156" s="11">
        <f t="shared" si="25"/>
        <v>-3.9821426271385163E-4</v>
      </c>
      <c r="AR156" s="11">
        <f t="shared" si="26"/>
        <v>-1.988852112210779E-3</v>
      </c>
    </row>
    <row r="157" spans="2:44" x14ac:dyDescent="0.35">
      <c r="B157" s="1">
        <v>45421</v>
      </c>
      <c r="C157">
        <v>5356.08</v>
      </c>
      <c r="D157" s="1">
        <v>45420</v>
      </c>
      <c r="E157">
        <v>5.0880999999999998</v>
      </c>
      <c r="F157" s="1">
        <v>45420</v>
      </c>
      <c r="G157">
        <v>108.82</v>
      </c>
      <c r="H157" s="4">
        <f t="shared" si="18"/>
        <v>553687.0419999999</v>
      </c>
      <c r="I157" s="5">
        <v>45421</v>
      </c>
      <c r="J157" s="4">
        <v>5270.35</v>
      </c>
      <c r="K157" s="4">
        <f t="shared" si="19"/>
        <v>52703.5</v>
      </c>
      <c r="L157" s="1">
        <v>45421</v>
      </c>
      <c r="M157">
        <v>5.97</v>
      </c>
      <c r="N157" s="1">
        <v>45421</v>
      </c>
      <c r="O157">
        <v>5.93</v>
      </c>
      <c r="P157" s="1">
        <v>45421</v>
      </c>
      <c r="Q157">
        <v>5.99</v>
      </c>
      <c r="R157" s="1">
        <v>45421</v>
      </c>
      <c r="S157">
        <v>5.98</v>
      </c>
      <c r="T157" s="1">
        <v>45421</v>
      </c>
      <c r="U157">
        <v>6.05</v>
      </c>
      <c r="V157" s="1">
        <v>45421</v>
      </c>
      <c r="W157">
        <v>6.06</v>
      </c>
      <c r="X157" s="1">
        <v>45421</v>
      </c>
      <c r="Y157">
        <f>NETWORKDAYS(X157,$Z$1,FERIADO!$A$2:$A$408)</f>
        <v>1682</v>
      </c>
      <c r="Z157">
        <v>11.65</v>
      </c>
      <c r="AA157" s="6">
        <f t="shared" si="20"/>
        <v>47924.985054409553</v>
      </c>
      <c r="AB157" s="2">
        <f t="shared" si="21"/>
        <v>-3.9695784948370668E-3</v>
      </c>
      <c r="AJ157" s="1">
        <v>45421</v>
      </c>
      <c r="AK157">
        <f>NETWORKDAYS(AJ157,$AJ$1,FERIADO!$A$2:$A$408)</f>
        <v>669</v>
      </c>
      <c r="AL157">
        <v>10.85</v>
      </c>
      <c r="AM157" s="6">
        <f t="shared" si="22"/>
        <v>76074.196607567705</v>
      </c>
      <c r="AN157" s="2">
        <f t="shared" si="23"/>
        <v>-4.9975012817504239E-4</v>
      </c>
      <c r="AP157" s="11">
        <f t="shared" si="24"/>
        <v>-1.9847892474185334E-3</v>
      </c>
      <c r="AQ157" s="11">
        <f t="shared" si="25"/>
        <v>-1.4992503845251271E-4</v>
      </c>
      <c r="AR157" s="11">
        <f t="shared" si="26"/>
        <v>-2.1347142858710462E-3</v>
      </c>
    </row>
    <row r="158" spans="2:44" x14ac:dyDescent="0.35">
      <c r="B158" s="1">
        <v>45420</v>
      </c>
      <c r="C158">
        <v>5327.43</v>
      </c>
      <c r="D158" s="1">
        <v>45419</v>
      </c>
      <c r="E158">
        <v>5.0603999999999996</v>
      </c>
      <c r="F158" s="1">
        <v>45419</v>
      </c>
      <c r="G158">
        <v>109.04</v>
      </c>
      <c r="H158" s="4">
        <f t="shared" si="18"/>
        <v>551786.01600000006</v>
      </c>
      <c r="I158" s="5">
        <v>45420</v>
      </c>
      <c r="J158" s="4">
        <v>5221.2</v>
      </c>
      <c r="K158" s="4">
        <f t="shared" si="19"/>
        <v>52212</v>
      </c>
      <c r="L158" s="1">
        <v>45420</v>
      </c>
      <c r="M158">
        <v>6.09</v>
      </c>
      <c r="N158" s="1">
        <v>45420</v>
      </c>
      <c r="O158">
        <v>6.06</v>
      </c>
      <c r="P158" s="1">
        <v>45420</v>
      </c>
      <c r="Q158">
        <v>6.09</v>
      </c>
      <c r="R158" s="1">
        <v>45420</v>
      </c>
      <c r="S158">
        <v>6.09</v>
      </c>
      <c r="T158" s="1">
        <v>45420</v>
      </c>
      <c r="U158">
        <v>6.13</v>
      </c>
      <c r="V158" s="1">
        <v>45420</v>
      </c>
      <c r="W158">
        <v>6.11</v>
      </c>
      <c r="X158" s="1">
        <v>45420</v>
      </c>
      <c r="Y158">
        <f>NETWORKDAYS(X158,$Z$1,FERIADO!$A$2:$A$408)</f>
        <v>1683</v>
      </c>
      <c r="Z158">
        <v>11.49</v>
      </c>
      <c r="AA158" s="6">
        <f t="shared" si="20"/>
        <v>48365.041483214743</v>
      </c>
      <c r="AB158" s="2">
        <f t="shared" si="21"/>
        <v>-1.8957790288271917E-3</v>
      </c>
      <c r="AJ158" s="1">
        <v>45420</v>
      </c>
      <c r="AK158">
        <f>NETWORKDAYS(AJ158,$AJ$1,FERIADO!$A$2:$A$408)</f>
        <v>670</v>
      </c>
      <c r="AL158">
        <v>10.785</v>
      </c>
      <c r="AM158" s="6">
        <f t="shared" si="22"/>
        <v>76161.786879878084</v>
      </c>
      <c r="AN158" s="2">
        <f t="shared" si="23"/>
        <v>-3.9773142424453882E-4</v>
      </c>
      <c r="AP158" s="11">
        <f t="shared" si="24"/>
        <v>-9.4788951441359586E-4</v>
      </c>
      <c r="AQ158" s="11">
        <f t="shared" si="25"/>
        <v>-1.1931942727336164E-4</v>
      </c>
      <c r="AR158" s="11">
        <f t="shared" si="26"/>
        <v>-1.0672089416869574E-3</v>
      </c>
    </row>
    <row r="159" spans="2:44" x14ac:dyDescent="0.35">
      <c r="B159" s="1">
        <v>45419</v>
      </c>
      <c r="C159">
        <v>5327.96</v>
      </c>
      <c r="D159" s="1">
        <v>45418</v>
      </c>
      <c r="E159">
        <v>5.0720999999999998</v>
      </c>
      <c r="F159" s="1">
        <v>45418</v>
      </c>
      <c r="G159">
        <v>108.887</v>
      </c>
      <c r="H159" s="4">
        <f t="shared" si="18"/>
        <v>552285.75269999995</v>
      </c>
      <c r="I159" s="5">
        <v>45419</v>
      </c>
      <c r="J159" s="4">
        <v>5206.87</v>
      </c>
      <c r="K159" s="4">
        <f t="shared" si="19"/>
        <v>52068.7</v>
      </c>
      <c r="L159" s="1">
        <v>45419</v>
      </c>
      <c r="M159">
        <v>6.1</v>
      </c>
      <c r="N159" s="1">
        <v>45419</v>
      </c>
      <c r="O159">
        <v>6.07</v>
      </c>
      <c r="P159" s="1">
        <v>45419</v>
      </c>
      <c r="Q159">
        <v>6.09</v>
      </c>
      <c r="R159" s="1">
        <v>45419</v>
      </c>
      <c r="S159">
        <v>6.06</v>
      </c>
      <c r="T159" s="1">
        <v>45419</v>
      </c>
      <c r="U159">
        <v>6.13</v>
      </c>
      <c r="V159" s="1">
        <v>45419</v>
      </c>
      <c r="W159">
        <v>6.13</v>
      </c>
      <c r="X159" s="1">
        <v>45419</v>
      </c>
      <c r="Y159">
        <f>NETWORKDAYS(X159,$Z$1,FERIADO!$A$2:$A$408)</f>
        <v>1684</v>
      </c>
      <c r="Z159">
        <v>11.41</v>
      </c>
      <c r="AA159" s="6">
        <f t="shared" si="20"/>
        <v>48576.625667952758</v>
      </c>
      <c r="AB159" s="2">
        <f t="shared" si="21"/>
        <v>2.0101915323623735E-3</v>
      </c>
      <c r="AJ159" s="1">
        <v>45419</v>
      </c>
      <c r="AK159">
        <f>NETWORKDAYS(AJ159,$AJ$1,FERIADO!$A$2:$A$408)</f>
        <v>671</v>
      </c>
      <c r="AL159">
        <v>10.73</v>
      </c>
      <c r="AM159" s="6">
        <f t="shared" si="22"/>
        <v>76231.568588609414</v>
      </c>
      <c r="AN159" s="2">
        <f t="shared" si="23"/>
        <v>5.4166107163394523E-4</v>
      </c>
      <c r="AP159" s="11">
        <f t="shared" si="24"/>
        <v>1.0050957661811868E-3</v>
      </c>
      <c r="AQ159" s="11">
        <f t="shared" si="25"/>
        <v>1.6249832149018356E-4</v>
      </c>
      <c r="AR159" s="11">
        <f t="shared" si="26"/>
        <v>1.1675940876713703E-3</v>
      </c>
    </row>
    <row r="160" spans="2:44" x14ac:dyDescent="0.35">
      <c r="B160" s="1">
        <v>45418</v>
      </c>
      <c r="C160">
        <v>5319.23</v>
      </c>
      <c r="D160" s="1">
        <v>45415</v>
      </c>
      <c r="E160">
        <v>5.0662000000000003</v>
      </c>
      <c r="F160" s="1">
        <v>45415</v>
      </c>
      <c r="G160">
        <v>108.833</v>
      </c>
      <c r="H160" s="4">
        <f t="shared" si="18"/>
        <v>551369.74459999998</v>
      </c>
      <c r="I160" s="5">
        <v>45418</v>
      </c>
      <c r="J160" s="4">
        <v>5211.99</v>
      </c>
      <c r="K160" s="4">
        <f t="shared" si="19"/>
        <v>52119.899999999994</v>
      </c>
      <c r="L160" s="1">
        <v>45418</v>
      </c>
      <c r="M160">
        <v>6.12</v>
      </c>
      <c r="N160" s="1">
        <v>45418</v>
      </c>
      <c r="O160">
        <v>6.09</v>
      </c>
      <c r="P160" s="1">
        <v>45418</v>
      </c>
      <c r="Q160">
        <v>6.1</v>
      </c>
      <c r="R160" s="1">
        <v>45418</v>
      </c>
      <c r="S160">
        <v>6.06</v>
      </c>
      <c r="T160" s="1">
        <v>45418</v>
      </c>
      <c r="U160">
        <v>6.13</v>
      </c>
      <c r="V160" s="1">
        <v>45418</v>
      </c>
      <c r="W160">
        <v>6.13</v>
      </c>
      <c r="X160" s="1">
        <v>45418</v>
      </c>
      <c r="Y160">
        <f>NETWORKDAYS(X160,$Z$1,FERIADO!$A$2:$A$408)</f>
        <v>1685</v>
      </c>
      <c r="Z160">
        <v>11.48</v>
      </c>
      <c r="AA160" s="6">
        <f t="shared" si="20"/>
        <v>48352.301656022675</v>
      </c>
      <c r="AB160" s="2">
        <f t="shared" si="21"/>
        <v>-2.4203000711436893E-3</v>
      </c>
      <c r="AJ160" s="1">
        <v>45418</v>
      </c>
      <c r="AK160">
        <f>NETWORKDAYS(AJ160,$AJ$1,FERIADO!$A$2:$A$408)</f>
        <v>672</v>
      </c>
      <c r="AL160">
        <v>10.765000000000001</v>
      </c>
      <c r="AM160" s="6">
        <f t="shared" si="22"/>
        <v>76136.550264314297</v>
      </c>
      <c r="AN160" s="2">
        <f t="shared" si="23"/>
        <v>-9.7620325900113253E-4</v>
      </c>
      <c r="AP160" s="11">
        <f t="shared" si="24"/>
        <v>-1.2101500355718446E-3</v>
      </c>
      <c r="AQ160" s="11">
        <f t="shared" si="25"/>
        <v>-2.9286097770033973E-4</v>
      </c>
      <c r="AR160" s="11">
        <f t="shared" si="26"/>
        <v>-1.5030110132721844E-3</v>
      </c>
    </row>
    <row r="161" spans="2:44" x14ac:dyDescent="0.35">
      <c r="B161" s="1">
        <v>45415</v>
      </c>
      <c r="C161">
        <v>5278.36</v>
      </c>
      <c r="D161" s="1">
        <v>45414</v>
      </c>
      <c r="E161">
        <v>5.1177999999999999</v>
      </c>
      <c r="F161" s="1">
        <v>45414</v>
      </c>
      <c r="G161">
        <v>108.249</v>
      </c>
      <c r="H161" s="4">
        <f t="shared" si="18"/>
        <v>553996.73219999997</v>
      </c>
      <c r="I161" s="5">
        <v>45415</v>
      </c>
      <c r="J161" s="4">
        <v>5209.9399999999996</v>
      </c>
      <c r="K161" s="4">
        <f t="shared" si="19"/>
        <v>52099.399999999994</v>
      </c>
      <c r="L161" s="1">
        <v>45415</v>
      </c>
      <c r="M161">
        <v>6.06</v>
      </c>
      <c r="N161" s="1">
        <v>45415</v>
      </c>
      <c r="O161">
        <v>6.03</v>
      </c>
      <c r="P161" s="1">
        <v>45415</v>
      </c>
      <c r="Q161">
        <v>6.06</v>
      </c>
      <c r="R161" s="1">
        <v>45415</v>
      </c>
      <c r="S161">
        <v>6.05</v>
      </c>
      <c r="T161" s="1">
        <v>45415</v>
      </c>
      <c r="U161">
        <v>6.12</v>
      </c>
      <c r="V161" s="1">
        <v>45415</v>
      </c>
      <c r="W161">
        <v>6.09</v>
      </c>
      <c r="X161" s="1">
        <v>45415</v>
      </c>
      <c r="Y161">
        <f>NETWORKDAYS(X161,$Z$1,FERIADO!$A$2:$A$408)</f>
        <v>1686</v>
      </c>
      <c r="Z161">
        <v>11.38</v>
      </c>
      <c r="AA161" s="6">
        <f t="shared" si="20"/>
        <v>48622.518717224004</v>
      </c>
      <c r="AB161" s="2">
        <f t="shared" si="21"/>
        <v>4.619882270206095E-3</v>
      </c>
      <c r="AJ161" s="1">
        <v>45415</v>
      </c>
      <c r="AK161">
        <f>NETWORKDAYS(AJ161,$AJ$1,FERIADO!$A$2:$A$408)</f>
        <v>673</v>
      </c>
      <c r="AL161">
        <v>10.654999999999999</v>
      </c>
      <c r="AM161" s="6">
        <f t="shared" si="22"/>
        <v>76307.881808863764</v>
      </c>
      <c r="AN161" s="2">
        <f t="shared" si="23"/>
        <v>1.5383206280079761E-3</v>
      </c>
      <c r="AP161" s="11">
        <f t="shared" si="24"/>
        <v>2.3099411351030475E-3</v>
      </c>
      <c r="AQ161" s="11">
        <f t="shared" si="25"/>
        <v>4.614961884023928E-4</v>
      </c>
      <c r="AR161" s="11">
        <f t="shared" si="26"/>
        <v>2.7714373235054402E-3</v>
      </c>
    </row>
    <row r="162" spans="2:44" x14ac:dyDescent="0.35">
      <c r="B162" s="1">
        <v>45414</v>
      </c>
      <c r="C162">
        <v>5220.8999999999996</v>
      </c>
      <c r="D162" s="1">
        <v>45412</v>
      </c>
      <c r="E162">
        <v>5.1711999999999998</v>
      </c>
      <c r="F162" s="1">
        <v>45412</v>
      </c>
      <c r="G162">
        <v>107.47799999999999</v>
      </c>
      <c r="H162" s="4">
        <f t="shared" si="18"/>
        <v>555790.23359999992</v>
      </c>
      <c r="I162" s="5">
        <v>45414</v>
      </c>
      <c r="J162" s="4">
        <v>5249.88</v>
      </c>
      <c r="K162" s="4">
        <f t="shared" si="19"/>
        <v>52498.8</v>
      </c>
      <c r="L162" s="1">
        <v>45414</v>
      </c>
      <c r="M162">
        <v>6.11</v>
      </c>
      <c r="N162" s="1">
        <v>45414</v>
      </c>
      <c r="O162">
        <v>6.09</v>
      </c>
      <c r="P162" s="1">
        <v>45414</v>
      </c>
      <c r="Q162">
        <v>6.11</v>
      </c>
      <c r="R162" s="1">
        <v>45414</v>
      </c>
      <c r="S162">
        <v>6.07</v>
      </c>
      <c r="T162" s="1">
        <v>45414</v>
      </c>
      <c r="U162">
        <v>6.14</v>
      </c>
      <c r="V162" s="1">
        <v>45414</v>
      </c>
      <c r="W162">
        <v>6.13</v>
      </c>
      <c r="X162" s="1">
        <v>45414</v>
      </c>
      <c r="Y162">
        <f>NETWORKDAYS(X162,$Z$1,FERIADO!$A$2:$A$408)</f>
        <v>1687</v>
      </c>
      <c r="Z162">
        <v>11.55</v>
      </c>
      <c r="AA162" s="6">
        <f t="shared" si="20"/>
        <v>48108.029643666276</v>
      </c>
      <c r="AB162" s="2">
        <f t="shared" si="21"/>
        <v>6.1803068601189969E-3</v>
      </c>
      <c r="AJ162" s="1">
        <v>45414</v>
      </c>
      <c r="AK162">
        <f>NETWORKDAYS(AJ162,$AJ$1,FERIADO!$A$2:$A$408)</f>
        <v>674</v>
      </c>
      <c r="AL162">
        <v>10.785</v>
      </c>
      <c r="AM162" s="6">
        <f t="shared" si="22"/>
        <v>76038.068717720569</v>
      </c>
      <c r="AN162" s="2">
        <f t="shared" si="23"/>
        <v>2.5367098444003698E-3</v>
      </c>
      <c r="AP162" s="11">
        <f t="shared" si="24"/>
        <v>3.0901534300594984E-3</v>
      </c>
      <c r="AQ162" s="11">
        <f t="shared" si="25"/>
        <v>7.6101295332011093E-4</v>
      </c>
      <c r="AR162" s="11">
        <f t="shared" si="26"/>
        <v>3.8511663833796094E-3</v>
      </c>
    </row>
    <row r="163" spans="2:44" x14ac:dyDescent="0.35">
      <c r="B163" s="1">
        <v>45412</v>
      </c>
      <c r="C163">
        <v>5165.41</v>
      </c>
      <c r="D163" s="1">
        <v>45411</v>
      </c>
      <c r="E163">
        <v>5.1148999999999996</v>
      </c>
      <c r="F163" s="1">
        <v>45411</v>
      </c>
      <c r="G163">
        <v>107.937</v>
      </c>
      <c r="H163" s="4">
        <f t="shared" si="18"/>
        <v>552086.96129999997</v>
      </c>
      <c r="I163" s="5">
        <v>45412</v>
      </c>
      <c r="J163" s="4">
        <v>5343.06</v>
      </c>
      <c r="K163" s="4">
        <f t="shared" si="19"/>
        <v>53430.600000000006</v>
      </c>
      <c r="L163" s="1">
        <v>45412</v>
      </c>
      <c r="M163">
        <v>6.17</v>
      </c>
      <c r="N163" s="1">
        <v>45412</v>
      </c>
      <c r="O163">
        <v>6.16</v>
      </c>
      <c r="P163" s="1">
        <v>45412</v>
      </c>
      <c r="Q163">
        <v>6.17</v>
      </c>
      <c r="R163" s="1">
        <v>45412</v>
      </c>
      <c r="S163">
        <v>6.14</v>
      </c>
      <c r="T163" s="1">
        <v>45412</v>
      </c>
      <c r="U163">
        <v>6.2</v>
      </c>
      <c r="V163" s="1">
        <v>45412</v>
      </c>
      <c r="W163">
        <v>6.2</v>
      </c>
      <c r="X163" s="1">
        <v>45412</v>
      </c>
      <c r="Y163">
        <f>NETWORKDAYS(X163,$Z$1,FERIADO!$A$2:$A$408)</f>
        <v>1688</v>
      </c>
      <c r="Z163">
        <v>11.78</v>
      </c>
      <c r="AA163" s="6">
        <f t="shared" si="20"/>
        <v>47428.267760086273</v>
      </c>
      <c r="AB163" s="2">
        <f t="shared" si="21"/>
        <v>-5.5426339847669337E-3</v>
      </c>
      <c r="AJ163" s="1">
        <v>45412</v>
      </c>
      <c r="AK163">
        <f>NETWORKDAYS(AJ163,$AJ$1,FERIADO!$A$2:$A$408)</f>
        <v>675</v>
      </c>
      <c r="AL163">
        <v>11.01</v>
      </c>
      <c r="AM163" s="6">
        <f t="shared" si="22"/>
        <v>75595.22567795412</v>
      </c>
      <c r="AN163" s="2">
        <f t="shared" si="23"/>
        <v>-2.4466153543608177E-3</v>
      </c>
      <c r="AP163" s="11">
        <f t="shared" si="24"/>
        <v>-2.7713169923834669E-3</v>
      </c>
      <c r="AQ163" s="11">
        <f t="shared" si="25"/>
        <v>-7.3398460630824528E-4</v>
      </c>
      <c r="AR163" s="11">
        <f t="shared" si="26"/>
        <v>-3.5053015986917123E-3</v>
      </c>
    </row>
    <row r="164" spans="2:44" x14ac:dyDescent="0.35">
      <c r="B164" s="1">
        <v>45411</v>
      </c>
      <c r="C164">
        <v>5258.61</v>
      </c>
      <c r="D164" s="1">
        <v>45408</v>
      </c>
      <c r="E164">
        <v>5.1177999999999999</v>
      </c>
      <c r="F164" s="1">
        <v>45408</v>
      </c>
      <c r="G164">
        <v>107.58</v>
      </c>
      <c r="H164" s="4">
        <f t="shared" si="18"/>
        <v>550572.924</v>
      </c>
      <c r="I164" s="5">
        <v>45411</v>
      </c>
      <c r="J164" s="4">
        <v>5256.53</v>
      </c>
      <c r="K164" s="4">
        <f t="shared" si="19"/>
        <v>52565.299999999996</v>
      </c>
      <c r="L164" s="1">
        <v>45411</v>
      </c>
      <c r="M164">
        <v>6.02</v>
      </c>
      <c r="N164" s="1">
        <v>45411</v>
      </c>
      <c r="O164">
        <v>6.02</v>
      </c>
      <c r="P164" s="1">
        <v>45411</v>
      </c>
      <c r="Q164">
        <v>6.03</v>
      </c>
      <c r="R164" s="1">
        <v>45411</v>
      </c>
      <c r="S164">
        <v>6.07</v>
      </c>
      <c r="T164" s="1">
        <v>45411</v>
      </c>
      <c r="U164">
        <v>6.08</v>
      </c>
      <c r="V164" s="1">
        <v>45411</v>
      </c>
      <c r="W164">
        <v>6.06</v>
      </c>
      <c r="X164" s="1">
        <v>45411</v>
      </c>
      <c r="Y164">
        <f>NETWORKDAYS(X164,$Z$1,FERIADO!$A$2:$A$408)</f>
        <v>1689</v>
      </c>
      <c r="Z164">
        <v>11.56</v>
      </c>
      <c r="AA164" s="6">
        <f t="shared" si="20"/>
        <v>48037.444645948868</v>
      </c>
      <c r="AB164" s="2">
        <f t="shared" si="21"/>
        <v>1.8852581584911108E-4</v>
      </c>
      <c r="AJ164" s="1">
        <v>45411</v>
      </c>
      <c r="AK164">
        <f>NETWORKDAYS(AJ164,$AJ$1,FERIADO!$A$2:$A$408)</f>
        <v>676</v>
      </c>
      <c r="AL164">
        <v>10.76</v>
      </c>
      <c r="AM164" s="6">
        <f t="shared" si="22"/>
        <v>76022.296238955896</v>
      </c>
      <c r="AN164" s="2">
        <f t="shared" si="23"/>
        <v>5.9740303155286399E-4</v>
      </c>
      <c r="AP164" s="11">
        <f t="shared" si="24"/>
        <v>9.4262907924555538E-5</v>
      </c>
      <c r="AQ164" s="11">
        <f t="shared" si="25"/>
        <v>1.7922090946585918E-4</v>
      </c>
      <c r="AR164" s="11">
        <f t="shared" si="26"/>
        <v>2.7348381739041472E-4</v>
      </c>
    </row>
    <row r="165" spans="2:44" x14ac:dyDescent="0.35">
      <c r="B165" s="1">
        <v>45408</v>
      </c>
      <c r="C165">
        <v>5247.05</v>
      </c>
      <c r="D165" s="1">
        <v>45407</v>
      </c>
      <c r="E165">
        <v>5.1673</v>
      </c>
      <c r="F165" s="1">
        <v>45407</v>
      </c>
      <c r="G165">
        <v>107.35899999999999</v>
      </c>
      <c r="H165" s="4">
        <f t="shared" si="18"/>
        <v>554756.16070000001</v>
      </c>
      <c r="I165" s="5">
        <v>45408</v>
      </c>
      <c r="J165" s="4">
        <v>5261.66</v>
      </c>
      <c r="K165" s="4">
        <f t="shared" si="19"/>
        <v>52616.6</v>
      </c>
      <c r="L165" s="1">
        <v>45408</v>
      </c>
      <c r="M165">
        <v>6.05</v>
      </c>
      <c r="N165" s="1">
        <v>45408</v>
      </c>
      <c r="O165">
        <v>6.05</v>
      </c>
      <c r="P165" s="1">
        <v>45408</v>
      </c>
      <c r="Q165">
        <v>6.05</v>
      </c>
      <c r="R165" s="1">
        <v>45408</v>
      </c>
      <c r="S165">
        <v>6.04</v>
      </c>
      <c r="T165" s="1">
        <v>45408</v>
      </c>
      <c r="U165">
        <v>6.07</v>
      </c>
      <c r="V165" s="1">
        <v>45408</v>
      </c>
      <c r="W165">
        <v>6.04</v>
      </c>
      <c r="X165" s="1">
        <v>45408</v>
      </c>
      <c r="Y165">
        <f>NETWORKDAYS(X165,$Z$1,FERIADO!$A$2:$A$408)</f>
        <v>1690</v>
      </c>
      <c r="Z165">
        <v>11.56</v>
      </c>
      <c r="AA165" s="6">
        <f t="shared" si="20"/>
        <v>48016.596273588439</v>
      </c>
      <c r="AB165" s="2">
        <f t="shared" si="21"/>
        <v>3.0606124429010677E-3</v>
      </c>
      <c r="AJ165" s="1">
        <v>45408</v>
      </c>
      <c r="AK165">
        <f>NETWORKDAYS(AJ165,$AJ$1,FERIADO!$A$2:$A$408)</f>
        <v>677</v>
      </c>
      <c r="AL165">
        <v>10.8</v>
      </c>
      <c r="AM165" s="6">
        <f t="shared" si="22"/>
        <v>75917.794040543435</v>
      </c>
      <c r="AN165" s="2">
        <f t="shared" si="23"/>
        <v>1.6522053189185911E-3</v>
      </c>
      <c r="AP165" s="11">
        <f t="shared" si="24"/>
        <v>1.5303062214505338E-3</v>
      </c>
      <c r="AQ165" s="11">
        <f t="shared" si="25"/>
        <v>4.9566159567557733E-4</v>
      </c>
      <c r="AR165" s="11">
        <f t="shared" si="26"/>
        <v>2.0259678171261112E-3</v>
      </c>
    </row>
    <row r="166" spans="2:44" x14ac:dyDescent="0.35">
      <c r="B166" s="1">
        <v>45407</v>
      </c>
      <c r="C166">
        <v>5246.88</v>
      </c>
      <c r="D166" s="1">
        <v>45406</v>
      </c>
      <c r="E166">
        <v>5.1585999999999999</v>
      </c>
      <c r="F166" s="1">
        <v>45406</v>
      </c>
      <c r="G166">
        <v>107.794</v>
      </c>
      <c r="H166" s="4">
        <f t="shared" si="18"/>
        <v>556066.12840000005</v>
      </c>
      <c r="I166" s="5">
        <v>45407</v>
      </c>
      <c r="J166" s="4">
        <v>5302.73</v>
      </c>
      <c r="K166" s="4">
        <f t="shared" si="19"/>
        <v>53027.299999999996</v>
      </c>
      <c r="L166" s="1">
        <v>45407</v>
      </c>
      <c r="M166">
        <v>6.15</v>
      </c>
      <c r="N166" s="1">
        <v>45407</v>
      </c>
      <c r="O166">
        <v>6.14</v>
      </c>
      <c r="P166" s="1">
        <v>45407</v>
      </c>
      <c r="Q166">
        <v>6.13</v>
      </c>
      <c r="R166" s="1">
        <v>45407</v>
      </c>
      <c r="S166">
        <v>6.07</v>
      </c>
      <c r="T166" s="1">
        <v>45407</v>
      </c>
      <c r="U166">
        <v>6.09</v>
      </c>
      <c r="V166" s="1">
        <v>45407</v>
      </c>
      <c r="W166">
        <v>6.07</v>
      </c>
      <c r="X166" s="1">
        <v>45407</v>
      </c>
      <c r="Y166">
        <f>NETWORKDAYS(X166,$Z$1,FERIADO!$A$2:$A$408)</f>
        <v>1691</v>
      </c>
      <c r="Z166">
        <v>11.67</v>
      </c>
      <c r="AA166" s="6">
        <f t="shared" si="20"/>
        <v>47679.397495695244</v>
      </c>
      <c r="AB166" s="2">
        <f t="shared" si="21"/>
        <v>-1.1156905866905394E-3</v>
      </c>
      <c r="AJ166" s="1">
        <v>45407</v>
      </c>
      <c r="AK166">
        <f>NETWORKDAYS(AJ166,$AJ$1,FERIADO!$A$2:$A$408)</f>
        <v>678</v>
      </c>
      <c r="AL166">
        <v>10.94</v>
      </c>
      <c r="AM166" s="6">
        <f t="shared" si="22"/>
        <v>75629.525370730058</v>
      </c>
      <c r="AN166" s="2">
        <f t="shared" si="23"/>
        <v>3.8985996135067446E-4</v>
      </c>
      <c r="AP166" s="11">
        <f t="shared" si="24"/>
        <v>-5.5784529334526969E-4</v>
      </c>
      <c r="AQ166" s="11">
        <f t="shared" si="25"/>
        <v>1.1695798840520233E-4</v>
      </c>
      <c r="AR166" s="11">
        <f t="shared" si="26"/>
        <v>-4.4088730494006739E-4</v>
      </c>
    </row>
    <row r="167" spans="2:44" x14ac:dyDescent="0.35">
      <c r="B167" s="1">
        <v>45406</v>
      </c>
      <c r="C167">
        <v>5198.46</v>
      </c>
      <c r="D167" s="1">
        <v>45405</v>
      </c>
      <c r="E167">
        <v>5.1619999999999999</v>
      </c>
      <c r="F167" s="1">
        <v>45405</v>
      </c>
      <c r="G167">
        <v>108</v>
      </c>
      <c r="H167" s="4">
        <f t="shared" si="18"/>
        <v>557496</v>
      </c>
      <c r="I167" s="5">
        <v>45406</v>
      </c>
      <c r="J167" s="4">
        <v>5294</v>
      </c>
      <c r="K167" s="4">
        <f t="shared" si="19"/>
        <v>52940</v>
      </c>
      <c r="L167" s="1">
        <v>45406</v>
      </c>
      <c r="M167">
        <v>6.16</v>
      </c>
      <c r="N167" s="1">
        <v>45406</v>
      </c>
      <c r="O167">
        <v>6.13</v>
      </c>
      <c r="P167" s="1">
        <v>45406</v>
      </c>
      <c r="Q167">
        <v>6.12</v>
      </c>
      <c r="R167" s="1">
        <v>45406</v>
      </c>
      <c r="S167">
        <v>6.05</v>
      </c>
      <c r="T167" s="1">
        <v>45406</v>
      </c>
      <c r="U167">
        <v>6.06</v>
      </c>
      <c r="V167" s="1">
        <v>45406</v>
      </c>
      <c r="W167">
        <v>6.04</v>
      </c>
      <c r="X167" s="1">
        <v>45406</v>
      </c>
      <c r="Y167">
        <f>NETWORKDAYS(X167,$Z$1,FERIADO!$A$2:$A$408)</f>
        <v>1692</v>
      </c>
      <c r="Z167">
        <v>11.62</v>
      </c>
      <c r="AA167" s="6">
        <f t="shared" si="20"/>
        <v>47802.042025074588</v>
      </c>
      <c r="AB167" s="2">
        <f t="shared" si="21"/>
        <v>-3.2106741603395617E-3</v>
      </c>
      <c r="AJ167" s="1">
        <v>45406</v>
      </c>
      <c r="AK167">
        <f>NETWORKDAYS(AJ167,$AJ$1,FERIADO!$A$2:$A$408)</f>
        <v>679</v>
      </c>
      <c r="AL167">
        <v>10.96</v>
      </c>
      <c r="AM167" s="6">
        <f t="shared" si="22"/>
        <v>75561.664288152606</v>
      </c>
      <c r="AN167" s="2">
        <f t="shared" si="23"/>
        <v>-1.300313793842292E-3</v>
      </c>
      <c r="AP167" s="11">
        <f t="shared" si="24"/>
        <v>-1.6053370801697808E-3</v>
      </c>
      <c r="AQ167" s="11">
        <f t="shared" si="25"/>
        <v>-3.900941381526876E-4</v>
      </c>
      <c r="AR167" s="11">
        <f t="shared" si="26"/>
        <v>-1.9954312183224684E-3</v>
      </c>
    </row>
    <row r="168" spans="2:44" x14ac:dyDescent="0.35">
      <c r="B168" s="1">
        <v>45405</v>
      </c>
      <c r="C168">
        <v>5229.04</v>
      </c>
      <c r="D168" s="1">
        <v>45404</v>
      </c>
      <c r="E168">
        <v>5.2037000000000004</v>
      </c>
      <c r="F168" s="1">
        <v>45404</v>
      </c>
      <c r="G168">
        <v>107.913</v>
      </c>
      <c r="H168" s="4">
        <f t="shared" si="18"/>
        <v>561546.87810000009</v>
      </c>
      <c r="I168" s="5">
        <v>45405</v>
      </c>
      <c r="J168" s="4">
        <v>5271.93</v>
      </c>
      <c r="K168" s="4">
        <f t="shared" si="19"/>
        <v>52719.3</v>
      </c>
      <c r="L168" s="1">
        <v>45405</v>
      </c>
      <c r="M168">
        <v>6.12</v>
      </c>
      <c r="N168" s="1">
        <v>45405</v>
      </c>
      <c r="O168">
        <v>6.11</v>
      </c>
      <c r="P168" s="1">
        <v>45405</v>
      </c>
      <c r="Q168">
        <v>6.1</v>
      </c>
      <c r="R168" s="1">
        <v>45405</v>
      </c>
      <c r="S168">
        <v>6</v>
      </c>
      <c r="T168" s="1">
        <v>45405</v>
      </c>
      <c r="U168">
        <v>6.03</v>
      </c>
      <c r="V168" s="1">
        <v>45405</v>
      </c>
      <c r="W168">
        <v>5.99</v>
      </c>
      <c r="X168" s="1">
        <v>45405</v>
      </c>
      <c r="Y168">
        <f>NETWORKDAYS(X168,$Z$1,FERIADO!$A$2:$A$408)</f>
        <v>1693</v>
      </c>
      <c r="Z168">
        <v>11.49</v>
      </c>
      <c r="AA168" s="6">
        <f t="shared" si="20"/>
        <v>48156.744890572852</v>
      </c>
      <c r="AB168" s="2">
        <f t="shared" si="21"/>
        <v>4.4928760142821039E-4</v>
      </c>
      <c r="AJ168" s="1">
        <v>45405</v>
      </c>
      <c r="AK168">
        <f>NETWORKDAYS(AJ168,$AJ$1,FERIADO!$A$2:$A$408)</f>
        <v>680</v>
      </c>
      <c r="AL168">
        <v>10.82</v>
      </c>
      <c r="AM168" s="6">
        <f t="shared" si="22"/>
        <v>75788.241220407246</v>
      </c>
      <c r="AN168" s="2">
        <f t="shared" si="23"/>
        <v>2.829554472302764E-4</v>
      </c>
      <c r="AP168" s="11">
        <f t="shared" si="24"/>
        <v>2.2464380071410519E-4</v>
      </c>
      <c r="AQ168" s="11">
        <f t="shared" si="25"/>
        <v>8.4886634169082916E-5</v>
      </c>
      <c r="AR168" s="11">
        <f t="shared" si="26"/>
        <v>3.0953043488318808E-4</v>
      </c>
    </row>
    <row r="169" spans="2:44" x14ac:dyDescent="0.35">
      <c r="B169" s="1">
        <v>45404</v>
      </c>
      <c r="C169">
        <v>5163.24</v>
      </c>
      <c r="D169" s="1">
        <v>45401</v>
      </c>
      <c r="E169">
        <v>5.2263000000000002</v>
      </c>
      <c r="F169" s="1">
        <v>45401</v>
      </c>
      <c r="G169">
        <v>107.872</v>
      </c>
      <c r="H169" s="4">
        <f t="shared" si="18"/>
        <v>563771.43359999999</v>
      </c>
      <c r="I169" s="5">
        <v>45404</v>
      </c>
      <c r="J169" s="4">
        <v>5310.94</v>
      </c>
      <c r="K169" s="4">
        <f t="shared" si="19"/>
        <v>53109.399999999994</v>
      </c>
      <c r="L169" s="1">
        <v>45404</v>
      </c>
      <c r="M169">
        <v>6.09</v>
      </c>
      <c r="N169" s="1">
        <v>45404</v>
      </c>
      <c r="O169">
        <v>6.07</v>
      </c>
      <c r="P169" s="1">
        <v>45404</v>
      </c>
      <c r="Q169">
        <v>6.06</v>
      </c>
      <c r="R169" s="1">
        <v>45404</v>
      </c>
      <c r="S169">
        <v>5.99</v>
      </c>
      <c r="T169" s="1">
        <v>45404</v>
      </c>
      <c r="U169">
        <v>6</v>
      </c>
      <c r="V169" s="1">
        <v>45404</v>
      </c>
      <c r="W169">
        <v>5.96</v>
      </c>
      <c r="X169" s="1">
        <v>45404</v>
      </c>
      <c r="Y169">
        <f>NETWORKDAYS(X169,$Z$1,FERIADO!$A$2:$A$408)</f>
        <v>1694</v>
      </c>
      <c r="Z169">
        <v>11.5</v>
      </c>
      <c r="AA169" s="6">
        <f t="shared" si="20"/>
        <v>48106.95139427793</v>
      </c>
      <c r="AB169" s="2">
        <f t="shared" si="21"/>
        <v>-1.6468814283064094E-3</v>
      </c>
      <c r="AJ169" s="1">
        <v>45404</v>
      </c>
      <c r="AK169">
        <f>NETWORKDAYS(AJ169,$AJ$1,FERIADO!$A$2:$A$408)</f>
        <v>681</v>
      </c>
      <c r="AL169">
        <v>10.83</v>
      </c>
      <c r="AM169" s="6">
        <f t="shared" si="22"/>
        <v>75738.879065972811</v>
      </c>
      <c r="AN169" s="2">
        <f t="shared" si="23"/>
        <v>-1.4098152904583154E-4</v>
      </c>
      <c r="AP169" s="11">
        <f t="shared" si="24"/>
        <v>-8.2344071415320472E-4</v>
      </c>
      <c r="AQ169" s="11">
        <f t="shared" si="25"/>
        <v>-4.2294458713749458E-5</v>
      </c>
      <c r="AR169" s="11">
        <f t="shared" si="26"/>
        <v>-8.6573517286695422E-4</v>
      </c>
    </row>
    <row r="170" spans="2:44" x14ac:dyDescent="0.35">
      <c r="B170" s="1">
        <v>45401</v>
      </c>
      <c r="C170">
        <v>5112.28</v>
      </c>
      <c r="D170" s="1">
        <v>45400</v>
      </c>
      <c r="E170">
        <v>5.2506000000000004</v>
      </c>
      <c r="F170" s="1">
        <v>45400</v>
      </c>
      <c r="G170">
        <v>107.75700000000001</v>
      </c>
      <c r="H170" s="4">
        <f t="shared" si="18"/>
        <v>565788.90419999999</v>
      </c>
      <c r="I170" s="5">
        <v>45401</v>
      </c>
      <c r="J170" s="4">
        <v>5350.98</v>
      </c>
      <c r="K170" s="4">
        <f t="shared" si="19"/>
        <v>53509.799999999996</v>
      </c>
      <c r="L170" s="1">
        <v>45401</v>
      </c>
      <c r="M170">
        <v>6.15</v>
      </c>
      <c r="N170" s="1">
        <v>45401</v>
      </c>
      <c r="O170">
        <v>6.09</v>
      </c>
      <c r="P170" s="1">
        <v>45401</v>
      </c>
      <c r="Q170">
        <v>6.05</v>
      </c>
      <c r="R170" s="1">
        <v>45401</v>
      </c>
      <c r="S170">
        <v>5.97</v>
      </c>
      <c r="T170" s="1">
        <v>45401</v>
      </c>
      <c r="U170">
        <v>5.99</v>
      </c>
      <c r="V170" s="1">
        <v>45401</v>
      </c>
      <c r="W170">
        <v>5.94</v>
      </c>
      <c r="X170" s="1">
        <v>45401</v>
      </c>
      <c r="Y170">
        <f>NETWORKDAYS(X170,$Z$1,FERIADO!$A$2:$A$408)</f>
        <v>1695</v>
      </c>
      <c r="Z170">
        <v>11.43</v>
      </c>
      <c r="AA170" s="6">
        <f t="shared" si="20"/>
        <v>48289.72334944029</v>
      </c>
      <c r="AB170" s="2">
        <f t="shared" si="21"/>
        <v>2.8083956471635805E-3</v>
      </c>
      <c r="AJ170" s="1">
        <v>45401</v>
      </c>
      <c r="AK170">
        <f>NETWORKDAYS(AJ170,$AJ$1,FERIADO!$A$2:$A$408)</f>
        <v>682</v>
      </c>
      <c r="AL170">
        <v>10.8</v>
      </c>
      <c r="AM170" s="6">
        <f t="shared" si="22"/>
        <v>75763.469560977828</v>
      </c>
      <c r="AN170" s="2">
        <f t="shared" si="23"/>
        <v>1.7161352121420185E-3</v>
      </c>
      <c r="AP170" s="11">
        <f t="shared" si="24"/>
        <v>1.4041978235817903E-3</v>
      </c>
      <c r="AQ170" s="11">
        <f t="shared" si="25"/>
        <v>5.1484056364260549E-4</v>
      </c>
      <c r="AR170" s="11">
        <f t="shared" si="26"/>
        <v>1.9190383872243959E-3</v>
      </c>
    </row>
    <row r="171" spans="2:44" x14ac:dyDescent="0.35">
      <c r="B171" s="1">
        <v>45400</v>
      </c>
      <c r="C171">
        <v>5164.87</v>
      </c>
      <c r="D171" s="1">
        <v>45399</v>
      </c>
      <c r="E171">
        <v>5.2462999999999997</v>
      </c>
      <c r="F171" s="1">
        <v>45399</v>
      </c>
      <c r="G171">
        <v>108.123</v>
      </c>
      <c r="H171" s="4">
        <f t="shared" si="18"/>
        <v>567245.6949</v>
      </c>
      <c r="I171" s="5">
        <v>45400</v>
      </c>
      <c r="J171" s="4">
        <v>5387.94</v>
      </c>
      <c r="K171" s="4">
        <f t="shared" si="19"/>
        <v>53879.399999999994</v>
      </c>
      <c r="L171" s="1">
        <v>45400</v>
      </c>
      <c r="M171">
        <v>6.21</v>
      </c>
      <c r="N171" s="1">
        <v>45400</v>
      </c>
      <c r="O171">
        <v>6.16</v>
      </c>
      <c r="P171" s="1">
        <v>45400</v>
      </c>
      <c r="Q171">
        <v>6.1</v>
      </c>
      <c r="R171" s="1">
        <v>45400</v>
      </c>
      <c r="S171">
        <v>6</v>
      </c>
      <c r="T171" s="1">
        <v>45400</v>
      </c>
      <c r="U171">
        <v>6.01</v>
      </c>
      <c r="V171" s="1">
        <v>45400</v>
      </c>
      <c r="W171">
        <v>5.98</v>
      </c>
      <c r="X171" s="1">
        <v>45400</v>
      </c>
      <c r="Y171">
        <f>NETWORKDAYS(X171,$Z$1,FERIADO!$A$2:$A$408)</f>
        <v>1696</v>
      </c>
      <c r="Z171">
        <v>11.53</v>
      </c>
      <c r="AA171" s="6">
        <f t="shared" si="20"/>
        <v>47978.461956859072</v>
      </c>
      <c r="AB171" s="2">
        <f t="shared" si="21"/>
        <v>2.809136324835231E-3</v>
      </c>
      <c r="AJ171" s="1">
        <v>45400</v>
      </c>
      <c r="AK171">
        <f>NETWORKDAYS(AJ171,$AJ$1,FERIADO!$A$2:$A$408)</f>
        <v>683</v>
      </c>
      <c r="AL171">
        <v>10.945</v>
      </c>
      <c r="AM171" s="6">
        <f t="shared" si="22"/>
        <v>75464.677357641078</v>
      </c>
      <c r="AN171" s="2">
        <f t="shared" si="23"/>
        <v>9.2251988980335297E-4</v>
      </c>
      <c r="AP171" s="11">
        <f t="shared" si="24"/>
        <v>1.4045681624176155E-3</v>
      </c>
      <c r="AQ171" s="11">
        <f t="shared" si="25"/>
        <v>2.7675596694100589E-4</v>
      </c>
      <c r="AR171" s="11">
        <f t="shared" si="26"/>
        <v>1.6813241293586214E-3</v>
      </c>
    </row>
    <row r="172" spans="2:44" x14ac:dyDescent="0.35">
      <c r="B172" s="1">
        <v>45399</v>
      </c>
      <c r="C172">
        <v>5171.45</v>
      </c>
      <c r="D172" s="1">
        <v>45398</v>
      </c>
      <c r="E172">
        <v>5.2628000000000004</v>
      </c>
      <c r="F172" s="1">
        <v>45398</v>
      </c>
      <c r="G172">
        <v>107.55800000000001</v>
      </c>
      <c r="H172" s="4">
        <f t="shared" si="18"/>
        <v>566056.2424000001</v>
      </c>
      <c r="I172" s="5">
        <v>45399</v>
      </c>
      <c r="J172" s="4">
        <v>5378.19</v>
      </c>
      <c r="K172" s="4">
        <f t="shared" si="19"/>
        <v>53781.899999999994</v>
      </c>
      <c r="L172" s="1">
        <v>45399</v>
      </c>
      <c r="M172">
        <v>6.27</v>
      </c>
      <c r="N172" s="1">
        <v>45399</v>
      </c>
      <c r="O172">
        <v>6.2</v>
      </c>
      <c r="P172" s="1">
        <v>45399</v>
      </c>
      <c r="Q172">
        <v>6.19</v>
      </c>
      <c r="R172" s="1">
        <v>45399</v>
      </c>
      <c r="S172">
        <v>6.03</v>
      </c>
      <c r="T172" s="1">
        <v>45399</v>
      </c>
      <c r="U172">
        <v>6.03</v>
      </c>
      <c r="V172" s="1">
        <v>45399</v>
      </c>
      <c r="W172">
        <v>5.98</v>
      </c>
      <c r="X172" s="1">
        <v>45399</v>
      </c>
      <c r="Y172">
        <f>NETWORKDAYS(X172,$Z$1,FERIADO!$A$2:$A$408)</f>
        <v>1697</v>
      </c>
      <c r="Z172">
        <v>11.63</v>
      </c>
      <c r="AA172" s="6">
        <f t="shared" si="20"/>
        <v>47669.125565423281</v>
      </c>
      <c r="AB172" s="2">
        <f t="shared" si="21"/>
        <v>6.9974353523379398E-3</v>
      </c>
      <c r="AJ172" s="1">
        <v>45399</v>
      </c>
      <c r="AK172">
        <f>NETWORKDAYS(AJ172,$AJ$1,FERIADO!$A$2:$A$408)</f>
        <v>684</v>
      </c>
      <c r="AL172">
        <v>11.015000000000001</v>
      </c>
      <c r="AM172" s="6">
        <f t="shared" si="22"/>
        <v>75304.54689129052</v>
      </c>
      <c r="AN172" s="2">
        <f t="shared" si="23"/>
        <v>1.4023518051481175E-3</v>
      </c>
      <c r="AP172" s="11">
        <f t="shared" si="24"/>
        <v>3.4987176761689699E-3</v>
      </c>
      <c r="AQ172" s="11">
        <f t="shared" si="25"/>
        <v>4.2070554154443522E-4</v>
      </c>
      <c r="AR172" s="11">
        <f t="shared" si="26"/>
        <v>3.9194232177134055E-3</v>
      </c>
    </row>
    <row r="173" spans="2:44" x14ac:dyDescent="0.35">
      <c r="B173" s="1">
        <v>45398</v>
      </c>
      <c r="C173">
        <v>5203.2299999999996</v>
      </c>
      <c r="D173" s="1">
        <v>45397</v>
      </c>
      <c r="E173">
        <v>5.1740000000000004</v>
      </c>
      <c r="F173" s="1">
        <v>45397</v>
      </c>
      <c r="G173">
        <v>108.02</v>
      </c>
      <c r="H173" s="4">
        <f t="shared" si="18"/>
        <v>558895.48</v>
      </c>
      <c r="I173" s="5">
        <v>45398</v>
      </c>
      <c r="J173" s="4">
        <v>5435.68</v>
      </c>
      <c r="K173" s="4">
        <f t="shared" si="19"/>
        <v>54356.800000000003</v>
      </c>
      <c r="L173" s="1">
        <v>45398</v>
      </c>
      <c r="M173">
        <v>6.09</v>
      </c>
      <c r="N173" s="1">
        <v>45398</v>
      </c>
      <c r="O173">
        <v>6.07</v>
      </c>
      <c r="P173" s="1">
        <v>45398</v>
      </c>
      <c r="Q173">
        <v>6.06</v>
      </c>
      <c r="R173" s="1">
        <v>45398</v>
      </c>
      <c r="S173">
        <v>5.97</v>
      </c>
      <c r="T173" s="1">
        <v>45398</v>
      </c>
      <c r="U173">
        <v>6</v>
      </c>
      <c r="V173" s="1">
        <v>45398</v>
      </c>
      <c r="W173">
        <v>5.99</v>
      </c>
      <c r="X173" s="1">
        <v>45398</v>
      </c>
      <c r="Y173">
        <f>NETWORKDAYS(X173,$Z$1,FERIADO!$A$2:$A$408)</f>
        <v>1698</v>
      </c>
      <c r="Z173">
        <v>11.89</v>
      </c>
      <c r="AA173" s="6">
        <f t="shared" si="20"/>
        <v>46907.225959635594</v>
      </c>
      <c r="AB173" s="2">
        <f t="shared" si="21"/>
        <v>-7.1428661683196285E-3</v>
      </c>
      <c r="AJ173" s="1">
        <v>45398</v>
      </c>
      <c r="AK173">
        <f>NETWORKDAYS(AJ173,$AJ$1,FERIADO!$A$2:$A$408)</f>
        <v>685</v>
      </c>
      <c r="AL173">
        <v>11.13</v>
      </c>
      <c r="AM173" s="6">
        <f t="shared" si="22"/>
        <v>75061.778087133032</v>
      </c>
      <c r="AN173" s="2">
        <f t="shared" si="23"/>
        <v>-3.2806773318161011E-3</v>
      </c>
      <c r="AP173" s="11">
        <f t="shared" si="24"/>
        <v>-3.5714330841598143E-3</v>
      </c>
      <c r="AQ173" s="11">
        <f t="shared" si="25"/>
        <v>-9.8420319954483021E-4</v>
      </c>
      <c r="AR173" s="11">
        <f t="shared" si="26"/>
        <v>-4.5556362837046449E-3</v>
      </c>
    </row>
    <row r="174" spans="2:44" x14ac:dyDescent="0.35">
      <c r="B174" s="1">
        <v>45397</v>
      </c>
      <c r="C174">
        <v>5211.96</v>
      </c>
      <c r="D174" s="1">
        <v>45394</v>
      </c>
      <c r="E174">
        <v>5.1357999999999997</v>
      </c>
      <c r="F174" s="1">
        <v>45394</v>
      </c>
      <c r="G174">
        <v>108.598</v>
      </c>
      <c r="H174" s="4">
        <f t="shared" si="18"/>
        <v>557737.60840000003</v>
      </c>
      <c r="I174" s="5">
        <v>45397</v>
      </c>
      <c r="J174" s="4">
        <v>5331.99</v>
      </c>
      <c r="K174" s="4">
        <f t="shared" si="19"/>
        <v>53319.899999999994</v>
      </c>
      <c r="L174" s="1">
        <v>45397</v>
      </c>
      <c r="M174">
        <v>5.87</v>
      </c>
      <c r="N174" s="1">
        <v>45397</v>
      </c>
      <c r="O174">
        <v>5.87</v>
      </c>
      <c r="P174" s="1">
        <v>45397</v>
      </c>
      <c r="Q174">
        <v>5.88</v>
      </c>
      <c r="R174" s="1">
        <v>45397</v>
      </c>
      <c r="S174">
        <v>5.85</v>
      </c>
      <c r="T174" s="1">
        <v>45397</v>
      </c>
      <c r="U174">
        <v>5.91</v>
      </c>
      <c r="V174" s="1">
        <v>45397</v>
      </c>
      <c r="W174">
        <v>5.9</v>
      </c>
      <c r="X174" s="1">
        <v>45397</v>
      </c>
      <c r="Y174">
        <f>NETWORKDAYS(X174,$Z$1,FERIADO!$A$2:$A$408)</f>
        <v>1699</v>
      </c>
      <c r="Z174">
        <v>11.61</v>
      </c>
      <c r="AA174" s="6">
        <f t="shared" si="20"/>
        <v>47685.091047345741</v>
      </c>
      <c r="AB174" s="2">
        <f t="shared" si="21"/>
        <v>-6.6436682185964154E-3</v>
      </c>
      <c r="AJ174" s="1">
        <v>45397</v>
      </c>
      <c r="AK174">
        <f>NETWORKDAYS(AJ174,$AJ$1,FERIADO!$A$2:$A$408)</f>
        <v>686</v>
      </c>
      <c r="AL174">
        <v>10.805</v>
      </c>
      <c r="AM174" s="6">
        <f t="shared" si="22"/>
        <v>75630.944711942429</v>
      </c>
      <c r="AN174" s="2">
        <f t="shared" si="23"/>
        <v>-2.7116918181888838E-3</v>
      </c>
      <c r="AP174" s="11">
        <f t="shared" si="24"/>
        <v>-3.3218341092982077E-3</v>
      </c>
      <c r="AQ174" s="11">
        <f t="shared" si="25"/>
        <v>-8.1350754545666518E-4</v>
      </c>
      <c r="AR174" s="11">
        <f t="shared" si="26"/>
        <v>-4.1353416547548726E-3</v>
      </c>
    </row>
    <row r="175" spans="2:44" x14ac:dyDescent="0.35">
      <c r="B175" s="1">
        <v>45394</v>
      </c>
      <c r="C175">
        <v>5284.39</v>
      </c>
      <c r="D175" s="1">
        <v>45393</v>
      </c>
      <c r="E175">
        <v>5.0758999999999999</v>
      </c>
      <c r="F175" s="1">
        <v>45393</v>
      </c>
      <c r="G175">
        <v>108.04300000000001</v>
      </c>
      <c r="H175" s="4">
        <f t="shared" si="18"/>
        <v>548415.46370000008</v>
      </c>
      <c r="I175" s="5">
        <v>45394</v>
      </c>
      <c r="J175" s="4">
        <v>5264.23</v>
      </c>
      <c r="K175" s="4">
        <f t="shared" si="19"/>
        <v>52642.299999999996</v>
      </c>
      <c r="L175" s="1">
        <v>45394</v>
      </c>
      <c r="M175">
        <v>5.81</v>
      </c>
      <c r="N175" s="1">
        <v>45394</v>
      </c>
      <c r="O175">
        <v>5.81</v>
      </c>
      <c r="P175" s="1">
        <v>45394</v>
      </c>
      <c r="Q175">
        <v>5.82</v>
      </c>
      <c r="R175" s="1">
        <v>45394</v>
      </c>
      <c r="S175">
        <v>5.8</v>
      </c>
      <c r="T175" s="1">
        <v>45394</v>
      </c>
      <c r="U175">
        <v>5.87</v>
      </c>
      <c r="V175" s="1">
        <v>45394</v>
      </c>
      <c r="W175">
        <v>5.86</v>
      </c>
      <c r="X175" s="1">
        <v>45394</v>
      </c>
      <c r="Y175">
        <f>NETWORKDAYS(X175,$Z$1,FERIADO!$A$2:$A$408)</f>
        <v>1700</v>
      </c>
      <c r="Z175">
        <v>11.35</v>
      </c>
      <c r="AA175" s="6">
        <f t="shared" si="20"/>
        <v>48420.167159293451</v>
      </c>
      <c r="AB175" s="2">
        <f t="shared" si="21"/>
        <v>9.7497589609241674E-4</v>
      </c>
      <c r="AJ175" s="1">
        <v>45394</v>
      </c>
      <c r="AK175">
        <f>NETWORKDAYS(AJ175,$AJ$1,FERIADO!$A$2:$A$408)</f>
        <v>687</v>
      </c>
      <c r="AL175">
        <v>10.535</v>
      </c>
      <c r="AM175" s="6">
        <f t="shared" si="22"/>
        <v>76104.654213800546</v>
      </c>
      <c r="AN175" s="2">
        <f t="shared" si="23"/>
        <v>4.4075935838937182E-4</v>
      </c>
      <c r="AP175" s="11">
        <f t="shared" si="24"/>
        <v>4.8748794804620837E-4</v>
      </c>
      <c r="AQ175" s="11">
        <f t="shared" si="25"/>
        <v>1.3222780751681154E-4</v>
      </c>
      <c r="AR175" s="11">
        <f t="shared" si="26"/>
        <v>6.1971575556301988E-4</v>
      </c>
    </row>
    <row r="176" spans="2:44" x14ac:dyDescent="0.35">
      <c r="B176" s="1">
        <v>45393</v>
      </c>
      <c r="C176">
        <v>5361.17</v>
      </c>
      <c r="D176" s="1">
        <v>45392</v>
      </c>
      <c r="E176">
        <v>5.0648</v>
      </c>
      <c r="F176" s="1">
        <v>45392</v>
      </c>
      <c r="G176">
        <v>108.295</v>
      </c>
      <c r="H176" s="4">
        <f t="shared" si="18"/>
        <v>548492.51600000006</v>
      </c>
      <c r="I176" s="5">
        <v>45393</v>
      </c>
      <c r="J176" s="4">
        <v>5238.05</v>
      </c>
      <c r="K176" s="4">
        <f t="shared" si="19"/>
        <v>52380.5</v>
      </c>
      <c r="L176" s="1">
        <v>45393</v>
      </c>
      <c r="M176">
        <v>5.82</v>
      </c>
      <c r="N176" s="1">
        <v>45393</v>
      </c>
      <c r="O176">
        <v>5.81</v>
      </c>
      <c r="P176" s="1">
        <v>45393</v>
      </c>
      <c r="Q176">
        <v>5.81</v>
      </c>
      <c r="R176" s="1">
        <v>45393</v>
      </c>
      <c r="S176">
        <v>5.82</v>
      </c>
      <c r="T176" s="1">
        <v>45393</v>
      </c>
      <c r="U176">
        <v>5.88</v>
      </c>
      <c r="V176" s="1">
        <v>45393</v>
      </c>
      <c r="W176">
        <v>5.92</v>
      </c>
      <c r="X176" s="1">
        <v>45393</v>
      </c>
      <c r="Y176">
        <f>NETWORKDAYS(X176,$Z$1,FERIADO!$A$2:$A$408)</f>
        <v>1701</v>
      </c>
      <c r="Z176">
        <v>11.38</v>
      </c>
      <c r="AA176" s="6">
        <f t="shared" si="20"/>
        <v>48311.587504814182</v>
      </c>
      <c r="AB176" s="2">
        <f t="shared" si="21"/>
        <v>-1.658298463341394E-3</v>
      </c>
      <c r="AJ176" s="1">
        <v>45393</v>
      </c>
      <c r="AK176">
        <f>NETWORKDAYS(AJ176,$AJ$1,FERIADO!$A$2:$A$408)</f>
        <v>688</v>
      </c>
      <c r="AL176">
        <v>10.56</v>
      </c>
      <c r="AM176" s="6">
        <f t="shared" si="22"/>
        <v>76027.45585155845</v>
      </c>
      <c r="AN176" s="2">
        <f t="shared" si="23"/>
        <v>-3.6411425050662826E-4</v>
      </c>
      <c r="AP176" s="11">
        <f t="shared" si="24"/>
        <v>-8.29149231670697E-4</v>
      </c>
      <c r="AQ176" s="11">
        <f t="shared" si="25"/>
        <v>-1.0923427515198848E-4</v>
      </c>
      <c r="AR176" s="11">
        <f t="shared" si="26"/>
        <v>-9.3838350682268548E-4</v>
      </c>
    </row>
    <row r="177" spans="2:44" x14ac:dyDescent="0.35">
      <c r="B177" s="1">
        <v>45392</v>
      </c>
      <c r="C177">
        <v>5319.51</v>
      </c>
      <c r="D177" s="1">
        <v>45391</v>
      </c>
      <c r="E177">
        <v>5.0073999999999996</v>
      </c>
      <c r="F177" s="1">
        <v>45391</v>
      </c>
      <c r="G177">
        <v>109.675</v>
      </c>
      <c r="H177" s="4">
        <f t="shared" si="18"/>
        <v>549186.59499999986</v>
      </c>
      <c r="I177" s="5">
        <v>45392</v>
      </c>
      <c r="J177" s="4">
        <v>5213.41</v>
      </c>
      <c r="K177" s="4">
        <f t="shared" si="19"/>
        <v>52134.1</v>
      </c>
      <c r="L177" s="1">
        <v>45392</v>
      </c>
      <c r="M177">
        <v>5.77</v>
      </c>
      <c r="N177" s="1">
        <v>45392</v>
      </c>
      <c r="O177">
        <v>5.78</v>
      </c>
      <c r="P177" s="1">
        <v>45392</v>
      </c>
      <c r="Q177">
        <v>5.77</v>
      </c>
      <c r="R177" s="1">
        <v>45392</v>
      </c>
      <c r="S177">
        <v>5.78</v>
      </c>
      <c r="T177" s="1">
        <v>45392</v>
      </c>
      <c r="U177">
        <v>5.85</v>
      </c>
      <c r="V177" s="1">
        <v>45392</v>
      </c>
      <c r="W177">
        <v>5.85</v>
      </c>
      <c r="X177" s="1">
        <v>45392</v>
      </c>
      <c r="Y177">
        <f>NETWORKDAYS(X177,$Z$1,FERIADO!$A$2:$A$408)</f>
        <v>1702</v>
      </c>
      <c r="Z177">
        <v>11.31</v>
      </c>
      <c r="AA177" s="6">
        <f t="shared" si="20"/>
        <v>48496.411821216592</v>
      </c>
      <c r="AB177" s="2">
        <f t="shared" si="21"/>
        <v>-5.0935265449508658E-3</v>
      </c>
      <c r="AJ177" s="1">
        <v>45392</v>
      </c>
      <c r="AK177">
        <f>NETWORKDAYS(AJ177,$AJ$1,FERIADO!$A$2:$A$408)</f>
        <v>689</v>
      </c>
      <c r="AL177">
        <v>10.51</v>
      </c>
      <c r="AM177" s="6">
        <f t="shared" si="22"/>
        <v>76091.224306232907</v>
      </c>
      <c r="AN177" s="2">
        <f t="shared" si="23"/>
        <v>-2.4670135871103786E-3</v>
      </c>
      <c r="AP177" s="11">
        <f t="shared" si="24"/>
        <v>-2.5467632724754329E-3</v>
      </c>
      <c r="AQ177" s="11">
        <f t="shared" si="25"/>
        <v>-7.4010407613311359E-4</v>
      </c>
      <c r="AR177" s="11">
        <f t="shared" si="26"/>
        <v>-3.2868673486085463E-3</v>
      </c>
    </row>
    <row r="178" spans="2:44" x14ac:dyDescent="0.35">
      <c r="B178" s="1">
        <v>45391</v>
      </c>
      <c r="C178">
        <v>5385.53</v>
      </c>
      <c r="D178" s="1">
        <v>45390</v>
      </c>
      <c r="E178">
        <v>5.0415000000000001</v>
      </c>
      <c r="F178" s="1">
        <v>45390</v>
      </c>
      <c r="G178">
        <v>109.259</v>
      </c>
      <c r="H178" s="4">
        <f t="shared" si="18"/>
        <v>550829.2485000001</v>
      </c>
      <c r="I178" s="5">
        <v>45391</v>
      </c>
      <c r="J178" s="4">
        <v>5150.2700000000004</v>
      </c>
      <c r="K178" s="4">
        <f t="shared" si="19"/>
        <v>51502.700000000004</v>
      </c>
      <c r="L178" s="1">
        <v>45391</v>
      </c>
      <c r="M178">
        <v>5.61</v>
      </c>
      <c r="N178" s="1">
        <v>45391</v>
      </c>
      <c r="O178">
        <v>5.62</v>
      </c>
      <c r="P178" s="1">
        <v>45391</v>
      </c>
      <c r="Q178">
        <v>5.66</v>
      </c>
      <c r="R178" s="1">
        <v>45391</v>
      </c>
      <c r="S178">
        <v>5.69</v>
      </c>
      <c r="T178" s="1">
        <v>45391</v>
      </c>
      <c r="U178">
        <v>5.77</v>
      </c>
      <c r="V178" s="1">
        <v>45391</v>
      </c>
      <c r="W178">
        <v>5.77</v>
      </c>
      <c r="X178" s="1">
        <v>45391</v>
      </c>
      <c r="Y178">
        <f>NETWORKDAYS(X178,$Z$1,FERIADO!$A$2:$A$408)</f>
        <v>1703</v>
      </c>
      <c r="Z178">
        <v>11.11</v>
      </c>
      <c r="AA178" s="6">
        <f t="shared" si="20"/>
        <v>49068.539714732688</v>
      </c>
      <c r="AB178" s="2">
        <f t="shared" si="21"/>
        <v>2.5593139461406772E-3</v>
      </c>
      <c r="AJ178" s="1">
        <v>45391</v>
      </c>
      <c r="AK178">
        <f>NETWORKDAYS(AJ178,$AJ$1,FERIADO!$A$2:$A$408)</f>
        <v>690</v>
      </c>
      <c r="AL178">
        <v>10.265000000000001</v>
      </c>
      <c r="AM178" s="6">
        <f t="shared" si="22"/>
        <v>76524.691159169539</v>
      </c>
      <c r="AN178" s="2">
        <f t="shared" si="23"/>
        <v>1.6255129723898294E-3</v>
      </c>
      <c r="AP178" s="11">
        <f t="shared" si="24"/>
        <v>1.2796569730703386E-3</v>
      </c>
      <c r="AQ178" s="11">
        <f t="shared" si="25"/>
        <v>4.8765389171694882E-4</v>
      </c>
      <c r="AR178" s="11">
        <f t="shared" si="26"/>
        <v>1.7673108647872874E-3</v>
      </c>
    </row>
    <row r="179" spans="2:44" x14ac:dyDescent="0.35">
      <c r="B179" s="1">
        <v>45390</v>
      </c>
      <c r="C179">
        <v>5376.2</v>
      </c>
      <c r="D179" s="1">
        <v>45387</v>
      </c>
      <c r="E179">
        <v>5.0514000000000001</v>
      </c>
      <c r="F179" s="1">
        <v>45387</v>
      </c>
      <c r="G179">
        <v>109.489</v>
      </c>
      <c r="H179" s="4">
        <f t="shared" si="18"/>
        <v>553072.73459999997</v>
      </c>
      <c r="I179" s="5">
        <v>45390</v>
      </c>
      <c r="J179" s="4">
        <v>5169.78</v>
      </c>
      <c r="K179" s="4">
        <f t="shared" si="19"/>
        <v>51697.799999999996</v>
      </c>
      <c r="L179" s="1">
        <v>45390</v>
      </c>
      <c r="M179">
        <v>5.63</v>
      </c>
      <c r="N179" s="1">
        <v>45390</v>
      </c>
      <c r="O179">
        <v>5.66</v>
      </c>
      <c r="P179" s="1">
        <v>45390</v>
      </c>
      <c r="Q179">
        <v>5.7</v>
      </c>
      <c r="R179" s="1">
        <v>45390</v>
      </c>
      <c r="S179">
        <v>5.71</v>
      </c>
      <c r="T179" s="1">
        <v>45390</v>
      </c>
      <c r="U179">
        <v>5.8</v>
      </c>
      <c r="V179" s="1">
        <v>45390</v>
      </c>
      <c r="W179">
        <v>5.79</v>
      </c>
      <c r="X179" s="1">
        <v>45390</v>
      </c>
      <c r="Y179">
        <f>NETWORKDAYS(X179,$Z$1,FERIADO!$A$2:$A$408)</f>
        <v>1704</v>
      </c>
      <c r="Z179">
        <v>11.2</v>
      </c>
      <c r="AA179" s="6">
        <f t="shared" si="20"/>
        <v>48780.227291114163</v>
      </c>
      <c r="AB179" s="2">
        <f t="shared" si="21"/>
        <v>4.4718654833579579E-4</v>
      </c>
      <c r="AJ179" s="1">
        <v>45390</v>
      </c>
      <c r="AK179">
        <f>NETWORKDAYS(AJ179,$AJ$1,FERIADO!$A$2:$A$408)</f>
        <v>691</v>
      </c>
      <c r="AL179">
        <v>10.4</v>
      </c>
      <c r="AM179" s="6">
        <f t="shared" si="22"/>
        <v>76238.803630153954</v>
      </c>
      <c r="AN179" s="2">
        <f t="shared" si="23"/>
        <v>8.4649867828211594E-6</v>
      </c>
      <c r="AP179" s="11">
        <f t="shared" si="24"/>
        <v>2.235932741678979E-4</v>
      </c>
      <c r="AQ179" s="11">
        <f t="shared" si="25"/>
        <v>2.5394960348463479E-6</v>
      </c>
      <c r="AR179" s="11">
        <f t="shared" si="26"/>
        <v>2.2613277020274426E-4</v>
      </c>
    </row>
    <row r="180" spans="2:44" x14ac:dyDescent="0.35">
      <c r="B180" s="1">
        <v>45387</v>
      </c>
      <c r="C180">
        <v>5374.16</v>
      </c>
      <c r="D180" s="1">
        <v>45386</v>
      </c>
      <c r="E180">
        <v>5.0231000000000003</v>
      </c>
      <c r="F180" s="1">
        <v>45386</v>
      </c>
      <c r="G180">
        <v>110.172</v>
      </c>
      <c r="H180" s="4">
        <f t="shared" si="18"/>
        <v>553404.97320000001</v>
      </c>
      <c r="I180" s="5">
        <v>45387</v>
      </c>
      <c r="J180" s="4">
        <v>5215.46</v>
      </c>
      <c r="K180" s="4">
        <f t="shared" si="19"/>
        <v>52154.6</v>
      </c>
      <c r="L180" s="1">
        <v>45387</v>
      </c>
      <c r="M180">
        <v>5.58</v>
      </c>
      <c r="N180" s="1">
        <v>45387</v>
      </c>
      <c r="O180">
        <v>5.63</v>
      </c>
      <c r="P180" s="1">
        <v>45387</v>
      </c>
      <c r="Q180">
        <v>5.68</v>
      </c>
      <c r="R180" s="1">
        <v>45387</v>
      </c>
      <c r="S180">
        <v>5.71</v>
      </c>
      <c r="T180" s="1">
        <v>45387</v>
      </c>
      <c r="U180">
        <v>5.82</v>
      </c>
      <c r="V180" s="1">
        <v>45387</v>
      </c>
      <c r="W180">
        <v>5.81</v>
      </c>
      <c r="X180" s="1">
        <v>45387</v>
      </c>
      <c r="Y180">
        <f>NETWORKDAYS(X180,$Z$1,FERIADO!$A$2:$A$408)</f>
        <v>1705</v>
      </c>
      <c r="Z180">
        <v>11.21</v>
      </c>
      <c r="AA180" s="6">
        <f t="shared" si="20"/>
        <v>48730.024869651977</v>
      </c>
      <c r="AB180" s="2">
        <f t="shared" si="21"/>
        <v>-1.1390574195648377E-3</v>
      </c>
      <c r="AJ180" s="1">
        <v>45387</v>
      </c>
      <c r="AK180">
        <f>NETWORKDAYS(AJ180,$AJ$1,FERIADO!$A$2:$A$408)</f>
        <v>692</v>
      </c>
      <c r="AL180">
        <v>10.385</v>
      </c>
      <c r="AM180" s="6">
        <f t="shared" si="22"/>
        <v>76237.317647249438</v>
      </c>
      <c r="AN180" s="2">
        <f t="shared" si="23"/>
        <v>-5.3319621458715837E-4</v>
      </c>
      <c r="AP180" s="11">
        <f t="shared" si="24"/>
        <v>-5.6952870978241885E-4</v>
      </c>
      <c r="AQ180" s="11">
        <f t="shared" si="25"/>
        <v>-1.5995886437614751E-4</v>
      </c>
      <c r="AR180" s="11">
        <f t="shared" si="26"/>
        <v>-7.2948757415856641E-4</v>
      </c>
    </row>
    <row r="181" spans="2:44" x14ac:dyDescent="0.35">
      <c r="B181" s="1">
        <v>45386</v>
      </c>
      <c r="C181">
        <v>5311.5</v>
      </c>
      <c r="D181" s="1">
        <v>45385</v>
      </c>
      <c r="E181">
        <v>5.0717999999999996</v>
      </c>
      <c r="F181" s="1">
        <v>45385</v>
      </c>
      <c r="G181">
        <v>109.864</v>
      </c>
      <c r="H181" s="4">
        <f t="shared" si="18"/>
        <v>557208.2352</v>
      </c>
      <c r="I181" s="5">
        <v>45386</v>
      </c>
      <c r="J181" s="4">
        <v>5206.22</v>
      </c>
      <c r="K181" s="4">
        <f t="shared" si="19"/>
        <v>52062.200000000004</v>
      </c>
      <c r="L181" s="1">
        <v>45386</v>
      </c>
      <c r="M181">
        <v>5.58</v>
      </c>
      <c r="N181" s="1">
        <v>45386</v>
      </c>
      <c r="O181">
        <v>5.59</v>
      </c>
      <c r="P181" s="1">
        <v>45386</v>
      </c>
      <c r="Q181">
        <v>5.66</v>
      </c>
      <c r="R181" s="1">
        <v>45386</v>
      </c>
      <c r="S181">
        <v>5.67</v>
      </c>
      <c r="T181" s="1">
        <v>45386</v>
      </c>
      <c r="U181">
        <v>5.76</v>
      </c>
      <c r="V181" s="1">
        <v>45386</v>
      </c>
      <c r="W181">
        <v>5.77</v>
      </c>
      <c r="X181" s="1">
        <v>45386</v>
      </c>
      <c r="Y181">
        <f>NETWORKDAYS(X181,$Z$1,FERIADO!$A$2:$A$408)</f>
        <v>1706</v>
      </c>
      <c r="Z181">
        <v>11.16</v>
      </c>
      <c r="AA181" s="6">
        <f t="shared" si="20"/>
        <v>48858.000592778175</v>
      </c>
      <c r="AB181" s="2">
        <f t="shared" si="21"/>
        <v>-8.764473743760314E-4</v>
      </c>
      <c r="AJ181" s="1">
        <v>45386</v>
      </c>
      <c r="AK181">
        <f>NETWORKDAYS(AJ181,$AJ$1,FERIADO!$A$2:$A$408)</f>
        <v>693</v>
      </c>
      <c r="AL181">
        <v>10.32</v>
      </c>
      <c r="AM181" s="6">
        <f t="shared" si="22"/>
        <v>76330.973943511242</v>
      </c>
      <c r="AN181" s="2">
        <f t="shared" si="23"/>
        <v>-2.1024945807023953E-4</v>
      </c>
      <c r="AP181" s="11">
        <f t="shared" si="24"/>
        <v>-4.382236871880157E-4</v>
      </c>
      <c r="AQ181" s="11">
        <f t="shared" si="25"/>
        <v>-6.3074837421071858E-5</v>
      </c>
      <c r="AR181" s="11">
        <f t="shared" si="26"/>
        <v>-5.0129852460908757E-4</v>
      </c>
    </row>
    <row r="182" spans="2:44" x14ac:dyDescent="0.35">
      <c r="B182" s="1">
        <v>45385</v>
      </c>
      <c r="C182">
        <v>5391.4</v>
      </c>
      <c r="D182" s="1">
        <v>45384</v>
      </c>
      <c r="E182">
        <v>5.0468999999999999</v>
      </c>
      <c r="F182" s="1">
        <v>45384</v>
      </c>
      <c r="G182">
        <v>109.758</v>
      </c>
      <c r="H182" s="4">
        <f t="shared" si="18"/>
        <v>553937.65020000003</v>
      </c>
      <c r="I182" s="5">
        <v>45385</v>
      </c>
      <c r="J182" s="4">
        <v>5192.88</v>
      </c>
      <c r="K182" s="4">
        <f t="shared" si="19"/>
        <v>51928.800000000003</v>
      </c>
      <c r="L182" s="1">
        <v>45385</v>
      </c>
      <c r="M182">
        <v>5.62</v>
      </c>
      <c r="N182" s="1">
        <v>45385</v>
      </c>
      <c r="O182">
        <v>5.62</v>
      </c>
      <c r="P182" s="1">
        <v>45385</v>
      </c>
      <c r="Q182">
        <v>5.66</v>
      </c>
      <c r="R182" s="1">
        <v>45385</v>
      </c>
      <c r="S182">
        <v>5.7</v>
      </c>
      <c r="T182" s="1">
        <v>45385</v>
      </c>
      <c r="U182">
        <v>5.76</v>
      </c>
      <c r="V182" s="1">
        <v>45385</v>
      </c>
      <c r="W182">
        <v>5.78</v>
      </c>
      <c r="X182" s="1">
        <v>45385</v>
      </c>
      <c r="Y182">
        <f>NETWORKDAYS(X182,$Z$1,FERIADO!$A$2:$A$408)</f>
        <v>1707</v>
      </c>
      <c r="Z182">
        <v>11.12</v>
      </c>
      <c r="AA182" s="6">
        <f t="shared" si="20"/>
        <v>48956.700221924781</v>
      </c>
      <c r="AB182" s="2">
        <f t="shared" si="21"/>
        <v>-1.1430750775111773E-3</v>
      </c>
      <c r="AJ182" s="1">
        <v>45385</v>
      </c>
      <c r="AK182">
        <f>NETWORKDAYS(AJ182,$AJ$1,FERIADO!$A$2:$A$408)</f>
        <v>694</v>
      </c>
      <c r="AL182">
        <v>10.285</v>
      </c>
      <c r="AM182" s="6">
        <f t="shared" si="22"/>
        <v>76367.936032348531</v>
      </c>
      <c r="AN182" s="2">
        <f t="shared" si="23"/>
        <v>5.7966162934927854E-6</v>
      </c>
      <c r="AP182" s="11">
        <f t="shared" si="24"/>
        <v>-5.7153753875558864E-4</v>
      </c>
      <c r="AQ182" s="11">
        <f t="shared" si="25"/>
        <v>1.7389848880478356E-6</v>
      </c>
      <c r="AR182" s="11">
        <f t="shared" si="26"/>
        <v>-5.6979855386754086E-4</v>
      </c>
    </row>
    <row r="183" spans="2:44" x14ac:dyDescent="0.35">
      <c r="B183" s="1">
        <v>45384</v>
      </c>
      <c r="C183">
        <v>5380.9</v>
      </c>
      <c r="D183" s="1">
        <v>45383</v>
      </c>
      <c r="E183">
        <v>5.0526</v>
      </c>
      <c r="F183" s="1">
        <v>45383</v>
      </c>
      <c r="G183">
        <v>110.01</v>
      </c>
      <c r="H183" s="4">
        <f t="shared" si="18"/>
        <v>555836.52600000007</v>
      </c>
      <c r="I183" s="5">
        <v>45384</v>
      </c>
      <c r="J183" s="4">
        <v>5216.49</v>
      </c>
      <c r="K183" s="4">
        <f t="shared" si="19"/>
        <v>52164.899999999994</v>
      </c>
      <c r="L183" s="1">
        <v>45384</v>
      </c>
      <c r="M183">
        <v>5.62</v>
      </c>
      <c r="N183" s="1">
        <v>45384</v>
      </c>
      <c r="O183">
        <v>5.63</v>
      </c>
      <c r="P183" s="1">
        <v>45384</v>
      </c>
      <c r="Q183">
        <v>5.66</v>
      </c>
      <c r="R183" s="1">
        <v>45384</v>
      </c>
      <c r="S183">
        <v>5.69</v>
      </c>
      <c r="T183" s="1">
        <v>45384</v>
      </c>
      <c r="U183">
        <v>5.77</v>
      </c>
      <c r="V183" s="1">
        <v>45384</v>
      </c>
      <c r="W183">
        <v>5.77</v>
      </c>
      <c r="X183" s="1">
        <v>45384</v>
      </c>
      <c r="Y183">
        <f>NETWORKDAYS(X183,$Z$1,FERIADO!$A$2:$A$408)</f>
        <v>1708</v>
      </c>
      <c r="Z183">
        <v>11.07</v>
      </c>
      <c r="AA183" s="6">
        <f t="shared" si="20"/>
        <v>49085.725334105708</v>
      </c>
      <c r="AB183" s="2">
        <f t="shared" si="21"/>
        <v>-1.4105274414805823E-3</v>
      </c>
      <c r="AJ183" s="1">
        <v>45384</v>
      </c>
      <c r="AK183">
        <f>NETWORKDAYS(AJ183,$AJ$1,FERIADO!$A$2:$A$408)</f>
        <v>695</v>
      </c>
      <c r="AL183">
        <v>10.27</v>
      </c>
      <c r="AM183" s="6">
        <f t="shared" si="22"/>
        <v>76366.91674086194</v>
      </c>
      <c r="AN183" s="2">
        <f t="shared" si="23"/>
        <v>-4.8435581526686005E-4</v>
      </c>
      <c r="AP183" s="11">
        <f t="shared" si="24"/>
        <v>-7.0526372074029115E-4</v>
      </c>
      <c r="AQ183" s="11">
        <f t="shared" si="25"/>
        <v>-1.45306744580058E-4</v>
      </c>
      <c r="AR183" s="11">
        <f t="shared" si="26"/>
        <v>-8.5057046532034913E-4</v>
      </c>
    </row>
    <row r="184" spans="2:44" x14ac:dyDescent="0.35">
      <c r="B184" s="1">
        <v>45383</v>
      </c>
      <c r="C184">
        <v>5412.95</v>
      </c>
      <c r="D184" s="1">
        <v>45379</v>
      </c>
      <c r="E184">
        <v>4.9955999999999996</v>
      </c>
      <c r="F184" s="1">
        <v>45379</v>
      </c>
      <c r="G184">
        <v>110.738</v>
      </c>
      <c r="H184" s="4">
        <f t="shared" si="18"/>
        <v>553202.75280000002</v>
      </c>
      <c r="I184" s="5">
        <v>45383</v>
      </c>
      <c r="J184" s="4">
        <v>5203.1400000000003</v>
      </c>
      <c r="K184" s="4">
        <f t="shared" si="19"/>
        <v>52031.4</v>
      </c>
      <c r="L184" s="1">
        <v>45383</v>
      </c>
      <c r="M184">
        <v>5.58</v>
      </c>
      <c r="N184" s="1">
        <v>45383</v>
      </c>
      <c r="O184">
        <v>5.61</v>
      </c>
      <c r="P184" s="1">
        <v>45383</v>
      </c>
      <c r="Q184">
        <v>5.65</v>
      </c>
      <c r="R184" s="1">
        <v>45383</v>
      </c>
      <c r="S184">
        <v>5.68</v>
      </c>
      <c r="T184" s="1">
        <v>45383</v>
      </c>
      <c r="U184">
        <v>5.74</v>
      </c>
      <c r="V184" s="1">
        <v>45383</v>
      </c>
      <c r="W184">
        <v>5.77</v>
      </c>
      <c r="X184" s="1">
        <v>45383</v>
      </c>
      <c r="Y184">
        <f>NETWORKDAYS(X184,$Z$1,FERIADO!$A$2:$A$408)</f>
        <v>1709</v>
      </c>
      <c r="Z184">
        <v>11.01</v>
      </c>
      <c r="AA184" s="6">
        <f t="shared" si="20"/>
        <v>49245.408044615666</v>
      </c>
      <c r="AB184" s="2">
        <f t="shared" si="21"/>
        <v>-2.2102035143350468E-3</v>
      </c>
      <c r="AJ184" s="1">
        <v>45383</v>
      </c>
      <c r="AK184">
        <f>NETWORKDAYS(AJ184,$AJ$1,FERIADO!$A$2:$A$408)</f>
        <v>696</v>
      </c>
      <c r="AL184">
        <v>10.210000000000001</v>
      </c>
      <c r="AM184" s="6">
        <f t="shared" si="22"/>
        <v>76452.134020071913</v>
      </c>
      <c r="AN184" s="2">
        <f t="shared" si="23"/>
        <v>-3.7754115573549081E-4</v>
      </c>
      <c r="AP184" s="11">
        <f t="shared" si="24"/>
        <v>-1.1051017571675234E-3</v>
      </c>
      <c r="AQ184" s="11">
        <f t="shared" si="25"/>
        <v>-1.1326234672064724E-4</v>
      </c>
      <c r="AR184" s="11">
        <f t="shared" si="26"/>
        <v>-1.2183641038881706E-3</v>
      </c>
    </row>
    <row r="185" spans="2:44" x14ac:dyDescent="0.35">
      <c r="B185" s="1">
        <v>45379</v>
      </c>
      <c r="C185">
        <v>5423.22</v>
      </c>
      <c r="D185" s="1">
        <v>45378</v>
      </c>
      <c r="E185">
        <v>4.9850000000000003</v>
      </c>
      <c r="F185" s="1">
        <v>45378</v>
      </c>
      <c r="G185">
        <v>110.9</v>
      </c>
      <c r="H185" s="4">
        <f t="shared" si="18"/>
        <v>552836.50000000012</v>
      </c>
      <c r="I185" s="5">
        <v>45379</v>
      </c>
      <c r="J185" s="4">
        <v>5171.32</v>
      </c>
      <c r="K185" s="4">
        <f t="shared" si="19"/>
        <v>51713.2</v>
      </c>
      <c r="L185" s="1">
        <v>45379</v>
      </c>
      <c r="M185">
        <v>5.58</v>
      </c>
      <c r="N185" s="1">
        <v>45379</v>
      </c>
      <c r="O185">
        <v>5.59</v>
      </c>
      <c r="P185" s="1">
        <v>45379</v>
      </c>
      <c r="Q185">
        <v>5.63</v>
      </c>
      <c r="R185" s="1">
        <v>45379</v>
      </c>
      <c r="S185">
        <v>5.65</v>
      </c>
      <c r="T185" s="1">
        <v>45379</v>
      </c>
      <c r="U185">
        <v>5.71</v>
      </c>
      <c r="V185" s="1">
        <v>45379</v>
      </c>
      <c r="W185">
        <v>5.7</v>
      </c>
      <c r="X185" s="1">
        <v>45379</v>
      </c>
      <c r="Y185">
        <f>NETWORKDAYS(X185,$Z$1,FERIADO!$A$2:$A$408)</f>
        <v>1710</v>
      </c>
      <c r="Z185">
        <v>10.92</v>
      </c>
      <c r="AA185" s="6">
        <f t="shared" si="20"/>
        <v>49496.665677879093</v>
      </c>
      <c r="AB185" s="2">
        <f t="shared" si="21"/>
        <v>-6.1902390606939379E-4</v>
      </c>
      <c r="AJ185" s="1">
        <v>45379</v>
      </c>
      <c r="AK185">
        <f>NETWORKDAYS(AJ185,$AJ$1,FERIADO!$A$2:$A$408)</f>
        <v>697</v>
      </c>
      <c r="AL185">
        <v>10.16</v>
      </c>
      <c r="AM185" s="6">
        <f t="shared" si="22"/>
        <v>76518.624334446547</v>
      </c>
      <c r="AN185" s="2">
        <f t="shared" si="23"/>
        <v>1.1216130381207248E-4</v>
      </c>
      <c r="AP185" s="11">
        <f t="shared" si="24"/>
        <v>-3.0951195303469689E-4</v>
      </c>
      <c r="AQ185" s="11">
        <f t="shared" si="25"/>
        <v>3.3648391143621744E-5</v>
      </c>
      <c r="AR185" s="11">
        <f t="shared" si="26"/>
        <v>-2.7586356189107517E-4</v>
      </c>
    </row>
    <row r="186" spans="2:44" x14ac:dyDescent="0.35">
      <c r="B186" s="1">
        <v>45378</v>
      </c>
      <c r="C186">
        <v>5427.32</v>
      </c>
      <c r="D186" s="1">
        <v>45377</v>
      </c>
      <c r="E186">
        <v>4.9863999999999997</v>
      </c>
      <c r="F186" s="1">
        <v>45377</v>
      </c>
      <c r="G186">
        <v>110.66</v>
      </c>
      <c r="H186" s="4">
        <f t="shared" si="18"/>
        <v>551795.02399999986</v>
      </c>
      <c r="I186" s="5">
        <v>45378</v>
      </c>
      <c r="J186" s="4">
        <v>5138.9799999999996</v>
      </c>
      <c r="K186" s="4">
        <f t="shared" si="19"/>
        <v>51389.799999999996</v>
      </c>
      <c r="L186" s="1">
        <v>45378</v>
      </c>
      <c r="M186">
        <v>5.59</v>
      </c>
      <c r="N186" s="1">
        <v>45378</v>
      </c>
      <c r="O186">
        <v>5.59</v>
      </c>
      <c r="P186" s="1">
        <v>45378</v>
      </c>
      <c r="Q186">
        <v>5.64</v>
      </c>
      <c r="R186" s="1">
        <v>45378</v>
      </c>
      <c r="S186">
        <v>5.65</v>
      </c>
      <c r="T186" s="1">
        <v>45378</v>
      </c>
      <c r="U186">
        <v>5.71</v>
      </c>
      <c r="V186" s="1">
        <v>45378</v>
      </c>
      <c r="W186">
        <v>5.72</v>
      </c>
      <c r="X186" s="1">
        <v>45378</v>
      </c>
      <c r="Y186">
        <f>NETWORKDAYS(X186,$Z$1,FERIADO!$A$2:$A$408)</f>
        <v>1711</v>
      </c>
      <c r="Z186">
        <v>10.89</v>
      </c>
      <c r="AA186" s="6">
        <f t="shared" si="20"/>
        <v>49567.266312130931</v>
      </c>
      <c r="AB186" s="2">
        <f t="shared" si="21"/>
        <v>-1.1525033014970409E-3</v>
      </c>
      <c r="AJ186" s="1">
        <v>45378</v>
      </c>
      <c r="AK186">
        <f>NETWORKDAYS(AJ186,$AJ$1,FERIADO!$A$2:$A$408)</f>
        <v>698</v>
      </c>
      <c r="AL186">
        <v>10.154999999999999</v>
      </c>
      <c r="AM186" s="6">
        <f t="shared" si="22"/>
        <v>76498.865113753767</v>
      </c>
      <c r="AN186" s="2">
        <f t="shared" si="23"/>
        <v>-2.1613586840293919E-4</v>
      </c>
      <c r="AP186" s="11">
        <f t="shared" si="24"/>
        <v>-5.7625165074852045E-4</v>
      </c>
      <c r="AQ186" s="11">
        <f t="shared" si="25"/>
        <v>-6.4840760520881754E-5</v>
      </c>
      <c r="AR186" s="11">
        <f t="shared" si="26"/>
        <v>-6.4109241126940222E-4</v>
      </c>
    </row>
    <row r="187" spans="2:44" x14ac:dyDescent="0.35">
      <c r="B187" s="1">
        <v>45377</v>
      </c>
      <c r="C187">
        <v>5391.23</v>
      </c>
      <c r="D187" s="1">
        <v>45376</v>
      </c>
      <c r="E187">
        <v>4.9863</v>
      </c>
      <c r="F187" s="1">
        <v>45376</v>
      </c>
      <c r="G187">
        <v>110.55</v>
      </c>
      <c r="H187" s="4">
        <f t="shared" si="18"/>
        <v>551235.46499999997</v>
      </c>
      <c r="I187" s="5">
        <v>45377</v>
      </c>
      <c r="J187" s="4">
        <v>5119.43</v>
      </c>
      <c r="K187" s="4">
        <f t="shared" si="19"/>
        <v>51194.3</v>
      </c>
      <c r="L187" s="1">
        <v>45377</v>
      </c>
      <c r="M187">
        <v>5.66</v>
      </c>
      <c r="N187" s="1">
        <v>45377</v>
      </c>
      <c r="O187">
        <v>5.65</v>
      </c>
      <c r="P187" s="1">
        <v>45377</v>
      </c>
      <c r="Q187">
        <v>5.67</v>
      </c>
      <c r="R187" s="1">
        <v>45377</v>
      </c>
      <c r="S187">
        <v>5.68</v>
      </c>
      <c r="T187" s="1">
        <v>45377</v>
      </c>
      <c r="U187">
        <v>5.72</v>
      </c>
      <c r="V187" s="1">
        <v>45377</v>
      </c>
      <c r="W187">
        <v>5.72</v>
      </c>
      <c r="X187" s="1">
        <v>45377</v>
      </c>
      <c r="Y187">
        <f>NETWORKDAYS(X187,$Z$1,FERIADO!$A$2:$A$408)</f>
        <v>1712</v>
      </c>
      <c r="Z187">
        <v>10.84</v>
      </c>
      <c r="AA187" s="6">
        <f t="shared" si="20"/>
        <v>49698.979485607444</v>
      </c>
      <c r="AB187" s="2">
        <f t="shared" si="21"/>
        <v>-6.217761468836708E-4</v>
      </c>
      <c r="AJ187" s="1">
        <v>45377</v>
      </c>
      <c r="AK187">
        <f>NETWORKDAYS(AJ187,$AJ$1,FERIADO!$A$2:$A$408)</f>
        <v>699</v>
      </c>
      <c r="AL187">
        <v>10.119999999999999</v>
      </c>
      <c r="AM187" s="6">
        <f t="shared" si="22"/>
        <v>76536.945873008095</v>
      </c>
      <c r="AN187" s="2">
        <f t="shared" si="23"/>
        <v>-6.0096380804281174E-4</v>
      </c>
      <c r="AP187" s="11">
        <f t="shared" si="24"/>
        <v>-3.108880734418354E-4</v>
      </c>
      <c r="AQ187" s="11">
        <f t="shared" si="25"/>
        <v>-1.8028914241284352E-4</v>
      </c>
      <c r="AR187" s="11">
        <f t="shared" si="26"/>
        <v>-4.9117721585467894E-4</v>
      </c>
    </row>
    <row r="188" spans="2:44" x14ac:dyDescent="0.35">
      <c r="B188" s="1">
        <v>45376</v>
      </c>
      <c r="C188">
        <v>5400.78</v>
      </c>
      <c r="D188" s="1">
        <v>45373</v>
      </c>
      <c r="E188">
        <v>4.9890999999999996</v>
      </c>
      <c r="F188" s="1">
        <v>45373</v>
      </c>
      <c r="G188">
        <v>110.86</v>
      </c>
      <c r="H188" s="4">
        <f t="shared" si="18"/>
        <v>553091.62599999993</v>
      </c>
      <c r="I188" s="5">
        <v>45376</v>
      </c>
      <c r="J188" s="4">
        <v>5117.37</v>
      </c>
      <c r="K188" s="4">
        <f t="shared" si="19"/>
        <v>51173.7</v>
      </c>
      <c r="L188" s="1">
        <v>45376</v>
      </c>
      <c r="M188">
        <v>5.67</v>
      </c>
      <c r="N188" s="1">
        <v>45376</v>
      </c>
      <c r="O188">
        <v>5.63</v>
      </c>
      <c r="P188" s="1">
        <v>45376</v>
      </c>
      <c r="Q188">
        <v>5.66</v>
      </c>
      <c r="R188" s="1">
        <v>45376</v>
      </c>
      <c r="S188">
        <v>5.69</v>
      </c>
      <c r="T188" s="1">
        <v>45376</v>
      </c>
      <c r="U188">
        <v>5.72</v>
      </c>
      <c r="V188" s="1">
        <v>45376</v>
      </c>
      <c r="W188">
        <v>5.68</v>
      </c>
      <c r="X188" s="1">
        <v>45376</v>
      </c>
      <c r="Y188">
        <f>NETWORKDAYS(X188,$Z$1,FERIADO!$A$2:$A$408)</f>
        <v>1713</v>
      </c>
      <c r="Z188">
        <v>10.81</v>
      </c>
      <c r="AA188" s="6">
        <f t="shared" si="20"/>
        <v>49770.184100541759</v>
      </c>
      <c r="AB188" s="2">
        <f t="shared" si="21"/>
        <v>7.0999786080514784E-4</v>
      </c>
      <c r="AJ188" s="1">
        <v>45376</v>
      </c>
      <c r="AK188">
        <f>NETWORKDAYS(AJ188,$AJ$1,FERIADO!$A$2:$A$408)</f>
        <v>700</v>
      </c>
      <c r="AL188">
        <v>10.050000000000001</v>
      </c>
      <c r="AM188" s="6">
        <f t="shared" si="22"/>
        <v>76642.928737064547</v>
      </c>
      <c r="AN188" s="2">
        <f t="shared" si="23"/>
        <v>6.0406847401923969E-4</v>
      </c>
      <c r="AP188" s="11">
        <f t="shared" si="24"/>
        <v>3.5499893040257392E-4</v>
      </c>
      <c r="AQ188" s="11">
        <f t="shared" si="25"/>
        <v>1.812205422057719E-4</v>
      </c>
      <c r="AR188" s="11">
        <f t="shared" si="26"/>
        <v>5.3621947260834579E-4</v>
      </c>
    </row>
    <row r="189" spans="2:44" x14ac:dyDescent="0.35">
      <c r="B189" s="1">
        <v>45373</v>
      </c>
      <c r="C189">
        <v>5408.17</v>
      </c>
      <c r="D189" s="1">
        <v>45372</v>
      </c>
      <c r="E189">
        <v>4.9801000000000002</v>
      </c>
      <c r="F189" s="1">
        <v>45372</v>
      </c>
      <c r="G189">
        <v>110.38800000000001</v>
      </c>
      <c r="H189" s="4">
        <f t="shared" si="18"/>
        <v>549743.27880000009</v>
      </c>
      <c r="I189" s="5">
        <v>45373</v>
      </c>
      <c r="J189" s="4">
        <v>5149.2700000000004</v>
      </c>
      <c r="K189" s="4">
        <f t="shared" si="19"/>
        <v>51492.700000000004</v>
      </c>
      <c r="L189" s="1">
        <v>45373</v>
      </c>
      <c r="M189">
        <v>5.69</v>
      </c>
      <c r="N189" s="1">
        <v>45373</v>
      </c>
      <c r="O189">
        <v>5.66</v>
      </c>
      <c r="P189" s="1">
        <v>45373</v>
      </c>
      <c r="Q189">
        <v>5.68</v>
      </c>
      <c r="R189" s="1">
        <v>45373</v>
      </c>
      <c r="S189">
        <v>5.69</v>
      </c>
      <c r="T189" s="1">
        <v>45373</v>
      </c>
      <c r="U189">
        <v>5.75</v>
      </c>
      <c r="V189" s="1">
        <v>45373</v>
      </c>
      <c r="W189">
        <v>5.73</v>
      </c>
      <c r="X189" s="1">
        <v>45373</v>
      </c>
      <c r="Y189">
        <f>NETWORKDAYS(X189,$Z$1,FERIADO!$A$2:$A$408)</f>
        <v>1714</v>
      </c>
      <c r="Z189">
        <v>10.83</v>
      </c>
      <c r="AA189" s="6">
        <f t="shared" si="20"/>
        <v>49688.884759491972</v>
      </c>
      <c r="AB189" s="2">
        <f t="shared" si="21"/>
        <v>4.4387968024744068E-4</v>
      </c>
      <c r="AJ189" s="1">
        <v>45373</v>
      </c>
      <c r="AK189">
        <f>NETWORKDAYS(AJ189,$AJ$1,FERIADO!$A$2:$A$408)</f>
        <v>701</v>
      </c>
      <c r="AL189">
        <v>10.09</v>
      </c>
      <c r="AM189" s="6">
        <f t="shared" si="22"/>
        <v>76536.398730890607</v>
      </c>
      <c r="AN189" s="2">
        <f t="shared" si="23"/>
        <v>3.3049556034108282E-4</v>
      </c>
      <c r="AP189" s="11">
        <f t="shared" si="24"/>
        <v>2.2193984012372034E-4</v>
      </c>
      <c r="AQ189" s="11">
        <f t="shared" si="25"/>
        <v>9.914866810232484E-5</v>
      </c>
      <c r="AR189" s="11">
        <f t="shared" si="26"/>
        <v>3.2108850822604521E-4</v>
      </c>
    </row>
    <row r="190" spans="2:44" x14ac:dyDescent="0.35">
      <c r="B190" s="1">
        <v>45372</v>
      </c>
      <c r="C190">
        <v>5425.82</v>
      </c>
      <c r="D190" s="1">
        <v>45371</v>
      </c>
      <c r="E190">
        <v>5.0114000000000001</v>
      </c>
      <c r="F190" s="1">
        <v>45371</v>
      </c>
      <c r="G190">
        <v>110.367</v>
      </c>
      <c r="H190" s="4">
        <f t="shared" si="18"/>
        <v>553093.1838</v>
      </c>
      <c r="I190" s="5">
        <v>45372</v>
      </c>
      <c r="J190" s="4">
        <v>5120.46</v>
      </c>
      <c r="K190" s="4">
        <f t="shared" si="19"/>
        <v>51204.6</v>
      </c>
      <c r="L190" s="1">
        <v>45372</v>
      </c>
      <c r="M190">
        <v>5.69</v>
      </c>
      <c r="N190" s="1">
        <v>45372</v>
      </c>
      <c r="O190">
        <v>5.65</v>
      </c>
      <c r="P190" s="1">
        <v>45372</v>
      </c>
      <c r="Q190">
        <v>5.67</v>
      </c>
      <c r="R190" s="1">
        <v>45372</v>
      </c>
      <c r="S190">
        <v>5.67</v>
      </c>
      <c r="T190" s="1">
        <v>45372</v>
      </c>
      <c r="U190">
        <v>5.71</v>
      </c>
      <c r="V190" s="1">
        <v>45372</v>
      </c>
      <c r="W190">
        <v>5.72</v>
      </c>
      <c r="X190" s="1">
        <v>45372</v>
      </c>
      <c r="Y190">
        <f>NETWORKDAYS(X190,$Z$1,FERIADO!$A$2:$A$408)</f>
        <v>1715</v>
      </c>
      <c r="Z190">
        <v>10.84</v>
      </c>
      <c r="AA190" s="6">
        <f t="shared" si="20"/>
        <v>49638.125148908402</v>
      </c>
      <c r="AB190" s="2">
        <f t="shared" si="21"/>
        <v>-2.7590166241847056E-3</v>
      </c>
      <c r="AJ190" s="1">
        <v>45372</v>
      </c>
      <c r="AK190">
        <f>NETWORKDAYS(AJ190,$AJ$1,FERIADO!$A$2:$A$408)</f>
        <v>702</v>
      </c>
      <c r="AL190">
        <v>10.105</v>
      </c>
      <c r="AM190" s="6">
        <f t="shared" si="22"/>
        <v>76478.177135109494</v>
      </c>
      <c r="AN190" s="2">
        <f t="shared" si="23"/>
        <v>-8.7988567059173357E-4</v>
      </c>
      <c r="AP190" s="11">
        <f t="shared" si="24"/>
        <v>-1.3795083120923528E-3</v>
      </c>
      <c r="AQ190" s="11">
        <f t="shared" si="25"/>
        <v>-2.6396570117752008E-4</v>
      </c>
      <c r="AR190" s="11">
        <f t="shared" si="26"/>
        <v>-1.6434740132698729E-3</v>
      </c>
    </row>
    <row r="191" spans="2:44" x14ac:dyDescent="0.35">
      <c r="B191" s="1">
        <v>45371</v>
      </c>
      <c r="C191">
        <v>5417.19</v>
      </c>
      <c r="D191" s="1">
        <v>45370</v>
      </c>
      <c r="E191">
        <v>5.0346000000000002</v>
      </c>
      <c r="F191" s="1">
        <v>45370</v>
      </c>
      <c r="G191">
        <v>110.134</v>
      </c>
      <c r="H191" s="4">
        <f t="shared" si="18"/>
        <v>554480.63639999996</v>
      </c>
      <c r="I191" s="5">
        <v>45371</v>
      </c>
      <c r="J191" s="4">
        <v>5115.3100000000004</v>
      </c>
      <c r="K191" s="4">
        <f t="shared" si="19"/>
        <v>51153.100000000006</v>
      </c>
      <c r="L191" s="1">
        <v>45371</v>
      </c>
      <c r="M191">
        <v>5.64</v>
      </c>
      <c r="N191" s="1">
        <v>45371</v>
      </c>
      <c r="O191">
        <v>5.55</v>
      </c>
      <c r="P191" s="1">
        <v>45371</v>
      </c>
      <c r="Q191">
        <v>5.58</v>
      </c>
      <c r="R191" s="1">
        <v>45371</v>
      </c>
      <c r="S191">
        <v>5.58</v>
      </c>
      <c r="T191" s="1">
        <v>45371</v>
      </c>
      <c r="U191">
        <v>5.64</v>
      </c>
      <c r="V191" s="1">
        <v>45371</v>
      </c>
      <c r="W191">
        <v>5.64</v>
      </c>
      <c r="X191" s="1">
        <v>45371</v>
      </c>
      <c r="Y191">
        <f>NETWORKDAYS(X191,$Z$1,FERIADO!$A$2:$A$408)</f>
        <v>1716</v>
      </c>
      <c r="Z191">
        <v>10.73</v>
      </c>
      <c r="AA191" s="6">
        <f t="shared" si="20"/>
        <v>49954.473528527786</v>
      </c>
      <c r="AB191" s="2">
        <f t="shared" si="21"/>
        <v>3.914543460251307E-3</v>
      </c>
      <c r="AJ191" s="1">
        <v>45371</v>
      </c>
      <c r="AK191">
        <f>NETWORKDAYS(AJ191,$AJ$1,FERIADO!$A$2:$A$408)</f>
        <v>703</v>
      </c>
      <c r="AL191">
        <v>10.01</v>
      </c>
      <c r="AM191" s="6">
        <f t="shared" si="22"/>
        <v>76633.279878248824</v>
      </c>
      <c r="AN191" s="2">
        <f t="shared" si="23"/>
        <v>1.3769640696967146E-3</v>
      </c>
      <c r="AP191" s="11">
        <f t="shared" si="24"/>
        <v>1.9572717301256535E-3</v>
      </c>
      <c r="AQ191" s="11">
        <f t="shared" si="25"/>
        <v>4.1308922090901439E-4</v>
      </c>
      <c r="AR191" s="11">
        <f t="shared" si="26"/>
        <v>2.3703609510346679E-3</v>
      </c>
    </row>
    <row r="192" spans="2:44" x14ac:dyDescent="0.35">
      <c r="B192" s="1">
        <v>45370</v>
      </c>
      <c r="C192">
        <v>5358.72</v>
      </c>
      <c r="D192" s="1">
        <v>45369</v>
      </c>
      <c r="E192">
        <v>5.0118</v>
      </c>
      <c r="F192" s="1">
        <v>45369</v>
      </c>
      <c r="G192">
        <v>109.88500000000001</v>
      </c>
      <c r="H192" s="4">
        <f t="shared" si="18"/>
        <v>550721.64300000004</v>
      </c>
      <c r="I192" s="5">
        <v>45370</v>
      </c>
      <c r="J192" s="4">
        <v>5178.08</v>
      </c>
      <c r="K192" s="4">
        <f t="shared" si="19"/>
        <v>51780.800000000003</v>
      </c>
      <c r="L192" s="1">
        <v>45370</v>
      </c>
      <c r="M192">
        <v>5.71</v>
      </c>
      <c r="N192" s="1">
        <v>45370</v>
      </c>
      <c r="O192">
        <v>5.62</v>
      </c>
      <c r="P192" s="1">
        <v>45370</v>
      </c>
      <c r="Q192">
        <v>5.65</v>
      </c>
      <c r="R192" s="1">
        <v>45370</v>
      </c>
      <c r="S192">
        <v>5.63</v>
      </c>
      <c r="T192" s="1">
        <v>45370</v>
      </c>
      <c r="U192">
        <v>5.69</v>
      </c>
      <c r="V192" s="1">
        <v>45370</v>
      </c>
      <c r="W192">
        <v>5.69</v>
      </c>
      <c r="X192" s="1">
        <v>45370</v>
      </c>
      <c r="Y192">
        <f>NETWORKDAYS(X192,$Z$1,FERIADO!$A$2:$A$408)</f>
        <v>1717</v>
      </c>
      <c r="Z192">
        <v>10.87</v>
      </c>
      <c r="AA192" s="6">
        <f t="shared" si="20"/>
        <v>49506.228591872139</v>
      </c>
      <c r="AB192" s="2">
        <f t="shared" si="21"/>
        <v>1.2458416123245666E-3</v>
      </c>
      <c r="AJ192" s="1">
        <v>45370</v>
      </c>
      <c r="AK192">
        <f>NETWORKDAYS(AJ192,$AJ$1,FERIADO!$A$2:$A$408)</f>
        <v>704</v>
      </c>
      <c r="AL192">
        <v>10.119999999999999</v>
      </c>
      <c r="AM192" s="6">
        <f t="shared" si="22"/>
        <v>76390.692941685906</v>
      </c>
      <c r="AN192" s="2">
        <f t="shared" si="23"/>
        <v>7.1767711857143729E-4</v>
      </c>
      <c r="AP192" s="11">
        <f t="shared" si="24"/>
        <v>6.2292080616228331E-4</v>
      </c>
      <c r="AQ192" s="11">
        <f t="shared" si="25"/>
        <v>2.1530313557143119E-4</v>
      </c>
      <c r="AR192" s="11">
        <f t="shared" si="26"/>
        <v>8.3822394173371448E-4</v>
      </c>
    </row>
    <row r="193" spans="2:44" x14ac:dyDescent="0.35">
      <c r="B193" s="1">
        <v>45369</v>
      </c>
      <c r="C193">
        <v>5331.01</v>
      </c>
      <c r="D193" s="1">
        <v>45366</v>
      </c>
      <c r="E193">
        <v>4.9931000000000001</v>
      </c>
      <c r="F193" s="1">
        <v>45366</v>
      </c>
      <c r="G193">
        <v>110.021</v>
      </c>
      <c r="H193" s="4">
        <f t="shared" si="18"/>
        <v>549345.85510000004</v>
      </c>
      <c r="I193" s="5">
        <v>45369</v>
      </c>
      <c r="J193" s="4">
        <v>5179.62</v>
      </c>
      <c r="K193" s="4">
        <f t="shared" si="19"/>
        <v>51796.2</v>
      </c>
      <c r="L193" s="1">
        <v>45369</v>
      </c>
      <c r="M193">
        <v>5.75</v>
      </c>
      <c r="N193" s="1">
        <v>45369</v>
      </c>
      <c r="O193">
        <v>5.65</v>
      </c>
      <c r="P193" s="1">
        <v>45369</v>
      </c>
      <c r="Q193">
        <v>5.58</v>
      </c>
      <c r="R193" s="1">
        <v>45369</v>
      </c>
      <c r="S193">
        <v>5.64</v>
      </c>
      <c r="T193" s="1">
        <v>45369</v>
      </c>
      <c r="U193">
        <v>5.68</v>
      </c>
      <c r="V193" s="1">
        <v>45369</v>
      </c>
      <c r="W193">
        <v>5.7</v>
      </c>
      <c r="X193" s="1">
        <v>45369</v>
      </c>
      <c r="Y193">
        <f>NETWORKDAYS(X193,$Z$1,FERIADO!$A$2:$A$408)</f>
        <v>1718</v>
      </c>
      <c r="Z193">
        <v>10.91</v>
      </c>
      <c r="AA193" s="6">
        <f t="shared" si="20"/>
        <v>49364.41573952484</v>
      </c>
      <c r="AB193" s="2">
        <f t="shared" si="21"/>
        <v>-1.1573922466385775E-3</v>
      </c>
      <c r="AJ193" s="1">
        <v>45369</v>
      </c>
      <c r="AK193">
        <f>NETWORKDAYS(AJ193,$AJ$1,FERIADO!$A$2:$A$408)</f>
        <v>705</v>
      </c>
      <c r="AL193">
        <v>10.17</v>
      </c>
      <c r="AM193" s="6">
        <f t="shared" si="22"/>
        <v>76264.56060276358</v>
      </c>
      <c r="AN193" s="2">
        <f t="shared" si="23"/>
        <v>-3.8540566840247775E-4</v>
      </c>
      <c r="AP193" s="11">
        <f t="shared" si="24"/>
        <v>-5.7869612331928877E-4</v>
      </c>
      <c r="AQ193" s="11">
        <f t="shared" si="25"/>
        <v>-1.1562170052074332E-4</v>
      </c>
      <c r="AR193" s="11">
        <f t="shared" si="26"/>
        <v>-6.9431782384003207E-4</v>
      </c>
    </row>
    <row r="194" spans="2:44" x14ac:dyDescent="0.35">
      <c r="B194" s="1">
        <v>45366</v>
      </c>
      <c r="C194">
        <v>5306.23</v>
      </c>
      <c r="D194" s="1">
        <v>45365</v>
      </c>
      <c r="E194">
        <v>4.9762000000000004</v>
      </c>
      <c r="F194" s="1">
        <v>45365</v>
      </c>
      <c r="G194">
        <v>110.245</v>
      </c>
      <c r="H194" s="4">
        <f t="shared" si="18"/>
        <v>548601.16899999999</v>
      </c>
      <c r="I194" s="5">
        <v>45366</v>
      </c>
      <c r="J194" s="4">
        <v>5148.75</v>
      </c>
      <c r="K194" s="4">
        <f t="shared" si="19"/>
        <v>51487.5</v>
      </c>
      <c r="L194" s="1">
        <v>45366</v>
      </c>
      <c r="M194">
        <v>5.73</v>
      </c>
      <c r="N194" s="1">
        <v>45366</v>
      </c>
      <c r="O194">
        <v>5.59</v>
      </c>
      <c r="P194" s="1">
        <v>45366</v>
      </c>
      <c r="Q194">
        <v>5.59</v>
      </c>
      <c r="R194" s="1">
        <v>45366</v>
      </c>
      <c r="S194">
        <v>5.59</v>
      </c>
      <c r="T194" s="1">
        <v>45366</v>
      </c>
      <c r="U194">
        <v>5.65</v>
      </c>
      <c r="V194" s="1">
        <v>45366</v>
      </c>
      <c r="W194">
        <v>5.62</v>
      </c>
      <c r="X194" s="1">
        <v>45366</v>
      </c>
      <c r="Y194">
        <f>NETWORKDAYS(X194,$Z$1,FERIADO!$A$2:$A$408)</f>
        <v>1719</v>
      </c>
      <c r="Z194">
        <v>10.86</v>
      </c>
      <c r="AA194" s="6">
        <f t="shared" si="20"/>
        <v>49496.14707154037</v>
      </c>
      <c r="AB194" s="2">
        <f t="shared" si="21"/>
        <v>-1.9621756050840693E-3</v>
      </c>
      <c r="AJ194" s="1">
        <v>45366</v>
      </c>
      <c r="AK194">
        <f>NETWORKDAYS(AJ194,$AJ$1,FERIADO!$A$2:$A$408)</f>
        <v>706</v>
      </c>
      <c r="AL194">
        <v>10.119999999999999</v>
      </c>
      <c r="AM194" s="6">
        <f t="shared" si="22"/>
        <v>76332.270051196916</v>
      </c>
      <c r="AN194" s="2">
        <f t="shared" si="23"/>
        <v>-8.3008832932918262E-4</v>
      </c>
      <c r="AP194" s="11">
        <f t="shared" si="24"/>
        <v>-9.8108780254203463E-4</v>
      </c>
      <c r="AQ194" s="11">
        <f t="shared" si="25"/>
        <v>-2.4902649879875475E-4</v>
      </c>
      <c r="AR194" s="11">
        <f t="shared" si="26"/>
        <v>-1.2301143013407894E-3</v>
      </c>
    </row>
    <row r="195" spans="2:44" x14ac:dyDescent="0.35">
      <c r="B195" s="1">
        <v>45365</v>
      </c>
      <c r="C195">
        <v>5339.86</v>
      </c>
      <c r="D195" s="1">
        <v>45364</v>
      </c>
      <c r="E195">
        <v>4.9797000000000002</v>
      </c>
      <c r="F195" s="1">
        <v>45364</v>
      </c>
      <c r="G195">
        <v>110.95</v>
      </c>
      <c r="H195" s="4">
        <f t="shared" si="18"/>
        <v>552497.71500000008</v>
      </c>
      <c r="I195" s="5">
        <v>45365</v>
      </c>
      <c r="J195" s="4">
        <v>5145.1499999999996</v>
      </c>
      <c r="K195" s="4">
        <f t="shared" si="19"/>
        <v>51451.5</v>
      </c>
      <c r="L195" s="1">
        <v>45365</v>
      </c>
      <c r="M195">
        <v>5.64</v>
      </c>
      <c r="N195" s="1">
        <v>45365</v>
      </c>
      <c r="O195">
        <v>5.53</v>
      </c>
      <c r="P195" s="1">
        <v>45365</v>
      </c>
      <c r="Q195">
        <v>5.54</v>
      </c>
      <c r="R195" s="1">
        <v>45365</v>
      </c>
      <c r="S195">
        <v>5.55</v>
      </c>
      <c r="T195" s="1">
        <v>45365</v>
      </c>
      <c r="U195">
        <v>5.65</v>
      </c>
      <c r="V195" s="1">
        <v>45365</v>
      </c>
      <c r="W195">
        <v>5.6</v>
      </c>
      <c r="X195" s="1">
        <v>45365</v>
      </c>
      <c r="Y195">
        <f>NETWORKDAYS(X195,$Z$1,FERIADO!$A$2:$A$408)</f>
        <v>1720</v>
      </c>
      <c r="Z195">
        <v>10.78</v>
      </c>
      <c r="AA195" s="6">
        <f t="shared" si="20"/>
        <v>49720.280384907528</v>
      </c>
      <c r="AB195" s="2">
        <f t="shared" si="21"/>
        <v>-3.0381135637913793E-3</v>
      </c>
      <c r="AJ195" s="1">
        <v>45365</v>
      </c>
      <c r="AK195">
        <f>NETWORKDAYS(AJ195,$AJ$1,FERIADO!$A$2:$A$408)</f>
        <v>707</v>
      </c>
      <c r="AL195">
        <v>10.029999999999999</v>
      </c>
      <c r="AM195" s="6">
        <f t="shared" si="22"/>
        <v>76478.307179719413</v>
      </c>
      <c r="AN195" s="2">
        <f t="shared" si="23"/>
        <v>-1.1667210015298517E-3</v>
      </c>
      <c r="AP195" s="11">
        <f t="shared" si="24"/>
        <v>-1.5190567818956897E-3</v>
      </c>
      <c r="AQ195" s="11">
        <f t="shared" si="25"/>
        <v>-3.5001630045895549E-4</v>
      </c>
      <c r="AR195" s="11">
        <f t="shared" si="26"/>
        <v>-1.8690730823546452E-3</v>
      </c>
    </row>
    <row r="196" spans="2:44" x14ac:dyDescent="0.35">
      <c r="B196" s="1">
        <v>45364</v>
      </c>
      <c r="C196">
        <v>5352.4</v>
      </c>
      <c r="D196" s="1">
        <v>45363</v>
      </c>
      <c r="E196">
        <v>4.9806999999999997</v>
      </c>
      <c r="F196" s="1">
        <v>45363</v>
      </c>
      <c r="G196">
        <v>111.24</v>
      </c>
      <c r="H196" s="4">
        <f t="shared" ref="H196:H259" si="27">G196*E196*1000</f>
        <v>554053.06799999997</v>
      </c>
      <c r="I196" s="5">
        <v>45364</v>
      </c>
      <c r="J196" s="4">
        <v>5117.88</v>
      </c>
      <c r="K196" s="4">
        <f t="shared" si="19"/>
        <v>51178.8</v>
      </c>
      <c r="L196" s="1">
        <v>45364</v>
      </c>
      <c r="M196">
        <v>5.56</v>
      </c>
      <c r="N196" s="1">
        <v>45364</v>
      </c>
      <c r="O196">
        <v>5.44</v>
      </c>
      <c r="P196" s="1">
        <v>45364</v>
      </c>
      <c r="Q196">
        <v>5.46</v>
      </c>
      <c r="R196" s="1">
        <v>45364</v>
      </c>
      <c r="S196">
        <v>5.5</v>
      </c>
      <c r="T196" s="1">
        <v>45364</v>
      </c>
      <c r="U196">
        <v>5.57</v>
      </c>
      <c r="V196" s="1">
        <v>45364</v>
      </c>
      <c r="W196">
        <v>5.56</v>
      </c>
      <c r="X196" s="1">
        <v>45364</v>
      </c>
      <c r="Y196">
        <f>NETWORKDAYS(X196,$Z$1,FERIADO!$A$2:$A$408)</f>
        <v>1721</v>
      </c>
      <c r="Z196">
        <v>10.66</v>
      </c>
      <c r="AA196" s="6">
        <f t="shared" si="20"/>
        <v>50069.318780537418</v>
      </c>
      <c r="AB196" s="2">
        <f t="shared" si="21"/>
        <v>-8.9834745630636538E-4</v>
      </c>
      <c r="AJ196" s="1">
        <v>45364</v>
      </c>
      <c r="AK196">
        <f>NETWORKDAYS(AJ196,$AJ$1,FERIADO!$A$2:$A$408)</f>
        <v>708</v>
      </c>
      <c r="AL196">
        <v>9.91</v>
      </c>
      <c r="AM196" s="6">
        <f t="shared" si="22"/>
        <v>76684.040417830896</v>
      </c>
      <c r="AN196" s="2">
        <f t="shared" si="23"/>
        <v>-1.1511387318555937E-4</v>
      </c>
      <c r="AP196" s="11">
        <f t="shared" si="24"/>
        <v>-4.4917372815318269E-4</v>
      </c>
      <c r="AQ196" s="11">
        <f t="shared" si="25"/>
        <v>-3.4534161955667808E-5</v>
      </c>
      <c r="AR196" s="11">
        <f t="shared" si="26"/>
        <v>-4.837078901088505E-4</v>
      </c>
    </row>
    <row r="197" spans="2:44" x14ac:dyDescent="0.35">
      <c r="B197" s="1">
        <v>45363</v>
      </c>
      <c r="C197">
        <v>5360.74</v>
      </c>
      <c r="D197" s="1">
        <v>45362</v>
      </c>
      <c r="E197">
        <v>4.9771000000000001</v>
      </c>
      <c r="F197" s="1">
        <v>45362</v>
      </c>
      <c r="G197">
        <v>111.62</v>
      </c>
      <c r="H197" s="4">
        <f t="shared" si="27"/>
        <v>555543.902</v>
      </c>
      <c r="I197" s="5">
        <v>45363</v>
      </c>
      <c r="J197" s="4">
        <v>5119.9399999999996</v>
      </c>
      <c r="K197" s="4">
        <f t="shared" ref="K197:K260" si="28">J197*10</f>
        <v>51199.399999999994</v>
      </c>
      <c r="L197" s="1">
        <v>45363</v>
      </c>
      <c r="M197">
        <v>5.53</v>
      </c>
      <c r="N197" s="1">
        <v>45363</v>
      </c>
      <c r="O197">
        <v>5.45</v>
      </c>
      <c r="P197" s="1">
        <v>45363</v>
      </c>
      <c r="Q197">
        <v>5.47</v>
      </c>
      <c r="R197" s="1">
        <v>45363</v>
      </c>
      <c r="S197">
        <v>5.49</v>
      </c>
      <c r="T197" s="1">
        <v>45363</v>
      </c>
      <c r="U197">
        <v>5.57</v>
      </c>
      <c r="V197" s="1">
        <v>45363</v>
      </c>
      <c r="W197">
        <v>5.59</v>
      </c>
      <c r="X197" s="1">
        <v>45363</v>
      </c>
      <c r="Y197">
        <f>NETWORKDAYS(X197,$Z$1,FERIADO!$A$2:$A$408)</f>
        <v>1722</v>
      </c>
      <c r="Z197">
        <v>10.62</v>
      </c>
      <c r="AA197" s="6">
        <f t="shared" ref="AA197:AA260" si="29">$Z$2/(1+Z197/100)^(Y197/252)</f>
        <v>50172.995432706179</v>
      </c>
      <c r="AB197" s="2">
        <f t="shared" ref="AB197:AB260" si="30">LOG(AA197/AA198)</f>
        <v>9.7913194582178575E-4</v>
      </c>
      <c r="AJ197" s="1">
        <v>45363</v>
      </c>
      <c r="AK197">
        <f>NETWORKDAYS(AJ197,$AJ$1,FERIADO!$A$2:$A$408)</f>
        <v>709</v>
      </c>
      <c r="AL197">
        <v>9.8849999999999998</v>
      </c>
      <c r="AM197" s="6">
        <f t="shared" ref="AM197:AM260" si="31">$Z$2/(1+AL197/100)^(AK197/252)</f>
        <v>76704.368944367423</v>
      </c>
      <c r="AN197" s="2">
        <f t="shared" ref="AN197:AN260" si="32">LOG(AM197/AM198)</f>
        <v>6.6344200206742E-4</v>
      </c>
      <c r="AP197" s="11">
        <f t="shared" ref="AP197:AP260" si="33">AB197*$AF$4</f>
        <v>4.8956597291089287E-4</v>
      </c>
      <c r="AQ197" s="11">
        <f t="shared" ref="AQ197:AQ260" si="34">AN197*$AF$7</f>
        <v>1.99032600620226E-4</v>
      </c>
      <c r="AR197" s="11">
        <f t="shared" ref="AR197:AR260" si="35">AQ197+AP197</f>
        <v>6.8859857353111887E-4</v>
      </c>
    </row>
    <row r="198" spans="2:44" x14ac:dyDescent="0.35">
      <c r="B198" s="1">
        <v>45362</v>
      </c>
      <c r="C198">
        <v>5308.59</v>
      </c>
      <c r="D198" s="1">
        <v>45359</v>
      </c>
      <c r="E198">
        <v>4.9744999999999999</v>
      </c>
      <c r="F198" s="1">
        <v>45359</v>
      </c>
      <c r="G198">
        <v>111.726</v>
      </c>
      <c r="H198" s="4">
        <f t="shared" si="27"/>
        <v>555780.98699999996</v>
      </c>
      <c r="I198" s="5">
        <v>45362</v>
      </c>
      <c r="J198" s="4">
        <v>5130.2299999999996</v>
      </c>
      <c r="K198" s="4">
        <f t="shared" si="28"/>
        <v>51302.299999999996</v>
      </c>
      <c r="L198" s="1">
        <v>45362</v>
      </c>
      <c r="M198">
        <v>5.58</v>
      </c>
      <c r="N198" s="1">
        <v>45362</v>
      </c>
      <c r="O198">
        <v>5.48</v>
      </c>
      <c r="P198" s="1">
        <v>45362</v>
      </c>
      <c r="Q198">
        <v>5.47</v>
      </c>
      <c r="R198" s="1">
        <v>45362</v>
      </c>
      <c r="S198">
        <v>5.48</v>
      </c>
      <c r="T198" s="1">
        <v>45362</v>
      </c>
      <c r="U198">
        <v>5.55</v>
      </c>
      <c r="V198" s="1">
        <v>45362</v>
      </c>
      <c r="W198">
        <v>5.57</v>
      </c>
      <c r="X198" s="1">
        <v>45362</v>
      </c>
      <c r="Y198">
        <f>NETWORKDAYS(X198,$Z$1,FERIADO!$A$2:$A$408)</f>
        <v>1723</v>
      </c>
      <c r="Z198">
        <v>10.65</v>
      </c>
      <c r="AA198" s="6">
        <f t="shared" si="29"/>
        <v>50060.006094434691</v>
      </c>
      <c r="AB198" s="2">
        <f t="shared" si="30"/>
        <v>9.7984817770831959E-4</v>
      </c>
      <c r="AJ198" s="1">
        <v>45362</v>
      </c>
      <c r="AK198">
        <f>NETWORKDAYS(AJ198,$AJ$1,FERIADO!$A$2:$A$408)</f>
        <v>710</v>
      </c>
      <c r="AL198">
        <v>9.93</v>
      </c>
      <c r="AM198" s="6">
        <f t="shared" si="31"/>
        <v>76587.282376942749</v>
      </c>
      <c r="AN198" s="2">
        <f t="shared" si="32"/>
        <v>6.089371239019005E-4</v>
      </c>
      <c r="AP198" s="11">
        <f t="shared" si="33"/>
        <v>4.899240888541598E-4</v>
      </c>
      <c r="AQ198" s="11">
        <f t="shared" si="34"/>
        <v>1.8268113717057014E-4</v>
      </c>
      <c r="AR198" s="11">
        <f t="shared" si="35"/>
        <v>6.7260522602472991E-4</v>
      </c>
    </row>
    <row r="199" spans="2:44" x14ac:dyDescent="0.35">
      <c r="B199" s="1">
        <v>45359</v>
      </c>
      <c r="C199">
        <v>5311.14</v>
      </c>
      <c r="D199" s="1">
        <v>45358</v>
      </c>
      <c r="E199">
        <v>4.9358000000000004</v>
      </c>
      <c r="F199" s="1">
        <v>45358</v>
      </c>
      <c r="G199">
        <v>111.627</v>
      </c>
      <c r="H199" s="4">
        <f t="shared" si="27"/>
        <v>550968.5466</v>
      </c>
      <c r="I199" s="5">
        <v>45359</v>
      </c>
      <c r="J199" s="4">
        <v>5134.8599999999997</v>
      </c>
      <c r="K199" s="4">
        <f t="shared" si="28"/>
        <v>51348.6</v>
      </c>
      <c r="L199" s="1">
        <v>45359</v>
      </c>
      <c r="M199">
        <v>5.57</v>
      </c>
      <c r="N199" s="1">
        <v>45359</v>
      </c>
      <c r="O199">
        <v>5.48</v>
      </c>
      <c r="P199" s="1">
        <v>45359</v>
      </c>
      <c r="Q199">
        <v>5.47</v>
      </c>
      <c r="R199" s="1">
        <v>45359</v>
      </c>
      <c r="S199">
        <v>5.48</v>
      </c>
      <c r="T199" s="1">
        <v>45359</v>
      </c>
      <c r="U199">
        <v>5.54</v>
      </c>
      <c r="V199" s="1">
        <v>45359</v>
      </c>
      <c r="W199">
        <v>5.57</v>
      </c>
      <c r="X199" s="1">
        <v>45359</v>
      </c>
      <c r="Y199">
        <f>NETWORKDAYS(X199,$Z$1,FERIADO!$A$2:$A$408)</f>
        <v>1724</v>
      </c>
      <c r="Z199">
        <v>10.68</v>
      </c>
      <c r="AA199" s="6">
        <f t="shared" si="29"/>
        <v>49947.188835379944</v>
      </c>
      <c r="AB199" s="2">
        <f t="shared" si="30"/>
        <v>-2.7811760366040607E-3</v>
      </c>
      <c r="AJ199" s="1">
        <v>45359</v>
      </c>
      <c r="AK199">
        <f>NETWORKDAYS(AJ199,$AJ$1,FERIADO!$A$2:$A$408)</f>
        <v>711</v>
      </c>
      <c r="AL199">
        <v>9.9700000000000006</v>
      </c>
      <c r="AM199" s="6">
        <f t="shared" si="31"/>
        <v>76479.972334493345</v>
      </c>
      <c r="AN199" s="2">
        <f t="shared" si="32"/>
        <v>-5.6170313547853799E-4</v>
      </c>
      <c r="AP199" s="11">
        <f t="shared" si="33"/>
        <v>-1.3905880183020304E-3</v>
      </c>
      <c r="AQ199" s="11">
        <f t="shared" si="34"/>
        <v>-1.6851094064356139E-4</v>
      </c>
      <c r="AR199" s="11">
        <f t="shared" si="35"/>
        <v>-1.5590989589455919E-3</v>
      </c>
    </row>
    <row r="200" spans="2:44" x14ac:dyDescent="0.35">
      <c r="B200" s="1">
        <v>45358</v>
      </c>
      <c r="C200">
        <v>5339.17</v>
      </c>
      <c r="D200" s="1">
        <v>45357</v>
      </c>
      <c r="E200">
        <v>4.9391999999999996</v>
      </c>
      <c r="F200" s="1">
        <v>45357</v>
      </c>
      <c r="G200">
        <v>111.45</v>
      </c>
      <c r="H200" s="4">
        <f t="shared" si="27"/>
        <v>550473.84</v>
      </c>
      <c r="I200" s="5">
        <v>45358</v>
      </c>
      <c r="J200" s="4">
        <v>5088.04</v>
      </c>
      <c r="K200" s="4">
        <f t="shared" si="28"/>
        <v>50880.4</v>
      </c>
      <c r="L200" s="1">
        <v>45358</v>
      </c>
      <c r="M200">
        <v>5.53</v>
      </c>
      <c r="N200" s="1">
        <v>45358</v>
      </c>
      <c r="O200">
        <v>5.43</v>
      </c>
      <c r="P200" s="1">
        <v>45358</v>
      </c>
      <c r="Q200">
        <v>5.45</v>
      </c>
      <c r="R200" s="1">
        <v>45358</v>
      </c>
      <c r="S200">
        <v>5.46</v>
      </c>
      <c r="T200" s="1">
        <v>45358</v>
      </c>
      <c r="U200">
        <v>5.53</v>
      </c>
      <c r="V200" s="1">
        <v>45358</v>
      </c>
      <c r="W200">
        <v>5.54</v>
      </c>
      <c r="X200" s="1">
        <v>45358</v>
      </c>
      <c r="Y200">
        <f>NETWORKDAYS(X200,$Z$1,FERIADO!$A$2:$A$408)</f>
        <v>1725</v>
      </c>
      <c r="Z200">
        <v>10.57</v>
      </c>
      <c r="AA200" s="6">
        <f t="shared" si="29"/>
        <v>50268.071715839076</v>
      </c>
      <c r="AB200" s="2">
        <f t="shared" si="30"/>
        <v>1.7316392695462357E-4</v>
      </c>
      <c r="AJ200" s="1">
        <v>45358</v>
      </c>
      <c r="AK200">
        <f>NETWORKDAYS(AJ200,$AJ$1,FERIADO!$A$2:$A$408)</f>
        <v>712</v>
      </c>
      <c r="AL200">
        <v>9.9049999999999994</v>
      </c>
      <c r="AM200" s="6">
        <f t="shared" si="31"/>
        <v>76578.953175800125</v>
      </c>
      <c r="AN200" s="2">
        <f t="shared" si="32"/>
        <v>1.0686458147524524E-4</v>
      </c>
      <c r="AP200" s="11">
        <f t="shared" si="33"/>
        <v>8.6581963477311784E-5</v>
      </c>
      <c r="AQ200" s="11">
        <f t="shared" si="34"/>
        <v>3.2059374442573572E-5</v>
      </c>
      <c r="AR200" s="11">
        <f t="shared" si="35"/>
        <v>1.1864133791988536E-4</v>
      </c>
    </row>
    <row r="201" spans="2:44" x14ac:dyDescent="0.35">
      <c r="B201" s="1">
        <v>45357</v>
      </c>
      <c r="C201">
        <v>5290.19</v>
      </c>
      <c r="D201" s="1">
        <v>45356</v>
      </c>
      <c r="E201">
        <v>4.9481999999999999</v>
      </c>
      <c r="F201" s="1">
        <v>45356</v>
      </c>
      <c r="G201">
        <v>111.298</v>
      </c>
      <c r="H201" s="4">
        <f t="shared" si="27"/>
        <v>550724.76359999995</v>
      </c>
      <c r="I201" s="5">
        <v>45357</v>
      </c>
      <c r="J201" s="4">
        <v>5101.93</v>
      </c>
      <c r="K201" s="4">
        <f t="shared" si="28"/>
        <v>51019.3</v>
      </c>
      <c r="L201" s="1">
        <v>45357</v>
      </c>
      <c r="M201">
        <v>5.52</v>
      </c>
      <c r="N201" s="1">
        <v>45357</v>
      </c>
      <c r="O201">
        <v>5.44</v>
      </c>
      <c r="P201" s="1">
        <v>45357</v>
      </c>
      <c r="Q201">
        <v>5.46</v>
      </c>
      <c r="R201" s="1">
        <v>45357</v>
      </c>
      <c r="S201">
        <v>5.46</v>
      </c>
      <c r="T201" s="1">
        <v>45357</v>
      </c>
      <c r="U201">
        <v>5.53</v>
      </c>
      <c r="V201" s="1">
        <v>45357</v>
      </c>
      <c r="W201">
        <v>5.54</v>
      </c>
      <c r="X201" s="1">
        <v>45357</v>
      </c>
      <c r="Y201">
        <f>NETWORKDAYS(X201,$Z$1,FERIADO!$A$2:$A$408)</f>
        <v>1726</v>
      </c>
      <c r="Z201">
        <v>10.57</v>
      </c>
      <c r="AA201" s="6">
        <f t="shared" si="29"/>
        <v>50248.032590500676</v>
      </c>
      <c r="AB201" s="2">
        <f t="shared" si="30"/>
        <v>1.7316392695462357E-4</v>
      </c>
      <c r="AJ201" s="1">
        <v>45357</v>
      </c>
      <c r="AK201">
        <f>NETWORKDAYS(AJ201,$AJ$1,FERIADO!$A$2:$A$408)</f>
        <v>713</v>
      </c>
      <c r="AL201">
        <v>9.9</v>
      </c>
      <c r="AM201" s="6">
        <f t="shared" si="31"/>
        <v>76560.112109750931</v>
      </c>
      <c r="AN201" s="2">
        <f t="shared" si="32"/>
        <v>-5.2704823637641714E-6</v>
      </c>
      <c r="AP201" s="11">
        <f t="shared" si="33"/>
        <v>8.6581963477311784E-5</v>
      </c>
      <c r="AQ201" s="11">
        <f t="shared" si="34"/>
        <v>-1.5811447091292514E-6</v>
      </c>
      <c r="AR201" s="11">
        <f t="shared" si="35"/>
        <v>8.5000818768182532E-5</v>
      </c>
    </row>
    <row r="202" spans="2:44" x14ac:dyDescent="0.35">
      <c r="B202" s="1">
        <v>45356</v>
      </c>
      <c r="C202">
        <v>5263.51</v>
      </c>
      <c r="D202" s="1">
        <v>45355</v>
      </c>
      <c r="E202">
        <v>4.9469000000000003</v>
      </c>
      <c r="F202" s="1">
        <v>45355</v>
      </c>
      <c r="G202">
        <v>110.81699999999999</v>
      </c>
      <c r="H202" s="4">
        <f t="shared" si="27"/>
        <v>548200.61729999993</v>
      </c>
      <c r="I202" s="5">
        <v>45356</v>
      </c>
      <c r="J202" s="4">
        <v>5110.17</v>
      </c>
      <c r="K202" s="4">
        <f t="shared" si="28"/>
        <v>51101.7</v>
      </c>
      <c r="L202" s="1">
        <v>45356</v>
      </c>
      <c r="M202">
        <v>5.54</v>
      </c>
      <c r="N202" s="1">
        <v>45356</v>
      </c>
      <c r="O202">
        <v>5.46</v>
      </c>
      <c r="P202" s="1">
        <v>45356</v>
      </c>
      <c r="Q202">
        <v>5.48</v>
      </c>
      <c r="R202" s="1">
        <v>45356</v>
      </c>
      <c r="S202">
        <v>5.5</v>
      </c>
      <c r="T202" s="1">
        <v>45356</v>
      </c>
      <c r="U202">
        <v>5.58</v>
      </c>
      <c r="V202" s="1">
        <v>45356</v>
      </c>
      <c r="W202">
        <v>5.56</v>
      </c>
      <c r="X202" s="1">
        <v>45356</v>
      </c>
      <c r="Y202">
        <f>NETWORKDAYS(X202,$Z$1,FERIADO!$A$2:$A$408)</f>
        <v>1727</v>
      </c>
      <c r="Z202">
        <v>10.57</v>
      </c>
      <c r="AA202" s="6">
        <f t="shared" si="29"/>
        <v>50228.001453663339</v>
      </c>
      <c r="AB202" s="2">
        <f t="shared" si="30"/>
        <v>7.1178199760033403E-4</v>
      </c>
      <c r="AJ202" s="1">
        <v>45356</v>
      </c>
      <c r="AK202">
        <f>NETWORKDAYS(AJ202,$AJ$1,FERIADO!$A$2:$A$408)</f>
        <v>714</v>
      </c>
      <c r="AL202">
        <v>9.8849999999999998</v>
      </c>
      <c r="AM202" s="6">
        <f t="shared" si="31"/>
        <v>76561.041228553731</v>
      </c>
      <c r="AN202" s="2">
        <f t="shared" si="32"/>
        <v>6.1092294525299899E-4</v>
      </c>
      <c r="AP202" s="11">
        <f t="shared" si="33"/>
        <v>3.5589099880016701E-4</v>
      </c>
      <c r="AQ202" s="11">
        <f t="shared" si="34"/>
        <v>1.8327688357589969E-4</v>
      </c>
      <c r="AR202" s="11">
        <f t="shared" si="35"/>
        <v>5.3916788237606665E-4</v>
      </c>
    </row>
    <row r="203" spans="2:44" x14ac:dyDescent="0.35">
      <c r="B203" s="1">
        <v>45355</v>
      </c>
      <c r="C203">
        <v>5319.2</v>
      </c>
      <c r="D203" s="1">
        <v>45352</v>
      </c>
      <c r="E203">
        <v>4.9589999999999996</v>
      </c>
      <c r="F203" s="1">
        <v>45352</v>
      </c>
      <c r="G203">
        <v>110.98</v>
      </c>
      <c r="H203" s="4">
        <f t="shared" si="27"/>
        <v>550349.82000000007</v>
      </c>
      <c r="I203" s="5">
        <v>45355</v>
      </c>
      <c r="J203" s="4">
        <v>5102.45</v>
      </c>
      <c r="K203" s="4">
        <f t="shared" si="28"/>
        <v>51024.5</v>
      </c>
      <c r="L203" s="1">
        <v>45355</v>
      </c>
      <c r="M203">
        <v>5.56</v>
      </c>
      <c r="N203" s="1">
        <v>45355</v>
      </c>
      <c r="O203">
        <v>5.46</v>
      </c>
      <c r="P203" s="1">
        <v>45355</v>
      </c>
      <c r="Q203">
        <v>5.49</v>
      </c>
      <c r="R203" s="1">
        <v>45355</v>
      </c>
      <c r="S203">
        <v>5.5</v>
      </c>
      <c r="T203" s="1">
        <v>45355</v>
      </c>
      <c r="U203">
        <v>5.58</v>
      </c>
      <c r="V203" s="1">
        <v>45355</v>
      </c>
      <c r="W203">
        <v>5.58</v>
      </c>
      <c r="X203" s="1">
        <v>45355</v>
      </c>
      <c r="Y203">
        <f>NETWORKDAYS(X203,$Z$1,FERIADO!$A$2:$A$408)</f>
        <v>1728</v>
      </c>
      <c r="Z203">
        <v>10.59</v>
      </c>
      <c r="AA203" s="6">
        <f t="shared" si="29"/>
        <v>50145.748264794995</v>
      </c>
      <c r="AB203" s="2">
        <f t="shared" si="30"/>
        <v>7.12307942489325E-4</v>
      </c>
      <c r="AJ203" s="1">
        <v>45355</v>
      </c>
      <c r="AK203">
        <f>NETWORKDAYS(AJ203,$AJ$1,FERIADO!$A$2:$A$408)</f>
        <v>715</v>
      </c>
      <c r="AL203">
        <v>9.9250000000000007</v>
      </c>
      <c r="AM203" s="6">
        <f t="shared" si="31"/>
        <v>76453.418368025508</v>
      </c>
      <c r="AN203" s="2">
        <f t="shared" si="32"/>
        <v>2.7532975210274856E-4</v>
      </c>
      <c r="AP203" s="11">
        <f t="shared" si="33"/>
        <v>3.561539712446625E-4</v>
      </c>
      <c r="AQ203" s="11">
        <f t="shared" si="34"/>
        <v>8.2598925630824563E-5</v>
      </c>
      <c r="AR203" s="11">
        <f t="shared" si="35"/>
        <v>4.3875289687548706E-4</v>
      </c>
    </row>
    <row r="204" spans="2:44" x14ac:dyDescent="0.35">
      <c r="B204" s="1">
        <v>45352</v>
      </c>
      <c r="C204">
        <v>5325.41</v>
      </c>
      <c r="D204" s="1">
        <v>45351</v>
      </c>
      <c r="E204">
        <v>4.9827000000000004</v>
      </c>
      <c r="F204" s="1">
        <v>45351</v>
      </c>
      <c r="G204">
        <v>110.503</v>
      </c>
      <c r="H204" s="4">
        <f t="shared" si="27"/>
        <v>550603.29810000013</v>
      </c>
      <c r="I204" s="5">
        <v>45352</v>
      </c>
      <c r="J204" s="4">
        <v>5112.22</v>
      </c>
      <c r="K204" s="4">
        <f t="shared" si="28"/>
        <v>51122.200000000004</v>
      </c>
      <c r="L204" s="1">
        <v>45352</v>
      </c>
      <c r="M204">
        <v>5.56</v>
      </c>
      <c r="N204" s="1">
        <v>45352</v>
      </c>
      <c r="O204">
        <v>5.45</v>
      </c>
      <c r="P204" s="1">
        <v>45352</v>
      </c>
      <c r="Q204">
        <v>5.45</v>
      </c>
      <c r="R204" s="1">
        <v>45352</v>
      </c>
      <c r="S204">
        <v>5.47</v>
      </c>
      <c r="T204" s="1">
        <v>45352</v>
      </c>
      <c r="U204">
        <v>5.54</v>
      </c>
      <c r="V204" s="1">
        <v>45352</v>
      </c>
      <c r="W204">
        <v>5.56</v>
      </c>
      <c r="X204" s="1">
        <v>45352</v>
      </c>
      <c r="Y204">
        <f>NETWORKDAYS(X204,$Z$1,FERIADO!$A$2:$A$408)</f>
        <v>1729</v>
      </c>
      <c r="Z204">
        <v>10.61</v>
      </c>
      <c r="AA204" s="6">
        <f t="shared" si="29"/>
        <v>50063.569144779554</v>
      </c>
      <c r="AB204" s="2">
        <f t="shared" si="30"/>
        <v>1.2517827944321736E-3</v>
      </c>
      <c r="AJ204" s="1">
        <v>45352</v>
      </c>
      <c r="AK204">
        <f>NETWORKDAYS(AJ204,$AJ$1,FERIADO!$A$2:$A$408)</f>
        <v>716</v>
      </c>
      <c r="AL204">
        <v>9.9350000000000005</v>
      </c>
      <c r="AM204" s="6">
        <f t="shared" si="31"/>
        <v>76404.964541166861</v>
      </c>
      <c r="AN204" s="2">
        <f t="shared" si="32"/>
        <v>6.689352652979344E-4</v>
      </c>
      <c r="AP204" s="11">
        <f t="shared" si="33"/>
        <v>6.2589139721608679E-4</v>
      </c>
      <c r="AQ204" s="11">
        <f t="shared" si="34"/>
        <v>2.0068057958938032E-4</v>
      </c>
      <c r="AR204" s="11">
        <f t="shared" si="35"/>
        <v>8.2657197680546714E-4</v>
      </c>
    </row>
    <row r="205" spans="2:44" x14ac:dyDescent="0.35">
      <c r="B205" s="1">
        <v>45351</v>
      </c>
      <c r="C205">
        <v>5281.56</v>
      </c>
      <c r="D205" s="1">
        <v>45350</v>
      </c>
      <c r="E205">
        <v>4.9550999999999998</v>
      </c>
      <c r="F205" s="1">
        <v>45350</v>
      </c>
      <c r="G205">
        <v>110.384</v>
      </c>
      <c r="H205" s="4">
        <f t="shared" si="27"/>
        <v>546963.75839999993</v>
      </c>
      <c r="I205" s="5">
        <v>45351</v>
      </c>
      <c r="J205" s="4">
        <v>5127.66</v>
      </c>
      <c r="K205" s="4">
        <f t="shared" si="28"/>
        <v>51276.6</v>
      </c>
      <c r="L205" s="1">
        <v>45351</v>
      </c>
      <c r="M205">
        <v>5.54</v>
      </c>
      <c r="N205" s="1">
        <v>45351</v>
      </c>
      <c r="O205">
        <v>5.44</v>
      </c>
      <c r="P205" s="1">
        <v>45351</v>
      </c>
      <c r="Q205">
        <v>5.44</v>
      </c>
      <c r="R205" s="1">
        <v>45351</v>
      </c>
      <c r="S205">
        <v>5.46</v>
      </c>
      <c r="T205" s="1">
        <v>45351</v>
      </c>
      <c r="U205">
        <v>5.53</v>
      </c>
      <c r="V205" s="1">
        <v>45351</v>
      </c>
      <c r="W205">
        <v>5.54</v>
      </c>
      <c r="X205" s="1">
        <v>45351</v>
      </c>
      <c r="Y205">
        <f>NETWORKDAYS(X205,$Z$1,FERIADO!$A$2:$A$408)</f>
        <v>1730</v>
      </c>
      <c r="Z205">
        <v>10.65</v>
      </c>
      <c r="AA205" s="6">
        <f t="shared" si="29"/>
        <v>49919.476857993177</v>
      </c>
      <c r="AB205" s="2">
        <f t="shared" si="30"/>
        <v>1.5221354984141339E-3</v>
      </c>
      <c r="AJ205" s="1">
        <v>45351</v>
      </c>
      <c r="AK205">
        <f>NETWORKDAYS(AJ205,$AJ$1,FERIADO!$A$2:$A$408)</f>
        <v>717</v>
      </c>
      <c r="AL205">
        <v>9.98</v>
      </c>
      <c r="AM205" s="6">
        <f t="shared" si="31"/>
        <v>76287.37006159281</v>
      </c>
      <c r="AN205" s="2">
        <f t="shared" si="32"/>
        <v>7.2636984846168875E-4</v>
      </c>
      <c r="AP205" s="11">
        <f t="shared" si="33"/>
        <v>7.6106774920706697E-4</v>
      </c>
      <c r="AQ205" s="11">
        <f t="shared" si="34"/>
        <v>2.1791095453850662E-4</v>
      </c>
      <c r="AR205" s="11">
        <f t="shared" si="35"/>
        <v>9.7897870374557367E-4</v>
      </c>
    </row>
    <row r="206" spans="2:44" x14ac:dyDescent="0.35">
      <c r="B206" s="1">
        <v>45350</v>
      </c>
      <c r="C206">
        <v>5252.48</v>
      </c>
      <c r="D206" s="1">
        <v>45349</v>
      </c>
      <c r="E206">
        <v>4.9569000000000001</v>
      </c>
      <c r="F206" s="1">
        <v>45349</v>
      </c>
      <c r="G206">
        <v>109.55</v>
      </c>
      <c r="H206" s="4">
        <f t="shared" si="27"/>
        <v>543028.39500000002</v>
      </c>
      <c r="I206" s="5">
        <v>45350</v>
      </c>
      <c r="J206" s="4">
        <v>5125.09</v>
      </c>
      <c r="K206" s="4">
        <f t="shared" si="28"/>
        <v>51250.9</v>
      </c>
      <c r="L206" s="1">
        <v>45350</v>
      </c>
      <c r="M206">
        <v>5.56</v>
      </c>
      <c r="N206" s="1">
        <v>45350</v>
      </c>
      <c r="O206">
        <v>5.48</v>
      </c>
      <c r="P206" s="1">
        <v>45350</v>
      </c>
      <c r="Q206">
        <v>5.46</v>
      </c>
      <c r="R206" s="1">
        <v>45350</v>
      </c>
      <c r="S206">
        <v>5.48</v>
      </c>
      <c r="T206" s="1">
        <v>45350</v>
      </c>
      <c r="U206">
        <v>5.56</v>
      </c>
      <c r="V206" s="1">
        <v>45350</v>
      </c>
      <c r="W206">
        <v>5.56</v>
      </c>
      <c r="X206" s="1">
        <v>45350</v>
      </c>
      <c r="Y206">
        <f>NETWORKDAYS(X206,$Z$1,FERIADO!$A$2:$A$408)</f>
        <v>1731</v>
      </c>
      <c r="Z206">
        <v>10.7</v>
      </c>
      <c r="AA206" s="6">
        <f t="shared" si="29"/>
        <v>49744.823000106524</v>
      </c>
      <c r="AB206" s="2">
        <f t="shared" si="30"/>
        <v>1.7518897174103088E-4</v>
      </c>
      <c r="AJ206" s="1">
        <v>45350</v>
      </c>
      <c r="AK206">
        <f>NETWORKDAYS(AJ206,$AJ$1,FERIADO!$A$2:$A$408)</f>
        <v>718</v>
      </c>
      <c r="AL206">
        <v>10.029999999999999</v>
      </c>
      <c r="AM206" s="6">
        <f t="shared" si="31"/>
        <v>76159.883911563535</v>
      </c>
      <c r="AN206" s="2">
        <f t="shared" si="32"/>
        <v>-1.7316855567611232E-4</v>
      </c>
      <c r="AP206" s="11">
        <f t="shared" si="33"/>
        <v>8.759448587051544E-5</v>
      </c>
      <c r="AQ206" s="11">
        <f t="shared" si="34"/>
        <v>-5.1950566702833696E-5</v>
      </c>
      <c r="AR206" s="11">
        <f t="shared" si="35"/>
        <v>3.5643919167681744E-5</v>
      </c>
    </row>
    <row r="207" spans="2:44" x14ac:dyDescent="0.35">
      <c r="B207" s="1">
        <v>45349</v>
      </c>
      <c r="C207">
        <v>5266.5</v>
      </c>
      <c r="D207" s="1">
        <v>45348</v>
      </c>
      <c r="E207">
        <v>4.9813000000000001</v>
      </c>
      <c r="F207" s="1">
        <v>45348</v>
      </c>
      <c r="G207">
        <v>109.67100000000001</v>
      </c>
      <c r="H207" s="4">
        <f t="shared" si="27"/>
        <v>546304.15230000007</v>
      </c>
      <c r="I207" s="5">
        <v>45349</v>
      </c>
      <c r="J207" s="4">
        <v>5093.6000000000004</v>
      </c>
      <c r="K207" s="4">
        <f t="shared" si="28"/>
        <v>50936</v>
      </c>
      <c r="L207" s="1">
        <v>45349</v>
      </c>
      <c r="M207">
        <v>5.52</v>
      </c>
      <c r="N207" s="1">
        <v>45349</v>
      </c>
      <c r="O207">
        <v>5.45</v>
      </c>
      <c r="P207" s="1">
        <v>45349</v>
      </c>
      <c r="Q207">
        <v>5.43</v>
      </c>
      <c r="R207" s="1">
        <v>45349</v>
      </c>
      <c r="S207">
        <v>5.46</v>
      </c>
      <c r="T207" s="1">
        <v>45349</v>
      </c>
      <c r="U207">
        <v>5.54</v>
      </c>
      <c r="V207" s="1">
        <v>45349</v>
      </c>
      <c r="W207">
        <v>5.59</v>
      </c>
      <c r="X207" s="1">
        <v>45349</v>
      </c>
      <c r="Y207">
        <f>NETWORKDAYS(X207,$Z$1,FERIADO!$A$2:$A$408)</f>
        <v>1732</v>
      </c>
      <c r="Z207">
        <v>10.7</v>
      </c>
      <c r="AA207" s="6">
        <f t="shared" si="29"/>
        <v>49724.760606314587</v>
      </c>
      <c r="AB207" s="2">
        <f t="shared" si="30"/>
        <v>2.0631606614128482E-3</v>
      </c>
      <c r="AJ207" s="1">
        <v>45349</v>
      </c>
      <c r="AK207">
        <f>NETWORKDAYS(AJ207,$AJ$1,FERIADO!$A$2:$A$408)</f>
        <v>719</v>
      </c>
      <c r="AL207">
        <v>10</v>
      </c>
      <c r="AM207" s="6">
        <f t="shared" si="31"/>
        <v>76190.257603508755</v>
      </c>
      <c r="AN207" s="2">
        <f t="shared" si="32"/>
        <v>1.5171640101859631E-3</v>
      </c>
      <c r="AP207" s="11">
        <f t="shared" si="33"/>
        <v>1.0315803307064241E-3</v>
      </c>
      <c r="AQ207" s="11">
        <f t="shared" si="34"/>
        <v>4.5514920305578889E-4</v>
      </c>
      <c r="AR207" s="11">
        <f t="shared" si="35"/>
        <v>1.486729533762213E-3</v>
      </c>
    </row>
    <row r="208" spans="2:44" x14ac:dyDescent="0.35">
      <c r="B208" s="1">
        <v>45348</v>
      </c>
      <c r="C208">
        <v>5260.42</v>
      </c>
      <c r="D208" s="1">
        <v>45345</v>
      </c>
      <c r="E208">
        <v>4.9844999999999997</v>
      </c>
      <c r="F208" s="1">
        <v>45345</v>
      </c>
      <c r="G208">
        <v>109.94</v>
      </c>
      <c r="H208" s="4">
        <f t="shared" si="27"/>
        <v>547995.92999999993</v>
      </c>
      <c r="I208" s="5">
        <v>45348</v>
      </c>
      <c r="J208" s="4">
        <v>5146.25</v>
      </c>
      <c r="K208" s="4">
        <f t="shared" si="28"/>
        <v>51462.5</v>
      </c>
      <c r="L208" s="1">
        <v>45348</v>
      </c>
      <c r="M208">
        <v>5.58</v>
      </c>
      <c r="N208" s="1">
        <v>45348</v>
      </c>
      <c r="O208">
        <v>5.49</v>
      </c>
      <c r="P208" s="1">
        <v>45348</v>
      </c>
      <c r="Q208">
        <v>5.46</v>
      </c>
      <c r="R208" s="1">
        <v>45348</v>
      </c>
      <c r="S208">
        <v>5.49</v>
      </c>
      <c r="T208" s="1">
        <v>45348</v>
      </c>
      <c r="U208">
        <v>5.56</v>
      </c>
      <c r="V208" s="1">
        <v>45348</v>
      </c>
      <c r="W208">
        <v>5.57</v>
      </c>
      <c r="X208" s="1">
        <v>45348</v>
      </c>
      <c r="Y208">
        <f>NETWORKDAYS(X208,$Z$1,FERIADO!$A$2:$A$408)</f>
        <v>1733</v>
      </c>
      <c r="Z208">
        <v>10.77</v>
      </c>
      <c r="AA208" s="6">
        <f t="shared" si="29"/>
        <v>49489.098222646513</v>
      </c>
      <c r="AB208" s="2">
        <f t="shared" si="30"/>
        <v>-1.7127827179308495E-3</v>
      </c>
      <c r="AJ208" s="1">
        <v>45348</v>
      </c>
      <c r="AK208">
        <f>NETWORKDAYS(AJ208,$AJ$1,FERIADO!$A$2:$A$408)</f>
        <v>720</v>
      </c>
      <c r="AL208">
        <v>10.119999999999999</v>
      </c>
      <c r="AM208" s="6">
        <f t="shared" si="31"/>
        <v>75924.558981890325</v>
      </c>
      <c r="AN208" s="2">
        <f t="shared" si="32"/>
        <v>-7.3689103534914694E-4</v>
      </c>
      <c r="AP208" s="11">
        <f t="shared" si="33"/>
        <v>-8.5639135896542473E-4</v>
      </c>
      <c r="AQ208" s="11">
        <f t="shared" si="34"/>
        <v>-2.2106731060474408E-4</v>
      </c>
      <c r="AR208" s="11">
        <f t="shared" si="35"/>
        <v>-1.0774586695701687E-3</v>
      </c>
    </row>
    <row r="209" spans="2:44" x14ac:dyDescent="0.35">
      <c r="B209" s="1">
        <v>45345</v>
      </c>
      <c r="C209">
        <v>5277.85</v>
      </c>
      <c r="D209" s="1">
        <v>45344</v>
      </c>
      <c r="E209">
        <v>4.9413</v>
      </c>
      <c r="F209" s="1">
        <v>45344</v>
      </c>
      <c r="G209">
        <v>109.499</v>
      </c>
      <c r="H209" s="4">
        <f t="shared" si="27"/>
        <v>541067.40870000003</v>
      </c>
      <c r="I209" s="5">
        <v>45345</v>
      </c>
      <c r="J209" s="4">
        <v>5160.18</v>
      </c>
      <c r="K209" s="4">
        <f t="shared" si="28"/>
        <v>51601.8</v>
      </c>
      <c r="L209" s="1">
        <v>45345</v>
      </c>
      <c r="M209">
        <v>5.48</v>
      </c>
      <c r="N209" s="1">
        <v>45345</v>
      </c>
      <c r="O209">
        <v>5.43</v>
      </c>
      <c r="P209" s="1">
        <v>45345</v>
      </c>
      <c r="Q209">
        <v>5.42</v>
      </c>
      <c r="R209" s="1">
        <v>45345</v>
      </c>
      <c r="S209">
        <v>5.42</v>
      </c>
      <c r="T209" s="1">
        <v>45345</v>
      </c>
      <c r="U209">
        <v>5.53</v>
      </c>
      <c r="V209" s="1">
        <v>45345</v>
      </c>
      <c r="W209">
        <v>5.56</v>
      </c>
      <c r="X209" s="1">
        <v>45345</v>
      </c>
      <c r="Y209">
        <f>NETWORKDAYS(X209,$Z$1,FERIADO!$A$2:$A$408)</f>
        <v>1734</v>
      </c>
      <c r="Z209">
        <v>10.7</v>
      </c>
      <c r="AA209" s="6">
        <f t="shared" si="29"/>
        <v>49684.660089328747</v>
      </c>
      <c r="AB209" s="2">
        <f t="shared" si="30"/>
        <v>1.7518897174083808E-4</v>
      </c>
      <c r="AJ209" s="1">
        <v>45345</v>
      </c>
      <c r="AK209">
        <f>NETWORKDAYS(AJ209,$AJ$1,FERIADO!$A$2:$A$408)</f>
        <v>721</v>
      </c>
      <c r="AL209">
        <v>10.039999999999999</v>
      </c>
      <c r="AM209" s="6">
        <f t="shared" si="31"/>
        <v>76053.493659118845</v>
      </c>
      <c r="AN209" s="2">
        <f t="shared" si="32"/>
        <v>1.0834398287067225E-4</v>
      </c>
      <c r="AP209" s="11">
        <f t="shared" si="33"/>
        <v>8.7594485870419041E-5</v>
      </c>
      <c r="AQ209" s="11">
        <f t="shared" si="34"/>
        <v>3.2503194861201675E-5</v>
      </c>
      <c r="AR209" s="11">
        <f t="shared" si="35"/>
        <v>1.2009768073162072E-4</v>
      </c>
    </row>
    <row r="210" spans="2:44" x14ac:dyDescent="0.35">
      <c r="B210" s="1">
        <v>45344</v>
      </c>
      <c r="C210">
        <v>5274.47</v>
      </c>
      <c r="D210" s="1">
        <v>45343</v>
      </c>
      <c r="E210">
        <v>4.9297000000000004</v>
      </c>
      <c r="F210" s="1">
        <v>45343</v>
      </c>
      <c r="G210">
        <v>109.68</v>
      </c>
      <c r="H210" s="4">
        <f t="shared" si="27"/>
        <v>540689.49600000004</v>
      </c>
      <c r="I210" s="5">
        <v>45344</v>
      </c>
      <c r="J210" s="4">
        <v>5124.05</v>
      </c>
      <c r="K210" s="4">
        <f t="shared" si="28"/>
        <v>51240.5</v>
      </c>
      <c r="L210" s="1">
        <v>45344</v>
      </c>
      <c r="M210">
        <v>5.42</v>
      </c>
      <c r="N210" s="1">
        <v>45344</v>
      </c>
      <c r="O210">
        <v>5.39</v>
      </c>
      <c r="P210" s="1">
        <v>45344</v>
      </c>
      <c r="Q210">
        <v>5.38</v>
      </c>
      <c r="R210" s="1">
        <v>45344</v>
      </c>
      <c r="S210">
        <v>5.41</v>
      </c>
      <c r="T210" s="1">
        <v>45344</v>
      </c>
      <c r="U210">
        <v>5.51</v>
      </c>
      <c r="V210" s="1">
        <v>45344</v>
      </c>
      <c r="W210">
        <v>5.51</v>
      </c>
      <c r="X210" s="1">
        <v>45344</v>
      </c>
      <c r="Y210">
        <f>NETWORKDAYS(X210,$Z$1,FERIADO!$A$2:$A$408)</f>
        <v>1735</v>
      </c>
      <c r="Z210">
        <v>10.7</v>
      </c>
      <c r="AA210" s="6">
        <f t="shared" si="29"/>
        <v>49664.621959609649</v>
      </c>
      <c r="AB210" s="2">
        <f t="shared" si="30"/>
        <v>-2.2581632818719274E-3</v>
      </c>
      <c r="AJ210" s="1">
        <v>45344</v>
      </c>
      <c r="AK210">
        <f>NETWORKDAYS(AJ210,$AJ$1,FERIADO!$A$2:$A$408)</f>
        <v>722</v>
      </c>
      <c r="AL210">
        <v>10.035</v>
      </c>
      <c r="AM210" s="6">
        <f t="shared" si="31"/>
        <v>76034.522866190993</v>
      </c>
      <c r="AN210" s="2">
        <f t="shared" si="32"/>
        <v>-1.0814332903781136E-3</v>
      </c>
      <c r="AP210" s="11">
        <f t="shared" si="33"/>
        <v>-1.1290816409359637E-3</v>
      </c>
      <c r="AQ210" s="11">
        <f t="shared" si="34"/>
        <v>-3.2442998711343406E-4</v>
      </c>
      <c r="AR210" s="11">
        <f t="shared" si="35"/>
        <v>-1.4535116280493979E-3</v>
      </c>
    </row>
    <row r="211" spans="2:44" x14ac:dyDescent="0.35">
      <c r="B211" s="1">
        <v>45343</v>
      </c>
      <c r="C211">
        <v>5167.5200000000004</v>
      </c>
      <c r="D211" s="1">
        <v>45342</v>
      </c>
      <c r="E211">
        <v>4.9401999999999999</v>
      </c>
      <c r="F211" s="1">
        <v>45342</v>
      </c>
      <c r="G211">
        <v>109.93300000000001</v>
      </c>
      <c r="H211" s="4">
        <f t="shared" si="27"/>
        <v>543091.00659999996</v>
      </c>
      <c r="I211" s="5">
        <v>45343</v>
      </c>
      <c r="J211" s="4">
        <v>5097.7299999999996</v>
      </c>
      <c r="K211" s="4">
        <f t="shared" si="28"/>
        <v>50977.299999999996</v>
      </c>
      <c r="L211" s="1">
        <v>45343</v>
      </c>
      <c r="M211">
        <v>5.41</v>
      </c>
      <c r="N211" s="1">
        <v>45343</v>
      </c>
      <c r="O211">
        <v>5.37</v>
      </c>
      <c r="P211" s="1">
        <v>45343</v>
      </c>
      <c r="Q211">
        <v>5.35</v>
      </c>
      <c r="R211" s="1">
        <v>45343</v>
      </c>
      <c r="S211">
        <v>5.39</v>
      </c>
      <c r="T211" s="1">
        <v>45343</v>
      </c>
      <c r="U211">
        <v>5.52</v>
      </c>
      <c r="V211" s="1">
        <v>45343</v>
      </c>
      <c r="W211">
        <v>5.49</v>
      </c>
      <c r="X211" s="1">
        <v>45343</v>
      </c>
      <c r="Y211">
        <f>NETWORKDAYS(X211,$Z$1,FERIADO!$A$2:$A$408)</f>
        <v>1736</v>
      </c>
      <c r="Z211">
        <v>10.61</v>
      </c>
      <c r="AA211" s="6">
        <f t="shared" si="29"/>
        <v>49923.531309977428</v>
      </c>
      <c r="AB211" s="2">
        <f t="shared" si="30"/>
        <v>-9.6863226016112493E-5</v>
      </c>
      <c r="AJ211" s="1">
        <v>45343</v>
      </c>
      <c r="AK211">
        <f>NETWORKDAYS(AJ211,$AJ$1,FERIADO!$A$2:$A$408)</f>
        <v>723</v>
      </c>
      <c r="AL211">
        <v>9.9250000000000007</v>
      </c>
      <c r="AM211" s="6">
        <f t="shared" si="31"/>
        <v>76224.091760552648</v>
      </c>
      <c r="AN211" s="2">
        <f t="shared" si="32"/>
        <v>5.6029545708369808E-4</v>
      </c>
      <c r="AP211" s="11">
        <f t="shared" si="33"/>
        <v>-4.8431613008056247E-5</v>
      </c>
      <c r="AQ211" s="11">
        <f t="shared" si="34"/>
        <v>1.6808863712510942E-4</v>
      </c>
      <c r="AR211" s="11">
        <f t="shared" si="35"/>
        <v>1.1965702411705317E-4</v>
      </c>
    </row>
    <row r="212" spans="2:44" x14ac:dyDescent="0.35">
      <c r="B212" s="1">
        <v>45342</v>
      </c>
      <c r="C212">
        <v>5165.42</v>
      </c>
      <c r="D212" s="1">
        <v>45341</v>
      </c>
      <c r="E212">
        <v>4.9579000000000004</v>
      </c>
      <c r="F212" s="1">
        <v>45341</v>
      </c>
      <c r="G212">
        <v>109.61799999999999</v>
      </c>
      <c r="H212" s="4">
        <f t="shared" si="27"/>
        <v>543475.08219999995</v>
      </c>
      <c r="I212" s="5">
        <v>45342</v>
      </c>
      <c r="J212" s="4">
        <v>5088.96</v>
      </c>
      <c r="K212" s="4">
        <f t="shared" si="28"/>
        <v>50889.599999999999</v>
      </c>
      <c r="L212" s="1">
        <v>45342</v>
      </c>
      <c r="M212">
        <v>5.45</v>
      </c>
      <c r="N212" s="1">
        <v>45342</v>
      </c>
      <c r="O212">
        <v>5.39</v>
      </c>
      <c r="P212" s="1">
        <v>45342</v>
      </c>
      <c r="Q212">
        <v>5.37</v>
      </c>
      <c r="R212" s="1">
        <v>45342</v>
      </c>
      <c r="S212">
        <v>5.4</v>
      </c>
      <c r="T212" s="1">
        <v>45342</v>
      </c>
      <c r="U212">
        <v>5.49</v>
      </c>
      <c r="V212" s="1">
        <v>45342</v>
      </c>
      <c r="W212">
        <v>5.5</v>
      </c>
      <c r="X212" s="1">
        <v>45342</v>
      </c>
      <c r="Y212">
        <f>NETWORKDAYS(X212,$Z$1,FERIADO!$A$2:$A$408)</f>
        <v>1737</v>
      </c>
      <c r="Z212">
        <v>10.6</v>
      </c>
      <c r="AA212" s="6">
        <f t="shared" si="29"/>
        <v>49934.667287549404</v>
      </c>
      <c r="AB212" s="2">
        <f t="shared" si="30"/>
        <v>1.527418241979093E-3</v>
      </c>
      <c r="AJ212" s="1">
        <v>45342</v>
      </c>
      <c r="AK212">
        <f>NETWORKDAYS(AJ212,$AJ$1,FERIADO!$A$2:$A$408)</f>
        <v>724</v>
      </c>
      <c r="AL212">
        <v>9.9600000000000009</v>
      </c>
      <c r="AM212" s="6">
        <f t="shared" si="31"/>
        <v>76125.816335569674</v>
      </c>
      <c r="AN212" s="2">
        <f t="shared" si="32"/>
        <v>8.4521459067775384E-4</v>
      </c>
      <c r="AP212" s="11">
        <f t="shared" si="33"/>
        <v>7.6370912098954651E-4</v>
      </c>
      <c r="AQ212" s="11">
        <f t="shared" si="34"/>
        <v>2.5356437720332615E-4</v>
      </c>
      <c r="AR212" s="11">
        <f t="shared" si="35"/>
        <v>1.0172734981928728E-3</v>
      </c>
    </row>
    <row r="213" spans="2:44" x14ac:dyDescent="0.35">
      <c r="B213" s="1">
        <v>45341</v>
      </c>
      <c r="C213">
        <v>5205.28</v>
      </c>
      <c r="D213" s="1">
        <v>45338</v>
      </c>
      <c r="E213">
        <v>4.9755000000000003</v>
      </c>
      <c r="F213" s="1">
        <v>45338</v>
      </c>
      <c r="G213">
        <v>109.75</v>
      </c>
      <c r="H213" s="4">
        <f t="shared" si="27"/>
        <v>546061.12500000012</v>
      </c>
      <c r="I213" s="5">
        <v>45341</v>
      </c>
      <c r="J213" s="4">
        <v>5123.0200000000004</v>
      </c>
      <c r="K213" s="4">
        <f t="shared" si="28"/>
        <v>51230.200000000004</v>
      </c>
      <c r="L213" s="1">
        <v>45341</v>
      </c>
      <c r="M213">
        <v>5.44</v>
      </c>
      <c r="N213" s="1">
        <v>45341</v>
      </c>
      <c r="O213">
        <v>5.38</v>
      </c>
      <c r="P213" s="1">
        <v>45341</v>
      </c>
      <c r="Q213">
        <v>5.38</v>
      </c>
      <c r="R213" s="1">
        <v>45341</v>
      </c>
      <c r="S213">
        <v>5.4</v>
      </c>
      <c r="T213" s="1">
        <v>45341</v>
      </c>
      <c r="U213">
        <v>5.51</v>
      </c>
      <c r="V213" s="1">
        <v>45341</v>
      </c>
      <c r="W213">
        <v>5.51</v>
      </c>
      <c r="X213" s="1">
        <v>45341</v>
      </c>
      <c r="Y213">
        <f>NETWORKDAYS(X213,$Z$1,FERIADO!$A$2:$A$408)</f>
        <v>1738</v>
      </c>
      <c r="Z213">
        <v>10.65</v>
      </c>
      <c r="AA213" s="6">
        <f t="shared" si="29"/>
        <v>49759.355007916325</v>
      </c>
      <c r="AB213" s="2">
        <f t="shared" si="30"/>
        <v>7.1606529892517823E-4</v>
      </c>
      <c r="AJ213" s="1">
        <v>45341</v>
      </c>
      <c r="AK213">
        <f>NETWORKDAYS(AJ213,$AJ$1,FERIADO!$A$2:$A$408)</f>
        <v>725</v>
      </c>
      <c r="AL213">
        <v>10.02</v>
      </c>
      <c r="AM213" s="6">
        <f t="shared" si="31"/>
        <v>75977.805981240832</v>
      </c>
      <c r="AN213" s="2">
        <f t="shared" si="32"/>
        <v>3.3514304875708034E-4</v>
      </c>
      <c r="AP213" s="11">
        <f t="shared" si="33"/>
        <v>3.5803264946258911E-4</v>
      </c>
      <c r="AQ213" s="11">
        <f t="shared" si="34"/>
        <v>1.0054291462712409E-4</v>
      </c>
      <c r="AR213" s="11">
        <f t="shared" si="35"/>
        <v>4.5857556408971322E-4</v>
      </c>
    </row>
    <row r="214" spans="2:44" x14ac:dyDescent="0.35">
      <c r="B214" s="1">
        <v>45338</v>
      </c>
      <c r="C214">
        <v>5192.5600000000004</v>
      </c>
      <c r="D214" s="1">
        <v>45337</v>
      </c>
      <c r="E214">
        <v>4.9703999999999997</v>
      </c>
      <c r="F214" s="1">
        <v>45337</v>
      </c>
      <c r="G214">
        <v>110.188</v>
      </c>
      <c r="H214" s="4">
        <f t="shared" si="27"/>
        <v>547678.43519999995</v>
      </c>
      <c r="I214" s="5">
        <v>45338</v>
      </c>
      <c r="J214" s="4">
        <v>5134.38</v>
      </c>
      <c r="K214" s="4">
        <f t="shared" si="28"/>
        <v>51343.8</v>
      </c>
      <c r="L214" s="1">
        <v>45338</v>
      </c>
      <c r="M214">
        <v>5.4</v>
      </c>
      <c r="N214" s="1">
        <v>45338</v>
      </c>
      <c r="O214">
        <v>5.36</v>
      </c>
      <c r="P214" s="1">
        <v>45338</v>
      </c>
      <c r="Q214">
        <v>5.35</v>
      </c>
      <c r="R214" s="1">
        <v>45338</v>
      </c>
      <c r="S214">
        <v>5.39</v>
      </c>
      <c r="T214" s="1">
        <v>45338</v>
      </c>
      <c r="U214">
        <v>5.48</v>
      </c>
      <c r="V214" s="1">
        <v>45338</v>
      </c>
      <c r="W214">
        <v>5.5</v>
      </c>
      <c r="X214" s="1">
        <v>45338</v>
      </c>
      <c r="Y214">
        <f>NETWORKDAYS(X214,$Z$1,FERIADO!$A$2:$A$408)</f>
        <v>1739</v>
      </c>
      <c r="Z214">
        <v>10.67</v>
      </c>
      <c r="AA214" s="6">
        <f t="shared" si="29"/>
        <v>49677.379318924039</v>
      </c>
      <c r="AB214" s="2">
        <f t="shared" si="30"/>
        <v>4.4566832939229038E-4</v>
      </c>
      <c r="AJ214" s="1">
        <v>45338</v>
      </c>
      <c r="AK214">
        <f>NETWORKDAYS(AJ214,$AJ$1,FERIADO!$A$2:$A$408)</f>
        <v>726</v>
      </c>
      <c r="AL214">
        <v>10.035</v>
      </c>
      <c r="AM214" s="6">
        <f t="shared" si="31"/>
        <v>75919.196875864727</v>
      </c>
      <c r="AN214" s="2">
        <f t="shared" si="32"/>
        <v>-4.0464561388741733E-4</v>
      </c>
      <c r="AP214" s="11">
        <f t="shared" si="33"/>
        <v>2.2283416469614519E-4</v>
      </c>
      <c r="AQ214" s="11">
        <f t="shared" si="34"/>
        <v>-1.2139368416622519E-4</v>
      </c>
      <c r="AR214" s="11">
        <f t="shared" si="35"/>
        <v>1.0144048052992E-4</v>
      </c>
    </row>
    <row r="215" spans="2:44" x14ac:dyDescent="0.35">
      <c r="B215" s="1">
        <v>45337</v>
      </c>
      <c r="C215">
        <v>5223.47</v>
      </c>
      <c r="D215" s="1">
        <v>45336</v>
      </c>
      <c r="E215">
        <v>4.9717000000000002</v>
      </c>
      <c r="F215" s="1">
        <v>45336</v>
      </c>
      <c r="G215">
        <v>110.003</v>
      </c>
      <c r="H215" s="4">
        <f t="shared" si="27"/>
        <v>546901.91509999998</v>
      </c>
      <c r="I215" s="5">
        <v>45337</v>
      </c>
      <c r="J215" s="4">
        <v>5141.09</v>
      </c>
      <c r="K215" s="4">
        <f t="shared" si="28"/>
        <v>51410.9</v>
      </c>
      <c r="L215" s="1">
        <v>45337</v>
      </c>
      <c r="M215">
        <v>5.39</v>
      </c>
      <c r="N215" s="1">
        <v>45337</v>
      </c>
      <c r="O215">
        <v>5.36</v>
      </c>
      <c r="P215" s="1">
        <v>45337</v>
      </c>
      <c r="Q215">
        <v>5.34</v>
      </c>
      <c r="R215" s="1">
        <v>45337</v>
      </c>
      <c r="S215">
        <v>5.37</v>
      </c>
      <c r="T215" s="1">
        <v>45337</v>
      </c>
      <c r="U215">
        <v>5.46</v>
      </c>
      <c r="V215" s="1">
        <v>45337</v>
      </c>
      <c r="W215">
        <v>5.47</v>
      </c>
      <c r="X215" s="1">
        <v>45337</v>
      </c>
      <c r="Y215">
        <f>NETWORKDAYS(X215,$Z$1,FERIADO!$A$2:$A$408)</f>
        <v>1740</v>
      </c>
      <c r="Z215">
        <v>10.68</v>
      </c>
      <c r="AA215" s="6">
        <f t="shared" si="29"/>
        <v>49626.427074009793</v>
      </c>
      <c r="AB215" s="2">
        <f t="shared" si="30"/>
        <v>4.4595526898260485E-4</v>
      </c>
      <c r="AJ215" s="1">
        <v>45337</v>
      </c>
      <c r="AK215">
        <f>NETWORKDAYS(AJ215,$AJ$1,FERIADO!$A$2:$A$408)</f>
        <v>727</v>
      </c>
      <c r="AL215">
        <v>9.9849999999999994</v>
      </c>
      <c r="AM215" s="6">
        <f t="shared" si="31"/>
        <v>75989.966105758605</v>
      </c>
      <c r="AN215" s="2">
        <f t="shared" si="32"/>
        <v>5.6321257243690647E-4</v>
      </c>
      <c r="AP215" s="11">
        <f t="shared" si="33"/>
        <v>2.2297763449130242E-4</v>
      </c>
      <c r="AQ215" s="11">
        <f t="shared" si="34"/>
        <v>1.6896377173107193E-4</v>
      </c>
      <c r="AR215" s="11">
        <f t="shared" si="35"/>
        <v>3.9194140622237435E-4</v>
      </c>
    </row>
    <row r="216" spans="2:44" x14ac:dyDescent="0.35">
      <c r="B216" s="1">
        <v>45336</v>
      </c>
      <c r="C216">
        <v>5194.1499999999996</v>
      </c>
      <c r="D216" s="1">
        <v>45331</v>
      </c>
      <c r="E216">
        <v>4.9710999999999999</v>
      </c>
      <c r="F216" s="1">
        <v>45331</v>
      </c>
      <c r="G216">
        <v>110.655</v>
      </c>
      <c r="H216" s="4">
        <f t="shared" si="27"/>
        <v>550077.07050000003</v>
      </c>
      <c r="I216" s="5">
        <v>45336</v>
      </c>
      <c r="J216" s="4">
        <v>5136.4399999999996</v>
      </c>
      <c r="K216" s="4">
        <f t="shared" si="28"/>
        <v>51364.399999999994</v>
      </c>
      <c r="L216" s="1">
        <v>45336</v>
      </c>
      <c r="M216">
        <v>5.4</v>
      </c>
      <c r="N216" s="1">
        <v>45336</v>
      </c>
      <c r="O216">
        <v>5.37</v>
      </c>
      <c r="P216" s="1">
        <v>45336</v>
      </c>
      <c r="Q216">
        <v>5.36</v>
      </c>
      <c r="R216" s="1">
        <v>45336</v>
      </c>
      <c r="S216">
        <v>5.38</v>
      </c>
      <c r="T216" s="1">
        <v>45336</v>
      </c>
      <c r="U216">
        <v>5.47</v>
      </c>
      <c r="V216" s="1">
        <v>45336</v>
      </c>
      <c r="W216">
        <v>5.5</v>
      </c>
      <c r="X216" s="1">
        <v>45336</v>
      </c>
      <c r="Y216">
        <f>NETWORKDAYS(X216,$Z$1,FERIADO!$A$2:$A$408)</f>
        <v>1741</v>
      </c>
      <c r="Z216">
        <v>10.69</v>
      </c>
      <c r="AA216" s="6">
        <f t="shared" si="29"/>
        <v>49575.494334242903</v>
      </c>
      <c r="AB216" s="2">
        <f t="shared" si="30"/>
        <v>-1.4527347533049633E-3</v>
      </c>
      <c r="AJ216" s="1">
        <v>45336</v>
      </c>
      <c r="AK216">
        <f>NETWORKDAYS(AJ216,$AJ$1,FERIADO!$A$2:$A$408)</f>
        <v>728</v>
      </c>
      <c r="AL216">
        <v>10.02</v>
      </c>
      <c r="AM216" s="6">
        <f t="shared" si="31"/>
        <v>75891.482780378748</v>
      </c>
      <c r="AN216" s="2">
        <f t="shared" si="32"/>
        <v>-4.6364879079157089E-4</v>
      </c>
      <c r="AP216" s="11">
        <f t="shared" si="33"/>
        <v>-7.2636737665248167E-4</v>
      </c>
      <c r="AQ216" s="11">
        <f t="shared" si="34"/>
        <v>-1.3909463723747127E-4</v>
      </c>
      <c r="AR216" s="11">
        <f t="shared" si="35"/>
        <v>-8.6546201388995299E-4</v>
      </c>
    </row>
    <row r="217" spans="2:44" x14ac:dyDescent="0.35">
      <c r="B217" s="1">
        <v>45331</v>
      </c>
      <c r="C217">
        <v>5217.2700000000004</v>
      </c>
      <c r="D217" s="1">
        <v>45330</v>
      </c>
      <c r="E217">
        <v>4.9798</v>
      </c>
      <c r="F217" s="1">
        <v>45330</v>
      </c>
      <c r="G217">
        <v>110.827</v>
      </c>
      <c r="H217" s="4">
        <f t="shared" si="27"/>
        <v>551896.29460000002</v>
      </c>
      <c r="I217" s="5">
        <v>45331</v>
      </c>
      <c r="J217" s="4">
        <v>5123.0200000000004</v>
      </c>
      <c r="K217" s="4">
        <f t="shared" si="28"/>
        <v>51230.200000000004</v>
      </c>
      <c r="L217" s="1">
        <v>45331</v>
      </c>
      <c r="M217">
        <v>5.38</v>
      </c>
      <c r="N217" s="1">
        <v>45331</v>
      </c>
      <c r="O217">
        <v>5.36</v>
      </c>
      <c r="P217" s="1">
        <v>45331</v>
      </c>
      <c r="Q217">
        <v>5.35</v>
      </c>
      <c r="R217" s="1">
        <v>45331</v>
      </c>
      <c r="S217">
        <v>5.37</v>
      </c>
      <c r="T217" s="1">
        <v>45331</v>
      </c>
      <c r="U217">
        <v>5.47</v>
      </c>
      <c r="V217" s="1">
        <v>45331</v>
      </c>
      <c r="W217">
        <v>5.48</v>
      </c>
      <c r="X217" s="1">
        <v>45331</v>
      </c>
      <c r="Y217">
        <f>NETWORKDAYS(X217,$Z$1,FERIADO!$A$2:$A$408)</f>
        <v>1742</v>
      </c>
      <c r="Z217">
        <v>10.63</v>
      </c>
      <c r="AA217" s="6">
        <f t="shared" si="29"/>
        <v>49741.604280642379</v>
      </c>
      <c r="AB217" s="2">
        <f t="shared" si="30"/>
        <v>-6.4058364862470073E-4</v>
      </c>
      <c r="AJ217" s="1">
        <v>45331</v>
      </c>
      <c r="AK217">
        <f>NETWORKDAYS(AJ217,$AJ$1,FERIADO!$A$2:$A$408)</f>
        <v>729</v>
      </c>
      <c r="AL217">
        <v>9.9649999999999999</v>
      </c>
      <c r="AM217" s="6">
        <f t="shared" si="31"/>
        <v>75972.54709280016</v>
      </c>
      <c r="AN217" s="2">
        <f t="shared" si="32"/>
        <v>-6.5126327401228307E-5</v>
      </c>
      <c r="AP217" s="11">
        <f t="shared" si="33"/>
        <v>-3.2029182431235037E-4</v>
      </c>
      <c r="AQ217" s="11">
        <f t="shared" si="34"/>
        <v>-1.9537898220368492E-5</v>
      </c>
      <c r="AR217" s="11">
        <f t="shared" si="35"/>
        <v>-3.3982972253271886E-4</v>
      </c>
    </row>
    <row r="218" spans="2:44" x14ac:dyDescent="0.35">
      <c r="B218" s="1">
        <v>45330</v>
      </c>
      <c r="C218">
        <v>5191.6099999999997</v>
      </c>
      <c r="D218" s="1">
        <v>45329</v>
      </c>
      <c r="E218">
        <v>4.9602000000000004</v>
      </c>
      <c r="F218" s="1">
        <v>45329</v>
      </c>
      <c r="G218">
        <v>111.175</v>
      </c>
      <c r="H218" s="4">
        <f t="shared" si="27"/>
        <v>551450.23499999999</v>
      </c>
      <c r="I218" s="5">
        <v>45330</v>
      </c>
      <c r="J218" s="4">
        <v>5165.34</v>
      </c>
      <c r="K218" s="4">
        <f t="shared" si="28"/>
        <v>51653.4</v>
      </c>
      <c r="L218" s="1">
        <v>45330</v>
      </c>
      <c r="M218">
        <v>5.39</v>
      </c>
      <c r="N218" s="1">
        <v>45330</v>
      </c>
      <c r="O218">
        <v>5.39</v>
      </c>
      <c r="P218" s="1">
        <v>45330</v>
      </c>
      <c r="Q218">
        <v>5.38</v>
      </c>
      <c r="R218" s="1">
        <v>45330</v>
      </c>
      <c r="S218">
        <v>5.4</v>
      </c>
      <c r="T218" s="1">
        <v>45330</v>
      </c>
      <c r="U218">
        <v>5.48</v>
      </c>
      <c r="V218" s="1">
        <v>45330</v>
      </c>
      <c r="W218">
        <v>5.49</v>
      </c>
      <c r="X218" s="1">
        <v>45330</v>
      </c>
      <c r="Y218">
        <f>NETWORKDAYS(X218,$Z$1,FERIADO!$A$2:$A$408)</f>
        <v>1743</v>
      </c>
      <c r="Z218">
        <v>10.6</v>
      </c>
      <c r="AA218" s="6">
        <f t="shared" si="29"/>
        <v>49815.02720141918</v>
      </c>
      <c r="AB218" s="2">
        <f t="shared" si="30"/>
        <v>-2.5451326887243253E-3</v>
      </c>
      <c r="AJ218" s="1">
        <v>45330</v>
      </c>
      <c r="AK218">
        <f>NETWORKDAYS(AJ218,$AJ$1,FERIADO!$A$2:$A$408)</f>
        <v>730</v>
      </c>
      <c r="AL218">
        <v>9.9450000000000003</v>
      </c>
      <c r="AM218" s="6">
        <f t="shared" si="31"/>
        <v>75983.94070746607</v>
      </c>
      <c r="AN218" s="2">
        <f t="shared" si="32"/>
        <v>-1.0403167692246598E-3</v>
      </c>
      <c r="AP218" s="11">
        <f t="shared" si="33"/>
        <v>-1.2725663443621626E-3</v>
      </c>
      <c r="AQ218" s="11">
        <f t="shared" si="34"/>
        <v>-3.1209503076739793E-4</v>
      </c>
      <c r="AR218" s="11">
        <f t="shared" si="35"/>
        <v>-1.5846613751295605E-3</v>
      </c>
    </row>
    <row r="219" spans="2:44" x14ac:dyDescent="0.35">
      <c r="B219" s="1">
        <v>45329</v>
      </c>
      <c r="C219">
        <v>5191.72</v>
      </c>
      <c r="D219" s="1">
        <v>45328</v>
      </c>
      <c r="E219">
        <v>4.9680999999999997</v>
      </c>
      <c r="F219" s="1">
        <v>45328</v>
      </c>
      <c r="G219">
        <v>111.26600000000001</v>
      </c>
      <c r="H219" s="4">
        <f t="shared" si="27"/>
        <v>552780.61460000009</v>
      </c>
      <c r="I219" s="5">
        <v>45329</v>
      </c>
      <c r="J219" s="4">
        <v>5139.54</v>
      </c>
      <c r="K219" s="4">
        <f t="shared" si="28"/>
        <v>51395.4</v>
      </c>
      <c r="L219" s="1">
        <v>45329</v>
      </c>
      <c r="M219">
        <v>5.36</v>
      </c>
      <c r="N219" s="1">
        <v>45329</v>
      </c>
      <c r="O219">
        <v>5.37</v>
      </c>
      <c r="P219" s="1">
        <v>45329</v>
      </c>
      <c r="Q219">
        <v>5.37</v>
      </c>
      <c r="R219" s="1">
        <v>45329</v>
      </c>
      <c r="S219">
        <v>5.37</v>
      </c>
      <c r="T219" s="1">
        <v>45329</v>
      </c>
      <c r="U219">
        <v>5.46</v>
      </c>
      <c r="V219" s="1">
        <v>45329</v>
      </c>
      <c r="W219">
        <v>5.47</v>
      </c>
      <c r="X219" s="1">
        <v>45329</v>
      </c>
      <c r="Y219">
        <f>NETWORKDAYS(X219,$Z$1,FERIADO!$A$2:$A$408)</f>
        <v>1744</v>
      </c>
      <c r="Z219">
        <v>10.5</v>
      </c>
      <c r="AA219" s="6">
        <f t="shared" si="29"/>
        <v>50107.819518937351</v>
      </c>
      <c r="AB219" s="2">
        <f t="shared" si="30"/>
        <v>4.4421559776830092E-4</v>
      </c>
      <c r="AJ219" s="1">
        <v>45329</v>
      </c>
      <c r="AK219">
        <f>NETWORKDAYS(AJ219,$AJ$1,FERIADO!$A$2:$A$408)</f>
        <v>731</v>
      </c>
      <c r="AL219">
        <v>9.84</v>
      </c>
      <c r="AM219" s="6">
        <f t="shared" si="31"/>
        <v>76166.172171111146</v>
      </c>
      <c r="AN219" s="2">
        <f t="shared" si="32"/>
        <v>-1.0539972352069215E-5</v>
      </c>
      <c r="AP219" s="11">
        <f t="shared" si="33"/>
        <v>2.2210779888415046E-4</v>
      </c>
      <c r="AQ219" s="11">
        <f t="shared" si="34"/>
        <v>-3.1619917056207645E-6</v>
      </c>
      <c r="AR219" s="11">
        <f t="shared" si="35"/>
        <v>2.189458071785297E-4</v>
      </c>
    </row>
    <row r="220" spans="2:44" x14ac:dyDescent="0.35">
      <c r="B220" s="1">
        <v>45328</v>
      </c>
      <c r="C220">
        <v>5150.26</v>
      </c>
      <c r="D220" s="1">
        <v>45327</v>
      </c>
      <c r="E220">
        <v>5.0046999999999997</v>
      </c>
      <c r="F220" s="1">
        <v>45327</v>
      </c>
      <c r="G220">
        <v>110.816</v>
      </c>
      <c r="H220" s="4">
        <f t="shared" si="27"/>
        <v>554600.83519999997</v>
      </c>
      <c r="I220" s="5">
        <v>45328</v>
      </c>
      <c r="J220" s="4">
        <v>5134.8900000000003</v>
      </c>
      <c r="K220" s="4">
        <f t="shared" si="28"/>
        <v>51348.9</v>
      </c>
      <c r="L220" s="1">
        <v>45328</v>
      </c>
      <c r="M220">
        <v>5.39</v>
      </c>
      <c r="N220" s="1">
        <v>45328</v>
      </c>
      <c r="O220">
        <v>5.38</v>
      </c>
      <c r="P220" s="1">
        <v>45328</v>
      </c>
      <c r="Q220">
        <v>5.38</v>
      </c>
      <c r="R220" s="1">
        <v>45328</v>
      </c>
      <c r="S220">
        <v>5.39</v>
      </c>
      <c r="T220" s="1">
        <v>45328</v>
      </c>
      <c r="U220">
        <v>5.48</v>
      </c>
      <c r="V220" s="1">
        <v>45328</v>
      </c>
      <c r="W220">
        <v>5.47</v>
      </c>
      <c r="X220" s="1">
        <v>45328</v>
      </c>
      <c r="Y220">
        <f>NETWORKDAYS(X220,$Z$1,FERIADO!$A$2:$A$408)</f>
        <v>1745</v>
      </c>
      <c r="Z220">
        <v>10.51</v>
      </c>
      <c r="AA220" s="6">
        <f t="shared" si="29"/>
        <v>50056.593228415011</v>
      </c>
      <c r="AB220" s="2">
        <f t="shared" si="30"/>
        <v>9.8897773652022983E-4</v>
      </c>
      <c r="AJ220" s="1">
        <v>45328</v>
      </c>
      <c r="AK220">
        <f>NETWORKDAYS(AJ220,$AJ$1,FERIADO!$A$2:$A$408)</f>
        <v>732</v>
      </c>
      <c r="AL220">
        <v>9.8249999999999993</v>
      </c>
      <c r="AM220" s="6">
        <f t="shared" si="31"/>
        <v>76168.020684329473</v>
      </c>
      <c r="AN220" s="2">
        <f t="shared" si="32"/>
        <v>6.7901242827667822E-4</v>
      </c>
      <c r="AP220" s="11">
        <f t="shared" si="33"/>
        <v>4.9448886826011491E-4</v>
      </c>
      <c r="AQ220" s="11">
        <f t="shared" si="34"/>
        <v>2.0370372848300345E-4</v>
      </c>
      <c r="AR220" s="11">
        <f t="shared" si="35"/>
        <v>6.9819259674311839E-4</v>
      </c>
    </row>
    <row r="221" spans="2:44" x14ac:dyDescent="0.35">
      <c r="B221" s="1">
        <v>45327</v>
      </c>
      <c r="C221">
        <v>5134.93</v>
      </c>
      <c r="D221" s="1">
        <v>45324</v>
      </c>
      <c r="E221">
        <v>4.9465000000000003</v>
      </c>
      <c r="F221" s="1">
        <v>45324</v>
      </c>
      <c r="G221">
        <v>111.747</v>
      </c>
      <c r="H221" s="4">
        <f t="shared" si="27"/>
        <v>552756.5355</v>
      </c>
      <c r="I221" s="5">
        <v>45327</v>
      </c>
      <c r="J221" s="4">
        <v>5158.12</v>
      </c>
      <c r="K221" s="4">
        <f t="shared" si="28"/>
        <v>51581.2</v>
      </c>
      <c r="L221" s="1">
        <v>45327</v>
      </c>
      <c r="M221">
        <v>5.39</v>
      </c>
      <c r="N221" s="1">
        <v>45327</v>
      </c>
      <c r="O221">
        <v>5.38</v>
      </c>
      <c r="P221" s="1">
        <v>45327</v>
      </c>
      <c r="Q221">
        <v>5.42</v>
      </c>
      <c r="R221" s="1">
        <v>45327</v>
      </c>
      <c r="S221">
        <v>5.41</v>
      </c>
      <c r="T221" s="1">
        <v>45327</v>
      </c>
      <c r="U221">
        <v>5.48</v>
      </c>
      <c r="V221" s="1">
        <v>45327</v>
      </c>
      <c r="W221">
        <v>5.49</v>
      </c>
      <c r="X221" s="1">
        <v>45327</v>
      </c>
      <c r="Y221">
        <f>NETWORKDAYS(X221,$Z$1,FERIADO!$A$2:$A$408)</f>
        <v>1746</v>
      </c>
      <c r="Z221">
        <v>10.54</v>
      </c>
      <c r="AA221" s="6">
        <f t="shared" si="29"/>
        <v>49942.733774223969</v>
      </c>
      <c r="AB221" s="2">
        <f t="shared" si="30"/>
        <v>-3.7209043648781399E-4</v>
      </c>
      <c r="AJ221" s="1">
        <v>45327</v>
      </c>
      <c r="AK221">
        <f>NETWORKDAYS(AJ221,$AJ$1,FERIADO!$A$2:$A$408)</f>
        <v>733</v>
      </c>
      <c r="AL221">
        <v>9.8699999999999992</v>
      </c>
      <c r="AM221" s="6">
        <f t="shared" si="31"/>
        <v>76049.026257826787</v>
      </c>
      <c r="AN221" s="2">
        <f t="shared" si="32"/>
        <v>-2.4081177063931021E-4</v>
      </c>
      <c r="AP221" s="11">
        <f t="shared" si="33"/>
        <v>-1.8604521824390699E-4</v>
      </c>
      <c r="AQ221" s="11">
        <f t="shared" si="34"/>
        <v>-7.2243531191793059E-5</v>
      </c>
      <c r="AR221" s="11">
        <f t="shared" si="35"/>
        <v>-2.5828874943570004E-4</v>
      </c>
    </row>
    <row r="222" spans="2:44" x14ac:dyDescent="0.35">
      <c r="B222" s="1">
        <v>45324</v>
      </c>
      <c r="C222">
        <v>5151.03</v>
      </c>
      <c r="D222" s="1">
        <v>45323</v>
      </c>
      <c r="E222">
        <v>4.9344000000000001</v>
      </c>
      <c r="F222" s="1">
        <v>45323</v>
      </c>
      <c r="G222">
        <v>112.872</v>
      </c>
      <c r="H222" s="4">
        <f t="shared" si="27"/>
        <v>556955.59679999994</v>
      </c>
      <c r="I222" s="5">
        <v>45324</v>
      </c>
      <c r="J222" s="4">
        <v>5144.7</v>
      </c>
      <c r="K222" s="4">
        <f t="shared" si="28"/>
        <v>51447</v>
      </c>
      <c r="L222" s="1">
        <v>45324</v>
      </c>
      <c r="M222">
        <v>5.34</v>
      </c>
      <c r="N222" s="1">
        <v>45324</v>
      </c>
      <c r="O222">
        <v>5.38</v>
      </c>
      <c r="P222" s="1">
        <v>45324</v>
      </c>
      <c r="Q222">
        <v>5.39</v>
      </c>
      <c r="R222" s="1">
        <v>45324</v>
      </c>
      <c r="S222">
        <v>5.42</v>
      </c>
      <c r="T222" s="1">
        <v>45324</v>
      </c>
      <c r="U222">
        <v>5.49</v>
      </c>
      <c r="V222" s="1">
        <v>45324</v>
      </c>
      <c r="W222">
        <v>5.48</v>
      </c>
      <c r="X222" s="1">
        <v>45324</v>
      </c>
      <c r="Y222">
        <f>NETWORKDAYS(X222,$Z$1,FERIADO!$A$2:$A$408)</f>
        <v>1747</v>
      </c>
      <c r="Z222">
        <v>10.52</v>
      </c>
      <c r="AA222" s="6">
        <f t="shared" si="29"/>
        <v>49985.541540445025</v>
      </c>
      <c r="AB222" s="2">
        <f t="shared" si="30"/>
        <v>-2.2817803664772506E-3</v>
      </c>
      <c r="AJ222" s="1">
        <v>45324</v>
      </c>
      <c r="AK222">
        <f>NETWORKDAYS(AJ222,$AJ$1,FERIADO!$A$2:$A$408)</f>
        <v>734</v>
      </c>
      <c r="AL222">
        <v>9.8350000000000009</v>
      </c>
      <c r="AM222" s="6">
        <f t="shared" si="31"/>
        <v>76091.206344595572</v>
      </c>
      <c r="AN222" s="2">
        <f t="shared" si="32"/>
        <v>-8.18987904618365E-4</v>
      </c>
      <c r="AP222" s="11">
        <f t="shared" si="33"/>
        <v>-1.1408901832386253E-3</v>
      </c>
      <c r="AQ222" s="11">
        <f t="shared" si="34"/>
        <v>-2.4569637138550948E-4</v>
      </c>
      <c r="AR222" s="11">
        <f t="shared" si="35"/>
        <v>-1.3865865546241348E-3</v>
      </c>
    </row>
    <row r="223" spans="2:44" x14ac:dyDescent="0.35">
      <c r="B223" s="1">
        <v>45323</v>
      </c>
      <c r="C223">
        <v>5102.63</v>
      </c>
      <c r="D223" s="1">
        <v>45322</v>
      </c>
      <c r="E223">
        <v>4.9528999999999996</v>
      </c>
      <c r="F223" s="1">
        <v>45322</v>
      </c>
      <c r="G223">
        <v>112.3</v>
      </c>
      <c r="H223" s="4">
        <f t="shared" si="27"/>
        <v>556210.66999999993</v>
      </c>
      <c r="I223" s="5">
        <v>45323</v>
      </c>
      <c r="J223" s="4">
        <v>5087.93</v>
      </c>
      <c r="K223" s="4">
        <f t="shared" si="28"/>
        <v>50879.3</v>
      </c>
      <c r="L223" s="1">
        <v>45323</v>
      </c>
      <c r="M223">
        <v>5.3</v>
      </c>
      <c r="N223" s="1">
        <v>45323</v>
      </c>
      <c r="O223">
        <v>5.31</v>
      </c>
      <c r="P223" s="1">
        <v>45323</v>
      </c>
      <c r="Q223">
        <v>5.36</v>
      </c>
      <c r="R223" s="1">
        <v>45323</v>
      </c>
      <c r="S223">
        <v>5.4</v>
      </c>
      <c r="T223" s="1">
        <v>45323</v>
      </c>
      <c r="U223">
        <v>5.49</v>
      </c>
      <c r="V223" s="1">
        <v>45323</v>
      </c>
      <c r="W223">
        <v>5.5</v>
      </c>
      <c r="X223" s="1">
        <v>45323</v>
      </c>
      <c r="Y223">
        <f>NETWORKDAYS(X223,$Z$1,FERIADO!$A$2:$A$408)</f>
        <v>1748</v>
      </c>
      <c r="Z223">
        <v>10.43</v>
      </c>
      <c r="AA223" s="6">
        <f t="shared" si="29"/>
        <v>50248.856370134759</v>
      </c>
      <c r="AB223" s="2">
        <f t="shared" si="30"/>
        <v>1.2625913257740423E-3</v>
      </c>
      <c r="AJ223" s="1">
        <v>45323</v>
      </c>
      <c r="AK223">
        <f>NETWORKDAYS(AJ223,$AJ$1,FERIADO!$A$2:$A$408)</f>
        <v>735</v>
      </c>
      <c r="AL223">
        <v>9.75</v>
      </c>
      <c r="AM223" s="6">
        <f t="shared" si="31"/>
        <v>76234.833713343774</v>
      </c>
      <c r="AN223" s="2">
        <f t="shared" si="32"/>
        <v>6.2254392039143909E-4</v>
      </c>
      <c r="AP223" s="11">
        <f t="shared" si="33"/>
        <v>6.3129566288702113E-4</v>
      </c>
      <c r="AQ223" s="11">
        <f t="shared" si="34"/>
        <v>1.8676317611743173E-4</v>
      </c>
      <c r="AR223" s="11">
        <f t="shared" si="35"/>
        <v>8.1805883900445291E-4</v>
      </c>
    </row>
    <row r="224" spans="2:44" x14ac:dyDescent="0.35">
      <c r="B224" s="1">
        <v>45322</v>
      </c>
      <c r="C224">
        <v>5039.34</v>
      </c>
      <c r="D224" s="1">
        <v>45321</v>
      </c>
      <c r="E224">
        <v>4.9631999999999996</v>
      </c>
      <c r="F224" s="1">
        <v>45321</v>
      </c>
      <c r="G224">
        <v>111.59</v>
      </c>
      <c r="H224" s="4">
        <f t="shared" si="27"/>
        <v>553843.48800000001</v>
      </c>
      <c r="I224" s="5">
        <v>45322</v>
      </c>
      <c r="J224" s="4">
        <v>5121.47</v>
      </c>
      <c r="K224" s="4">
        <f t="shared" si="28"/>
        <v>51214.700000000004</v>
      </c>
      <c r="L224" s="1">
        <v>45322</v>
      </c>
      <c r="M224">
        <v>5.3</v>
      </c>
      <c r="N224" s="1">
        <v>45322</v>
      </c>
      <c r="O224">
        <v>5.28</v>
      </c>
      <c r="P224" s="1">
        <v>45322</v>
      </c>
      <c r="Q224">
        <v>5.35</v>
      </c>
      <c r="R224" s="1">
        <v>45322</v>
      </c>
      <c r="S224">
        <v>5.38</v>
      </c>
      <c r="T224" s="1">
        <v>45322</v>
      </c>
      <c r="U224">
        <v>5.49</v>
      </c>
      <c r="V224" s="1">
        <v>45322</v>
      </c>
      <c r="W224">
        <v>5.48</v>
      </c>
      <c r="X224" s="1">
        <v>45322</v>
      </c>
      <c r="Y224">
        <f>NETWORKDAYS(X224,$Z$1,FERIADO!$A$2:$A$408)</f>
        <v>1749</v>
      </c>
      <c r="Z224">
        <v>10.47</v>
      </c>
      <c r="AA224" s="6">
        <f t="shared" si="29"/>
        <v>50102.983835474653</v>
      </c>
      <c r="AB224" s="2">
        <f t="shared" si="30"/>
        <v>3.7186390252011603E-3</v>
      </c>
      <c r="AJ224" s="1">
        <v>45322</v>
      </c>
      <c r="AK224">
        <f>NETWORKDAYS(AJ224,$AJ$1,FERIADO!$A$2:$A$408)</f>
        <v>736</v>
      </c>
      <c r="AL224">
        <v>9.7899999999999991</v>
      </c>
      <c r="AM224" s="6">
        <f t="shared" si="31"/>
        <v>76125.632388447513</v>
      </c>
      <c r="AN224" s="2">
        <f t="shared" si="32"/>
        <v>1.3751073872200063E-3</v>
      </c>
      <c r="AP224" s="11">
        <f t="shared" si="33"/>
        <v>1.8593195126005802E-3</v>
      </c>
      <c r="AQ224" s="11">
        <f t="shared" si="34"/>
        <v>4.1253221616600189E-4</v>
      </c>
      <c r="AR224" s="11">
        <f t="shared" si="35"/>
        <v>2.2718517287665819E-3</v>
      </c>
    </row>
    <row r="225" spans="2:44" x14ac:dyDescent="0.35">
      <c r="B225" s="1">
        <v>45321</v>
      </c>
      <c r="C225">
        <v>5122.22</v>
      </c>
      <c r="D225" s="1">
        <v>45320</v>
      </c>
      <c r="E225">
        <v>4.9218999999999999</v>
      </c>
      <c r="F225" s="1">
        <v>45320</v>
      </c>
      <c r="G225">
        <v>111.60899999999999</v>
      </c>
      <c r="H225" s="4">
        <f t="shared" si="27"/>
        <v>549328.3371</v>
      </c>
      <c r="I225" s="5">
        <v>45321</v>
      </c>
      <c r="J225" s="4">
        <v>5128.18</v>
      </c>
      <c r="K225" s="4">
        <f t="shared" si="28"/>
        <v>51281.8</v>
      </c>
      <c r="L225" s="1">
        <v>45321</v>
      </c>
      <c r="M225">
        <v>5.28</v>
      </c>
      <c r="N225" s="1">
        <v>45321</v>
      </c>
      <c r="O225">
        <v>5.34</v>
      </c>
      <c r="P225" s="1">
        <v>45321</v>
      </c>
      <c r="Q225">
        <v>5.41</v>
      </c>
      <c r="R225" s="1">
        <v>45321</v>
      </c>
      <c r="S225">
        <v>5.42</v>
      </c>
      <c r="T225" s="1">
        <v>45321</v>
      </c>
      <c r="U225">
        <v>5.54</v>
      </c>
      <c r="V225" s="1">
        <v>45321</v>
      </c>
      <c r="W225">
        <v>5.53</v>
      </c>
      <c r="X225" s="1">
        <v>45321</v>
      </c>
      <c r="Y225">
        <f>NETWORKDAYS(X225,$Z$1,FERIADO!$A$2:$A$408)</f>
        <v>1750</v>
      </c>
      <c r="Z225">
        <v>10.6</v>
      </c>
      <c r="AA225" s="6">
        <f t="shared" si="29"/>
        <v>49675.809345874848</v>
      </c>
      <c r="AB225" s="2">
        <f t="shared" si="30"/>
        <v>-1.7368828797706963E-3</v>
      </c>
      <c r="AJ225" s="1">
        <v>45321</v>
      </c>
      <c r="AK225">
        <f>NETWORKDAYS(AJ225,$AJ$1,FERIADO!$A$2:$A$408)</f>
        <v>737</v>
      </c>
      <c r="AL225">
        <v>9.8949999999999996</v>
      </c>
      <c r="AM225" s="6">
        <f t="shared" si="31"/>
        <v>75884.976858863229</v>
      </c>
      <c r="AN225" s="2">
        <f t="shared" si="32"/>
        <v>-5.3198476227961464E-4</v>
      </c>
      <c r="AP225" s="11">
        <f t="shared" si="33"/>
        <v>-8.6844143988534816E-4</v>
      </c>
      <c r="AQ225" s="11">
        <f t="shared" si="34"/>
        <v>-1.5959542868388438E-4</v>
      </c>
      <c r="AR225" s="11">
        <f t="shared" si="35"/>
        <v>-1.0280368685692326E-3</v>
      </c>
    </row>
    <row r="226" spans="2:44" x14ac:dyDescent="0.35">
      <c r="B226" s="1">
        <v>45320</v>
      </c>
      <c r="C226">
        <v>5125.6400000000003</v>
      </c>
      <c r="D226" s="1">
        <v>45317</v>
      </c>
      <c r="E226">
        <v>4.9119000000000002</v>
      </c>
      <c r="F226" s="1">
        <v>45317</v>
      </c>
      <c r="G226">
        <v>111.119</v>
      </c>
      <c r="H226" s="4">
        <f t="shared" si="27"/>
        <v>545805.41610000003</v>
      </c>
      <c r="I226" s="5">
        <v>45320</v>
      </c>
      <c r="J226" s="4">
        <v>5129.22</v>
      </c>
      <c r="K226" s="4">
        <f t="shared" si="28"/>
        <v>51292.200000000004</v>
      </c>
      <c r="L226" s="1">
        <v>45320</v>
      </c>
      <c r="M226">
        <v>5.26</v>
      </c>
      <c r="N226" s="1">
        <v>45320</v>
      </c>
      <c r="O226">
        <v>5.33</v>
      </c>
      <c r="P226" s="1">
        <v>45320</v>
      </c>
      <c r="Q226">
        <v>5.38</v>
      </c>
      <c r="R226" s="1">
        <v>45320</v>
      </c>
      <c r="S226">
        <v>5.39</v>
      </c>
      <c r="T226" s="1">
        <v>45320</v>
      </c>
      <c r="U226">
        <v>5.51</v>
      </c>
      <c r="V226" s="1">
        <v>45320</v>
      </c>
      <c r="W226">
        <v>5.51</v>
      </c>
      <c r="X226" s="1">
        <v>45320</v>
      </c>
      <c r="Y226">
        <f>NETWORKDAYS(X226,$Z$1,FERIADO!$A$2:$A$408)</f>
        <v>1751</v>
      </c>
      <c r="Z226">
        <v>10.53</v>
      </c>
      <c r="AA226" s="6">
        <f t="shared" si="29"/>
        <v>49874.876636494439</v>
      </c>
      <c r="AB226" s="2">
        <f t="shared" si="30"/>
        <v>-9.2034923345555891E-4</v>
      </c>
      <c r="AJ226" s="1">
        <v>45320</v>
      </c>
      <c r="AK226">
        <f>NETWORKDAYS(AJ226,$AJ$1,FERIADO!$A$2:$A$408)</f>
        <v>738</v>
      </c>
      <c r="AL226">
        <v>9.8350000000000009</v>
      </c>
      <c r="AM226" s="6">
        <f t="shared" si="31"/>
        <v>75977.988371467844</v>
      </c>
      <c r="AN226" s="2">
        <f t="shared" si="32"/>
        <v>-3.6023232635328542E-4</v>
      </c>
      <c r="AP226" s="11">
        <f t="shared" si="33"/>
        <v>-4.6017461672777946E-4</v>
      </c>
      <c r="AQ226" s="11">
        <f t="shared" si="34"/>
        <v>-1.0806969790598562E-4</v>
      </c>
      <c r="AR226" s="11">
        <f t="shared" si="35"/>
        <v>-5.6824431463376509E-4</v>
      </c>
    </row>
    <row r="227" spans="2:44" x14ac:dyDescent="0.35">
      <c r="B227" s="1">
        <v>45317</v>
      </c>
      <c r="C227">
        <v>5081.1000000000004</v>
      </c>
      <c r="D227" s="1">
        <v>45316</v>
      </c>
      <c r="E227">
        <v>4.9226000000000001</v>
      </c>
      <c r="F227" s="1">
        <v>45316</v>
      </c>
      <c r="G227">
        <v>111.3</v>
      </c>
      <c r="H227" s="4">
        <f t="shared" si="27"/>
        <v>547885.37999999989</v>
      </c>
      <c r="I227" s="5">
        <v>45317</v>
      </c>
      <c r="J227" s="4">
        <v>5092.99</v>
      </c>
      <c r="K227" s="4">
        <f t="shared" si="28"/>
        <v>50929.899999999994</v>
      </c>
      <c r="L227" s="1">
        <v>45317</v>
      </c>
      <c r="M227">
        <v>5.23</v>
      </c>
      <c r="N227" s="1">
        <v>45317</v>
      </c>
      <c r="O227">
        <v>5.29</v>
      </c>
      <c r="P227" s="1">
        <v>45317</v>
      </c>
      <c r="Q227">
        <v>5.35</v>
      </c>
      <c r="R227" s="1">
        <v>45317</v>
      </c>
      <c r="S227">
        <v>5.38</v>
      </c>
      <c r="T227" s="1">
        <v>45317</v>
      </c>
      <c r="U227">
        <v>5.48</v>
      </c>
      <c r="V227" s="1">
        <v>45317</v>
      </c>
      <c r="W227">
        <v>5.48</v>
      </c>
      <c r="X227" s="1">
        <v>45317</v>
      </c>
      <c r="Y227">
        <f>NETWORKDAYS(X227,$Z$1,FERIADO!$A$2:$A$408)</f>
        <v>1752</v>
      </c>
      <c r="Z227">
        <v>10.49</v>
      </c>
      <c r="AA227" s="6">
        <f t="shared" si="29"/>
        <v>49980.682670072769</v>
      </c>
      <c r="AB227" s="2">
        <f t="shared" si="30"/>
        <v>9.9208870597765472E-4</v>
      </c>
      <c r="AJ227" s="1">
        <v>45317</v>
      </c>
      <c r="AK227">
        <f>NETWORKDAYS(AJ227,$AJ$1,FERIADO!$A$2:$A$408)</f>
        <v>739</v>
      </c>
      <c r="AL227">
        <v>9.7899999999999991</v>
      </c>
      <c r="AM227" s="6">
        <f t="shared" si="31"/>
        <v>76041.035642170711</v>
      </c>
      <c r="AN227" s="2">
        <f t="shared" si="32"/>
        <v>6.2551464203896017E-4</v>
      </c>
      <c r="AP227" s="11">
        <f t="shared" si="33"/>
        <v>4.9604435298882736E-4</v>
      </c>
      <c r="AQ227" s="11">
        <f t="shared" si="34"/>
        <v>1.8765439261168805E-4</v>
      </c>
      <c r="AR227" s="11">
        <f t="shared" si="35"/>
        <v>6.8369874560051541E-4</v>
      </c>
    </row>
    <row r="228" spans="2:44" x14ac:dyDescent="0.35">
      <c r="B228" s="1">
        <v>45316</v>
      </c>
      <c r="C228">
        <v>5096.8500000000004</v>
      </c>
      <c r="D228" s="1">
        <v>45315</v>
      </c>
      <c r="E228">
        <v>4.9185999999999996</v>
      </c>
      <c r="F228" s="1">
        <v>45315</v>
      </c>
      <c r="G228">
        <v>110.98</v>
      </c>
      <c r="H228" s="4">
        <f t="shared" si="27"/>
        <v>545866.228</v>
      </c>
      <c r="I228" s="5">
        <v>45316</v>
      </c>
      <c r="J228" s="4">
        <v>5093.51</v>
      </c>
      <c r="K228" s="4">
        <f t="shared" si="28"/>
        <v>50935.100000000006</v>
      </c>
      <c r="L228" s="1">
        <v>45316</v>
      </c>
      <c r="M228">
        <v>5.22</v>
      </c>
      <c r="N228" s="1">
        <v>45316</v>
      </c>
      <c r="O228">
        <v>5.27</v>
      </c>
      <c r="P228" s="1">
        <v>45316</v>
      </c>
      <c r="Q228">
        <v>5.32</v>
      </c>
      <c r="R228" s="1">
        <v>45316</v>
      </c>
      <c r="S228">
        <v>5.37</v>
      </c>
      <c r="T228" s="1">
        <v>45316</v>
      </c>
      <c r="U228">
        <v>5.48</v>
      </c>
      <c r="V228" s="1">
        <v>45316</v>
      </c>
      <c r="W228">
        <v>5.5</v>
      </c>
      <c r="X228" s="1">
        <v>45316</v>
      </c>
      <c r="Y228">
        <f>NETWORKDAYS(X228,$Z$1,FERIADO!$A$2:$A$408)</f>
        <v>1753</v>
      </c>
      <c r="Z228">
        <v>10.52</v>
      </c>
      <c r="AA228" s="6">
        <f t="shared" si="29"/>
        <v>49866.638673569752</v>
      </c>
      <c r="AB228" s="2">
        <f t="shared" si="30"/>
        <v>1.8129963912853167E-3</v>
      </c>
      <c r="AJ228" s="1">
        <v>45316</v>
      </c>
      <c r="AK228">
        <f>NETWORKDAYS(AJ228,$AJ$1,FERIADO!$A$2:$A$408)</f>
        <v>740</v>
      </c>
      <c r="AL228">
        <v>9.83</v>
      </c>
      <c r="AM228" s="6">
        <f t="shared" si="31"/>
        <v>75931.592520472666</v>
      </c>
      <c r="AN228" s="2">
        <f t="shared" si="32"/>
        <v>1.2657126400754716E-3</v>
      </c>
      <c r="AP228" s="11">
        <f t="shared" si="33"/>
        <v>9.0649819564265837E-4</v>
      </c>
      <c r="AQ228" s="11">
        <f t="shared" si="34"/>
        <v>3.7971379202264148E-4</v>
      </c>
      <c r="AR228" s="11">
        <f t="shared" si="35"/>
        <v>1.2862119876652998E-3</v>
      </c>
    </row>
    <row r="229" spans="2:44" x14ac:dyDescent="0.35">
      <c r="B229" s="1">
        <v>45315</v>
      </c>
      <c r="C229">
        <v>5067.76</v>
      </c>
      <c r="D229" s="1">
        <v>45314</v>
      </c>
      <c r="E229">
        <v>4.9709000000000003</v>
      </c>
      <c r="F229" s="1">
        <v>45314</v>
      </c>
      <c r="G229">
        <v>111.25</v>
      </c>
      <c r="H229" s="4">
        <f t="shared" si="27"/>
        <v>553012.62500000012</v>
      </c>
      <c r="I229" s="5">
        <v>45315</v>
      </c>
      <c r="J229" s="4">
        <v>5110.59</v>
      </c>
      <c r="K229" s="4">
        <f t="shared" si="28"/>
        <v>51105.9</v>
      </c>
      <c r="L229" s="1">
        <v>45315</v>
      </c>
      <c r="M229">
        <v>5.23</v>
      </c>
      <c r="N229" s="1">
        <v>45315</v>
      </c>
      <c r="O229">
        <v>5.31</v>
      </c>
      <c r="P229" s="1">
        <v>45315</v>
      </c>
      <c r="Q229">
        <v>5.36</v>
      </c>
      <c r="R229" s="1">
        <v>45315</v>
      </c>
      <c r="S229">
        <v>5.38</v>
      </c>
      <c r="T229" s="1">
        <v>45315</v>
      </c>
      <c r="U229">
        <v>5.49</v>
      </c>
      <c r="V229" s="1">
        <v>45315</v>
      </c>
      <c r="W229">
        <v>5.49</v>
      </c>
      <c r="X229" s="1">
        <v>45315</v>
      </c>
      <c r="Y229">
        <f>NETWORKDAYS(X229,$Z$1,FERIADO!$A$2:$A$408)</f>
        <v>1754</v>
      </c>
      <c r="Z229">
        <v>10.58</v>
      </c>
      <c r="AA229" s="6">
        <f t="shared" si="29"/>
        <v>49658.900389253366</v>
      </c>
      <c r="AB229" s="2">
        <f t="shared" si="30"/>
        <v>1.5405956340633611E-3</v>
      </c>
      <c r="AJ229" s="1">
        <v>45315</v>
      </c>
      <c r="AK229">
        <f>NETWORKDAYS(AJ229,$AJ$1,FERIADO!$A$2:$A$408)</f>
        <v>741</v>
      </c>
      <c r="AL229">
        <v>9.9250000000000007</v>
      </c>
      <c r="AM229" s="6">
        <f t="shared" si="31"/>
        <v>75710.618808175364</v>
      </c>
      <c r="AN229" s="2">
        <f t="shared" si="32"/>
        <v>6.8645849228777189E-4</v>
      </c>
      <c r="AP229" s="11">
        <f t="shared" si="33"/>
        <v>7.7029781703168057E-4</v>
      </c>
      <c r="AQ229" s="11">
        <f t="shared" si="34"/>
        <v>2.0593754768633157E-4</v>
      </c>
      <c r="AR229" s="11">
        <f t="shared" si="35"/>
        <v>9.7623536471801208E-4</v>
      </c>
    </row>
    <row r="230" spans="2:44" x14ac:dyDescent="0.35">
      <c r="B230" s="1">
        <v>45314</v>
      </c>
      <c r="C230">
        <v>5067.2</v>
      </c>
      <c r="D230" s="1">
        <v>45313</v>
      </c>
      <c r="E230">
        <v>4.9484000000000004</v>
      </c>
      <c r="F230" s="1">
        <v>45313</v>
      </c>
      <c r="G230">
        <v>111.43</v>
      </c>
      <c r="H230" s="4">
        <f t="shared" si="27"/>
        <v>551400.21200000017</v>
      </c>
      <c r="I230" s="5">
        <v>45314</v>
      </c>
      <c r="J230" s="4">
        <v>5131.8100000000004</v>
      </c>
      <c r="K230" s="4">
        <f t="shared" si="28"/>
        <v>51318.100000000006</v>
      </c>
      <c r="L230" s="1">
        <v>45314</v>
      </c>
      <c r="M230">
        <v>5.23</v>
      </c>
      <c r="N230" s="1">
        <v>45314</v>
      </c>
      <c r="O230">
        <v>5.32</v>
      </c>
      <c r="P230" s="1">
        <v>45314</v>
      </c>
      <c r="Q230">
        <v>5.37</v>
      </c>
      <c r="R230" s="1">
        <v>45314</v>
      </c>
      <c r="S230">
        <v>5.39</v>
      </c>
      <c r="T230" s="1">
        <v>45314</v>
      </c>
      <c r="U230">
        <v>5.48</v>
      </c>
      <c r="V230" s="1">
        <v>45314</v>
      </c>
      <c r="W230">
        <v>5.5</v>
      </c>
      <c r="X230" s="1">
        <v>45314</v>
      </c>
      <c r="Y230">
        <f>NETWORKDAYS(X230,$Z$1,FERIADO!$A$2:$A$408)</f>
        <v>1755</v>
      </c>
      <c r="Z230">
        <v>10.63</v>
      </c>
      <c r="AA230" s="6">
        <f t="shared" si="29"/>
        <v>49483.05484023477</v>
      </c>
      <c r="AB230" s="2">
        <f t="shared" si="30"/>
        <v>4.4763564623833015E-4</v>
      </c>
      <c r="AJ230" s="1">
        <v>45314</v>
      </c>
      <c r="AK230">
        <f>NETWORKDAYS(AJ230,$AJ$1,FERIADO!$A$2:$A$408)</f>
        <v>742</v>
      </c>
      <c r="AL230">
        <v>9.9700000000000006</v>
      </c>
      <c r="AM230" s="6">
        <f t="shared" si="31"/>
        <v>75591.04292901895</v>
      </c>
      <c r="AN230" s="2">
        <f t="shared" si="32"/>
        <v>1.0556579823214515E-4</v>
      </c>
      <c r="AP230" s="11">
        <f t="shared" si="33"/>
        <v>2.2381782311916507E-4</v>
      </c>
      <c r="AQ230" s="11">
        <f t="shared" si="34"/>
        <v>3.1669739469643543E-5</v>
      </c>
      <c r="AR230" s="11">
        <f t="shared" si="35"/>
        <v>2.5548756258880864E-4</v>
      </c>
    </row>
    <row r="231" spans="2:44" x14ac:dyDescent="0.35">
      <c r="B231" s="1">
        <v>45313</v>
      </c>
      <c r="C231">
        <v>5045.6899999999996</v>
      </c>
      <c r="D231" s="1">
        <v>45310</v>
      </c>
      <c r="E231">
        <v>4.9217000000000004</v>
      </c>
      <c r="F231" s="1">
        <v>45310</v>
      </c>
      <c r="G231">
        <v>111.129</v>
      </c>
      <c r="H231" s="4">
        <f t="shared" si="27"/>
        <v>546943.59930000012</v>
      </c>
      <c r="I231" s="5">
        <v>45313</v>
      </c>
      <c r="J231" s="4">
        <v>5173.21</v>
      </c>
      <c r="K231" s="4">
        <f t="shared" si="28"/>
        <v>51732.1</v>
      </c>
      <c r="L231" s="1">
        <v>45313</v>
      </c>
      <c r="M231">
        <v>5.28</v>
      </c>
      <c r="N231" s="1">
        <v>45313</v>
      </c>
      <c r="O231">
        <v>5.36</v>
      </c>
      <c r="P231" s="1">
        <v>45313</v>
      </c>
      <c r="Q231">
        <v>5.39</v>
      </c>
      <c r="R231" s="1">
        <v>45313</v>
      </c>
      <c r="S231">
        <v>5.41</v>
      </c>
      <c r="T231" s="1">
        <v>45313</v>
      </c>
      <c r="U231">
        <v>5.49</v>
      </c>
      <c r="V231" s="1">
        <v>45313</v>
      </c>
      <c r="W231">
        <v>5.52</v>
      </c>
      <c r="X231" s="1">
        <v>45313</v>
      </c>
      <c r="Y231">
        <f>NETWORKDAYS(X231,$Z$1,FERIADO!$A$2:$A$408)</f>
        <v>1756</v>
      </c>
      <c r="Z231">
        <v>10.64</v>
      </c>
      <c r="AA231" s="6">
        <f t="shared" si="29"/>
        <v>49432.077983137613</v>
      </c>
      <c r="AB231" s="2">
        <f t="shared" si="30"/>
        <v>-2.2898694468930186E-3</v>
      </c>
      <c r="AJ231" s="1">
        <v>45313</v>
      </c>
      <c r="AK231">
        <f>NETWORKDAYS(AJ231,$AJ$1,FERIADO!$A$2:$A$408)</f>
        <v>743</v>
      </c>
      <c r="AL231">
        <v>9.9649999999999999</v>
      </c>
      <c r="AM231" s="6">
        <f t="shared" si="31"/>
        <v>75572.670927182247</v>
      </c>
      <c r="AN231" s="2">
        <f t="shared" si="32"/>
        <v>-8.277833908379331E-4</v>
      </c>
      <c r="AP231" s="11">
        <f t="shared" si="33"/>
        <v>-1.1449347234465093E-3</v>
      </c>
      <c r="AQ231" s="11">
        <f t="shared" si="34"/>
        <v>-2.4833501725137993E-4</v>
      </c>
      <c r="AR231" s="11">
        <f t="shared" si="35"/>
        <v>-1.3932697406978892E-3</v>
      </c>
    </row>
    <row r="232" spans="2:44" x14ac:dyDescent="0.35">
      <c r="B232" s="1">
        <v>45310</v>
      </c>
      <c r="C232">
        <v>5041.84</v>
      </c>
      <c r="D232" s="1">
        <v>45309</v>
      </c>
      <c r="E232">
        <v>4.9397000000000002</v>
      </c>
      <c r="F232" s="1">
        <v>45309</v>
      </c>
      <c r="G232">
        <v>111.286</v>
      </c>
      <c r="H232" s="4">
        <f t="shared" si="27"/>
        <v>549719.45419999992</v>
      </c>
      <c r="I232" s="5">
        <v>45310</v>
      </c>
      <c r="J232" s="4">
        <v>5112.1400000000003</v>
      </c>
      <c r="K232" s="4">
        <f t="shared" si="28"/>
        <v>51121.4</v>
      </c>
      <c r="L232" s="1">
        <v>45310</v>
      </c>
      <c r="M232">
        <v>5.26</v>
      </c>
      <c r="N232" s="1">
        <v>45310</v>
      </c>
      <c r="O232">
        <v>5.33</v>
      </c>
      <c r="P232" s="1">
        <v>45310</v>
      </c>
      <c r="Q232">
        <v>5.37</v>
      </c>
      <c r="R232" s="1">
        <v>45310</v>
      </c>
      <c r="S232">
        <v>5.38</v>
      </c>
      <c r="T232" s="1">
        <v>45310</v>
      </c>
      <c r="U232">
        <v>5.5</v>
      </c>
      <c r="V232" s="1">
        <v>45310</v>
      </c>
      <c r="W232">
        <v>5.51</v>
      </c>
      <c r="X232" s="1">
        <v>45310</v>
      </c>
      <c r="Y232">
        <f>NETWORKDAYS(X232,$Z$1,FERIADO!$A$2:$A$408)</f>
        <v>1757</v>
      </c>
      <c r="Z232">
        <v>10.55</v>
      </c>
      <c r="AA232" s="6">
        <f t="shared" si="29"/>
        <v>49693.402837057627</v>
      </c>
      <c r="AB232" s="2">
        <f t="shared" si="30"/>
        <v>1.5428368323540827E-3</v>
      </c>
      <c r="AJ232" s="1">
        <v>45310</v>
      </c>
      <c r="AK232">
        <f>NETWORKDAYS(AJ232,$AJ$1,FERIADO!$A$2:$A$408)</f>
        <v>744</v>
      </c>
      <c r="AL232">
        <v>9.8800000000000008</v>
      </c>
      <c r="AM232" s="6">
        <f t="shared" si="31"/>
        <v>75716.852953871683</v>
      </c>
      <c r="AN232" s="2">
        <f t="shared" si="32"/>
        <v>6.296826632021822E-4</v>
      </c>
      <c r="AP232" s="11">
        <f t="shared" si="33"/>
        <v>7.7141841617704135E-4</v>
      </c>
      <c r="AQ232" s="11">
        <f t="shared" si="34"/>
        <v>1.8890479896065465E-4</v>
      </c>
      <c r="AR232" s="11">
        <f t="shared" si="35"/>
        <v>9.6032321513769598E-4</v>
      </c>
    </row>
    <row r="233" spans="2:44" x14ac:dyDescent="0.35">
      <c r="B233" s="1">
        <v>45309</v>
      </c>
      <c r="C233">
        <v>4981.18</v>
      </c>
      <c r="D233" s="1">
        <v>45308</v>
      </c>
      <c r="E233">
        <v>4.9340000000000002</v>
      </c>
      <c r="F233" s="1">
        <v>45308</v>
      </c>
      <c r="G233">
        <v>111.47799999999999</v>
      </c>
      <c r="H233" s="4">
        <f t="shared" si="27"/>
        <v>550032.45200000005</v>
      </c>
      <c r="I233" s="5">
        <v>45309</v>
      </c>
      <c r="J233" s="4">
        <v>5110.07</v>
      </c>
      <c r="K233" s="4">
        <f t="shared" si="28"/>
        <v>51100.7</v>
      </c>
      <c r="L233" s="1">
        <v>45309</v>
      </c>
      <c r="M233">
        <v>5.24</v>
      </c>
      <c r="N233" s="1">
        <v>45309</v>
      </c>
      <c r="O233">
        <v>5.32</v>
      </c>
      <c r="P233" s="1">
        <v>45309</v>
      </c>
      <c r="Q233">
        <v>5.36</v>
      </c>
      <c r="R233" s="1">
        <v>45309</v>
      </c>
      <c r="S233">
        <v>5.39</v>
      </c>
      <c r="T233" s="1">
        <v>45309</v>
      </c>
      <c r="U233">
        <v>5.5</v>
      </c>
      <c r="V233" s="1">
        <v>45309</v>
      </c>
      <c r="W233">
        <v>5.51</v>
      </c>
      <c r="X233" s="1">
        <v>45309</v>
      </c>
      <c r="Y233">
        <f>NETWORKDAYS(X233,$Z$1,FERIADO!$A$2:$A$408)</f>
        <v>1758</v>
      </c>
      <c r="Z233">
        <v>10.6</v>
      </c>
      <c r="AA233" s="6">
        <f t="shared" si="29"/>
        <v>49517.179575991802</v>
      </c>
      <c r="AB233" s="2">
        <f t="shared" si="30"/>
        <v>-1.0047175109752817E-4</v>
      </c>
      <c r="AJ233" s="1">
        <v>45309</v>
      </c>
      <c r="AK233">
        <f>NETWORKDAYS(AJ233,$AJ$1,FERIADO!$A$2:$A$408)</f>
        <v>745</v>
      </c>
      <c r="AL233">
        <v>9.92</v>
      </c>
      <c r="AM233" s="6">
        <f t="shared" si="31"/>
        <v>75607.15079443311</v>
      </c>
      <c r="AN233" s="2">
        <f t="shared" si="32"/>
        <v>2.2148267306312179E-4</v>
      </c>
      <c r="AP233" s="11">
        <f t="shared" si="33"/>
        <v>-5.0235875548764087E-5</v>
      </c>
      <c r="AQ233" s="11">
        <f t="shared" si="34"/>
        <v>6.6444801918936531E-5</v>
      </c>
      <c r="AR233" s="11">
        <f t="shared" si="35"/>
        <v>1.6208926370172444E-5</v>
      </c>
    </row>
    <row r="234" spans="2:44" x14ac:dyDescent="0.35">
      <c r="B234" s="1">
        <v>45308</v>
      </c>
      <c r="C234">
        <v>4936.6000000000004</v>
      </c>
      <c r="D234" s="1">
        <v>45307</v>
      </c>
      <c r="E234">
        <v>4.9032</v>
      </c>
      <c r="F234" s="1">
        <v>45307</v>
      </c>
      <c r="G234">
        <v>111.861</v>
      </c>
      <c r="H234" s="4">
        <f t="shared" si="27"/>
        <v>548476.85519999999</v>
      </c>
      <c r="I234" s="5">
        <v>45308</v>
      </c>
      <c r="J234" s="4">
        <v>5120.9399999999996</v>
      </c>
      <c r="K234" s="4">
        <f t="shared" si="28"/>
        <v>51209.399999999994</v>
      </c>
      <c r="L234" s="1">
        <v>45308</v>
      </c>
      <c r="M234">
        <v>5.26</v>
      </c>
      <c r="N234" s="1">
        <v>45308</v>
      </c>
      <c r="O234">
        <v>5.31</v>
      </c>
      <c r="P234" s="1">
        <v>45308</v>
      </c>
      <c r="Q234">
        <v>5.35</v>
      </c>
      <c r="R234" s="1">
        <v>45308</v>
      </c>
      <c r="S234">
        <v>5.37</v>
      </c>
      <c r="T234" s="1">
        <v>45308</v>
      </c>
      <c r="U234">
        <v>5.48</v>
      </c>
      <c r="V234" s="1">
        <v>45308</v>
      </c>
      <c r="W234">
        <v>5.52</v>
      </c>
      <c r="X234" s="1">
        <v>45308</v>
      </c>
      <c r="Y234">
        <f>NETWORKDAYS(X234,$Z$1,FERIADO!$A$2:$A$408)</f>
        <v>1759</v>
      </c>
      <c r="Z234">
        <v>10.59</v>
      </c>
      <c r="AA234" s="6">
        <f t="shared" si="29"/>
        <v>49528.636441027389</v>
      </c>
      <c r="AB234" s="2">
        <f t="shared" si="30"/>
        <v>1.7347562722713324E-4</v>
      </c>
      <c r="AJ234" s="1">
        <v>45308</v>
      </c>
      <c r="AK234">
        <f>NETWORKDAYS(AJ234,$AJ$1,FERIADO!$A$2:$A$408)</f>
        <v>746</v>
      </c>
      <c r="AL234">
        <v>9.9250000000000007</v>
      </c>
      <c r="AM234" s="6">
        <f t="shared" si="31"/>
        <v>75568.602285801229</v>
      </c>
      <c r="AN234" s="2">
        <f t="shared" si="32"/>
        <v>6.3145104761661388E-4</v>
      </c>
      <c r="AP234" s="11">
        <f t="shared" si="33"/>
        <v>8.6737813613566622E-5</v>
      </c>
      <c r="AQ234" s="11">
        <f t="shared" si="34"/>
        <v>1.8943531428498416E-4</v>
      </c>
      <c r="AR234" s="11">
        <f t="shared" si="35"/>
        <v>2.761731278985508E-4</v>
      </c>
    </row>
    <row r="235" spans="2:44" x14ac:dyDescent="0.35">
      <c r="B235" s="1">
        <v>45307</v>
      </c>
      <c r="C235">
        <v>4965.58</v>
      </c>
      <c r="D235" s="1">
        <v>45306</v>
      </c>
      <c r="E235">
        <v>4.8758999999999997</v>
      </c>
      <c r="F235" s="1">
        <v>45306</v>
      </c>
      <c r="G235">
        <v>112.55</v>
      </c>
      <c r="H235" s="4">
        <f t="shared" si="27"/>
        <v>548782.54499999993</v>
      </c>
      <c r="I235" s="5">
        <v>45307</v>
      </c>
      <c r="J235" s="4">
        <v>5109.55</v>
      </c>
      <c r="K235" s="4">
        <f t="shared" si="28"/>
        <v>51095.5</v>
      </c>
      <c r="L235" s="1">
        <v>45307</v>
      </c>
      <c r="M235">
        <v>5.21</v>
      </c>
      <c r="N235" s="1">
        <v>45307</v>
      </c>
      <c r="O235">
        <v>5.28</v>
      </c>
      <c r="P235" s="1">
        <v>45307</v>
      </c>
      <c r="Q235">
        <v>5.29</v>
      </c>
      <c r="R235" s="1">
        <v>45307</v>
      </c>
      <c r="S235">
        <v>5.34</v>
      </c>
      <c r="T235" s="1">
        <v>45307</v>
      </c>
      <c r="U235">
        <v>5.43</v>
      </c>
      <c r="V235" s="1">
        <v>45307</v>
      </c>
      <c r="W235">
        <v>5.48</v>
      </c>
      <c r="X235" s="1">
        <v>45307</v>
      </c>
      <c r="Y235">
        <f>NETWORKDAYS(X235,$Z$1,FERIADO!$A$2:$A$408)</f>
        <v>1760</v>
      </c>
      <c r="Z235">
        <v>10.59</v>
      </c>
      <c r="AA235" s="6">
        <f t="shared" si="29"/>
        <v>49508.856554678496</v>
      </c>
      <c r="AB235" s="2">
        <f t="shared" si="30"/>
        <v>-5.0451267552896716E-3</v>
      </c>
      <c r="AJ235" s="1">
        <v>45307</v>
      </c>
      <c r="AK235">
        <f>NETWORKDAYS(AJ235,$AJ$1,FERIADO!$A$2:$A$408)</f>
        <v>747</v>
      </c>
      <c r="AL235">
        <v>9.9649999999999999</v>
      </c>
      <c r="AM235" s="6">
        <f t="shared" si="31"/>
        <v>75458.807660952254</v>
      </c>
      <c r="AN235" s="2">
        <f t="shared" si="32"/>
        <v>-2.0068337473589486E-3</v>
      </c>
      <c r="AP235" s="11">
        <f t="shared" si="33"/>
        <v>-2.5225633776448358E-3</v>
      </c>
      <c r="AQ235" s="11">
        <f t="shared" si="34"/>
        <v>-6.0205012420768453E-4</v>
      </c>
      <c r="AR235" s="11">
        <f t="shared" si="35"/>
        <v>-3.1246135018525205E-3</v>
      </c>
    </row>
    <row r="236" spans="2:44" x14ac:dyDescent="0.35">
      <c r="B236" s="1">
        <v>45306</v>
      </c>
      <c r="C236">
        <v>4978.1899999999996</v>
      </c>
      <c r="D236" s="1">
        <v>45303</v>
      </c>
      <c r="E236">
        <v>4.8536999999999999</v>
      </c>
      <c r="F236" s="1">
        <v>45303</v>
      </c>
      <c r="G236">
        <v>112.556</v>
      </c>
      <c r="H236" s="4">
        <f t="shared" si="27"/>
        <v>546313.05720000004</v>
      </c>
      <c r="I236" s="5">
        <v>45306</v>
      </c>
      <c r="J236" s="4">
        <v>5042.26</v>
      </c>
      <c r="K236" s="4">
        <f t="shared" si="28"/>
        <v>50422.600000000006</v>
      </c>
      <c r="L236" s="1">
        <v>45306</v>
      </c>
      <c r="M236">
        <v>5.0599999999999996</v>
      </c>
      <c r="N236" s="1">
        <v>45306</v>
      </c>
      <c r="O236">
        <v>5.16</v>
      </c>
      <c r="P236" s="1">
        <v>45306</v>
      </c>
      <c r="Q236">
        <v>5.2</v>
      </c>
      <c r="R236" s="1">
        <v>45306</v>
      </c>
      <c r="S236">
        <v>5.22</v>
      </c>
      <c r="T236" s="1">
        <v>45306</v>
      </c>
      <c r="U236">
        <v>5.33</v>
      </c>
      <c r="V236" s="1">
        <v>45306</v>
      </c>
      <c r="W236">
        <v>5.39</v>
      </c>
      <c r="X236" s="1">
        <v>45306</v>
      </c>
      <c r="Y236">
        <f>NETWORKDAYS(X236,$Z$1,FERIADO!$A$2:$A$408)</f>
        <v>1761</v>
      </c>
      <c r="Z236">
        <v>10.4</v>
      </c>
      <c r="AA236" s="6">
        <f t="shared" si="29"/>
        <v>50087.346309926863</v>
      </c>
      <c r="AB236" s="2">
        <f t="shared" si="30"/>
        <v>4.4555540906538192E-4</v>
      </c>
      <c r="AJ236" s="1">
        <v>45306</v>
      </c>
      <c r="AK236">
        <f>NETWORKDAYS(AJ236,$AJ$1,FERIADO!$A$2:$A$408)</f>
        <v>748</v>
      </c>
      <c r="AL236">
        <v>9.7799999999999994</v>
      </c>
      <c r="AM236" s="6">
        <f t="shared" si="31"/>
        <v>75808.302547618616</v>
      </c>
      <c r="AN236" s="2">
        <f t="shared" si="32"/>
        <v>1.6080645414925251E-4</v>
      </c>
      <c r="AP236" s="11">
        <f t="shared" si="33"/>
        <v>2.2277770453269096E-4</v>
      </c>
      <c r="AQ236" s="11">
        <f t="shared" si="34"/>
        <v>4.8241936244775752E-5</v>
      </c>
      <c r="AR236" s="11">
        <f t="shared" si="35"/>
        <v>2.7101964077746673E-4</v>
      </c>
    </row>
    <row r="237" spans="2:44" x14ac:dyDescent="0.35">
      <c r="B237" s="1">
        <v>45303</v>
      </c>
      <c r="C237">
        <v>4985.42</v>
      </c>
      <c r="D237" s="1">
        <v>45302</v>
      </c>
      <c r="E237">
        <v>4.8788</v>
      </c>
      <c r="F237" s="1">
        <v>45302</v>
      </c>
      <c r="G237">
        <v>112.256</v>
      </c>
      <c r="H237" s="4">
        <f t="shared" si="27"/>
        <v>547674.57279999997</v>
      </c>
      <c r="I237" s="5">
        <v>45303</v>
      </c>
      <c r="J237" s="4">
        <v>5036.57</v>
      </c>
      <c r="K237" s="4">
        <f t="shared" si="28"/>
        <v>50365.7</v>
      </c>
      <c r="L237" s="1">
        <v>45303</v>
      </c>
      <c r="M237">
        <v>5.07</v>
      </c>
      <c r="N237" s="1">
        <v>45303</v>
      </c>
      <c r="O237">
        <v>5.17</v>
      </c>
      <c r="P237" s="1">
        <v>45303</v>
      </c>
      <c r="Q237">
        <v>5.19</v>
      </c>
      <c r="R237" s="1">
        <v>45303</v>
      </c>
      <c r="S237">
        <v>5.22</v>
      </c>
      <c r="T237" s="1">
        <v>45303</v>
      </c>
      <c r="U237">
        <v>5.33</v>
      </c>
      <c r="V237" s="1">
        <v>45303</v>
      </c>
      <c r="W237">
        <v>5.36</v>
      </c>
      <c r="X237" s="1">
        <v>45303</v>
      </c>
      <c r="Y237">
        <f>NETWORKDAYS(X237,$Z$1,FERIADO!$A$2:$A$408)</f>
        <v>1762</v>
      </c>
      <c r="Z237">
        <v>10.41</v>
      </c>
      <c r="AA237" s="6">
        <f t="shared" si="29"/>
        <v>50035.986586868108</v>
      </c>
      <c r="AB237" s="2">
        <f t="shared" si="30"/>
        <v>9.961166973970145E-4</v>
      </c>
      <c r="AJ237" s="1">
        <v>45303</v>
      </c>
      <c r="AK237">
        <f>NETWORKDAYS(AJ237,$AJ$1,FERIADO!$A$2:$A$408)</f>
        <v>749</v>
      </c>
      <c r="AL237">
        <v>9.7799999999999994</v>
      </c>
      <c r="AM237" s="6">
        <f t="shared" si="31"/>
        <v>75780.23816220912</v>
      </c>
      <c r="AN237" s="2">
        <f t="shared" si="32"/>
        <v>9.2588605812581558E-4</v>
      </c>
      <c r="AP237" s="11">
        <f t="shared" si="33"/>
        <v>4.9805834869850725E-4</v>
      </c>
      <c r="AQ237" s="11">
        <f t="shared" si="34"/>
        <v>2.7776581743774469E-4</v>
      </c>
      <c r="AR237" s="11">
        <f t="shared" si="35"/>
        <v>7.7582416613625194E-4</v>
      </c>
    </row>
    <row r="238" spans="2:44" x14ac:dyDescent="0.35">
      <c r="B238" s="1">
        <v>45302</v>
      </c>
      <c r="C238">
        <v>4979.6499999999996</v>
      </c>
      <c r="D238" s="1">
        <v>45301</v>
      </c>
      <c r="E238">
        <v>4.8895</v>
      </c>
      <c r="F238" s="1">
        <v>45301</v>
      </c>
      <c r="G238">
        <v>111.87</v>
      </c>
      <c r="H238" s="4">
        <f t="shared" si="27"/>
        <v>546988.36499999999</v>
      </c>
      <c r="I238" s="5">
        <v>45302</v>
      </c>
      <c r="J238" s="4">
        <v>5055.2</v>
      </c>
      <c r="K238" s="4">
        <f t="shared" si="28"/>
        <v>50552</v>
      </c>
      <c r="L238" s="1">
        <v>45302</v>
      </c>
      <c r="M238">
        <v>5.12</v>
      </c>
      <c r="N238" s="1">
        <v>45302</v>
      </c>
      <c r="O238">
        <v>5.21</v>
      </c>
      <c r="P238" s="1">
        <v>45302</v>
      </c>
      <c r="Q238">
        <v>5.23</v>
      </c>
      <c r="R238" s="1">
        <v>45302</v>
      </c>
      <c r="S238">
        <v>5.24</v>
      </c>
      <c r="T238" s="1">
        <v>45302</v>
      </c>
      <c r="U238">
        <v>5.34</v>
      </c>
      <c r="V238" s="1">
        <v>45302</v>
      </c>
      <c r="W238">
        <v>5.37</v>
      </c>
      <c r="X238" s="1">
        <v>45302</v>
      </c>
      <c r="Y238">
        <f>NETWORKDAYS(X238,$Z$1,FERIADO!$A$2:$A$408)</f>
        <v>1763</v>
      </c>
      <c r="Z238">
        <v>10.44</v>
      </c>
      <c r="AA238" s="6">
        <f t="shared" si="29"/>
        <v>49921.353387652045</v>
      </c>
      <c r="AB238" s="2">
        <f t="shared" si="30"/>
        <v>9.9682878867821904E-4</v>
      </c>
      <c r="AJ238" s="1">
        <v>45302</v>
      </c>
      <c r="AK238">
        <f>NETWORKDAYS(AJ238,$AJ$1,FERIADO!$A$2:$A$408)</f>
        <v>750</v>
      </c>
      <c r="AL238">
        <v>9.8450000000000006</v>
      </c>
      <c r="AM238" s="6">
        <f t="shared" si="31"/>
        <v>75618.851983560773</v>
      </c>
      <c r="AN238" s="2">
        <f t="shared" si="32"/>
        <v>5.7415403866105125E-4</v>
      </c>
      <c r="AP238" s="11">
        <f t="shared" si="33"/>
        <v>4.9841439433910952E-4</v>
      </c>
      <c r="AQ238" s="11">
        <f t="shared" si="34"/>
        <v>1.7224621159831537E-4</v>
      </c>
      <c r="AR238" s="11">
        <f t="shared" si="35"/>
        <v>6.7066060593742492E-4</v>
      </c>
    </row>
    <row r="239" spans="2:44" x14ac:dyDescent="0.35">
      <c r="B239" s="1">
        <v>45301</v>
      </c>
      <c r="C239">
        <v>4991.53</v>
      </c>
      <c r="D239" s="1">
        <v>45300</v>
      </c>
      <c r="E239">
        <v>4.8930999999999996</v>
      </c>
      <c r="F239" s="1">
        <v>45300</v>
      </c>
      <c r="G239">
        <v>111.95</v>
      </c>
      <c r="H239" s="4">
        <f t="shared" si="27"/>
        <v>547782.54499999993</v>
      </c>
      <c r="I239" s="5">
        <v>45301</v>
      </c>
      <c r="J239" s="4">
        <v>5079.01</v>
      </c>
      <c r="K239" s="4">
        <f t="shared" si="28"/>
        <v>50790.100000000006</v>
      </c>
      <c r="L239" s="1">
        <v>45301</v>
      </c>
      <c r="M239">
        <v>5.14</v>
      </c>
      <c r="N239" s="1">
        <v>45301</v>
      </c>
      <c r="O239">
        <v>5.22</v>
      </c>
      <c r="P239" s="1">
        <v>45301</v>
      </c>
      <c r="Q239">
        <v>5.24</v>
      </c>
      <c r="R239" s="1">
        <v>45301</v>
      </c>
      <c r="S239">
        <v>5.26</v>
      </c>
      <c r="T239" s="1">
        <v>45301</v>
      </c>
      <c r="U239">
        <v>5.37</v>
      </c>
      <c r="V239" s="1">
        <v>45301</v>
      </c>
      <c r="W239">
        <v>5.39</v>
      </c>
      <c r="X239" s="1">
        <v>45301</v>
      </c>
      <c r="Y239">
        <f>NETWORKDAYS(X239,$Z$1,FERIADO!$A$2:$A$408)</f>
        <v>1764</v>
      </c>
      <c r="Z239">
        <v>10.47</v>
      </c>
      <c r="AA239" s="6">
        <f t="shared" si="29"/>
        <v>49806.901148831967</v>
      </c>
      <c r="AB239" s="2">
        <f t="shared" si="30"/>
        <v>1.5480400814702458E-3</v>
      </c>
      <c r="AJ239" s="1">
        <v>45301</v>
      </c>
      <c r="AK239">
        <f>NETWORKDAYS(AJ239,$AJ$1,FERIADO!$A$2:$A$408)</f>
        <v>751</v>
      </c>
      <c r="AL239">
        <v>9.8800000000000008</v>
      </c>
      <c r="AM239" s="6">
        <f t="shared" si="31"/>
        <v>75518.947001275112</v>
      </c>
      <c r="AN239" s="2">
        <f t="shared" si="32"/>
        <v>2.8031616183390968E-4</v>
      </c>
      <c r="AP239" s="11">
        <f t="shared" si="33"/>
        <v>7.740200407351229E-4</v>
      </c>
      <c r="AQ239" s="11">
        <f t="shared" si="34"/>
        <v>8.4094848550172902E-5</v>
      </c>
      <c r="AR239" s="11">
        <f t="shared" si="35"/>
        <v>8.5811488928529578E-4</v>
      </c>
    </row>
    <row r="240" spans="2:44" x14ac:dyDescent="0.35">
      <c r="B240" s="1">
        <v>45300</v>
      </c>
      <c r="C240">
        <v>4959.91</v>
      </c>
      <c r="D240" s="1">
        <v>45299</v>
      </c>
      <c r="E240">
        <v>4.8844000000000003</v>
      </c>
      <c r="F240" s="1">
        <v>45299</v>
      </c>
      <c r="G240">
        <v>111.919</v>
      </c>
      <c r="H240" s="4">
        <f t="shared" si="27"/>
        <v>546657.16359999997</v>
      </c>
      <c r="I240" s="5">
        <v>45300</v>
      </c>
      <c r="J240" s="4">
        <v>5091.95</v>
      </c>
      <c r="K240" s="4">
        <f t="shared" si="28"/>
        <v>50919.5</v>
      </c>
      <c r="L240" s="1">
        <v>45300</v>
      </c>
      <c r="M240">
        <v>5.13</v>
      </c>
      <c r="N240" s="1">
        <v>45300</v>
      </c>
      <c r="O240">
        <v>5.2</v>
      </c>
      <c r="P240" s="1">
        <v>45300</v>
      </c>
      <c r="Q240">
        <v>5.24</v>
      </c>
      <c r="R240" s="1">
        <v>45300</v>
      </c>
      <c r="S240">
        <v>5.27</v>
      </c>
      <c r="T240" s="1">
        <v>45300</v>
      </c>
      <c r="U240">
        <v>5.37</v>
      </c>
      <c r="V240" s="1">
        <v>45300</v>
      </c>
      <c r="W240">
        <v>5.4</v>
      </c>
      <c r="X240" s="1">
        <v>45300</v>
      </c>
      <c r="Y240">
        <f>NETWORKDAYS(X240,$Z$1,FERIADO!$A$2:$A$408)</f>
        <v>1765</v>
      </c>
      <c r="Z240">
        <v>10.52</v>
      </c>
      <c r="AA240" s="6">
        <f t="shared" si="29"/>
        <v>49629.680785886383</v>
      </c>
      <c r="AB240" s="2">
        <f t="shared" si="30"/>
        <v>1.7238442954151353E-4</v>
      </c>
      <c r="AJ240" s="1">
        <v>45300</v>
      </c>
      <c r="AK240">
        <f>NETWORKDAYS(AJ240,$AJ$1,FERIADO!$A$2:$A$408)</f>
        <v>752</v>
      </c>
      <c r="AL240">
        <v>9.89</v>
      </c>
      <c r="AM240" s="6">
        <f t="shared" si="31"/>
        <v>75470.218887340161</v>
      </c>
      <c r="AN240" s="2">
        <f t="shared" si="32"/>
        <v>-2.5085549239419142E-4</v>
      </c>
      <c r="AP240" s="11">
        <f t="shared" si="33"/>
        <v>8.6192214770756766E-5</v>
      </c>
      <c r="AQ240" s="11">
        <f t="shared" si="34"/>
        <v>-7.5256647718257419E-5</v>
      </c>
      <c r="AR240" s="11">
        <f t="shared" si="35"/>
        <v>1.0935567052499347E-5</v>
      </c>
    </row>
    <row r="241" spans="2:44" x14ac:dyDescent="0.35">
      <c r="B241" s="1">
        <v>45299</v>
      </c>
      <c r="C241">
        <v>4971.63</v>
      </c>
      <c r="D241" s="1">
        <v>45296</v>
      </c>
      <c r="E241">
        <v>4.8893000000000004</v>
      </c>
      <c r="F241" s="1">
        <v>45296</v>
      </c>
      <c r="G241">
        <v>111.63500000000001</v>
      </c>
      <c r="H241" s="4">
        <f t="shared" si="27"/>
        <v>545817.00550000009</v>
      </c>
      <c r="I241" s="5">
        <v>45299</v>
      </c>
      <c r="J241" s="4">
        <v>5056.76</v>
      </c>
      <c r="K241" s="4">
        <f t="shared" si="28"/>
        <v>50567.600000000006</v>
      </c>
      <c r="L241" s="1">
        <v>45299</v>
      </c>
      <c r="M241">
        <v>5.0999999999999996</v>
      </c>
      <c r="N241" s="1">
        <v>45299</v>
      </c>
      <c r="O241">
        <v>5.18</v>
      </c>
      <c r="P241" s="1">
        <v>45299</v>
      </c>
      <c r="Q241">
        <v>5.19</v>
      </c>
      <c r="R241" s="1">
        <v>45299</v>
      </c>
      <c r="S241">
        <v>5.2</v>
      </c>
      <c r="T241" s="1">
        <v>45299</v>
      </c>
      <c r="U241">
        <v>5.28</v>
      </c>
      <c r="V241" s="1">
        <v>45299</v>
      </c>
      <c r="W241">
        <v>5.33</v>
      </c>
      <c r="X241" s="1">
        <v>45299</v>
      </c>
      <c r="Y241">
        <f>NETWORKDAYS(X241,$Z$1,FERIADO!$A$2:$A$408)</f>
        <v>1766</v>
      </c>
      <c r="Z241">
        <v>10.52</v>
      </c>
      <c r="AA241" s="6">
        <f t="shared" si="29"/>
        <v>49609.985194880479</v>
      </c>
      <c r="AB241" s="2">
        <f t="shared" si="30"/>
        <v>-1.7569834967056672E-3</v>
      </c>
      <c r="AJ241" s="1">
        <v>45299</v>
      </c>
      <c r="AK241">
        <f>NETWORKDAYS(AJ241,$AJ$1,FERIADO!$A$2:$A$408)</f>
        <v>753</v>
      </c>
      <c r="AL241">
        <v>9.8550000000000004</v>
      </c>
      <c r="AM241" s="6">
        <f t="shared" si="31"/>
        <v>75513.824294524951</v>
      </c>
      <c r="AN241" s="2">
        <f t="shared" si="32"/>
        <v>-4.2958383356790641E-4</v>
      </c>
      <c r="AP241" s="11">
        <f t="shared" si="33"/>
        <v>-8.784917483528336E-4</v>
      </c>
      <c r="AQ241" s="11">
        <f t="shared" si="34"/>
        <v>-1.2887515007037193E-4</v>
      </c>
      <c r="AR241" s="11">
        <f t="shared" si="35"/>
        <v>-1.0073668984232056E-3</v>
      </c>
    </row>
    <row r="242" spans="2:44" x14ac:dyDescent="0.35">
      <c r="B242" s="1">
        <v>45296</v>
      </c>
      <c r="C242">
        <v>4897.54</v>
      </c>
      <c r="D242" s="1">
        <v>45295</v>
      </c>
      <c r="E242">
        <v>4.9181999999999997</v>
      </c>
      <c r="F242" s="1">
        <v>45295</v>
      </c>
      <c r="G242">
        <v>111.97799999999999</v>
      </c>
      <c r="H242" s="4">
        <f t="shared" si="27"/>
        <v>550730.19959999993</v>
      </c>
      <c r="I242" s="5">
        <v>45296</v>
      </c>
      <c r="J242" s="4">
        <v>5061.93</v>
      </c>
      <c r="K242" s="4">
        <f t="shared" si="28"/>
        <v>50619.3</v>
      </c>
      <c r="L242" s="1">
        <v>45296</v>
      </c>
      <c r="M242">
        <v>5.07</v>
      </c>
      <c r="N242" s="1">
        <v>45296</v>
      </c>
      <c r="O242">
        <v>5.15</v>
      </c>
      <c r="P242" s="1">
        <v>45296</v>
      </c>
      <c r="Q242">
        <v>5.14</v>
      </c>
      <c r="R242" s="1">
        <v>45296</v>
      </c>
      <c r="S242">
        <v>5.16</v>
      </c>
      <c r="T242" s="1">
        <v>45296</v>
      </c>
      <c r="U242">
        <v>5.24</v>
      </c>
      <c r="V242" s="1">
        <v>45296</v>
      </c>
      <c r="W242">
        <v>5.27</v>
      </c>
      <c r="X242" s="1">
        <v>45296</v>
      </c>
      <c r="Y242">
        <f>NETWORKDAYS(X242,$Z$1,FERIADO!$A$2:$A$408)</f>
        <v>1767</v>
      </c>
      <c r="Z242">
        <v>10.45</v>
      </c>
      <c r="AA242" s="6">
        <f t="shared" si="29"/>
        <v>49811.094078988805</v>
      </c>
      <c r="AB242" s="2">
        <f t="shared" si="30"/>
        <v>-3.8049212897174628E-4</v>
      </c>
      <c r="AJ242" s="1">
        <v>45296</v>
      </c>
      <c r="AK242">
        <f>NETWORKDAYS(AJ242,$AJ$1,FERIADO!$A$2:$A$408)</f>
        <v>754</v>
      </c>
      <c r="AL242">
        <v>9.8049999999999997</v>
      </c>
      <c r="AM242" s="6">
        <f t="shared" si="31"/>
        <v>75588.555999854332</v>
      </c>
      <c r="AN242" s="2">
        <f t="shared" si="32"/>
        <v>3.9817197588809311E-4</v>
      </c>
      <c r="AP242" s="11">
        <f t="shared" si="33"/>
        <v>-1.9024606448587314E-4</v>
      </c>
      <c r="AQ242" s="11">
        <f t="shared" si="34"/>
        <v>1.1945159276642792E-4</v>
      </c>
      <c r="AR242" s="11">
        <f t="shared" si="35"/>
        <v>-7.0794471719445217E-5</v>
      </c>
    </row>
    <row r="243" spans="2:44" x14ac:dyDescent="0.35">
      <c r="B243" s="1">
        <v>45295</v>
      </c>
      <c r="C243">
        <v>4896.22</v>
      </c>
      <c r="D243" s="1">
        <v>45294</v>
      </c>
      <c r="E243">
        <v>4.9206000000000003</v>
      </c>
      <c r="F243" s="1">
        <v>45294</v>
      </c>
      <c r="G243">
        <v>112.483</v>
      </c>
      <c r="H243" s="4">
        <f t="shared" si="27"/>
        <v>553483.84980000008</v>
      </c>
      <c r="I243" s="5">
        <v>45295</v>
      </c>
      <c r="J243" s="4">
        <v>5086.78</v>
      </c>
      <c r="K243" s="4">
        <f t="shared" si="28"/>
        <v>50867.799999999996</v>
      </c>
      <c r="L243" s="1">
        <v>45295</v>
      </c>
      <c r="M243">
        <v>5.09</v>
      </c>
      <c r="N243" s="1">
        <v>45295</v>
      </c>
      <c r="O243">
        <v>5.17</v>
      </c>
      <c r="P243" s="1">
        <v>45295</v>
      </c>
      <c r="Q243">
        <v>5.15</v>
      </c>
      <c r="R243" s="1">
        <v>45295</v>
      </c>
      <c r="S243">
        <v>5.15</v>
      </c>
      <c r="T243" s="1">
        <v>45295</v>
      </c>
      <c r="U243">
        <v>5.24</v>
      </c>
      <c r="V243" s="1">
        <v>45295</v>
      </c>
      <c r="W243">
        <v>5.25</v>
      </c>
      <c r="X243" s="1">
        <v>45295</v>
      </c>
      <c r="Y243">
        <f>NETWORKDAYS(X243,$Z$1,FERIADO!$A$2:$A$408)</f>
        <v>1768</v>
      </c>
      <c r="Z243">
        <v>10.43</v>
      </c>
      <c r="AA243" s="6">
        <f t="shared" si="29"/>
        <v>49854.753473334647</v>
      </c>
      <c r="AB243" s="2">
        <f t="shared" si="30"/>
        <v>-2.0384069709719651E-3</v>
      </c>
      <c r="AJ243" s="1">
        <v>45295</v>
      </c>
      <c r="AK243">
        <f>NETWORKDAYS(AJ243,$AJ$1,FERIADO!$A$2:$A$408)</f>
        <v>755</v>
      </c>
      <c r="AL243">
        <v>9.8249999999999993</v>
      </c>
      <c r="AM243" s="6">
        <f t="shared" si="31"/>
        <v>75519.286291822049</v>
      </c>
      <c r="AN243" s="2">
        <f t="shared" si="32"/>
        <v>-6.0982797826152394E-4</v>
      </c>
      <c r="AP243" s="11">
        <f t="shared" si="33"/>
        <v>-1.0192034854859826E-3</v>
      </c>
      <c r="AQ243" s="11">
        <f t="shared" si="34"/>
        <v>-1.8294839347845717E-4</v>
      </c>
      <c r="AR243" s="11">
        <f t="shared" si="35"/>
        <v>-1.2021518789644397E-3</v>
      </c>
    </row>
    <row r="244" spans="2:44" x14ac:dyDescent="0.35">
      <c r="B244" s="1">
        <v>45294</v>
      </c>
      <c r="C244">
        <v>4910.8</v>
      </c>
      <c r="D244" s="1">
        <v>45293</v>
      </c>
      <c r="E244">
        <v>4.891</v>
      </c>
      <c r="F244" s="1">
        <v>45293</v>
      </c>
      <c r="G244">
        <v>112.309</v>
      </c>
      <c r="H244" s="4">
        <f t="shared" si="27"/>
        <v>549303.31900000002</v>
      </c>
      <c r="I244" s="5">
        <v>45294</v>
      </c>
      <c r="J244" s="4">
        <v>5112.66</v>
      </c>
      <c r="K244" s="4">
        <f t="shared" si="28"/>
        <v>51126.6</v>
      </c>
      <c r="L244" s="1">
        <v>45294</v>
      </c>
      <c r="M244">
        <v>5.0599999999999996</v>
      </c>
      <c r="N244" s="1">
        <v>45294</v>
      </c>
      <c r="O244">
        <v>5.14</v>
      </c>
      <c r="P244" s="1">
        <v>45294</v>
      </c>
      <c r="Q244">
        <v>5.12</v>
      </c>
      <c r="R244" s="1">
        <v>45294</v>
      </c>
      <c r="S244">
        <v>5.1100000000000003</v>
      </c>
      <c r="T244" s="1">
        <v>45294</v>
      </c>
      <c r="U244">
        <v>5.21</v>
      </c>
      <c r="V244" s="1">
        <v>45294</v>
      </c>
      <c r="W244">
        <v>5.22</v>
      </c>
      <c r="X244" s="1">
        <v>45294</v>
      </c>
      <c r="Y244">
        <f>NETWORKDAYS(X244,$Z$1,FERIADO!$A$2:$A$408)</f>
        <v>1769</v>
      </c>
      <c r="Z244">
        <v>10.35</v>
      </c>
      <c r="AA244" s="6">
        <f t="shared" si="29"/>
        <v>50089.302027279686</v>
      </c>
      <c r="AB244" s="2">
        <f t="shared" si="30"/>
        <v>-1.067107259470323E-4</v>
      </c>
      <c r="AJ244" s="1">
        <v>45294</v>
      </c>
      <c r="AK244">
        <f>NETWORKDAYS(AJ244,$AJ$1,FERIADO!$A$2:$A$408)</f>
        <v>756</v>
      </c>
      <c r="AL244">
        <v>9.76</v>
      </c>
      <c r="AM244" s="6">
        <f t="shared" si="31"/>
        <v>75625.403511017008</v>
      </c>
      <c r="AN244" s="2">
        <f t="shared" si="32"/>
        <v>3.9819070290819241E-4</v>
      </c>
      <c r="AP244" s="11">
        <f t="shared" si="33"/>
        <v>-5.3355362973516152E-5</v>
      </c>
      <c r="AQ244" s="11">
        <f t="shared" si="34"/>
        <v>1.1945721087245771E-4</v>
      </c>
      <c r="AR244" s="11">
        <f t="shared" si="35"/>
        <v>6.6101847898941566E-5</v>
      </c>
    </row>
    <row r="245" spans="2:44" x14ac:dyDescent="0.35">
      <c r="B245" s="1">
        <v>45293</v>
      </c>
      <c r="C245">
        <v>4952.78</v>
      </c>
      <c r="D245" s="1">
        <v>45289</v>
      </c>
      <c r="E245">
        <v>4.8407</v>
      </c>
      <c r="F245" s="1">
        <v>45288</v>
      </c>
      <c r="G245">
        <v>112.89400000000001</v>
      </c>
      <c r="H245" s="4">
        <f t="shared" si="27"/>
        <v>546485.98580000002</v>
      </c>
      <c r="I245" s="5">
        <v>45293</v>
      </c>
      <c r="J245" s="4">
        <v>5116.8</v>
      </c>
      <c r="K245" s="4">
        <f t="shared" si="28"/>
        <v>51168</v>
      </c>
      <c r="L245" s="1">
        <v>45293</v>
      </c>
      <c r="M245">
        <v>5.09</v>
      </c>
      <c r="N245" s="1">
        <v>45293</v>
      </c>
      <c r="O245">
        <v>5.16</v>
      </c>
      <c r="P245" s="1">
        <v>45293</v>
      </c>
      <c r="Q245">
        <v>5.1100000000000003</v>
      </c>
      <c r="R245" s="1">
        <v>45293</v>
      </c>
      <c r="S245">
        <v>5.0999999999999996</v>
      </c>
      <c r="T245" s="1">
        <v>45293</v>
      </c>
      <c r="U245">
        <v>5.19</v>
      </c>
      <c r="V245" s="1">
        <v>45293</v>
      </c>
      <c r="W245">
        <v>5.2</v>
      </c>
      <c r="X245" s="1">
        <v>45293</v>
      </c>
      <c r="Y245">
        <f>NETWORKDAYS(X245,$Z$1,FERIADO!$A$2:$A$408)</f>
        <v>1770</v>
      </c>
      <c r="Z245">
        <v>10.34</v>
      </c>
      <c r="AA245" s="6">
        <f t="shared" si="29"/>
        <v>50101.611008230437</v>
      </c>
      <c r="AB245" s="2">
        <f t="shared" si="30"/>
        <v>-1.8757894468526973E-3</v>
      </c>
      <c r="AJ245" s="1">
        <v>45293</v>
      </c>
      <c r="AK245">
        <f>NETWORKDAYS(AJ245,$AJ$1,FERIADO!$A$2:$A$408)</f>
        <v>757</v>
      </c>
      <c r="AL245">
        <v>9.7799999999999994</v>
      </c>
      <c r="AM245" s="6">
        <f t="shared" si="31"/>
        <v>75556.096777731233</v>
      </c>
      <c r="AN245" s="2">
        <f t="shared" si="32"/>
        <v>-3.9349614902759914E-4</v>
      </c>
      <c r="AP245" s="11">
        <f t="shared" si="33"/>
        <v>-9.3789472342634865E-4</v>
      </c>
      <c r="AQ245" s="11">
        <f t="shared" si="34"/>
        <v>-1.1804884470827974E-4</v>
      </c>
      <c r="AR245" s="11">
        <f t="shared" si="35"/>
        <v>-1.0559435681346285E-3</v>
      </c>
    </row>
    <row r="246" spans="2:44" x14ac:dyDescent="0.35">
      <c r="B246" s="1">
        <v>45288</v>
      </c>
      <c r="C246">
        <v>5008.28</v>
      </c>
      <c r="D246" s="1">
        <v>45288</v>
      </c>
      <c r="E246">
        <v>4.8407</v>
      </c>
      <c r="F246" s="1">
        <v>45287</v>
      </c>
      <c r="G246">
        <v>113.357</v>
      </c>
      <c r="H246" s="4">
        <f t="shared" si="27"/>
        <v>548727.22990000003</v>
      </c>
      <c r="I246" s="5">
        <v>45288</v>
      </c>
      <c r="J246" s="4">
        <v>5038.6400000000003</v>
      </c>
      <c r="K246" s="4">
        <f t="shared" si="28"/>
        <v>50386.400000000001</v>
      </c>
      <c r="L246" s="1">
        <v>45288</v>
      </c>
      <c r="M246">
        <v>5.07</v>
      </c>
      <c r="N246" s="1">
        <v>45288</v>
      </c>
      <c r="O246">
        <v>5.13</v>
      </c>
      <c r="P246" s="1">
        <v>45288</v>
      </c>
      <c r="Q246">
        <v>5.12</v>
      </c>
      <c r="R246" s="1">
        <v>45288</v>
      </c>
      <c r="S246">
        <v>5.13</v>
      </c>
      <c r="T246" s="1">
        <v>45288</v>
      </c>
      <c r="U246">
        <v>5.21</v>
      </c>
      <c r="V246" s="1">
        <v>45288</v>
      </c>
      <c r="W246">
        <v>5.23</v>
      </c>
      <c r="X246" s="1">
        <v>45288</v>
      </c>
      <c r="Y246">
        <f>NETWORKDAYS(X246,$Z$1,FERIADO!$A$2:$A$408)</f>
        <v>1772</v>
      </c>
      <c r="Z246">
        <v>10.26</v>
      </c>
      <c r="AA246" s="6">
        <f t="shared" si="29"/>
        <v>50318.476124770896</v>
      </c>
      <c r="AB246" s="2">
        <f t="shared" si="30"/>
        <v>-1.2176101257634312E-3</v>
      </c>
      <c r="AJ246" s="1">
        <v>45288</v>
      </c>
      <c r="AK246">
        <f>NETWORKDAYS(AJ246,$AJ$1,FERIADO!$A$2:$A$408)</f>
        <v>759</v>
      </c>
      <c r="AL246">
        <v>9.7200000000000006</v>
      </c>
      <c r="AM246" s="6">
        <f t="shared" si="31"/>
        <v>75624.586034333639</v>
      </c>
      <c r="AN246" s="2">
        <f t="shared" si="32"/>
        <v>-7.3575060235644388E-4</v>
      </c>
      <c r="AP246" s="11">
        <f t="shared" si="33"/>
        <v>-6.0880506288171559E-4</v>
      </c>
      <c r="AQ246" s="11">
        <f t="shared" si="34"/>
        <v>-2.2072518070693315E-4</v>
      </c>
      <c r="AR246" s="11">
        <f t="shared" si="35"/>
        <v>-8.295302435886488E-4</v>
      </c>
    </row>
    <row r="247" spans="2:44" x14ac:dyDescent="0.35">
      <c r="B247" s="1">
        <v>45287</v>
      </c>
      <c r="C247">
        <v>5000.32</v>
      </c>
      <c r="D247" s="1">
        <v>45287</v>
      </c>
      <c r="E247">
        <v>4.83</v>
      </c>
      <c r="F247" s="1">
        <v>45286</v>
      </c>
      <c r="G247">
        <v>112.679</v>
      </c>
      <c r="H247" s="4">
        <f t="shared" si="27"/>
        <v>544239.57000000007</v>
      </c>
      <c r="I247" s="5">
        <v>45287</v>
      </c>
      <c r="J247" s="4">
        <v>5013.8</v>
      </c>
      <c r="K247" s="4">
        <f t="shared" si="28"/>
        <v>50138</v>
      </c>
      <c r="L247" s="1">
        <v>45287</v>
      </c>
      <c r="M247">
        <v>5.0999999999999996</v>
      </c>
      <c r="N247" s="1">
        <v>45287</v>
      </c>
      <c r="O247">
        <v>5.15</v>
      </c>
      <c r="P247" s="1">
        <v>45287</v>
      </c>
      <c r="Q247">
        <v>5.12</v>
      </c>
      <c r="R247" s="1">
        <v>45287</v>
      </c>
      <c r="S247">
        <v>5.13</v>
      </c>
      <c r="T247" s="1">
        <v>45287</v>
      </c>
      <c r="U247">
        <v>5.21</v>
      </c>
      <c r="V247" s="1">
        <v>45287</v>
      </c>
      <c r="W247">
        <v>5.19</v>
      </c>
      <c r="X247" s="1">
        <v>45287</v>
      </c>
      <c r="Y247">
        <f>NETWORKDAYS(X247,$Z$1,FERIADO!$A$2:$A$408)</f>
        <v>1773</v>
      </c>
      <c r="Z247">
        <v>10.210000000000001</v>
      </c>
      <c r="AA247" s="6">
        <f t="shared" si="29"/>
        <v>50459.749514981755</v>
      </c>
      <c r="AB247" s="2">
        <f t="shared" si="30"/>
        <v>9.9964943488788159E-4</v>
      </c>
      <c r="AJ247" s="1">
        <v>45287</v>
      </c>
      <c r="AK247">
        <f>NETWORKDAYS(AJ247,$AJ$1,FERIADO!$A$2:$A$408)</f>
        <v>760</v>
      </c>
      <c r="AL247">
        <v>9.6449999999999996</v>
      </c>
      <c r="AM247" s="6">
        <f t="shared" si="31"/>
        <v>75752.812376212925</v>
      </c>
      <c r="AN247" s="2">
        <f t="shared" si="32"/>
        <v>5.7726570524102615E-4</v>
      </c>
      <c r="AP247" s="11">
        <f t="shared" si="33"/>
        <v>4.9982471744394079E-4</v>
      </c>
      <c r="AQ247" s="11">
        <f t="shared" si="34"/>
        <v>1.7317971157230783E-4</v>
      </c>
      <c r="AR247" s="11">
        <f t="shared" si="35"/>
        <v>6.7300442901624857E-4</v>
      </c>
    </row>
    <row r="248" spans="2:44" x14ac:dyDescent="0.35">
      <c r="B248" s="1">
        <v>45286</v>
      </c>
      <c r="C248">
        <v>4994.33</v>
      </c>
      <c r="D248" s="1">
        <v>45286</v>
      </c>
      <c r="E248">
        <v>4.8361999999999998</v>
      </c>
      <c r="F248" s="1">
        <v>45282</v>
      </c>
      <c r="G248">
        <v>112.67</v>
      </c>
      <c r="H248" s="4">
        <f t="shared" si="27"/>
        <v>544894.65399999998</v>
      </c>
      <c r="I248" s="5">
        <v>45286</v>
      </c>
      <c r="J248" s="4">
        <v>4999.24</v>
      </c>
      <c r="K248" s="4">
        <f t="shared" si="28"/>
        <v>49992.399999999994</v>
      </c>
      <c r="L248" s="1">
        <v>45286</v>
      </c>
      <c r="M248">
        <v>5.09</v>
      </c>
      <c r="N248" s="1">
        <v>45286</v>
      </c>
      <c r="O248">
        <v>5.14</v>
      </c>
      <c r="P248" s="1">
        <v>45286</v>
      </c>
      <c r="Q248">
        <v>5.0999999999999996</v>
      </c>
      <c r="R248" s="1">
        <v>45286</v>
      </c>
      <c r="S248">
        <v>5.1100000000000003</v>
      </c>
      <c r="T248" s="1">
        <v>45286</v>
      </c>
      <c r="U248">
        <v>5.2</v>
      </c>
      <c r="V248" s="1">
        <v>45286</v>
      </c>
      <c r="W248">
        <v>5.22</v>
      </c>
      <c r="X248" s="1">
        <v>45286</v>
      </c>
      <c r="Y248">
        <f>NETWORKDAYS(X248,$Z$1,FERIADO!$A$2:$A$408)</f>
        <v>1774</v>
      </c>
      <c r="Z248">
        <v>10.24</v>
      </c>
      <c r="AA248" s="6">
        <f t="shared" si="29"/>
        <v>50343.735949316739</v>
      </c>
      <c r="AB248" s="2">
        <f t="shared" si="30"/>
        <v>1.555134071689975E-3</v>
      </c>
      <c r="AJ248" s="1">
        <v>45286</v>
      </c>
      <c r="AK248">
        <f>NETWORKDAYS(AJ248,$AJ$1,FERIADO!$A$2:$A$408)</f>
        <v>761</v>
      </c>
      <c r="AL248">
        <v>9.68</v>
      </c>
      <c r="AM248" s="6">
        <f t="shared" si="31"/>
        <v>75652.188369569645</v>
      </c>
      <c r="AN248" s="2">
        <f t="shared" si="32"/>
        <v>5.7823205646120423E-4</v>
      </c>
      <c r="AP248" s="11">
        <f t="shared" si="33"/>
        <v>7.7756703584498752E-4</v>
      </c>
      <c r="AQ248" s="11">
        <f t="shared" si="34"/>
        <v>1.7346961693836125E-4</v>
      </c>
      <c r="AR248" s="11">
        <f t="shared" si="35"/>
        <v>9.510366527833488E-4</v>
      </c>
    </row>
    <row r="249" spans="2:44" x14ac:dyDescent="0.35">
      <c r="B249" s="1">
        <v>45282</v>
      </c>
      <c r="C249">
        <v>4975.3599999999997</v>
      </c>
      <c r="D249" s="1">
        <v>45282</v>
      </c>
      <c r="E249">
        <v>4.8613</v>
      </c>
      <c r="F249" s="1">
        <v>45281</v>
      </c>
      <c r="G249">
        <v>112.678</v>
      </c>
      <c r="H249" s="4">
        <f t="shared" si="27"/>
        <v>547761.56140000001</v>
      </c>
      <c r="I249" s="5">
        <v>45282</v>
      </c>
      <c r="J249" s="4">
        <v>5050.18</v>
      </c>
      <c r="K249" s="4">
        <f t="shared" si="28"/>
        <v>50501.8</v>
      </c>
      <c r="L249" s="1">
        <v>45282</v>
      </c>
      <c r="M249">
        <v>5.07</v>
      </c>
      <c r="N249" s="1">
        <v>45282</v>
      </c>
      <c r="O249">
        <v>5.13</v>
      </c>
      <c r="P249" s="1">
        <v>45282</v>
      </c>
      <c r="Q249">
        <v>5.13</v>
      </c>
      <c r="R249" s="1">
        <v>45282</v>
      </c>
      <c r="S249">
        <v>5.13</v>
      </c>
      <c r="T249" s="1">
        <v>45282</v>
      </c>
      <c r="U249">
        <v>5.17</v>
      </c>
      <c r="V249" s="1">
        <v>45282</v>
      </c>
      <c r="W249">
        <v>5.2</v>
      </c>
      <c r="X249" s="1">
        <v>45282</v>
      </c>
      <c r="Y249">
        <f>NETWORKDAYS(X249,$Z$1,FERIADO!$A$2:$A$408)</f>
        <v>1775</v>
      </c>
      <c r="Z249">
        <v>10.29</v>
      </c>
      <c r="AA249" s="6">
        <f t="shared" si="29"/>
        <v>50163.786040433624</v>
      </c>
      <c r="AB249" s="2">
        <f t="shared" si="30"/>
        <v>1.278663505815733E-3</v>
      </c>
      <c r="AJ249" s="1">
        <v>45282</v>
      </c>
      <c r="AK249">
        <f>NETWORKDAYS(AJ249,$AJ$1,FERIADO!$A$2:$A$408)</f>
        <v>762</v>
      </c>
      <c r="AL249">
        <v>9.7149999999999999</v>
      </c>
      <c r="AM249" s="6">
        <f t="shared" si="31"/>
        <v>75551.52991350487</v>
      </c>
      <c r="AN249" s="2">
        <f t="shared" si="32"/>
        <v>2.1970996656673136E-4</v>
      </c>
      <c r="AP249" s="11">
        <f t="shared" si="33"/>
        <v>6.3933175290786651E-4</v>
      </c>
      <c r="AQ249" s="11">
        <f t="shared" si="34"/>
        <v>6.5912989970019401E-5</v>
      </c>
      <c r="AR249" s="11">
        <f t="shared" si="35"/>
        <v>7.0524474287788589E-4</v>
      </c>
    </row>
    <row r="250" spans="2:44" x14ac:dyDescent="0.35">
      <c r="B250" s="1">
        <v>45281</v>
      </c>
      <c r="C250">
        <v>4965</v>
      </c>
      <c r="D250" s="1">
        <v>45281</v>
      </c>
      <c r="E250">
        <v>4.8749000000000002</v>
      </c>
      <c r="F250" s="1">
        <v>45280</v>
      </c>
      <c r="G250">
        <v>112.965</v>
      </c>
      <c r="H250" s="4">
        <f t="shared" si="27"/>
        <v>550693.07850000006</v>
      </c>
      <c r="I250" s="5">
        <v>45281</v>
      </c>
      <c r="J250" s="4">
        <v>5079.29</v>
      </c>
      <c r="K250" s="4">
        <f t="shared" si="28"/>
        <v>50792.9</v>
      </c>
      <c r="L250" s="1">
        <v>45281</v>
      </c>
      <c r="M250">
        <v>5.05</v>
      </c>
      <c r="N250" s="1">
        <v>45281</v>
      </c>
      <c r="O250">
        <v>5.12</v>
      </c>
      <c r="P250" s="1">
        <v>45281</v>
      </c>
      <c r="Q250">
        <v>5.12</v>
      </c>
      <c r="R250" s="1">
        <v>45281</v>
      </c>
      <c r="S250">
        <v>5.13</v>
      </c>
      <c r="T250" s="1">
        <v>45281</v>
      </c>
      <c r="U250">
        <v>5.2</v>
      </c>
      <c r="V250" s="1">
        <v>45281</v>
      </c>
      <c r="W250">
        <v>5.23</v>
      </c>
      <c r="X250" s="1">
        <v>45281</v>
      </c>
      <c r="Y250">
        <f>NETWORKDAYS(X250,$Z$1,FERIADO!$A$2:$A$408)</f>
        <v>1776</v>
      </c>
      <c r="Z250">
        <v>10.33</v>
      </c>
      <c r="AA250" s="6">
        <f t="shared" si="29"/>
        <v>50016.309449185421</v>
      </c>
      <c r="AB250" s="2">
        <f t="shared" si="30"/>
        <v>7.2451527022276226E-4</v>
      </c>
      <c r="AJ250" s="1">
        <v>45281</v>
      </c>
      <c r="AK250">
        <f>NETWORKDAYS(AJ250,$AJ$1,FERIADO!$A$2:$A$408)</f>
        <v>763</v>
      </c>
      <c r="AL250">
        <v>9.7200000000000006</v>
      </c>
      <c r="AM250" s="6">
        <f t="shared" si="31"/>
        <v>75513.317993530974</v>
      </c>
      <c r="AN250" s="2">
        <f t="shared" si="32"/>
        <v>9.9861521100618505E-5</v>
      </c>
      <c r="AP250" s="11">
        <f t="shared" si="33"/>
        <v>3.6225763511138113E-4</v>
      </c>
      <c r="AQ250" s="11">
        <f t="shared" si="34"/>
        <v>2.995845633018555E-5</v>
      </c>
      <c r="AR250" s="11">
        <f t="shared" si="35"/>
        <v>3.9221609144156669E-4</v>
      </c>
    </row>
    <row r="251" spans="2:44" x14ac:dyDescent="0.35">
      <c r="B251" s="1">
        <v>45280</v>
      </c>
      <c r="C251">
        <v>4917.55</v>
      </c>
      <c r="D251" s="1">
        <v>45280</v>
      </c>
      <c r="E251">
        <v>4.8760000000000003</v>
      </c>
      <c r="F251" s="1">
        <v>45279</v>
      </c>
      <c r="G251">
        <v>112.43300000000001</v>
      </c>
      <c r="H251" s="4">
        <f t="shared" si="27"/>
        <v>548223.30800000008</v>
      </c>
      <c r="I251" s="5">
        <v>45280</v>
      </c>
      <c r="J251" s="4">
        <v>5109.4399999999996</v>
      </c>
      <c r="K251" s="4">
        <f t="shared" si="28"/>
        <v>51094.399999999994</v>
      </c>
      <c r="L251" s="1">
        <v>45280</v>
      </c>
      <c r="M251">
        <v>5.0199999999999996</v>
      </c>
      <c r="N251" s="1">
        <v>45280</v>
      </c>
      <c r="O251">
        <v>5.15</v>
      </c>
      <c r="P251" s="1">
        <v>45280</v>
      </c>
      <c r="Q251">
        <v>5.14</v>
      </c>
      <c r="R251" s="1">
        <v>45280</v>
      </c>
      <c r="S251">
        <v>5.15</v>
      </c>
      <c r="T251" s="1">
        <v>45280</v>
      </c>
      <c r="U251">
        <v>5.24</v>
      </c>
      <c r="V251" s="1">
        <v>45280</v>
      </c>
      <c r="W251">
        <v>5.26</v>
      </c>
      <c r="X251" s="1">
        <v>45280</v>
      </c>
      <c r="Y251">
        <f>NETWORKDAYS(X251,$Z$1,FERIADO!$A$2:$A$408)</f>
        <v>1777</v>
      </c>
      <c r="Z251">
        <v>10.35</v>
      </c>
      <c r="AA251" s="6">
        <f t="shared" si="29"/>
        <v>49932.938898904154</v>
      </c>
      <c r="AB251" s="2">
        <f t="shared" si="30"/>
        <v>1.5578125385234424E-3</v>
      </c>
      <c r="AJ251" s="1">
        <v>45280</v>
      </c>
      <c r="AK251">
        <f>NETWORKDAYS(AJ251,$AJ$1,FERIADO!$A$2:$A$408)</f>
        <v>764</v>
      </c>
      <c r="AL251">
        <v>9.7149999999999999</v>
      </c>
      <c r="AM251" s="6">
        <f t="shared" si="31"/>
        <v>75495.956483758768</v>
      </c>
      <c r="AN251" s="2">
        <f t="shared" si="32"/>
        <v>2.1986704185566363E-4</v>
      </c>
      <c r="AP251" s="11">
        <f t="shared" si="33"/>
        <v>7.7890626926172121E-4</v>
      </c>
      <c r="AQ251" s="11">
        <f t="shared" si="34"/>
        <v>6.5960112556699081E-5</v>
      </c>
      <c r="AR251" s="11">
        <f t="shared" si="35"/>
        <v>8.448663818184203E-4</v>
      </c>
    </row>
    <row r="252" spans="2:44" x14ac:dyDescent="0.35">
      <c r="B252" s="1">
        <v>45279</v>
      </c>
      <c r="C252">
        <v>4991.68</v>
      </c>
      <c r="D252" s="1">
        <v>45279</v>
      </c>
      <c r="E252">
        <v>4.8657000000000004</v>
      </c>
      <c r="F252" s="1">
        <v>45278</v>
      </c>
      <c r="G252">
        <v>112.3</v>
      </c>
      <c r="H252" s="4">
        <f t="shared" si="27"/>
        <v>546418.1100000001</v>
      </c>
      <c r="I252" s="5">
        <v>45279</v>
      </c>
      <c r="J252" s="4">
        <v>5058.5</v>
      </c>
      <c r="K252" s="4">
        <f t="shared" si="28"/>
        <v>50585</v>
      </c>
      <c r="L252" s="1">
        <v>45279</v>
      </c>
      <c r="M252">
        <v>5.07</v>
      </c>
      <c r="N252" s="1">
        <v>45279</v>
      </c>
      <c r="O252">
        <v>5.15</v>
      </c>
      <c r="P252" s="1">
        <v>45279</v>
      </c>
      <c r="Q252">
        <v>5.14</v>
      </c>
      <c r="R252" s="1">
        <v>45279</v>
      </c>
      <c r="S252">
        <v>5.16</v>
      </c>
      <c r="T252" s="1">
        <v>45279</v>
      </c>
      <c r="U252">
        <v>5.21</v>
      </c>
      <c r="V252" s="1">
        <v>45279</v>
      </c>
      <c r="W252">
        <v>5.27</v>
      </c>
      <c r="X252" s="1">
        <v>45279</v>
      </c>
      <c r="Y252">
        <f>NETWORKDAYS(X252,$Z$1,FERIADO!$A$2:$A$408)</f>
        <v>1778</v>
      </c>
      <c r="Z252">
        <v>10.4</v>
      </c>
      <c r="AA252" s="6">
        <f t="shared" si="29"/>
        <v>49754.150498687421</v>
      </c>
      <c r="AB252" s="2">
        <f t="shared" si="30"/>
        <v>1.5587450634362288E-3</v>
      </c>
      <c r="AJ252" s="1">
        <v>45279</v>
      </c>
      <c r="AK252">
        <f>NETWORKDAYS(AJ252,$AJ$1,FERIADO!$A$2:$A$408)</f>
        <v>765</v>
      </c>
      <c r="AL252">
        <v>9.7200000000000006</v>
      </c>
      <c r="AM252" s="6">
        <f t="shared" si="31"/>
        <v>75457.745379818909</v>
      </c>
      <c r="AN252" s="2">
        <f t="shared" si="32"/>
        <v>4.0047621210353735E-4</v>
      </c>
      <c r="AP252" s="11">
        <f t="shared" si="33"/>
        <v>7.7937253171811438E-4</v>
      </c>
      <c r="AQ252" s="11">
        <f t="shared" si="34"/>
        <v>1.201428636310612E-4</v>
      </c>
      <c r="AR252" s="11">
        <f t="shared" si="35"/>
        <v>8.9951539534917553E-4</v>
      </c>
    </row>
    <row r="253" spans="2:44" x14ac:dyDescent="0.35">
      <c r="B253" s="1">
        <v>45278</v>
      </c>
      <c r="C253">
        <v>4960.5600000000004</v>
      </c>
      <c r="D253" s="1">
        <v>45278</v>
      </c>
      <c r="E253">
        <v>4.9393000000000002</v>
      </c>
      <c r="F253" s="1">
        <v>45275</v>
      </c>
      <c r="G253">
        <v>112.43600000000001</v>
      </c>
      <c r="H253" s="4">
        <f t="shared" si="27"/>
        <v>555355.13480000012</v>
      </c>
      <c r="I253" s="5">
        <v>45278</v>
      </c>
      <c r="J253" s="4">
        <v>5090.7299999999996</v>
      </c>
      <c r="K253" s="4">
        <f t="shared" si="28"/>
        <v>50907.299999999996</v>
      </c>
      <c r="L253" s="1">
        <v>45278</v>
      </c>
      <c r="M253">
        <v>5.05</v>
      </c>
      <c r="N253" s="1">
        <v>45278</v>
      </c>
      <c r="O253">
        <v>5.16</v>
      </c>
      <c r="P253" s="1">
        <v>45278</v>
      </c>
      <c r="Q253">
        <v>5.16</v>
      </c>
      <c r="R253" s="1">
        <v>45278</v>
      </c>
      <c r="S253">
        <v>5.18</v>
      </c>
      <c r="T253" s="1">
        <v>45278</v>
      </c>
      <c r="U253">
        <v>5.25</v>
      </c>
      <c r="V253" s="1">
        <v>45278</v>
      </c>
      <c r="W253">
        <v>5.29</v>
      </c>
      <c r="X253" s="1">
        <v>45278</v>
      </c>
      <c r="Y253">
        <f>NETWORKDAYS(X253,$Z$1,FERIADO!$A$2:$A$408)</f>
        <v>1779</v>
      </c>
      <c r="Z253">
        <v>10.45</v>
      </c>
      <c r="AA253" s="6">
        <f t="shared" si="29"/>
        <v>49575.89581254607</v>
      </c>
      <c r="AB253" s="2">
        <f t="shared" si="30"/>
        <v>1.0043986768376119E-3</v>
      </c>
      <c r="AJ253" s="1">
        <v>45278</v>
      </c>
      <c r="AK253">
        <f>NETWORKDAYS(AJ253,$AJ$1,FERIADO!$A$2:$A$408)</f>
        <v>766</v>
      </c>
      <c r="AL253">
        <v>9.74</v>
      </c>
      <c r="AM253" s="6">
        <f t="shared" si="31"/>
        <v>75388.19555904642</v>
      </c>
      <c r="AN253" s="2">
        <f t="shared" si="32"/>
        <v>8.8269316939590305E-4</v>
      </c>
      <c r="AP253" s="11">
        <f t="shared" si="33"/>
        <v>5.0219933841880594E-4</v>
      </c>
      <c r="AQ253" s="11">
        <f t="shared" si="34"/>
        <v>2.6480795081877093E-4</v>
      </c>
      <c r="AR253" s="11">
        <f t="shared" si="35"/>
        <v>7.6700728923757692E-4</v>
      </c>
    </row>
    <row r="254" spans="2:44" x14ac:dyDescent="0.35">
      <c r="B254" s="1">
        <v>45275</v>
      </c>
      <c r="C254">
        <v>4933.01</v>
      </c>
      <c r="D254" s="1">
        <v>45275</v>
      </c>
      <c r="E254">
        <v>4.9390999999999998</v>
      </c>
      <c r="F254" s="1">
        <v>45274</v>
      </c>
      <c r="G254">
        <v>112.55</v>
      </c>
      <c r="H254" s="4">
        <f t="shared" si="27"/>
        <v>555895.70500000007</v>
      </c>
      <c r="I254" s="5">
        <v>45275</v>
      </c>
      <c r="J254" s="4">
        <v>5135.43</v>
      </c>
      <c r="K254" s="4">
        <f t="shared" si="28"/>
        <v>51354.3</v>
      </c>
      <c r="L254" s="1">
        <v>45275</v>
      </c>
      <c r="M254">
        <v>5.1100000000000003</v>
      </c>
      <c r="N254" s="1">
        <v>45275</v>
      </c>
      <c r="O254">
        <v>5.2</v>
      </c>
      <c r="P254" s="1">
        <v>45275</v>
      </c>
      <c r="Q254">
        <v>5.18</v>
      </c>
      <c r="R254" s="1">
        <v>45275</v>
      </c>
      <c r="S254">
        <v>5.26</v>
      </c>
      <c r="T254" s="1">
        <v>45275</v>
      </c>
      <c r="U254">
        <v>5.28</v>
      </c>
      <c r="V254" s="1">
        <v>45275</v>
      </c>
      <c r="W254">
        <v>5.34</v>
      </c>
      <c r="X254" s="1">
        <v>45275</v>
      </c>
      <c r="Y254">
        <f>NETWORKDAYS(X254,$Z$1,FERIADO!$A$2:$A$408)</f>
        <v>1780</v>
      </c>
      <c r="Z254">
        <v>10.48</v>
      </c>
      <c r="AA254" s="6">
        <f t="shared" si="29"/>
        <v>49461.373452700944</v>
      </c>
      <c r="AB254" s="2">
        <f t="shared" si="30"/>
        <v>1.2828407769222901E-3</v>
      </c>
      <c r="AJ254" s="1">
        <v>45275</v>
      </c>
      <c r="AK254">
        <f>NETWORKDAYS(AJ254,$AJ$1,FERIADO!$A$2:$A$408)</f>
        <v>767</v>
      </c>
      <c r="AL254">
        <v>9.8000000000000007</v>
      </c>
      <c r="AM254" s="6">
        <f t="shared" si="31"/>
        <v>75235.126458162791</v>
      </c>
      <c r="AN254" s="2">
        <f t="shared" si="32"/>
        <v>3.4192282025204194E-4</v>
      </c>
      <c r="AP254" s="11">
        <f t="shared" si="33"/>
        <v>6.4142038846114505E-4</v>
      </c>
      <c r="AQ254" s="11">
        <f t="shared" si="34"/>
        <v>1.0257684607561258E-4</v>
      </c>
      <c r="AR254" s="11">
        <f t="shared" si="35"/>
        <v>7.4399723453675768E-4</v>
      </c>
    </row>
    <row r="255" spans="2:44" x14ac:dyDescent="0.35">
      <c r="B255" s="1">
        <v>45274</v>
      </c>
      <c r="C255">
        <v>4941.83</v>
      </c>
      <c r="D255" s="1">
        <v>45274</v>
      </c>
      <c r="E255">
        <v>4.8906000000000001</v>
      </c>
      <c r="F255" s="1">
        <v>45273</v>
      </c>
      <c r="G255">
        <v>111.96</v>
      </c>
      <c r="H255" s="4">
        <f t="shared" si="27"/>
        <v>547551.576</v>
      </c>
      <c r="I255" s="5">
        <v>45274</v>
      </c>
      <c r="J255" s="4">
        <v>5113.08</v>
      </c>
      <c r="K255" s="4">
        <f t="shared" si="28"/>
        <v>51130.8</v>
      </c>
      <c r="L255" s="1">
        <v>45274</v>
      </c>
      <c r="M255">
        <v>5.18</v>
      </c>
      <c r="N255" s="1">
        <v>45274</v>
      </c>
      <c r="O255">
        <v>5.26</v>
      </c>
      <c r="P255" s="1">
        <v>45274</v>
      </c>
      <c r="Q255">
        <v>5.16</v>
      </c>
      <c r="R255" s="1">
        <v>45274</v>
      </c>
      <c r="S255">
        <v>5.16</v>
      </c>
      <c r="T255" s="1">
        <v>45274</v>
      </c>
      <c r="U255">
        <v>5.45</v>
      </c>
      <c r="V255" s="1">
        <v>45274</v>
      </c>
      <c r="W255">
        <v>5.35</v>
      </c>
      <c r="X255" s="1">
        <v>45274</v>
      </c>
      <c r="Y255">
        <f>NETWORKDAYS(X255,$Z$1,FERIADO!$A$2:$A$408)</f>
        <v>1781</v>
      </c>
      <c r="Z255">
        <v>10.52</v>
      </c>
      <c r="AA255" s="6">
        <f t="shared" si="29"/>
        <v>49315.487540901006</v>
      </c>
      <c r="AB255" s="2">
        <f t="shared" si="30"/>
        <v>-9.3931962160035678E-4</v>
      </c>
      <c r="AJ255" s="1">
        <v>45274</v>
      </c>
      <c r="AK255">
        <f>NETWORKDAYS(AJ255,$AJ$1,FERIADO!$A$2:$A$408)</f>
        <v>768</v>
      </c>
      <c r="AL255">
        <v>9.8149999999999995</v>
      </c>
      <c r="AM255" s="6">
        <f t="shared" si="31"/>
        <v>75175.916673614338</v>
      </c>
      <c r="AN255" s="2">
        <f t="shared" si="32"/>
        <v>-1.1668296792144699E-3</v>
      </c>
      <c r="AP255" s="11">
        <f t="shared" si="33"/>
        <v>-4.6965981080017839E-4</v>
      </c>
      <c r="AQ255" s="11">
        <f t="shared" si="34"/>
        <v>-3.5004890376434097E-4</v>
      </c>
      <c r="AR255" s="11">
        <f t="shared" si="35"/>
        <v>-8.1970871456451936E-4</v>
      </c>
    </row>
    <row r="256" spans="2:44" x14ac:dyDescent="0.35">
      <c r="B256" s="1">
        <v>45273</v>
      </c>
      <c r="C256">
        <v>4932.49</v>
      </c>
      <c r="D256" s="1">
        <v>45273</v>
      </c>
      <c r="E256">
        <v>4.9573</v>
      </c>
      <c r="F256" s="1">
        <v>45272</v>
      </c>
      <c r="G256">
        <v>110.52500000000001</v>
      </c>
      <c r="H256" s="4">
        <f t="shared" si="27"/>
        <v>547905.58250000002</v>
      </c>
      <c r="I256" s="5">
        <v>45273</v>
      </c>
      <c r="J256" s="4">
        <v>5115.1499999999996</v>
      </c>
      <c r="K256" s="4">
        <f t="shared" si="28"/>
        <v>51151.5</v>
      </c>
      <c r="L256" s="1">
        <v>45273</v>
      </c>
      <c r="M256">
        <v>5.14</v>
      </c>
      <c r="N256" s="1">
        <v>45273</v>
      </c>
      <c r="O256">
        <v>5.24</v>
      </c>
      <c r="P256" s="1">
        <v>45273</v>
      </c>
      <c r="Q256">
        <v>5.24</v>
      </c>
      <c r="R256" s="1">
        <v>45273</v>
      </c>
      <c r="S256">
        <v>5.27</v>
      </c>
      <c r="T256" s="1">
        <v>45273</v>
      </c>
      <c r="U256">
        <v>5.36</v>
      </c>
      <c r="V256" s="1">
        <v>45273</v>
      </c>
      <c r="W256">
        <v>5.42</v>
      </c>
      <c r="X256" s="1">
        <v>45273</v>
      </c>
      <c r="Y256">
        <f>NETWORKDAYS(X256,$Z$1,FERIADO!$A$2:$A$408)</f>
        <v>1782</v>
      </c>
      <c r="Z256">
        <v>10.48</v>
      </c>
      <c r="AA256" s="6">
        <f t="shared" si="29"/>
        <v>49422.265633484138</v>
      </c>
      <c r="AB256" s="2">
        <f t="shared" si="30"/>
        <v>7.3947049360763052E-3</v>
      </c>
      <c r="AJ256" s="1">
        <v>45273</v>
      </c>
      <c r="AK256">
        <f>NETWORKDAYS(AJ256,$AJ$1,FERIADO!$A$2:$A$408)</f>
        <v>769</v>
      </c>
      <c r="AL256">
        <v>9.7050000000000001</v>
      </c>
      <c r="AM256" s="6">
        <f t="shared" si="31"/>
        <v>75378.165231609906</v>
      </c>
      <c r="AN256" s="2">
        <f t="shared" si="32"/>
        <v>3.8438431141612564E-3</v>
      </c>
      <c r="AP256" s="11">
        <f t="shared" si="33"/>
        <v>3.6973524680381526E-3</v>
      </c>
      <c r="AQ256" s="11">
        <f t="shared" si="34"/>
        <v>1.153152934248377E-3</v>
      </c>
      <c r="AR256" s="11">
        <f t="shared" si="35"/>
        <v>4.8505054022865294E-3</v>
      </c>
    </row>
    <row r="257" spans="2:44" x14ac:dyDescent="0.35">
      <c r="B257" s="1">
        <v>45272</v>
      </c>
      <c r="C257">
        <v>4860.3900000000003</v>
      </c>
      <c r="D257" s="1">
        <v>45272</v>
      </c>
      <c r="E257">
        <v>4.9470000000000001</v>
      </c>
      <c r="F257" s="1">
        <v>45271</v>
      </c>
      <c r="G257">
        <v>110.315</v>
      </c>
      <c r="H257" s="4">
        <f t="shared" si="27"/>
        <v>545728.30499999993</v>
      </c>
      <c r="I257" s="5">
        <v>45272</v>
      </c>
      <c r="J257" s="4">
        <v>5165.05</v>
      </c>
      <c r="K257" s="4">
        <f t="shared" si="28"/>
        <v>51650.5</v>
      </c>
      <c r="L257" s="1">
        <v>45272</v>
      </c>
      <c r="M257">
        <v>5.29</v>
      </c>
      <c r="N257" s="1">
        <v>45272</v>
      </c>
      <c r="O257">
        <v>5.41</v>
      </c>
      <c r="P257" s="1">
        <v>45272</v>
      </c>
      <c r="Q257">
        <v>5.39</v>
      </c>
      <c r="R257" s="1">
        <v>45272</v>
      </c>
      <c r="S257">
        <v>5.4</v>
      </c>
      <c r="T257" s="1">
        <v>45272</v>
      </c>
      <c r="U257">
        <v>5.46</v>
      </c>
      <c r="V257" s="1">
        <v>45272</v>
      </c>
      <c r="W257">
        <v>5.51</v>
      </c>
      <c r="X257" s="1">
        <v>45272</v>
      </c>
      <c r="Y257">
        <f>NETWORKDAYS(X257,$Z$1,FERIADO!$A$2:$A$408)</f>
        <v>1783</v>
      </c>
      <c r="Z257">
        <v>10.74</v>
      </c>
      <c r="AA257" s="6">
        <f t="shared" si="29"/>
        <v>48587.879491424042</v>
      </c>
      <c r="AB257" s="2">
        <f t="shared" si="30"/>
        <v>2.3960891236321454E-3</v>
      </c>
      <c r="AJ257" s="1">
        <v>45272</v>
      </c>
      <c r="AK257">
        <f>NETWORKDAYS(AJ257,$AJ$1,FERIADO!$A$2:$A$408)</f>
        <v>770</v>
      </c>
      <c r="AL257">
        <v>10.01</v>
      </c>
      <c r="AM257" s="6">
        <f t="shared" si="31"/>
        <v>74713.95371642377</v>
      </c>
      <c r="AN257" s="2">
        <f t="shared" si="32"/>
        <v>1.1906728350743244E-3</v>
      </c>
      <c r="AP257" s="11">
        <f t="shared" si="33"/>
        <v>1.1980445618160727E-3</v>
      </c>
      <c r="AQ257" s="11">
        <f t="shared" si="34"/>
        <v>3.5720185052229731E-4</v>
      </c>
      <c r="AR257" s="11">
        <f t="shared" si="35"/>
        <v>1.55524641233837E-3</v>
      </c>
    </row>
    <row r="258" spans="2:44" x14ac:dyDescent="0.35">
      <c r="B258" s="1">
        <v>45271</v>
      </c>
      <c r="C258">
        <v>4840.3900000000003</v>
      </c>
      <c r="D258" s="1">
        <v>45271</v>
      </c>
      <c r="E258">
        <v>4.9433999999999996</v>
      </c>
      <c r="F258" s="1">
        <v>45268</v>
      </c>
      <c r="G258">
        <v>110.343</v>
      </c>
      <c r="H258" s="4">
        <f t="shared" si="27"/>
        <v>545469.58620000002</v>
      </c>
      <c r="I258" s="5">
        <v>45271</v>
      </c>
      <c r="J258" s="4">
        <v>5140.62</v>
      </c>
      <c r="K258" s="4">
        <f t="shared" si="28"/>
        <v>51406.2</v>
      </c>
      <c r="L258" s="1">
        <v>45271</v>
      </c>
      <c r="M258">
        <v>5.37</v>
      </c>
      <c r="N258" s="1">
        <v>45271</v>
      </c>
      <c r="O258">
        <v>5.44</v>
      </c>
      <c r="P258" s="1">
        <v>45271</v>
      </c>
      <c r="Q258">
        <v>5.43</v>
      </c>
      <c r="R258" s="1">
        <v>45271</v>
      </c>
      <c r="S258">
        <v>5.43</v>
      </c>
      <c r="T258" s="1">
        <v>45271</v>
      </c>
      <c r="U258">
        <v>5.52</v>
      </c>
      <c r="V258" s="1">
        <v>45271</v>
      </c>
      <c r="W258">
        <v>5.56</v>
      </c>
      <c r="X258" s="1">
        <v>45271</v>
      </c>
      <c r="Y258">
        <f>NETWORKDAYS(X258,$Z$1,FERIADO!$A$2:$A$408)</f>
        <v>1784</v>
      </c>
      <c r="Z258">
        <v>10.82</v>
      </c>
      <c r="AA258" s="6">
        <f t="shared" si="29"/>
        <v>48320.548623470793</v>
      </c>
      <c r="AB258" s="2">
        <f t="shared" si="30"/>
        <v>-6.5582665958941757E-4</v>
      </c>
      <c r="AJ258" s="1">
        <v>45271</v>
      </c>
      <c r="AK258">
        <f>NETWORKDAYS(AJ258,$AJ$1,FERIADO!$A$2:$A$408)</f>
        <v>771</v>
      </c>
      <c r="AL258">
        <v>10.095000000000001</v>
      </c>
      <c r="AM258" s="6">
        <f t="shared" si="31"/>
        <v>74509.396571837948</v>
      </c>
      <c r="AN258" s="2">
        <f t="shared" si="32"/>
        <v>3.4700157913014124E-4</v>
      </c>
      <c r="AP258" s="11">
        <f t="shared" si="33"/>
        <v>-3.2791332979470878E-4</v>
      </c>
      <c r="AQ258" s="11">
        <f t="shared" si="34"/>
        <v>1.0410047373904238E-4</v>
      </c>
      <c r="AR258" s="11">
        <f t="shared" si="35"/>
        <v>-2.2381285605566639E-4</v>
      </c>
    </row>
    <row r="259" spans="2:44" x14ac:dyDescent="0.35">
      <c r="B259" s="1">
        <v>45268</v>
      </c>
      <c r="C259">
        <v>4819.13</v>
      </c>
      <c r="D259" s="1">
        <v>45268</v>
      </c>
      <c r="E259">
        <v>4.9151999999999996</v>
      </c>
      <c r="F259" s="1">
        <v>45267</v>
      </c>
      <c r="G259">
        <v>111.104</v>
      </c>
      <c r="H259" s="4">
        <f t="shared" si="27"/>
        <v>546098.38079999993</v>
      </c>
      <c r="I259" s="5">
        <v>45268</v>
      </c>
      <c r="J259" s="4">
        <v>5133.3500000000004</v>
      </c>
      <c r="K259" s="4">
        <f t="shared" si="28"/>
        <v>51333.5</v>
      </c>
      <c r="L259" s="1">
        <v>45268</v>
      </c>
      <c r="M259">
        <v>5.39</v>
      </c>
      <c r="N259" s="1">
        <v>45268</v>
      </c>
      <c r="O259">
        <v>5.45</v>
      </c>
      <c r="P259" s="1">
        <v>45268</v>
      </c>
      <c r="Q259">
        <v>5.44</v>
      </c>
      <c r="R259" s="1">
        <v>45268</v>
      </c>
      <c r="S259">
        <v>5.44</v>
      </c>
      <c r="T259" s="1">
        <v>45268</v>
      </c>
      <c r="U259">
        <v>5.52</v>
      </c>
      <c r="V259" s="1">
        <v>45268</v>
      </c>
      <c r="W259">
        <v>5.55</v>
      </c>
      <c r="X259" s="1">
        <v>45268</v>
      </c>
      <c r="Y259">
        <f>NETWORKDAYS(X259,$Z$1,FERIADO!$A$2:$A$408)</f>
        <v>1785</v>
      </c>
      <c r="Z259">
        <v>10.79</v>
      </c>
      <c r="AA259" s="6">
        <f t="shared" si="29"/>
        <v>48393.572446644001</v>
      </c>
      <c r="AB259" s="2">
        <f t="shared" si="30"/>
        <v>-6.5698554864138711E-4</v>
      </c>
      <c r="AJ259" s="1">
        <v>45268</v>
      </c>
      <c r="AK259">
        <f>NETWORKDAYS(AJ259,$AJ$1,FERIADO!$A$2:$A$408)</f>
        <v>772</v>
      </c>
      <c r="AL259">
        <v>10.11</v>
      </c>
      <c r="AM259" s="6">
        <f t="shared" si="31"/>
        <v>74449.887291694264</v>
      </c>
      <c r="AN259" s="2">
        <f t="shared" si="32"/>
        <v>-1.3652108860766002E-4</v>
      </c>
      <c r="AP259" s="11">
        <f t="shared" si="33"/>
        <v>-3.2849277432069355E-4</v>
      </c>
      <c r="AQ259" s="11">
        <f t="shared" si="34"/>
        <v>-4.0956326582298001E-5</v>
      </c>
      <c r="AR259" s="11">
        <f t="shared" si="35"/>
        <v>-3.6944910090299158E-4</v>
      </c>
    </row>
    <row r="260" spans="2:44" x14ac:dyDescent="0.35">
      <c r="B260" s="1">
        <v>45267</v>
      </c>
      <c r="C260">
        <v>4802.13</v>
      </c>
      <c r="D260" s="1">
        <v>45267</v>
      </c>
      <c r="E260">
        <v>4.8943000000000003</v>
      </c>
      <c r="F260" s="1">
        <v>45266</v>
      </c>
      <c r="G260">
        <v>111.125</v>
      </c>
      <c r="H260" s="4">
        <f t="shared" ref="H260:H323" si="36">G260*E260*1000</f>
        <v>543879.08750000014</v>
      </c>
      <c r="I260" s="5">
        <v>45267</v>
      </c>
      <c r="J260" s="4">
        <v>5117.75</v>
      </c>
      <c r="K260" s="4">
        <f t="shared" si="28"/>
        <v>51177.5</v>
      </c>
      <c r="L260" s="1">
        <v>45267</v>
      </c>
      <c r="M260">
        <v>5.37</v>
      </c>
      <c r="N260" s="1">
        <v>45267</v>
      </c>
      <c r="O260">
        <v>5.42</v>
      </c>
      <c r="P260" s="1">
        <v>45267</v>
      </c>
      <c r="Q260">
        <v>5.43</v>
      </c>
      <c r="R260" s="1">
        <v>45267</v>
      </c>
      <c r="S260">
        <v>5.42</v>
      </c>
      <c r="T260" s="1">
        <v>45267</v>
      </c>
      <c r="U260">
        <v>5.5</v>
      </c>
      <c r="V260" s="1">
        <v>45267</v>
      </c>
      <c r="W260">
        <v>5.54</v>
      </c>
      <c r="X260" s="1">
        <v>45267</v>
      </c>
      <c r="Y260">
        <f>NETWORKDAYS(X260,$Z$1,FERIADO!$A$2:$A$408)</f>
        <v>1786</v>
      </c>
      <c r="Z260">
        <v>10.76</v>
      </c>
      <c r="AA260" s="6">
        <f t="shared" si="29"/>
        <v>48466.835956857227</v>
      </c>
      <c r="AB260" s="2">
        <f t="shared" si="30"/>
        <v>1.7612280584744424E-4</v>
      </c>
      <c r="AJ260" s="1">
        <v>45267</v>
      </c>
      <c r="AK260">
        <f>NETWORKDAYS(AJ260,$AJ$1,FERIADO!$A$2:$A$408)</f>
        <v>773</v>
      </c>
      <c r="AL260">
        <v>10.085000000000001</v>
      </c>
      <c r="AM260" s="6">
        <f t="shared" si="31"/>
        <v>74473.294398580299</v>
      </c>
      <c r="AN260" s="2">
        <f t="shared" si="32"/>
        <v>3.4733112016385091E-4</v>
      </c>
      <c r="AP260" s="11">
        <f t="shared" si="33"/>
        <v>8.806140292372212E-5</v>
      </c>
      <c r="AQ260" s="11">
        <f t="shared" si="34"/>
        <v>1.0419933604915527E-4</v>
      </c>
      <c r="AR260" s="11">
        <f t="shared" si="35"/>
        <v>1.9226073897287739E-4</v>
      </c>
    </row>
    <row r="261" spans="2:44" x14ac:dyDescent="0.35">
      <c r="B261" s="1">
        <v>45266</v>
      </c>
      <c r="C261">
        <v>4770.6499999999996</v>
      </c>
      <c r="D261" s="1">
        <v>45266</v>
      </c>
      <c r="E261">
        <v>4.9024999999999999</v>
      </c>
      <c r="F261" s="1">
        <v>45265</v>
      </c>
      <c r="G261">
        <v>110.89400000000001</v>
      </c>
      <c r="H261" s="4">
        <f t="shared" si="36"/>
        <v>543657.83499999996</v>
      </c>
      <c r="I261" s="5">
        <v>45266</v>
      </c>
      <c r="J261" s="4">
        <v>5106.32</v>
      </c>
      <c r="K261" s="4">
        <f t="shared" ref="K261:K324" si="37">J261*10</f>
        <v>51063.199999999997</v>
      </c>
      <c r="L261" s="1">
        <v>45266</v>
      </c>
      <c r="M261">
        <v>5.38</v>
      </c>
      <c r="N261" s="1">
        <v>45266</v>
      </c>
      <c r="O261">
        <v>5.43</v>
      </c>
      <c r="P261" s="1">
        <v>45266</v>
      </c>
      <c r="Q261">
        <v>5.4</v>
      </c>
      <c r="R261" s="1">
        <v>45266</v>
      </c>
      <c r="S261">
        <v>5.4</v>
      </c>
      <c r="T261" s="1">
        <v>45266</v>
      </c>
      <c r="U261">
        <v>5.45</v>
      </c>
      <c r="V261" s="1">
        <v>45266</v>
      </c>
      <c r="W261">
        <v>5.5</v>
      </c>
      <c r="X261" s="1">
        <v>45266</v>
      </c>
      <c r="Y261">
        <f>NETWORKDAYS(X261,$Z$1,FERIADO!$A$2:$A$408)</f>
        <v>1787</v>
      </c>
      <c r="Z261">
        <v>10.76</v>
      </c>
      <c r="AA261" s="6">
        <f t="shared" ref="AA261:AA324" si="38">$Z$2/(1+Z261/100)^(Y261/252)</f>
        <v>48447.184810295636</v>
      </c>
      <c r="AB261" s="2">
        <f t="shared" ref="AB261:AB324" si="39">LOG(AA261/AA262)</f>
        <v>2.4009768754633849E-3</v>
      </c>
      <c r="AJ261" s="1">
        <v>45266</v>
      </c>
      <c r="AK261">
        <f>NETWORKDAYS(AJ261,$AJ$1,FERIADO!$A$2:$A$408)</f>
        <v>774</v>
      </c>
      <c r="AL261">
        <v>10.1</v>
      </c>
      <c r="AM261" s="6">
        <f t="shared" ref="AM261:AM324" si="40">$Z$2/(1+AL261/100)^(AK261/252)</f>
        <v>74413.75748767305</v>
      </c>
      <c r="AN261" s="2">
        <f t="shared" ref="AN261:AN324" si="41">LOG(AM261/AM262)</f>
        <v>8.9348703863582196E-4</v>
      </c>
      <c r="AP261" s="11">
        <f t="shared" ref="AP261:AP324" si="42">AB261*$AF$4</f>
        <v>1.2004884377316925E-3</v>
      </c>
      <c r="AQ261" s="11">
        <f t="shared" ref="AQ261:AQ324" si="43">AN261*$AF$7</f>
        <v>2.680461115907466E-4</v>
      </c>
      <c r="AR261" s="11">
        <f t="shared" ref="AR261:AR324" si="44">AQ261+AP261</f>
        <v>1.4685345493224392E-3</v>
      </c>
    </row>
    <row r="262" spans="2:44" x14ac:dyDescent="0.35">
      <c r="B262" s="1">
        <v>45265</v>
      </c>
      <c r="C262">
        <v>4790.5200000000004</v>
      </c>
      <c r="D262" s="1">
        <v>45265</v>
      </c>
      <c r="E262">
        <v>4.9516</v>
      </c>
      <c r="F262" s="1">
        <v>45264</v>
      </c>
      <c r="G262">
        <v>110.30200000000001</v>
      </c>
      <c r="H262" s="4">
        <f t="shared" si="36"/>
        <v>546171.38320000004</v>
      </c>
      <c r="I262" s="5">
        <v>45265</v>
      </c>
      <c r="J262" s="4">
        <v>5136.47</v>
      </c>
      <c r="K262" s="4">
        <f t="shared" si="37"/>
        <v>51364.700000000004</v>
      </c>
      <c r="L262" s="1">
        <v>45265</v>
      </c>
      <c r="M262">
        <v>5.39</v>
      </c>
      <c r="N262" s="1">
        <v>45265</v>
      </c>
      <c r="O262">
        <v>5.43</v>
      </c>
      <c r="P262" s="1">
        <v>45265</v>
      </c>
      <c r="Q262">
        <v>5.41</v>
      </c>
      <c r="R262" s="1">
        <v>45265</v>
      </c>
      <c r="S262">
        <v>5.41</v>
      </c>
      <c r="T262" s="1">
        <v>45265</v>
      </c>
      <c r="U262">
        <v>5.47</v>
      </c>
      <c r="V262" s="1">
        <v>45265</v>
      </c>
      <c r="W262">
        <v>5.51</v>
      </c>
      <c r="X262" s="1">
        <v>45265</v>
      </c>
      <c r="Y262">
        <f>NETWORKDAYS(X262,$Z$1,FERIADO!$A$2:$A$408)</f>
        <v>1788</v>
      </c>
      <c r="Z262">
        <v>10.84</v>
      </c>
      <c r="AA262" s="6">
        <f t="shared" si="38"/>
        <v>48180.085801389076</v>
      </c>
      <c r="AB262" s="2">
        <f t="shared" si="39"/>
        <v>1.7736713138961498E-4</v>
      </c>
      <c r="AJ262" s="1">
        <v>45265</v>
      </c>
      <c r="AK262">
        <f>NETWORKDAYS(AJ262,$AJ$1,FERIADO!$A$2:$A$408)</f>
        <v>775</v>
      </c>
      <c r="AL262">
        <v>10.16</v>
      </c>
      <c r="AM262" s="6">
        <f t="shared" si="40"/>
        <v>74260.821210880938</v>
      </c>
      <c r="AN262" s="2">
        <f t="shared" si="41"/>
        <v>-7.6062036299467221E-5</v>
      </c>
      <c r="AP262" s="11">
        <f t="shared" si="42"/>
        <v>8.8683565694807489E-5</v>
      </c>
      <c r="AQ262" s="11">
        <f t="shared" si="43"/>
        <v>-2.2818610889840166E-5</v>
      </c>
      <c r="AR262" s="11">
        <f t="shared" si="44"/>
        <v>6.5864954804967327E-5</v>
      </c>
    </row>
    <row r="263" spans="2:44" x14ac:dyDescent="0.35">
      <c r="B263" s="1">
        <v>45264</v>
      </c>
      <c r="C263">
        <v>4784.8</v>
      </c>
      <c r="D263" s="1">
        <v>45264</v>
      </c>
      <c r="E263">
        <v>4.9085000000000001</v>
      </c>
      <c r="F263" s="1">
        <v>45261</v>
      </c>
      <c r="G263">
        <v>110.691</v>
      </c>
      <c r="H263" s="4">
        <f t="shared" si="36"/>
        <v>543326.77350000001</v>
      </c>
      <c r="I263" s="5">
        <v>45264</v>
      </c>
      <c r="J263" s="4">
        <v>5151.0200000000004</v>
      </c>
      <c r="K263" s="4">
        <f t="shared" si="37"/>
        <v>51510.200000000004</v>
      </c>
      <c r="L263" s="1">
        <v>45264</v>
      </c>
      <c r="M263">
        <v>5.39</v>
      </c>
      <c r="N263" s="1">
        <v>45264</v>
      </c>
      <c r="O263">
        <v>5.47</v>
      </c>
      <c r="P263" s="1">
        <v>45264</v>
      </c>
      <c r="Q263">
        <v>5.43</v>
      </c>
      <c r="R263" s="1">
        <v>45264</v>
      </c>
      <c r="S263">
        <v>5.43</v>
      </c>
      <c r="T263" s="1">
        <v>45264</v>
      </c>
      <c r="U263">
        <v>5.5</v>
      </c>
      <c r="V263" s="1">
        <v>45264</v>
      </c>
      <c r="W263">
        <v>5.53</v>
      </c>
      <c r="X263" s="1">
        <v>45264</v>
      </c>
      <c r="Y263">
        <f>NETWORKDAYS(X263,$Z$1,FERIADO!$A$2:$A$408)</f>
        <v>1789</v>
      </c>
      <c r="Z263">
        <v>10.84</v>
      </c>
      <c r="AA263" s="6">
        <f t="shared" si="38"/>
        <v>48160.412931514576</v>
      </c>
      <c r="AB263" s="2">
        <f t="shared" si="39"/>
        <v>-2.3285065392679278E-3</v>
      </c>
      <c r="AJ263" s="1">
        <v>45264</v>
      </c>
      <c r="AK263">
        <f>NETWORKDAYS(AJ263,$AJ$1,FERIADO!$A$2:$A$408)</f>
        <v>776</v>
      </c>
      <c r="AL263">
        <v>10.14</v>
      </c>
      <c r="AM263" s="6">
        <f t="shared" si="40"/>
        <v>74273.828338933075</v>
      </c>
      <c r="AN263" s="2">
        <f t="shared" si="41"/>
        <v>-8.0653928389932679E-4</v>
      </c>
      <c r="AP263" s="11">
        <f t="shared" si="42"/>
        <v>-1.1642532696339639E-3</v>
      </c>
      <c r="AQ263" s="11">
        <f t="shared" si="43"/>
        <v>-2.4196178516979803E-4</v>
      </c>
      <c r="AR263" s="11">
        <f t="shared" si="44"/>
        <v>-1.4062150548037619E-3</v>
      </c>
    </row>
    <row r="264" spans="2:44" x14ac:dyDescent="0.35">
      <c r="B264" s="1">
        <v>45261</v>
      </c>
      <c r="C264">
        <v>4814.4799999999996</v>
      </c>
      <c r="D264" s="1">
        <v>45261</v>
      </c>
      <c r="E264">
        <v>4.9184999999999999</v>
      </c>
      <c r="F264" s="1">
        <v>45260</v>
      </c>
      <c r="G264">
        <v>109.73699999999999</v>
      </c>
      <c r="H264" s="4">
        <f t="shared" si="36"/>
        <v>539741.43449999997</v>
      </c>
      <c r="I264" s="5">
        <v>45261</v>
      </c>
      <c r="J264" s="4">
        <v>5087.6099999999997</v>
      </c>
      <c r="K264" s="4">
        <f t="shared" si="37"/>
        <v>50876.1</v>
      </c>
      <c r="L264" s="1">
        <v>45261</v>
      </c>
      <c r="M264">
        <v>5.39</v>
      </c>
      <c r="N264" s="1">
        <v>45261</v>
      </c>
      <c r="O264">
        <v>5.43</v>
      </c>
      <c r="P264" s="1">
        <v>45261</v>
      </c>
      <c r="Q264">
        <v>5.36</v>
      </c>
      <c r="R264" s="1">
        <v>45261</v>
      </c>
      <c r="S264">
        <v>5.36</v>
      </c>
      <c r="T264" s="1">
        <v>45261</v>
      </c>
      <c r="U264">
        <v>5.43</v>
      </c>
      <c r="V264" s="1">
        <v>45261</v>
      </c>
      <c r="W264">
        <v>5.47</v>
      </c>
      <c r="X264" s="1">
        <v>45261</v>
      </c>
      <c r="Y264">
        <f>NETWORKDAYS(X264,$Z$1,FERIADO!$A$2:$A$408)</f>
        <v>1790</v>
      </c>
      <c r="Z264">
        <v>10.75</v>
      </c>
      <c r="AA264" s="6">
        <f t="shared" si="38"/>
        <v>48419.322514981082</v>
      </c>
      <c r="AB264" s="2">
        <f t="shared" si="39"/>
        <v>7.3331514948028916E-4</v>
      </c>
      <c r="AJ264" s="1">
        <v>45261</v>
      </c>
      <c r="AK264">
        <f>NETWORKDAYS(AJ264,$AJ$1,FERIADO!$A$2:$A$408)</f>
        <v>777</v>
      </c>
      <c r="AL264">
        <v>10.06</v>
      </c>
      <c r="AM264" s="6">
        <f t="shared" si="40"/>
        <v>74411.892308414142</v>
      </c>
      <c r="AN264" s="2">
        <f t="shared" si="41"/>
        <v>5.9151366519287582E-4</v>
      </c>
      <c r="AP264" s="11">
        <f t="shared" si="42"/>
        <v>3.6665757474014458E-4</v>
      </c>
      <c r="AQ264" s="11">
        <f t="shared" si="43"/>
        <v>1.7745409955786275E-4</v>
      </c>
      <c r="AR264" s="11">
        <f t="shared" si="44"/>
        <v>5.441116742980073E-4</v>
      </c>
    </row>
    <row r="265" spans="2:44" x14ac:dyDescent="0.35">
      <c r="B265" s="1">
        <v>45260</v>
      </c>
      <c r="C265">
        <v>4787.7</v>
      </c>
      <c r="D265" s="1">
        <v>45260</v>
      </c>
      <c r="E265">
        <v>4.9348999999999998</v>
      </c>
      <c r="F265" s="1">
        <v>45259</v>
      </c>
      <c r="G265">
        <v>110.285</v>
      </c>
      <c r="H265" s="4">
        <f t="shared" si="36"/>
        <v>544245.44649999996</v>
      </c>
      <c r="I265" s="5">
        <v>45260</v>
      </c>
      <c r="J265" s="4">
        <v>5139.0600000000004</v>
      </c>
      <c r="K265" s="4">
        <f t="shared" si="37"/>
        <v>51390.600000000006</v>
      </c>
      <c r="L265" s="1">
        <v>45260</v>
      </c>
      <c r="M265">
        <v>5.38</v>
      </c>
      <c r="N265" s="1">
        <v>45260</v>
      </c>
      <c r="O265">
        <v>5.42</v>
      </c>
      <c r="P265" s="1">
        <v>45260</v>
      </c>
      <c r="Q265">
        <v>5.39</v>
      </c>
      <c r="R265" s="1">
        <v>45260</v>
      </c>
      <c r="S265">
        <v>5.39</v>
      </c>
      <c r="T265" s="1">
        <v>45260</v>
      </c>
      <c r="U265">
        <v>5.44</v>
      </c>
      <c r="V265" s="1">
        <v>45260</v>
      </c>
      <c r="W265">
        <v>5.47</v>
      </c>
      <c r="X265" s="1">
        <v>45260</v>
      </c>
      <c r="Y265">
        <f>NETWORKDAYS(X265,$Z$1,FERIADO!$A$2:$A$408)</f>
        <v>1791</v>
      </c>
      <c r="Z265">
        <v>10.77</v>
      </c>
      <c r="AA265" s="6">
        <f t="shared" si="38"/>
        <v>48337.634480155873</v>
      </c>
      <c r="AB265" s="2">
        <f t="shared" si="39"/>
        <v>1.7627839568197244E-4</v>
      </c>
      <c r="AJ265" s="1">
        <v>45260</v>
      </c>
      <c r="AK265">
        <f>NETWORKDAYS(AJ265,$AJ$1,FERIADO!$A$2:$A$408)</f>
        <v>778</v>
      </c>
      <c r="AL265">
        <v>10.095000000000001</v>
      </c>
      <c r="AM265" s="6">
        <f t="shared" si="40"/>
        <v>74310.611514621807</v>
      </c>
      <c r="AN265" s="2">
        <f t="shared" si="41"/>
        <v>7.7531646608215872E-4</v>
      </c>
      <c r="AP265" s="11">
        <f t="shared" si="42"/>
        <v>8.8139197840986219E-5</v>
      </c>
      <c r="AQ265" s="11">
        <f t="shared" si="43"/>
        <v>2.3259493982464761E-4</v>
      </c>
      <c r="AR265" s="11">
        <f t="shared" si="44"/>
        <v>3.2073413766563381E-4</v>
      </c>
    </row>
    <row r="266" spans="2:44" x14ac:dyDescent="0.35">
      <c r="B266" s="1">
        <v>45259</v>
      </c>
      <c r="C266">
        <v>4770.82</v>
      </c>
      <c r="D266" s="1">
        <v>45259</v>
      </c>
      <c r="E266">
        <v>4.8926999999999996</v>
      </c>
      <c r="F266" s="1">
        <v>45258</v>
      </c>
      <c r="G266">
        <v>109.504</v>
      </c>
      <c r="H266" s="4">
        <f t="shared" si="36"/>
        <v>535770.22079999989</v>
      </c>
      <c r="I266" s="5">
        <v>45259</v>
      </c>
      <c r="J266" s="4">
        <v>5111.5200000000004</v>
      </c>
      <c r="K266" s="4">
        <f t="shared" si="37"/>
        <v>51115.200000000004</v>
      </c>
      <c r="L266" s="1">
        <v>45259</v>
      </c>
      <c r="M266">
        <v>5.42</v>
      </c>
      <c r="N266" s="1">
        <v>45259</v>
      </c>
      <c r="O266">
        <v>5.45</v>
      </c>
      <c r="P266" s="1">
        <v>45259</v>
      </c>
      <c r="Q266">
        <v>5.39</v>
      </c>
      <c r="R266" s="1">
        <v>45259</v>
      </c>
      <c r="S266">
        <v>5.39</v>
      </c>
      <c r="T266" s="1">
        <v>45259</v>
      </c>
      <c r="U266">
        <v>5.46</v>
      </c>
      <c r="V266" s="1">
        <v>45259</v>
      </c>
      <c r="W266">
        <v>5.51</v>
      </c>
      <c r="X266" s="1">
        <v>45259</v>
      </c>
      <c r="Y266">
        <f>NETWORKDAYS(X266,$Z$1,FERIADO!$A$2:$A$408)</f>
        <v>1792</v>
      </c>
      <c r="Z266">
        <v>10.77</v>
      </c>
      <c r="AA266" s="6">
        <f t="shared" si="38"/>
        <v>48318.018408687218</v>
      </c>
      <c r="AB266" s="2">
        <f t="shared" si="39"/>
        <v>1.8495851368743055E-3</v>
      </c>
      <c r="AJ266" s="1">
        <v>45259</v>
      </c>
      <c r="AK266">
        <f>NETWORKDAYS(AJ266,$AJ$1,FERIADO!$A$2:$A$408)</f>
        <v>779</v>
      </c>
      <c r="AL266">
        <v>10.145</v>
      </c>
      <c r="AM266" s="6">
        <f t="shared" si="40"/>
        <v>74178.068168336933</v>
      </c>
      <c r="AN266" s="2">
        <f t="shared" si="41"/>
        <v>1.2644672273525129E-3</v>
      </c>
      <c r="AP266" s="11">
        <f t="shared" si="42"/>
        <v>9.2479256843715273E-4</v>
      </c>
      <c r="AQ266" s="11">
        <f t="shared" si="43"/>
        <v>3.7934016820575389E-4</v>
      </c>
      <c r="AR266" s="11">
        <f t="shared" si="44"/>
        <v>1.3041327366429066E-3</v>
      </c>
    </row>
    <row r="267" spans="2:44" x14ac:dyDescent="0.35">
      <c r="B267" s="1">
        <v>45258</v>
      </c>
      <c r="C267">
        <v>4773.92</v>
      </c>
      <c r="D267" s="1">
        <v>45258</v>
      </c>
      <c r="E267">
        <v>4.8860999999999999</v>
      </c>
      <c r="F267" s="1">
        <v>45257</v>
      </c>
      <c r="G267">
        <v>108.995</v>
      </c>
      <c r="H267" s="4">
        <f t="shared" si="36"/>
        <v>532560.46950000001</v>
      </c>
      <c r="I267" s="5">
        <v>45258</v>
      </c>
      <c r="J267" s="4">
        <v>5077.13</v>
      </c>
      <c r="K267" s="4">
        <f t="shared" si="37"/>
        <v>50771.3</v>
      </c>
      <c r="L267" s="1">
        <v>45258</v>
      </c>
      <c r="M267">
        <v>5.4</v>
      </c>
      <c r="N267" s="1">
        <v>45258</v>
      </c>
      <c r="O267">
        <v>5.44</v>
      </c>
      <c r="P267" s="1">
        <v>45258</v>
      </c>
      <c r="Q267">
        <v>5.38</v>
      </c>
      <c r="R267" s="1">
        <v>45258</v>
      </c>
      <c r="S267">
        <v>5.38</v>
      </c>
      <c r="T267" s="1">
        <v>45258</v>
      </c>
      <c r="U267">
        <v>5.44</v>
      </c>
      <c r="V267" s="1">
        <v>45258</v>
      </c>
      <c r="W267">
        <v>5.49</v>
      </c>
      <c r="X267" s="1">
        <v>45258</v>
      </c>
      <c r="Y267">
        <f>NETWORKDAYS(X267,$Z$1,FERIADO!$A$2:$A$408)</f>
        <v>1793</v>
      </c>
      <c r="Z267">
        <v>10.83</v>
      </c>
      <c r="AA267" s="6">
        <f t="shared" si="38"/>
        <v>48112.677884625125</v>
      </c>
      <c r="AB267" s="2">
        <f t="shared" si="39"/>
        <v>1.292868159769344E-3</v>
      </c>
      <c r="AJ267" s="1">
        <v>45258</v>
      </c>
      <c r="AK267">
        <f>NETWORKDAYS(AJ267,$AJ$1,FERIADO!$A$2:$A$408)</f>
        <v>780</v>
      </c>
      <c r="AL267">
        <v>10.234999999999999</v>
      </c>
      <c r="AM267" s="6">
        <f t="shared" si="40"/>
        <v>73962.409606382324</v>
      </c>
      <c r="AN267" s="2">
        <f t="shared" si="41"/>
        <v>-1.373498121743061E-4</v>
      </c>
      <c r="AP267" s="11">
        <f t="shared" si="42"/>
        <v>6.46434079884672E-4</v>
      </c>
      <c r="AQ267" s="11">
        <f t="shared" si="43"/>
        <v>-4.1204943652291826E-5</v>
      </c>
      <c r="AR267" s="11">
        <f t="shared" si="44"/>
        <v>6.0522913623238018E-4</v>
      </c>
    </row>
    <row r="268" spans="2:44" x14ac:dyDescent="0.35">
      <c r="B268" s="1">
        <v>45257</v>
      </c>
      <c r="C268">
        <v>4771.87</v>
      </c>
      <c r="D268" s="1">
        <v>45257</v>
      </c>
      <c r="E268">
        <v>4.8944999999999999</v>
      </c>
      <c r="F268" s="1">
        <v>45254</v>
      </c>
      <c r="G268">
        <v>108.379</v>
      </c>
      <c r="H268" s="4">
        <f t="shared" si="36"/>
        <v>530461.01549999998</v>
      </c>
      <c r="I268" s="5">
        <v>45257</v>
      </c>
      <c r="J268" s="4">
        <v>5104.74</v>
      </c>
      <c r="K268" s="4">
        <f t="shared" si="37"/>
        <v>51047.399999999994</v>
      </c>
      <c r="L268" s="1">
        <v>45257</v>
      </c>
      <c r="M268">
        <v>5.4</v>
      </c>
      <c r="N268" s="1">
        <v>45257</v>
      </c>
      <c r="O268">
        <v>5.37</v>
      </c>
      <c r="P268" s="1">
        <v>45257</v>
      </c>
      <c r="Q268">
        <v>5.4</v>
      </c>
      <c r="R268" s="1">
        <v>45257</v>
      </c>
      <c r="S268">
        <v>5.41</v>
      </c>
      <c r="T268" s="1">
        <v>45257</v>
      </c>
      <c r="U268">
        <v>5.46</v>
      </c>
      <c r="V268" s="1">
        <v>45257</v>
      </c>
      <c r="W268">
        <v>5.53</v>
      </c>
      <c r="X268" s="1">
        <v>45257</v>
      </c>
      <c r="Y268">
        <f>NETWORKDAYS(X268,$Z$1,FERIADO!$A$2:$A$408)</f>
        <v>1794</v>
      </c>
      <c r="Z268">
        <v>10.87</v>
      </c>
      <c r="AA268" s="6">
        <f t="shared" si="38"/>
        <v>47969.662359613067</v>
      </c>
      <c r="AB268" s="2">
        <f t="shared" si="39"/>
        <v>3.8029589510845197E-3</v>
      </c>
      <c r="AJ268" s="1">
        <v>45257</v>
      </c>
      <c r="AK268">
        <f>NETWORKDAYS(AJ268,$AJ$1,FERIADO!$A$2:$A$408)</f>
        <v>781</v>
      </c>
      <c r="AL268">
        <v>10.210000000000001</v>
      </c>
      <c r="AM268" s="6">
        <f t="shared" si="40"/>
        <v>73985.804629936916</v>
      </c>
      <c r="AN268" s="2">
        <f t="shared" si="41"/>
        <v>1.9394957932092958E-3</v>
      </c>
      <c r="AP268" s="11">
        <f t="shared" si="42"/>
        <v>1.9014794755422598E-3</v>
      </c>
      <c r="AQ268" s="11">
        <f t="shared" si="43"/>
        <v>5.8184873796278869E-4</v>
      </c>
      <c r="AR268" s="11">
        <f t="shared" si="44"/>
        <v>2.4833282135050486E-3</v>
      </c>
    </row>
    <row r="269" spans="2:44" x14ac:dyDescent="0.35">
      <c r="B269" s="1">
        <v>45254</v>
      </c>
      <c r="C269">
        <v>4772.29</v>
      </c>
      <c r="D269" s="1">
        <v>45254</v>
      </c>
      <c r="E269">
        <v>4.8921000000000001</v>
      </c>
      <c r="F269" s="1">
        <v>45253</v>
      </c>
      <c r="G269">
        <v>108.55</v>
      </c>
      <c r="H269" s="4">
        <f t="shared" si="36"/>
        <v>531037.45500000007</v>
      </c>
      <c r="I269" s="5">
        <v>45254</v>
      </c>
      <c r="J269" s="4">
        <v>5105.78</v>
      </c>
      <c r="K269" s="4">
        <f t="shared" si="37"/>
        <v>51057.799999999996</v>
      </c>
      <c r="L269" s="1">
        <v>45254</v>
      </c>
      <c r="M269">
        <v>5.45</v>
      </c>
      <c r="N269" s="1">
        <v>45254</v>
      </c>
      <c r="O269">
        <v>5.5</v>
      </c>
      <c r="P269" s="1">
        <v>45254</v>
      </c>
      <c r="Q269">
        <v>5.44</v>
      </c>
      <c r="R269" s="1">
        <v>45254</v>
      </c>
      <c r="S269">
        <v>5.44</v>
      </c>
      <c r="T269" s="1">
        <v>45254</v>
      </c>
      <c r="U269">
        <v>5.48</v>
      </c>
      <c r="V269" s="1">
        <v>45254</v>
      </c>
      <c r="W269">
        <v>5.55</v>
      </c>
      <c r="X269" s="1">
        <v>45254</v>
      </c>
      <c r="Y269">
        <f>NETWORKDAYS(X269,$Z$1,FERIADO!$A$2:$A$408)</f>
        <v>1795</v>
      </c>
      <c r="Z269">
        <v>11</v>
      </c>
      <c r="AA269" s="6">
        <f t="shared" si="38"/>
        <v>47551.443227830227</v>
      </c>
      <c r="AB269" s="2">
        <f t="shared" si="39"/>
        <v>1.798530904233118E-4</v>
      </c>
      <c r="AJ269" s="1">
        <v>45254</v>
      </c>
      <c r="AK269">
        <f>NETWORKDAYS(AJ269,$AJ$1,FERIADO!$A$2:$A$408)</f>
        <v>782</v>
      </c>
      <c r="AL269">
        <v>10.355</v>
      </c>
      <c r="AM269" s="6">
        <f t="shared" si="40"/>
        <v>73656.13150483869</v>
      </c>
      <c r="AN269" s="2">
        <f t="shared" si="41"/>
        <v>4.1434634828324757E-4</v>
      </c>
      <c r="AP269" s="11">
        <f t="shared" si="42"/>
        <v>8.9926545211655898E-5</v>
      </c>
      <c r="AQ269" s="11">
        <f t="shared" si="43"/>
        <v>1.2430390448497426E-4</v>
      </c>
      <c r="AR269" s="11">
        <f t="shared" si="44"/>
        <v>2.1423044969663015E-4</v>
      </c>
    </row>
    <row r="270" spans="2:44" x14ac:dyDescent="0.35">
      <c r="B270" s="1">
        <v>45253</v>
      </c>
      <c r="C270">
        <v>4780.37</v>
      </c>
      <c r="D270" s="1">
        <v>45253</v>
      </c>
      <c r="E270">
        <v>4.8925000000000001</v>
      </c>
      <c r="F270" s="1">
        <v>45252</v>
      </c>
      <c r="G270">
        <v>108.8</v>
      </c>
      <c r="H270" s="4">
        <f t="shared" si="36"/>
        <v>532304</v>
      </c>
      <c r="I270" s="5">
        <v>45253</v>
      </c>
      <c r="J270" s="4">
        <v>5116.7299999999996</v>
      </c>
      <c r="K270" s="4">
        <f t="shared" si="37"/>
        <v>51167.299999999996</v>
      </c>
      <c r="L270" s="1">
        <v>45253</v>
      </c>
      <c r="M270">
        <v>5.47</v>
      </c>
      <c r="N270" s="1">
        <v>45253</v>
      </c>
      <c r="O270">
        <v>5.5</v>
      </c>
      <c r="P270" s="1">
        <v>45253</v>
      </c>
      <c r="Q270">
        <v>5.44</v>
      </c>
      <c r="R270" s="1">
        <v>45253</v>
      </c>
      <c r="S270">
        <v>5.44</v>
      </c>
      <c r="T270" s="1">
        <v>45253</v>
      </c>
      <c r="U270">
        <v>5.48</v>
      </c>
      <c r="V270" s="1">
        <v>45253</v>
      </c>
      <c r="W270">
        <v>5.54</v>
      </c>
      <c r="X270" s="1">
        <v>45253</v>
      </c>
      <c r="Y270">
        <f>NETWORKDAYS(X270,$Z$1,FERIADO!$A$2:$A$408)</f>
        <v>1796</v>
      </c>
      <c r="Z270">
        <v>11</v>
      </c>
      <c r="AA270" s="6">
        <f t="shared" si="38"/>
        <v>47531.754966165958</v>
      </c>
      <c r="AB270" s="2">
        <f t="shared" si="39"/>
        <v>-3.7820318097885107E-4</v>
      </c>
      <c r="AJ270" s="1">
        <v>45253</v>
      </c>
      <c r="AK270">
        <f>NETWORKDAYS(AJ270,$AJ$1,FERIADO!$A$2:$A$408)</f>
        <v>783</v>
      </c>
      <c r="AL270">
        <v>10.375</v>
      </c>
      <c r="AM270" s="6">
        <f t="shared" si="40"/>
        <v>73585.892078941964</v>
      </c>
      <c r="AN270" s="2">
        <f t="shared" si="41"/>
        <v>-1.3510752938423457E-5</v>
      </c>
      <c r="AP270" s="11">
        <f t="shared" si="42"/>
        <v>-1.8910159048942554E-4</v>
      </c>
      <c r="AQ270" s="11">
        <f t="shared" si="43"/>
        <v>-4.0532258815270372E-6</v>
      </c>
      <c r="AR270" s="11">
        <f t="shared" si="44"/>
        <v>-1.9315481637095257E-4</v>
      </c>
    </row>
    <row r="271" spans="2:44" x14ac:dyDescent="0.35">
      <c r="B271" s="1">
        <v>45252</v>
      </c>
      <c r="C271">
        <v>4785.08</v>
      </c>
      <c r="D271" s="1">
        <v>45252</v>
      </c>
      <c r="E271">
        <v>4.8962000000000003</v>
      </c>
      <c r="F271" s="1">
        <v>45251</v>
      </c>
      <c r="G271">
        <v>108.929</v>
      </c>
      <c r="H271" s="4">
        <f t="shared" si="36"/>
        <v>533338.16980000003</v>
      </c>
      <c r="I271" s="5">
        <v>45252</v>
      </c>
      <c r="J271" s="4">
        <v>5117.25</v>
      </c>
      <c r="K271" s="4">
        <f t="shared" si="37"/>
        <v>51172.5</v>
      </c>
      <c r="L271" s="1">
        <v>45252</v>
      </c>
      <c r="M271">
        <v>5.48</v>
      </c>
      <c r="N271" s="1">
        <v>45252</v>
      </c>
      <c r="O271">
        <v>5.51</v>
      </c>
      <c r="P271" s="1">
        <v>45252</v>
      </c>
      <c r="Q271">
        <v>5.48</v>
      </c>
      <c r="R271" s="1">
        <v>45252</v>
      </c>
      <c r="S271">
        <v>5.44</v>
      </c>
      <c r="T271" s="1">
        <v>45252</v>
      </c>
      <c r="U271">
        <v>5.48</v>
      </c>
      <c r="V271" s="1">
        <v>45252</v>
      </c>
      <c r="W271">
        <v>5.52</v>
      </c>
      <c r="X271" s="1">
        <v>45252</v>
      </c>
      <c r="Y271">
        <f>NETWORKDAYS(X271,$Z$1,FERIADO!$A$2:$A$408)</f>
        <v>1797</v>
      </c>
      <c r="Z271">
        <v>10.98</v>
      </c>
      <c r="AA271" s="6">
        <f t="shared" si="38"/>
        <v>47573.16578622118</v>
      </c>
      <c r="AB271" s="2">
        <f t="shared" si="39"/>
        <v>1.8543412458404006E-3</v>
      </c>
      <c r="AJ271" s="1">
        <v>45252</v>
      </c>
      <c r="AK271">
        <f>NETWORKDAYS(AJ271,$AJ$1,FERIADO!$A$2:$A$408)</f>
        <v>784</v>
      </c>
      <c r="AL271">
        <v>10.36</v>
      </c>
      <c r="AM271" s="6">
        <f t="shared" si="40"/>
        <v>73588.181346510042</v>
      </c>
      <c r="AN271" s="2">
        <f t="shared" si="41"/>
        <v>1.3339560211239978E-3</v>
      </c>
      <c r="AP271" s="11">
        <f t="shared" si="42"/>
        <v>9.2717062292020029E-4</v>
      </c>
      <c r="AQ271" s="11">
        <f t="shared" si="43"/>
        <v>4.0018680633719934E-4</v>
      </c>
      <c r="AR271" s="11">
        <f t="shared" si="44"/>
        <v>1.3273574292573995E-3</v>
      </c>
    </row>
    <row r="272" spans="2:44" x14ac:dyDescent="0.35">
      <c r="B272" s="1">
        <v>45251</v>
      </c>
      <c r="C272">
        <v>4764.29</v>
      </c>
      <c r="D272" s="1">
        <v>45251</v>
      </c>
      <c r="E272">
        <v>4.88</v>
      </c>
      <c r="F272" s="1">
        <v>45250</v>
      </c>
      <c r="G272">
        <v>108.831</v>
      </c>
      <c r="H272" s="4">
        <f t="shared" si="36"/>
        <v>531095.28</v>
      </c>
      <c r="I272" s="5">
        <v>45251</v>
      </c>
      <c r="J272" s="4">
        <v>5109.95</v>
      </c>
      <c r="K272" s="4">
        <f t="shared" si="37"/>
        <v>51099.5</v>
      </c>
      <c r="L272" s="1">
        <v>45251</v>
      </c>
      <c r="M272">
        <v>5.52</v>
      </c>
      <c r="N272" s="1">
        <v>45251</v>
      </c>
      <c r="O272">
        <v>5.54</v>
      </c>
      <c r="P272" s="1">
        <v>45251</v>
      </c>
      <c r="Q272">
        <v>5.48</v>
      </c>
      <c r="R272" s="1">
        <v>45251</v>
      </c>
      <c r="S272">
        <v>5.49</v>
      </c>
      <c r="T272" s="1">
        <v>45251</v>
      </c>
      <c r="U272">
        <v>5.5</v>
      </c>
      <c r="V272" s="1">
        <v>45251</v>
      </c>
      <c r="W272">
        <v>5.54</v>
      </c>
      <c r="X272" s="1">
        <v>45251</v>
      </c>
      <c r="Y272">
        <f>NETWORKDAYS(X272,$Z$1,FERIADO!$A$2:$A$408)</f>
        <v>1798</v>
      </c>
      <c r="Z272">
        <v>11.04</v>
      </c>
      <c r="AA272" s="6">
        <f t="shared" si="38"/>
        <v>47370.471942147131</v>
      </c>
      <c r="AB272" s="2">
        <f t="shared" si="39"/>
        <v>-2.3334610210364007E-3</v>
      </c>
      <c r="AJ272" s="1">
        <v>45251</v>
      </c>
      <c r="AK272">
        <f>NETWORKDAYS(AJ272,$AJ$1,FERIADO!$A$2:$A$408)</f>
        <v>785</v>
      </c>
      <c r="AL272">
        <v>10.455</v>
      </c>
      <c r="AM272" s="6">
        <f t="shared" si="40"/>
        <v>73362.498545664828</v>
      </c>
      <c r="AN272" s="2">
        <f t="shared" si="41"/>
        <v>-1.362457959181097E-3</v>
      </c>
      <c r="AP272" s="11">
        <f t="shared" si="42"/>
        <v>-1.1667305105182004E-3</v>
      </c>
      <c r="AQ272" s="11">
        <f t="shared" si="43"/>
        <v>-4.0873738775432908E-4</v>
      </c>
      <c r="AR272" s="11">
        <f t="shared" si="44"/>
        <v>-1.5754678982725294E-3</v>
      </c>
    </row>
    <row r="273" spans="2:44" x14ac:dyDescent="0.35">
      <c r="B273" s="1">
        <v>45250</v>
      </c>
      <c r="C273">
        <v>4771.49</v>
      </c>
      <c r="D273" s="1">
        <v>45250</v>
      </c>
      <c r="E273">
        <v>4.8716999999999997</v>
      </c>
      <c r="F273" s="1">
        <v>45247</v>
      </c>
      <c r="G273">
        <v>108.729</v>
      </c>
      <c r="H273" s="4">
        <f t="shared" si="36"/>
        <v>529695.06929999997</v>
      </c>
      <c r="I273" s="5">
        <v>45250</v>
      </c>
      <c r="J273" s="4">
        <v>5059.41</v>
      </c>
      <c r="K273" s="4">
        <f t="shared" si="37"/>
        <v>50594.1</v>
      </c>
      <c r="L273" s="1">
        <v>45250</v>
      </c>
      <c r="M273">
        <v>5.48</v>
      </c>
      <c r="N273" s="1">
        <v>45250</v>
      </c>
      <c r="O273">
        <v>5.51</v>
      </c>
      <c r="P273" s="1">
        <v>45250</v>
      </c>
      <c r="Q273">
        <v>5.45</v>
      </c>
      <c r="R273" s="1">
        <v>45250</v>
      </c>
      <c r="S273">
        <v>5.44</v>
      </c>
      <c r="T273" s="1">
        <v>45250</v>
      </c>
      <c r="U273">
        <v>5.45</v>
      </c>
      <c r="V273" s="1">
        <v>45250</v>
      </c>
      <c r="W273">
        <v>5.5</v>
      </c>
      <c r="X273" s="1">
        <v>45250</v>
      </c>
      <c r="Y273">
        <f>NETWORKDAYS(X273,$Z$1,FERIADO!$A$2:$A$408)</f>
        <v>1799</v>
      </c>
      <c r="Z273">
        <v>10.95</v>
      </c>
      <c r="AA273" s="6">
        <f t="shared" si="38"/>
        <v>47625.678132073554</v>
      </c>
      <c r="AB273" s="2">
        <f t="shared" si="39"/>
        <v>-9.3950392419116138E-4</v>
      </c>
      <c r="AJ273" s="1">
        <v>45250</v>
      </c>
      <c r="AK273">
        <f>NETWORKDAYS(AJ273,$AJ$1,FERIADO!$A$2:$A$408)</f>
        <v>786</v>
      </c>
      <c r="AL273">
        <v>10.33</v>
      </c>
      <c r="AM273" s="6">
        <f t="shared" si="40"/>
        <v>73593.010960285479</v>
      </c>
      <c r="AN273" s="2">
        <f t="shared" si="41"/>
        <v>-1.3794566061624963E-4</v>
      </c>
      <c r="AP273" s="11">
        <f t="shared" si="42"/>
        <v>-4.6975196209558069E-4</v>
      </c>
      <c r="AQ273" s="11">
        <f t="shared" si="43"/>
        <v>-4.1383698184874891E-5</v>
      </c>
      <c r="AR273" s="11">
        <f t="shared" si="44"/>
        <v>-5.1113566028045555E-4</v>
      </c>
    </row>
    <row r="274" spans="2:44" x14ac:dyDescent="0.35">
      <c r="B274" s="1">
        <v>45247</v>
      </c>
      <c r="C274">
        <v>4734.3</v>
      </c>
      <c r="D274" s="1">
        <v>45247</v>
      </c>
      <c r="E274">
        <v>4.8842999999999996</v>
      </c>
      <c r="F274" s="1">
        <v>45246</v>
      </c>
      <c r="G274">
        <v>108.783</v>
      </c>
      <c r="H274" s="4">
        <f t="shared" si="36"/>
        <v>531328.80689999997</v>
      </c>
      <c r="I274" s="5">
        <v>45247</v>
      </c>
      <c r="J274" s="4">
        <v>5118.8100000000004</v>
      </c>
      <c r="K274" s="4">
        <f t="shared" si="37"/>
        <v>51188.100000000006</v>
      </c>
      <c r="L274" s="1">
        <v>45247</v>
      </c>
      <c r="M274">
        <v>5.47</v>
      </c>
      <c r="N274" s="1">
        <v>45247</v>
      </c>
      <c r="O274">
        <v>5.5</v>
      </c>
      <c r="P274" s="1">
        <v>45247</v>
      </c>
      <c r="Q274">
        <v>5.44</v>
      </c>
      <c r="R274" s="1">
        <v>45247</v>
      </c>
      <c r="S274">
        <v>5.42</v>
      </c>
      <c r="T274" s="1">
        <v>45247</v>
      </c>
      <c r="U274">
        <v>5.43</v>
      </c>
      <c r="V274" s="1">
        <v>45247</v>
      </c>
      <c r="W274">
        <v>5.44</v>
      </c>
      <c r="X274" s="1">
        <v>45247</v>
      </c>
      <c r="Y274">
        <f>NETWORKDAYS(X274,$Z$1,FERIADO!$A$2:$A$408)</f>
        <v>1800</v>
      </c>
      <c r="Z274">
        <v>10.91</v>
      </c>
      <c r="AA274" s="6">
        <f t="shared" si="38"/>
        <v>47728.817697295817</v>
      </c>
      <c r="AB274" s="2">
        <f t="shared" si="39"/>
        <v>7.3810661164385989E-4</v>
      </c>
      <c r="AJ274" s="1">
        <v>45247</v>
      </c>
      <c r="AK274">
        <f>NETWORKDAYS(AJ274,$AJ$1,FERIADO!$A$2:$A$408)</f>
        <v>787</v>
      </c>
      <c r="AL274">
        <v>10.305</v>
      </c>
      <c r="AM274" s="6">
        <f t="shared" si="40"/>
        <v>73616.390140495234</v>
      </c>
      <c r="AN274" s="2">
        <f t="shared" si="41"/>
        <v>3.5369013604330914E-4</v>
      </c>
      <c r="AP274" s="11">
        <f t="shared" si="42"/>
        <v>3.6905330582192995E-4</v>
      </c>
      <c r="AQ274" s="11">
        <f t="shared" si="43"/>
        <v>1.0610704081299273E-4</v>
      </c>
      <c r="AR274" s="11">
        <f t="shared" si="44"/>
        <v>4.7516034663492267E-4</v>
      </c>
    </row>
    <row r="275" spans="2:44" x14ac:dyDescent="0.35">
      <c r="B275" s="1">
        <v>45246</v>
      </c>
      <c r="C275">
        <v>4738.21</v>
      </c>
      <c r="D275" s="1">
        <v>45246</v>
      </c>
      <c r="E275">
        <v>4.8569000000000004</v>
      </c>
      <c r="F275" s="1">
        <v>45244</v>
      </c>
      <c r="G275">
        <v>108.85899999999999</v>
      </c>
      <c r="H275" s="4">
        <f t="shared" si="36"/>
        <v>528717.27710000006</v>
      </c>
      <c r="I275" s="5">
        <v>45246</v>
      </c>
      <c r="J275" s="4">
        <v>5075.5600000000004</v>
      </c>
      <c r="K275" s="4">
        <f t="shared" si="37"/>
        <v>50755.600000000006</v>
      </c>
      <c r="L275" s="1">
        <v>45246</v>
      </c>
      <c r="M275">
        <v>5.52</v>
      </c>
      <c r="N275" s="1">
        <v>45246</v>
      </c>
      <c r="O275">
        <v>5.57</v>
      </c>
      <c r="P275" s="1">
        <v>45246</v>
      </c>
      <c r="Q275">
        <v>5.5</v>
      </c>
      <c r="R275" s="1">
        <v>45246</v>
      </c>
      <c r="S275">
        <v>5.43</v>
      </c>
      <c r="T275" s="1">
        <v>45246</v>
      </c>
      <c r="U275">
        <v>5.49</v>
      </c>
      <c r="V275" s="1">
        <v>45246</v>
      </c>
      <c r="W275">
        <v>5.51</v>
      </c>
      <c r="X275" s="1">
        <v>45246</v>
      </c>
      <c r="Y275">
        <f>NETWORKDAYS(X275,$Z$1,FERIADO!$A$2:$A$408)</f>
        <v>1801</v>
      </c>
      <c r="Z275">
        <v>10.93</v>
      </c>
      <c r="AA275" s="6">
        <f t="shared" si="38"/>
        <v>47647.768921445029</v>
      </c>
      <c r="AB275" s="2">
        <f t="shared" si="39"/>
        <v>2.6973470055087034E-3</v>
      </c>
      <c r="AJ275" s="1">
        <v>45246</v>
      </c>
      <c r="AK275">
        <f>NETWORKDAYS(AJ275,$AJ$1,FERIADO!$A$2:$A$408)</f>
        <v>788</v>
      </c>
      <c r="AL275">
        <v>10.32</v>
      </c>
      <c r="AM275" s="6">
        <f t="shared" si="40"/>
        <v>73556.461238427524</v>
      </c>
      <c r="AN275" s="2">
        <f t="shared" si="41"/>
        <v>1.2781107105582189E-3</v>
      </c>
      <c r="AP275" s="11">
        <f t="shared" si="42"/>
        <v>1.3486735027543517E-3</v>
      </c>
      <c r="AQ275" s="11">
        <f t="shared" si="43"/>
        <v>3.8343321316746564E-4</v>
      </c>
      <c r="AR275" s="11">
        <f t="shared" si="44"/>
        <v>1.7321067159218172E-3</v>
      </c>
    </row>
    <row r="276" spans="2:44" x14ac:dyDescent="0.35">
      <c r="B276" s="1">
        <v>45244</v>
      </c>
      <c r="C276">
        <v>4722.66</v>
      </c>
      <c r="D276" s="1">
        <v>45244</v>
      </c>
      <c r="E276">
        <v>4.8676000000000004</v>
      </c>
      <c r="F276" s="1">
        <v>45243</v>
      </c>
      <c r="G276">
        <v>107.416</v>
      </c>
      <c r="H276" s="4">
        <f t="shared" si="36"/>
        <v>522858.12160000001</v>
      </c>
      <c r="I276" s="5">
        <v>45244</v>
      </c>
      <c r="J276" s="4">
        <v>5081.3</v>
      </c>
      <c r="K276" s="4">
        <f t="shared" si="37"/>
        <v>50813</v>
      </c>
      <c r="L276" s="1">
        <v>45244</v>
      </c>
      <c r="M276">
        <v>5.61</v>
      </c>
      <c r="N276" s="1">
        <v>45244</v>
      </c>
      <c r="O276">
        <v>5.64</v>
      </c>
      <c r="P276" s="1">
        <v>45244</v>
      </c>
      <c r="Q276">
        <v>5.57</v>
      </c>
      <c r="R276" s="1">
        <v>45244</v>
      </c>
      <c r="S276">
        <v>5.54</v>
      </c>
      <c r="T276" s="1">
        <v>45244</v>
      </c>
      <c r="U276">
        <v>5.54</v>
      </c>
      <c r="V276" s="1">
        <v>45244</v>
      </c>
      <c r="W276">
        <v>5.56</v>
      </c>
      <c r="X276" s="1">
        <v>45244</v>
      </c>
      <c r="Y276">
        <f>NETWORKDAYS(X276,$Z$1,FERIADO!$A$2:$A$408)</f>
        <v>1802</v>
      </c>
      <c r="Z276">
        <v>11.02</v>
      </c>
      <c r="AA276" s="6">
        <f t="shared" si="38"/>
        <v>47352.751879722819</v>
      </c>
      <c r="AB276" s="2">
        <f t="shared" si="39"/>
        <v>5.4934167950305172E-3</v>
      </c>
      <c r="AJ276" s="1">
        <v>45244</v>
      </c>
      <c r="AK276">
        <f>NETWORKDAYS(AJ276,$AJ$1,FERIADO!$A$2:$A$408)</f>
        <v>789</v>
      </c>
      <c r="AL276">
        <v>10.41</v>
      </c>
      <c r="AM276" s="6">
        <f t="shared" si="40"/>
        <v>73340.305837356849</v>
      </c>
      <c r="AN276" s="2">
        <f t="shared" si="41"/>
        <v>3.1884452016914832E-3</v>
      </c>
      <c r="AP276" s="11">
        <f t="shared" si="42"/>
        <v>2.7467083975152586E-3</v>
      </c>
      <c r="AQ276" s="11">
        <f t="shared" si="43"/>
        <v>9.565335605074449E-4</v>
      </c>
      <c r="AR276" s="11">
        <f t="shared" si="44"/>
        <v>3.7032419580227036E-3</v>
      </c>
    </row>
    <row r="277" spans="2:44" x14ac:dyDescent="0.35">
      <c r="B277" s="1">
        <v>45243</v>
      </c>
      <c r="C277">
        <v>4630.93</v>
      </c>
      <c r="D277" s="1">
        <v>45243</v>
      </c>
      <c r="E277">
        <v>4.9240000000000004</v>
      </c>
      <c r="F277" s="1">
        <v>45240</v>
      </c>
      <c r="G277">
        <v>107.438</v>
      </c>
      <c r="H277" s="4">
        <f t="shared" si="36"/>
        <v>529024.71200000006</v>
      </c>
      <c r="I277" s="5">
        <v>45243</v>
      </c>
      <c r="J277" s="4">
        <v>5124.54</v>
      </c>
      <c r="K277" s="4">
        <f t="shared" si="37"/>
        <v>51245.4</v>
      </c>
      <c r="L277" s="1">
        <v>45243</v>
      </c>
      <c r="M277">
        <v>5.78</v>
      </c>
      <c r="N277" s="1">
        <v>45243</v>
      </c>
      <c r="O277">
        <v>5.76</v>
      </c>
      <c r="P277" s="1">
        <v>45243</v>
      </c>
      <c r="Q277">
        <v>5.69</v>
      </c>
      <c r="R277" s="1">
        <v>45243</v>
      </c>
      <c r="S277">
        <v>5.63</v>
      </c>
      <c r="T277" s="1">
        <v>45243</v>
      </c>
      <c r="U277">
        <v>5.63</v>
      </c>
      <c r="V277" s="1">
        <v>45243</v>
      </c>
      <c r="W277">
        <v>5.62</v>
      </c>
      <c r="X277" s="1">
        <v>45243</v>
      </c>
      <c r="Y277">
        <f>NETWORKDAYS(X277,$Z$1,FERIADO!$A$2:$A$408)</f>
        <v>1803</v>
      </c>
      <c r="Z277">
        <v>11.21</v>
      </c>
      <c r="AA277" s="6">
        <f t="shared" si="38"/>
        <v>46757.556365565608</v>
      </c>
      <c r="AB277" s="2">
        <f t="shared" si="39"/>
        <v>-3.7606164561250645E-4</v>
      </c>
      <c r="AJ277" s="1">
        <v>45243</v>
      </c>
      <c r="AK277">
        <f>NETWORKDAYS(AJ277,$AJ$1,FERIADO!$A$2:$A$408)</f>
        <v>790</v>
      </c>
      <c r="AL277">
        <v>10.654999999999999</v>
      </c>
      <c r="AM277" s="6">
        <f t="shared" si="40"/>
        <v>72803.837474380271</v>
      </c>
      <c r="AN277" s="2">
        <f t="shared" si="41"/>
        <v>-2.5675859836878995E-4</v>
      </c>
      <c r="AP277" s="11">
        <f t="shared" si="42"/>
        <v>-1.8803082280625323E-4</v>
      </c>
      <c r="AQ277" s="11">
        <f t="shared" si="43"/>
        <v>-7.702757951063698E-5</v>
      </c>
      <c r="AR277" s="11">
        <f t="shared" si="44"/>
        <v>-2.6505840231689018E-4</v>
      </c>
    </row>
    <row r="278" spans="2:44" x14ac:dyDescent="0.35">
      <c r="B278" s="1">
        <v>45240</v>
      </c>
      <c r="C278">
        <v>4637.25</v>
      </c>
      <c r="D278" s="1">
        <v>45240</v>
      </c>
      <c r="E278">
        <v>4.9212999999999996</v>
      </c>
      <c r="F278" s="1">
        <v>45239</v>
      </c>
      <c r="G278">
        <v>107.45099999999999</v>
      </c>
      <c r="H278" s="4">
        <f t="shared" si="36"/>
        <v>528798.60629999998</v>
      </c>
      <c r="I278" s="5">
        <v>45240</v>
      </c>
      <c r="J278" s="4">
        <v>5119.8500000000004</v>
      </c>
      <c r="K278" s="4">
        <f t="shared" si="37"/>
        <v>51198.5</v>
      </c>
      <c r="L278" s="1">
        <v>45240</v>
      </c>
      <c r="M278">
        <v>5.72</v>
      </c>
      <c r="N278" s="1">
        <v>45240</v>
      </c>
      <c r="O278">
        <v>5.71</v>
      </c>
      <c r="P278" s="1">
        <v>45240</v>
      </c>
      <c r="Q278">
        <v>5.64</v>
      </c>
      <c r="R278" s="1">
        <v>45240</v>
      </c>
      <c r="S278">
        <v>5.58</v>
      </c>
      <c r="T278" s="1">
        <v>45240</v>
      </c>
      <c r="U278">
        <v>5.58</v>
      </c>
      <c r="V278" s="1">
        <v>45240</v>
      </c>
      <c r="W278">
        <v>5.61</v>
      </c>
      <c r="X278" s="1">
        <v>45240</v>
      </c>
      <c r="Y278">
        <f>NETWORKDAYS(X278,$Z$1,FERIADO!$A$2:$A$408)</f>
        <v>1804</v>
      </c>
      <c r="Z278">
        <v>11.19</v>
      </c>
      <c r="AA278" s="6">
        <f t="shared" si="38"/>
        <v>46798.061920018241</v>
      </c>
      <c r="AB278" s="2">
        <f t="shared" si="39"/>
        <v>4.0970636205705296E-3</v>
      </c>
      <c r="AJ278" s="1">
        <v>45240</v>
      </c>
      <c r="AK278">
        <f>NETWORKDAYS(AJ278,$AJ$1,FERIADO!$A$2:$A$408)</f>
        <v>791</v>
      </c>
      <c r="AL278">
        <v>10.62</v>
      </c>
      <c r="AM278" s="6">
        <f t="shared" si="40"/>
        <v>72846.892449444043</v>
      </c>
      <c r="AN278" s="2">
        <f t="shared" si="41"/>
        <v>2.2083393285402416E-3</v>
      </c>
      <c r="AP278" s="11">
        <f t="shared" si="42"/>
        <v>2.0485318102852648E-3</v>
      </c>
      <c r="AQ278" s="11">
        <f t="shared" si="43"/>
        <v>6.625017985620725E-4</v>
      </c>
      <c r="AR278" s="11">
        <f t="shared" si="44"/>
        <v>2.7110336088473374E-3</v>
      </c>
    </row>
    <row r="279" spans="2:44" x14ac:dyDescent="0.35">
      <c r="B279" s="1">
        <v>45239</v>
      </c>
      <c r="C279">
        <v>4562.92</v>
      </c>
      <c r="D279" s="1">
        <v>45239</v>
      </c>
      <c r="E279">
        <v>4.9001000000000001</v>
      </c>
      <c r="F279" s="1">
        <v>45238</v>
      </c>
      <c r="G279">
        <v>108.36499999999999</v>
      </c>
      <c r="H279" s="4">
        <f t="shared" si="36"/>
        <v>530999.33649999998</v>
      </c>
      <c r="I279" s="5">
        <v>45239</v>
      </c>
      <c r="J279" s="4">
        <v>5155.28</v>
      </c>
      <c r="K279" s="4">
        <f t="shared" si="37"/>
        <v>51552.799999999996</v>
      </c>
      <c r="L279" s="1">
        <v>45239</v>
      </c>
      <c r="M279">
        <v>5.8</v>
      </c>
      <c r="N279" s="1">
        <v>45239</v>
      </c>
      <c r="O279">
        <v>5.76</v>
      </c>
      <c r="P279" s="1">
        <v>45239</v>
      </c>
      <c r="Q279">
        <v>5.69</v>
      </c>
      <c r="R279" s="1">
        <v>45239</v>
      </c>
      <c r="S279">
        <v>5.62</v>
      </c>
      <c r="T279" s="1">
        <v>45239</v>
      </c>
      <c r="U279">
        <v>5.58</v>
      </c>
      <c r="V279" s="1">
        <v>45239</v>
      </c>
      <c r="W279">
        <v>5.6</v>
      </c>
      <c r="X279" s="1">
        <v>45239</v>
      </c>
      <c r="Y279">
        <f>NETWORKDAYS(X279,$Z$1,FERIADO!$A$2:$A$408)</f>
        <v>1805</v>
      </c>
      <c r="Z279">
        <v>11.33</v>
      </c>
      <c r="AA279" s="6">
        <f t="shared" si="38"/>
        <v>46358.652520349424</v>
      </c>
      <c r="AB279" s="2">
        <f t="shared" si="39"/>
        <v>-2.8918122639366335E-3</v>
      </c>
      <c r="AJ279" s="1">
        <v>45239</v>
      </c>
      <c r="AK279">
        <f>NETWORKDAYS(AJ279,$AJ$1,FERIADO!$A$2:$A$408)</f>
        <v>792</v>
      </c>
      <c r="AL279">
        <v>10.785</v>
      </c>
      <c r="AM279" s="6">
        <f t="shared" si="40"/>
        <v>72477.414245423774</v>
      </c>
      <c r="AN279" s="2">
        <f t="shared" si="41"/>
        <v>-1.3663646379018614E-3</v>
      </c>
      <c r="AP279" s="11">
        <f t="shared" si="42"/>
        <v>-1.4459061319683168E-3</v>
      </c>
      <c r="AQ279" s="11">
        <f t="shared" si="43"/>
        <v>-4.0990939137055843E-4</v>
      </c>
      <c r="AR279" s="11">
        <f t="shared" si="44"/>
        <v>-1.8558155233388751E-3</v>
      </c>
    </row>
    <row r="280" spans="2:44" x14ac:dyDescent="0.35">
      <c r="B280" s="1">
        <v>45238</v>
      </c>
      <c r="C280">
        <v>4599.1899999999996</v>
      </c>
      <c r="D280" s="1">
        <v>45238</v>
      </c>
      <c r="E280">
        <v>4.8849</v>
      </c>
      <c r="F280" s="1">
        <v>45237</v>
      </c>
      <c r="G280">
        <v>108.09</v>
      </c>
      <c r="H280" s="4">
        <f t="shared" si="36"/>
        <v>528008.84100000013</v>
      </c>
      <c r="I280" s="5">
        <v>45238</v>
      </c>
      <c r="J280" s="4">
        <v>5129.75</v>
      </c>
      <c r="K280" s="4">
        <f t="shared" si="37"/>
        <v>51297.5</v>
      </c>
      <c r="L280" s="1">
        <v>45238</v>
      </c>
      <c r="M280">
        <v>5.8</v>
      </c>
      <c r="N280" s="1">
        <v>45238</v>
      </c>
      <c r="O280">
        <v>5.75</v>
      </c>
      <c r="P280" s="1">
        <v>45238</v>
      </c>
      <c r="Q280">
        <v>5.65</v>
      </c>
      <c r="R280" s="1">
        <v>45238</v>
      </c>
      <c r="S280">
        <v>5.58</v>
      </c>
      <c r="T280" s="1">
        <v>45238</v>
      </c>
      <c r="U280">
        <v>5.58</v>
      </c>
      <c r="V280" s="1">
        <v>45238</v>
      </c>
      <c r="W280">
        <v>5.58</v>
      </c>
      <c r="X280" s="1">
        <v>45238</v>
      </c>
      <c r="Y280">
        <f>NETWORKDAYS(X280,$Z$1,FERIADO!$A$2:$A$408)</f>
        <v>1806</v>
      </c>
      <c r="Z280">
        <v>11.22</v>
      </c>
      <c r="AA280" s="6">
        <f t="shared" si="38"/>
        <v>46668.368274133609</v>
      </c>
      <c r="AB280" s="2">
        <f t="shared" si="39"/>
        <v>2.9820138778235829E-3</v>
      </c>
      <c r="AJ280" s="1">
        <v>45238</v>
      </c>
      <c r="AK280">
        <f>NETWORKDAYS(AJ280,$AJ$1,FERIADO!$A$2:$A$408)</f>
        <v>793</v>
      </c>
      <c r="AL280">
        <v>10.66</v>
      </c>
      <c r="AM280" s="6">
        <f t="shared" si="40"/>
        <v>72705.799654546834</v>
      </c>
      <c r="AN280" s="2">
        <f t="shared" si="41"/>
        <v>1.4723337927040425E-3</v>
      </c>
      <c r="AP280" s="11">
        <f t="shared" si="42"/>
        <v>1.4910069389117914E-3</v>
      </c>
      <c r="AQ280" s="11">
        <f t="shared" si="43"/>
        <v>4.4170013781121275E-4</v>
      </c>
      <c r="AR280" s="11">
        <f t="shared" si="44"/>
        <v>1.9327070767230041E-3</v>
      </c>
    </row>
    <row r="281" spans="2:44" x14ac:dyDescent="0.35">
      <c r="B281" s="1">
        <v>45237</v>
      </c>
      <c r="C281">
        <v>4598.08</v>
      </c>
      <c r="D281" s="1">
        <v>45237</v>
      </c>
      <c r="E281">
        <v>4.8663999999999996</v>
      </c>
      <c r="F281" s="1">
        <v>45236</v>
      </c>
      <c r="G281">
        <v>107.68</v>
      </c>
      <c r="H281" s="4">
        <f t="shared" si="36"/>
        <v>524013.95199999999</v>
      </c>
      <c r="I281" s="5">
        <v>45237</v>
      </c>
      <c r="J281" s="4">
        <v>5090.67</v>
      </c>
      <c r="K281" s="4">
        <f t="shared" si="37"/>
        <v>50906.7</v>
      </c>
      <c r="L281" s="1">
        <v>45237</v>
      </c>
      <c r="M281">
        <v>5.84</v>
      </c>
      <c r="N281" s="1">
        <v>45237</v>
      </c>
      <c r="O281">
        <v>5.78</v>
      </c>
      <c r="P281" s="1">
        <v>45237</v>
      </c>
      <c r="Q281">
        <v>5.68</v>
      </c>
      <c r="R281" s="1">
        <v>45237</v>
      </c>
      <c r="S281">
        <v>5.62</v>
      </c>
      <c r="T281" s="1">
        <v>45237</v>
      </c>
      <c r="U281">
        <v>5.62</v>
      </c>
      <c r="V281" s="1">
        <v>45237</v>
      </c>
      <c r="W281">
        <v>5.63</v>
      </c>
      <c r="X281" s="1">
        <v>45237</v>
      </c>
      <c r="Y281">
        <f>NETWORKDAYS(X281,$Z$1,FERIADO!$A$2:$A$408)</f>
        <v>1807</v>
      </c>
      <c r="Z281">
        <v>11.32</v>
      </c>
      <c r="AA281" s="6">
        <f t="shared" si="38"/>
        <v>46349.024972167339</v>
      </c>
      <c r="AB281" s="2">
        <f t="shared" si="39"/>
        <v>4.6600618228824064E-3</v>
      </c>
      <c r="AJ281" s="1">
        <v>45237</v>
      </c>
      <c r="AK281">
        <f>NETWORKDAYS(AJ281,$AJ$1,FERIADO!$A$2:$A$408)</f>
        <v>794</v>
      </c>
      <c r="AL281">
        <v>10.765000000000001</v>
      </c>
      <c r="AM281" s="6">
        <f t="shared" si="40"/>
        <v>72459.731696578805</v>
      </c>
      <c r="AN281" s="2">
        <f t="shared" si="41"/>
        <v>1.9068219917698407E-3</v>
      </c>
      <c r="AP281" s="11">
        <f t="shared" si="42"/>
        <v>2.3300309114412032E-3</v>
      </c>
      <c r="AQ281" s="11">
        <f t="shared" si="43"/>
        <v>5.7204659753095223E-4</v>
      </c>
      <c r="AR281" s="11">
        <f t="shared" si="44"/>
        <v>2.9020775089721555E-3</v>
      </c>
    </row>
    <row r="282" spans="2:44" x14ac:dyDescent="0.35">
      <c r="B282" s="1">
        <v>45236</v>
      </c>
      <c r="C282">
        <v>4586.71</v>
      </c>
      <c r="D282" s="1">
        <v>45236</v>
      </c>
      <c r="E282">
        <v>4.8993000000000002</v>
      </c>
      <c r="F282" s="1">
        <v>45233</v>
      </c>
      <c r="G282">
        <v>108.221</v>
      </c>
      <c r="H282" s="4">
        <f t="shared" si="36"/>
        <v>530207.14530000009</v>
      </c>
      <c r="I282" s="5">
        <v>45236</v>
      </c>
      <c r="J282" s="4">
        <v>5106.83</v>
      </c>
      <c r="K282" s="4">
        <f t="shared" si="37"/>
        <v>51068.3</v>
      </c>
      <c r="L282" s="1">
        <v>45236</v>
      </c>
      <c r="M282">
        <v>5.89</v>
      </c>
      <c r="N282" s="1">
        <v>45236</v>
      </c>
      <c r="O282">
        <v>5.85</v>
      </c>
      <c r="P282" s="1">
        <v>45236</v>
      </c>
      <c r="Q282">
        <v>5.74</v>
      </c>
      <c r="R282" s="1">
        <v>45236</v>
      </c>
      <c r="S282">
        <v>5.68</v>
      </c>
      <c r="T282" s="1">
        <v>45236</v>
      </c>
      <c r="U282">
        <v>5.67</v>
      </c>
      <c r="V282" s="1">
        <v>45236</v>
      </c>
      <c r="W282">
        <v>5.68</v>
      </c>
      <c r="X282" s="1">
        <v>45236</v>
      </c>
      <c r="Y282">
        <f>NETWORKDAYS(X282,$Z$1,FERIADO!$A$2:$A$408)</f>
        <v>1808</v>
      </c>
      <c r="Z282">
        <v>11.48</v>
      </c>
      <c r="AA282" s="6">
        <f t="shared" si="38"/>
        <v>45854.349904273717</v>
      </c>
      <c r="AB282" s="2">
        <f t="shared" si="39"/>
        <v>-3.4503702229244865E-3</v>
      </c>
      <c r="AJ282" s="1">
        <v>45236</v>
      </c>
      <c r="AK282">
        <f>NETWORKDAYS(AJ282,$AJ$1,FERIADO!$A$2:$A$408)</f>
        <v>795</v>
      </c>
      <c r="AL282">
        <v>10.904999999999999</v>
      </c>
      <c r="AM282" s="6">
        <f t="shared" si="40"/>
        <v>72142.285958882596</v>
      </c>
      <c r="AN282" s="2">
        <f t="shared" si="41"/>
        <v>-1.4305768688188663E-3</v>
      </c>
      <c r="AP282" s="11">
        <f t="shared" si="42"/>
        <v>-1.7251851114622433E-3</v>
      </c>
      <c r="AQ282" s="11">
        <f t="shared" si="43"/>
        <v>-4.2917306064565986E-4</v>
      </c>
      <c r="AR282" s="11">
        <f t="shared" si="44"/>
        <v>-2.1543581721079029E-3</v>
      </c>
    </row>
    <row r="283" spans="2:44" x14ac:dyDescent="0.35">
      <c r="B283" s="1">
        <v>45233</v>
      </c>
      <c r="C283">
        <v>4582.1099999999997</v>
      </c>
      <c r="D283" s="1">
        <v>45233</v>
      </c>
      <c r="E283">
        <v>4.8903999999999996</v>
      </c>
      <c r="F283" s="1">
        <v>45231</v>
      </c>
      <c r="G283">
        <v>107.16500000000001</v>
      </c>
      <c r="H283" s="4">
        <f t="shared" si="36"/>
        <v>524079.71599999996</v>
      </c>
      <c r="I283" s="5">
        <v>45233</v>
      </c>
      <c r="J283" s="4">
        <v>5125.0600000000004</v>
      </c>
      <c r="K283" s="4">
        <f t="shared" si="37"/>
        <v>51250.600000000006</v>
      </c>
      <c r="L283" s="1">
        <v>45233</v>
      </c>
      <c r="M283">
        <v>5.84</v>
      </c>
      <c r="N283" s="1">
        <v>45233</v>
      </c>
      <c r="O283">
        <v>5.81</v>
      </c>
      <c r="P283" s="1">
        <v>45233</v>
      </c>
      <c r="Q283">
        <v>5.68</v>
      </c>
      <c r="R283" s="1">
        <v>45233</v>
      </c>
      <c r="S283">
        <v>5.61</v>
      </c>
      <c r="T283" s="1">
        <v>45233</v>
      </c>
      <c r="U283">
        <v>5.61</v>
      </c>
      <c r="V283" s="1">
        <v>45233</v>
      </c>
      <c r="W283">
        <v>5.63</v>
      </c>
      <c r="X283" s="1">
        <v>45233</v>
      </c>
      <c r="Y283">
        <f>NETWORKDAYS(X283,$Z$1,FERIADO!$A$2:$A$408)</f>
        <v>1809</v>
      </c>
      <c r="Z283">
        <v>11.35</v>
      </c>
      <c r="AA283" s="6">
        <f t="shared" si="38"/>
        <v>46220.103204752661</v>
      </c>
      <c r="AB283" s="2">
        <f t="shared" si="39"/>
        <v>6.6218089132581313E-3</v>
      </c>
      <c r="AJ283" s="1">
        <v>45233</v>
      </c>
      <c r="AK283">
        <f>NETWORKDAYS(AJ283,$AJ$1,FERIADO!$A$2:$A$408)</f>
        <v>796</v>
      </c>
      <c r="AL283">
        <v>10.775</v>
      </c>
      <c r="AM283" s="6">
        <f t="shared" si="40"/>
        <v>72380.316274076438</v>
      </c>
      <c r="AN283" s="2">
        <f t="shared" si="41"/>
        <v>3.087126534179523E-3</v>
      </c>
      <c r="AP283" s="11">
        <f t="shared" si="42"/>
        <v>3.3109044566290657E-3</v>
      </c>
      <c r="AQ283" s="11">
        <f t="shared" si="43"/>
        <v>9.2613796025385684E-4</v>
      </c>
      <c r="AR283" s="11">
        <f t="shared" si="44"/>
        <v>4.2370424168829222E-3</v>
      </c>
    </row>
    <row r="284" spans="2:44" x14ac:dyDescent="0.35">
      <c r="B284" s="1">
        <v>45231</v>
      </c>
      <c r="C284">
        <v>4456.3500000000004</v>
      </c>
      <c r="D284" s="1">
        <v>45231</v>
      </c>
      <c r="E284">
        <v>5.0187999999999997</v>
      </c>
      <c r="F284" s="1">
        <v>45230</v>
      </c>
      <c r="G284">
        <v>105.89100000000001</v>
      </c>
      <c r="H284" s="4">
        <f t="shared" si="36"/>
        <v>531445.75080000004</v>
      </c>
      <c r="I284" s="5">
        <v>45231</v>
      </c>
      <c r="J284" s="4">
        <v>5180.3</v>
      </c>
      <c r="K284" s="4">
        <f t="shared" si="37"/>
        <v>51803</v>
      </c>
      <c r="L284" s="1">
        <v>45231</v>
      </c>
      <c r="M284">
        <v>5.92</v>
      </c>
      <c r="N284" s="1">
        <v>45231</v>
      </c>
      <c r="O284">
        <v>5.98</v>
      </c>
      <c r="P284" s="1">
        <v>45231</v>
      </c>
      <c r="Q284">
        <v>5.75</v>
      </c>
      <c r="R284" s="1">
        <v>45231</v>
      </c>
      <c r="S284">
        <v>5.67</v>
      </c>
      <c r="T284" s="1">
        <v>45231</v>
      </c>
      <c r="U284">
        <v>5.68</v>
      </c>
      <c r="V284" s="1">
        <v>45231</v>
      </c>
      <c r="W284">
        <v>5.81</v>
      </c>
      <c r="X284" s="1">
        <v>45231</v>
      </c>
      <c r="Y284">
        <f>NETWORKDAYS(X284,$Z$1,FERIADO!$A$2:$A$408)</f>
        <v>1810</v>
      </c>
      <c r="Z284">
        <v>11.58</v>
      </c>
      <c r="AA284" s="6">
        <f t="shared" si="38"/>
        <v>45520.717830378577</v>
      </c>
      <c r="AB284" s="2">
        <f t="shared" si="39"/>
        <v>5.4989013169411786E-3</v>
      </c>
      <c r="AJ284" s="1">
        <v>45231</v>
      </c>
      <c r="AK284">
        <f>NETWORKDAYS(AJ284,$AJ$1,FERIADO!$A$2:$A$408)</f>
        <v>797</v>
      </c>
      <c r="AL284">
        <v>11.01</v>
      </c>
      <c r="AM284" s="6">
        <f t="shared" si="40"/>
        <v>71867.634419300899</v>
      </c>
      <c r="AN284" s="2">
        <f t="shared" si="41"/>
        <v>2.8409956051873306E-3</v>
      </c>
      <c r="AP284" s="11">
        <f t="shared" si="42"/>
        <v>2.7494506584705893E-3</v>
      </c>
      <c r="AQ284" s="11">
        <f t="shared" si="43"/>
        <v>8.522986815561992E-4</v>
      </c>
      <c r="AR284" s="11">
        <f t="shared" si="44"/>
        <v>3.6017493400267884E-3</v>
      </c>
    </row>
    <row r="285" spans="2:44" x14ac:dyDescent="0.35">
      <c r="B285" s="1">
        <v>45230</v>
      </c>
      <c r="C285">
        <v>4396.1000000000004</v>
      </c>
      <c r="D285" s="1">
        <v>45230</v>
      </c>
      <c r="E285">
        <v>5.0568999999999997</v>
      </c>
      <c r="F285" s="1">
        <v>45229</v>
      </c>
      <c r="G285">
        <v>106.155</v>
      </c>
      <c r="H285" s="4">
        <f t="shared" si="36"/>
        <v>536815.21950000001</v>
      </c>
      <c r="I285" s="5">
        <v>45230</v>
      </c>
      <c r="J285" s="4">
        <v>5267.31</v>
      </c>
      <c r="K285" s="4">
        <f t="shared" si="37"/>
        <v>52673.100000000006</v>
      </c>
      <c r="L285" s="1">
        <v>45230</v>
      </c>
      <c r="M285">
        <v>6.04</v>
      </c>
      <c r="N285" s="1">
        <v>45230</v>
      </c>
      <c r="O285">
        <v>6.02</v>
      </c>
      <c r="P285" s="1">
        <v>45230</v>
      </c>
      <c r="Q285">
        <v>5.84</v>
      </c>
      <c r="R285" s="1">
        <v>45230</v>
      </c>
      <c r="S285">
        <v>5.71</v>
      </c>
      <c r="T285" s="1">
        <v>45230</v>
      </c>
      <c r="U285">
        <v>5.74</v>
      </c>
      <c r="V285" s="1">
        <v>45230</v>
      </c>
      <c r="W285">
        <v>5.73</v>
      </c>
      <c r="X285" s="1">
        <v>45230</v>
      </c>
      <c r="Y285">
        <f>NETWORKDAYS(X285,$Z$1,FERIADO!$A$2:$A$408)</f>
        <v>1811</v>
      </c>
      <c r="Z285">
        <v>11.77</v>
      </c>
      <c r="AA285" s="6">
        <f t="shared" si="38"/>
        <v>44947.982245903506</v>
      </c>
      <c r="AB285" s="2">
        <f t="shared" si="39"/>
        <v>1.3091420061212846E-3</v>
      </c>
      <c r="AJ285" s="1">
        <v>45230</v>
      </c>
      <c r="AK285">
        <f>NETWORKDAYS(AJ285,$AJ$1,FERIADO!$A$2:$A$408)</f>
        <v>798</v>
      </c>
      <c r="AL285">
        <v>11.225</v>
      </c>
      <c r="AM285" s="6">
        <f t="shared" si="40"/>
        <v>71399.037016594695</v>
      </c>
      <c r="AN285" s="2">
        <f t="shared" si="41"/>
        <v>1.8334291436536375E-4</v>
      </c>
      <c r="AP285" s="11">
        <f t="shared" si="42"/>
        <v>6.5457100306064229E-4</v>
      </c>
      <c r="AQ285" s="11">
        <f t="shared" si="43"/>
        <v>5.500287430960912E-5</v>
      </c>
      <c r="AR285" s="11">
        <f t="shared" si="44"/>
        <v>7.0957387737025145E-4</v>
      </c>
    </row>
    <row r="286" spans="2:44" x14ac:dyDescent="0.35">
      <c r="B286" s="1">
        <v>45229</v>
      </c>
      <c r="C286">
        <v>4375.6400000000003</v>
      </c>
      <c r="D286" s="1">
        <v>45229</v>
      </c>
      <c r="E286">
        <v>5.0068000000000001</v>
      </c>
      <c r="F286" s="1">
        <v>45226</v>
      </c>
      <c r="G286">
        <v>106.45</v>
      </c>
      <c r="H286" s="4">
        <f t="shared" si="36"/>
        <v>532973.8600000001</v>
      </c>
      <c r="I286" s="5">
        <v>45229</v>
      </c>
      <c r="J286" s="4">
        <v>5277.73</v>
      </c>
      <c r="K286" s="4">
        <f t="shared" si="37"/>
        <v>52777.299999999996</v>
      </c>
      <c r="L286" s="1">
        <v>45229</v>
      </c>
      <c r="M286">
        <v>6.01</v>
      </c>
      <c r="N286" s="1">
        <v>45229</v>
      </c>
      <c r="O286">
        <v>5.98</v>
      </c>
      <c r="P286" s="1">
        <v>45229</v>
      </c>
      <c r="Q286">
        <v>5.8</v>
      </c>
      <c r="R286" s="1">
        <v>45229</v>
      </c>
      <c r="S286">
        <v>5.7</v>
      </c>
      <c r="T286" s="1">
        <v>45229</v>
      </c>
      <c r="U286">
        <v>5.7</v>
      </c>
      <c r="V286" s="1">
        <v>45229</v>
      </c>
      <c r="W286">
        <v>5.73</v>
      </c>
      <c r="X286" s="1">
        <v>45229</v>
      </c>
      <c r="Y286">
        <f>NETWORKDAYS(X286,$Z$1,FERIADO!$A$2:$A$408)</f>
        <v>1812</v>
      </c>
      <c r="Z286">
        <v>11.81</v>
      </c>
      <c r="AA286" s="6">
        <f t="shared" si="38"/>
        <v>44812.694568496379</v>
      </c>
      <c r="AB286" s="2">
        <f t="shared" si="39"/>
        <v>-5.961527643699345E-3</v>
      </c>
      <c r="AJ286" s="1">
        <v>45229</v>
      </c>
      <c r="AK286">
        <f>NETWORKDAYS(AJ286,$AJ$1,FERIADO!$A$2:$A$408)</f>
        <v>799</v>
      </c>
      <c r="AL286">
        <v>11.225</v>
      </c>
      <c r="AM286" s="6">
        <f t="shared" si="40"/>
        <v>71368.901370617357</v>
      </c>
      <c r="AN286" s="2">
        <f t="shared" si="41"/>
        <v>-2.9811916412713435E-3</v>
      </c>
      <c r="AP286" s="11">
        <f t="shared" si="42"/>
        <v>-2.9807638218496725E-3</v>
      </c>
      <c r="AQ286" s="11">
        <f t="shared" si="43"/>
        <v>-8.9435749238140304E-4</v>
      </c>
      <c r="AR286" s="11">
        <f t="shared" si="44"/>
        <v>-3.8751213142310757E-3</v>
      </c>
    </row>
    <row r="287" spans="2:44" x14ac:dyDescent="0.35">
      <c r="B287" s="1">
        <v>45226</v>
      </c>
      <c r="C287">
        <v>4322.9399999999996</v>
      </c>
      <c r="D287" s="1">
        <v>45226</v>
      </c>
      <c r="E287">
        <v>4.9474</v>
      </c>
      <c r="F287" s="1">
        <v>45225</v>
      </c>
      <c r="G287">
        <v>106.369</v>
      </c>
      <c r="H287" s="4">
        <f t="shared" si="36"/>
        <v>526249.99060000002</v>
      </c>
      <c r="I287" s="5">
        <v>45226</v>
      </c>
      <c r="J287" s="4">
        <v>5244.81</v>
      </c>
      <c r="K287" s="4">
        <f t="shared" si="37"/>
        <v>52448.100000000006</v>
      </c>
      <c r="L287" s="1">
        <v>45226</v>
      </c>
      <c r="M287">
        <v>5.84</v>
      </c>
      <c r="N287" s="1">
        <v>45226</v>
      </c>
      <c r="O287">
        <v>5.81</v>
      </c>
      <c r="P287" s="1">
        <v>45226</v>
      </c>
      <c r="Q287">
        <v>5.7</v>
      </c>
      <c r="R287" s="1">
        <v>45226</v>
      </c>
      <c r="S287">
        <v>5.64</v>
      </c>
      <c r="T287" s="1">
        <v>45226</v>
      </c>
      <c r="U287">
        <v>5.66</v>
      </c>
      <c r="V287" s="1">
        <v>45226</v>
      </c>
      <c r="W287">
        <v>5.67</v>
      </c>
      <c r="X287" s="1">
        <v>45226</v>
      </c>
      <c r="Y287">
        <f>NETWORKDAYS(X287,$Z$1,FERIADO!$A$2:$A$408)</f>
        <v>1813</v>
      </c>
      <c r="Z287">
        <v>11.59</v>
      </c>
      <c r="AA287" s="6">
        <f t="shared" si="38"/>
        <v>45432.076430067129</v>
      </c>
      <c r="AB287" s="2">
        <f t="shared" si="39"/>
        <v>-5.1384606197120639E-3</v>
      </c>
      <c r="AJ287" s="1">
        <v>45226</v>
      </c>
      <c r="AK287">
        <f>NETWORKDAYS(AJ287,$AJ$1,FERIADO!$A$2:$A$408)</f>
        <v>800</v>
      </c>
      <c r="AL287">
        <v>10.97</v>
      </c>
      <c r="AM287" s="6">
        <f t="shared" si="40"/>
        <v>71860.494770572826</v>
      </c>
      <c r="AN287" s="2">
        <f t="shared" si="41"/>
        <v>-2.4977474012552753E-3</v>
      </c>
      <c r="AP287" s="11">
        <f t="shared" si="42"/>
        <v>-2.5692303098560319E-3</v>
      </c>
      <c r="AQ287" s="11">
        <f t="shared" si="43"/>
        <v>-7.4932422037658254E-4</v>
      </c>
      <c r="AR287" s="11">
        <f t="shared" si="44"/>
        <v>-3.3185545302326144E-3</v>
      </c>
    </row>
    <row r="288" spans="2:44" x14ac:dyDescent="0.35">
      <c r="B288" s="1">
        <v>45225</v>
      </c>
      <c r="C288">
        <v>4349.8900000000003</v>
      </c>
      <c r="D288" s="1">
        <v>45225</v>
      </c>
      <c r="E288">
        <v>5.0049000000000001</v>
      </c>
      <c r="F288" s="1">
        <v>45224</v>
      </c>
      <c r="G288">
        <v>105.58</v>
      </c>
      <c r="H288" s="4">
        <f t="shared" si="36"/>
        <v>528417.34199999995</v>
      </c>
      <c r="I288" s="5">
        <v>45225</v>
      </c>
      <c r="J288" s="4">
        <v>5215.03</v>
      </c>
      <c r="K288" s="4">
        <f t="shared" si="37"/>
        <v>52150.299999999996</v>
      </c>
      <c r="L288" s="1">
        <v>45225</v>
      </c>
      <c r="M288">
        <v>5.72</v>
      </c>
      <c r="N288" s="1">
        <v>45225</v>
      </c>
      <c r="O288">
        <v>5.67</v>
      </c>
      <c r="P288" s="1">
        <v>45225</v>
      </c>
      <c r="Q288">
        <v>5.62</v>
      </c>
      <c r="R288" s="1">
        <v>45225</v>
      </c>
      <c r="S288">
        <v>5.55</v>
      </c>
      <c r="T288" s="1">
        <v>45225</v>
      </c>
      <c r="U288">
        <v>5.59</v>
      </c>
      <c r="V288" s="1">
        <v>45225</v>
      </c>
      <c r="W288">
        <v>5.64</v>
      </c>
      <c r="X288" s="1">
        <v>45225</v>
      </c>
      <c r="Y288">
        <f>NETWORKDAYS(X288,$Z$1,FERIADO!$A$2:$A$408)</f>
        <v>1814</v>
      </c>
      <c r="Z288">
        <v>11.4</v>
      </c>
      <c r="AA288" s="6">
        <f t="shared" si="38"/>
        <v>45972.809674590157</v>
      </c>
      <c r="AB288" s="2">
        <f t="shared" si="39"/>
        <v>6.9176639186942441E-3</v>
      </c>
      <c r="AJ288" s="1">
        <v>45225</v>
      </c>
      <c r="AK288">
        <f>NETWORKDAYS(AJ288,$AJ$1,FERIADO!$A$2:$A$408)</f>
        <v>801</v>
      </c>
      <c r="AL288">
        <v>10.755000000000001</v>
      </c>
      <c r="AM288" s="6">
        <f t="shared" si="40"/>
        <v>72274.975057385629</v>
      </c>
      <c r="AN288" s="2">
        <f t="shared" si="41"/>
        <v>2.9187967555133784E-3</v>
      </c>
      <c r="AP288" s="11">
        <f t="shared" si="42"/>
        <v>3.458831959347122E-3</v>
      </c>
      <c r="AQ288" s="11">
        <f t="shared" si="43"/>
        <v>8.7563902665401352E-4</v>
      </c>
      <c r="AR288" s="11">
        <f t="shared" si="44"/>
        <v>4.3344709860011358E-3</v>
      </c>
    </row>
    <row r="289" spans="2:44" x14ac:dyDescent="0.35">
      <c r="B289" s="1">
        <v>45224</v>
      </c>
      <c r="C289">
        <v>4405.79</v>
      </c>
      <c r="D289" s="1">
        <v>45224</v>
      </c>
      <c r="E289">
        <v>4.9974999999999996</v>
      </c>
      <c r="F289" s="1">
        <v>45223</v>
      </c>
      <c r="G289">
        <v>106.45</v>
      </c>
      <c r="H289" s="4">
        <f t="shared" si="36"/>
        <v>531983.875</v>
      </c>
      <c r="I289" s="5">
        <v>45224</v>
      </c>
      <c r="J289" s="4">
        <v>5223.3900000000003</v>
      </c>
      <c r="K289" s="4">
        <f t="shared" si="37"/>
        <v>52233.9</v>
      </c>
      <c r="L289" s="1">
        <v>45224</v>
      </c>
      <c r="M289">
        <v>5.86</v>
      </c>
      <c r="N289" s="1">
        <v>45224</v>
      </c>
      <c r="O289">
        <v>5.81</v>
      </c>
      <c r="P289" s="1">
        <v>45224</v>
      </c>
      <c r="Q289">
        <v>5.74</v>
      </c>
      <c r="R289" s="1">
        <v>45224</v>
      </c>
      <c r="S289">
        <v>5.72</v>
      </c>
      <c r="T289" s="1">
        <v>45224</v>
      </c>
      <c r="U289">
        <v>5.71</v>
      </c>
      <c r="V289" s="1">
        <v>45224</v>
      </c>
      <c r="W289">
        <v>5.8</v>
      </c>
      <c r="X289" s="1">
        <v>45224</v>
      </c>
      <c r="Y289">
        <f>NETWORKDAYS(X289,$Z$1,FERIADO!$A$2:$A$408)</f>
        <v>1815</v>
      </c>
      <c r="Z289">
        <v>11.64</v>
      </c>
      <c r="AA289" s="6">
        <f t="shared" si="38"/>
        <v>45246.332533414323</v>
      </c>
      <c r="AB289" s="2">
        <f t="shared" si="39"/>
        <v>-6.5136156833484461E-4</v>
      </c>
      <c r="AJ289" s="1">
        <v>45224</v>
      </c>
      <c r="AK289">
        <f>NETWORKDAYS(AJ289,$AJ$1,FERIADO!$A$2:$A$408)</f>
        <v>802</v>
      </c>
      <c r="AL289">
        <v>10.975</v>
      </c>
      <c r="AM289" s="6">
        <f t="shared" si="40"/>
        <v>71790.859640729017</v>
      </c>
      <c r="AN289" s="2">
        <f t="shared" si="41"/>
        <v>2.4181459775343423E-4</v>
      </c>
      <c r="AP289" s="11">
        <f t="shared" si="42"/>
        <v>-3.2568078416742231E-4</v>
      </c>
      <c r="AQ289" s="11">
        <f t="shared" si="43"/>
        <v>7.2544379326030265E-5</v>
      </c>
      <c r="AR289" s="11">
        <f t="shared" si="44"/>
        <v>-2.5313640484139201E-4</v>
      </c>
    </row>
    <row r="290" spans="2:44" x14ac:dyDescent="0.35">
      <c r="B290" s="1">
        <v>45223</v>
      </c>
      <c r="C290">
        <v>4465.2700000000004</v>
      </c>
      <c r="D290" s="1">
        <v>45223</v>
      </c>
      <c r="E290">
        <v>5.0058999999999996</v>
      </c>
      <c r="F290" s="1">
        <v>45222</v>
      </c>
      <c r="G290">
        <v>106.404</v>
      </c>
      <c r="H290" s="4">
        <f t="shared" si="36"/>
        <v>532647.78359999997</v>
      </c>
      <c r="I290" s="5">
        <v>45223</v>
      </c>
      <c r="J290" s="4">
        <v>5223.91</v>
      </c>
      <c r="K290" s="4">
        <f t="shared" si="37"/>
        <v>52239.1</v>
      </c>
      <c r="L290" s="1">
        <v>45223</v>
      </c>
      <c r="M290">
        <v>5.82</v>
      </c>
      <c r="N290" s="1">
        <v>45223</v>
      </c>
      <c r="O290">
        <v>5.78</v>
      </c>
      <c r="P290" s="1">
        <v>45223</v>
      </c>
      <c r="Q290">
        <v>5.72</v>
      </c>
      <c r="R290" s="1">
        <v>45223</v>
      </c>
      <c r="S290">
        <v>5.68</v>
      </c>
      <c r="T290" s="1">
        <v>45223</v>
      </c>
      <c r="U290">
        <v>5.69</v>
      </c>
      <c r="V290" s="1">
        <v>45223</v>
      </c>
      <c r="W290">
        <v>5.75</v>
      </c>
      <c r="X290" s="1">
        <v>45223</v>
      </c>
      <c r="Y290">
        <f>NETWORKDAYS(X290,$Z$1,FERIADO!$A$2:$A$408)</f>
        <v>1816</v>
      </c>
      <c r="Z290">
        <v>11.61</v>
      </c>
      <c r="AA290" s="6">
        <f t="shared" si="38"/>
        <v>45314.244596483448</v>
      </c>
      <c r="AB290" s="2">
        <f t="shared" si="39"/>
        <v>5.2354244350449409E-3</v>
      </c>
      <c r="AJ290" s="1">
        <v>45223</v>
      </c>
      <c r="AK290">
        <f>NETWORKDAYS(AJ290,$AJ$1,FERIADO!$A$2:$A$408)</f>
        <v>803</v>
      </c>
      <c r="AL290">
        <v>10.98</v>
      </c>
      <c r="AM290" s="6">
        <f t="shared" si="40"/>
        <v>71750.897710674239</v>
      </c>
      <c r="AN290" s="2">
        <f t="shared" si="41"/>
        <v>2.4873793781586295E-3</v>
      </c>
      <c r="AP290" s="11">
        <f t="shared" si="42"/>
        <v>2.6177122175224704E-3</v>
      </c>
      <c r="AQ290" s="11">
        <f t="shared" si="43"/>
        <v>7.4621381344758882E-4</v>
      </c>
      <c r="AR290" s="11">
        <f t="shared" si="44"/>
        <v>3.3639260309700591E-3</v>
      </c>
    </row>
    <row r="291" spans="2:44" x14ac:dyDescent="0.35">
      <c r="B291" s="1">
        <v>45222</v>
      </c>
      <c r="C291">
        <v>4448.05</v>
      </c>
      <c r="D291" s="1">
        <v>45222</v>
      </c>
      <c r="E291">
        <v>5.0157999999999996</v>
      </c>
      <c r="F291" s="1">
        <v>45219</v>
      </c>
      <c r="G291">
        <v>105.96</v>
      </c>
      <c r="H291" s="4">
        <f t="shared" si="36"/>
        <v>531474.16799999995</v>
      </c>
      <c r="I291" s="5">
        <v>45222</v>
      </c>
      <c r="J291" s="4">
        <v>5247.42</v>
      </c>
      <c r="K291" s="4">
        <f t="shared" si="37"/>
        <v>52474.2</v>
      </c>
      <c r="L291" s="1">
        <v>45222</v>
      </c>
      <c r="M291">
        <v>5.89</v>
      </c>
      <c r="N291" s="1">
        <v>45222</v>
      </c>
      <c r="O291">
        <v>5.83</v>
      </c>
      <c r="P291" s="1">
        <v>45222</v>
      </c>
      <c r="Q291">
        <v>5.76</v>
      </c>
      <c r="R291" s="1">
        <v>45222</v>
      </c>
      <c r="S291">
        <v>5.71</v>
      </c>
      <c r="T291" s="1">
        <v>45222</v>
      </c>
      <c r="U291">
        <v>5.72</v>
      </c>
      <c r="V291" s="1">
        <v>45222</v>
      </c>
      <c r="W291">
        <v>5.77</v>
      </c>
      <c r="X291" s="1">
        <v>45222</v>
      </c>
      <c r="Y291">
        <f>NETWORKDAYS(X291,$Z$1,FERIADO!$A$2:$A$408)</f>
        <v>1817</v>
      </c>
      <c r="Z291">
        <v>11.79</v>
      </c>
      <c r="AA291" s="6">
        <f t="shared" si="38"/>
        <v>44771.260329094119</v>
      </c>
      <c r="AB291" s="2">
        <f t="shared" si="39"/>
        <v>2.1533425648612215E-3</v>
      </c>
      <c r="AJ291" s="1">
        <v>45222</v>
      </c>
      <c r="AK291">
        <f>NETWORKDAYS(AJ291,$AJ$1,FERIADO!$A$2:$A$408)</f>
        <v>804</v>
      </c>
      <c r="AL291">
        <v>11.164999999999999</v>
      </c>
      <c r="AM291" s="6">
        <f t="shared" si="40"/>
        <v>71341.1260109797</v>
      </c>
      <c r="AN291" s="2">
        <f t="shared" si="41"/>
        <v>7.438954598373396E-4</v>
      </c>
      <c r="AP291" s="11">
        <f t="shared" si="42"/>
        <v>1.0766712824306108E-3</v>
      </c>
      <c r="AQ291" s="11">
        <f t="shared" si="43"/>
        <v>2.2316863795120186E-4</v>
      </c>
      <c r="AR291" s="11">
        <f t="shared" si="44"/>
        <v>1.2998399203818125E-3</v>
      </c>
    </row>
    <row r="292" spans="2:44" x14ac:dyDescent="0.35">
      <c r="B292" s="1">
        <v>45219</v>
      </c>
      <c r="C292">
        <v>4440.3999999999996</v>
      </c>
      <c r="D292" s="1">
        <v>45219</v>
      </c>
      <c r="E292">
        <v>5.0522</v>
      </c>
      <c r="F292" s="1">
        <v>45218</v>
      </c>
      <c r="G292">
        <v>105.5</v>
      </c>
      <c r="H292" s="4">
        <f t="shared" si="36"/>
        <v>533007.10000000009</v>
      </c>
      <c r="I292" s="5">
        <v>45219</v>
      </c>
      <c r="J292" s="4">
        <v>5267.28</v>
      </c>
      <c r="K292" s="4">
        <f t="shared" si="37"/>
        <v>52672.799999999996</v>
      </c>
      <c r="L292" s="1">
        <v>45219</v>
      </c>
      <c r="M292">
        <v>5.88</v>
      </c>
      <c r="N292" s="1">
        <v>45219</v>
      </c>
      <c r="O292">
        <v>5.82</v>
      </c>
      <c r="P292" s="1">
        <v>45219</v>
      </c>
      <c r="Q292">
        <v>5.76</v>
      </c>
      <c r="R292" s="1">
        <v>45219</v>
      </c>
      <c r="S292">
        <v>5.68</v>
      </c>
      <c r="T292" s="1">
        <v>45219</v>
      </c>
      <c r="U292">
        <v>5.69</v>
      </c>
      <c r="V292" s="1">
        <v>45219</v>
      </c>
      <c r="W292">
        <v>5.75</v>
      </c>
      <c r="X292" s="1">
        <v>45219</v>
      </c>
      <c r="Y292">
        <f>NETWORKDAYS(X292,$Z$1,FERIADO!$A$2:$A$408)</f>
        <v>1818</v>
      </c>
      <c r="Z292">
        <v>11.86</v>
      </c>
      <c r="AA292" s="6">
        <f t="shared" si="38"/>
        <v>44549.822452875786</v>
      </c>
      <c r="AB292" s="2">
        <f t="shared" si="39"/>
        <v>3.5543207550958688E-3</v>
      </c>
      <c r="AJ292" s="1">
        <v>45219</v>
      </c>
      <c r="AK292">
        <f>NETWORKDAYS(AJ292,$AJ$1,FERIADO!$A$2:$A$408)</f>
        <v>805</v>
      </c>
      <c r="AL292">
        <v>11.21</v>
      </c>
      <c r="AM292" s="6">
        <f t="shared" si="40"/>
        <v>71219.031634334155</v>
      </c>
      <c r="AN292" s="2">
        <f t="shared" si="41"/>
        <v>3.1775670110147664E-3</v>
      </c>
      <c r="AP292" s="11">
        <f t="shared" si="42"/>
        <v>1.7771603775479344E-3</v>
      </c>
      <c r="AQ292" s="11">
        <f t="shared" si="43"/>
        <v>9.5327010330442988E-4</v>
      </c>
      <c r="AR292" s="11">
        <f t="shared" si="44"/>
        <v>2.7304304808523643E-3</v>
      </c>
    </row>
    <row r="293" spans="2:44" x14ac:dyDescent="0.35">
      <c r="B293" s="1">
        <v>45218</v>
      </c>
      <c r="C293">
        <v>4491.8</v>
      </c>
      <c r="D293" s="1">
        <v>45218</v>
      </c>
      <c r="E293">
        <v>5.0533999999999999</v>
      </c>
      <c r="F293" s="1">
        <v>45217</v>
      </c>
      <c r="G293">
        <v>105.83</v>
      </c>
      <c r="H293" s="4">
        <f t="shared" si="36"/>
        <v>534801.32200000004</v>
      </c>
      <c r="I293" s="5">
        <v>45218</v>
      </c>
      <c r="J293" s="4">
        <v>5304.38</v>
      </c>
      <c r="K293" s="4">
        <f t="shared" si="37"/>
        <v>53043.8</v>
      </c>
      <c r="L293" s="1">
        <v>45218</v>
      </c>
      <c r="M293">
        <v>5.99</v>
      </c>
      <c r="N293" s="1">
        <v>45218</v>
      </c>
      <c r="O293">
        <v>5.88</v>
      </c>
      <c r="P293" s="1">
        <v>45218</v>
      </c>
      <c r="Q293">
        <v>5.77</v>
      </c>
      <c r="R293" s="1">
        <v>45218</v>
      </c>
      <c r="S293">
        <v>5.67</v>
      </c>
      <c r="T293" s="1">
        <v>45218</v>
      </c>
      <c r="U293">
        <v>5.71</v>
      </c>
      <c r="V293" s="1">
        <v>45218</v>
      </c>
      <c r="W293">
        <v>5.74</v>
      </c>
      <c r="X293" s="1">
        <v>45218</v>
      </c>
      <c r="Y293">
        <f>NETWORKDAYS(X293,$Z$1,FERIADO!$A$2:$A$408)</f>
        <v>1819</v>
      </c>
      <c r="Z293">
        <v>11.98</v>
      </c>
      <c r="AA293" s="6">
        <f t="shared" si="38"/>
        <v>44186.709003133088</v>
      </c>
      <c r="AB293" s="2">
        <f t="shared" si="39"/>
        <v>-5.9732818770195095E-3</v>
      </c>
      <c r="AJ293" s="1">
        <v>45218</v>
      </c>
      <c r="AK293">
        <f>NETWORKDAYS(AJ293,$AJ$1,FERIADO!$A$2:$A$408)</f>
        <v>806</v>
      </c>
      <c r="AL293">
        <v>11.45</v>
      </c>
      <c r="AM293" s="6">
        <f t="shared" si="40"/>
        <v>70699.850794953265</v>
      </c>
      <c r="AN293" s="2">
        <f t="shared" si="41"/>
        <v>-3.1865723807621687E-3</v>
      </c>
      <c r="AP293" s="11">
        <f t="shared" si="42"/>
        <v>-2.9866409385097548E-3</v>
      </c>
      <c r="AQ293" s="11">
        <f t="shared" si="43"/>
        <v>-9.5597171422865052E-4</v>
      </c>
      <c r="AR293" s="11">
        <f t="shared" si="44"/>
        <v>-3.9426126527384048E-3</v>
      </c>
    </row>
    <row r="294" spans="2:44" x14ac:dyDescent="0.35">
      <c r="B294" s="1">
        <v>45217</v>
      </c>
      <c r="C294">
        <v>4550.75</v>
      </c>
      <c r="D294" s="1">
        <v>45217</v>
      </c>
      <c r="E294">
        <v>5.0561999999999996</v>
      </c>
      <c r="F294" s="1">
        <v>45216</v>
      </c>
      <c r="G294">
        <v>106.25</v>
      </c>
      <c r="H294" s="4">
        <f t="shared" si="36"/>
        <v>537221.24999999988</v>
      </c>
      <c r="I294" s="5">
        <v>45217</v>
      </c>
      <c r="J294" s="4">
        <v>5298.63</v>
      </c>
      <c r="K294" s="4">
        <f t="shared" si="37"/>
        <v>52986.3</v>
      </c>
      <c r="L294" s="1">
        <v>45217</v>
      </c>
      <c r="M294">
        <v>5.89</v>
      </c>
      <c r="N294" s="1">
        <v>45217</v>
      </c>
      <c r="O294">
        <v>5.74</v>
      </c>
      <c r="P294" s="1">
        <v>45217</v>
      </c>
      <c r="Q294">
        <v>5.67</v>
      </c>
      <c r="R294" s="1">
        <v>45217</v>
      </c>
      <c r="S294">
        <v>5.6</v>
      </c>
      <c r="T294" s="1">
        <v>45217</v>
      </c>
      <c r="U294">
        <v>5.6</v>
      </c>
      <c r="V294" s="1">
        <v>45217</v>
      </c>
      <c r="W294">
        <v>5.67</v>
      </c>
      <c r="X294" s="1">
        <v>45217</v>
      </c>
      <c r="Y294">
        <f>NETWORKDAYS(X294,$Z$1,FERIADO!$A$2:$A$408)</f>
        <v>1820</v>
      </c>
      <c r="Z294">
        <v>11.76</v>
      </c>
      <c r="AA294" s="6">
        <f t="shared" si="38"/>
        <v>44798.651225033347</v>
      </c>
      <c r="AB294" s="2">
        <f t="shared" si="39"/>
        <v>4.724067166950672E-4</v>
      </c>
      <c r="AJ294" s="1">
        <v>45217</v>
      </c>
      <c r="AK294">
        <f>NETWORKDAYS(AJ294,$AJ$1,FERIADO!$A$2:$A$408)</f>
        <v>807</v>
      </c>
      <c r="AL294">
        <v>11.18</v>
      </c>
      <c r="AM294" s="6">
        <f t="shared" si="40"/>
        <v>71220.508421143852</v>
      </c>
      <c r="AN294" s="2">
        <f t="shared" si="41"/>
        <v>-7.5702640663375558E-4</v>
      </c>
      <c r="AP294" s="11">
        <f t="shared" si="42"/>
        <v>2.362033583475336E-4</v>
      </c>
      <c r="AQ294" s="11">
        <f t="shared" si="43"/>
        <v>-2.2710792199012665E-4</v>
      </c>
      <c r="AR294" s="11">
        <f t="shared" si="44"/>
        <v>9.0954363574069475E-6</v>
      </c>
    </row>
    <row r="295" spans="2:44" x14ac:dyDescent="0.35">
      <c r="B295" s="1">
        <v>45216</v>
      </c>
      <c r="C295">
        <v>4600.13</v>
      </c>
      <c r="D295" s="1">
        <v>45216</v>
      </c>
      <c r="E295">
        <v>5.0377999999999998</v>
      </c>
      <c r="F295" s="1">
        <v>45215</v>
      </c>
      <c r="G295">
        <v>107.184</v>
      </c>
      <c r="H295" s="4">
        <f t="shared" si="36"/>
        <v>539971.55520000006</v>
      </c>
      <c r="I295" s="5">
        <v>45216</v>
      </c>
      <c r="J295" s="4">
        <v>5280.34</v>
      </c>
      <c r="K295" s="4">
        <f t="shared" si="37"/>
        <v>52803.4</v>
      </c>
      <c r="L295" s="1">
        <v>45216</v>
      </c>
      <c r="M295">
        <v>5.84</v>
      </c>
      <c r="N295" s="1">
        <v>45216</v>
      </c>
      <c r="O295">
        <v>5.7</v>
      </c>
      <c r="P295" s="1">
        <v>45216</v>
      </c>
      <c r="Q295">
        <v>5.66</v>
      </c>
      <c r="R295" s="1">
        <v>45216</v>
      </c>
      <c r="S295">
        <v>5.6</v>
      </c>
      <c r="T295" s="1">
        <v>45216</v>
      </c>
      <c r="U295">
        <v>5.63</v>
      </c>
      <c r="V295" s="1">
        <v>45216</v>
      </c>
      <c r="W295">
        <v>5.67</v>
      </c>
      <c r="X295" s="1">
        <v>45216</v>
      </c>
      <c r="Y295">
        <f>NETWORKDAYS(X295,$Z$1,FERIADO!$A$2:$A$408)</f>
        <v>1821</v>
      </c>
      <c r="Z295">
        <v>11.77</v>
      </c>
      <c r="AA295" s="6">
        <f t="shared" si="38"/>
        <v>44749.947687240005</v>
      </c>
      <c r="AB295" s="2">
        <f t="shared" si="39"/>
        <v>-4.8691515545469452E-3</v>
      </c>
      <c r="AJ295" s="1">
        <v>45216</v>
      </c>
      <c r="AK295">
        <f>NETWORKDAYS(AJ295,$AJ$1,FERIADO!$A$2:$A$408)</f>
        <v>808</v>
      </c>
      <c r="AL295">
        <v>11.105</v>
      </c>
      <c r="AM295" s="6">
        <f t="shared" si="40"/>
        <v>71344.762414530109</v>
      </c>
      <c r="AN295" s="2">
        <f t="shared" si="41"/>
        <v>-2.4562377207988017E-3</v>
      </c>
      <c r="AP295" s="11">
        <f t="shared" si="42"/>
        <v>-2.4345757772734726E-3</v>
      </c>
      <c r="AQ295" s="11">
        <f t="shared" si="43"/>
        <v>-7.3687131623964054E-4</v>
      </c>
      <c r="AR295" s="11">
        <f t="shared" si="44"/>
        <v>-3.171447093513113E-3</v>
      </c>
    </row>
    <row r="296" spans="2:44" x14ac:dyDescent="0.35">
      <c r="B296" s="1">
        <v>45215</v>
      </c>
      <c r="C296">
        <v>4610.8100000000004</v>
      </c>
      <c r="D296" s="1">
        <v>45215</v>
      </c>
      <c r="E296">
        <v>5.0612000000000004</v>
      </c>
      <c r="F296" s="1">
        <v>45212</v>
      </c>
      <c r="G296">
        <v>107.76300000000001</v>
      </c>
      <c r="H296" s="4">
        <f t="shared" si="36"/>
        <v>545410.09560000012</v>
      </c>
      <c r="I296" s="5">
        <v>45215</v>
      </c>
      <c r="J296" s="4">
        <v>5279.82</v>
      </c>
      <c r="K296" s="4">
        <f t="shared" si="37"/>
        <v>52798.2</v>
      </c>
      <c r="L296" s="1">
        <v>45215</v>
      </c>
      <c r="M296">
        <v>5.69</v>
      </c>
      <c r="N296" s="1">
        <v>45215</v>
      </c>
      <c r="O296">
        <v>5.59</v>
      </c>
      <c r="P296" s="1">
        <v>45215</v>
      </c>
      <c r="Q296">
        <v>5.52</v>
      </c>
      <c r="R296" s="1">
        <v>45215</v>
      </c>
      <c r="S296">
        <v>5.48</v>
      </c>
      <c r="T296" s="1">
        <v>45215</v>
      </c>
      <c r="U296">
        <v>5.53</v>
      </c>
      <c r="V296" s="1">
        <v>45215</v>
      </c>
      <c r="W296">
        <v>5.57</v>
      </c>
      <c r="X296" s="1">
        <v>45215</v>
      </c>
      <c r="Y296">
        <f>NETWORKDAYS(X296,$Z$1,FERIADO!$A$2:$A$408)</f>
        <v>1822</v>
      </c>
      <c r="Z296">
        <v>11.59</v>
      </c>
      <c r="AA296" s="6">
        <f t="shared" si="38"/>
        <v>45254.490894334609</v>
      </c>
      <c r="AB296" s="2">
        <f t="shared" si="39"/>
        <v>3.5656932537496688E-3</v>
      </c>
      <c r="AJ296" s="1">
        <v>45215</v>
      </c>
      <c r="AK296">
        <f>NETWORKDAYS(AJ296,$AJ$1,FERIADO!$A$2:$A$408)</f>
        <v>809</v>
      </c>
      <c r="AL296">
        <v>10.895</v>
      </c>
      <c r="AM296" s="6">
        <f t="shared" si="40"/>
        <v>71749.40993080214</v>
      </c>
      <c r="AN296" s="2">
        <f t="shared" si="41"/>
        <v>1.4364551218641851E-3</v>
      </c>
      <c r="AP296" s="11">
        <f t="shared" si="42"/>
        <v>1.7828466268748344E-3</v>
      </c>
      <c r="AQ296" s="11">
        <f t="shared" si="43"/>
        <v>4.309365365592555E-4</v>
      </c>
      <c r="AR296" s="11">
        <f t="shared" si="44"/>
        <v>2.21378316343409E-3</v>
      </c>
    </row>
    <row r="297" spans="2:44" x14ac:dyDescent="0.35">
      <c r="B297" s="1">
        <v>45212</v>
      </c>
      <c r="C297">
        <v>4553.07</v>
      </c>
      <c r="D297" s="1">
        <v>45212</v>
      </c>
      <c r="E297">
        <v>5.0618999999999996</v>
      </c>
      <c r="F297" s="1">
        <v>45210</v>
      </c>
      <c r="G297">
        <v>108.15</v>
      </c>
      <c r="H297" s="4">
        <f t="shared" si="36"/>
        <v>547444.48499999999</v>
      </c>
      <c r="I297" s="5">
        <v>45212</v>
      </c>
      <c r="J297" s="4">
        <v>5322.67</v>
      </c>
      <c r="K297" s="4">
        <f t="shared" si="37"/>
        <v>53226.7</v>
      </c>
      <c r="L297" s="1">
        <v>45212</v>
      </c>
      <c r="M297">
        <v>5.74</v>
      </c>
      <c r="N297" s="1">
        <v>45212</v>
      </c>
      <c r="O297">
        <v>5.64</v>
      </c>
      <c r="P297" s="1">
        <v>45212</v>
      </c>
      <c r="Q297">
        <v>5.52</v>
      </c>
      <c r="R297" s="1">
        <v>45212</v>
      </c>
      <c r="S297">
        <v>5.55</v>
      </c>
      <c r="T297" s="1">
        <v>45212</v>
      </c>
      <c r="U297">
        <v>5.58</v>
      </c>
      <c r="V297" s="1">
        <v>45212</v>
      </c>
      <c r="W297">
        <v>5.62</v>
      </c>
      <c r="X297" s="1">
        <v>45212</v>
      </c>
      <c r="Y297">
        <f>NETWORKDAYS(X297,$Z$1,FERIADO!$A$2:$A$408)</f>
        <v>1823</v>
      </c>
      <c r="Z297">
        <v>11.71</v>
      </c>
      <c r="AA297" s="6">
        <f t="shared" si="38"/>
        <v>44884.45851799006</v>
      </c>
      <c r="AB297" s="2">
        <f t="shared" si="39"/>
        <v>-3.7511607877951285E-3</v>
      </c>
      <c r="AJ297" s="1">
        <v>45212</v>
      </c>
      <c r="AK297">
        <f>NETWORKDAYS(AJ297,$AJ$1,FERIADO!$A$2:$A$408)</f>
        <v>810</v>
      </c>
      <c r="AL297">
        <v>10.994999999999999</v>
      </c>
      <c r="AM297" s="6">
        <f t="shared" si="40"/>
        <v>71512.486476984748</v>
      </c>
      <c r="AN297" s="2">
        <f t="shared" si="41"/>
        <v>-2.0255964975265739E-3</v>
      </c>
      <c r="AP297" s="11">
        <f t="shared" si="42"/>
        <v>-1.8755803938975643E-3</v>
      </c>
      <c r="AQ297" s="11">
        <f t="shared" si="43"/>
        <v>-6.076789492579722E-4</v>
      </c>
      <c r="AR297" s="11">
        <f t="shared" si="44"/>
        <v>-2.4832593431555364E-3</v>
      </c>
    </row>
    <row r="298" spans="2:44" x14ac:dyDescent="0.35">
      <c r="B298" s="1">
        <v>45210</v>
      </c>
      <c r="C298">
        <v>4623.75</v>
      </c>
      <c r="D298" s="1">
        <v>45210</v>
      </c>
      <c r="E298">
        <v>5.0490000000000004</v>
      </c>
      <c r="F298" s="1">
        <v>45209</v>
      </c>
      <c r="G298">
        <v>107.759</v>
      </c>
      <c r="H298" s="4">
        <f t="shared" si="36"/>
        <v>544075.19099999999</v>
      </c>
      <c r="I298" s="5">
        <v>45210</v>
      </c>
      <c r="J298" s="4">
        <v>5291.84</v>
      </c>
      <c r="K298" s="4">
        <f t="shared" si="37"/>
        <v>52918.400000000001</v>
      </c>
      <c r="L298" s="1">
        <v>45210</v>
      </c>
      <c r="M298">
        <v>5.68</v>
      </c>
      <c r="N298" s="1">
        <v>45210</v>
      </c>
      <c r="O298">
        <v>5.61</v>
      </c>
      <c r="P298" s="1">
        <v>45210</v>
      </c>
      <c r="Q298">
        <v>5.56</v>
      </c>
      <c r="R298" s="1">
        <v>45210</v>
      </c>
      <c r="S298">
        <v>5.51</v>
      </c>
      <c r="T298" s="1">
        <v>45210</v>
      </c>
      <c r="U298">
        <v>5.58</v>
      </c>
      <c r="V298" s="1">
        <v>45210</v>
      </c>
      <c r="W298">
        <v>5.61</v>
      </c>
      <c r="X298" s="1">
        <v>45210</v>
      </c>
      <c r="Y298">
        <f>NETWORKDAYS(X298,$Z$1,FERIADO!$A$2:$A$408)</f>
        <v>1824</v>
      </c>
      <c r="Z298">
        <v>11.57</v>
      </c>
      <c r="AA298" s="6">
        <f t="shared" si="38"/>
        <v>45273.821168197144</v>
      </c>
      <c r="AB298" s="2">
        <f t="shared" si="39"/>
        <v>-9.3235025229856667E-5</v>
      </c>
      <c r="AJ298" s="1">
        <v>45210</v>
      </c>
      <c r="AK298">
        <f>NETWORKDAYS(AJ298,$AJ$1,FERIADO!$A$2:$A$408)</f>
        <v>811</v>
      </c>
      <c r="AL298">
        <v>10.82</v>
      </c>
      <c r="AM298" s="6">
        <f t="shared" si="40"/>
        <v>71846.807507369725</v>
      </c>
      <c r="AN298" s="2">
        <f t="shared" si="41"/>
        <v>-4.5446756013598676E-4</v>
      </c>
      <c r="AP298" s="11">
        <f t="shared" si="42"/>
        <v>-4.6617512614928334E-5</v>
      </c>
      <c r="AQ298" s="11">
        <f t="shared" si="43"/>
        <v>-1.3634026804079603E-4</v>
      </c>
      <c r="AR298" s="11">
        <f t="shared" si="44"/>
        <v>-1.8295778065572437E-4</v>
      </c>
    </row>
    <row r="299" spans="2:44" x14ac:dyDescent="0.35">
      <c r="B299" s="1">
        <v>45209</v>
      </c>
      <c r="C299">
        <v>4594.99</v>
      </c>
      <c r="D299" s="1">
        <v>45209</v>
      </c>
      <c r="E299">
        <v>5.0856000000000003</v>
      </c>
      <c r="F299" s="1">
        <v>45208</v>
      </c>
      <c r="G299">
        <v>107.90300000000001</v>
      </c>
      <c r="H299" s="4">
        <f t="shared" si="36"/>
        <v>548751.49680000008</v>
      </c>
      <c r="I299" s="5">
        <v>45209</v>
      </c>
      <c r="J299" s="4">
        <v>5299.68</v>
      </c>
      <c r="K299" s="4">
        <f t="shared" si="37"/>
        <v>52996.800000000003</v>
      </c>
      <c r="L299" s="1">
        <v>45209</v>
      </c>
      <c r="M299">
        <v>5.51</v>
      </c>
      <c r="N299" s="1">
        <v>45209</v>
      </c>
      <c r="O299">
        <v>5.47</v>
      </c>
      <c r="P299" s="1">
        <v>45209</v>
      </c>
      <c r="Q299">
        <v>5.46</v>
      </c>
      <c r="R299" s="1">
        <v>45209</v>
      </c>
      <c r="S299">
        <v>5.43</v>
      </c>
      <c r="T299" s="1">
        <v>45209</v>
      </c>
      <c r="U299">
        <v>5.48</v>
      </c>
      <c r="V299" s="1">
        <v>45209</v>
      </c>
      <c r="W299">
        <v>5.56</v>
      </c>
      <c r="X299" s="1">
        <v>45209</v>
      </c>
      <c r="Y299">
        <f>NETWORKDAYS(X299,$Z$1,FERIADO!$A$2:$A$408)</f>
        <v>1825</v>
      </c>
      <c r="Z299">
        <v>11.56</v>
      </c>
      <c r="AA299" s="6">
        <f t="shared" si="38"/>
        <v>45283.541666992409</v>
      </c>
      <c r="AB299" s="2">
        <f t="shared" si="39"/>
        <v>2.7262441942212984E-3</v>
      </c>
      <c r="AJ299" s="1">
        <v>45209</v>
      </c>
      <c r="AK299">
        <f>NETWORKDAYS(AJ299,$AJ$1,FERIADO!$A$2:$A$408)</f>
        <v>812</v>
      </c>
      <c r="AL299">
        <v>10.77</v>
      </c>
      <c r="AM299" s="6">
        <f t="shared" si="40"/>
        <v>71922.030967493469</v>
      </c>
      <c r="AN299" s="2">
        <f t="shared" si="41"/>
        <v>1.7564972731507881E-3</v>
      </c>
      <c r="AP299" s="11">
        <f t="shared" si="42"/>
        <v>1.3631220971106492E-3</v>
      </c>
      <c r="AQ299" s="11">
        <f t="shared" si="43"/>
        <v>5.2694918194523641E-4</v>
      </c>
      <c r="AR299" s="11">
        <f t="shared" si="44"/>
        <v>1.8900712790558857E-3</v>
      </c>
    </row>
    <row r="300" spans="2:44" x14ac:dyDescent="0.35">
      <c r="B300" s="1">
        <v>45208</v>
      </c>
      <c r="C300">
        <v>4569.9799999999996</v>
      </c>
      <c r="D300" s="1">
        <v>45208</v>
      </c>
      <c r="E300">
        <v>5.1660000000000004</v>
      </c>
      <c r="F300" s="1">
        <v>45205</v>
      </c>
      <c r="G300">
        <v>106.788</v>
      </c>
      <c r="H300" s="4">
        <f t="shared" si="36"/>
        <v>551666.80800000008</v>
      </c>
      <c r="I300" s="5">
        <v>45208</v>
      </c>
      <c r="J300" s="4">
        <v>5384.85</v>
      </c>
      <c r="K300" s="4">
        <f t="shared" si="37"/>
        <v>53848.5</v>
      </c>
      <c r="L300" s="1">
        <v>45208</v>
      </c>
      <c r="M300">
        <v>5.55</v>
      </c>
      <c r="N300" s="1">
        <v>45208</v>
      </c>
      <c r="O300">
        <v>5.5</v>
      </c>
      <c r="P300" s="1">
        <v>45208</v>
      </c>
      <c r="Q300">
        <v>5.52</v>
      </c>
      <c r="R300" s="1">
        <v>45208</v>
      </c>
      <c r="S300">
        <v>5.45</v>
      </c>
      <c r="T300" s="1">
        <v>45208</v>
      </c>
      <c r="U300">
        <v>5.49</v>
      </c>
      <c r="V300" s="1">
        <v>45208</v>
      </c>
      <c r="W300">
        <v>5.55</v>
      </c>
      <c r="X300" s="1">
        <v>45208</v>
      </c>
      <c r="Y300">
        <f>NETWORKDAYS(X300,$Z$1,FERIADO!$A$2:$A$408)</f>
        <v>1826</v>
      </c>
      <c r="Z300">
        <v>11.65</v>
      </c>
      <c r="AA300" s="6">
        <f t="shared" si="38"/>
        <v>45000.168698636298</v>
      </c>
      <c r="AB300" s="2">
        <f t="shared" si="39"/>
        <v>5.8250580175901925E-3</v>
      </c>
      <c r="AJ300" s="1">
        <v>45208</v>
      </c>
      <c r="AK300">
        <f>NETWORKDAYS(AJ300,$AJ$1,FERIADO!$A$2:$A$408)</f>
        <v>813</v>
      </c>
      <c r="AL300">
        <v>10.895</v>
      </c>
      <c r="AM300" s="6">
        <f t="shared" si="40"/>
        <v>71631.730885370882</v>
      </c>
      <c r="AN300" s="2">
        <f t="shared" si="41"/>
        <v>2.3902561482486151E-3</v>
      </c>
      <c r="AP300" s="11">
        <f t="shared" si="42"/>
        <v>2.9125290087950962E-3</v>
      </c>
      <c r="AQ300" s="11">
        <f t="shared" si="43"/>
        <v>7.1707684447458453E-4</v>
      </c>
      <c r="AR300" s="11">
        <f t="shared" si="44"/>
        <v>3.6296058532696808E-3</v>
      </c>
    </row>
    <row r="301" spans="2:44" x14ac:dyDescent="0.35">
      <c r="B301" s="1">
        <v>45205</v>
      </c>
      <c r="C301">
        <v>4544.66</v>
      </c>
      <c r="D301" s="1">
        <v>45205</v>
      </c>
      <c r="E301">
        <v>5.1912000000000003</v>
      </c>
      <c r="F301" s="1">
        <v>45204</v>
      </c>
      <c r="G301">
        <v>107.264</v>
      </c>
      <c r="H301" s="4">
        <f t="shared" si="36"/>
        <v>556828.87679999997</v>
      </c>
      <c r="I301" s="5">
        <v>45205</v>
      </c>
      <c r="J301" s="4">
        <v>5395.83</v>
      </c>
      <c r="K301" s="4">
        <f t="shared" si="37"/>
        <v>53958.3</v>
      </c>
      <c r="L301" s="1">
        <v>45205</v>
      </c>
      <c r="M301">
        <v>5.66</v>
      </c>
      <c r="N301" s="1">
        <v>45205</v>
      </c>
      <c r="O301">
        <v>5.62</v>
      </c>
      <c r="P301" s="1">
        <v>45205</v>
      </c>
      <c r="Q301">
        <v>5.6</v>
      </c>
      <c r="R301" s="1">
        <v>45205</v>
      </c>
      <c r="S301">
        <v>5.59</v>
      </c>
      <c r="T301" s="1">
        <v>45205</v>
      </c>
      <c r="U301">
        <v>5.61</v>
      </c>
      <c r="V301" s="1">
        <v>45205</v>
      </c>
      <c r="W301">
        <v>5.63</v>
      </c>
      <c r="X301" s="1">
        <v>45205</v>
      </c>
      <c r="Y301">
        <f>NETWORKDAYS(X301,$Z$1,FERIADO!$A$2:$A$408)</f>
        <v>1827</v>
      </c>
      <c r="Z301">
        <v>11.85</v>
      </c>
      <c r="AA301" s="6">
        <f t="shared" si="38"/>
        <v>44400.625042139167</v>
      </c>
      <c r="AB301" s="2">
        <f t="shared" si="39"/>
        <v>1.8825021672392534E-3</v>
      </c>
      <c r="AJ301" s="1">
        <v>45205</v>
      </c>
      <c r="AK301">
        <f>NETWORKDAYS(AJ301,$AJ$1,FERIADO!$A$2:$A$408)</f>
        <v>814</v>
      </c>
      <c r="AL301">
        <v>11.07</v>
      </c>
      <c r="AM301" s="6">
        <f t="shared" si="40"/>
        <v>71238.569371940903</v>
      </c>
      <c r="AN301" s="2">
        <f t="shared" si="41"/>
        <v>1.0658632778552156E-3</v>
      </c>
      <c r="AP301" s="11">
        <f t="shared" si="42"/>
        <v>9.4125108361962668E-4</v>
      </c>
      <c r="AQ301" s="11">
        <f t="shared" si="43"/>
        <v>3.197589833565647E-4</v>
      </c>
      <c r="AR301" s="11">
        <f t="shared" si="44"/>
        <v>1.2610100669761914E-3</v>
      </c>
    </row>
    <row r="302" spans="2:44" x14ac:dyDescent="0.35">
      <c r="B302" s="1">
        <v>45204</v>
      </c>
      <c r="C302">
        <v>4487.47</v>
      </c>
      <c r="D302" s="1">
        <v>45204</v>
      </c>
      <c r="E302">
        <v>5.1707000000000001</v>
      </c>
      <c r="F302" s="1">
        <v>45203</v>
      </c>
      <c r="G302">
        <v>107.104</v>
      </c>
      <c r="H302" s="4">
        <f t="shared" si="36"/>
        <v>553802.65280000004</v>
      </c>
      <c r="I302" s="5">
        <v>45204</v>
      </c>
      <c r="J302" s="4">
        <v>5418.82</v>
      </c>
      <c r="K302" s="4">
        <f t="shared" si="37"/>
        <v>54188.2</v>
      </c>
      <c r="L302" s="1">
        <v>45204</v>
      </c>
      <c r="M302">
        <v>5.72</v>
      </c>
      <c r="N302" s="1">
        <v>45204</v>
      </c>
      <c r="O302">
        <v>5.7</v>
      </c>
      <c r="P302" s="1">
        <v>45204</v>
      </c>
      <c r="Q302">
        <v>5.68</v>
      </c>
      <c r="R302" s="1">
        <v>45204</v>
      </c>
      <c r="S302">
        <v>5.64</v>
      </c>
      <c r="T302" s="1">
        <v>45204</v>
      </c>
      <c r="U302">
        <v>5.65</v>
      </c>
      <c r="V302" s="1">
        <v>45204</v>
      </c>
      <c r="W302">
        <v>5.7</v>
      </c>
      <c r="X302" s="1">
        <v>45204</v>
      </c>
      <c r="Y302">
        <f>NETWORKDAYS(X302,$Z$1,FERIADO!$A$2:$A$408)</f>
        <v>1828</v>
      </c>
      <c r="Z302">
        <v>11.91</v>
      </c>
      <c r="AA302" s="6">
        <f t="shared" si="38"/>
        <v>44208.581659794181</v>
      </c>
      <c r="AB302" s="2">
        <f t="shared" si="39"/>
        <v>-6.5117571518469872E-4</v>
      </c>
      <c r="AJ302" s="1">
        <v>45204</v>
      </c>
      <c r="AK302">
        <f>NETWORKDAYS(AJ302,$AJ$1,FERIADO!$A$2:$A$408)</f>
        <v>815</v>
      </c>
      <c r="AL302">
        <v>11.14</v>
      </c>
      <c r="AM302" s="6">
        <f t="shared" si="40"/>
        <v>71063.94713187564</v>
      </c>
      <c r="AN302" s="2">
        <f t="shared" si="41"/>
        <v>-3.2419742254253869E-4</v>
      </c>
      <c r="AP302" s="11">
        <f t="shared" si="42"/>
        <v>-3.2558785759234936E-4</v>
      </c>
      <c r="AQ302" s="11">
        <f t="shared" si="43"/>
        <v>-9.7259226762761602E-5</v>
      </c>
      <c r="AR302" s="11">
        <f t="shared" si="44"/>
        <v>-4.2284708435511096E-4</v>
      </c>
    </row>
    <row r="303" spans="2:44" x14ac:dyDescent="0.35">
      <c r="B303" s="1">
        <v>45203</v>
      </c>
      <c r="C303">
        <v>4486.97</v>
      </c>
      <c r="D303" s="1">
        <v>45203</v>
      </c>
      <c r="E303">
        <v>5.1520000000000001</v>
      </c>
      <c r="F303" s="1">
        <v>45202</v>
      </c>
      <c r="G303">
        <v>106.68</v>
      </c>
      <c r="H303" s="4">
        <f t="shared" si="36"/>
        <v>549615.35999999999</v>
      </c>
      <c r="I303" s="5">
        <v>45203</v>
      </c>
      <c r="J303" s="4">
        <v>5406.28</v>
      </c>
      <c r="K303" s="4">
        <f t="shared" si="37"/>
        <v>54062.799999999996</v>
      </c>
      <c r="L303" s="1">
        <v>45203</v>
      </c>
      <c r="M303">
        <v>5.7</v>
      </c>
      <c r="N303" s="1">
        <v>45203</v>
      </c>
      <c r="O303">
        <v>5.7</v>
      </c>
      <c r="P303" s="1">
        <v>45203</v>
      </c>
      <c r="Q303">
        <v>5.7</v>
      </c>
      <c r="R303" s="1">
        <v>45203</v>
      </c>
      <c r="S303">
        <v>5.63</v>
      </c>
      <c r="T303" s="1">
        <v>45203</v>
      </c>
      <c r="U303">
        <v>5.65</v>
      </c>
      <c r="V303" s="1">
        <v>45203</v>
      </c>
      <c r="W303">
        <v>5.71</v>
      </c>
      <c r="X303" s="1">
        <v>45203</v>
      </c>
      <c r="Y303">
        <f>NETWORKDAYS(X303,$Z$1,FERIADO!$A$2:$A$408)</f>
        <v>1829</v>
      </c>
      <c r="Z303">
        <v>11.88</v>
      </c>
      <c r="AA303" s="6">
        <f t="shared" si="38"/>
        <v>44274.917173185342</v>
      </c>
      <c r="AB303" s="2">
        <f t="shared" si="39"/>
        <v>4.1374798274390629E-3</v>
      </c>
      <c r="AJ303" s="1">
        <v>45203</v>
      </c>
      <c r="AK303">
        <f>NETWORKDAYS(AJ303,$AJ$1,FERIADO!$A$2:$A$408)</f>
        <v>816</v>
      </c>
      <c r="AL303">
        <v>11.1</v>
      </c>
      <c r="AM303" s="6">
        <f t="shared" si="40"/>
        <v>71117.015615862474</v>
      </c>
      <c r="AN303" s="2">
        <f t="shared" si="41"/>
        <v>2.7770497887092687E-3</v>
      </c>
      <c r="AP303" s="11">
        <f t="shared" si="42"/>
        <v>2.0687399137195315E-3</v>
      </c>
      <c r="AQ303" s="11">
        <f t="shared" si="43"/>
        <v>8.3311493661278053E-4</v>
      </c>
      <c r="AR303" s="11">
        <f t="shared" si="44"/>
        <v>2.9018548503323121E-3</v>
      </c>
    </row>
    <row r="304" spans="2:44" x14ac:dyDescent="0.35">
      <c r="B304" s="1">
        <v>45202</v>
      </c>
      <c r="C304">
        <v>4456.09</v>
      </c>
      <c r="D304" s="1">
        <v>45202</v>
      </c>
      <c r="E304">
        <v>5.1093999999999999</v>
      </c>
      <c r="F304" s="1">
        <v>45201</v>
      </c>
      <c r="G304">
        <v>107.315</v>
      </c>
      <c r="H304" s="4">
        <f t="shared" si="36"/>
        <v>548315.26099999994</v>
      </c>
      <c r="I304" s="5">
        <v>45202</v>
      </c>
      <c r="J304" s="4">
        <v>5421.43</v>
      </c>
      <c r="K304" s="4">
        <f t="shared" si="37"/>
        <v>54214.3</v>
      </c>
      <c r="L304" s="1">
        <v>45202</v>
      </c>
      <c r="M304">
        <v>5.74</v>
      </c>
      <c r="N304" s="1">
        <v>45202</v>
      </c>
      <c r="O304">
        <v>5.76</v>
      </c>
      <c r="P304" s="1">
        <v>45202</v>
      </c>
      <c r="Q304">
        <v>5.76</v>
      </c>
      <c r="R304" s="1">
        <v>45202</v>
      </c>
      <c r="S304">
        <v>5.72</v>
      </c>
      <c r="T304" s="1">
        <v>45202</v>
      </c>
      <c r="U304">
        <v>5.75</v>
      </c>
      <c r="V304" s="1">
        <v>45202</v>
      </c>
      <c r="W304">
        <v>5.78</v>
      </c>
      <c r="X304" s="1">
        <v>45202</v>
      </c>
      <c r="Y304">
        <f>NETWORKDAYS(X304,$Z$1,FERIADO!$A$2:$A$408)</f>
        <v>1830</v>
      </c>
      <c r="Z304">
        <v>12.02</v>
      </c>
      <c r="AA304" s="6">
        <f t="shared" si="38"/>
        <v>43855.117362937584</v>
      </c>
      <c r="AB304" s="2">
        <f t="shared" si="39"/>
        <v>-7.4192829992249356E-3</v>
      </c>
      <c r="AJ304" s="1">
        <v>45202</v>
      </c>
      <c r="AK304">
        <f>NETWORKDAYS(AJ304,$AJ$1,FERIADO!$A$2:$A$408)</f>
        <v>817</v>
      </c>
      <c r="AL304">
        <v>11.305</v>
      </c>
      <c r="AM304" s="6">
        <f t="shared" si="40"/>
        <v>70663.71626904764</v>
      </c>
      <c r="AN304" s="2">
        <f t="shared" si="41"/>
        <v>-3.1123005568029923E-3</v>
      </c>
      <c r="AP304" s="11">
        <f t="shared" si="42"/>
        <v>-3.7096414996124678E-3</v>
      </c>
      <c r="AQ304" s="11">
        <f t="shared" si="43"/>
        <v>-9.3369016704089765E-4</v>
      </c>
      <c r="AR304" s="11">
        <f t="shared" si="44"/>
        <v>-4.643331666653365E-3</v>
      </c>
    </row>
    <row r="305" spans="2:44" x14ac:dyDescent="0.35">
      <c r="B305" s="1">
        <v>45201</v>
      </c>
      <c r="C305">
        <v>4529.46</v>
      </c>
      <c r="D305" s="1">
        <v>45201</v>
      </c>
      <c r="E305">
        <v>5.0673000000000004</v>
      </c>
      <c r="F305" s="1">
        <v>45198</v>
      </c>
      <c r="G305">
        <v>108</v>
      </c>
      <c r="H305" s="4">
        <f t="shared" si="36"/>
        <v>547268.4</v>
      </c>
      <c r="I305" s="5">
        <v>45201</v>
      </c>
      <c r="J305" s="4">
        <v>5312.22</v>
      </c>
      <c r="K305" s="4">
        <f t="shared" si="37"/>
        <v>53122.200000000004</v>
      </c>
      <c r="L305" s="1">
        <v>45201</v>
      </c>
      <c r="M305">
        <v>5.57</v>
      </c>
      <c r="N305" s="1">
        <v>45201</v>
      </c>
      <c r="O305">
        <v>5.57</v>
      </c>
      <c r="P305" s="1">
        <v>45201</v>
      </c>
      <c r="Q305">
        <v>5.59</v>
      </c>
      <c r="R305" s="1">
        <v>45201</v>
      </c>
      <c r="S305">
        <v>5.55</v>
      </c>
      <c r="T305" s="1">
        <v>45201</v>
      </c>
      <c r="U305">
        <v>5.57</v>
      </c>
      <c r="V305" s="1">
        <v>45201</v>
      </c>
      <c r="W305">
        <v>5.67</v>
      </c>
      <c r="X305" s="1">
        <v>45201</v>
      </c>
      <c r="Y305">
        <f>NETWORKDAYS(X305,$Z$1,FERIADO!$A$2:$A$408)</f>
        <v>1831</v>
      </c>
      <c r="Z305">
        <v>11.75</v>
      </c>
      <c r="AA305" s="6">
        <f t="shared" si="38"/>
        <v>44610.753685757227</v>
      </c>
      <c r="AB305" s="2">
        <f t="shared" si="39"/>
        <v>-4.8981481468936671E-3</v>
      </c>
      <c r="AJ305" s="1">
        <v>45201</v>
      </c>
      <c r="AK305">
        <f>NETWORKDAYS(AJ305,$AJ$1,FERIADO!$A$2:$A$408)</f>
        <v>818</v>
      </c>
      <c r="AL305">
        <v>11.045</v>
      </c>
      <c r="AM305" s="6">
        <f t="shared" si="40"/>
        <v>71171.935122839088</v>
      </c>
      <c r="AN305" s="2">
        <f t="shared" si="41"/>
        <v>-2.8096224533433176E-3</v>
      </c>
      <c r="AP305" s="11">
        <f t="shared" si="42"/>
        <v>-2.4490740734468336E-3</v>
      </c>
      <c r="AQ305" s="11">
        <f t="shared" si="43"/>
        <v>-8.4288673600299525E-4</v>
      </c>
      <c r="AR305" s="11">
        <f t="shared" si="44"/>
        <v>-3.2919608094498288E-3</v>
      </c>
    </row>
    <row r="306" spans="2:44" x14ac:dyDescent="0.35">
      <c r="B306" s="1">
        <v>45198</v>
      </c>
      <c r="C306">
        <v>4534.6899999999996</v>
      </c>
      <c r="D306" s="1">
        <v>45198</v>
      </c>
      <c r="E306">
        <v>5.0069999999999997</v>
      </c>
      <c r="F306" s="1">
        <v>45197</v>
      </c>
      <c r="G306">
        <v>107.96</v>
      </c>
      <c r="H306" s="4">
        <f t="shared" si="36"/>
        <v>540555.72</v>
      </c>
      <c r="I306" s="5">
        <v>45198</v>
      </c>
      <c r="J306" s="4">
        <v>5285.05</v>
      </c>
      <c r="K306" s="4">
        <f t="shared" si="37"/>
        <v>52850.5</v>
      </c>
      <c r="L306" s="1">
        <v>45198</v>
      </c>
      <c r="M306">
        <v>5.47</v>
      </c>
      <c r="N306" s="1">
        <v>45198</v>
      </c>
      <c r="O306">
        <v>5.46</v>
      </c>
      <c r="P306" s="1">
        <v>45198</v>
      </c>
      <c r="Q306">
        <v>5.49</v>
      </c>
      <c r="R306" s="1">
        <v>45198</v>
      </c>
      <c r="S306">
        <v>5.47</v>
      </c>
      <c r="T306" s="1">
        <v>45198</v>
      </c>
      <c r="U306">
        <v>5.51</v>
      </c>
      <c r="V306" s="1">
        <v>45198</v>
      </c>
      <c r="W306">
        <v>5.57</v>
      </c>
      <c r="X306" s="1">
        <v>45198</v>
      </c>
      <c r="Y306">
        <f>NETWORKDAYS(X306,$Z$1,FERIADO!$A$2:$A$408)</f>
        <v>1832</v>
      </c>
      <c r="Z306">
        <v>11.57</v>
      </c>
      <c r="AA306" s="6">
        <f t="shared" si="38"/>
        <v>45116.73973349444</v>
      </c>
      <c r="AB306" s="2">
        <f t="shared" si="39"/>
        <v>2.1700277291924275E-3</v>
      </c>
      <c r="AJ306" s="1">
        <v>45198</v>
      </c>
      <c r="AK306">
        <f>NETWORKDAYS(AJ306,$AJ$1,FERIADO!$A$2:$A$408)</f>
        <v>819</v>
      </c>
      <c r="AL306">
        <v>10.81</v>
      </c>
      <c r="AM306" s="6">
        <f t="shared" si="40"/>
        <v>71633.86706721333</v>
      </c>
      <c r="AN306" s="2">
        <f t="shared" si="41"/>
        <v>1.1330659617324148E-3</v>
      </c>
      <c r="AP306" s="11">
        <f t="shared" si="42"/>
        <v>1.0850138645962138E-3</v>
      </c>
      <c r="AQ306" s="11">
        <f t="shared" si="43"/>
        <v>3.3991978851972445E-4</v>
      </c>
      <c r="AR306" s="11">
        <f t="shared" si="44"/>
        <v>1.4249336531159383E-3</v>
      </c>
    </row>
    <row r="307" spans="2:44" x14ac:dyDescent="0.35">
      <c r="B307" s="1">
        <v>45197</v>
      </c>
      <c r="C307">
        <v>4544.82</v>
      </c>
      <c r="D307" s="1">
        <v>45197</v>
      </c>
      <c r="E307">
        <v>5.0468999999999999</v>
      </c>
      <c r="F307" s="1">
        <v>45196</v>
      </c>
      <c r="G307">
        <v>107.69</v>
      </c>
      <c r="H307" s="4">
        <f t="shared" si="36"/>
        <v>543500.66100000008</v>
      </c>
      <c r="I307" s="5">
        <v>45197</v>
      </c>
      <c r="J307" s="4">
        <v>5287.66</v>
      </c>
      <c r="K307" s="4">
        <f t="shared" si="37"/>
        <v>52876.6</v>
      </c>
      <c r="L307" s="1">
        <v>45197</v>
      </c>
      <c r="M307">
        <v>5.54</v>
      </c>
      <c r="N307" s="1">
        <v>45197</v>
      </c>
      <c r="O307">
        <v>5.54</v>
      </c>
      <c r="P307" s="1">
        <v>45197</v>
      </c>
      <c r="Q307">
        <v>5.55</v>
      </c>
      <c r="R307" s="1">
        <v>45197</v>
      </c>
      <c r="S307">
        <v>5.62</v>
      </c>
      <c r="T307" s="1">
        <v>45197</v>
      </c>
      <c r="U307">
        <v>5.59</v>
      </c>
      <c r="V307" s="1">
        <v>45197</v>
      </c>
      <c r="W307">
        <v>5.67</v>
      </c>
      <c r="X307" s="1">
        <v>45197</v>
      </c>
      <c r="Y307">
        <f>NETWORKDAYS(X307,$Z$1,FERIADO!$A$2:$A$408)</f>
        <v>1833</v>
      </c>
      <c r="Z307">
        <v>11.64</v>
      </c>
      <c r="AA307" s="6">
        <f t="shared" si="38"/>
        <v>44891.868387839182</v>
      </c>
      <c r="AB307" s="2">
        <f t="shared" si="39"/>
        <v>4.4336396678922542E-3</v>
      </c>
      <c r="AJ307" s="1">
        <v>45197</v>
      </c>
      <c r="AK307">
        <f>NETWORKDAYS(AJ307,$AJ$1,FERIADO!$A$2:$A$408)</f>
        <v>820</v>
      </c>
      <c r="AL307">
        <v>10.885</v>
      </c>
      <c r="AM307" s="6">
        <f t="shared" si="40"/>
        <v>71447.219270047848</v>
      </c>
      <c r="AN307" s="2">
        <f t="shared" si="41"/>
        <v>2.1545013398718291E-3</v>
      </c>
      <c r="AP307" s="11">
        <f t="shared" si="42"/>
        <v>2.2168198339461271E-3</v>
      </c>
      <c r="AQ307" s="11">
        <f t="shared" si="43"/>
        <v>6.4635040196154875E-4</v>
      </c>
      <c r="AR307" s="11">
        <f t="shared" si="44"/>
        <v>2.8631702359076757E-3</v>
      </c>
    </row>
    <row r="308" spans="2:44" x14ac:dyDescent="0.35">
      <c r="B308" s="1">
        <v>45196</v>
      </c>
      <c r="C308">
        <v>4524.51</v>
      </c>
      <c r="D308" s="1">
        <v>45196</v>
      </c>
      <c r="E308">
        <v>5.0282999999999998</v>
      </c>
      <c r="F308" s="1">
        <v>45195</v>
      </c>
      <c r="G308">
        <v>108.15</v>
      </c>
      <c r="H308" s="4">
        <f t="shared" si="36"/>
        <v>543810.64500000002</v>
      </c>
      <c r="I308" s="5">
        <v>45196</v>
      </c>
      <c r="J308" s="4">
        <v>5297.64</v>
      </c>
      <c r="K308" s="4">
        <f t="shared" si="37"/>
        <v>52976.4</v>
      </c>
      <c r="L308" s="1">
        <v>45196</v>
      </c>
      <c r="M308">
        <v>5.65</v>
      </c>
      <c r="N308" s="1">
        <v>45196</v>
      </c>
      <c r="O308">
        <v>5.61</v>
      </c>
      <c r="P308" s="1">
        <v>45196</v>
      </c>
      <c r="Q308">
        <v>5.67</v>
      </c>
      <c r="R308" s="1">
        <v>45196</v>
      </c>
      <c r="S308">
        <v>5.67</v>
      </c>
      <c r="T308" s="1">
        <v>45196</v>
      </c>
      <c r="U308">
        <v>5.69</v>
      </c>
      <c r="V308" s="1">
        <v>45196</v>
      </c>
      <c r="W308">
        <v>5.75</v>
      </c>
      <c r="X308" s="1">
        <v>45196</v>
      </c>
      <c r="Y308">
        <f>NETWORKDAYS(X308,$Z$1,FERIADO!$A$2:$A$408)</f>
        <v>1834</v>
      </c>
      <c r="Z308">
        <v>11.79</v>
      </c>
      <c r="AA308" s="6">
        <f t="shared" si="38"/>
        <v>44435.906198918085</v>
      </c>
      <c r="AB308" s="2">
        <f t="shared" si="39"/>
        <v>-6.5670727930337662E-4</v>
      </c>
      <c r="AJ308" s="1">
        <v>45196</v>
      </c>
      <c r="AK308">
        <f>NETWORKDAYS(AJ308,$AJ$1,FERIADO!$A$2:$A$408)</f>
        <v>821</v>
      </c>
      <c r="AL308">
        <v>11.04</v>
      </c>
      <c r="AM308" s="6">
        <f t="shared" si="40"/>
        <v>71093.652873307525</v>
      </c>
      <c r="AN308" s="2">
        <f t="shared" si="41"/>
        <v>-1.7983680000895998E-3</v>
      </c>
      <c r="AP308" s="11">
        <f t="shared" si="42"/>
        <v>-3.2835363965168831E-4</v>
      </c>
      <c r="AQ308" s="11">
        <f t="shared" si="43"/>
        <v>-5.3951040002687988E-4</v>
      </c>
      <c r="AR308" s="11">
        <f t="shared" si="44"/>
        <v>-8.6786403967856825E-4</v>
      </c>
    </row>
    <row r="309" spans="2:44" x14ac:dyDescent="0.35">
      <c r="B309" s="1">
        <v>45195</v>
      </c>
      <c r="C309">
        <v>4520.7700000000004</v>
      </c>
      <c r="D309" s="1">
        <v>45195</v>
      </c>
      <c r="E309">
        <v>4.9710999999999999</v>
      </c>
      <c r="F309" s="1">
        <v>45194</v>
      </c>
      <c r="G309">
        <v>108.18</v>
      </c>
      <c r="H309" s="4">
        <f t="shared" si="36"/>
        <v>537773.598</v>
      </c>
      <c r="I309" s="5">
        <v>45195</v>
      </c>
      <c r="J309" s="4">
        <v>5240.3999999999996</v>
      </c>
      <c r="K309" s="4">
        <f t="shared" si="37"/>
        <v>52404</v>
      </c>
      <c r="L309" s="1">
        <v>45195</v>
      </c>
      <c r="M309">
        <v>5.46</v>
      </c>
      <c r="N309" s="1">
        <v>45195</v>
      </c>
      <c r="O309">
        <v>5.45</v>
      </c>
      <c r="P309" s="1">
        <v>45195</v>
      </c>
      <c r="Q309">
        <v>5.53</v>
      </c>
      <c r="R309" s="1">
        <v>45195</v>
      </c>
      <c r="S309">
        <v>5.55</v>
      </c>
      <c r="T309" s="1">
        <v>45195</v>
      </c>
      <c r="U309">
        <v>5.6</v>
      </c>
      <c r="V309" s="1">
        <v>45195</v>
      </c>
      <c r="W309">
        <v>5.69</v>
      </c>
      <c r="X309" s="1">
        <v>45195</v>
      </c>
      <c r="Y309">
        <f>NETWORKDAYS(X309,$Z$1,FERIADO!$A$2:$A$408)</f>
        <v>1835</v>
      </c>
      <c r="Z309">
        <v>11.76</v>
      </c>
      <c r="AA309" s="6">
        <f t="shared" si="38"/>
        <v>44503.149643966455</v>
      </c>
      <c r="AB309" s="2">
        <f t="shared" si="39"/>
        <v>-8.0295288816064365E-3</v>
      </c>
      <c r="AJ309" s="1">
        <v>45195</v>
      </c>
      <c r="AK309">
        <f>NETWORKDAYS(AJ309,$AJ$1,FERIADO!$A$2:$A$408)</f>
        <v>822</v>
      </c>
      <c r="AL309">
        <v>10.885</v>
      </c>
      <c r="AM309" s="6">
        <f t="shared" si="40"/>
        <v>71388.654613949097</v>
      </c>
      <c r="AN309" s="2">
        <f t="shared" si="41"/>
        <v>-3.6003614426774605E-3</v>
      </c>
      <c r="AP309" s="11">
        <f t="shared" si="42"/>
        <v>-4.0147644408032182E-3</v>
      </c>
      <c r="AQ309" s="11">
        <f t="shared" si="43"/>
        <v>-1.0801084328032381E-3</v>
      </c>
      <c r="AR309" s="11">
        <f t="shared" si="44"/>
        <v>-5.0948728736064566E-3</v>
      </c>
    </row>
    <row r="310" spans="2:44" x14ac:dyDescent="0.35">
      <c r="B310" s="1">
        <v>45194</v>
      </c>
      <c r="C310">
        <v>4585.29</v>
      </c>
      <c r="D310" s="1">
        <v>45194</v>
      </c>
      <c r="E310">
        <v>4.96</v>
      </c>
      <c r="F310" s="1">
        <v>45191</v>
      </c>
      <c r="G310">
        <v>108.751</v>
      </c>
      <c r="H310" s="4">
        <f t="shared" si="36"/>
        <v>539404.96000000008</v>
      </c>
      <c r="I310" s="5">
        <v>45194</v>
      </c>
      <c r="J310" s="4">
        <v>5222.0200000000004</v>
      </c>
      <c r="K310" s="4">
        <f t="shared" si="37"/>
        <v>52220.200000000004</v>
      </c>
      <c r="L310" s="1">
        <v>45194</v>
      </c>
      <c r="M310">
        <v>5.26</v>
      </c>
      <c r="N310" s="1">
        <v>45194</v>
      </c>
      <c r="O310">
        <v>5.26</v>
      </c>
      <c r="P310" s="1">
        <v>45194</v>
      </c>
      <c r="Q310">
        <v>5.33</v>
      </c>
      <c r="R310" s="1">
        <v>45194</v>
      </c>
      <c r="S310">
        <v>5.33</v>
      </c>
      <c r="T310" s="1">
        <v>45194</v>
      </c>
      <c r="U310">
        <v>5.39</v>
      </c>
      <c r="V310" s="1">
        <v>45194</v>
      </c>
      <c r="W310">
        <v>5.46</v>
      </c>
      <c r="X310" s="1">
        <v>45194</v>
      </c>
      <c r="Y310">
        <f>NETWORKDAYS(X310,$Z$1,FERIADO!$A$2:$A$408)</f>
        <v>1836</v>
      </c>
      <c r="Z310">
        <v>11.47</v>
      </c>
      <c r="AA310" s="6">
        <f t="shared" si="38"/>
        <v>45333.607221034828</v>
      </c>
      <c r="AB310" s="2">
        <f t="shared" si="39"/>
        <v>-2.6542482326007461E-3</v>
      </c>
      <c r="AJ310" s="1">
        <v>45194</v>
      </c>
      <c r="AK310">
        <f>NETWORKDAYS(AJ310,$AJ$1,FERIADO!$A$2:$A$408)</f>
        <v>823</v>
      </c>
      <c r="AL310">
        <v>10.59</v>
      </c>
      <c r="AM310" s="6">
        <f t="shared" si="40"/>
        <v>71982.936389834023</v>
      </c>
      <c r="AN310" s="2">
        <f t="shared" si="41"/>
        <v>-9.1841969074194245E-4</v>
      </c>
      <c r="AP310" s="11">
        <f t="shared" si="42"/>
        <v>-1.327124116300373E-3</v>
      </c>
      <c r="AQ310" s="11">
        <f t="shared" si="43"/>
        <v>-2.7552590722258275E-4</v>
      </c>
      <c r="AR310" s="11">
        <f t="shared" si="44"/>
        <v>-1.6026500235229559E-3</v>
      </c>
    </row>
    <row r="311" spans="2:44" x14ac:dyDescent="0.35">
      <c r="B311" s="1">
        <v>45191</v>
      </c>
      <c r="C311">
        <v>4565.43</v>
      </c>
      <c r="D311" s="1">
        <v>45191</v>
      </c>
      <c r="E311">
        <v>4.9124999999999996</v>
      </c>
      <c r="F311" s="1">
        <v>45190</v>
      </c>
      <c r="G311">
        <v>108.328</v>
      </c>
      <c r="H311" s="4">
        <f t="shared" si="36"/>
        <v>532161.29999999993</v>
      </c>
      <c r="I311" s="5">
        <v>45191</v>
      </c>
      <c r="J311" s="4">
        <v>5188.93</v>
      </c>
      <c r="K311" s="4">
        <f t="shared" si="37"/>
        <v>51889.3</v>
      </c>
      <c r="L311" s="1">
        <v>45191</v>
      </c>
      <c r="M311">
        <v>5.18</v>
      </c>
      <c r="N311" s="1">
        <v>45191</v>
      </c>
      <c r="O311">
        <v>5.17</v>
      </c>
      <c r="P311" s="1">
        <v>45191</v>
      </c>
      <c r="Q311">
        <v>5.26</v>
      </c>
      <c r="R311" s="1">
        <v>45191</v>
      </c>
      <c r="S311">
        <v>5.39</v>
      </c>
      <c r="T311" s="1">
        <v>45191</v>
      </c>
      <c r="U311">
        <v>5.31</v>
      </c>
      <c r="V311" s="1">
        <v>45191</v>
      </c>
      <c r="W311">
        <v>5.38</v>
      </c>
      <c r="X311" s="1">
        <v>45191</v>
      </c>
      <c r="Y311">
        <f>NETWORKDAYS(X311,$Z$1,FERIADO!$A$2:$A$408)</f>
        <v>1837</v>
      </c>
      <c r="Z311">
        <v>11.37</v>
      </c>
      <c r="AA311" s="6">
        <f t="shared" si="38"/>
        <v>45611.517943392762</v>
      </c>
      <c r="AB311" s="2">
        <f t="shared" si="39"/>
        <v>1.0387350902826083E-3</v>
      </c>
      <c r="AJ311" s="1">
        <v>45191</v>
      </c>
      <c r="AK311">
        <f>NETWORKDAYS(AJ311,$AJ$1,FERIADO!$A$2:$A$408)</f>
        <v>824</v>
      </c>
      <c r="AL311">
        <v>10.505000000000001</v>
      </c>
      <c r="AM311" s="6">
        <f t="shared" si="40"/>
        <v>72135.322619750994</v>
      </c>
      <c r="AN311" s="2">
        <f t="shared" si="41"/>
        <v>7.5101897757379632E-4</v>
      </c>
      <c r="AP311" s="11">
        <f t="shared" si="42"/>
        <v>5.1936754514130413E-4</v>
      </c>
      <c r="AQ311" s="11">
        <f t="shared" si="43"/>
        <v>2.2530569327213889E-4</v>
      </c>
      <c r="AR311" s="11">
        <f t="shared" si="44"/>
        <v>7.4467323841344302E-4</v>
      </c>
    </row>
    <row r="312" spans="2:44" x14ac:dyDescent="0.35">
      <c r="B312" s="1">
        <v>45190</v>
      </c>
      <c r="C312">
        <v>4570.62</v>
      </c>
      <c r="D312" s="1">
        <v>45190</v>
      </c>
      <c r="E312">
        <v>4.9222999999999999</v>
      </c>
      <c r="F312" s="1">
        <v>45189</v>
      </c>
      <c r="G312">
        <v>108.718</v>
      </c>
      <c r="H312" s="4">
        <f t="shared" si="36"/>
        <v>535142.61139999994</v>
      </c>
      <c r="I312" s="5">
        <v>45190</v>
      </c>
      <c r="J312" s="4">
        <v>5191.5600000000004</v>
      </c>
      <c r="K312" s="4">
        <f t="shared" si="37"/>
        <v>51915.600000000006</v>
      </c>
      <c r="L312" s="1">
        <v>45190</v>
      </c>
      <c r="M312">
        <v>5.17</v>
      </c>
      <c r="N312" s="1">
        <v>45190</v>
      </c>
      <c r="O312">
        <v>5.21</v>
      </c>
      <c r="P312" s="1">
        <v>45190</v>
      </c>
      <c r="Q312">
        <v>5.26</v>
      </c>
      <c r="R312" s="1">
        <v>45190</v>
      </c>
      <c r="S312">
        <v>5.24</v>
      </c>
      <c r="T312" s="1">
        <v>45190</v>
      </c>
      <c r="U312">
        <v>5.35</v>
      </c>
      <c r="V312" s="1">
        <v>45190</v>
      </c>
      <c r="W312">
        <v>5.4</v>
      </c>
      <c r="X312" s="1">
        <v>45190</v>
      </c>
      <c r="Y312">
        <f>NETWORKDAYS(X312,$Z$1,FERIADO!$A$2:$A$408)</f>
        <v>1838</v>
      </c>
      <c r="Z312">
        <v>11.4</v>
      </c>
      <c r="AA312" s="6">
        <f t="shared" si="38"/>
        <v>45502.555770936742</v>
      </c>
      <c r="AB312" s="2">
        <f t="shared" si="39"/>
        <v>-2.9449796149002027E-3</v>
      </c>
      <c r="AJ312" s="1">
        <v>45190</v>
      </c>
      <c r="AK312">
        <f>NETWORKDAYS(AJ312,$AJ$1,FERIADO!$A$2:$A$408)</f>
        <v>825</v>
      </c>
      <c r="AL312">
        <v>10.55</v>
      </c>
      <c r="AM312" s="6">
        <f t="shared" si="40"/>
        <v>72010.687876555399</v>
      </c>
      <c r="AN312" s="2">
        <f t="shared" si="41"/>
        <v>-7.2880334666513744E-4</v>
      </c>
      <c r="AP312" s="11">
        <f t="shared" si="42"/>
        <v>-1.4724898074501014E-3</v>
      </c>
      <c r="AQ312" s="11">
        <f t="shared" si="43"/>
        <v>-2.1864100399954123E-4</v>
      </c>
      <c r="AR312" s="11">
        <f t="shared" si="44"/>
        <v>-1.6911308114496426E-3</v>
      </c>
    </row>
    <row r="313" spans="2:44" x14ac:dyDescent="0.35">
      <c r="B313" s="1">
        <v>45189</v>
      </c>
      <c r="C313">
        <v>4649.58</v>
      </c>
      <c r="D313" s="1">
        <v>45189</v>
      </c>
      <c r="E313">
        <v>4.8480999999999996</v>
      </c>
      <c r="F313" s="1">
        <v>45188</v>
      </c>
      <c r="G313">
        <v>109.13200000000001</v>
      </c>
      <c r="H313" s="4">
        <f t="shared" si="36"/>
        <v>529082.84919999994</v>
      </c>
      <c r="I313" s="5">
        <v>45189</v>
      </c>
      <c r="J313" s="4">
        <v>5132.22</v>
      </c>
      <c r="K313" s="4">
        <f t="shared" si="37"/>
        <v>51322.200000000004</v>
      </c>
      <c r="L313" s="1">
        <v>45189</v>
      </c>
      <c r="M313">
        <v>5.1100000000000003</v>
      </c>
      <c r="N313" s="1">
        <v>45189</v>
      </c>
      <c r="O313">
        <v>5.14</v>
      </c>
      <c r="P313" s="1">
        <v>45189</v>
      </c>
      <c r="Q313">
        <v>5.23</v>
      </c>
      <c r="R313" s="1">
        <v>45189</v>
      </c>
      <c r="S313">
        <v>5.24</v>
      </c>
      <c r="T313" s="1">
        <v>45189</v>
      </c>
      <c r="U313">
        <v>5.32</v>
      </c>
      <c r="V313" s="1">
        <v>45189</v>
      </c>
      <c r="W313">
        <v>5.37</v>
      </c>
      <c r="X313" s="1">
        <v>45189</v>
      </c>
      <c r="Y313">
        <f>NETWORKDAYS(X313,$Z$1,FERIADO!$A$2:$A$408)</f>
        <v>1839</v>
      </c>
      <c r="Z313">
        <v>11.29</v>
      </c>
      <c r="AA313" s="6">
        <f t="shared" si="38"/>
        <v>45812.160149602634</v>
      </c>
      <c r="AB313" s="2">
        <f t="shared" si="39"/>
        <v>4.6927174248779233E-4</v>
      </c>
      <c r="AJ313" s="1">
        <v>45189</v>
      </c>
      <c r="AK313">
        <f>NETWORKDAYS(AJ313,$AJ$1,FERIADO!$A$2:$A$408)</f>
        <v>826</v>
      </c>
      <c r="AL313">
        <v>10.48</v>
      </c>
      <c r="AM313" s="6">
        <f t="shared" si="40"/>
        <v>72131.632748516582</v>
      </c>
      <c r="AN313" s="2">
        <f t="shared" si="41"/>
        <v>-2.7982749212004108E-4</v>
      </c>
      <c r="AP313" s="11">
        <f t="shared" si="42"/>
        <v>2.3463587124389617E-4</v>
      </c>
      <c r="AQ313" s="11">
        <f t="shared" si="43"/>
        <v>-8.3948247636012326E-5</v>
      </c>
      <c r="AR313" s="11">
        <f t="shared" si="44"/>
        <v>1.5068762360788385E-4</v>
      </c>
    </row>
    <row r="314" spans="2:44" x14ac:dyDescent="0.35">
      <c r="B314" s="1">
        <v>45188</v>
      </c>
      <c r="C314">
        <v>4702.05</v>
      </c>
      <c r="D314" s="1">
        <v>45188</v>
      </c>
      <c r="E314">
        <v>4.8569000000000004</v>
      </c>
      <c r="F314" s="1">
        <v>45187</v>
      </c>
      <c r="G314">
        <v>109.557</v>
      </c>
      <c r="H314" s="4">
        <f t="shared" si="36"/>
        <v>532107.3933</v>
      </c>
      <c r="I314" s="5">
        <v>45188</v>
      </c>
      <c r="J314" s="4">
        <v>5120.66</v>
      </c>
      <c r="K314" s="4">
        <f t="shared" si="37"/>
        <v>51206.6</v>
      </c>
      <c r="L314" s="1">
        <v>45188</v>
      </c>
      <c r="M314">
        <v>5.12</v>
      </c>
      <c r="N314" s="1">
        <v>45188</v>
      </c>
      <c r="O314">
        <v>5.14</v>
      </c>
      <c r="P314" s="1">
        <v>45188</v>
      </c>
      <c r="Q314">
        <v>5.22</v>
      </c>
      <c r="R314" s="1">
        <v>45188</v>
      </c>
      <c r="S314">
        <v>5.23</v>
      </c>
      <c r="T314" s="1">
        <v>45188</v>
      </c>
      <c r="U314">
        <v>5.32</v>
      </c>
      <c r="V314" s="1">
        <v>45188</v>
      </c>
      <c r="W314">
        <v>5.39</v>
      </c>
      <c r="X314" s="1">
        <v>45188</v>
      </c>
      <c r="Y314">
        <f>NETWORKDAYS(X314,$Z$1,FERIADO!$A$2:$A$408)</f>
        <v>1840</v>
      </c>
      <c r="Z314">
        <v>11.3</v>
      </c>
      <c r="AA314" s="6">
        <f t="shared" si="38"/>
        <v>45762.685098908565</v>
      </c>
      <c r="AB314" s="2">
        <f t="shared" si="39"/>
        <v>-2.0968274678584962E-3</v>
      </c>
      <c r="AJ314" s="1">
        <v>45188</v>
      </c>
      <c r="AK314">
        <f>NETWORKDAYS(AJ314,$AJ$1,FERIADO!$A$2:$A$408)</f>
        <v>827</v>
      </c>
      <c r="AL314">
        <v>10.445</v>
      </c>
      <c r="AM314" s="6">
        <f t="shared" si="40"/>
        <v>72178.124055245615</v>
      </c>
      <c r="AN314" s="2">
        <f t="shared" si="41"/>
        <v>-8.6277317485858708E-4</v>
      </c>
      <c r="AP314" s="11">
        <f t="shared" si="42"/>
        <v>-1.0484137339292481E-3</v>
      </c>
      <c r="AQ314" s="11">
        <f t="shared" si="43"/>
        <v>-2.5883195245757614E-4</v>
      </c>
      <c r="AR314" s="11">
        <f t="shared" si="44"/>
        <v>-1.3072456863868242E-3</v>
      </c>
    </row>
    <row r="315" spans="2:44" x14ac:dyDescent="0.35">
      <c r="B315" s="1">
        <v>45187</v>
      </c>
      <c r="C315">
        <v>4714.18</v>
      </c>
      <c r="D315" s="1">
        <v>45187</v>
      </c>
      <c r="E315">
        <v>4.8529</v>
      </c>
      <c r="F315" s="1">
        <v>45184</v>
      </c>
      <c r="G315">
        <v>109.405</v>
      </c>
      <c r="H315" s="4">
        <f t="shared" si="36"/>
        <v>530931.52450000006</v>
      </c>
      <c r="I315" s="5">
        <v>45187</v>
      </c>
      <c r="J315" s="4">
        <v>5111.21</v>
      </c>
      <c r="K315" s="4">
        <f t="shared" si="37"/>
        <v>51112.1</v>
      </c>
      <c r="L315" s="1">
        <v>45187</v>
      </c>
      <c r="M315">
        <v>5.07</v>
      </c>
      <c r="N315" s="1">
        <v>45187</v>
      </c>
      <c r="O315">
        <v>5.1100000000000003</v>
      </c>
      <c r="P315" s="1">
        <v>45187</v>
      </c>
      <c r="Q315">
        <v>5.19</v>
      </c>
      <c r="R315" s="1">
        <v>45187</v>
      </c>
      <c r="S315">
        <v>5.2</v>
      </c>
      <c r="T315" s="1">
        <v>45187</v>
      </c>
      <c r="U315">
        <v>5.29</v>
      </c>
      <c r="V315" s="1">
        <v>45187</v>
      </c>
      <c r="W315">
        <v>5.37</v>
      </c>
      <c r="X315" s="1">
        <v>45187</v>
      </c>
      <c r="Y315">
        <f>NETWORKDAYS(X315,$Z$1,FERIADO!$A$2:$A$408)</f>
        <v>1841</v>
      </c>
      <c r="Z315">
        <v>11.22</v>
      </c>
      <c r="AA315" s="6">
        <f t="shared" si="38"/>
        <v>45984.1672433895</v>
      </c>
      <c r="AB315" s="2">
        <f t="shared" si="39"/>
        <v>1.8326543944791035E-4</v>
      </c>
      <c r="AJ315" s="1">
        <v>45187</v>
      </c>
      <c r="AK315">
        <f>NETWORKDAYS(AJ315,$AJ$1,FERIADO!$A$2:$A$408)</f>
        <v>828</v>
      </c>
      <c r="AL315">
        <v>10.365</v>
      </c>
      <c r="AM315" s="6">
        <f t="shared" si="40"/>
        <v>72321.656264870529</v>
      </c>
      <c r="AN315" s="2">
        <f t="shared" si="41"/>
        <v>-2.8318620286148005E-4</v>
      </c>
      <c r="AP315" s="11">
        <f t="shared" si="42"/>
        <v>9.1632719723955177E-5</v>
      </c>
      <c r="AQ315" s="11">
        <f t="shared" si="43"/>
        <v>-8.4955860858444007E-5</v>
      </c>
      <c r="AR315" s="11">
        <f t="shared" si="44"/>
        <v>6.6768588655111697E-6</v>
      </c>
    </row>
    <row r="316" spans="2:44" x14ac:dyDescent="0.35">
      <c r="B316" s="1">
        <v>45184</v>
      </c>
      <c r="C316">
        <v>4707.1400000000003</v>
      </c>
      <c r="D316" s="1">
        <v>45184</v>
      </c>
      <c r="E316">
        <v>4.8682999999999996</v>
      </c>
      <c r="F316" s="1">
        <v>45183</v>
      </c>
      <c r="G316">
        <v>109.78</v>
      </c>
      <c r="H316" s="4">
        <f t="shared" si="36"/>
        <v>534441.97399999993</v>
      </c>
      <c r="I316" s="5">
        <v>45184</v>
      </c>
      <c r="J316" s="4">
        <v>5125.3900000000003</v>
      </c>
      <c r="K316" s="4">
        <f t="shared" si="37"/>
        <v>51253.9</v>
      </c>
      <c r="L316" s="1">
        <v>45184</v>
      </c>
      <c r="M316">
        <v>5.04</v>
      </c>
      <c r="N316" s="1">
        <v>45184</v>
      </c>
      <c r="O316">
        <v>5.09</v>
      </c>
      <c r="P316" s="1">
        <v>45184</v>
      </c>
      <c r="Q316">
        <v>5.17</v>
      </c>
      <c r="R316" s="1">
        <v>45184</v>
      </c>
      <c r="S316">
        <v>5.19</v>
      </c>
      <c r="T316" s="1">
        <v>45184</v>
      </c>
      <c r="U316">
        <v>5.27</v>
      </c>
      <c r="V316" s="1">
        <v>45184</v>
      </c>
      <c r="W316">
        <v>5.34</v>
      </c>
      <c r="X316" s="1">
        <v>45184</v>
      </c>
      <c r="Y316">
        <f>NETWORKDAYS(X316,$Z$1,FERIADO!$A$2:$A$408)</f>
        <v>1842</v>
      </c>
      <c r="Z316">
        <v>11.22</v>
      </c>
      <c r="AA316" s="6">
        <f t="shared" si="38"/>
        <v>45964.76674183389</v>
      </c>
      <c r="AB316" s="2">
        <f t="shared" si="39"/>
        <v>-2.9596576535776387E-3</v>
      </c>
      <c r="AJ316" s="1">
        <v>45184</v>
      </c>
      <c r="AK316">
        <f>NETWORKDAYS(AJ316,$AJ$1,FERIADO!$A$2:$A$408)</f>
        <v>829</v>
      </c>
      <c r="AL316">
        <v>10.33</v>
      </c>
      <c r="AM316" s="6">
        <f t="shared" si="40"/>
        <v>72368.829726166441</v>
      </c>
      <c r="AN316" s="2">
        <f t="shared" si="41"/>
        <v>-9.9789556487369204E-4</v>
      </c>
      <c r="AP316" s="11">
        <f t="shared" si="42"/>
        <v>-1.4798288267888194E-3</v>
      </c>
      <c r="AQ316" s="11">
        <f t="shared" si="43"/>
        <v>-2.993686694621076E-4</v>
      </c>
      <c r="AR316" s="11">
        <f t="shared" si="44"/>
        <v>-1.779197496250927E-3</v>
      </c>
    </row>
    <row r="317" spans="2:44" x14ac:dyDescent="0.35">
      <c r="B317" s="1">
        <v>45183</v>
      </c>
      <c r="C317">
        <v>4774.5600000000004</v>
      </c>
      <c r="D317" s="1">
        <v>45183</v>
      </c>
      <c r="E317">
        <v>4.8745000000000003</v>
      </c>
      <c r="F317" s="1">
        <v>45182</v>
      </c>
      <c r="G317">
        <v>110.045</v>
      </c>
      <c r="H317" s="4">
        <f t="shared" si="36"/>
        <v>536414.35250000004</v>
      </c>
      <c r="I317" s="5">
        <v>45183</v>
      </c>
      <c r="J317" s="4">
        <v>5125.3900000000003</v>
      </c>
      <c r="K317" s="4">
        <f t="shared" si="37"/>
        <v>51253.9</v>
      </c>
      <c r="L317" s="1">
        <v>45183</v>
      </c>
      <c r="M317">
        <v>5.0199999999999996</v>
      </c>
      <c r="N317" s="1">
        <v>45183</v>
      </c>
      <c r="O317">
        <v>5.05</v>
      </c>
      <c r="P317" s="1">
        <v>45183</v>
      </c>
      <c r="Q317">
        <v>5.13</v>
      </c>
      <c r="R317" s="1">
        <v>45183</v>
      </c>
      <c r="S317">
        <v>5.12</v>
      </c>
      <c r="T317" s="1">
        <v>45183</v>
      </c>
      <c r="U317">
        <v>5.21</v>
      </c>
      <c r="V317" s="1">
        <v>45183</v>
      </c>
      <c r="W317">
        <v>5.3</v>
      </c>
      <c r="X317" s="1">
        <v>45183</v>
      </c>
      <c r="Y317">
        <f>NETWORKDAYS(X317,$Z$1,FERIADO!$A$2:$A$408)</f>
        <v>1843</v>
      </c>
      <c r="Z317">
        <v>11.11</v>
      </c>
      <c r="AA317" s="6">
        <f t="shared" si="38"/>
        <v>46279.08014230727</v>
      </c>
      <c r="AB317" s="2">
        <f t="shared" si="39"/>
        <v>4.6756403692374142E-4</v>
      </c>
      <c r="AJ317" s="1">
        <v>45183</v>
      </c>
      <c r="AK317">
        <f>NETWORKDAYS(AJ317,$AJ$1,FERIADO!$A$2:$A$408)</f>
        <v>830</v>
      </c>
      <c r="AL317">
        <v>10.24</v>
      </c>
      <c r="AM317" s="6">
        <f t="shared" si="40"/>
        <v>72535.305627205322</v>
      </c>
      <c r="AN317" s="2">
        <f t="shared" si="41"/>
        <v>2.3296669325705181E-4</v>
      </c>
      <c r="AP317" s="11">
        <f t="shared" si="42"/>
        <v>2.3378201846187071E-4</v>
      </c>
      <c r="AQ317" s="11">
        <f t="shared" si="43"/>
        <v>6.9890007977115547E-5</v>
      </c>
      <c r="AR317" s="11">
        <f t="shared" si="44"/>
        <v>3.0367202643898626E-4</v>
      </c>
    </row>
    <row r="318" spans="2:44" x14ac:dyDescent="0.35">
      <c r="B318" s="1">
        <v>45182</v>
      </c>
      <c r="C318">
        <v>4727.1400000000003</v>
      </c>
      <c r="D318" s="1">
        <v>45182</v>
      </c>
      <c r="E318">
        <v>4.9165000000000001</v>
      </c>
      <c r="F318" s="1">
        <v>45181</v>
      </c>
      <c r="G318">
        <v>109.732</v>
      </c>
      <c r="H318" s="4">
        <f t="shared" si="36"/>
        <v>539497.37800000003</v>
      </c>
      <c r="I318" s="5">
        <v>45182</v>
      </c>
      <c r="J318" s="4">
        <v>5175.8</v>
      </c>
      <c r="K318" s="4">
        <f t="shared" si="37"/>
        <v>51758</v>
      </c>
      <c r="L318" s="1">
        <v>45182</v>
      </c>
      <c r="M318">
        <v>5.01</v>
      </c>
      <c r="N318" s="1">
        <v>45182</v>
      </c>
      <c r="O318">
        <v>5.05</v>
      </c>
      <c r="P318" s="1">
        <v>45182</v>
      </c>
      <c r="Q318">
        <v>5.1100000000000003</v>
      </c>
      <c r="R318" s="1">
        <v>45182</v>
      </c>
      <c r="S318">
        <v>5.13</v>
      </c>
      <c r="T318" s="1">
        <v>45182</v>
      </c>
      <c r="U318">
        <v>5.22</v>
      </c>
      <c r="V318" s="1">
        <v>45182</v>
      </c>
      <c r="W318">
        <v>5.32</v>
      </c>
      <c r="X318" s="1">
        <v>45182</v>
      </c>
      <c r="Y318">
        <f>NETWORKDAYS(X318,$Z$1,FERIADO!$A$2:$A$408)</f>
        <v>1844</v>
      </c>
      <c r="Z318">
        <v>11.12</v>
      </c>
      <c r="AA318" s="6">
        <f t="shared" si="38"/>
        <v>46229.282618776277</v>
      </c>
      <c r="AB318" s="2">
        <f t="shared" si="39"/>
        <v>1.3260938533120551E-3</v>
      </c>
      <c r="AJ318" s="1">
        <v>45182</v>
      </c>
      <c r="AK318">
        <f>NETWORKDAYS(AJ318,$AJ$1,FERIADO!$A$2:$A$408)</f>
        <v>831</v>
      </c>
      <c r="AL318">
        <v>10.244999999999999</v>
      </c>
      <c r="AM318" s="6">
        <f t="shared" si="40"/>
        <v>72496.406264060701</v>
      </c>
      <c r="AN318" s="2">
        <f t="shared" si="41"/>
        <v>8.8324982456662766E-4</v>
      </c>
      <c r="AP318" s="11">
        <f t="shared" si="42"/>
        <v>6.6304692665602755E-4</v>
      </c>
      <c r="AQ318" s="11">
        <f t="shared" si="43"/>
        <v>2.649749473699883E-4</v>
      </c>
      <c r="AR318" s="11">
        <f t="shared" si="44"/>
        <v>9.2802187402601585E-4</v>
      </c>
    </row>
    <row r="319" spans="2:44" x14ac:dyDescent="0.35">
      <c r="B319" s="1">
        <v>45181</v>
      </c>
      <c r="C319">
        <v>4721.53</v>
      </c>
      <c r="D319" s="1">
        <v>45181</v>
      </c>
      <c r="E319">
        <v>4.9499000000000004</v>
      </c>
      <c r="F319" s="1">
        <v>45180</v>
      </c>
      <c r="G319">
        <v>109.782</v>
      </c>
      <c r="H319" s="4">
        <f t="shared" si="36"/>
        <v>543409.92180000001</v>
      </c>
      <c r="I319" s="5">
        <v>45181</v>
      </c>
      <c r="J319" s="4">
        <v>5209.9399999999996</v>
      </c>
      <c r="K319" s="4">
        <f t="shared" si="37"/>
        <v>52099.399999999994</v>
      </c>
      <c r="L319" s="1">
        <v>45181</v>
      </c>
      <c r="M319">
        <v>5</v>
      </c>
      <c r="N319" s="1">
        <v>45181</v>
      </c>
      <c r="O319">
        <v>5.0599999999999996</v>
      </c>
      <c r="P319" s="1">
        <v>45181</v>
      </c>
      <c r="Q319">
        <v>5.1100000000000003</v>
      </c>
      <c r="R319" s="1">
        <v>45181</v>
      </c>
      <c r="S319">
        <v>5.1100000000000003</v>
      </c>
      <c r="T319" s="1">
        <v>45181</v>
      </c>
      <c r="U319">
        <v>5.21</v>
      </c>
      <c r="V319" s="1">
        <v>45181</v>
      </c>
      <c r="W319">
        <v>5.3</v>
      </c>
      <c r="X319" s="1">
        <v>45181</v>
      </c>
      <c r="Y319">
        <f>NETWORKDAYS(X319,$Z$1,FERIADO!$A$2:$A$408)</f>
        <v>1845</v>
      </c>
      <c r="Z319">
        <v>11.16</v>
      </c>
      <c r="AA319" s="6">
        <f t="shared" si="38"/>
        <v>46088.339386616775</v>
      </c>
      <c r="AB319" s="2">
        <f t="shared" si="39"/>
        <v>1.0408142916966514E-3</v>
      </c>
      <c r="AJ319" s="1">
        <v>45181</v>
      </c>
      <c r="AK319">
        <f>NETWORKDAYS(AJ319,$AJ$1,FERIADO!$A$2:$A$408)</f>
        <v>832</v>
      </c>
      <c r="AL319">
        <v>10.3</v>
      </c>
      <c r="AM319" s="6">
        <f t="shared" si="40"/>
        <v>72349.115953773042</v>
      </c>
      <c r="AN319" s="2">
        <f t="shared" si="41"/>
        <v>1.33984731989474E-3</v>
      </c>
      <c r="AP319" s="11">
        <f t="shared" si="42"/>
        <v>5.2040714584832568E-4</v>
      </c>
      <c r="AQ319" s="11">
        <f t="shared" si="43"/>
        <v>4.0195419596842199E-4</v>
      </c>
      <c r="AR319" s="11">
        <f t="shared" si="44"/>
        <v>9.2236134181674766E-4</v>
      </c>
    </row>
    <row r="320" spans="2:44" x14ac:dyDescent="0.35">
      <c r="B320" s="1">
        <v>45180</v>
      </c>
      <c r="C320">
        <v>4746.33</v>
      </c>
      <c r="D320" s="1">
        <v>45180</v>
      </c>
      <c r="E320">
        <v>4.9359999999999999</v>
      </c>
      <c r="F320" s="1">
        <v>45177</v>
      </c>
      <c r="G320">
        <v>109.91</v>
      </c>
      <c r="H320" s="4">
        <f t="shared" si="36"/>
        <v>542515.76</v>
      </c>
      <c r="I320" s="5">
        <v>45180</v>
      </c>
      <c r="J320" s="4">
        <v>5192.6099999999997</v>
      </c>
      <c r="K320" s="4">
        <f t="shared" si="37"/>
        <v>51926.1</v>
      </c>
      <c r="L320" s="1">
        <v>45180</v>
      </c>
      <c r="M320">
        <v>5.05</v>
      </c>
      <c r="N320" s="1">
        <v>45180</v>
      </c>
      <c r="O320">
        <v>5.1100000000000003</v>
      </c>
      <c r="P320" s="1">
        <v>45180</v>
      </c>
      <c r="Q320">
        <v>5.14</v>
      </c>
      <c r="R320" s="1">
        <v>45180</v>
      </c>
      <c r="S320">
        <v>5.16</v>
      </c>
      <c r="T320" s="1">
        <v>45180</v>
      </c>
      <c r="U320">
        <v>5.24</v>
      </c>
      <c r="V320" s="1">
        <v>45180</v>
      </c>
      <c r="W320">
        <v>5.3</v>
      </c>
      <c r="X320" s="1">
        <v>45180</v>
      </c>
      <c r="Y320">
        <f>NETWORKDAYS(X320,$Z$1,FERIADO!$A$2:$A$408)</f>
        <v>1846</v>
      </c>
      <c r="Z320">
        <v>11.19</v>
      </c>
      <c r="AA320" s="6">
        <f t="shared" si="38"/>
        <v>45978.018004828002</v>
      </c>
      <c r="AB320" s="2">
        <f t="shared" si="39"/>
        <v>1.6138587658727352E-3</v>
      </c>
      <c r="AJ320" s="1">
        <v>45180</v>
      </c>
      <c r="AK320">
        <f>NETWORKDAYS(AJ320,$AJ$1,FERIADO!$A$2:$A$408)</f>
        <v>833</v>
      </c>
      <c r="AL320">
        <v>10.39</v>
      </c>
      <c r="AM320" s="6">
        <f t="shared" si="40"/>
        <v>72126.254746971448</v>
      </c>
      <c r="AN320" s="2">
        <f t="shared" si="41"/>
        <v>1.0164247575734325E-3</v>
      </c>
      <c r="AP320" s="11">
        <f t="shared" si="42"/>
        <v>8.0692938293636758E-4</v>
      </c>
      <c r="AQ320" s="11">
        <f t="shared" si="43"/>
        <v>3.0492742727202974E-4</v>
      </c>
      <c r="AR320" s="11">
        <f t="shared" si="44"/>
        <v>1.1118568102083974E-3</v>
      </c>
    </row>
    <row r="321" spans="2:44" x14ac:dyDescent="0.35">
      <c r="B321" s="1">
        <v>45177</v>
      </c>
      <c r="C321">
        <v>4718.46</v>
      </c>
      <c r="D321" s="1">
        <v>45177</v>
      </c>
      <c r="E321">
        <v>4.9828999999999999</v>
      </c>
      <c r="F321" s="1">
        <v>45175</v>
      </c>
      <c r="G321">
        <v>109.664</v>
      </c>
      <c r="H321" s="4">
        <f t="shared" si="36"/>
        <v>546444.74560000002</v>
      </c>
      <c r="I321" s="5">
        <v>45177</v>
      </c>
      <c r="J321" s="4">
        <v>5256.68</v>
      </c>
      <c r="K321" s="4">
        <f t="shared" si="37"/>
        <v>52566.8</v>
      </c>
      <c r="L321" s="1">
        <v>45177</v>
      </c>
      <c r="M321">
        <v>5.07</v>
      </c>
      <c r="N321" s="1">
        <v>45177</v>
      </c>
      <c r="O321">
        <v>5.13</v>
      </c>
      <c r="P321" s="1">
        <v>45177</v>
      </c>
      <c r="Q321">
        <v>5.17</v>
      </c>
      <c r="R321" s="1">
        <v>45177</v>
      </c>
      <c r="S321">
        <v>5.16</v>
      </c>
      <c r="T321" s="1">
        <v>45177</v>
      </c>
      <c r="U321">
        <v>5.25</v>
      </c>
      <c r="V321" s="1">
        <v>45177</v>
      </c>
      <c r="W321">
        <v>5.33</v>
      </c>
      <c r="X321" s="1">
        <v>45177</v>
      </c>
      <c r="Y321">
        <f>NETWORKDAYS(X321,$Z$1,FERIADO!$A$2:$A$408)</f>
        <v>1847</v>
      </c>
      <c r="Z321">
        <v>11.24</v>
      </c>
      <c r="AA321" s="6">
        <f t="shared" si="38"/>
        <v>45807.47858518867</v>
      </c>
      <c r="AB321" s="2">
        <f t="shared" si="39"/>
        <v>2.4731700973677148E-3</v>
      </c>
      <c r="AJ321" s="1">
        <v>45177</v>
      </c>
      <c r="AK321">
        <f>NETWORKDAYS(AJ321,$AJ$1,FERIADO!$A$2:$A$408)</f>
        <v>834</v>
      </c>
      <c r="AL321">
        <v>10.455</v>
      </c>
      <c r="AM321" s="6">
        <f t="shared" si="40"/>
        <v>71957.647517679274</v>
      </c>
      <c r="AN321" s="2">
        <f t="shared" si="41"/>
        <v>1.2132503740634943E-3</v>
      </c>
      <c r="AP321" s="11">
        <f t="shared" si="42"/>
        <v>1.2365850486838574E-3</v>
      </c>
      <c r="AQ321" s="11">
        <f t="shared" si="43"/>
        <v>3.6397511221904829E-4</v>
      </c>
      <c r="AR321" s="11">
        <f t="shared" si="44"/>
        <v>1.6005601609029056E-3</v>
      </c>
    </row>
    <row r="322" spans="2:44" x14ac:dyDescent="0.35">
      <c r="B322" s="1">
        <v>45175</v>
      </c>
      <c r="C322">
        <v>4723.41</v>
      </c>
      <c r="D322" s="1">
        <v>45175</v>
      </c>
      <c r="E322">
        <v>4.9756</v>
      </c>
      <c r="F322" s="1">
        <v>45174</v>
      </c>
      <c r="G322">
        <v>110</v>
      </c>
      <c r="H322" s="4">
        <f t="shared" si="36"/>
        <v>547316</v>
      </c>
      <c r="I322" s="5">
        <v>45175</v>
      </c>
      <c r="J322" s="4">
        <v>5250.38</v>
      </c>
      <c r="K322" s="4">
        <f t="shared" si="37"/>
        <v>52503.8</v>
      </c>
      <c r="L322" s="1">
        <v>45175</v>
      </c>
      <c r="M322">
        <v>5.09</v>
      </c>
      <c r="N322" s="1">
        <v>45175</v>
      </c>
      <c r="O322">
        <v>5.15</v>
      </c>
      <c r="P322" s="1">
        <v>45175</v>
      </c>
      <c r="Q322">
        <v>5.18</v>
      </c>
      <c r="R322" s="1">
        <v>45175</v>
      </c>
      <c r="S322">
        <v>5.18</v>
      </c>
      <c r="T322" s="1">
        <v>45175</v>
      </c>
      <c r="U322">
        <v>5.23</v>
      </c>
      <c r="V322" s="1">
        <v>45175</v>
      </c>
      <c r="W322">
        <v>5.32</v>
      </c>
      <c r="X322" s="1">
        <v>45175</v>
      </c>
      <c r="Y322">
        <f>NETWORKDAYS(X322,$Z$1,FERIADO!$A$2:$A$408)</f>
        <v>1848</v>
      </c>
      <c r="Z322">
        <v>11.32</v>
      </c>
      <c r="AA322" s="6">
        <f t="shared" si="38"/>
        <v>45547.360789744613</v>
      </c>
      <c r="AB322" s="2">
        <f t="shared" si="39"/>
        <v>-2.106019460922376E-3</v>
      </c>
      <c r="AJ322" s="1">
        <v>45175</v>
      </c>
      <c r="AK322">
        <f>NETWORKDAYS(AJ322,$AJ$1,FERIADO!$A$2:$A$408)</f>
        <v>835</v>
      </c>
      <c r="AL322">
        <v>10.535</v>
      </c>
      <c r="AM322" s="6">
        <f t="shared" si="40"/>
        <v>71756.906281003379</v>
      </c>
      <c r="AN322" s="2">
        <f t="shared" si="41"/>
        <v>-6.7486530528570521E-4</v>
      </c>
      <c r="AP322" s="11">
        <f t="shared" si="42"/>
        <v>-1.053009730461188E-3</v>
      </c>
      <c r="AQ322" s="11">
        <f t="shared" si="43"/>
        <v>-2.0245959158571156E-4</v>
      </c>
      <c r="AR322" s="11">
        <f t="shared" si="44"/>
        <v>-1.2554693220468995E-3</v>
      </c>
    </row>
    <row r="323" spans="2:44" x14ac:dyDescent="0.35">
      <c r="B323" s="1">
        <v>45174</v>
      </c>
      <c r="C323">
        <v>4759.47</v>
      </c>
      <c r="D323" s="1">
        <v>45174</v>
      </c>
      <c r="E323">
        <v>4.9699</v>
      </c>
      <c r="F323" s="1">
        <v>45170</v>
      </c>
      <c r="G323">
        <v>110.557</v>
      </c>
      <c r="H323" s="4">
        <f t="shared" si="36"/>
        <v>549457.23430000001</v>
      </c>
      <c r="I323" s="5">
        <v>45174</v>
      </c>
      <c r="J323" s="4">
        <v>5238.3</v>
      </c>
      <c r="K323" s="4">
        <f t="shared" si="37"/>
        <v>52383</v>
      </c>
      <c r="L323" s="1">
        <v>45174</v>
      </c>
      <c r="M323">
        <v>5.1100000000000003</v>
      </c>
      <c r="N323" s="1">
        <v>45174</v>
      </c>
      <c r="O323">
        <v>5.15</v>
      </c>
      <c r="P323" s="1">
        <v>45174</v>
      </c>
      <c r="Q323">
        <v>5.16</v>
      </c>
      <c r="R323" s="1">
        <v>45174</v>
      </c>
      <c r="S323">
        <v>5.18</v>
      </c>
      <c r="T323" s="1">
        <v>45174</v>
      </c>
      <c r="U323">
        <v>5.26</v>
      </c>
      <c r="V323" s="1">
        <v>45174</v>
      </c>
      <c r="W323">
        <v>5.33</v>
      </c>
      <c r="X323" s="1">
        <v>45174</v>
      </c>
      <c r="Y323">
        <f>NETWORKDAYS(X323,$Z$1,FERIADO!$A$2:$A$408)</f>
        <v>1849</v>
      </c>
      <c r="Z323">
        <v>11.24</v>
      </c>
      <c r="AA323" s="6">
        <f t="shared" si="38"/>
        <v>45768.769509699727</v>
      </c>
      <c r="AB323" s="2">
        <f t="shared" si="39"/>
        <v>-4.1185073507505445E-3</v>
      </c>
      <c r="AJ323" s="1">
        <v>45174</v>
      </c>
      <c r="AK323">
        <f>NETWORKDAYS(AJ323,$AJ$1,FERIADO!$A$2:$A$408)</f>
        <v>836</v>
      </c>
      <c r="AL323">
        <v>10.47</v>
      </c>
      <c r="AM323" s="6">
        <f t="shared" si="40"/>
        <v>71868.498515292726</v>
      </c>
      <c r="AN323" s="2">
        <f t="shared" si="41"/>
        <v>-8.7338548757085529E-4</v>
      </c>
      <c r="AP323" s="11">
        <f t="shared" si="42"/>
        <v>-2.0592536753752722E-3</v>
      </c>
      <c r="AQ323" s="11">
        <f t="shared" si="43"/>
        <v>-2.6201564627125655E-4</v>
      </c>
      <c r="AR323" s="11">
        <f t="shared" si="44"/>
        <v>-2.3212693216465288E-3</v>
      </c>
    </row>
    <row r="324" spans="2:44" x14ac:dyDescent="0.35">
      <c r="B324" s="1">
        <v>45173</v>
      </c>
      <c r="C324">
        <v>4775.68</v>
      </c>
      <c r="D324" s="1">
        <v>45173</v>
      </c>
      <c r="E324">
        <v>4.9169999999999998</v>
      </c>
      <c r="F324" s="1">
        <v>45169</v>
      </c>
      <c r="G324">
        <v>110.925</v>
      </c>
      <c r="H324" s="4">
        <f t="shared" ref="H324:H387" si="45">G324*E324*1000</f>
        <v>545418.22499999998</v>
      </c>
      <c r="I324" s="5">
        <v>45173</v>
      </c>
      <c r="J324" s="4">
        <v>5208.3599999999997</v>
      </c>
      <c r="K324" s="4">
        <f t="shared" si="37"/>
        <v>52083.6</v>
      </c>
      <c r="L324" s="1">
        <v>45173</v>
      </c>
      <c r="M324">
        <v>5.1100000000000003</v>
      </c>
      <c r="N324" s="1">
        <v>45173</v>
      </c>
      <c r="O324">
        <v>5.1100000000000003</v>
      </c>
      <c r="P324" s="1">
        <v>45173</v>
      </c>
      <c r="Q324">
        <v>5.16</v>
      </c>
      <c r="R324" s="1">
        <v>45173</v>
      </c>
      <c r="S324">
        <v>5.14</v>
      </c>
      <c r="T324" s="1">
        <v>45173</v>
      </c>
      <c r="U324">
        <v>5.22</v>
      </c>
      <c r="V324" s="1">
        <v>45173</v>
      </c>
      <c r="W324">
        <v>5.31</v>
      </c>
      <c r="X324" s="1">
        <v>45173</v>
      </c>
      <c r="Y324">
        <f>NETWORKDAYS(X324,$Z$1,FERIADO!$A$2:$A$408)</f>
        <v>1850</v>
      </c>
      <c r="Z324">
        <v>11.09</v>
      </c>
      <c r="AA324" s="6">
        <f t="shared" si="38"/>
        <v>46204.869073013542</v>
      </c>
      <c r="AB324" s="2">
        <f t="shared" si="39"/>
        <v>-1.2548445031391297E-3</v>
      </c>
      <c r="AJ324" s="1">
        <v>45173</v>
      </c>
      <c r="AK324">
        <f>NETWORKDAYS(AJ324,$AJ$1,FERIADO!$A$2:$A$408)</f>
        <v>837</v>
      </c>
      <c r="AL324">
        <v>10.39</v>
      </c>
      <c r="AM324" s="6">
        <f t="shared" si="40"/>
        <v>72013.174683403937</v>
      </c>
      <c r="AN324" s="2">
        <f t="shared" si="41"/>
        <v>-5.4937284199137117E-4</v>
      </c>
      <c r="AP324" s="11">
        <f t="shared" si="42"/>
        <v>-6.2742225156956486E-4</v>
      </c>
      <c r="AQ324" s="11">
        <f t="shared" si="43"/>
        <v>-1.6481185259741135E-4</v>
      </c>
      <c r="AR324" s="11">
        <f t="shared" si="44"/>
        <v>-7.9223410416697621E-4</v>
      </c>
    </row>
    <row r="325" spans="2:44" x14ac:dyDescent="0.35">
      <c r="B325" s="1">
        <v>45170</v>
      </c>
      <c r="C325">
        <v>4779.71</v>
      </c>
      <c r="D325" s="1">
        <v>45170</v>
      </c>
      <c r="E325">
        <v>4.9311999999999996</v>
      </c>
      <c r="F325" s="1">
        <v>45168</v>
      </c>
      <c r="G325">
        <v>110.899</v>
      </c>
      <c r="H325" s="4">
        <f t="shared" si="45"/>
        <v>546865.14879999997</v>
      </c>
      <c r="I325" s="5">
        <v>45170</v>
      </c>
      <c r="J325" s="4">
        <v>5217.29</v>
      </c>
      <c r="K325" s="4">
        <f t="shared" ref="K325:K388" si="46">J325*10</f>
        <v>52172.9</v>
      </c>
      <c r="L325" s="1">
        <v>45170</v>
      </c>
      <c r="M325">
        <v>5.0599999999999996</v>
      </c>
      <c r="N325" s="1">
        <v>45170</v>
      </c>
      <c r="O325">
        <v>5.08</v>
      </c>
      <c r="P325" s="1">
        <v>45170</v>
      </c>
      <c r="Q325">
        <v>5.0999999999999996</v>
      </c>
      <c r="R325" s="1">
        <v>45170</v>
      </c>
      <c r="S325">
        <v>5.0999999999999996</v>
      </c>
      <c r="T325" s="1">
        <v>45170</v>
      </c>
      <c r="U325">
        <v>5.18</v>
      </c>
      <c r="V325" s="1">
        <v>45170</v>
      </c>
      <c r="W325">
        <v>5.25</v>
      </c>
      <c r="X325" s="1">
        <v>45170</v>
      </c>
      <c r="Y325">
        <f>NETWORKDAYS(X325,$Z$1,FERIADO!$A$2:$A$408)</f>
        <v>1851</v>
      </c>
      <c r="Z325">
        <v>11.04</v>
      </c>
      <c r="AA325" s="6">
        <f t="shared" ref="AA325:AA388" si="47">$Z$2/(1+Z325/100)^(Y325/252)</f>
        <v>46338.565844046614</v>
      </c>
      <c r="AB325" s="2">
        <f t="shared" ref="AB325:AB388" si="48">LOG(AA325/AA326)</f>
        <v>2.4791559805170766E-3</v>
      </c>
      <c r="AJ325" s="1">
        <v>45170</v>
      </c>
      <c r="AK325">
        <f>NETWORKDAYS(AJ325,$AJ$1,FERIADO!$A$2:$A$408)</f>
        <v>838</v>
      </c>
      <c r="AL325">
        <v>10.335000000000001</v>
      </c>
      <c r="AM325" s="6">
        <f t="shared" ref="AM325:AM388" si="49">$Z$2/(1+AL325/100)^(AK325/252)</f>
        <v>72104.327385583907</v>
      </c>
      <c r="AN325" s="2">
        <f t="shared" ref="AN325:AN388" si="50">LOG(AM325/AM326)</f>
        <v>7.5909575711703107E-4</v>
      </c>
      <c r="AP325" s="11">
        <f t="shared" ref="AP325:AP388" si="51">AB325*$AF$4</f>
        <v>1.2395779902585383E-3</v>
      </c>
      <c r="AQ325" s="11">
        <f t="shared" ref="AQ325:AQ388" si="52">AN325*$AF$7</f>
        <v>2.277287271351093E-4</v>
      </c>
      <c r="AR325" s="11">
        <f t="shared" ref="AR325:AR388" si="53">AQ325+AP325</f>
        <v>1.4673067173936476E-3</v>
      </c>
    </row>
    <row r="326" spans="2:44" x14ac:dyDescent="0.35">
      <c r="B326" s="1">
        <v>45169</v>
      </c>
      <c r="C326">
        <v>4779.71</v>
      </c>
      <c r="D326" s="1">
        <v>45169</v>
      </c>
      <c r="E326">
        <v>4.9212999999999996</v>
      </c>
      <c r="F326" s="1">
        <v>45167</v>
      </c>
      <c r="G326">
        <v>110.355</v>
      </c>
      <c r="H326" s="4">
        <f t="shared" si="45"/>
        <v>543090.06149999995</v>
      </c>
      <c r="I326" s="5">
        <v>45169</v>
      </c>
      <c r="J326" s="4">
        <v>5224.6400000000003</v>
      </c>
      <c r="K326" s="4">
        <f t="shared" si="46"/>
        <v>52246.400000000001</v>
      </c>
      <c r="L326" s="1">
        <v>45169</v>
      </c>
      <c r="M326">
        <v>5.08</v>
      </c>
      <c r="N326" s="1">
        <v>45169</v>
      </c>
      <c r="O326">
        <v>5.09</v>
      </c>
      <c r="P326" s="1">
        <v>45169</v>
      </c>
      <c r="Q326">
        <v>5.0999999999999996</v>
      </c>
      <c r="R326" s="1">
        <v>45169</v>
      </c>
      <c r="S326">
        <v>5.08</v>
      </c>
      <c r="T326" s="1">
        <v>45169</v>
      </c>
      <c r="U326">
        <v>5.2</v>
      </c>
      <c r="V326" s="1">
        <v>45169</v>
      </c>
      <c r="W326">
        <v>5.23</v>
      </c>
      <c r="X326" s="1">
        <v>45169</v>
      </c>
      <c r="Y326">
        <f>NETWORKDAYS(X326,$Z$1,FERIADO!$A$2:$A$408)</f>
        <v>1852</v>
      </c>
      <c r="Z326">
        <v>11.12</v>
      </c>
      <c r="AA326" s="6">
        <f t="shared" si="47"/>
        <v>46074.797215723993</v>
      </c>
      <c r="AB326" s="2">
        <f t="shared" si="48"/>
        <v>-4.1320003658090023E-3</v>
      </c>
      <c r="AJ326" s="1">
        <v>45169</v>
      </c>
      <c r="AK326">
        <f>NETWORKDAYS(AJ326,$AJ$1,FERIADO!$A$2:$A$408)</f>
        <v>839</v>
      </c>
      <c r="AL326">
        <v>10.38</v>
      </c>
      <c r="AM326" s="6">
        <f t="shared" si="49"/>
        <v>71978.407566787719</v>
      </c>
      <c r="AN326" s="2">
        <f t="shared" si="50"/>
        <v>-1.9954158488411575E-3</v>
      </c>
      <c r="AP326" s="11">
        <f t="shared" si="51"/>
        <v>-2.0660001829045011E-3</v>
      </c>
      <c r="AQ326" s="11">
        <f t="shared" si="52"/>
        <v>-5.986247546523472E-4</v>
      </c>
      <c r="AR326" s="11">
        <f t="shared" si="53"/>
        <v>-2.6646249375568481E-3</v>
      </c>
    </row>
    <row r="327" spans="2:44" x14ac:dyDescent="0.35">
      <c r="B327" s="1">
        <v>45168</v>
      </c>
      <c r="C327">
        <v>4788.29</v>
      </c>
      <c r="D327" s="1">
        <v>45168</v>
      </c>
      <c r="E327">
        <v>4.8647</v>
      </c>
      <c r="F327" s="1">
        <v>45166</v>
      </c>
      <c r="G327">
        <v>109.697</v>
      </c>
      <c r="H327" s="4">
        <f t="shared" si="45"/>
        <v>533642.99589999998</v>
      </c>
      <c r="I327" s="5">
        <v>45168</v>
      </c>
      <c r="J327" s="4">
        <v>5160.58</v>
      </c>
      <c r="K327" s="4">
        <f t="shared" si="46"/>
        <v>51605.8</v>
      </c>
      <c r="L327" s="1">
        <v>45168</v>
      </c>
      <c r="M327">
        <v>4.95</v>
      </c>
      <c r="N327" s="1">
        <v>45168</v>
      </c>
      <c r="O327">
        <v>4.95</v>
      </c>
      <c r="P327" s="1">
        <v>45168</v>
      </c>
      <c r="Q327">
        <v>4.9400000000000004</v>
      </c>
      <c r="R327" s="1">
        <v>45168</v>
      </c>
      <c r="S327">
        <v>4.97</v>
      </c>
      <c r="T327" s="1">
        <v>45168</v>
      </c>
      <c r="U327">
        <v>5.08</v>
      </c>
      <c r="V327" s="1">
        <v>45168</v>
      </c>
      <c r="W327">
        <v>5.15</v>
      </c>
      <c r="X327" s="1">
        <v>45168</v>
      </c>
      <c r="Y327">
        <f>NETWORKDAYS(X327,$Z$1,FERIADO!$A$2:$A$408)</f>
        <v>1853</v>
      </c>
      <c r="Z327">
        <v>10.97</v>
      </c>
      <c r="AA327" s="6">
        <f t="shared" si="47"/>
        <v>46515.257861001046</v>
      </c>
      <c r="AB327" s="2">
        <f t="shared" si="48"/>
        <v>-3.2776501973003618E-3</v>
      </c>
      <c r="AJ327" s="1">
        <v>45168</v>
      </c>
      <c r="AK327">
        <f>NETWORKDAYS(AJ327,$AJ$1,FERIADO!$A$2:$A$408)</f>
        <v>840</v>
      </c>
      <c r="AL327">
        <v>10.215</v>
      </c>
      <c r="AM327" s="6">
        <f t="shared" si="49"/>
        <v>72309.881537072783</v>
      </c>
      <c r="AN327" s="2">
        <f t="shared" si="50"/>
        <v>-1.1480153928953545E-3</v>
      </c>
      <c r="AP327" s="11">
        <f t="shared" si="51"/>
        <v>-1.6388250986501809E-3</v>
      </c>
      <c r="AQ327" s="11">
        <f t="shared" si="52"/>
        <v>-3.4440461786860635E-4</v>
      </c>
      <c r="AR327" s="11">
        <f t="shared" si="53"/>
        <v>-1.9832297165187874E-3</v>
      </c>
    </row>
    <row r="328" spans="2:44" x14ac:dyDescent="0.35">
      <c r="B328" s="1">
        <v>45167</v>
      </c>
      <c r="C328">
        <v>4768.24</v>
      </c>
      <c r="D328" s="1">
        <v>45167</v>
      </c>
      <c r="E328">
        <v>4.87</v>
      </c>
      <c r="F328" s="1">
        <v>45163</v>
      </c>
      <c r="G328">
        <v>109.49</v>
      </c>
      <c r="H328" s="4">
        <f t="shared" si="45"/>
        <v>533216.29999999993</v>
      </c>
      <c r="I328" s="5">
        <v>45167</v>
      </c>
      <c r="J328" s="4">
        <v>5121.04</v>
      </c>
      <c r="K328" s="4">
        <f t="shared" si="46"/>
        <v>51210.400000000001</v>
      </c>
      <c r="L328" s="1">
        <v>45167</v>
      </c>
      <c r="M328">
        <v>4.9000000000000004</v>
      </c>
      <c r="N328" s="1">
        <v>45167</v>
      </c>
      <c r="O328">
        <v>4.91</v>
      </c>
      <c r="P328" s="1">
        <v>45167</v>
      </c>
      <c r="Q328">
        <v>4.9400000000000004</v>
      </c>
      <c r="R328" s="1">
        <v>45167</v>
      </c>
      <c r="S328">
        <v>4.91</v>
      </c>
      <c r="T328" s="1">
        <v>45167</v>
      </c>
      <c r="U328">
        <v>5.04</v>
      </c>
      <c r="V328" s="1">
        <v>45167</v>
      </c>
      <c r="W328">
        <v>5.1100000000000003</v>
      </c>
      <c r="X328" s="1">
        <v>45167</v>
      </c>
      <c r="Y328">
        <f>NETWORKDAYS(X328,$Z$1,FERIADO!$A$2:$A$408)</f>
        <v>1854</v>
      </c>
      <c r="Z328">
        <v>10.85</v>
      </c>
      <c r="AA328" s="6">
        <f t="shared" si="47"/>
        <v>46867.639750184331</v>
      </c>
      <c r="AB328" s="2">
        <f t="shared" si="48"/>
        <v>3.0602008351202571E-3</v>
      </c>
      <c r="AJ328" s="1">
        <v>45167</v>
      </c>
      <c r="AK328">
        <f>NETWORKDAYS(AJ328,$AJ$1,FERIADO!$A$2:$A$408)</f>
        <v>841</v>
      </c>
      <c r="AL328">
        <v>10.115</v>
      </c>
      <c r="AM328" s="6">
        <f t="shared" si="49"/>
        <v>72501.278562570893</v>
      </c>
      <c r="AN328" s="2">
        <f t="shared" si="50"/>
        <v>1.4174273919950477E-3</v>
      </c>
      <c r="AP328" s="11">
        <f t="shared" si="51"/>
        <v>1.5301004175601286E-3</v>
      </c>
      <c r="AQ328" s="11">
        <f t="shared" si="52"/>
        <v>4.2522821759851428E-4</v>
      </c>
      <c r="AR328" s="11">
        <f t="shared" si="53"/>
        <v>1.9553286351586428E-3</v>
      </c>
    </row>
    <row r="329" spans="2:44" x14ac:dyDescent="0.35">
      <c r="B329" s="1">
        <v>45166</v>
      </c>
      <c r="C329">
        <v>4699.53</v>
      </c>
      <c r="D329" s="1">
        <v>45166</v>
      </c>
      <c r="E329">
        <v>4.8933</v>
      </c>
      <c r="F329" s="1">
        <v>45162</v>
      </c>
      <c r="G329">
        <v>109.547</v>
      </c>
      <c r="H329" s="4">
        <f t="shared" si="45"/>
        <v>536046.33509999991</v>
      </c>
      <c r="I329" s="5">
        <v>45166</v>
      </c>
      <c r="J329" s="4">
        <v>5143.18</v>
      </c>
      <c r="K329" s="4">
        <f t="shared" si="46"/>
        <v>51431.8</v>
      </c>
      <c r="L329" s="1">
        <v>45166</v>
      </c>
      <c r="M329">
        <v>4.9000000000000004</v>
      </c>
      <c r="N329" s="1">
        <v>45166</v>
      </c>
      <c r="O329">
        <v>4.92</v>
      </c>
      <c r="P329" s="1">
        <v>45166</v>
      </c>
      <c r="Q329">
        <v>4.91</v>
      </c>
      <c r="R329" s="1">
        <v>45166</v>
      </c>
      <c r="S329">
        <v>4.95</v>
      </c>
      <c r="T329" s="1">
        <v>45166</v>
      </c>
      <c r="U329">
        <v>5.04</v>
      </c>
      <c r="V329" s="1">
        <v>45166</v>
      </c>
      <c r="W329">
        <v>5.15</v>
      </c>
      <c r="X329" s="1">
        <v>45166</v>
      </c>
      <c r="Y329">
        <f>NETWORKDAYS(X329,$Z$1,FERIADO!$A$2:$A$408)</f>
        <v>1855</v>
      </c>
      <c r="Z329">
        <v>10.95</v>
      </c>
      <c r="AA329" s="6">
        <f t="shared" si="47"/>
        <v>46538.553680299374</v>
      </c>
      <c r="AB329" s="2">
        <f t="shared" si="48"/>
        <v>1.6202180331190467E-3</v>
      </c>
      <c r="AJ329" s="1">
        <v>45166</v>
      </c>
      <c r="AK329">
        <f>NETWORKDAYS(AJ329,$AJ$1,FERIADO!$A$2:$A$408)</f>
        <v>842</v>
      </c>
      <c r="AL329">
        <v>10.210000000000001</v>
      </c>
      <c r="AM329" s="6">
        <f t="shared" si="49"/>
        <v>72265.038442599631</v>
      </c>
      <c r="AN329" s="2">
        <f t="shared" si="50"/>
        <v>4.3116522612959189E-4</v>
      </c>
      <c r="AP329" s="11">
        <f t="shared" si="51"/>
        <v>8.1010901655952333E-4</v>
      </c>
      <c r="AQ329" s="11">
        <f t="shared" si="52"/>
        <v>1.2934956783887757E-4</v>
      </c>
      <c r="AR329" s="11">
        <f t="shared" si="53"/>
        <v>9.3945858439840088E-4</v>
      </c>
    </row>
    <row r="330" spans="2:44" x14ac:dyDescent="0.35">
      <c r="B330" s="1">
        <v>45163</v>
      </c>
      <c r="C330">
        <v>4668.54</v>
      </c>
      <c r="D330" s="1">
        <v>45163</v>
      </c>
      <c r="E330">
        <v>4.8765999999999998</v>
      </c>
      <c r="F330" s="1">
        <v>45161</v>
      </c>
      <c r="G330">
        <v>109.932</v>
      </c>
      <c r="H330" s="4">
        <f t="shared" si="45"/>
        <v>536094.39120000007</v>
      </c>
      <c r="I330" s="5">
        <v>45163</v>
      </c>
      <c r="J330" s="4">
        <v>5141.6000000000004</v>
      </c>
      <c r="K330" s="4">
        <f t="shared" si="46"/>
        <v>51416</v>
      </c>
      <c r="L330" s="1">
        <v>45163</v>
      </c>
      <c r="M330">
        <v>4.8899999999999997</v>
      </c>
      <c r="N330" s="1">
        <v>45163</v>
      </c>
      <c r="O330">
        <v>4.8899999999999997</v>
      </c>
      <c r="P330" s="1">
        <v>45163</v>
      </c>
      <c r="Q330">
        <v>4.93</v>
      </c>
      <c r="R330" s="1">
        <v>45163</v>
      </c>
      <c r="S330">
        <v>4.92</v>
      </c>
      <c r="T330" s="1">
        <v>45163</v>
      </c>
      <c r="U330">
        <v>5.0999999999999996</v>
      </c>
      <c r="V330" s="1">
        <v>45163</v>
      </c>
      <c r="W330">
        <v>5.15</v>
      </c>
      <c r="X330" s="1">
        <v>45163</v>
      </c>
      <c r="Y330">
        <f>NETWORKDAYS(X330,$Z$1,FERIADO!$A$2:$A$408)</f>
        <v>1856</v>
      </c>
      <c r="Z330">
        <v>11</v>
      </c>
      <c r="AA330" s="6">
        <f t="shared" si="47"/>
        <v>46365.256229089078</v>
      </c>
      <c r="AB330" s="2">
        <f t="shared" si="48"/>
        <v>1.7985309042321538E-4</v>
      </c>
      <c r="AJ330" s="1">
        <v>45163</v>
      </c>
      <c r="AK330">
        <f>NETWORKDAYS(AJ330,$AJ$1,FERIADO!$A$2:$A$408)</f>
        <v>843</v>
      </c>
      <c r="AL330">
        <v>10.23</v>
      </c>
      <c r="AM330" s="6">
        <f t="shared" si="49"/>
        <v>72193.329702968738</v>
      </c>
      <c r="AN330" s="2">
        <f t="shared" si="50"/>
        <v>-7.5612322080251997E-4</v>
      </c>
      <c r="AP330" s="11">
        <f t="shared" si="51"/>
        <v>8.9926545211607692E-5</v>
      </c>
      <c r="AQ330" s="11">
        <f t="shared" si="52"/>
        <v>-2.2683696624075598E-4</v>
      </c>
      <c r="AR330" s="11">
        <f t="shared" si="53"/>
        <v>-1.369104210291483E-4</v>
      </c>
    </row>
    <row r="331" spans="2:44" x14ac:dyDescent="0.35">
      <c r="B331" s="1">
        <v>45162</v>
      </c>
      <c r="C331">
        <v>4635.53</v>
      </c>
      <c r="D331" s="1">
        <v>45162</v>
      </c>
      <c r="E331">
        <v>4.8742000000000001</v>
      </c>
      <c r="F331" s="1">
        <v>45160</v>
      </c>
      <c r="G331">
        <v>109.029</v>
      </c>
      <c r="H331" s="4">
        <f t="shared" si="45"/>
        <v>531429.15179999999</v>
      </c>
      <c r="I331" s="5">
        <v>45162</v>
      </c>
      <c r="J331" s="4">
        <v>5155.3</v>
      </c>
      <c r="K331" s="4">
        <f t="shared" si="46"/>
        <v>51553</v>
      </c>
      <c r="L331" s="1">
        <v>45162</v>
      </c>
      <c r="M331">
        <v>4.88</v>
      </c>
      <c r="N331" s="1">
        <v>45162</v>
      </c>
      <c r="O331">
        <v>4.9000000000000004</v>
      </c>
      <c r="P331" s="1">
        <v>45162</v>
      </c>
      <c r="Q331">
        <v>4.91</v>
      </c>
      <c r="R331" s="1">
        <v>45162</v>
      </c>
      <c r="S331">
        <v>4.92</v>
      </c>
      <c r="T331" s="1">
        <v>45162</v>
      </c>
      <c r="U331">
        <v>5.05</v>
      </c>
      <c r="V331" s="1">
        <v>45162</v>
      </c>
      <c r="W331">
        <v>5.13</v>
      </c>
      <c r="X331" s="1">
        <v>45162</v>
      </c>
      <c r="Y331">
        <f>NETWORKDAYS(X331,$Z$1,FERIADO!$A$2:$A$408)</f>
        <v>1857</v>
      </c>
      <c r="Z331">
        <v>11</v>
      </c>
      <c r="AA331" s="6">
        <f t="shared" si="47"/>
        <v>46346.059097839141</v>
      </c>
      <c r="AB331" s="2">
        <f t="shared" si="48"/>
        <v>7.5674888671125999E-4</v>
      </c>
      <c r="AJ331" s="1">
        <v>45162</v>
      </c>
      <c r="AK331">
        <f>NETWORKDAYS(AJ331,$AJ$1,FERIADO!$A$2:$A$408)</f>
        <v>844</v>
      </c>
      <c r="AL331">
        <v>10.16</v>
      </c>
      <c r="AM331" s="6">
        <f t="shared" si="49"/>
        <v>72319.130517646059</v>
      </c>
      <c r="AN331" s="2">
        <f t="shared" si="50"/>
        <v>8.2758897551088548E-4</v>
      </c>
      <c r="AP331" s="11">
        <f t="shared" si="51"/>
        <v>3.7837444335562999E-4</v>
      </c>
      <c r="AQ331" s="11">
        <f t="shared" si="52"/>
        <v>2.4827669265326566E-4</v>
      </c>
      <c r="AR331" s="11">
        <f t="shared" si="53"/>
        <v>6.2665113600889565E-4</v>
      </c>
    </row>
    <row r="332" spans="2:44" x14ac:dyDescent="0.35">
      <c r="B332" s="1">
        <v>45161</v>
      </c>
      <c r="C332">
        <v>4736.1400000000003</v>
      </c>
      <c r="D332" s="1">
        <v>45161</v>
      </c>
      <c r="E332">
        <v>4.8971</v>
      </c>
      <c r="F332" s="1">
        <v>45159</v>
      </c>
      <c r="G332">
        <v>109.05</v>
      </c>
      <c r="H332" s="4">
        <f t="shared" si="45"/>
        <v>534028.75499999989</v>
      </c>
      <c r="I332" s="5">
        <v>45161</v>
      </c>
      <c r="J332" s="4">
        <v>5128.95</v>
      </c>
      <c r="K332" s="4">
        <f t="shared" si="46"/>
        <v>51289.5</v>
      </c>
      <c r="L332" s="1">
        <v>45161</v>
      </c>
      <c r="M332">
        <v>4.8499999999999996</v>
      </c>
      <c r="N332" s="1">
        <v>45161</v>
      </c>
      <c r="O332">
        <v>4.84</v>
      </c>
      <c r="P332" s="1">
        <v>45161</v>
      </c>
      <c r="Q332">
        <v>4.87</v>
      </c>
      <c r="R332" s="1">
        <v>45161</v>
      </c>
      <c r="S332">
        <v>4.88</v>
      </c>
      <c r="T332" s="1">
        <v>45161</v>
      </c>
      <c r="U332">
        <v>4.99</v>
      </c>
      <c r="V332" s="1">
        <v>45161</v>
      </c>
      <c r="W332">
        <v>5.13</v>
      </c>
      <c r="X332" s="1">
        <v>45161</v>
      </c>
      <c r="Y332">
        <f>NETWORKDAYS(X332,$Z$1,FERIADO!$A$2:$A$408)</f>
        <v>1858</v>
      </c>
      <c r="Z332">
        <v>11.02</v>
      </c>
      <c r="AA332" s="6">
        <f t="shared" si="47"/>
        <v>46265.372394615304</v>
      </c>
      <c r="AB332" s="2">
        <f t="shared" si="48"/>
        <v>4.7940740109120566E-3</v>
      </c>
      <c r="AJ332" s="1">
        <v>45161</v>
      </c>
      <c r="AK332">
        <f>NETWORKDAYS(AJ332,$AJ$1,FERIADO!$A$2:$A$408)</f>
        <v>845</v>
      </c>
      <c r="AL332">
        <v>10.210000000000001</v>
      </c>
      <c r="AM332" s="6">
        <f t="shared" si="49"/>
        <v>72181.450836141346</v>
      </c>
      <c r="AN332" s="2">
        <f t="shared" si="50"/>
        <v>2.0845148936025496E-3</v>
      </c>
      <c r="AP332" s="11">
        <f t="shared" si="51"/>
        <v>2.3970370054560283E-3</v>
      </c>
      <c r="AQ332" s="11">
        <f t="shared" si="52"/>
        <v>6.2535446808076485E-4</v>
      </c>
      <c r="AR332" s="11">
        <f t="shared" si="53"/>
        <v>3.0223914735367933E-3</v>
      </c>
    </row>
    <row r="333" spans="2:44" x14ac:dyDescent="0.35">
      <c r="B333" s="1">
        <v>45160</v>
      </c>
      <c r="C333">
        <v>4654.16</v>
      </c>
      <c r="D333" s="1">
        <v>45160</v>
      </c>
      <c r="E333">
        <v>4.9424999999999999</v>
      </c>
      <c r="F333" s="1">
        <v>45156</v>
      </c>
      <c r="G333">
        <v>109.631</v>
      </c>
      <c r="H333" s="4">
        <f t="shared" si="45"/>
        <v>541851.21749999991</v>
      </c>
      <c r="I333" s="5">
        <v>45160</v>
      </c>
      <c r="J333" s="4">
        <v>5216.9799999999996</v>
      </c>
      <c r="K333" s="4">
        <f t="shared" si="46"/>
        <v>52169.799999999996</v>
      </c>
      <c r="L333" s="1">
        <v>45160</v>
      </c>
      <c r="M333">
        <v>4.95</v>
      </c>
      <c r="N333" s="1">
        <v>45160</v>
      </c>
      <c r="O333">
        <v>4.92</v>
      </c>
      <c r="P333" s="1">
        <v>45160</v>
      </c>
      <c r="Q333">
        <v>4.9400000000000004</v>
      </c>
      <c r="R333" s="1">
        <v>45160</v>
      </c>
      <c r="S333">
        <v>4.9400000000000004</v>
      </c>
      <c r="T333" s="1">
        <v>45160</v>
      </c>
      <c r="U333">
        <v>5.05</v>
      </c>
      <c r="V333" s="1">
        <v>45160</v>
      </c>
      <c r="W333">
        <v>5.16</v>
      </c>
      <c r="X333" s="1">
        <v>45160</v>
      </c>
      <c r="Y333">
        <f>NETWORKDAYS(X333,$Z$1,FERIADO!$A$2:$A$408)</f>
        <v>1859</v>
      </c>
      <c r="Z333">
        <v>11.18</v>
      </c>
      <c r="AA333" s="6">
        <f t="shared" si="47"/>
        <v>45757.46837102258</v>
      </c>
      <c r="AB333" s="2">
        <f t="shared" si="48"/>
        <v>2.4883509838138436E-3</v>
      </c>
      <c r="AJ333" s="1">
        <v>45160</v>
      </c>
      <c r="AK333">
        <f>NETWORKDAYS(AJ333,$AJ$1,FERIADO!$A$2:$A$408)</f>
        <v>846</v>
      </c>
      <c r="AL333">
        <v>10.355</v>
      </c>
      <c r="AM333" s="6">
        <f t="shared" si="49"/>
        <v>71835.826386056026</v>
      </c>
      <c r="AN333" s="2">
        <f t="shared" si="50"/>
        <v>1.8223014492713733E-3</v>
      </c>
      <c r="AP333" s="11">
        <f t="shared" si="51"/>
        <v>1.2441754919069218E-3</v>
      </c>
      <c r="AQ333" s="11">
        <f t="shared" si="52"/>
        <v>5.46690434781412E-4</v>
      </c>
      <c r="AR333" s="11">
        <f t="shared" si="53"/>
        <v>1.7908659266883337E-3</v>
      </c>
    </row>
    <row r="334" spans="2:44" x14ac:dyDescent="0.35">
      <c r="B334" s="1">
        <v>45159</v>
      </c>
      <c r="C334">
        <v>4663.83</v>
      </c>
      <c r="D334" s="1">
        <v>45159</v>
      </c>
      <c r="E334">
        <v>4.9840999999999998</v>
      </c>
      <c r="F334" s="1">
        <v>45155</v>
      </c>
      <c r="G334">
        <v>109.491</v>
      </c>
      <c r="H334" s="4">
        <f t="shared" si="45"/>
        <v>545714.09310000006</v>
      </c>
      <c r="I334" s="5">
        <v>45159</v>
      </c>
      <c r="J334" s="4">
        <v>5262.84</v>
      </c>
      <c r="K334" s="4">
        <f t="shared" si="46"/>
        <v>52628.4</v>
      </c>
      <c r="L334" s="1">
        <v>45159</v>
      </c>
      <c r="M334">
        <v>5</v>
      </c>
      <c r="N334" s="1">
        <v>45159</v>
      </c>
      <c r="O334">
        <v>4.93</v>
      </c>
      <c r="P334" s="1">
        <v>45159</v>
      </c>
      <c r="Q334">
        <v>4.96</v>
      </c>
      <c r="R334" s="1">
        <v>45159</v>
      </c>
      <c r="S334">
        <v>4.92</v>
      </c>
      <c r="T334" s="1">
        <v>45159</v>
      </c>
      <c r="U334">
        <v>5.04</v>
      </c>
      <c r="V334" s="1">
        <v>45159</v>
      </c>
      <c r="W334">
        <v>5.14</v>
      </c>
      <c r="X334" s="1">
        <v>45159</v>
      </c>
      <c r="Y334">
        <f>NETWORKDAYS(X334,$Z$1,FERIADO!$A$2:$A$408)</f>
        <v>1860</v>
      </c>
      <c r="Z334">
        <v>11.26</v>
      </c>
      <c r="AA334" s="6">
        <f t="shared" si="47"/>
        <v>45496.044203722318</v>
      </c>
      <c r="AB334" s="2">
        <f t="shared" si="48"/>
        <v>-2.7000555988811467E-3</v>
      </c>
      <c r="AJ334" s="1">
        <v>45159</v>
      </c>
      <c r="AK334">
        <f>NETWORKDAYS(AJ334,$AJ$1,FERIADO!$A$2:$A$408)</f>
        <v>847</v>
      </c>
      <c r="AL334">
        <v>10.48</v>
      </c>
      <c r="AM334" s="6">
        <f t="shared" si="49"/>
        <v>71535.034463676013</v>
      </c>
      <c r="AN334" s="2">
        <f t="shared" si="50"/>
        <v>-1.6813413454661518E-3</v>
      </c>
      <c r="AP334" s="11">
        <f t="shared" si="51"/>
        <v>-1.3500277994405734E-3</v>
      </c>
      <c r="AQ334" s="11">
        <f t="shared" si="52"/>
        <v>-5.0440240363984555E-4</v>
      </c>
      <c r="AR334" s="11">
        <f t="shared" si="53"/>
        <v>-1.854430203080419E-3</v>
      </c>
    </row>
    <row r="335" spans="2:44" x14ac:dyDescent="0.35">
      <c r="B335" s="1">
        <v>45156</v>
      </c>
      <c r="C335">
        <v>4631.66</v>
      </c>
      <c r="D335" s="1">
        <v>45156</v>
      </c>
      <c r="E335">
        <v>4.9718</v>
      </c>
      <c r="F335" s="1">
        <v>45154</v>
      </c>
      <c r="G335">
        <v>109.46</v>
      </c>
      <c r="H335" s="4">
        <f t="shared" si="45"/>
        <v>544213.228</v>
      </c>
      <c r="I335" s="5">
        <v>45156</v>
      </c>
      <c r="J335" s="4">
        <v>5252.3</v>
      </c>
      <c r="K335" s="4">
        <f t="shared" si="46"/>
        <v>52523</v>
      </c>
      <c r="L335" s="1">
        <v>45156</v>
      </c>
      <c r="M335">
        <v>4.87</v>
      </c>
      <c r="N335" s="1">
        <v>45156</v>
      </c>
      <c r="O335">
        <v>4.84</v>
      </c>
      <c r="P335" s="1">
        <v>45156</v>
      </c>
      <c r="Q335">
        <v>4.9000000000000004</v>
      </c>
      <c r="R335" s="1">
        <v>45156</v>
      </c>
      <c r="S335">
        <v>4.8899999999999997</v>
      </c>
      <c r="T335" s="1">
        <v>45156</v>
      </c>
      <c r="U335">
        <v>5.01</v>
      </c>
      <c r="V335" s="1">
        <v>45156</v>
      </c>
      <c r="W335">
        <v>5.09</v>
      </c>
      <c r="X335" s="1">
        <v>45156</v>
      </c>
      <c r="Y335">
        <f>NETWORKDAYS(X335,$Z$1,FERIADO!$A$2:$A$408)</f>
        <v>1861</v>
      </c>
      <c r="Z335">
        <v>11.16</v>
      </c>
      <c r="AA335" s="6">
        <f t="shared" si="47"/>
        <v>45779.779105057904</v>
      </c>
      <c r="AB335" s="2">
        <f t="shared" si="48"/>
        <v>1.8233546867195443E-4</v>
      </c>
      <c r="AJ335" s="1">
        <v>45156</v>
      </c>
      <c r="AK335">
        <f>NETWORKDAYS(AJ335,$AJ$1,FERIADO!$A$2:$A$408)</f>
        <v>848</v>
      </c>
      <c r="AL335">
        <v>10.34</v>
      </c>
      <c r="AM335" s="6">
        <f t="shared" si="49"/>
        <v>71812.514226139043</v>
      </c>
      <c r="AN335" s="2">
        <f t="shared" si="50"/>
        <v>-1.6197366241905479E-4</v>
      </c>
      <c r="AP335" s="11">
        <f t="shared" si="51"/>
        <v>9.1167734335977215E-5</v>
      </c>
      <c r="AQ335" s="11">
        <f t="shared" si="52"/>
        <v>-4.8592098725716436E-5</v>
      </c>
      <c r="AR335" s="11">
        <f t="shared" si="53"/>
        <v>4.2575635610260779E-5</v>
      </c>
    </row>
    <row r="336" spans="2:44" x14ac:dyDescent="0.35">
      <c r="B336" s="1">
        <v>45155</v>
      </c>
      <c r="C336">
        <v>4630.59</v>
      </c>
      <c r="D336" s="1">
        <v>45155</v>
      </c>
      <c r="E336">
        <v>4.9809999999999999</v>
      </c>
      <c r="F336" s="1">
        <v>45153</v>
      </c>
      <c r="G336">
        <v>109.845</v>
      </c>
      <c r="H336" s="4">
        <f t="shared" si="45"/>
        <v>547137.94499999995</v>
      </c>
      <c r="I336" s="5">
        <v>45155</v>
      </c>
      <c r="J336" s="4">
        <v>5261.78</v>
      </c>
      <c r="K336" s="4">
        <f t="shared" si="46"/>
        <v>52617.799999999996</v>
      </c>
      <c r="L336" s="1">
        <v>45155</v>
      </c>
      <c r="M336">
        <v>4.87</v>
      </c>
      <c r="N336" s="1">
        <v>45155</v>
      </c>
      <c r="O336">
        <v>4.8600000000000003</v>
      </c>
      <c r="P336" s="1">
        <v>45155</v>
      </c>
      <c r="Q336">
        <v>4.84</v>
      </c>
      <c r="R336" s="1">
        <v>45155</v>
      </c>
      <c r="S336">
        <v>4.88</v>
      </c>
      <c r="T336" s="1">
        <v>45155</v>
      </c>
      <c r="U336">
        <v>5</v>
      </c>
      <c r="V336" s="1">
        <v>45155</v>
      </c>
      <c r="W336">
        <v>5.0599999999999996</v>
      </c>
      <c r="X336" s="1">
        <v>45155</v>
      </c>
      <c r="Y336">
        <f>NETWORKDAYS(X336,$Z$1,FERIADO!$A$2:$A$408)</f>
        <v>1862</v>
      </c>
      <c r="Z336">
        <v>11.16</v>
      </c>
      <c r="AA336" s="6">
        <f t="shared" si="47"/>
        <v>45760.562822560547</v>
      </c>
      <c r="AB336" s="2">
        <f t="shared" si="48"/>
        <v>-2.4182220747341983E-3</v>
      </c>
      <c r="AJ336" s="1">
        <v>45155</v>
      </c>
      <c r="AK336">
        <f>NETWORKDAYS(AJ336,$AJ$1,FERIADO!$A$2:$A$408)</f>
        <v>849</v>
      </c>
      <c r="AL336">
        <v>10.315</v>
      </c>
      <c r="AM336" s="6">
        <f t="shared" si="49"/>
        <v>71839.302283014025</v>
      </c>
      <c r="AN336" s="2">
        <f t="shared" si="50"/>
        <v>-9.5997243931866946E-4</v>
      </c>
      <c r="AP336" s="11">
        <f t="shared" si="51"/>
        <v>-1.2091110373670991E-3</v>
      </c>
      <c r="AQ336" s="11">
        <f t="shared" si="52"/>
        <v>-2.8799173179560082E-4</v>
      </c>
      <c r="AR336" s="11">
        <f t="shared" si="53"/>
        <v>-1.4971027691626998E-3</v>
      </c>
    </row>
    <row r="337" spans="2:44" x14ac:dyDescent="0.35">
      <c r="B337" s="1">
        <v>45154</v>
      </c>
      <c r="C337">
        <v>4675.7</v>
      </c>
      <c r="D337" s="1">
        <v>45154</v>
      </c>
      <c r="E337">
        <v>4.9764999999999997</v>
      </c>
      <c r="F337" s="1">
        <v>45152</v>
      </c>
      <c r="G337">
        <v>109.98699999999999</v>
      </c>
      <c r="H337" s="4">
        <f t="shared" si="45"/>
        <v>547350.30550000002</v>
      </c>
      <c r="I337" s="5">
        <v>45154</v>
      </c>
      <c r="J337" s="4">
        <v>5274.44</v>
      </c>
      <c r="K337" s="4">
        <f t="shared" si="46"/>
        <v>52744.399999999994</v>
      </c>
      <c r="L337" s="1">
        <v>45154</v>
      </c>
      <c r="M337">
        <v>4.82</v>
      </c>
      <c r="N337" s="1">
        <v>45154</v>
      </c>
      <c r="O337">
        <v>4.8099999999999996</v>
      </c>
      <c r="P337" s="1">
        <v>45154</v>
      </c>
      <c r="Q337">
        <v>4.84</v>
      </c>
      <c r="R337" s="1">
        <v>45154</v>
      </c>
      <c r="S337">
        <v>4.8099999999999996</v>
      </c>
      <c r="T337" s="1">
        <v>45154</v>
      </c>
      <c r="U337">
        <v>4.96</v>
      </c>
      <c r="V337" s="1">
        <v>45154</v>
      </c>
      <c r="W337">
        <v>5.01</v>
      </c>
      <c r="X337" s="1">
        <v>45154</v>
      </c>
      <c r="Y337">
        <f>NETWORKDAYS(X337,$Z$1,FERIADO!$A$2:$A$408)</f>
        <v>1863</v>
      </c>
      <c r="Z337">
        <v>11.07</v>
      </c>
      <c r="AA337" s="6">
        <f t="shared" si="47"/>
        <v>46016.075762747721</v>
      </c>
      <c r="AB337" s="2">
        <f t="shared" si="48"/>
        <v>-6.868467889125455E-4</v>
      </c>
      <c r="AJ337" s="1">
        <v>45154</v>
      </c>
      <c r="AK337">
        <f>NETWORKDAYS(AJ337,$AJ$1,FERIADO!$A$2:$A$408)</f>
        <v>850</v>
      </c>
      <c r="AL337">
        <v>10.23</v>
      </c>
      <c r="AM337" s="6">
        <f t="shared" si="49"/>
        <v>71998.272817256788</v>
      </c>
      <c r="AN337" s="2">
        <f t="shared" si="50"/>
        <v>-2.313467010494234E-4</v>
      </c>
      <c r="AP337" s="11">
        <f t="shared" si="51"/>
        <v>-3.4342339445627275E-4</v>
      </c>
      <c r="AQ337" s="11">
        <f t="shared" si="52"/>
        <v>-6.9404010314827024E-5</v>
      </c>
      <c r="AR337" s="11">
        <f t="shared" si="53"/>
        <v>-4.1282740477109977E-4</v>
      </c>
    </row>
    <row r="338" spans="2:44" x14ac:dyDescent="0.35">
      <c r="B338" s="1">
        <v>45153</v>
      </c>
      <c r="C338">
        <v>4708.32</v>
      </c>
      <c r="D338" s="1">
        <v>45153</v>
      </c>
      <c r="E338">
        <v>4.9805999999999999</v>
      </c>
      <c r="F338" s="1">
        <v>45149</v>
      </c>
      <c r="G338">
        <v>110.26600000000001</v>
      </c>
      <c r="H338" s="4">
        <f t="shared" si="45"/>
        <v>549190.83959999995</v>
      </c>
      <c r="I338" s="5">
        <v>45153</v>
      </c>
      <c r="J338" s="4">
        <v>5272.85</v>
      </c>
      <c r="K338" s="4">
        <f t="shared" si="46"/>
        <v>52728.5</v>
      </c>
      <c r="L338" s="1">
        <v>45153</v>
      </c>
      <c r="M338">
        <v>4.82</v>
      </c>
      <c r="N338" s="1">
        <v>45153</v>
      </c>
      <c r="O338">
        <v>4.78</v>
      </c>
      <c r="P338" s="1">
        <v>45153</v>
      </c>
      <c r="Q338">
        <v>4.83</v>
      </c>
      <c r="R338" s="1">
        <v>45153</v>
      </c>
      <c r="S338">
        <v>4.83</v>
      </c>
      <c r="T338" s="1">
        <v>45153</v>
      </c>
      <c r="U338">
        <v>4.9400000000000004</v>
      </c>
      <c r="V338" s="1">
        <v>45153</v>
      </c>
      <c r="W338">
        <v>5.0199999999999996</v>
      </c>
      <c r="X338" s="1">
        <v>45153</v>
      </c>
      <c r="Y338">
        <f>NETWORKDAYS(X338,$Z$1,FERIADO!$A$2:$A$408)</f>
        <v>1864</v>
      </c>
      <c r="Z338">
        <v>11.04</v>
      </c>
      <c r="AA338" s="6">
        <f t="shared" si="47"/>
        <v>46088.908831508088</v>
      </c>
      <c r="AB338" s="2">
        <f t="shared" si="48"/>
        <v>-9.7756016419528989E-4</v>
      </c>
      <c r="AJ338" s="1">
        <v>45153</v>
      </c>
      <c r="AK338">
        <f>NETWORKDAYS(AJ338,$AJ$1,FERIADO!$A$2:$A$408)</f>
        <v>851</v>
      </c>
      <c r="AL338">
        <v>10.199999999999999</v>
      </c>
      <c r="AM338" s="6">
        <f t="shared" si="49"/>
        <v>72036.636187774726</v>
      </c>
      <c r="AN338" s="2">
        <f t="shared" si="50"/>
        <v>-5.6562771594662021E-4</v>
      </c>
      <c r="AP338" s="11">
        <f t="shared" si="51"/>
        <v>-4.8878008209764495E-4</v>
      </c>
      <c r="AQ338" s="11">
        <f t="shared" si="52"/>
        <v>-1.6968831478398605E-4</v>
      </c>
      <c r="AR338" s="11">
        <f t="shared" si="53"/>
        <v>-6.5846839688163102E-4</v>
      </c>
    </row>
    <row r="339" spans="2:44" x14ac:dyDescent="0.35">
      <c r="B339" s="1">
        <v>45152</v>
      </c>
      <c r="C339">
        <v>4766.3999999999996</v>
      </c>
      <c r="D339" s="1">
        <v>45152</v>
      </c>
      <c r="E339">
        <v>4.9474999999999998</v>
      </c>
      <c r="F339" s="1">
        <v>45148</v>
      </c>
      <c r="G339">
        <v>110.75</v>
      </c>
      <c r="H339" s="4">
        <f t="shared" si="45"/>
        <v>547935.625</v>
      </c>
      <c r="I339" s="5">
        <v>45152</v>
      </c>
      <c r="J339" s="4">
        <v>5248.61</v>
      </c>
      <c r="K339" s="4">
        <f t="shared" si="46"/>
        <v>52486.1</v>
      </c>
      <c r="L339" s="1">
        <v>45152</v>
      </c>
      <c r="M339">
        <v>4.78</v>
      </c>
      <c r="N339" s="1">
        <v>45152</v>
      </c>
      <c r="O339">
        <v>4.78</v>
      </c>
      <c r="P339" s="1">
        <v>45152</v>
      </c>
      <c r="Q339">
        <v>4.82</v>
      </c>
      <c r="R339" s="1">
        <v>45152</v>
      </c>
      <c r="S339">
        <v>4.83</v>
      </c>
      <c r="T339" s="1">
        <v>45152</v>
      </c>
      <c r="U339">
        <v>4.9400000000000004</v>
      </c>
      <c r="V339" s="1">
        <v>45152</v>
      </c>
      <c r="W339">
        <v>5.03</v>
      </c>
      <c r="X339" s="1">
        <v>45152</v>
      </c>
      <c r="Y339">
        <f>NETWORKDAYS(X339,$Z$1,FERIADO!$A$2:$A$408)</f>
        <v>1865</v>
      </c>
      <c r="Z339">
        <v>11</v>
      </c>
      <c r="AA339" s="6">
        <f t="shared" si="47"/>
        <v>46192.767914160599</v>
      </c>
      <c r="AB339" s="2">
        <f t="shared" si="48"/>
        <v>-4.1688253748814515E-3</v>
      </c>
      <c r="AJ339" s="1">
        <v>45152</v>
      </c>
      <c r="AK339">
        <f>NETWORKDAYS(AJ339,$AJ$1,FERIADO!$A$2:$A$408)</f>
        <v>852</v>
      </c>
      <c r="AL339">
        <v>10.145</v>
      </c>
      <c r="AM339" s="6">
        <f t="shared" si="49"/>
        <v>72130.518254152077</v>
      </c>
      <c r="AN339" s="2">
        <f t="shared" si="50"/>
        <v>-1.9036404858310866E-3</v>
      </c>
      <c r="AP339" s="11">
        <f t="shared" si="51"/>
        <v>-2.0844126874407258E-3</v>
      </c>
      <c r="AQ339" s="11">
        <f t="shared" si="52"/>
        <v>-5.7109214574932595E-4</v>
      </c>
      <c r="AR339" s="11">
        <f t="shared" si="53"/>
        <v>-2.6555048331900516E-3</v>
      </c>
    </row>
    <row r="340" spans="2:44" x14ac:dyDescent="0.35">
      <c r="B340" s="1">
        <v>45149</v>
      </c>
      <c r="C340">
        <v>4740.32</v>
      </c>
      <c r="D340" s="1">
        <v>45149</v>
      </c>
      <c r="E340">
        <v>4.8912000000000004</v>
      </c>
      <c r="F340" s="1">
        <v>45147</v>
      </c>
      <c r="G340">
        <v>111.45</v>
      </c>
      <c r="H340" s="4">
        <f t="shared" si="45"/>
        <v>545124.24000000011</v>
      </c>
      <c r="I340" s="5">
        <v>45149</v>
      </c>
      <c r="J340" s="4">
        <v>5193.26</v>
      </c>
      <c r="K340" s="4">
        <f t="shared" si="46"/>
        <v>51932.600000000006</v>
      </c>
      <c r="L340" s="1">
        <v>45149</v>
      </c>
      <c r="M340">
        <v>4.72</v>
      </c>
      <c r="N340" s="1">
        <v>45149</v>
      </c>
      <c r="O340">
        <v>4.7</v>
      </c>
      <c r="P340" s="1">
        <v>45149</v>
      </c>
      <c r="Q340">
        <v>4.75</v>
      </c>
      <c r="R340" s="1">
        <v>45149</v>
      </c>
      <c r="S340">
        <v>4.79</v>
      </c>
      <c r="T340" s="1">
        <v>45149</v>
      </c>
      <c r="U340">
        <v>4.8899999999999997</v>
      </c>
      <c r="V340" s="1">
        <v>45149</v>
      </c>
      <c r="W340">
        <v>4.97</v>
      </c>
      <c r="X340" s="1">
        <v>45149</v>
      </c>
      <c r="Y340">
        <f>NETWORKDAYS(X340,$Z$1,FERIADO!$A$2:$A$408)</f>
        <v>1866</v>
      </c>
      <c r="Z340">
        <v>10.85</v>
      </c>
      <c r="AA340" s="6">
        <f t="shared" si="47"/>
        <v>46638.310743829468</v>
      </c>
      <c r="AB340" s="2">
        <f t="shared" si="48"/>
        <v>-1.1275395997456067E-4</v>
      </c>
      <c r="AJ340" s="1">
        <v>45149</v>
      </c>
      <c r="AK340">
        <f>NETWORKDAYS(AJ340,$AJ$1,FERIADO!$A$2:$A$408)</f>
        <v>853</v>
      </c>
      <c r="AL340">
        <v>9.99</v>
      </c>
      <c r="AM340" s="6">
        <f t="shared" si="49"/>
        <v>72447.381481869554</v>
      </c>
      <c r="AN340" s="2">
        <f t="shared" si="50"/>
        <v>3.6480126222063864E-4</v>
      </c>
      <c r="AP340" s="11">
        <f t="shared" si="51"/>
        <v>-5.6376979987280334E-5</v>
      </c>
      <c r="AQ340" s="11">
        <f t="shared" si="52"/>
        <v>1.0944037866619159E-4</v>
      </c>
      <c r="AR340" s="11">
        <f t="shared" si="53"/>
        <v>5.3063398678911258E-5</v>
      </c>
    </row>
    <row r="341" spans="2:44" x14ac:dyDescent="0.35">
      <c r="B341" s="1">
        <v>45148</v>
      </c>
      <c r="C341">
        <v>4741.88</v>
      </c>
      <c r="D341" s="1">
        <v>45148</v>
      </c>
      <c r="E341">
        <v>4.8512000000000004</v>
      </c>
      <c r="F341" s="1">
        <v>45146</v>
      </c>
      <c r="G341">
        <v>111.44</v>
      </c>
      <c r="H341" s="4">
        <f t="shared" si="45"/>
        <v>540617.728</v>
      </c>
      <c r="I341" s="5">
        <v>45148</v>
      </c>
      <c r="J341" s="4">
        <v>5179.03</v>
      </c>
      <c r="K341" s="4">
        <f t="shared" si="46"/>
        <v>51790.299999999996</v>
      </c>
      <c r="L341" s="1">
        <v>45148</v>
      </c>
      <c r="M341">
        <v>4.72</v>
      </c>
      <c r="N341" s="1">
        <v>45148</v>
      </c>
      <c r="O341">
        <v>4.72</v>
      </c>
      <c r="P341" s="1">
        <v>45148</v>
      </c>
      <c r="Q341">
        <v>4.76</v>
      </c>
      <c r="R341" s="1">
        <v>45148</v>
      </c>
      <c r="S341">
        <v>4.8</v>
      </c>
      <c r="T341" s="1">
        <v>45148</v>
      </c>
      <c r="U341">
        <v>4.8899999999999997</v>
      </c>
      <c r="V341" s="1">
        <v>45148</v>
      </c>
      <c r="W341">
        <v>4.99</v>
      </c>
      <c r="X341" s="1">
        <v>45148</v>
      </c>
      <c r="Y341">
        <f>NETWORKDAYS(X341,$Z$1,FERIADO!$A$2:$A$408)</f>
        <v>1867</v>
      </c>
      <c r="Z341">
        <v>10.84</v>
      </c>
      <c r="AA341" s="6">
        <f t="shared" si="47"/>
        <v>46650.420814626406</v>
      </c>
      <c r="AB341" s="2">
        <f t="shared" si="48"/>
        <v>-1.275186255455711E-3</v>
      </c>
      <c r="AJ341" s="1">
        <v>45148</v>
      </c>
      <c r="AK341">
        <f>NETWORKDAYS(AJ341,$AJ$1,FERIADO!$A$2:$A$408)</f>
        <v>854</v>
      </c>
      <c r="AL341">
        <v>10.005000000000001</v>
      </c>
      <c r="AM341" s="6">
        <f t="shared" si="49"/>
        <v>72386.552250860332</v>
      </c>
      <c r="AN341" s="2">
        <f t="shared" si="50"/>
        <v>2.3130768840483234E-4</v>
      </c>
      <c r="AP341" s="11">
        <f t="shared" si="51"/>
        <v>-6.3759312772785552E-4</v>
      </c>
      <c r="AQ341" s="11">
        <f t="shared" si="52"/>
        <v>6.9392306521449704E-5</v>
      </c>
      <c r="AR341" s="11">
        <f t="shared" si="53"/>
        <v>-5.6820082120640587E-4</v>
      </c>
    </row>
    <row r="342" spans="2:44" x14ac:dyDescent="0.35">
      <c r="B342" s="1">
        <v>45147</v>
      </c>
      <c r="C342">
        <v>4751.3999999999996</v>
      </c>
      <c r="D342" s="1">
        <v>45147</v>
      </c>
      <c r="E342">
        <v>4.9009</v>
      </c>
      <c r="F342" s="1">
        <v>45145</v>
      </c>
      <c r="G342">
        <v>111.086</v>
      </c>
      <c r="H342" s="4">
        <f t="shared" si="45"/>
        <v>544421.3774</v>
      </c>
      <c r="I342" s="5">
        <v>45147</v>
      </c>
      <c r="J342" s="4">
        <v>5189.04</v>
      </c>
      <c r="K342" s="4">
        <f t="shared" si="46"/>
        <v>51890.400000000001</v>
      </c>
      <c r="L342" s="1">
        <v>45147</v>
      </c>
      <c r="M342">
        <v>4.78</v>
      </c>
      <c r="N342" s="1">
        <v>45147</v>
      </c>
      <c r="O342">
        <v>4.76</v>
      </c>
      <c r="P342" s="1">
        <v>45147</v>
      </c>
      <c r="Q342">
        <v>4.78</v>
      </c>
      <c r="R342" s="1">
        <v>45147</v>
      </c>
      <c r="S342">
        <v>4.83</v>
      </c>
      <c r="T342" s="1">
        <v>45147</v>
      </c>
      <c r="U342">
        <v>4.92</v>
      </c>
      <c r="V342" s="1">
        <v>45147</v>
      </c>
      <c r="W342">
        <v>5.01</v>
      </c>
      <c r="X342" s="1">
        <v>45147</v>
      </c>
      <c r="Y342">
        <f>NETWORKDAYS(X342,$Z$1,FERIADO!$A$2:$A$408)</f>
        <v>1868</v>
      </c>
      <c r="Z342">
        <v>10.79</v>
      </c>
      <c r="AA342" s="6">
        <f t="shared" si="47"/>
        <v>46787.598233391705</v>
      </c>
      <c r="AB342" s="2">
        <f t="shared" si="48"/>
        <v>-2.4410598651774125E-3</v>
      </c>
      <c r="AJ342" s="1">
        <v>45147</v>
      </c>
      <c r="AK342">
        <f>NETWORKDAYS(AJ342,$AJ$1,FERIADO!$A$2:$A$408)</f>
        <v>855</v>
      </c>
      <c r="AL342">
        <v>10.01</v>
      </c>
      <c r="AM342" s="6">
        <f t="shared" si="49"/>
        <v>72348.009030297035</v>
      </c>
      <c r="AN342" s="2">
        <f t="shared" si="50"/>
        <v>-1.7087211644142364E-4</v>
      </c>
      <c r="AP342" s="11">
        <f t="shared" si="51"/>
        <v>-1.2205299325887063E-3</v>
      </c>
      <c r="AQ342" s="11">
        <f t="shared" si="52"/>
        <v>-5.1261634932427093E-5</v>
      </c>
      <c r="AR342" s="11">
        <f t="shared" si="53"/>
        <v>-1.2717915675211334E-3</v>
      </c>
    </row>
    <row r="343" spans="2:44" x14ac:dyDescent="0.35">
      <c r="B343" s="1">
        <v>45146</v>
      </c>
      <c r="C343">
        <v>4776.83</v>
      </c>
      <c r="D343" s="1">
        <v>45146</v>
      </c>
      <c r="E343">
        <v>4.9211</v>
      </c>
      <c r="F343" s="1">
        <v>45142</v>
      </c>
      <c r="G343">
        <v>111.322</v>
      </c>
      <c r="H343" s="4">
        <f t="shared" si="45"/>
        <v>547826.69420000003</v>
      </c>
      <c r="I343" s="5">
        <v>45146</v>
      </c>
      <c r="J343" s="4">
        <v>5190.09</v>
      </c>
      <c r="K343" s="4">
        <f t="shared" si="46"/>
        <v>51900.9</v>
      </c>
      <c r="L343" s="1">
        <v>45146</v>
      </c>
      <c r="M343">
        <v>4.83</v>
      </c>
      <c r="N343" s="1">
        <v>45146</v>
      </c>
      <c r="O343">
        <v>4.7699999999999996</v>
      </c>
      <c r="P343" s="1">
        <v>45146</v>
      </c>
      <c r="Q343">
        <v>4.82</v>
      </c>
      <c r="R343" s="1">
        <v>45146</v>
      </c>
      <c r="S343">
        <v>4.8099999999999996</v>
      </c>
      <c r="T343" s="1">
        <v>45146</v>
      </c>
      <c r="U343">
        <v>4.8899999999999997</v>
      </c>
      <c r="V343" s="1">
        <v>45146</v>
      </c>
      <c r="W343">
        <v>4.9800000000000004</v>
      </c>
      <c r="X343" s="1">
        <v>45146</v>
      </c>
      <c r="Y343">
        <f>NETWORKDAYS(X343,$Z$1,FERIADO!$A$2:$A$408)</f>
        <v>1869</v>
      </c>
      <c r="Z343">
        <v>10.7</v>
      </c>
      <c r="AA343" s="6">
        <f t="shared" si="47"/>
        <v>47051.319997726285</v>
      </c>
      <c r="AB343" s="2">
        <f t="shared" si="48"/>
        <v>3.6667828108419495E-3</v>
      </c>
      <c r="AJ343" s="1">
        <v>45146</v>
      </c>
      <c r="AK343">
        <f>NETWORKDAYS(AJ343,$AJ$1,FERIADO!$A$2:$A$408)</f>
        <v>856</v>
      </c>
      <c r="AL343">
        <v>9.9849999999999994</v>
      </c>
      <c r="AM343" s="6">
        <f t="shared" si="49"/>
        <v>72376.479780462469</v>
      </c>
      <c r="AN343" s="2">
        <f t="shared" si="50"/>
        <v>1.8416450479818638E-3</v>
      </c>
      <c r="AP343" s="11">
        <f t="shared" si="51"/>
        <v>1.8333914054209748E-3</v>
      </c>
      <c r="AQ343" s="11">
        <f t="shared" si="52"/>
        <v>5.524935143945591E-4</v>
      </c>
      <c r="AR343" s="11">
        <f t="shared" si="53"/>
        <v>2.3858849198155341E-3</v>
      </c>
    </row>
    <row r="344" spans="2:44" x14ac:dyDescent="0.35">
      <c r="B344" s="1">
        <v>45145</v>
      </c>
      <c r="C344">
        <v>4803.1899999999996</v>
      </c>
      <c r="D344" s="1">
        <v>45145</v>
      </c>
      <c r="E344">
        <v>4.9004000000000003</v>
      </c>
      <c r="F344" s="1">
        <v>45141</v>
      </c>
      <c r="G344">
        <v>110.306</v>
      </c>
      <c r="H344" s="4">
        <f t="shared" si="45"/>
        <v>540543.52240000002</v>
      </c>
      <c r="I344" s="5">
        <v>45145</v>
      </c>
      <c r="J344" s="4">
        <v>5190.62</v>
      </c>
      <c r="K344" s="4">
        <f t="shared" si="46"/>
        <v>51906.2</v>
      </c>
      <c r="L344" s="1">
        <v>45145</v>
      </c>
      <c r="M344">
        <v>4.8899999999999997</v>
      </c>
      <c r="N344" s="1">
        <v>45145</v>
      </c>
      <c r="O344">
        <v>4.8600000000000003</v>
      </c>
      <c r="P344" s="1">
        <v>45145</v>
      </c>
      <c r="Q344">
        <v>4.88</v>
      </c>
      <c r="R344" s="1">
        <v>45145</v>
      </c>
      <c r="S344">
        <v>4.8899999999999997</v>
      </c>
      <c r="T344" s="1">
        <v>45145</v>
      </c>
      <c r="U344">
        <v>4.96</v>
      </c>
      <c r="V344" s="1">
        <v>45145</v>
      </c>
      <c r="W344">
        <v>5.04</v>
      </c>
      <c r="X344" s="1">
        <v>45145</v>
      </c>
      <c r="Y344">
        <f>NETWORKDAYS(X344,$Z$1,FERIADO!$A$2:$A$408)</f>
        <v>1870</v>
      </c>
      <c r="Z344">
        <v>10.82</v>
      </c>
      <c r="AA344" s="6">
        <f t="shared" si="47"/>
        <v>46655.73429596566</v>
      </c>
      <c r="AB344" s="2">
        <f t="shared" si="48"/>
        <v>-9.8701037266395739E-4</v>
      </c>
      <c r="AJ344" s="1">
        <v>45145</v>
      </c>
      <c r="AK344">
        <f>NETWORKDAYS(AJ344,$AJ$1,FERIADO!$A$2:$A$408)</f>
        <v>857</v>
      </c>
      <c r="AL344">
        <v>10.11</v>
      </c>
      <c r="AM344" s="6">
        <f t="shared" si="49"/>
        <v>72070.213927894903</v>
      </c>
      <c r="AN344" s="2">
        <f t="shared" si="50"/>
        <v>-3.7127914405261117E-4</v>
      </c>
      <c r="AP344" s="11">
        <f t="shared" si="51"/>
        <v>-4.9350518633197869E-4</v>
      </c>
      <c r="AQ344" s="11">
        <f t="shared" si="52"/>
        <v>-1.1138374321578335E-4</v>
      </c>
      <c r="AR344" s="11">
        <f t="shared" si="53"/>
        <v>-6.0488892954776205E-4</v>
      </c>
    </row>
    <row r="345" spans="2:44" x14ac:dyDescent="0.35">
      <c r="B345" s="1">
        <v>45142</v>
      </c>
      <c r="C345">
        <v>4756.8999999999996</v>
      </c>
      <c r="D345" s="1">
        <v>45142</v>
      </c>
      <c r="E345">
        <v>4.8602999999999996</v>
      </c>
      <c r="F345" s="1">
        <v>45140</v>
      </c>
      <c r="G345">
        <v>110.89</v>
      </c>
      <c r="H345" s="4">
        <f t="shared" si="45"/>
        <v>538958.66700000002</v>
      </c>
      <c r="I345" s="5">
        <v>45142</v>
      </c>
      <c r="J345" s="4">
        <v>5163.74</v>
      </c>
      <c r="K345" s="4">
        <f t="shared" si="46"/>
        <v>51637.399999999994</v>
      </c>
      <c r="L345" s="1">
        <v>45142</v>
      </c>
      <c r="M345">
        <v>4.8499999999999996</v>
      </c>
      <c r="N345" s="1">
        <v>45142</v>
      </c>
      <c r="O345">
        <v>4.8099999999999996</v>
      </c>
      <c r="P345" s="1">
        <v>45142</v>
      </c>
      <c r="Q345">
        <v>4.9400000000000004</v>
      </c>
      <c r="R345" s="1">
        <v>45142</v>
      </c>
      <c r="S345">
        <v>4.8600000000000003</v>
      </c>
      <c r="T345" s="1">
        <v>45142</v>
      </c>
      <c r="U345">
        <v>4.92</v>
      </c>
      <c r="V345" s="1">
        <v>45142</v>
      </c>
      <c r="W345">
        <v>5.0199999999999996</v>
      </c>
      <c r="X345" s="1">
        <v>45142</v>
      </c>
      <c r="Y345">
        <f>NETWORKDAYS(X345,$Z$1,FERIADO!$A$2:$A$408)</f>
        <v>1871</v>
      </c>
      <c r="Z345">
        <v>10.78</v>
      </c>
      <c r="AA345" s="6">
        <f t="shared" si="47"/>
        <v>46761.888215211264</v>
      </c>
      <c r="AB345" s="2">
        <f t="shared" si="48"/>
        <v>2.2143632960131424E-3</v>
      </c>
      <c r="AJ345" s="1">
        <v>45142</v>
      </c>
      <c r="AK345">
        <f>NETWORKDAYS(AJ345,$AJ$1,FERIADO!$A$2:$A$408)</f>
        <v>858</v>
      </c>
      <c r="AL345">
        <v>10.07</v>
      </c>
      <c r="AM345" s="6">
        <f t="shared" si="49"/>
        <v>72131.853229146509</v>
      </c>
      <c r="AN345" s="2">
        <f t="shared" si="50"/>
        <v>1.039316195721173E-3</v>
      </c>
      <c r="AP345" s="11">
        <f t="shared" si="51"/>
        <v>1.1071816480065712E-3</v>
      </c>
      <c r="AQ345" s="11">
        <f t="shared" si="52"/>
        <v>3.1179485871635188E-4</v>
      </c>
      <c r="AR345" s="11">
        <f t="shared" si="53"/>
        <v>1.4189765067229231E-3</v>
      </c>
    </row>
    <row r="346" spans="2:44" x14ac:dyDescent="0.35">
      <c r="B346" s="1">
        <v>45141</v>
      </c>
      <c r="C346">
        <v>4785.72</v>
      </c>
      <c r="D346" s="1">
        <v>45141</v>
      </c>
      <c r="E346">
        <v>4.8791000000000002</v>
      </c>
      <c r="F346" s="1">
        <v>45139</v>
      </c>
      <c r="G346">
        <v>111.006</v>
      </c>
      <c r="H346" s="4">
        <f t="shared" si="45"/>
        <v>541609.37459999998</v>
      </c>
      <c r="I346" s="5">
        <v>45141</v>
      </c>
      <c r="J346" s="4">
        <v>5213.29</v>
      </c>
      <c r="K346" s="4">
        <f t="shared" si="46"/>
        <v>52132.9</v>
      </c>
      <c r="L346" s="1">
        <v>45141</v>
      </c>
      <c r="M346">
        <v>4.95</v>
      </c>
      <c r="N346" s="1">
        <v>45141</v>
      </c>
      <c r="O346">
        <v>4.88</v>
      </c>
      <c r="P346" s="1">
        <v>45141</v>
      </c>
      <c r="Q346">
        <v>4.8899999999999997</v>
      </c>
      <c r="R346" s="1">
        <v>45141</v>
      </c>
      <c r="S346">
        <v>4.88</v>
      </c>
      <c r="T346" s="1">
        <v>45141</v>
      </c>
      <c r="U346">
        <v>4.93</v>
      </c>
      <c r="V346" s="1">
        <v>45141</v>
      </c>
      <c r="W346">
        <v>5.0199999999999996</v>
      </c>
      <c r="X346" s="1">
        <v>45141</v>
      </c>
      <c r="Y346">
        <f>NETWORKDAYS(X346,$Z$1,FERIADO!$A$2:$A$408)</f>
        <v>1872</v>
      </c>
      <c r="Z346">
        <v>10.85</v>
      </c>
      <c r="AA346" s="6">
        <f t="shared" si="47"/>
        <v>46524.067384873233</v>
      </c>
      <c r="AB346" s="2">
        <f t="shared" si="48"/>
        <v>-5.651663572347974E-3</v>
      </c>
      <c r="AJ346" s="1">
        <v>45141</v>
      </c>
      <c r="AK346">
        <f>NETWORKDAYS(AJ346,$AJ$1,FERIADO!$A$2:$A$408)</f>
        <v>859</v>
      </c>
      <c r="AL346">
        <v>10.135</v>
      </c>
      <c r="AM346" s="6">
        <f t="shared" si="49"/>
        <v>71959.439867537178</v>
      </c>
      <c r="AN346" s="2">
        <f t="shared" si="50"/>
        <v>-6.4128557242431575E-4</v>
      </c>
      <c r="AP346" s="11">
        <f t="shared" si="51"/>
        <v>-2.825831786173987E-3</v>
      </c>
      <c r="AQ346" s="11">
        <f t="shared" si="52"/>
        <v>-1.9238567172729471E-4</v>
      </c>
      <c r="AR346" s="11">
        <f t="shared" si="53"/>
        <v>-3.0182174579012817E-3</v>
      </c>
    </row>
    <row r="347" spans="2:44" x14ac:dyDescent="0.35">
      <c r="B347" s="1">
        <v>45140</v>
      </c>
      <c r="C347">
        <v>4794.9399999999996</v>
      </c>
      <c r="D347" s="1">
        <v>45140</v>
      </c>
      <c r="E347">
        <v>4.8076999999999996</v>
      </c>
      <c r="F347" s="1">
        <v>45138</v>
      </c>
      <c r="G347">
        <v>111.48099999999999</v>
      </c>
      <c r="H347" s="4">
        <f t="shared" si="45"/>
        <v>535967.20369999995</v>
      </c>
      <c r="I347" s="5">
        <v>45140</v>
      </c>
      <c r="J347" s="4">
        <v>5098.8999999999996</v>
      </c>
      <c r="K347" s="4">
        <f t="shared" si="46"/>
        <v>50989</v>
      </c>
      <c r="L347" s="1">
        <v>45140</v>
      </c>
      <c r="M347">
        <v>5.0999999999999996</v>
      </c>
      <c r="N347" s="1">
        <v>45140</v>
      </c>
      <c r="O347">
        <v>4.9800000000000004</v>
      </c>
      <c r="P347" s="1">
        <v>45140</v>
      </c>
      <c r="Q347">
        <v>4.9400000000000004</v>
      </c>
      <c r="R347" s="1">
        <v>45140</v>
      </c>
      <c r="S347">
        <v>4.8899999999999997</v>
      </c>
      <c r="T347" s="1">
        <v>45140</v>
      </c>
      <c r="U347">
        <v>4.9400000000000004</v>
      </c>
      <c r="V347" s="1">
        <v>45140</v>
      </c>
      <c r="W347">
        <v>5.01</v>
      </c>
      <c r="X347" s="1">
        <v>45140</v>
      </c>
      <c r="Y347">
        <f>NETWORKDAYS(X347,$Z$1,FERIADO!$A$2:$A$408)</f>
        <v>1873</v>
      </c>
      <c r="Z347">
        <v>10.65</v>
      </c>
      <c r="AA347" s="6">
        <f t="shared" si="47"/>
        <v>47133.461930360434</v>
      </c>
      <c r="AB347" s="2">
        <f t="shared" si="48"/>
        <v>2.8002481291526599E-3</v>
      </c>
      <c r="AJ347" s="1">
        <v>45140</v>
      </c>
      <c r="AK347">
        <f>NETWORKDAYS(AJ347,$AJ$1,FERIADO!$A$2:$A$408)</f>
        <v>860</v>
      </c>
      <c r="AL347">
        <v>10.074999999999999</v>
      </c>
      <c r="AM347" s="6">
        <f t="shared" si="49"/>
        <v>72065.774715484906</v>
      </c>
      <c r="AN347" s="2">
        <f t="shared" si="50"/>
        <v>1.3108111433739536E-3</v>
      </c>
      <c r="AP347" s="11">
        <f t="shared" si="51"/>
        <v>1.4001240645763299E-3</v>
      </c>
      <c r="AQ347" s="11">
        <f t="shared" si="52"/>
        <v>3.9324334301218608E-4</v>
      </c>
      <c r="AR347" s="11">
        <f t="shared" si="53"/>
        <v>1.793367407588516E-3</v>
      </c>
    </row>
    <row r="348" spans="2:44" x14ac:dyDescent="0.35">
      <c r="B348" s="1">
        <v>45139</v>
      </c>
      <c r="C348">
        <v>4865.07</v>
      </c>
      <c r="D348" s="1">
        <v>45139</v>
      </c>
      <c r="E348">
        <v>4.7746000000000004</v>
      </c>
      <c r="F348" s="1">
        <v>45135</v>
      </c>
      <c r="G348">
        <v>111.44</v>
      </c>
      <c r="H348" s="4">
        <f t="shared" si="45"/>
        <v>532081.42400000012</v>
      </c>
      <c r="I348" s="5">
        <v>45139</v>
      </c>
      <c r="J348" s="4">
        <v>5081.51</v>
      </c>
      <c r="K348" s="4">
        <f t="shared" si="46"/>
        <v>50815.100000000006</v>
      </c>
      <c r="L348" s="1">
        <v>45139</v>
      </c>
      <c r="M348">
        <v>5.1100000000000003</v>
      </c>
      <c r="N348" s="1">
        <v>45139</v>
      </c>
      <c r="O348">
        <v>5</v>
      </c>
      <c r="P348" s="1">
        <v>45139</v>
      </c>
      <c r="Q348">
        <v>4.9400000000000004</v>
      </c>
      <c r="R348" s="1">
        <v>45139</v>
      </c>
      <c r="S348">
        <v>4.92</v>
      </c>
      <c r="T348" s="1">
        <v>45139</v>
      </c>
      <c r="U348">
        <v>4.9800000000000004</v>
      </c>
      <c r="V348" s="1">
        <v>45139</v>
      </c>
      <c r="W348">
        <v>5.04</v>
      </c>
      <c r="X348" s="1">
        <v>45139</v>
      </c>
      <c r="Y348">
        <f>NETWORKDAYS(X348,$Z$1,FERIADO!$A$2:$A$408)</f>
        <v>1874</v>
      </c>
      <c r="Z348">
        <v>10.74</v>
      </c>
      <c r="AA348" s="6">
        <f t="shared" si="47"/>
        <v>46830.532008831986</v>
      </c>
      <c r="AB348" s="2">
        <f t="shared" si="48"/>
        <v>4.6759520897633446E-4</v>
      </c>
      <c r="AJ348" s="1">
        <v>45139</v>
      </c>
      <c r="AK348">
        <f>NETWORKDAYS(AJ348,$AJ$1,FERIADO!$A$2:$A$408)</f>
        <v>861</v>
      </c>
      <c r="AL348">
        <v>10.16</v>
      </c>
      <c r="AM348" s="6">
        <f t="shared" si="49"/>
        <v>71848.589812883394</v>
      </c>
      <c r="AN348" s="2">
        <f t="shared" si="50"/>
        <v>-2.3785853368689605E-4</v>
      </c>
      <c r="AP348" s="11">
        <f t="shared" si="51"/>
        <v>2.3379760448816723E-4</v>
      </c>
      <c r="AQ348" s="11">
        <f t="shared" si="52"/>
        <v>-7.1357560106068813E-5</v>
      </c>
      <c r="AR348" s="11">
        <f t="shared" si="53"/>
        <v>1.6244004438209842E-4</v>
      </c>
    </row>
    <row r="349" spans="2:44" x14ac:dyDescent="0.35">
      <c r="B349" s="1">
        <v>45138</v>
      </c>
      <c r="C349">
        <v>4882.34</v>
      </c>
      <c r="D349" s="1">
        <v>45138</v>
      </c>
      <c r="E349">
        <v>4.7408999999999999</v>
      </c>
      <c r="F349" s="1">
        <v>45134</v>
      </c>
      <c r="G349">
        <v>111.081</v>
      </c>
      <c r="H349" s="4">
        <f t="shared" si="45"/>
        <v>526623.9129</v>
      </c>
      <c r="I349" s="5">
        <v>45138</v>
      </c>
      <c r="J349" s="4">
        <v>5010.87</v>
      </c>
      <c r="K349" s="4">
        <f t="shared" si="46"/>
        <v>50108.7</v>
      </c>
      <c r="L349" s="1">
        <v>45138</v>
      </c>
      <c r="M349">
        <v>5.07</v>
      </c>
      <c r="N349" s="1">
        <v>45138</v>
      </c>
      <c r="O349">
        <v>4.9800000000000004</v>
      </c>
      <c r="P349" s="1">
        <v>45138</v>
      </c>
      <c r="Q349">
        <v>4.95</v>
      </c>
      <c r="R349" s="1">
        <v>45138</v>
      </c>
      <c r="S349">
        <v>4.93</v>
      </c>
      <c r="T349" s="1">
        <v>45138</v>
      </c>
      <c r="U349">
        <v>5</v>
      </c>
      <c r="V349" s="1">
        <v>45138</v>
      </c>
      <c r="W349">
        <v>5.07</v>
      </c>
      <c r="X349" s="1">
        <v>45138</v>
      </c>
      <c r="Y349">
        <f>NETWORKDAYS(X349,$Z$1,FERIADO!$A$2:$A$408)</f>
        <v>1875</v>
      </c>
      <c r="Z349">
        <v>10.75</v>
      </c>
      <c r="AA349" s="6">
        <f t="shared" si="47"/>
        <v>46780.137750691407</v>
      </c>
      <c r="AB349" s="2">
        <f t="shared" si="48"/>
        <v>3.9687804203906944E-3</v>
      </c>
      <c r="AJ349" s="1">
        <v>45138</v>
      </c>
      <c r="AK349">
        <f>NETWORKDAYS(AJ349,$AJ$1,FERIADO!$A$2:$A$408)</f>
        <v>862</v>
      </c>
      <c r="AL349">
        <v>10.130000000000001</v>
      </c>
      <c r="AM349" s="6">
        <f t="shared" si="49"/>
        <v>71887.951310068762</v>
      </c>
      <c r="AN349" s="2">
        <f t="shared" si="50"/>
        <v>1.5161618538614367E-3</v>
      </c>
      <c r="AP349" s="11">
        <f t="shared" si="51"/>
        <v>1.9843902101953472E-3</v>
      </c>
      <c r="AQ349" s="11">
        <f t="shared" si="52"/>
        <v>4.5484855615843099E-4</v>
      </c>
      <c r="AR349" s="11">
        <f t="shared" si="53"/>
        <v>2.439238766353778E-3</v>
      </c>
    </row>
    <row r="350" spans="2:44" x14ac:dyDescent="0.35">
      <c r="B350" s="1">
        <v>45135</v>
      </c>
      <c r="C350">
        <v>4874.84</v>
      </c>
      <c r="D350" s="1">
        <v>45135</v>
      </c>
      <c r="E350">
        <v>4.7247000000000003</v>
      </c>
      <c r="F350" s="1">
        <v>45133</v>
      </c>
      <c r="G350">
        <v>111.98099999999999</v>
      </c>
      <c r="H350" s="4">
        <f t="shared" si="45"/>
        <v>529076.63069999998</v>
      </c>
      <c r="I350" s="5">
        <v>45135</v>
      </c>
      <c r="J350" s="4">
        <v>5021.41</v>
      </c>
      <c r="K350" s="4">
        <f t="shared" si="46"/>
        <v>50214.1</v>
      </c>
      <c r="L350" s="1">
        <v>45135</v>
      </c>
      <c r="M350">
        <v>5.0999999999999996</v>
      </c>
      <c r="N350" s="1">
        <v>45135</v>
      </c>
      <c r="O350">
        <v>5.0199999999999996</v>
      </c>
      <c r="P350" s="1">
        <v>45135</v>
      </c>
      <c r="Q350">
        <v>4.96</v>
      </c>
      <c r="R350" s="1">
        <v>45135</v>
      </c>
      <c r="S350">
        <v>5</v>
      </c>
      <c r="T350" s="1">
        <v>45135</v>
      </c>
      <c r="U350">
        <v>5.04</v>
      </c>
      <c r="V350" s="1">
        <v>45135</v>
      </c>
      <c r="W350">
        <v>5.1100000000000003</v>
      </c>
      <c r="X350" s="1">
        <v>45135</v>
      </c>
      <c r="Y350">
        <f>NETWORKDAYS(X350,$Z$1,FERIADO!$A$2:$A$408)</f>
        <v>1876</v>
      </c>
      <c r="Z350">
        <v>10.88</v>
      </c>
      <c r="AA350" s="6">
        <f t="shared" si="47"/>
        <v>46354.586983825633</v>
      </c>
      <c r="AB350" s="2">
        <f t="shared" si="48"/>
        <v>-9.8917848583312054E-4</v>
      </c>
      <c r="AJ350" s="1">
        <v>45135</v>
      </c>
      <c r="AK350">
        <f>NETWORKDAYS(AJ350,$AJ$1,FERIADO!$A$2:$A$408)</f>
        <v>863</v>
      </c>
      <c r="AL350">
        <v>10.23</v>
      </c>
      <c r="AM350" s="6">
        <f t="shared" si="49"/>
        <v>71637.4214469328</v>
      </c>
      <c r="AN350" s="2">
        <f t="shared" si="50"/>
        <v>-1.0233227249502086E-4</v>
      </c>
      <c r="AP350" s="11">
        <f t="shared" si="51"/>
        <v>-4.9458924291656027E-4</v>
      </c>
      <c r="AQ350" s="11">
        <f t="shared" si="52"/>
        <v>-3.0699681748506259E-5</v>
      </c>
      <c r="AR350" s="11">
        <f t="shared" si="53"/>
        <v>-5.2528892466506658E-4</v>
      </c>
    </row>
    <row r="351" spans="2:44" x14ac:dyDescent="0.35">
      <c r="B351" s="1">
        <v>45134</v>
      </c>
      <c r="C351">
        <v>4832.4799999999996</v>
      </c>
      <c r="D351" s="1">
        <v>45134</v>
      </c>
      <c r="E351">
        <v>4.7195999999999998</v>
      </c>
      <c r="F351" s="1">
        <v>45132</v>
      </c>
      <c r="G351">
        <v>111.711</v>
      </c>
      <c r="H351" s="4">
        <f t="shared" si="45"/>
        <v>527231.23560000001</v>
      </c>
      <c r="I351" s="5">
        <v>45134</v>
      </c>
      <c r="J351" s="4">
        <v>5030.96</v>
      </c>
      <c r="K351" s="4">
        <f t="shared" si="46"/>
        <v>50309.599999999999</v>
      </c>
      <c r="L351" s="1">
        <v>45134</v>
      </c>
      <c r="M351">
        <v>5.09</v>
      </c>
      <c r="N351" s="1">
        <v>45134</v>
      </c>
      <c r="O351">
        <v>5.01</v>
      </c>
      <c r="P351" s="1">
        <v>45134</v>
      </c>
      <c r="Q351">
        <v>5</v>
      </c>
      <c r="R351" s="1">
        <v>45134</v>
      </c>
      <c r="S351">
        <v>4.96</v>
      </c>
      <c r="T351" s="1">
        <v>45134</v>
      </c>
      <c r="U351">
        <v>5.05</v>
      </c>
      <c r="V351" s="1">
        <v>45134</v>
      </c>
      <c r="W351">
        <v>5.13</v>
      </c>
      <c r="X351" s="1">
        <v>45134</v>
      </c>
      <c r="Y351">
        <f>NETWORKDAYS(X351,$Z$1,FERIADO!$A$2:$A$408)</f>
        <v>1877</v>
      </c>
      <c r="Z351">
        <v>10.84</v>
      </c>
      <c r="AA351" s="6">
        <f t="shared" si="47"/>
        <v>46460.287656173445</v>
      </c>
      <c r="AB351" s="2">
        <f t="shared" si="48"/>
        <v>-1.2829622371839386E-3</v>
      </c>
      <c r="AJ351" s="1">
        <v>45134</v>
      </c>
      <c r="AK351">
        <f>NETWORKDAYS(AJ351,$AJ$1,FERIADO!$A$2:$A$408)</f>
        <v>864</v>
      </c>
      <c r="AL351">
        <v>10.210000000000001</v>
      </c>
      <c r="AM351" s="6">
        <f t="shared" si="49"/>
        <v>71654.303272932768</v>
      </c>
      <c r="AN351" s="2">
        <f t="shared" si="50"/>
        <v>-5.7658829415745962E-4</v>
      </c>
      <c r="AP351" s="11">
        <f t="shared" si="51"/>
        <v>-6.4148111859196931E-4</v>
      </c>
      <c r="AQ351" s="11">
        <f t="shared" si="52"/>
        <v>-1.7297648824723789E-4</v>
      </c>
      <c r="AR351" s="11">
        <f t="shared" si="53"/>
        <v>-8.1445760683920723E-4</v>
      </c>
    </row>
    <row r="352" spans="2:44" x14ac:dyDescent="0.35">
      <c r="B352" s="1">
        <v>45133</v>
      </c>
      <c r="C352">
        <v>4858.22</v>
      </c>
      <c r="D352" s="1">
        <v>45133</v>
      </c>
      <c r="E352">
        <v>4.7362000000000002</v>
      </c>
      <c r="F352" s="1">
        <v>45131</v>
      </c>
      <c r="G352">
        <v>111.961</v>
      </c>
      <c r="H352" s="4">
        <f t="shared" si="45"/>
        <v>530269.68819999998</v>
      </c>
      <c r="I352" s="5">
        <v>45133</v>
      </c>
      <c r="J352" s="4">
        <v>5024.0600000000004</v>
      </c>
      <c r="K352" s="4">
        <f t="shared" si="46"/>
        <v>50240.600000000006</v>
      </c>
      <c r="L352" s="1">
        <v>45133</v>
      </c>
      <c r="M352">
        <v>5.09</v>
      </c>
      <c r="N352" s="1">
        <v>45133</v>
      </c>
      <c r="O352">
        <v>4.99</v>
      </c>
      <c r="P352" s="1">
        <v>45133</v>
      </c>
      <c r="Q352">
        <v>4.9800000000000004</v>
      </c>
      <c r="R352" s="1">
        <v>45133</v>
      </c>
      <c r="S352">
        <v>4.9400000000000004</v>
      </c>
      <c r="T352" s="1">
        <v>45133</v>
      </c>
      <c r="U352">
        <v>5.01</v>
      </c>
      <c r="V352" s="1">
        <v>45133</v>
      </c>
      <c r="W352">
        <v>5.0999999999999996</v>
      </c>
      <c r="X352" s="1">
        <v>45133</v>
      </c>
      <c r="Y352">
        <f>NETWORKDAYS(X352,$Z$1,FERIADO!$A$2:$A$408)</f>
        <v>1878</v>
      </c>
      <c r="Z352">
        <v>10.79</v>
      </c>
      <c r="AA352" s="6">
        <f t="shared" si="47"/>
        <v>46597.740299349389</v>
      </c>
      <c r="AB352" s="2">
        <f t="shared" si="48"/>
        <v>-9.9277088951481339E-4</v>
      </c>
      <c r="AJ352" s="1">
        <v>45133</v>
      </c>
      <c r="AK352">
        <f>NETWORKDAYS(AJ352,$AJ$1,FERIADO!$A$2:$A$408)</f>
        <v>865</v>
      </c>
      <c r="AL352">
        <v>10.154999999999999</v>
      </c>
      <c r="AM352" s="6">
        <f t="shared" si="49"/>
        <v>71749.497829107495</v>
      </c>
      <c r="AN352" s="2">
        <f t="shared" si="50"/>
        <v>9.8938382518916357E-5</v>
      </c>
      <c r="AP352" s="11">
        <f t="shared" si="51"/>
        <v>-4.963854447574067E-4</v>
      </c>
      <c r="AQ352" s="11">
        <f t="shared" si="52"/>
        <v>2.9681514755674906E-5</v>
      </c>
      <c r="AR352" s="11">
        <f t="shared" si="53"/>
        <v>-4.6670393000173177E-4</v>
      </c>
    </row>
    <row r="353" spans="2:44" x14ac:dyDescent="0.35">
      <c r="B353" s="1">
        <v>45132</v>
      </c>
      <c r="C353">
        <v>4872.5200000000004</v>
      </c>
      <c r="D353" s="1">
        <v>45132</v>
      </c>
      <c r="E353">
        <v>4.7489999999999997</v>
      </c>
      <c r="F353" s="1">
        <v>45128</v>
      </c>
      <c r="G353">
        <v>112.22</v>
      </c>
      <c r="H353" s="4">
        <f t="shared" si="45"/>
        <v>532932.78</v>
      </c>
      <c r="I353" s="5">
        <v>45132</v>
      </c>
      <c r="J353" s="4">
        <v>5045.2700000000004</v>
      </c>
      <c r="K353" s="4">
        <f t="shared" si="46"/>
        <v>50452.700000000004</v>
      </c>
      <c r="L353" s="1">
        <v>45132</v>
      </c>
      <c r="M353">
        <v>5.15</v>
      </c>
      <c r="N353" s="1">
        <v>45132</v>
      </c>
      <c r="O353">
        <v>5.05</v>
      </c>
      <c r="P353" s="1">
        <v>45132</v>
      </c>
      <c r="Q353">
        <v>5</v>
      </c>
      <c r="R353" s="1">
        <v>45132</v>
      </c>
      <c r="S353">
        <v>4.97</v>
      </c>
      <c r="T353" s="1">
        <v>45132</v>
      </c>
      <c r="U353">
        <v>5.0599999999999996</v>
      </c>
      <c r="V353" s="1">
        <v>45132</v>
      </c>
      <c r="W353">
        <v>5.13</v>
      </c>
      <c r="X353" s="1">
        <v>45132</v>
      </c>
      <c r="Y353">
        <f>NETWORKDAYS(X353,$Z$1,FERIADO!$A$2:$A$408)</f>
        <v>1879</v>
      </c>
      <c r="Z353">
        <v>10.75</v>
      </c>
      <c r="AA353" s="6">
        <f t="shared" si="47"/>
        <v>46704.38175374081</v>
      </c>
      <c r="AB353" s="2">
        <f t="shared" si="48"/>
        <v>-4.0918264724402635E-4</v>
      </c>
      <c r="AJ353" s="1">
        <v>45132</v>
      </c>
      <c r="AK353">
        <f>NETWORKDAYS(AJ353,$AJ$1,FERIADO!$A$2:$A$408)</f>
        <v>866</v>
      </c>
      <c r="AL353">
        <v>10.15</v>
      </c>
      <c r="AM353" s="6">
        <f t="shared" si="49"/>
        <v>71733.154147531706</v>
      </c>
      <c r="AN353" s="2">
        <f t="shared" si="50"/>
        <v>4.3787964334235548E-4</v>
      </c>
      <c r="AP353" s="11">
        <f t="shared" si="51"/>
        <v>-2.0459132362201317E-4</v>
      </c>
      <c r="AQ353" s="11">
        <f t="shared" si="52"/>
        <v>1.3136389300270665E-4</v>
      </c>
      <c r="AR353" s="11">
        <f t="shared" si="53"/>
        <v>-7.3227430619306525E-5</v>
      </c>
    </row>
    <row r="354" spans="2:44" x14ac:dyDescent="0.35">
      <c r="B354" s="1">
        <v>45131</v>
      </c>
      <c r="C354">
        <v>4852.08</v>
      </c>
      <c r="D354" s="1">
        <v>45131</v>
      </c>
      <c r="E354">
        <v>4.7450999999999999</v>
      </c>
      <c r="F354" s="1">
        <v>45127</v>
      </c>
      <c r="G354">
        <v>112.12</v>
      </c>
      <c r="H354" s="4">
        <f t="shared" si="45"/>
        <v>532020.61200000008</v>
      </c>
      <c r="I354" s="5">
        <v>45131</v>
      </c>
      <c r="J354" s="4">
        <v>5019.82</v>
      </c>
      <c r="K354" s="4">
        <f t="shared" si="46"/>
        <v>50198.2</v>
      </c>
      <c r="L354" s="1">
        <v>45131</v>
      </c>
      <c r="M354">
        <v>5.18</v>
      </c>
      <c r="N354" s="1">
        <v>45131</v>
      </c>
      <c r="O354">
        <v>5.0999999999999996</v>
      </c>
      <c r="P354" s="1">
        <v>45131</v>
      </c>
      <c r="Q354">
        <v>5</v>
      </c>
      <c r="R354" s="1">
        <v>45131</v>
      </c>
      <c r="S354">
        <v>4.9800000000000004</v>
      </c>
      <c r="T354" s="1">
        <v>45131</v>
      </c>
      <c r="U354">
        <v>5.04</v>
      </c>
      <c r="V354" s="1">
        <v>45131</v>
      </c>
      <c r="W354">
        <v>5.0999999999999996</v>
      </c>
      <c r="X354" s="1">
        <v>45131</v>
      </c>
      <c r="Y354">
        <f>NETWORKDAYS(X354,$Z$1,FERIADO!$A$2:$A$408)</f>
        <v>1880</v>
      </c>
      <c r="Z354">
        <v>10.73</v>
      </c>
      <c r="AA354" s="6">
        <f t="shared" si="47"/>
        <v>46748.406324605618</v>
      </c>
      <c r="AB354" s="2">
        <f t="shared" si="48"/>
        <v>2.8093986266944549E-3</v>
      </c>
      <c r="AJ354" s="1">
        <v>45131</v>
      </c>
      <c r="AK354">
        <f>NETWORKDAYS(AJ354,$AJ$1,FERIADO!$A$2:$A$408)</f>
        <v>867</v>
      </c>
      <c r="AL354">
        <v>10.17</v>
      </c>
      <c r="AM354" s="6">
        <f t="shared" si="49"/>
        <v>71660.865275142773</v>
      </c>
      <c r="AN354" s="2">
        <f t="shared" si="50"/>
        <v>1.1170857281057082E-3</v>
      </c>
      <c r="AP354" s="11">
        <f t="shared" si="51"/>
        <v>1.4046993133472274E-3</v>
      </c>
      <c r="AQ354" s="11">
        <f t="shared" si="52"/>
        <v>3.3512571843171242E-4</v>
      </c>
      <c r="AR354" s="11">
        <f t="shared" si="53"/>
        <v>1.7398250317789399E-3</v>
      </c>
    </row>
    <row r="355" spans="2:44" x14ac:dyDescent="0.35">
      <c r="B355" s="1">
        <v>45128</v>
      </c>
      <c r="C355">
        <v>4826.83</v>
      </c>
      <c r="D355" s="1">
        <v>45128</v>
      </c>
      <c r="E355">
        <v>4.7725999999999997</v>
      </c>
      <c r="F355" s="1">
        <v>45126</v>
      </c>
      <c r="G355">
        <v>112.98</v>
      </c>
      <c r="H355" s="4">
        <f t="shared" si="45"/>
        <v>539208.348</v>
      </c>
      <c r="I355" s="5">
        <v>45128</v>
      </c>
      <c r="J355" s="4">
        <v>5077.07</v>
      </c>
      <c r="K355" s="4">
        <f t="shared" si="46"/>
        <v>50770.7</v>
      </c>
      <c r="L355" s="1">
        <v>45128</v>
      </c>
      <c r="M355">
        <v>5.23</v>
      </c>
      <c r="N355" s="1">
        <v>45128</v>
      </c>
      <c r="O355">
        <v>5.1100000000000003</v>
      </c>
      <c r="P355" s="1">
        <v>45128</v>
      </c>
      <c r="Q355">
        <v>5.0199999999999996</v>
      </c>
      <c r="R355" s="1">
        <v>45128</v>
      </c>
      <c r="S355">
        <v>4.9800000000000004</v>
      </c>
      <c r="T355" s="1">
        <v>45128</v>
      </c>
      <c r="U355">
        <v>5.04</v>
      </c>
      <c r="V355" s="1">
        <v>45128</v>
      </c>
      <c r="W355">
        <v>5.14</v>
      </c>
      <c r="X355" s="1">
        <v>45128</v>
      </c>
      <c r="Y355">
        <f>NETWORKDAYS(X355,$Z$1,FERIADO!$A$2:$A$408)</f>
        <v>1881</v>
      </c>
      <c r="Z355">
        <v>10.82</v>
      </c>
      <c r="AA355" s="6">
        <f t="shared" si="47"/>
        <v>46446.972542588512</v>
      </c>
      <c r="AB355" s="2">
        <f t="shared" si="48"/>
        <v>1.3475438726067153E-3</v>
      </c>
      <c r="AJ355" s="1">
        <v>45128</v>
      </c>
      <c r="AK355">
        <f>NETWORKDAYS(AJ355,$AJ$1,FERIADO!$A$2:$A$408)</f>
        <v>868</v>
      </c>
      <c r="AL355">
        <v>10.24</v>
      </c>
      <c r="AM355" s="6">
        <f t="shared" si="49"/>
        <v>71476.777132197793</v>
      </c>
      <c r="AN355" s="2">
        <f t="shared" si="50"/>
        <v>7.7921959298941045E-4</v>
      </c>
      <c r="AP355" s="11">
        <f t="shared" si="51"/>
        <v>6.7377193630335764E-4</v>
      </c>
      <c r="AQ355" s="11">
        <f t="shared" si="52"/>
        <v>2.3376587789682312E-4</v>
      </c>
      <c r="AR355" s="11">
        <f t="shared" si="53"/>
        <v>9.0753781420018073E-4</v>
      </c>
    </row>
    <row r="356" spans="2:44" x14ac:dyDescent="0.35">
      <c r="B356" s="1">
        <v>45127</v>
      </c>
      <c r="C356">
        <v>4831.83</v>
      </c>
      <c r="D356" s="1">
        <v>45127</v>
      </c>
      <c r="E356">
        <v>4.7881999999999998</v>
      </c>
      <c r="F356" s="1">
        <v>45125</v>
      </c>
      <c r="G356">
        <v>112.74</v>
      </c>
      <c r="H356" s="4">
        <f t="shared" si="45"/>
        <v>539821.66799999995</v>
      </c>
      <c r="I356" s="5">
        <v>45127</v>
      </c>
      <c r="J356" s="4">
        <v>5094.5600000000004</v>
      </c>
      <c r="K356" s="4">
        <f t="shared" si="46"/>
        <v>50945.600000000006</v>
      </c>
      <c r="L356" s="1">
        <v>45127</v>
      </c>
      <c r="M356">
        <v>5.28</v>
      </c>
      <c r="N356" s="1">
        <v>45127</v>
      </c>
      <c r="O356">
        <v>5.18</v>
      </c>
      <c r="P356" s="1">
        <v>45127</v>
      </c>
      <c r="Q356">
        <v>5.09</v>
      </c>
      <c r="R356" s="1">
        <v>45127</v>
      </c>
      <c r="S356">
        <v>5.04</v>
      </c>
      <c r="T356" s="1">
        <v>45127</v>
      </c>
      <c r="U356">
        <v>5.12</v>
      </c>
      <c r="V356" s="1">
        <v>45127</v>
      </c>
      <c r="W356">
        <v>5.16</v>
      </c>
      <c r="X356" s="1">
        <v>45127</v>
      </c>
      <c r="Y356">
        <f>NETWORKDAYS(X356,$Z$1,FERIADO!$A$2:$A$408)</f>
        <v>1882</v>
      </c>
      <c r="Z356">
        <v>10.86</v>
      </c>
      <c r="AA356" s="6">
        <f t="shared" si="47"/>
        <v>46303.078631800963</v>
      </c>
      <c r="AB356" s="2">
        <f t="shared" si="48"/>
        <v>-2.7508889331540856E-3</v>
      </c>
      <c r="AJ356" s="1">
        <v>45127</v>
      </c>
      <c r="AK356">
        <f>NETWORKDAYS(AJ356,$AJ$1,FERIADO!$A$2:$A$408)</f>
        <v>869</v>
      </c>
      <c r="AL356">
        <v>10.285</v>
      </c>
      <c r="AM356" s="6">
        <f t="shared" si="49"/>
        <v>71348.647091737294</v>
      </c>
      <c r="AN356" s="2">
        <f t="shared" si="50"/>
        <v>-7.1523443957159899E-4</v>
      </c>
      <c r="AP356" s="11">
        <f t="shared" si="51"/>
        <v>-1.3754444665770428E-3</v>
      </c>
      <c r="AQ356" s="11">
        <f t="shared" si="52"/>
        <v>-2.1457033187147968E-4</v>
      </c>
      <c r="AR356" s="11">
        <f t="shared" si="53"/>
        <v>-1.5900147984485224E-3</v>
      </c>
    </row>
    <row r="357" spans="2:44" x14ac:dyDescent="0.35">
      <c r="B357" s="1">
        <v>45126</v>
      </c>
      <c r="C357">
        <v>4861.28</v>
      </c>
      <c r="D357" s="1">
        <v>45126</v>
      </c>
      <c r="E357">
        <v>4.7994000000000003</v>
      </c>
      <c r="F357" s="1">
        <v>45124</v>
      </c>
      <c r="G357">
        <v>112.66</v>
      </c>
      <c r="H357" s="4">
        <f t="shared" si="45"/>
        <v>540700.4040000001</v>
      </c>
      <c r="I357" s="5">
        <v>45126</v>
      </c>
      <c r="J357" s="4">
        <v>5089.26</v>
      </c>
      <c r="K357" s="4">
        <f t="shared" si="46"/>
        <v>50892.600000000006</v>
      </c>
      <c r="L357" s="1">
        <v>45126</v>
      </c>
      <c r="M357">
        <v>5.28</v>
      </c>
      <c r="N357" s="1">
        <v>45126</v>
      </c>
      <c r="O357">
        <v>5.18</v>
      </c>
      <c r="P357" s="1">
        <v>45126</v>
      </c>
      <c r="Q357">
        <v>5.0999999999999996</v>
      </c>
      <c r="R357" s="1">
        <v>45126</v>
      </c>
      <c r="S357">
        <v>5.01</v>
      </c>
      <c r="T357" s="1">
        <v>45126</v>
      </c>
      <c r="U357">
        <v>5.08</v>
      </c>
      <c r="V357" s="1">
        <v>45126</v>
      </c>
      <c r="W357">
        <v>5.14</v>
      </c>
      <c r="X357" s="1">
        <v>45126</v>
      </c>
      <c r="Y357">
        <f>NETWORKDAYS(X357,$Z$1,FERIADO!$A$2:$A$408)</f>
        <v>1883</v>
      </c>
      <c r="Z357">
        <v>10.76</v>
      </c>
      <c r="AA357" s="6">
        <f t="shared" si="47"/>
        <v>46597.30038769776</v>
      </c>
      <c r="AB357" s="2">
        <f t="shared" si="48"/>
        <v>-1.8765372657941865E-3</v>
      </c>
      <c r="AJ357" s="1">
        <v>45126</v>
      </c>
      <c r="AK357">
        <f>NETWORKDAYS(AJ357,$AJ$1,FERIADO!$A$2:$A$408)</f>
        <v>870</v>
      </c>
      <c r="AL357">
        <v>10.220000000000001</v>
      </c>
      <c r="AM357" s="6">
        <f t="shared" si="49"/>
        <v>71466.247144248482</v>
      </c>
      <c r="AN357" s="2">
        <f t="shared" si="50"/>
        <v>-7.1778855464163288E-4</v>
      </c>
      <c r="AP357" s="11">
        <f t="shared" si="51"/>
        <v>-9.3826863289709326E-4</v>
      </c>
      <c r="AQ357" s="11">
        <f t="shared" si="52"/>
        <v>-2.1533656639248985E-4</v>
      </c>
      <c r="AR357" s="11">
        <f t="shared" si="53"/>
        <v>-1.1536051992895831E-3</v>
      </c>
    </row>
    <row r="358" spans="2:44" x14ac:dyDescent="0.35">
      <c r="B358" s="1">
        <v>45125</v>
      </c>
      <c r="C358">
        <v>4848.3500000000004</v>
      </c>
      <c r="D358" s="1">
        <v>45125</v>
      </c>
      <c r="E358">
        <v>4.8033999999999999</v>
      </c>
      <c r="F358" s="1">
        <v>45121</v>
      </c>
      <c r="G358">
        <v>112.48</v>
      </c>
      <c r="H358" s="4">
        <f t="shared" si="45"/>
        <v>540286.43200000003</v>
      </c>
      <c r="I358" s="5">
        <v>45125</v>
      </c>
      <c r="J358" s="4">
        <v>5114.71</v>
      </c>
      <c r="K358" s="4">
        <f t="shared" si="46"/>
        <v>51147.1</v>
      </c>
      <c r="L358" s="1">
        <v>45125</v>
      </c>
      <c r="M358">
        <v>5.27</v>
      </c>
      <c r="N358" s="1">
        <v>45125</v>
      </c>
      <c r="O358">
        <v>5.16</v>
      </c>
      <c r="P358" s="1">
        <v>45125</v>
      </c>
      <c r="Q358">
        <v>5.08</v>
      </c>
      <c r="R358" s="1">
        <v>45125</v>
      </c>
      <c r="S358">
        <v>5</v>
      </c>
      <c r="T358" s="1">
        <v>45125</v>
      </c>
      <c r="U358">
        <v>5.0599999999999996</v>
      </c>
      <c r="V358" s="1">
        <v>45125</v>
      </c>
      <c r="W358">
        <v>5.1100000000000003</v>
      </c>
      <c r="X358" s="1">
        <v>45125</v>
      </c>
      <c r="Y358">
        <f>NETWORKDAYS(X358,$Z$1,FERIADO!$A$2:$A$408)</f>
        <v>1884</v>
      </c>
      <c r="Z358">
        <v>10.69</v>
      </c>
      <c r="AA358" s="6">
        <f t="shared" si="47"/>
        <v>46799.077659249437</v>
      </c>
      <c r="AB358" s="2">
        <f t="shared" si="48"/>
        <v>7.619513809155623E-4</v>
      </c>
      <c r="AJ358" s="1">
        <v>45125</v>
      </c>
      <c r="AK358">
        <f>NETWORKDAYS(AJ358,$AJ$1,FERIADO!$A$2:$A$408)</f>
        <v>871</v>
      </c>
      <c r="AL358">
        <v>10.154999999999999</v>
      </c>
      <c r="AM358" s="6">
        <f t="shared" si="49"/>
        <v>71584.46202226085</v>
      </c>
      <c r="AN358" s="2">
        <f t="shared" si="50"/>
        <v>1.325854267311943E-3</v>
      </c>
      <c r="AP358" s="11">
        <f t="shared" si="51"/>
        <v>3.8097569045778115E-4</v>
      </c>
      <c r="AQ358" s="11">
        <f t="shared" si="52"/>
        <v>3.9775628019358289E-4</v>
      </c>
      <c r="AR358" s="11">
        <f t="shared" si="53"/>
        <v>7.7873197065136404E-4</v>
      </c>
    </row>
    <row r="359" spans="2:44" x14ac:dyDescent="0.35">
      <c r="B359" s="1">
        <v>45124</v>
      </c>
      <c r="C359">
        <v>4810.3999999999996</v>
      </c>
      <c r="D359" s="1">
        <v>45124</v>
      </c>
      <c r="E359">
        <v>4.8296000000000001</v>
      </c>
      <c r="F359" s="1">
        <v>45120</v>
      </c>
      <c r="G359">
        <v>113.01600000000001</v>
      </c>
      <c r="H359" s="4">
        <f t="shared" si="45"/>
        <v>545822.07360000012</v>
      </c>
      <c r="I359" s="5">
        <v>45124</v>
      </c>
      <c r="J359" s="4">
        <v>5109.9399999999996</v>
      </c>
      <c r="K359" s="4">
        <f t="shared" si="46"/>
        <v>51099.399999999994</v>
      </c>
      <c r="L359" s="1">
        <v>45124</v>
      </c>
      <c r="M359">
        <v>5.31</v>
      </c>
      <c r="N359" s="1">
        <v>45124</v>
      </c>
      <c r="O359">
        <v>5.22</v>
      </c>
      <c r="P359" s="1">
        <v>45124</v>
      </c>
      <c r="Q359">
        <v>5.15</v>
      </c>
      <c r="R359" s="1">
        <v>45124</v>
      </c>
      <c r="S359">
        <v>5.0599999999999996</v>
      </c>
      <c r="T359" s="1">
        <v>45124</v>
      </c>
      <c r="U359">
        <v>5.0999999999999996</v>
      </c>
      <c r="V359" s="1">
        <v>45124</v>
      </c>
      <c r="W359">
        <v>5.15</v>
      </c>
      <c r="X359" s="1">
        <v>45124</v>
      </c>
      <c r="Y359">
        <f>NETWORKDAYS(X359,$Z$1,FERIADO!$A$2:$A$408)</f>
        <v>1885</v>
      </c>
      <c r="Z359">
        <v>10.71</v>
      </c>
      <c r="AA359" s="6">
        <f t="shared" si="47"/>
        <v>46717.042632688106</v>
      </c>
      <c r="AB359" s="2">
        <f t="shared" si="48"/>
        <v>3.1099015905206788E-3</v>
      </c>
      <c r="AJ359" s="1">
        <v>45124</v>
      </c>
      <c r="AK359">
        <f>NETWORKDAYS(AJ359,$AJ$1,FERIADO!$A$2:$A$408)</f>
        <v>872</v>
      </c>
      <c r="AL359">
        <v>10.24</v>
      </c>
      <c r="AM359" s="6">
        <f t="shared" si="49"/>
        <v>71366.255621195174</v>
      </c>
      <c r="AN359" s="2">
        <f t="shared" si="50"/>
        <v>1.8048435246980413E-3</v>
      </c>
      <c r="AP359" s="11">
        <f t="shared" si="51"/>
        <v>1.5549507952603394E-3</v>
      </c>
      <c r="AQ359" s="11">
        <f t="shared" si="52"/>
        <v>5.4145305740941241E-4</v>
      </c>
      <c r="AR359" s="11">
        <f t="shared" si="53"/>
        <v>2.0964038526697518E-3</v>
      </c>
    </row>
    <row r="360" spans="2:44" x14ac:dyDescent="0.35">
      <c r="B360" s="1">
        <v>45121</v>
      </c>
      <c r="C360">
        <v>4796.76</v>
      </c>
      <c r="D360" s="1">
        <v>45121</v>
      </c>
      <c r="E360">
        <v>4.7950999999999997</v>
      </c>
      <c r="F360" s="1">
        <v>45119</v>
      </c>
      <c r="G360">
        <v>112.282</v>
      </c>
      <c r="H360" s="4">
        <f t="shared" si="45"/>
        <v>538403.41819999996</v>
      </c>
      <c r="I360" s="5">
        <v>45121</v>
      </c>
      <c r="J360" s="4">
        <v>5094.5600000000004</v>
      </c>
      <c r="K360" s="4">
        <f t="shared" si="46"/>
        <v>50945.600000000006</v>
      </c>
      <c r="L360" s="1">
        <v>45121</v>
      </c>
      <c r="M360">
        <v>5.32</v>
      </c>
      <c r="N360" s="1">
        <v>45121</v>
      </c>
      <c r="O360">
        <v>5.23</v>
      </c>
      <c r="P360" s="1">
        <v>45121</v>
      </c>
      <c r="Q360">
        <v>5.17</v>
      </c>
      <c r="R360" s="1">
        <v>45121</v>
      </c>
      <c r="S360">
        <v>5.0999999999999996</v>
      </c>
      <c r="T360" s="1">
        <v>45121</v>
      </c>
      <c r="U360">
        <v>5.0999999999999996</v>
      </c>
      <c r="V360" s="1">
        <v>45121</v>
      </c>
      <c r="W360">
        <v>5.17</v>
      </c>
      <c r="X360" s="1">
        <v>45121</v>
      </c>
      <c r="Y360">
        <f>NETWORKDAYS(X360,$Z$1,FERIADO!$A$2:$A$408)</f>
        <v>1886</v>
      </c>
      <c r="Z360">
        <v>10.81</v>
      </c>
      <c r="AA360" s="6">
        <f t="shared" si="47"/>
        <v>46383.705531187865</v>
      </c>
      <c r="AB360" s="2">
        <f t="shared" si="48"/>
        <v>-4.228263433545619E-3</v>
      </c>
      <c r="AJ360" s="1">
        <v>45121</v>
      </c>
      <c r="AK360">
        <f>NETWORKDAYS(AJ360,$AJ$1,FERIADO!$A$2:$A$408)</f>
        <v>873</v>
      </c>
      <c r="AL360">
        <v>10.36</v>
      </c>
      <c r="AM360" s="6">
        <f t="shared" si="49"/>
        <v>71070.286743061675</v>
      </c>
      <c r="AN360" s="2">
        <f t="shared" si="50"/>
        <v>-1.8104396395229295E-3</v>
      </c>
      <c r="AP360" s="11">
        <f t="shared" si="51"/>
        <v>-2.1141317167728095E-3</v>
      </c>
      <c r="AQ360" s="11">
        <f t="shared" si="52"/>
        <v>-5.431318918568788E-4</v>
      </c>
      <c r="AR360" s="11">
        <f t="shared" si="53"/>
        <v>-2.6572636086296883E-3</v>
      </c>
    </row>
    <row r="361" spans="2:44" x14ac:dyDescent="0.35">
      <c r="B361" s="1">
        <v>45120</v>
      </c>
      <c r="C361">
        <v>4799.78</v>
      </c>
      <c r="D361" s="1">
        <v>45120</v>
      </c>
      <c r="E361">
        <v>4.8032000000000004</v>
      </c>
      <c r="F361" s="1">
        <v>45118</v>
      </c>
      <c r="G361">
        <v>111.277</v>
      </c>
      <c r="H361" s="4">
        <f t="shared" si="45"/>
        <v>534485.68640000012</v>
      </c>
      <c r="I361" s="5">
        <v>45120</v>
      </c>
      <c r="J361" s="4">
        <v>5102.5200000000004</v>
      </c>
      <c r="K361" s="4">
        <f t="shared" si="46"/>
        <v>51025.200000000004</v>
      </c>
      <c r="L361" s="1">
        <v>45120</v>
      </c>
      <c r="M361">
        <v>5.28</v>
      </c>
      <c r="N361" s="1">
        <v>45120</v>
      </c>
      <c r="O361">
        <v>5.13</v>
      </c>
      <c r="P361" s="1">
        <v>45120</v>
      </c>
      <c r="Q361">
        <v>5.12</v>
      </c>
      <c r="R361" s="1">
        <v>45120</v>
      </c>
      <c r="S361">
        <v>5.03</v>
      </c>
      <c r="T361" s="1">
        <v>45120</v>
      </c>
      <c r="U361">
        <v>5.08</v>
      </c>
      <c r="V361" s="1">
        <v>45120</v>
      </c>
      <c r="W361">
        <v>5.12</v>
      </c>
      <c r="X361" s="1">
        <v>45120</v>
      </c>
      <c r="Y361">
        <f>NETWORKDAYS(X361,$Z$1,FERIADO!$A$2:$A$408)</f>
        <v>1887</v>
      </c>
      <c r="Z361">
        <v>10.66</v>
      </c>
      <c r="AA361" s="6">
        <f t="shared" si="47"/>
        <v>46837.499807541521</v>
      </c>
      <c r="AB361" s="2">
        <f t="shared" si="48"/>
        <v>-4.1355168599322881E-4</v>
      </c>
      <c r="AJ361" s="1">
        <v>45120</v>
      </c>
      <c r="AK361">
        <f>NETWORKDAYS(AJ361,$AJ$1,FERIADO!$A$2:$A$408)</f>
        <v>874</v>
      </c>
      <c r="AL361">
        <v>10.215</v>
      </c>
      <c r="AM361" s="6">
        <f t="shared" si="49"/>
        <v>71367.175219188706</v>
      </c>
      <c r="AN361" s="2">
        <f t="shared" si="50"/>
        <v>-3.7975942169957041E-4</v>
      </c>
      <c r="AP361" s="11">
        <f t="shared" si="51"/>
        <v>-2.0677584299661441E-4</v>
      </c>
      <c r="AQ361" s="11">
        <f t="shared" si="52"/>
        <v>-1.1392782650987112E-4</v>
      </c>
      <c r="AR361" s="11">
        <f t="shared" si="53"/>
        <v>-3.207036695064855E-4</v>
      </c>
    </row>
    <row r="362" spans="2:44" x14ac:dyDescent="0.35">
      <c r="B362" s="1">
        <v>45119</v>
      </c>
      <c r="C362">
        <v>4762.74</v>
      </c>
      <c r="D362" s="1">
        <v>45119</v>
      </c>
      <c r="E362">
        <v>4.8052000000000001</v>
      </c>
      <c r="F362" s="1">
        <v>45117</v>
      </c>
      <c r="G362">
        <v>111.16200000000001</v>
      </c>
      <c r="H362" s="4">
        <f t="shared" si="45"/>
        <v>534155.64240000001</v>
      </c>
      <c r="I362" s="5">
        <v>45119</v>
      </c>
      <c r="J362" s="4">
        <v>5125.84</v>
      </c>
      <c r="K362" s="4">
        <f t="shared" si="46"/>
        <v>51258.400000000001</v>
      </c>
      <c r="L362" s="1">
        <v>45119</v>
      </c>
      <c r="M362">
        <v>5.29</v>
      </c>
      <c r="N362" s="1">
        <v>45119</v>
      </c>
      <c r="O362">
        <v>5.15</v>
      </c>
      <c r="P362" s="1">
        <v>45119</v>
      </c>
      <c r="Q362">
        <v>5.0999999999999996</v>
      </c>
      <c r="R362" s="1">
        <v>45119</v>
      </c>
      <c r="S362">
        <v>5.0199999999999996</v>
      </c>
      <c r="T362" s="1">
        <v>45119</v>
      </c>
      <c r="U362">
        <v>5.04</v>
      </c>
      <c r="V362" s="1">
        <v>45119</v>
      </c>
      <c r="W362">
        <v>5.0999999999999996</v>
      </c>
      <c r="X362" s="1">
        <v>45119</v>
      </c>
      <c r="Y362">
        <f>NETWORKDAYS(X362,$Z$1,FERIADO!$A$2:$A$408)</f>
        <v>1888</v>
      </c>
      <c r="Z362">
        <v>10.64</v>
      </c>
      <c r="AA362" s="6">
        <f t="shared" si="47"/>
        <v>46882.121494077132</v>
      </c>
      <c r="AB362" s="2">
        <f t="shared" si="48"/>
        <v>-7.0858882448964584E-4</v>
      </c>
      <c r="AJ362" s="1">
        <v>45119</v>
      </c>
      <c r="AK362">
        <f>NETWORKDAYS(AJ362,$AJ$1,FERIADO!$A$2:$A$408)</f>
        <v>875</v>
      </c>
      <c r="AL362">
        <v>10.175000000000001</v>
      </c>
      <c r="AM362" s="6">
        <f t="shared" si="49"/>
        <v>71429.60799535604</v>
      </c>
      <c r="AN362" s="2">
        <f t="shared" si="50"/>
        <v>-5.8683809666521187E-4</v>
      </c>
      <c r="AP362" s="11">
        <f t="shared" si="51"/>
        <v>-3.5429441224482292E-4</v>
      </c>
      <c r="AQ362" s="11">
        <f t="shared" si="52"/>
        <v>-1.7605142899956356E-4</v>
      </c>
      <c r="AR362" s="11">
        <f t="shared" si="53"/>
        <v>-5.3034584124438643E-4</v>
      </c>
    </row>
    <row r="363" spans="2:44" x14ac:dyDescent="0.35">
      <c r="B363" s="1">
        <v>45118</v>
      </c>
      <c r="C363">
        <v>4735.2700000000004</v>
      </c>
      <c r="D363" s="1">
        <v>45118</v>
      </c>
      <c r="E363">
        <v>4.8943000000000003</v>
      </c>
      <c r="F363" s="1">
        <v>45114</v>
      </c>
      <c r="G363">
        <v>110.604</v>
      </c>
      <c r="H363" s="4">
        <f t="shared" si="45"/>
        <v>541329.15720000002</v>
      </c>
      <c r="I363" s="5">
        <v>45118</v>
      </c>
      <c r="J363" s="4">
        <v>5167.1899999999996</v>
      </c>
      <c r="K363" s="4">
        <f t="shared" si="46"/>
        <v>51671.899999999994</v>
      </c>
      <c r="L363" s="1">
        <v>45118</v>
      </c>
      <c r="M363">
        <v>5.26</v>
      </c>
      <c r="N363" s="1">
        <v>45118</v>
      </c>
      <c r="O363">
        <v>5.13</v>
      </c>
      <c r="P363" s="1">
        <v>45118</v>
      </c>
      <c r="Q363">
        <v>5.1100000000000003</v>
      </c>
      <c r="R363" s="1">
        <v>45118</v>
      </c>
      <c r="S363">
        <v>5</v>
      </c>
      <c r="T363" s="1">
        <v>45118</v>
      </c>
      <c r="U363">
        <v>5.05</v>
      </c>
      <c r="V363" s="1">
        <v>45118</v>
      </c>
      <c r="W363">
        <v>5.1100000000000003</v>
      </c>
      <c r="X363" s="1">
        <v>45118</v>
      </c>
      <c r="Y363">
        <f>NETWORKDAYS(X363,$Z$1,FERIADO!$A$2:$A$408)</f>
        <v>1889</v>
      </c>
      <c r="Z363">
        <v>10.61</v>
      </c>
      <c r="AA363" s="6">
        <f t="shared" si="47"/>
        <v>46958.676145941921</v>
      </c>
      <c r="AB363" s="2">
        <f t="shared" si="48"/>
        <v>1.6458389137938879E-3</v>
      </c>
      <c r="AJ363" s="1">
        <v>45118</v>
      </c>
      <c r="AK363">
        <f>NETWORKDAYS(AJ363,$AJ$1,FERIADO!$A$2:$A$408)</f>
        <v>876</v>
      </c>
      <c r="AL363">
        <v>10.119999999999999</v>
      </c>
      <c r="AM363" s="6">
        <f t="shared" si="49"/>
        <v>71526.19211094208</v>
      </c>
      <c r="AN363" s="2">
        <f t="shared" si="50"/>
        <v>7.8364140105506065E-4</v>
      </c>
      <c r="AP363" s="11">
        <f t="shared" si="51"/>
        <v>8.2291945689694397E-4</v>
      </c>
      <c r="AQ363" s="11">
        <f t="shared" si="52"/>
        <v>2.3509242031651819E-4</v>
      </c>
      <c r="AR363" s="11">
        <f t="shared" si="53"/>
        <v>1.0580118772134622E-3</v>
      </c>
    </row>
    <row r="364" spans="2:44" x14ac:dyDescent="0.35">
      <c r="B364" s="1">
        <v>45117</v>
      </c>
      <c r="C364">
        <v>4701.32</v>
      </c>
      <c r="D364" s="1">
        <v>45117</v>
      </c>
      <c r="E364">
        <v>4.8728999999999996</v>
      </c>
      <c r="F364" s="1">
        <v>45113</v>
      </c>
      <c r="G364">
        <v>110.64</v>
      </c>
      <c r="H364" s="4">
        <f t="shared" si="45"/>
        <v>539137.65599999996</v>
      </c>
      <c r="I364" s="5">
        <v>45117</v>
      </c>
      <c r="J364" s="4">
        <v>5217.54</v>
      </c>
      <c r="K364" s="4">
        <f t="shared" si="46"/>
        <v>52175.4</v>
      </c>
      <c r="L364" s="1">
        <v>45117</v>
      </c>
      <c r="M364">
        <v>5.25</v>
      </c>
      <c r="N364" s="1">
        <v>45117</v>
      </c>
      <c r="O364">
        <v>5.13</v>
      </c>
      <c r="P364" s="1">
        <v>45117</v>
      </c>
      <c r="Q364">
        <v>5.08</v>
      </c>
      <c r="R364" s="1">
        <v>45117</v>
      </c>
      <c r="S364">
        <v>5.0199999999999996</v>
      </c>
      <c r="T364" s="1">
        <v>45117</v>
      </c>
      <c r="U364">
        <v>5.08</v>
      </c>
      <c r="V364" s="1">
        <v>45117</v>
      </c>
      <c r="W364">
        <v>5.13</v>
      </c>
      <c r="X364" s="1">
        <v>45117</v>
      </c>
      <c r="Y364">
        <f>NETWORKDAYS(X364,$Z$1,FERIADO!$A$2:$A$408)</f>
        <v>1890</v>
      </c>
      <c r="Z364">
        <v>10.66</v>
      </c>
      <c r="AA364" s="6">
        <f t="shared" si="47"/>
        <v>46781.054373110848</v>
      </c>
      <c r="AB364" s="2">
        <f t="shared" si="48"/>
        <v>-7.0905229162110568E-4</v>
      </c>
      <c r="AJ364" s="1">
        <v>45117</v>
      </c>
      <c r="AK364">
        <f>NETWORKDAYS(AJ364,$AJ$1,FERIADO!$A$2:$A$408)</f>
        <v>877</v>
      </c>
      <c r="AL364">
        <v>10.164999999999999</v>
      </c>
      <c r="AM364" s="6">
        <f t="shared" si="49"/>
        <v>71397.246547513729</v>
      </c>
      <c r="AN364" s="2">
        <f t="shared" si="50"/>
        <v>-6.5749602092287187E-4</v>
      </c>
      <c r="AP364" s="11">
        <f t="shared" si="51"/>
        <v>-3.5452614581055284E-4</v>
      </c>
      <c r="AQ364" s="11">
        <f t="shared" si="52"/>
        <v>-1.9724880627686157E-4</v>
      </c>
      <c r="AR364" s="11">
        <f t="shared" si="53"/>
        <v>-5.5177495208741443E-4</v>
      </c>
    </row>
    <row r="365" spans="2:44" x14ac:dyDescent="0.35">
      <c r="B365" s="1">
        <v>45114</v>
      </c>
      <c r="C365">
        <v>4692.3900000000003</v>
      </c>
      <c r="D365" s="1">
        <v>45114</v>
      </c>
      <c r="E365">
        <v>4.8792999999999997</v>
      </c>
      <c r="F365" s="1">
        <v>45112</v>
      </c>
      <c r="G365">
        <v>111.45</v>
      </c>
      <c r="H365" s="4">
        <f t="shared" si="45"/>
        <v>543797.98499999999</v>
      </c>
      <c r="I365" s="5">
        <v>45114</v>
      </c>
      <c r="J365" s="4">
        <v>5188.3900000000003</v>
      </c>
      <c r="K365" s="4">
        <f t="shared" si="46"/>
        <v>51883.9</v>
      </c>
      <c r="L365" s="1">
        <v>45114</v>
      </c>
      <c r="M365">
        <v>5.18</v>
      </c>
      <c r="N365" s="1">
        <v>45114</v>
      </c>
      <c r="O365">
        <v>5.1100000000000003</v>
      </c>
      <c r="P365" s="1">
        <v>45114</v>
      </c>
      <c r="Q365">
        <v>5.03</v>
      </c>
      <c r="R365" s="1">
        <v>45114</v>
      </c>
      <c r="S365">
        <v>4.97</v>
      </c>
      <c r="T365" s="1">
        <v>45114</v>
      </c>
      <c r="U365">
        <v>5</v>
      </c>
      <c r="V365" s="1">
        <v>45114</v>
      </c>
      <c r="W365">
        <v>5.08</v>
      </c>
      <c r="X365" s="1">
        <v>45114</v>
      </c>
      <c r="Y365">
        <f>NETWORKDAYS(X365,$Z$1,FERIADO!$A$2:$A$408)</f>
        <v>1891</v>
      </c>
      <c r="Z365">
        <v>10.63</v>
      </c>
      <c r="AA365" s="6">
        <f t="shared" si="47"/>
        <v>46857.493995674988</v>
      </c>
      <c r="AB365" s="2">
        <f t="shared" si="48"/>
        <v>5.4750210093941192E-3</v>
      </c>
      <c r="AJ365" s="1">
        <v>45114</v>
      </c>
      <c r="AK365">
        <f>NETWORKDAYS(AJ365,$AJ$1,FERIADO!$A$2:$A$408)</f>
        <v>878</v>
      </c>
      <c r="AL365">
        <v>10.105</v>
      </c>
      <c r="AM365" s="6">
        <f t="shared" si="49"/>
        <v>71505.419596375679</v>
      </c>
      <c r="AN365" s="2">
        <f t="shared" si="50"/>
        <v>2.365635266659059E-3</v>
      </c>
      <c r="AP365" s="11">
        <f t="shared" si="51"/>
        <v>2.7375105046970596E-3</v>
      </c>
      <c r="AQ365" s="11">
        <f t="shared" si="52"/>
        <v>7.0969057999771773E-4</v>
      </c>
      <c r="AR365" s="11">
        <f t="shared" si="53"/>
        <v>3.4472010846947772E-3</v>
      </c>
    </row>
    <row r="366" spans="2:44" x14ac:dyDescent="0.35">
      <c r="B366" s="1">
        <v>45113</v>
      </c>
      <c r="C366">
        <v>4701.26</v>
      </c>
      <c r="D366" s="1">
        <v>45113</v>
      </c>
      <c r="E366">
        <v>4.8971</v>
      </c>
      <c r="F366" s="1">
        <v>45111</v>
      </c>
      <c r="G366">
        <v>112.27</v>
      </c>
      <c r="H366" s="4">
        <f t="shared" si="45"/>
        <v>549797.41700000002</v>
      </c>
      <c r="I366" s="5">
        <v>45113</v>
      </c>
      <c r="J366" s="4">
        <v>5239.8100000000004</v>
      </c>
      <c r="K366" s="4">
        <f t="shared" si="46"/>
        <v>52398.100000000006</v>
      </c>
      <c r="L366" s="1">
        <v>45113</v>
      </c>
      <c r="M366">
        <v>5.29</v>
      </c>
      <c r="N366" s="1">
        <v>45113</v>
      </c>
      <c r="O366">
        <v>5.19</v>
      </c>
      <c r="P366" s="1">
        <v>45113</v>
      </c>
      <c r="Q366">
        <v>5.1100000000000003</v>
      </c>
      <c r="R366" s="1">
        <v>45113</v>
      </c>
      <c r="S366">
        <v>5.03</v>
      </c>
      <c r="T366" s="1">
        <v>45113</v>
      </c>
      <c r="U366">
        <v>5.0599999999999996</v>
      </c>
      <c r="V366" s="1">
        <v>45113</v>
      </c>
      <c r="W366">
        <v>5.12</v>
      </c>
      <c r="X366" s="1">
        <v>45113</v>
      </c>
      <c r="Y366">
        <f>NETWORKDAYS(X366,$Z$1,FERIADO!$A$2:$A$408)</f>
        <v>1892</v>
      </c>
      <c r="Z366">
        <v>10.81</v>
      </c>
      <c r="AA366" s="6">
        <f t="shared" si="47"/>
        <v>46270.483451470616</v>
      </c>
      <c r="AB366" s="2">
        <f t="shared" si="48"/>
        <v>-4.1197642431631504E-4</v>
      </c>
      <c r="AJ366" s="1">
        <v>45113</v>
      </c>
      <c r="AK366">
        <f>NETWORKDAYS(AJ366,$AJ$1,FERIADO!$A$2:$A$408)</f>
        <v>879</v>
      </c>
      <c r="AL366">
        <v>10.265000000000001</v>
      </c>
      <c r="AM366" s="6">
        <f t="shared" si="49"/>
        <v>71116.982988026473</v>
      </c>
      <c r="AN366" s="2">
        <f t="shared" si="50"/>
        <v>-3.1306263037066053E-4</v>
      </c>
      <c r="AP366" s="11">
        <f t="shared" si="51"/>
        <v>-2.0598821215815752E-4</v>
      </c>
      <c r="AQ366" s="11">
        <f t="shared" si="52"/>
        <v>-9.3918789111198156E-5</v>
      </c>
      <c r="AR366" s="11">
        <f t="shared" si="53"/>
        <v>-2.9990700126935569E-4</v>
      </c>
    </row>
    <row r="367" spans="2:44" x14ac:dyDescent="0.35">
      <c r="B367" s="1">
        <v>45112</v>
      </c>
      <c r="C367">
        <v>4741.54</v>
      </c>
      <c r="D367" s="1">
        <v>45112</v>
      </c>
      <c r="E367">
        <v>4.8571</v>
      </c>
      <c r="F367" s="1">
        <v>45110</v>
      </c>
      <c r="G367">
        <v>111.91500000000001</v>
      </c>
      <c r="H367" s="4">
        <f t="shared" si="45"/>
        <v>543582.34649999999</v>
      </c>
      <c r="I367" s="5">
        <v>45112</v>
      </c>
      <c r="J367" s="4">
        <v>5165.59</v>
      </c>
      <c r="K367" s="4">
        <f t="shared" si="46"/>
        <v>51655.9</v>
      </c>
      <c r="L367" s="1">
        <v>45112</v>
      </c>
      <c r="M367">
        <v>5.23</v>
      </c>
      <c r="N367" s="1">
        <v>45112</v>
      </c>
      <c r="O367">
        <v>5.13</v>
      </c>
      <c r="P367" s="1">
        <v>45112</v>
      </c>
      <c r="Q367">
        <v>5.07</v>
      </c>
      <c r="R367" s="1">
        <v>45112</v>
      </c>
      <c r="S367">
        <v>5</v>
      </c>
      <c r="T367" s="1">
        <v>45112</v>
      </c>
      <c r="U367">
        <v>5.03</v>
      </c>
      <c r="V367" s="1">
        <v>45112</v>
      </c>
      <c r="W367">
        <v>5.08</v>
      </c>
      <c r="X367" s="1">
        <v>45112</v>
      </c>
      <c r="Y367">
        <f>NETWORKDAYS(X367,$Z$1,FERIADO!$A$2:$A$408)</f>
        <v>1893</v>
      </c>
      <c r="Z367">
        <v>10.79</v>
      </c>
      <c r="AA367" s="6">
        <f t="shared" si="47"/>
        <v>46314.396955676864</v>
      </c>
      <c r="AB367" s="2">
        <f t="shared" si="48"/>
        <v>-4.2457145946358963E-3</v>
      </c>
      <c r="AJ367" s="1">
        <v>45112</v>
      </c>
      <c r="AK367">
        <f>NETWORKDAYS(AJ367,$AJ$1,FERIADO!$A$2:$A$408)</f>
        <v>880</v>
      </c>
      <c r="AL367">
        <v>10.23</v>
      </c>
      <c r="AM367" s="6">
        <f t="shared" si="49"/>
        <v>71168.26638484461</v>
      </c>
      <c r="AN367" s="2">
        <f t="shared" si="50"/>
        <v>-1.4169797181993347E-3</v>
      </c>
      <c r="AP367" s="11">
        <f t="shared" si="51"/>
        <v>-2.1228572973179482E-3</v>
      </c>
      <c r="AQ367" s="11">
        <f t="shared" si="52"/>
        <v>-4.2509391545980039E-4</v>
      </c>
      <c r="AR367" s="11">
        <f t="shared" si="53"/>
        <v>-2.5479512127777487E-3</v>
      </c>
    </row>
    <row r="368" spans="2:44" x14ac:dyDescent="0.35">
      <c r="B368" s="1">
        <v>45111</v>
      </c>
      <c r="C368">
        <v>4742.9399999999996</v>
      </c>
      <c r="D368" s="1">
        <v>45111</v>
      </c>
      <c r="E368">
        <v>4.8049999999999997</v>
      </c>
      <c r="F368" s="1">
        <v>45107</v>
      </c>
      <c r="G368">
        <v>112.11</v>
      </c>
      <c r="H368" s="4">
        <f t="shared" si="45"/>
        <v>538688.54999999993</v>
      </c>
      <c r="I368" s="5">
        <v>45111</v>
      </c>
      <c r="J368" s="4">
        <v>5157.6400000000003</v>
      </c>
      <c r="K368" s="4">
        <f t="shared" si="46"/>
        <v>51576.4</v>
      </c>
      <c r="L368" s="1">
        <v>45111</v>
      </c>
      <c r="M368">
        <v>5.21</v>
      </c>
      <c r="N368" s="1">
        <v>45111</v>
      </c>
      <c r="O368">
        <v>5.14</v>
      </c>
      <c r="P368" s="1">
        <v>45111</v>
      </c>
      <c r="Q368">
        <v>5.03</v>
      </c>
      <c r="R368" s="1">
        <v>45111</v>
      </c>
      <c r="S368">
        <v>4.96</v>
      </c>
      <c r="T368" s="1">
        <v>45111</v>
      </c>
      <c r="U368">
        <v>4.99</v>
      </c>
      <c r="V368" s="1">
        <v>45111</v>
      </c>
      <c r="W368">
        <v>5.05</v>
      </c>
      <c r="X368" s="1">
        <v>45111</v>
      </c>
      <c r="Y368">
        <f>NETWORKDAYS(X368,$Z$1,FERIADO!$A$2:$A$408)</f>
        <v>1894</v>
      </c>
      <c r="Z368">
        <v>10.64</v>
      </c>
      <c r="AA368" s="6">
        <f t="shared" si="47"/>
        <v>46769.392439245559</v>
      </c>
      <c r="AB368" s="2">
        <f t="shared" si="48"/>
        <v>-4.2563871664883209E-3</v>
      </c>
      <c r="AJ368" s="1">
        <v>45111</v>
      </c>
      <c r="AK368">
        <f>NETWORKDAYS(AJ368,$AJ$1,FERIADO!$A$2:$A$408)</f>
        <v>881</v>
      </c>
      <c r="AL368">
        <v>10.115</v>
      </c>
      <c r="AM368" s="6">
        <f t="shared" si="49"/>
        <v>71400.847469776621</v>
      </c>
      <c r="AN368" s="2">
        <f t="shared" si="50"/>
        <v>-1.9059585060522291E-3</v>
      </c>
      <c r="AP368" s="11">
        <f t="shared" si="51"/>
        <v>-2.1281935832441604E-3</v>
      </c>
      <c r="AQ368" s="11">
        <f t="shared" si="52"/>
        <v>-5.7178755181566871E-4</v>
      </c>
      <c r="AR368" s="11">
        <f t="shared" si="53"/>
        <v>-2.6999811350598294E-3</v>
      </c>
    </row>
    <row r="369" spans="2:44" x14ac:dyDescent="0.35">
      <c r="B369" s="1">
        <v>45110</v>
      </c>
      <c r="C369">
        <v>4751.32</v>
      </c>
      <c r="D369" s="1">
        <v>45110</v>
      </c>
      <c r="E369">
        <v>4.7869999999999999</v>
      </c>
      <c r="F369" s="1">
        <v>45106</v>
      </c>
      <c r="G369">
        <v>112.27</v>
      </c>
      <c r="H369" s="4">
        <f t="shared" si="45"/>
        <v>537436.49</v>
      </c>
      <c r="I369" s="5">
        <v>45110</v>
      </c>
      <c r="J369" s="4">
        <v>5123.1899999999996</v>
      </c>
      <c r="K369" s="4">
        <f t="shared" si="46"/>
        <v>51231.899999999994</v>
      </c>
      <c r="L369" s="1">
        <v>45110</v>
      </c>
      <c r="M369">
        <v>5.17</v>
      </c>
      <c r="N369" s="1">
        <v>45110</v>
      </c>
      <c r="O369">
        <v>5.05</v>
      </c>
      <c r="P369" s="1">
        <v>45110</v>
      </c>
      <c r="Q369">
        <v>4.97</v>
      </c>
      <c r="R369" s="1">
        <v>45110</v>
      </c>
      <c r="S369">
        <v>4.8600000000000003</v>
      </c>
      <c r="T369" s="1">
        <v>45110</v>
      </c>
      <c r="U369">
        <v>4.9400000000000004</v>
      </c>
      <c r="V369" s="1">
        <v>45110</v>
      </c>
      <c r="W369">
        <v>5</v>
      </c>
      <c r="X369" s="1">
        <v>45110</v>
      </c>
      <c r="Y369">
        <f>NETWORKDAYS(X369,$Z$1,FERIADO!$A$2:$A$408)</f>
        <v>1895</v>
      </c>
      <c r="Z369">
        <v>10.49</v>
      </c>
      <c r="AA369" s="6">
        <f t="shared" si="47"/>
        <v>47230.018466479341</v>
      </c>
      <c r="AB369" s="2">
        <f t="shared" si="48"/>
        <v>3.1279046040749228E-3</v>
      </c>
      <c r="AJ369" s="1">
        <v>45110</v>
      </c>
      <c r="AK369">
        <f>NETWORKDAYS(AJ369,$AJ$1,FERIADO!$A$2:$A$408)</f>
        <v>882</v>
      </c>
      <c r="AL369">
        <v>9.9649999999999999</v>
      </c>
      <c r="AM369" s="6">
        <f t="shared" si="49"/>
        <v>71714.888088645224</v>
      </c>
      <c r="AN369" s="2">
        <f t="shared" si="50"/>
        <v>2.238073451505642E-3</v>
      </c>
      <c r="AP369" s="11">
        <f t="shared" si="51"/>
        <v>1.5639523020374614E-3</v>
      </c>
      <c r="AQ369" s="11">
        <f t="shared" si="52"/>
        <v>6.7142203545169255E-4</v>
      </c>
      <c r="AR369" s="11">
        <f t="shared" si="53"/>
        <v>2.2353743374891539E-3</v>
      </c>
    </row>
    <row r="370" spans="2:44" x14ac:dyDescent="0.35">
      <c r="B370" s="1">
        <v>45107</v>
      </c>
      <c r="C370">
        <v>4741.8999999999996</v>
      </c>
      <c r="D370" s="1">
        <v>45107</v>
      </c>
      <c r="E370">
        <v>4.8186</v>
      </c>
      <c r="F370" s="1">
        <v>45105</v>
      </c>
      <c r="G370">
        <v>113.24</v>
      </c>
      <c r="H370" s="4">
        <f t="shared" si="45"/>
        <v>545658.26400000008</v>
      </c>
      <c r="I370" s="5">
        <v>45107</v>
      </c>
      <c r="J370" s="4">
        <v>5100.3999999999996</v>
      </c>
      <c r="K370" s="4">
        <f t="shared" si="46"/>
        <v>51004</v>
      </c>
      <c r="L370" s="1">
        <v>45107</v>
      </c>
      <c r="M370">
        <v>5.23</v>
      </c>
      <c r="N370" s="1">
        <v>45107</v>
      </c>
      <c r="O370">
        <v>5.12</v>
      </c>
      <c r="P370" s="1">
        <v>45107</v>
      </c>
      <c r="Q370">
        <v>5.0199999999999996</v>
      </c>
      <c r="R370" s="1">
        <v>45107</v>
      </c>
      <c r="S370">
        <v>4.95</v>
      </c>
      <c r="T370" s="1">
        <v>45107</v>
      </c>
      <c r="U370">
        <v>4.99</v>
      </c>
      <c r="V370" s="1">
        <v>45107</v>
      </c>
      <c r="W370">
        <v>5.04</v>
      </c>
      <c r="X370" s="1">
        <v>45107</v>
      </c>
      <c r="Y370">
        <f>NETWORKDAYS(X370,$Z$1,FERIADO!$A$2:$A$408)</f>
        <v>1896</v>
      </c>
      <c r="Z370">
        <v>10.59</v>
      </c>
      <c r="AA370" s="6">
        <f t="shared" si="47"/>
        <v>46891.077323408019</v>
      </c>
      <c r="AB370" s="2">
        <f t="shared" si="48"/>
        <v>6.9656973962806861E-3</v>
      </c>
      <c r="AJ370" s="1">
        <v>45107</v>
      </c>
      <c r="AK370">
        <f>NETWORKDAYS(AJ370,$AJ$1,FERIADO!$A$2:$A$408)</f>
        <v>883</v>
      </c>
      <c r="AL370">
        <v>10.115</v>
      </c>
      <c r="AM370" s="6">
        <f t="shared" si="49"/>
        <v>71346.266477354104</v>
      </c>
      <c r="AN370" s="2">
        <f t="shared" si="50"/>
        <v>2.8615610118952564E-3</v>
      </c>
      <c r="AP370" s="11">
        <f t="shared" si="51"/>
        <v>3.482848698140343E-3</v>
      </c>
      <c r="AQ370" s="11">
        <f t="shared" si="52"/>
        <v>8.5846830356857689E-4</v>
      </c>
      <c r="AR370" s="11">
        <f t="shared" si="53"/>
        <v>4.3413170017089203E-3</v>
      </c>
    </row>
    <row r="371" spans="2:44" x14ac:dyDescent="0.35">
      <c r="B371" s="1">
        <v>45106</v>
      </c>
      <c r="C371">
        <v>4689.54</v>
      </c>
      <c r="D371" s="1">
        <v>45106</v>
      </c>
      <c r="E371">
        <v>4.8578000000000001</v>
      </c>
      <c r="F371" s="1">
        <v>45104</v>
      </c>
      <c r="G371">
        <v>112.815</v>
      </c>
      <c r="H371" s="4">
        <f t="shared" si="45"/>
        <v>548032.70699999994</v>
      </c>
      <c r="I371" s="5">
        <v>45106</v>
      </c>
      <c r="J371" s="4">
        <v>5175.67</v>
      </c>
      <c r="K371" s="4">
        <f t="shared" si="46"/>
        <v>51756.7</v>
      </c>
      <c r="L371" s="1">
        <v>45106</v>
      </c>
      <c r="M371">
        <v>5.35</v>
      </c>
      <c r="N371" s="1">
        <v>45106</v>
      </c>
      <c r="O371">
        <v>5.19</v>
      </c>
      <c r="P371" s="1">
        <v>45106</v>
      </c>
      <c r="Q371">
        <v>5.17</v>
      </c>
      <c r="R371" s="1">
        <v>45106</v>
      </c>
      <c r="S371">
        <v>5.05</v>
      </c>
      <c r="T371" s="1">
        <v>45106</v>
      </c>
      <c r="U371">
        <v>5.0999999999999996</v>
      </c>
      <c r="V371" s="1">
        <v>45106</v>
      </c>
      <c r="W371">
        <v>5.16</v>
      </c>
      <c r="X371" s="1">
        <v>45106</v>
      </c>
      <c r="Y371">
        <f>NETWORKDAYS(X371,$Z$1,FERIADO!$A$2:$A$408)</f>
        <v>1897</v>
      </c>
      <c r="Z371">
        <v>10.82</v>
      </c>
      <c r="AA371" s="6">
        <f t="shared" si="47"/>
        <v>46144.985449571679</v>
      </c>
      <c r="AB371" s="2">
        <f t="shared" si="48"/>
        <v>1.9475545485891561E-3</v>
      </c>
      <c r="AJ371" s="1">
        <v>45106</v>
      </c>
      <c r="AK371">
        <f>NETWORKDAYS(AJ371,$AJ$1,FERIADO!$A$2:$A$408)</f>
        <v>884</v>
      </c>
      <c r="AL371">
        <v>10.31</v>
      </c>
      <c r="AM371" s="6">
        <f t="shared" si="49"/>
        <v>70877.712147591883</v>
      </c>
      <c r="AN371" s="2">
        <f t="shared" si="50"/>
        <v>1.2748255255572237E-3</v>
      </c>
      <c r="AP371" s="11">
        <f t="shared" si="51"/>
        <v>9.7377727429457804E-4</v>
      </c>
      <c r="AQ371" s="11">
        <f t="shared" si="52"/>
        <v>3.824476576671671E-4</v>
      </c>
      <c r="AR371" s="11">
        <f t="shared" si="53"/>
        <v>1.3562249319617452E-3</v>
      </c>
    </row>
    <row r="372" spans="2:44" x14ac:dyDescent="0.35">
      <c r="B372" s="1">
        <v>45105</v>
      </c>
      <c r="C372">
        <v>4676.71</v>
      </c>
      <c r="D372" s="1">
        <v>45105</v>
      </c>
      <c r="E372">
        <v>4.8556999999999997</v>
      </c>
      <c r="F372" s="1">
        <v>45103</v>
      </c>
      <c r="G372">
        <v>113.217</v>
      </c>
      <c r="H372" s="4">
        <f t="shared" si="45"/>
        <v>549747.78689999995</v>
      </c>
      <c r="I372" s="5">
        <v>45105</v>
      </c>
      <c r="J372" s="4">
        <v>5166.62</v>
      </c>
      <c r="K372" s="4">
        <f t="shared" si="46"/>
        <v>51666.2</v>
      </c>
      <c r="L372" s="1">
        <v>45105</v>
      </c>
      <c r="M372">
        <v>5.4</v>
      </c>
      <c r="N372" s="1">
        <v>45105</v>
      </c>
      <c r="O372">
        <v>5.19</v>
      </c>
      <c r="P372" s="1">
        <v>45105</v>
      </c>
      <c r="Q372">
        <v>5.15</v>
      </c>
      <c r="R372" s="1">
        <v>45105</v>
      </c>
      <c r="S372">
        <v>5.1100000000000003</v>
      </c>
      <c r="T372" s="1">
        <v>45105</v>
      </c>
      <c r="U372">
        <v>5.15</v>
      </c>
      <c r="V372" s="1">
        <v>45105</v>
      </c>
      <c r="W372">
        <v>5.2</v>
      </c>
      <c r="X372" s="1">
        <v>45105</v>
      </c>
      <c r="Y372">
        <f>NETWORKDAYS(X372,$Z$1,FERIADO!$A$2:$A$408)</f>
        <v>1898</v>
      </c>
      <c r="Z372">
        <v>10.88</v>
      </c>
      <c r="AA372" s="6">
        <f t="shared" si="47"/>
        <v>45938.515705585516</v>
      </c>
      <c r="AB372" s="2">
        <f t="shared" si="48"/>
        <v>-1.5934422801456433E-3</v>
      </c>
      <c r="AJ372" s="1">
        <v>45105</v>
      </c>
      <c r="AK372">
        <f>NETWORKDAYS(AJ372,$AJ$1,FERIADO!$A$2:$A$408)</f>
        <v>885</v>
      </c>
      <c r="AL372">
        <v>10.39</v>
      </c>
      <c r="AM372" s="6">
        <f t="shared" si="49"/>
        <v>70669.963180542254</v>
      </c>
      <c r="AN372" s="2">
        <f t="shared" si="50"/>
        <v>-7.2899447245409566E-4</v>
      </c>
      <c r="AP372" s="11">
        <f t="shared" si="51"/>
        <v>-7.9672114007282163E-4</v>
      </c>
      <c r="AQ372" s="11">
        <f t="shared" si="52"/>
        <v>-2.186983417362287E-4</v>
      </c>
      <c r="AR372" s="11">
        <f t="shared" si="53"/>
        <v>-1.0154194818090504E-3</v>
      </c>
    </row>
    <row r="373" spans="2:44" x14ac:dyDescent="0.35">
      <c r="B373" s="1">
        <v>45104</v>
      </c>
      <c r="C373">
        <v>4670.1499999999996</v>
      </c>
      <c r="D373" s="1">
        <v>45104</v>
      </c>
      <c r="E373">
        <v>4.7896999999999998</v>
      </c>
      <c r="F373" s="1">
        <v>45100</v>
      </c>
      <c r="G373">
        <v>113.03</v>
      </c>
      <c r="H373" s="4">
        <f t="shared" si="45"/>
        <v>541379.79099999997</v>
      </c>
      <c r="I373" s="5">
        <v>45104</v>
      </c>
      <c r="J373" s="4">
        <v>5125.63</v>
      </c>
      <c r="K373" s="4">
        <f t="shared" si="46"/>
        <v>51256.3</v>
      </c>
      <c r="L373" s="1">
        <v>45104</v>
      </c>
      <c r="M373">
        <v>5.32</v>
      </c>
      <c r="N373" s="1">
        <v>45104</v>
      </c>
      <c r="O373">
        <v>5.19</v>
      </c>
      <c r="P373" s="1">
        <v>45104</v>
      </c>
      <c r="Q373">
        <v>5.12</v>
      </c>
      <c r="R373" s="1">
        <v>45104</v>
      </c>
      <c r="S373">
        <v>5.0999999999999996</v>
      </c>
      <c r="T373" s="1">
        <v>45104</v>
      </c>
      <c r="U373">
        <v>5.1100000000000003</v>
      </c>
      <c r="V373" s="1">
        <v>45104</v>
      </c>
      <c r="W373">
        <v>5.18</v>
      </c>
      <c r="X373" s="1">
        <v>45104</v>
      </c>
      <c r="Y373">
        <f>NETWORKDAYS(X373,$Z$1,FERIADO!$A$2:$A$408)</f>
        <v>1899</v>
      </c>
      <c r="Z373">
        <v>10.82</v>
      </c>
      <c r="AA373" s="6">
        <f t="shared" si="47"/>
        <v>46107.375380466328</v>
      </c>
      <c r="AB373" s="2">
        <f t="shared" si="48"/>
        <v>-7.0948577515706564E-4</v>
      </c>
      <c r="AJ373" s="1">
        <v>45104</v>
      </c>
      <c r="AK373">
        <f>NETWORKDAYS(AJ373,$AJ$1,FERIADO!$A$2:$A$408)</f>
        <v>886</v>
      </c>
      <c r="AL373">
        <v>10.324999999999999</v>
      </c>
      <c r="AM373" s="6">
        <f t="shared" si="49"/>
        <v>70788.687403898424</v>
      </c>
      <c r="AN373" s="2">
        <f t="shared" si="50"/>
        <v>2.3861874134328389E-4</v>
      </c>
      <c r="AP373" s="11">
        <f t="shared" si="51"/>
        <v>-3.5474288757853282E-4</v>
      </c>
      <c r="AQ373" s="11">
        <f t="shared" si="52"/>
        <v>7.1585622402985162E-5</v>
      </c>
      <c r="AR373" s="11">
        <f t="shared" si="53"/>
        <v>-2.8315726517554767E-4</v>
      </c>
    </row>
    <row r="374" spans="2:44" x14ac:dyDescent="0.35">
      <c r="B374" s="1">
        <v>45103</v>
      </c>
      <c r="C374">
        <v>4626.66</v>
      </c>
      <c r="D374" s="1">
        <v>45103</v>
      </c>
      <c r="E374">
        <v>4.7691999999999997</v>
      </c>
      <c r="F374" s="1">
        <v>45099</v>
      </c>
      <c r="G374">
        <v>112.77800000000001</v>
      </c>
      <c r="H374" s="4">
        <f t="shared" si="45"/>
        <v>537860.83759999997</v>
      </c>
      <c r="I374" s="5">
        <v>45103</v>
      </c>
      <c r="J374" s="4">
        <v>5080.3900000000003</v>
      </c>
      <c r="K374" s="4">
        <f t="shared" si="46"/>
        <v>50803.9</v>
      </c>
      <c r="L374" s="1">
        <v>45103</v>
      </c>
      <c r="M374">
        <v>5.36</v>
      </c>
      <c r="N374" s="1">
        <v>45103</v>
      </c>
      <c r="O374">
        <v>5.2</v>
      </c>
      <c r="P374" s="1">
        <v>45103</v>
      </c>
      <c r="Q374">
        <v>5.13</v>
      </c>
      <c r="R374" s="1">
        <v>45103</v>
      </c>
      <c r="S374">
        <v>5.12</v>
      </c>
      <c r="T374" s="1">
        <v>45103</v>
      </c>
      <c r="U374">
        <v>5.17</v>
      </c>
      <c r="V374" s="1">
        <v>45103</v>
      </c>
      <c r="W374">
        <v>5.15</v>
      </c>
      <c r="X374" s="1">
        <v>45103</v>
      </c>
      <c r="Y374">
        <f>NETWORKDAYS(X374,$Z$1,FERIADO!$A$2:$A$408)</f>
        <v>1900</v>
      </c>
      <c r="Z374">
        <v>10.79</v>
      </c>
      <c r="AA374" s="6">
        <f t="shared" si="47"/>
        <v>46182.760316990498</v>
      </c>
      <c r="AB374" s="2">
        <f t="shared" si="48"/>
        <v>3.1323511132532425E-3</v>
      </c>
      <c r="AJ374" s="1">
        <v>45103</v>
      </c>
      <c r="AK374">
        <f>NETWORKDAYS(AJ374,$AJ$1,FERIADO!$A$2:$A$408)</f>
        <v>887</v>
      </c>
      <c r="AL374">
        <v>10.33</v>
      </c>
      <c r="AM374" s="6">
        <f t="shared" si="49"/>
        <v>70749.803953593349</v>
      </c>
      <c r="AN374" s="2">
        <f t="shared" si="50"/>
        <v>1.0707589763288815E-3</v>
      </c>
      <c r="AP374" s="11">
        <f t="shared" si="51"/>
        <v>1.5661755566266213E-3</v>
      </c>
      <c r="AQ374" s="11">
        <f t="shared" si="52"/>
        <v>3.2122769289866444E-4</v>
      </c>
      <c r="AR374" s="11">
        <f t="shared" si="53"/>
        <v>1.8874032495252856E-3</v>
      </c>
    </row>
    <row r="375" spans="2:44" x14ac:dyDescent="0.35">
      <c r="B375" s="1">
        <v>45100</v>
      </c>
      <c r="C375">
        <v>4641.18</v>
      </c>
      <c r="D375" s="1">
        <v>45100</v>
      </c>
      <c r="E375">
        <v>4.7793000000000001</v>
      </c>
      <c r="F375" s="1">
        <v>45098</v>
      </c>
      <c r="G375">
        <v>113.247</v>
      </c>
      <c r="H375" s="4">
        <f t="shared" si="45"/>
        <v>541241.38710000005</v>
      </c>
      <c r="I375" s="5">
        <v>45100</v>
      </c>
      <c r="J375" s="4">
        <v>5101.68</v>
      </c>
      <c r="K375" s="4">
        <f t="shared" si="46"/>
        <v>51016.800000000003</v>
      </c>
      <c r="L375" s="1">
        <v>45100</v>
      </c>
      <c r="M375">
        <v>5.35</v>
      </c>
      <c r="N375" s="1">
        <v>45100</v>
      </c>
      <c r="O375">
        <v>5.18</v>
      </c>
      <c r="P375" s="1">
        <v>45100</v>
      </c>
      <c r="Q375">
        <v>5.12</v>
      </c>
      <c r="R375" s="1">
        <v>45100</v>
      </c>
      <c r="S375">
        <v>5.0199999999999996</v>
      </c>
      <c r="T375" s="1">
        <v>45100</v>
      </c>
      <c r="U375">
        <v>5.08</v>
      </c>
      <c r="V375" s="1">
        <v>45100</v>
      </c>
      <c r="W375">
        <v>5.15</v>
      </c>
      <c r="X375" s="1">
        <v>45100</v>
      </c>
      <c r="Y375">
        <f>NETWORKDAYS(X375,$Z$1,FERIADO!$A$2:$A$408)</f>
        <v>1901</v>
      </c>
      <c r="Z375">
        <v>10.89</v>
      </c>
      <c r="AA375" s="6">
        <f t="shared" si="47"/>
        <v>45850.865264371692</v>
      </c>
      <c r="AB375" s="2">
        <f t="shared" si="48"/>
        <v>3.4281137597799521E-3</v>
      </c>
      <c r="AJ375" s="1">
        <v>45100</v>
      </c>
      <c r="AK375">
        <f>NETWORKDAYS(AJ375,$AJ$1,FERIADO!$A$2:$A$408)</f>
        <v>888</v>
      </c>
      <c r="AL375">
        <v>10.395</v>
      </c>
      <c r="AM375" s="6">
        <f t="shared" si="49"/>
        <v>70575.584204548315</v>
      </c>
      <c r="AN375" s="2">
        <f t="shared" si="50"/>
        <v>1.8349251000250308E-3</v>
      </c>
      <c r="AP375" s="11">
        <f t="shared" si="51"/>
        <v>1.714056879889976E-3</v>
      </c>
      <c r="AQ375" s="11">
        <f t="shared" si="52"/>
        <v>5.5047753000750919E-4</v>
      </c>
      <c r="AR375" s="11">
        <f t="shared" si="53"/>
        <v>2.2645344098974852E-3</v>
      </c>
    </row>
    <row r="376" spans="2:44" x14ac:dyDescent="0.35">
      <c r="B376" s="1">
        <v>45099</v>
      </c>
      <c r="C376">
        <v>4682.6499999999996</v>
      </c>
      <c r="D376" s="1">
        <v>45099</v>
      </c>
      <c r="E376">
        <v>4.7744</v>
      </c>
      <c r="F376" s="1">
        <v>45097</v>
      </c>
      <c r="G376">
        <v>113.29300000000001</v>
      </c>
      <c r="H376" s="4">
        <f t="shared" si="45"/>
        <v>540906.09919999994</v>
      </c>
      <c r="I376" s="5">
        <v>45099</v>
      </c>
      <c r="J376" s="4">
        <v>5086.78</v>
      </c>
      <c r="K376" s="4">
        <f t="shared" si="46"/>
        <v>50867.799999999996</v>
      </c>
      <c r="L376" s="1">
        <v>45099</v>
      </c>
      <c r="M376">
        <v>5.4</v>
      </c>
      <c r="N376" s="1">
        <v>45099</v>
      </c>
      <c r="O376">
        <v>5.22</v>
      </c>
      <c r="P376" s="1">
        <v>45099</v>
      </c>
      <c r="Q376">
        <v>5.21</v>
      </c>
      <c r="R376" s="1">
        <v>45099</v>
      </c>
      <c r="S376">
        <v>5.12</v>
      </c>
      <c r="T376" s="1">
        <v>45099</v>
      </c>
      <c r="U376">
        <v>5.14</v>
      </c>
      <c r="V376" s="1">
        <v>45099</v>
      </c>
      <c r="W376">
        <v>5.18</v>
      </c>
      <c r="X376" s="1">
        <v>45099</v>
      </c>
      <c r="Y376">
        <f>NETWORKDAYS(X376,$Z$1,FERIADO!$A$2:$A$408)</f>
        <v>1902</v>
      </c>
      <c r="Z376">
        <v>11</v>
      </c>
      <c r="AA376" s="6">
        <f t="shared" si="47"/>
        <v>45490.365055762813</v>
      </c>
      <c r="AB376" s="2">
        <f t="shared" si="48"/>
        <v>4.7530038531152434E-4</v>
      </c>
      <c r="AJ376" s="1">
        <v>45099</v>
      </c>
      <c r="AK376">
        <f>NETWORKDAYS(AJ376,$AJ$1,FERIADO!$A$2:$A$408)</f>
        <v>889</v>
      </c>
      <c r="AL376">
        <v>10.515000000000001</v>
      </c>
      <c r="AM376" s="6">
        <f t="shared" si="49"/>
        <v>70278.026381706033</v>
      </c>
      <c r="AN376" s="2">
        <f t="shared" si="50"/>
        <v>-3.5889971795188064E-5</v>
      </c>
      <c r="AP376" s="11">
        <f t="shared" si="51"/>
        <v>2.3765019265576217E-4</v>
      </c>
      <c r="AQ376" s="11">
        <f t="shared" si="52"/>
        <v>-1.0766991538556418E-5</v>
      </c>
      <c r="AR376" s="11">
        <f t="shared" si="53"/>
        <v>2.2688320111720575E-4</v>
      </c>
    </row>
    <row r="377" spans="2:44" x14ac:dyDescent="0.35">
      <c r="B377" s="1">
        <v>45098</v>
      </c>
      <c r="C377">
        <v>4666.22</v>
      </c>
      <c r="D377" s="1">
        <v>45098</v>
      </c>
      <c r="E377">
        <v>4.7789000000000001</v>
      </c>
      <c r="F377" s="1">
        <v>45096</v>
      </c>
      <c r="G377">
        <v>112.25</v>
      </c>
      <c r="H377" s="4">
        <f t="shared" si="45"/>
        <v>536431.52499999991</v>
      </c>
      <c r="I377" s="5">
        <v>45098</v>
      </c>
      <c r="J377" s="4">
        <v>5076.13</v>
      </c>
      <c r="K377" s="4">
        <f t="shared" si="46"/>
        <v>50761.3</v>
      </c>
      <c r="L377" s="1">
        <v>45098</v>
      </c>
      <c r="M377">
        <v>5.4</v>
      </c>
      <c r="N377" s="1">
        <v>45098</v>
      </c>
      <c r="O377">
        <v>5.23</v>
      </c>
      <c r="P377" s="1">
        <v>45098</v>
      </c>
      <c r="Q377">
        <v>5.23</v>
      </c>
      <c r="R377" s="1">
        <v>45098</v>
      </c>
      <c r="S377">
        <v>5.12</v>
      </c>
      <c r="T377" s="1">
        <v>45098</v>
      </c>
      <c r="U377">
        <v>5.17</v>
      </c>
      <c r="V377" s="1">
        <v>45098</v>
      </c>
      <c r="W377">
        <v>5.19</v>
      </c>
      <c r="X377" s="1">
        <v>45098</v>
      </c>
      <c r="Y377">
        <f>NETWORKDAYS(X377,$Z$1,FERIADO!$A$2:$A$408)</f>
        <v>1903</v>
      </c>
      <c r="Z377">
        <v>11.01</v>
      </c>
      <c r="AA377" s="6">
        <f t="shared" si="47"/>
        <v>45440.606742660064</v>
      </c>
      <c r="AB377" s="2">
        <f t="shared" si="48"/>
        <v>3.4298800307920136E-3</v>
      </c>
      <c r="AJ377" s="1">
        <v>45098</v>
      </c>
      <c r="AK377">
        <f>NETWORKDAYS(AJ377,$AJ$1,FERIADO!$A$2:$A$408)</f>
        <v>890</v>
      </c>
      <c r="AL377">
        <v>10.5</v>
      </c>
      <c r="AM377" s="6">
        <f t="shared" si="49"/>
        <v>70283.834377692023</v>
      </c>
      <c r="AN377" s="2">
        <f t="shared" si="50"/>
        <v>9.3617891219406298E-4</v>
      </c>
      <c r="AP377" s="11">
        <f t="shared" si="51"/>
        <v>1.7149400153960068E-3</v>
      </c>
      <c r="AQ377" s="11">
        <f t="shared" si="52"/>
        <v>2.8085367365821891E-4</v>
      </c>
      <c r="AR377" s="11">
        <f t="shared" si="53"/>
        <v>1.9957936890542256E-3</v>
      </c>
    </row>
    <row r="378" spans="2:44" x14ac:dyDescent="0.35">
      <c r="B378" s="1">
        <v>45097</v>
      </c>
      <c r="C378">
        <v>4685.57</v>
      </c>
      <c r="D378" s="1">
        <v>45097</v>
      </c>
      <c r="E378">
        <v>4.7923999999999998</v>
      </c>
      <c r="F378" s="1">
        <v>45093</v>
      </c>
      <c r="G378">
        <v>113.062</v>
      </c>
      <c r="H378" s="4">
        <f t="shared" si="45"/>
        <v>541838.32880000002</v>
      </c>
      <c r="I378" s="5">
        <v>45097</v>
      </c>
      <c r="J378" s="4">
        <v>5109.13</v>
      </c>
      <c r="K378" s="4">
        <f t="shared" si="46"/>
        <v>51091.3</v>
      </c>
      <c r="L378" s="1">
        <v>45097</v>
      </c>
      <c r="M378">
        <v>5.41</v>
      </c>
      <c r="N378" s="1">
        <v>45097</v>
      </c>
      <c r="O378">
        <v>5.24</v>
      </c>
      <c r="P378" s="1">
        <v>45097</v>
      </c>
      <c r="Q378">
        <v>5.24</v>
      </c>
      <c r="R378" s="1">
        <v>45097</v>
      </c>
      <c r="S378">
        <v>5.16</v>
      </c>
      <c r="T378" s="1">
        <v>45097</v>
      </c>
      <c r="U378">
        <v>5.19</v>
      </c>
      <c r="V378" s="1">
        <v>45097</v>
      </c>
      <c r="W378">
        <v>5.22</v>
      </c>
      <c r="X378" s="1">
        <v>45097</v>
      </c>
      <c r="Y378">
        <f>NETWORKDAYS(X378,$Z$1,FERIADO!$A$2:$A$408)</f>
        <v>1904</v>
      </c>
      <c r="Z378">
        <v>11.12</v>
      </c>
      <c r="AA378" s="6">
        <f t="shared" si="47"/>
        <v>45083.148818761671</v>
      </c>
      <c r="AB378" s="2">
        <f t="shared" si="48"/>
        <v>-4.0924140765007604E-4</v>
      </c>
      <c r="AJ378" s="1">
        <v>45097</v>
      </c>
      <c r="AK378">
        <f>NETWORKDAYS(AJ378,$AJ$1,FERIADO!$A$2:$A$408)</f>
        <v>891</v>
      </c>
      <c r="AL378">
        <v>10.555</v>
      </c>
      <c r="AM378" s="6">
        <f t="shared" si="49"/>
        <v>70132.491501153083</v>
      </c>
      <c r="AN378" s="2">
        <f t="shared" si="50"/>
        <v>-3.8336955918265341E-4</v>
      </c>
      <c r="AP378" s="11">
        <f t="shared" si="51"/>
        <v>-2.0462070382503802E-4</v>
      </c>
      <c r="AQ378" s="11">
        <f t="shared" si="52"/>
        <v>-1.1501086775479602E-4</v>
      </c>
      <c r="AR378" s="11">
        <f t="shared" si="53"/>
        <v>-3.1963157157983404E-4</v>
      </c>
    </row>
    <row r="379" spans="2:44" x14ac:dyDescent="0.35">
      <c r="B379" s="1">
        <v>45096</v>
      </c>
      <c r="C379">
        <v>4711.2700000000004</v>
      </c>
      <c r="D379" s="1">
        <v>45096</v>
      </c>
      <c r="E379">
        <v>4.7797000000000001</v>
      </c>
      <c r="F379" s="1">
        <v>45092</v>
      </c>
      <c r="G379">
        <v>113.515</v>
      </c>
      <c r="H379" s="4">
        <f t="shared" si="45"/>
        <v>542567.64549999998</v>
      </c>
      <c r="I379" s="5">
        <v>45096</v>
      </c>
      <c r="J379" s="4">
        <v>5097.42</v>
      </c>
      <c r="K379" s="4">
        <f t="shared" si="46"/>
        <v>50974.2</v>
      </c>
      <c r="L379" s="1">
        <v>45096</v>
      </c>
      <c r="M379">
        <v>5.45</v>
      </c>
      <c r="N379" s="1">
        <v>45096</v>
      </c>
      <c r="O379">
        <v>5.27</v>
      </c>
      <c r="P379" s="1">
        <v>45096</v>
      </c>
      <c r="Q379">
        <v>5.24</v>
      </c>
      <c r="R379" s="1">
        <v>45096</v>
      </c>
      <c r="S379">
        <v>5.15</v>
      </c>
      <c r="T379" s="1">
        <v>45096</v>
      </c>
      <c r="U379">
        <v>5.19</v>
      </c>
      <c r="V379" s="1">
        <v>45096</v>
      </c>
      <c r="W379">
        <v>5.24</v>
      </c>
      <c r="X379" s="1">
        <v>45096</v>
      </c>
      <c r="Y379">
        <f>NETWORKDAYS(X379,$Z$1,FERIADO!$A$2:$A$408)</f>
        <v>1905</v>
      </c>
      <c r="Z379">
        <v>11.1</v>
      </c>
      <c r="AA379" s="6">
        <f t="shared" si="47"/>
        <v>45125.651285571294</v>
      </c>
      <c r="AB379" s="2">
        <f t="shared" si="48"/>
        <v>-1.1426833507382701E-4</v>
      </c>
      <c r="AJ379" s="1">
        <v>45096</v>
      </c>
      <c r="AK379">
        <f>NETWORKDAYS(AJ379,$AJ$1,FERIADO!$A$2:$A$408)</f>
        <v>892</v>
      </c>
      <c r="AL379">
        <v>10.515000000000001</v>
      </c>
      <c r="AM379" s="6">
        <f t="shared" si="49"/>
        <v>70194.427661856593</v>
      </c>
      <c r="AN379" s="2">
        <f t="shared" si="50"/>
        <v>3.1155618774204082E-4</v>
      </c>
      <c r="AP379" s="11">
        <f t="shared" si="51"/>
        <v>-5.7134167536913506E-5</v>
      </c>
      <c r="AQ379" s="11">
        <f t="shared" si="52"/>
        <v>9.3466856322612241E-5</v>
      </c>
      <c r="AR379" s="11">
        <f t="shared" si="53"/>
        <v>3.6332688785698735E-5</v>
      </c>
    </row>
    <row r="380" spans="2:44" x14ac:dyDescent="0.35">
      <c r="B380" s="1">
        <v>45093</v>
      </c>
      <c r="C380">
        <v>4716.04</v>
      </c>
      <c r="D380" s="1">
        <v>45093</v>
      </c>
      <c r="E380">
        <v>4.8280000000000003</v>
      </c>
      <c r="F380" s="1">
        <v>45091</v>
      </c>
      <c r="G380">
        <v>112.97</v>
      </c>
      <c r="H380" s="4">
        <f t="shared" si="45"/>
        <v>545419.16</v>
      </c>
      <c r="I380" s="5">
        <v>45093</v>
      </c>
      <c r="J380" s="4">
        <v>5141.07</v>
      </c>
      <c r="K380" s="4">
        <f t="shared" si="46"/>
        <v>51410.7</v>
      </c>
      <c r="L380" s="1">
        <v>45093</v>
      </c>
      <c r="M380">
        <v>5.44</v>
      </c>
      <c r="N380" s="1">
        <v>45093</v>
      </c>
      <c r="O380">
        <v>5.26</v>
      </c>
      <c r="P380" s="1">
        <v>45093</v>
      </c>
      <c r="Q380">
        <v>5.22</v>
      </c>
      <c r="R380" s="1">
        <v>45093</v>
      </c>
      <c r="S380">
        <v>5.17</v>
      </c>
      <c r="T380" s="1">
        <v>45093</v>
      </c>
      <c r="U380">
        <v>5.2</v>
      </c>
      <c r="V380" s="1">
        <v>45093</v>
      </c>
      <c r="W380">
        <v>5.22</v>
      </c>
      <c r="X380" s="1">
        <v>45093</v>
      </c>
      <c r="Y380">
        <f>NETWORKDAYS(X380,$Z$1,FERIADO!$A$2:$A$408)</f>
        <v>1906</v>
      </c>
      <c r="Z380">
        <v>11.09</v>
      </c>
      <c r="AA380" s="6">
        <f t="shared" si="47"/>
        <v>45137.525973547032</v>
      </c>
      <c r="AB380" s="2">
        <f t="shared" si="48"/>
        <v>2.5471322759948074E-3</v>
      </c>
      <c r="AJ380" s="1">
        <v>45093</v>
      </c>
      <c r="AK380">
        <f>NETWORKDAYS(AJ380,$AJ$1,FERIADO!$A$2:$A$408)</f>
        <v>893</v>
      </c>
      <c r="AL380">
        <v>10.525</v>
      </c>
      <c r="AM380" s="6">
        <f t="shared" si="49"/>
        <v>70144.089316229569</v>
      </c>
      <c r="AN380" s="2">
        <f t="shared" si="50"/>
        <v>1.4961874601513989E-3</v>
      </c>
      <c r="AP380" s="11">
        <f t="shared" si="51"/>
        <v>1.2735661379974037E-3</v>
      </c>
      <c r="AQ380" s="11">
        <f t="shared" si="52"/>
        <v>4.4885623804541967E-4</v>
      </c>
      <c r="AR380" s="11">
        <f t="shared" si="53"/>
        <v>1.7224223760428233E-3</v>
      </c>
    </row>
    <row r="381" spans="2:44" x14ac:dyDescent="0.35">
      <c r="B381" s="1">
        <v>45092</v>
      </c>
      <c r="C381">
        <v>4723.42</v>
      </c>
      <c r="D381" s="1">
        <v>45092</v>
      </c>
      <c r="E381">
        <v>4.8216000000000001</v>
      </c>
      <c r="F381" s="1">
        <v>45090</v>
      </c>
      <c r="G381">
        <v>112.83</v>
      </c>
      <c r="H381" s="4">
        <f t="shared" si="45"/>
        <v>544021.12800000003</v>
      </c>
      <c r="I381" s="5">
        <v>45092</v>
      </c>
      <c r="J381" s="4">
        <v>5137.88</v>
      </c>
      <c r="K381" s="4">
        <f t="shared" si="46"/>
        <v>51378.8</v>
      </c>
      <c r="L381" s="1">
        <v>45092</v>
      </c>
      <c r="M381">
        <v>5.45</v>
      </c>
      <c r="N381" s="1">
        <v>45092</v>
      </c>
      <c r="O381">
        <v>5.31</v>
      </c>
      <c r="P381" s="1">
        <v>45092</v>
      </c>
      <c r="Q381">
        <v>5.23</v>
      </c>
      <c r="R381" s="1">
        <v>45092</v>
      </c>
      <c r="S381">
        <v>5.19</v>
      </c>
      <c r="T381" s="1">
        <v>45092</v>
      </c>
      <c r="U381">
        <v>5.23</v>
      </c>
      <c r="V381" s="1">
        <v>45092</v>
      </c>
      <c r="W381">
        <v>5.25</v>
      </c>
      <c r="X381" s="1">
        <v>45092</v>
      </c>
      <c r="Y381">
        <f>NETWORKDAYS(X381,$Z$1,FERIADO!$A$2:$A$408)</f>
        <v>1907</v>
      </c>
      <c r="Z381">
        <v>11.17</v>
      </c>
      <c r="AA381" s="6">
        <f t="shared" si="47"/>
        <v>44873.569695804516</v>
      </c>
      <c r="AB381" s="2">
        <f t="shared" si="48"/>
        <v>-3.0727431862370429E-3</v>
      </c>
      <c r="AJ381" s="1">
        <v>45092</v>
      </c>
      <c r="AK381">
        <f>NETWORKDAYS(AJ381,$AJ$1,FERIADO!$A$2:$A$408)</f>
        <v>894</v>
      </c>
      <c r="AL381">
        <v>10.62</v>
      </c>
      <c r="AM381" s="6">
        <f t="shared" si="49"/>
        <v>69902.851770538633</v>
      </c>
      <c r="AN381" s="2">
        <f t="shared" si="50"/>
        <v>-1.0814866065479243E-3</v>
      </c>
      <c r="AP381" s="11">
        <f t="shared" si="51"/>
        <v>-1.5363715931185214E-3</v>
      </c>
      <c r="AQ381" s="11">
        <f t="shared" si="52"/>
        <v>-3.244459819643773E-4</v>
      </c>
      <c r="AR381" s="11">
        <f t="shared" si="53"/>
        <v>-1.8608175750828987E-3</v>
      </c>
    </row>
    <row r="382" spans="2:44" x14ac:dyDescent="0.35">
      <c r="B382" s="1">
        <v>45091</v>
      </c>
      <c r="C382">
        <v>4676.18</v>
      </c>
      <c r="D382" s="1">
        <v>45091</v>
      </c>
      <c r="E382">
        <v>4.8456000000000001</v>
      </c>
      <c r="F382" s="1">
        <v>45089</v>
      </c>
      <c r="G382">
        <v>113.465</v>
      </c>
      <c r="H382" s="4">
        <f t="shared" si="45"/>
        <v>549806.00400000007</v>
      </c>
      <c r="I382" s="5">
        <v>45091</v>
      </c>
      <c r="J382" s="4">
        <v>5144.26</v>
      </c>
      <c r="K382" s="4">
        <f t="shared" si="46"/>
        <v>51442.600000000006</v>
      </c>
      <c r="L382" s="1">
        <v>45091</v>
      </c>
      <c r="M382">
        <v>5.46</v>
      </c>
      <c r="N382" s="1">
        <v>45091</v>
      </c>
      <c r="O382">
        <v>5.29</v>
      </c>
      <c r="P382" s="1">
        <v>45091</v>
      </c>
      <c r="Q382">
        <v>5.25</v>
      </c>
      <c r="R382" s="1">
        <v>45091</v>
      </c>
      <c r="S382">
        <v>5.21</v>
      </c>
      <c r="T382" s="1">
        <v>45091</v>
      </c>
      <c r="U382">
        <v>5.24</v>
      </c>
      <c r="V382" s="1">
        <v>45091</v>
      </c>
      <c r="W382">
        <v>5.28</v>
      </c>
      <c r="X382" s="1">
        <v>45091</v>
      </c>
      <c r="Y382">
        <f>NETWORKDAYS(X382,$Z$1,FERIADO!$A$2:$A$408)</f>
        <v>1908</v>
      </c>
      <c r="Z382">
        <v>11.06</v>
      </c>
      <c r="AA382" s="6">
        <f t="shared" si="47"/>
        <v>45192.187360037424</v>
      </c>
      <c r="AB382" s="2">
        <f t="shared" si="48"/>
        <v>9.6465792125276506E-3</v>
      </c>
      <c r="AJ382" s="1">
        <v>45091</v>
      </c>
      <c r="AK382">
        <f>NETWORKDAYS(AJ382,$AJ$1,FERIADO!$A$2:$A$408)</f>
        <v>895</v>
      </c>
      <c r="AL382">
        <v>10.53</v>
      </c>
      <c r="AM382" s="6">
        <f t="shared" si="49"/>
        <v>70077.141816032687</v>
      </c>
      <c r="AN382" s="2">
        <f t="shared" si="50"/>
        <v>3.1732779771261972E-3</v>
      </c>
      <c r="AP382" s="11">
        <f t="shared" si="51"/>
        <v>4.8232896062638253E-3</v>
      </c>
      <c r="AQ382" s="11">
        <f t="shared" si="52"/>
        <v>9.5198339313785907E-4</v>
      </c>
      <c r="AR382" s="11">
        <f t="shared" si="53"/>
        <v>5.7752729994016844E-3</v>
      </c>
    </row>
    <row r="383" spans="2:44" x14ac:dyDescent="0.35">
      <c r="B383" s="1">
        <v>45090</v>
      </c>
      <c r="C383">
        <v>4669.8500000000004</v>
      </c>
      <c r="D383" s="1">
        <v>45090</v>
      </c>
      <c r="E383">
        <v>4.8526999999999996</v>
      </c>
      <c r="F383" s="1">
        <v>45086</v>
      </c>
      <c r="G383">
        <v>113.38</v>
      </c>
      <c r="H383" s="4">
        <f t="shared" si="45"/>
        <v>550199.12599999993</v>
      </c>
      <c r="I383" s="5">
        <v>45090</v>
      </c>
      <c r="J383" s="4">
        <v>5194.83</v>
      </c>
      <c r="K383" s="4">
        <f t="shared" si="46"/>
        <v>51948.3</v>
      </c>
      <c r="L383" s="1">
        <v>45090</v>
      </c>
      <c r="M383">
        <v>5.53</v>
      </c>
      <c r="N383" s="1">
        <v>45090</v>
      </c>
      <c r="O383">
        <v>5.36</v>
      </c>
      <c r="P383" s="1">
        <v>45090</v>
      </c>
      <c r="Q383">
        <v>5.3</v>
      </c>
      <c r="R383" s="1">
        <v>45090</v>
      </c>
      <c r="S383">
        <v>5.28</v>
      </c>
      <c r="T383" s="1">
        <v>45090</v>
      </c>
      <c r="U383">
        <v>5.31</v>
      </c>
      <c r="V383" s="1">
        <v>45090</v>
      </c>
      <c r="W383">
        <v>5.34</v>
      </c>
      <c r="X383" s="1">
        <v>45090</v>
      </c>
      <c r="Y383">
        <f>NETWORKDAYS(X383,$Z$1,FERIADO!$A$2:$A$408)</f>
        <v>1909</v>
      </c>
      <c r="Z383">
        <v>11.38</v>
      </c>
      <c r="AA383" s="6">
        <f t="shared" si="47"/>
        <v>44199.441638404067</v>
      </c>
      <c r="AB383" s="2">
        <f t="shared" si="48"/>
        <v>-6.0263645303266292E-3</v>
      </c>
      <c r="AJ383" s="1">
        <v>45090</v>
      </c>
      <c r="AK383">
        <f>NETWORKDAYS(AJ383,$AJ$1,FERIADO!$A$2:$A$408)</f>
        <v>896</v>
      </c>
      <c r="AL383">
        <v>10.744999999999999</v>
      </c>
      <c r="AM383" s="6">
        <f t="shared" si="49"/>
        <v>69566.972289478552</v>
      </c>
      <c r="AN383" s="2">
        <f t="shared" si="50"/>
        <v>-2.7582684386077061E-3</v>
      </c>
      <c r="AP383" s="11">
        <f t="shared" si="51"/>
        <v>-3.0131822651633146E-3</v>
      </c>
      <c r="AQ383" s="11">
        <f t="shared" si="52"/>
        <v>-8.2748053158231182E-4</v>
      </c>
      <c r="AR383" s="11">
        <f t="shared" si="53"/>
        <v>-3.8406627967456264E-3</v>
      </c>
    </row>
    <row r="384" spans="2:44" x14ac:dyDescent="0.35">
      <c r="B384" s="1">
        <v>45089</v>
      </c>
      <c r="C384">
        <v>4637.42</v>
      </c>
      <c r="D384" s="1">
        <v>45089</v>
      </c>
      <c r="E384">
        <v>4.8826000000000001</v>
      </c>
      <c r="F384" s="1">
        <v>45084</v>
      </c>
      <c r="G384">
        <v>113.20099999999999</v>
      </c>
      <c r="H384" s="4">
        <f t="shared" si="45"/>
        <v>552715.20259999996</v>
      </c>
      <c r="I384" s="5">
        <v>45089</v>
      </c>
      <c r="J384" s="4">
        <v>5195.8900000000003</v>
      </c>
      <c r="K384" s="4">
        <f t="shared" si="46"/>
        <v>51958.9</v>
      </c>
      <c r="L384" s="1">
        <v>45089</v>
      </c>
      <c r="M384">
        <v>5.43</v>
      </c>
      <c r="N384" s="1">
        <v>45089</v>
      </c>
      <c r="O384">
        <v>5.29</v>
      </c>
      <c r="P384" s="1">
        <v>45089</v>
      </c>
      <c r="Q384">
        <v>5.23</v>
      </c>
      <c r="R384" s="1">
        <v>45089</v>
      </c>
      <c r="S384">
        <v>5.17</v>
      </c>
      <c r="T384" s="1">
        <v>45089</v>
      </c>
      <c r="U384">
        <v>5.22</v>
      </c>
      <c r="V384" s="1">
        <v>45089</v>
      </c>
      <c r="W384">
        <v>5.27</v>
      </c>
      <c r="X384" s="1">
        <v>45089</v>
      </c>
      <c r="Y384">
        <f>NETWORKDAYS(X384,$Z$1,FERIADO!$A$2:$A$408)</f>
        <v>1910</v>
      </c>
      <c r="Z384">
        <v>11.17</v>
      </c>
      <c r="AA384" s="6">
        <f t="shared" si="47"/>
        <v>44817.037726641822</v>
      </c>
      <c r="AB384" s="2">
        <f t="shared" si="48"/>
        <v>-1.5954831747775377E-3</v>
      </c>
      <c r="AJ384" s="1">
        <v>45089</v>
      </c>
      <c r="AK384">
        <f>NETWORKDAYS(AJ384,$AJ$1,FERIADO!$A$2:$A$408)</f>
        <v>897</v>
      </c>
      <c r="AL384">
        <v>10.535</v>
      </c>
      <c r="AM384" s="6">
        <f t="shared" si="49"/>
        <v>70010.208451017606</v>
      </c>
      <c r="AN384" s="2">
        <f t="shared" si="50"/>
        <v>-2.4746988969089534E-4</v>
      </c>
      <c r="AP384" s="11">
        <f t="shared" si="51"/>
        <v>-7.9774158738876884E-4</v>
      </c>
      <c r="AQ384" s="11">
        <f t="shared" si="52"/>
        <v>-7.4240966907268601E-5</v>
      </c>
      <c r="AR384" s="11">
        <f t="shared" si="53"/>
        <v>-8.7198255429603744E-4</v>
      </c>
    </row>
    <row r="385" spans="2:44" x14ac:dyDescent="0.35">
      <c r="B385" s="1">
        <v>45086</v>
      </c>
      <c r="C385">
        <v>4597.5600000000004</v>
      </c>
      <c r="D385" s="1">
        <v>45086</v>
      </c>
      <c r="E385">
        <v>4.8916000000000004</v>
      </c>
      <c r="F385" s="1">
        <v>45083</v>
      </c>
      <c r="G385">
        <v>113.86799999999999</v>
      </c>
      <c r="H385" s="4">
        <f t="shared" si="45"/>
        <v>556996.70880000002</v>
      </c>
      <c r="I385" s="5">
        <v>45086</v>
      </c>
      <c r="J385" s="4">
        <v>5213.99</v>
      </c>
      <c r="K385" s="4">
        <f t="shared" si="46"/>
        <v>52139.899999999994</v>
      </c>
      <c r="L385" s="1">
        <v>45086</v>
      </c>
      <c r="M385">
        <v>5.38</v>
      </c>
      <c r="N385" s="1">
        <v>45086</v>
      </c>
      <c r="O385">
        <v>5.27</v>
      </c>
      <c r="P385" s="1">
        <v>45086</v>
      </c>
      <c r="Q385">
        <v>5.19</v>
      </c>
      <c r="R385" s="1">
        <v>45086</v>
      </c>
      <c r="S385">
        <v>5.16</v>
      </c>
      <c r="T385" s="1">
        <v>45086</v>
      </c>
      <c r="U385">
        <v>5.2</v>
      </c>
      <c r="V385" s="1">
        <v>45086</v>
      </c>
      <c r="W385">
        <v>5.21</v>
      </c>
      <c r="X385" s="1">
        <v>45086</v>
      </c>
      <c r="Y385">
        <f>NETWORKDAYS(X385,$Z$1,FERIADO!$A$2:$A$408)</f>
        <v>1911</v>
      </c>
      <c r="Z385">
        <v>11.11</v>
      </c>
      <c r="AA385" s="6">
        <f t="shared" si="47"/>
        <v>44981.986484999608</v>
      </c>
      <c r="AB385" s="2">
        <f t="shared" si="48"/>
        <v>1.9604641720867137E-3</v>
      </c>
      <c r="AJ385" s="1">
        <v>45086</v>
      </c>
      <c r="AK385">
        <f>NETWORKDAYS(AJ385,$AJ$1,FERIADO!$A$2:$A$408)</f>
        <v>898</v>
      </c>
      <c r="AL385">
        <v>10.505000000000001</v>
      </c>
      <c r="AM385" s="6">
        <f t="shared" si="49"/>
        <v>70050.113069684478</v>
      </c>
      <c r="AN385" s="2">
        <f t="shared" si="50"/>
        <v>2.1337692790383044E-3</v>
      </c>
      <c r="AP385" s="11">
        <f t="shared" si="51"/>
        <v>9.8023208604335684E-4</v>
      </c>
      <c r="AQ385" s="11">
        <f t="shared" si="52"/>
        <v>6.4013078371149125E-4</v>
      </c>
      <c r="AR385" s="11">
        <f t="shared" si="53"/>
        <v>1.6203628697548482E-3</v>
      </c>
    </row>
    <row r="386" spans="2:44" x14ac:dyDescent="0.35">
      <c r="B386" s="1">
        <v>45084</v>
      </c>
      <c r="C386">
        <v>4568.8</v>
      </c>
      <c r="D386" s="1">
        <v>45084</v>
      </c>
      <c r="E386">
        <v>4.9112999999999998</v>
      </c>
      <c r="F386" s="1">
        <v>45082</v>
      </c>
      <c r="G386">
        <v>113.92</v>
      </c>
      <c r="H386" s="4">
        <f t="shared" si="45"/>
        <v>559495.29599999997</v>
      </c>
      <c r="I386" s="5">
        <v>45084</v>
      </c>
      <c r="J386" s="4">
        <v>5271.47</v>
      </c>
      <c r="K386" s="4">
        <f t="shared" si="46"/>
        <v>52714.700000000004</v>
      </c>
      <c r="L386" s="1">
        <v>45084</v>
      </c>
      <c r="M386">
        <v>5.4</v>
      </c>
      <c r="N386" s="1">
        <v>45084</v>
      </c>
      <c r="O386">
        <v>5.31</v>
      </c>
      <c r="P386" s="1">
        <v>45084</v>
      </c>
      <c r="Q386">
        <v>5.26</v>
      </c>
      <c r="R386" s="1">
        <v>45084</v>
      </c>
      <c r="S386">
        <v>5.17</v>
      </c>
      <c r="T386" s="1">
        <v>45084</v>
      </c>
      <c r="U386">
        <v>5.22</v>
      </c>
      <c r="V386" s="1">
        <v>45084</v>
      </c>
      <c r="W386">
        <v>5.25</v>
      </c>
      <c r="X386" s="1">
        <v>45084</v>
      </c>
      <c r="Y386">
        <f>NETWORKDAYS(X386,$Z$1,FERIADO!$A$2:$A$408)</f>
        <v>1912</v>
      </c>
      <c r="Z386">
        <v>11.17</v>
      </c>
      <c r="AA386" s="6">
        <f t="shared" si="47"/>
        <v>44779.389319010086</v>
      </c>
      <c r="AB386" s="2">
        <f t="shared" si="48"/>
        <v>-4.2688985425564452E-3</v>
      </c>
      <c r="AJ386" s="1">
        <v>45084</v>
      </c>
      <c r="AK386">
        <f>NETWORKDAYS(AJ386,$AJ$1,FERIADO!$A$2:$A$408)</f>
        <v>899</v>
      </c>
      <c r="AL386">
        <v>10.645</v>
      </c>
      <c r="AM386" s="6">
        <f t="shared" si="49"/>
        <v>69706.787982049864</v>
      </c>
      <c r="AN386" s="2">
        <f t="shared" si="50"/>
        <v>-2.2808071919439774E-3</v>
      </c>
      <c r="AP386" s="11">
        <f t="shared" si="51"/>
        <v>-2.1344492712782226E-3</v>
      </c>
      <c r="AQ386" s="11">
        <f t="shared" si="52"/>
        <v>-6.8424215758319318E-4</v>
      </c>
      <c r="AR386" s="11">
        <f t="shared" si="53"/>
        <v>-2.8186914288614159E-3</v>
      </c>
    </row>
    <row r="387" spans="2:44" x14ac:dyDescent="0.35">
      <c r="B387" s="1">
        <v>45083</v>
      </c>
      <c r="C387">
        <v>4580.1499999999996</v>
      </c>
      <c r="D387" s="1">
        <v>45083</v>
      </c>
      <c r="E387">
        <v>4.9286000000000003</v>
      </c>
      <c r="F387" s="1">
        <v>45079</v>
      </c>
      <c r="G387">
        <v>113.809</v>
      </c>
      <c r="H387" s="4">
        <f t="shared" si="45"/>
        <v>560919.03740000003</v>
      </c>
      <c r="I387" s="5">
        <v>45083</v>
      </c>
      <c r="J387" s="4">
        <v>5253.38</v>
      </c>
      <c r="K387" s="4">
        <f t="shared" si="46"/>
        <v>52533.8</v>
      </c>
      <c r="L387" s="1">
        <v>45083</v>
      </c>
      <c r="M387">
        <v>5.33</v>
      </c>
      <c r="N387" s="1">
        <v>45083</v>
      </c>
      <c r="O387">
        <v>5.17</v>
      </c>
      <c r="P387" s="1">
        <v>45083</v>
      </c>
      <c r="Q387">
        <v>5.16</v>
      </c>
      <c r="R387" s="1">
        <v>45083</v>
      </c>
      <c r="S387">
        <v>5.08</v>
      </c>
      <c r="T387" s="1">
        <v>45083</v>
      </c>
      <c r="U387">
        <v>5.15</v>
      </c>
      <c r="V387" s="1">
        <v>45083</v>
      </c>
      <c r="W387">
        <v>5.19</v>
      </c>
      <c r="X387" s="1">
        <v>45083</v>
      </c>
      <c r="Y387">
        <f>NETWORKDAYS(X387,$Z$1,FERIADO!$A$2:$A$408)</f>
        <v>1913</v>
      </c>
      <c r="Z387">
        <v>11.02</v>
      </c>
      <c r="AA387" s="6">
        <f t="shared" si="47"/>
        <v>45221.718800331473</v>
      </c>
      <c r="AB387" s="2">
        <f t="shared" si="48"/>
        <v>3.7436172898025091E-3</v>
      </c>
      <c r="AJ387" s="1">
        <v>45083</v>
      </c>
      <c r="AK387">
        <f>NETWORKDAYS(AJ387,$AJ$1,FERIADO!$A$2:$A$408)</f>
        <v>900</v>
      </c>
      <c r="AL387">
        <v>10.47</v>
      </c>
      <c r="AM387" s="6">
        <f t="shared" si="49"/>
        <v>70073.833763075847</v>
      </c>
      <c r="AN387" s="2">
        <f t="shared" si="50"/>
        <v>1.3659119293987999E-3</v>
      </c>
      <c r="AP387" s="11">
        <f t="shared" si="51"/>
        <v>1.8718086449012546E-3</v>
      </c>
      <c r="AQ387" s="11">
        <f t="shared" si="52"/>
        <v>4.0977357881963995E-4</v>
      </c>
      <c r="AR387" s="11">
        <f t="shared" si="53"/>
        <v>2.2815822237208946E-3</v>
      </c>
    </row>
    <row r="388" spans="2:44" x14ac:dyDescent="0.35">
      <c r="B388" s="1">
        <v>45082</v>
      </c>
      <c r="C388">
        <v>4569.6400000000003</v>
      </c>
      <c r="D388" s="1">
        <v>45082</v>
      </c>
      <c r="E388">
        <v>4.923</v>
      </c>
      <c r="F388" s="1">
        <v>45078</v>
      </c>
      <c r="G388">
        <v>114.76</v>
      </c>
      <c r="H388" s="4">
        <f t="shared" ref="H388:H451" si="54">G388*E388*1000</f>
        <v>564963.48</v>
      </c>
      <c r="I388" s="5">
        <v>45082</v>
      </c>
      <c r="J388" s="4">
        <v>5277.86</v>
      </c>
      <c r="K388" s="4">
        <f t="shared" si="46"/>
        <v>52778.6</v>
      </c>
      <c r="L388" s="1">
        <v>45082</v>
      </c>
      <c r="M388">
        <v>5.31</v>
      </c>
      <c r="N388" s="1">
        <v>45082</v>
      </c>
      <c r="O388">
        <v>5.15</v>
      </c>
      <c r="P388" s="1">
        <v>45082</v>
      </c>
      <c r="Q388">
        <v>5.18</v>
      </c>
      <c r="R388" s="1">
        <v>45082</v>
      </c>
      <c r="S388">
        <v>5.12</v>
      </c>
      <c r="T388" s="1">
        <v>45082</v>
      </c>
      <c r="U388">
        <v>5.17</v>
      </c>
      <c r="V388" s="1">
        <v>45082</v>
      </c>
      <c r="W388">
        <v>5.21</v>
      </c>
      <c r="X388" s="1">
        <v>45082</v>
      </c>
      <c r="Y388">
        <f>NETWORKDAYS(X388,$Z$1,FERIADO!$A$2:$A$408)</f>
        <v>1914</v>
      </c>
      <c r="Z388">
        <v>11.14</v>
      </c>
      <c r="AA388" s="6">
        <f t="shared" si="47"/>
        <v>44833.582971670709</v>
      </c>
      <c r="AB388" s="2">
        <f t="shared" si="48"/>
        <v>5.5227872010497354E-3</v>
      </c>
      <c r="AJ388" s="1">
        <v>45082</v>
      </c>
      <c r="AK388">
        <f>NETWORKDAYS(AJ388,$AJ$1,FERIADO!$A$2:$A$408)</f>
        <v>901</v>
      </c>
      <c r="AL388">
        <v>10.555</v>
      </c>
      <c r="AM388" s="6">
        <f t="shared" si="49"/>
        <v>69853.788771387713</v>
      </c>
      <c r="AN388" s="2">
        <f t="shared" si="50"/>
        <v>3.3334088784746411E-3</v>
      </c>
      <c r="AP388" s="11">
        <f t="shared" si="51"/>
        <v>2.7613936005248677E-3</v>
      </c>
      <c r="AQ388" s="11">
        <f t="shared" si="52"/>
        <v>1.0000226635423922E-3</v>
      </c>
      <c r="AR388" s="11">
        <f t="shared" si="53"/>
        <v>3.7614162640672599E-3</v>
      </c>
    </row>
    <row r="389" spans="2:44" x14ac:dyDescent="0.35">
      <c r="B389" s="1">
        <v>45079</v>
      </c>
      <c r="C389">
        <v>4580.3999999999996</v>
      </c>
      <c r="D389" s="1">
        <v>45079</v>
      </c>
      <c r="E389">
        <v>4.9551999999999996</v>
      </c>
      <c r="F389" s="1">
        <v>45077</v>
      </c>
      <c r="G389">
        <v>114.41</v>
      </c>
      <c r="H389" s="4">
        <f t="shared" si="54"/>
        <v>566924.43199999991</v>
      </c>
      <c r="I389" s="5">
        <v>45079</v>
      </c>
      <c r="J389" s="4">
        <v>5306.6</v>
      </c>
      <c r="K389" s="4">
        <f t="shared" ref="K389:K452" si="55">J389*10</f>
        <v>53066</v>
      </c>
      <c r="L389" s="1">
        <v>45079</v>
      </c>
      <c r="M389">
        <v>5.41</v>
      </c>
      <c r="N389" s="1">
        <v>45079</v>
      </c>
      <c r="O389">
        <v>5.23</v>
      </c>
      <c r="P389" s="1">
        <v>45079</v>
      </c>
      <c r="Q389">
        <v>5.23</v>
      </c>
      <c r="R389" s="1">
        <v>45079</v>
      </c>
      <c r="S389">
        <v>5.21</v>
      </c>
      <c r="T389" s="1">
        <v>45079</v>
      </c>
      <c r="U389">
        <v>5.24</v>
      </c>
      <c r="V389" s="1">
        <v>45079</v>
      </c>
      <c r="W389">
        <v>5.28</v>
      </c>
      <c r="X389" s="1">
        <v>45079</v>
      </c>
      <c r="Y389">
        <f>NETWORKDAYS(X389,$Z$1,FERIADO!$A$2:$A$408)</f>
        <v>1915</v>
      </c>
      <c r="Z389">
        <v>11.32</v>
      </c>
      <c r="AA389" s="6">
        <f t="shared" ref="AA389:AA452" si="56">$Z$2/(1+Z389/100)^(Y389/252)</f>
        <v>44267.05810279373</v>
      </c>
      <c r="AB389" s="2">
        <f t="shared" ref="AB389:AB452" si="57">LOG(AA389/AA390)</f>
        <v>3.7423834211815516E-3</v>
      </c>
      <c r="AJ389" s="1">
        <v>45079</v>
      </c>
      <c r="AK389">
        <f>NETWORKDAYS(AJ389,$AJ$1,FERIADO!$A$2:$A$408)</f>
        <v>902</v>
      </c>
      <c r="AL389">
        <v>10.78</v>
      </c>
      <c r="AM389" s="6">
        <f t="shared" ref="AM389:AM452" si="58">$Z$2/(1+AL389/100)^(AK389/252)</f>
        <v>69319.681359534763</v>
      </c>
      <c r="AN389" s="2">
        <f t="shared" ref="AN389:AN452" si="59">LOG(AM389/AM390)</f>
        <v>1.2998571521742695E-3</v>
      </c>
      <c r="AP389" s="11">
        <f t="shared" ref="AP389:AP452" si="60">AB389*$AF$4</f>
        <v>1.8711917105907758E-3</v>
      </c>
      <c r="AQ389" s="11">
        <f t="shared" ref="AQ389:AQ452" si="61">AN389*$AF$7</f>
        <v>3.8995714565228084E-4</v>
      </c>
      <c r="AR389" s="11">
        <f t="shared" ref="AR389:AR452" si="62">AQ389+AP389</f>
        <v>2.2611488562430566E-3</v>
      </c>
    </row>
    <row r="390" spans="2:44" x14ac:dyDescent="0.35">
      <c r="B390" s="1">
        <v>45078</v>
      </c>
      <c r="C390">
        <v>4514.04</v>
      </c>
      <c r="D390" s="1">
        <v>45078</v>
      </c>
      <c r="E390">
        <v>5.0343999999999998</v>
      </c>
      <c r="F390" s="1">
        <v>45076</v>
      </c>
      <c r="G390">
        <v>114.08799999999999</v>
      </c>
      <c r="H390" s="4">
        <f t="shared" si="54"/>
        <v>574364.62719999999</v>
      </c>
      <c r="I390" s="5">
        <v>45078</v>
      </c>
      <c r="J390" s="4">
        <v>5369.41</v>
      </c>
      <c r="K390" s="4">
        <f t="shared" si="55"/>
        <v>53694.1</v>
      </c>
      <c r="L390" s="1">
        <v>45078</v>
      </c>
      <c r="M390">
        <v>5.39</v>
      </c>
      <c r="N390" s="1">
        <v>45078</v>
      </c>
      <c r="O390">
        <v>5.25</v>
      </c>
      <c r="P390" s="1">
        <v>45078</v>
      </c>
      <c r="Q390">
        <v>5.28</v>
      </c>
      <c r="R390" s="1">
        <v>45078</v>
      </c>
      <c r="S390">
        <v>5.28</v>
      </c>
      <c r="T390" s="1">
        <v>45078</v>
      </c>
      <c r="U390">
        <v>5.3</v>
      </c>
      <c r="V390" s="1">
        <v>45078</v>
      </c>
      <c r="W390">
        <v>5.35</v>
      </c>
      <c r="X390" s="1">
        <v>45078</v>
      </c>
      <c r="Y390">
        <f>NETWORKDAYS(X390,$Z$1,FERIADO!$A$2:$A$408)</f>
        <v>1916</v>
      </c>
      <c r="Z390">
        <v>11.44</v>
      </c>
      <c r="AA390" s="6">
        <f t="shared" si="56"/>
        <v>43887.24076811214</v>
      </c>
      <c r="AB390" s="2">
        <f t="shared" si="57"/>
        <v>3.1499326718111174E-3</v>
      </c>
      <c r="AJ390" s="1">
        <v>45078</v>
      </c>
      <c r="AK390">
        <f>NETWORKDAYS(AJ390,$AJ$1,FERIADO!$A$2:$A$408)</f>
        <v>903</v>
      </c>
      <c r="AL390">
        <v>10.86</v>
      </c>
      <c r="AM390" s="6">
        <f t="shared" si="58"/>
        <v>69112.515537269763</v>
      </c>
      <c r="AN390" s="2">
        <f t="shared" si="59"/>
        <v>1.371748139820828E-3</v>
      </c>
      <c r="AP390" s="11">
        <f t="shared" si="60"/>
        <v>1.5749663359055587E-3</v>
      </c>
      <c r="AQ390" s="11">
        <f t="shared" si="61"/>
        <v>4.115244419462484E-4</v>
      </c>
      <c r="AR390" s="11">
        <f t="shared" si="62"/>
        <v>1.9864907778518069E-3</v>
      </c>
    </row>
    <row r="391" spans="2:44" x14ac:dyDescent="0.35">
      <c r="B391" s="1">
        <v>45077</v>
      </c>
      <c r="C391">
        <v>4465.29</v>
      </c>
      <c r="D391" s="1">
        <v>45077</v>
      </c>
      <c r="E391">
        <v>5.0952999999999999</v>
      </c>
      <c r="F391" s="1">
        <v>45075</v>
      </c>
      <c r="G391">
        <v>112.6</v>
      </c>
      <c r="H391" s="4">
        <f t="shared" si="54"/>
        <v>573730.78</v>
      </c>
      <c r="I391" s="5">
        <v>45077</v>
      </c>
      <c r="J391" s="4">
        <v>5410.92</v>
      </c>
      <c r="K391" s="4">
        <f t="shared" si="55"/>
        <v>54109.2</v>
      </c>
      <c r="L391" s="1">
        <v>45077</v>
      </c>
      <c r="M391">
        <v>5.44</v>
      </c>
      <c r="N391" s="1">
        <v>45077</v>
      </c>
      <c r="O391">
        <v>5.25</v>
      </c>
      <c r="P391" s="1">
        <v>45077</v>
      </c>
      <c r="Q391">
        <v>5.29</v>
      </c>
      <c r="R391" s="1">
        <v>45077</v>
      </c>
      <c r="S391">
        <v>5.27</v>
      </c>
      <c r="T391" s="1">
        <v>45077</v>
      </c>
      <c r="U391">
        <v>5.33</v>
      </c>
      <c r="V391" s="1">
        <v>45077</v>
      </c>
      <c r="W391">
        <v>5.36</v>
      </c>
      <c r="X391" s="1">
        <v>45077</v>
      </c>
      <c r="Y391">
        <f>NETWORKDAYS(X391,$Z$1,FERIADO!$A$2:$A$408)</f>
        <v>1917</v>
      </c>
      <c r="Z391">
        <v>11.54</v>
      </c>
      <c r="AA391" s="6">
        <f t="shared" si="56"/>
        <v>43570.07871352166</v>
      </c>
      <c r="AB391" s="2">
        <f t="shared" si="57"/>
        <v>4.8455135996192702E-4</v>
      </c>
      <c r="AJ391" s="1">
        <v>45077</v>
      </c>
      <c r="AK391">
        <f>NETWORKDAYS(AJ391,$AJ$1,FERIADO!$A$2:$A$408)</f>
        <v>904</v>
      </c>
      <c r="AL391">
        <v>10.945</v>
      </c>
      <c r="AM391" s="6">
        <f t="shared" si="58"/>
        <v>68894.563428329086</v>
      </c>
      <c r="AN391" s="2">
        <f t="shared" si="59"/>
        <v>2.4928753675448531E-4</v>
      </c>
      <c r="AP391" s="11">
        <f t="shared" si="60"/>
        <v>2.4227567998096351E-4</v>
      </c>
      <c r="AQ391" s="11">
        <f t="shared" si="61"/>
        <v>7.4786261026345597E-5</v>
      </c>
      <c r="AR391" s="11">
        <f t="shared" si="62"/>
        <v>3.1706194100730912E-4</v>
      </c>
    </row>
    <row r="392" spans="2:44" x14ac:dyDescent="0.35">
      <c r="B392" s="1">
        <v>45076</v>
      </c>
      <c r="C392">
        <v>4496.8599999999997</v>
      </c>
      <c r="D392" s="1">
        <v>45076</v>
      </c>
      <c r="E392">
        <v>5.0587</v>
      </c>
      <c r="F392" s="1">
        <v>45072</v>
      </c>
      <c r="G392">
        <v>112.49</v>
      </c>
      <c r="H392" s="4">
        <f t="shared" si="54"/>
        <v>569053.16299999994</v>
      </c>
      <c r="I392" s="5">
        <v>45076</v>
      </c>
      <c r="J392" s="4">
        <v>5393.36</v>
      </c>
      <c r="K392" s="4">
        <f t="shared" si="55"/>
        <v>53933.599999999999</v>
      </c>
      <c r="L392" s="1">
        <v>45076</v>
      </c>
      <c r="M392">
        <v>5.44</v>
      </c>
      <c r="N392" s="1">
        <v>45076</v>
      </c>
      <c r="O392">
        <v>5.27</v>
      </c>
      <c r="P392" s="1">
        <v>45076</v>
      </c>
      <c r="Q392">
        <v>5.28</v>
      </c>
      <c r="R392" s="1">
        <v>45076</v>
      </c>
      <c r="S392">
        <v>5.26</v>
      </c>
      <c r="T392" s="1">
        <v>45076</v>
      </c>
      <c r="U392">
        <v>5.34</v>
      </c>
      <c r="V392" s="1">
        <v>45076</v>
      </c>
      <c r="W392">
        <v>5.35</v>
      </c>
      <c r="X392" s="1">
        <v>45076</v>
      </c>
      <c r="Y392">
        <f>NETWORKDAYS(X392,$Z$1,FERIADO!$A$2:$A$408)</f>
        <v>1918</v>
      </c>
      <c r="Z392">
        <v>11.55</v>
      </c>
      <c r="AA392" s="6">
        <f t="shared" si="56"/>
        <v>43521.493781782272</v>
      </c>
      <c r="AB392" s="2">
        <f t="shared" si="57"/>
        <v>1.8837132785656373E-4</v>
      </c>
      <c r="AJ392" s="1">
        <v>45076</v>
      </c>
      <c r="AK392">
        <f>NETWORKDAYS(AJ392,$AJ$1,FERIADO!$A$2:$A$408)</f>
        <v>905</v>
      </c>
      <c r="AL392">
        <v>10.95</v>
      </c>
      <c r="AM392" s="6">
        <f t="shared" si="58"/>
        <v>68855.028899284473</v>
      </c>
      <c r="AN392" s="2">
        <f t="shared" si="59"/>
        <v>4.6050993530410576E-4</v>
      </c>
      <c r="AP392" s="11">
        <f t="shared" si="60"/>
        <v>9.4185663928281866E-5</v>
      </c>
      <c r="AQ392" s="11">
        <f t="shared" si="61"/>
        <v>1.3815298059123172E-4</v>
      </c>
      <c r="AR392" s="11">
        <f t="shared" si="62"/>
        <v>2.3233864451951359E-4</v>
      </c>
    </row>
    <row r="393" spans="2:44" x14ac:dyDescent="0.35">
      <c r="B393" s="1">
        <v>45075</v>
      </c>
      <c r="C393">
        <v>4504.03</v>
      </c>
      <c r="D393" s="1">
        <v>45075</v>
      </c>
      <c r="E393">
        <v>4.9947999999999997</v>
      </c>
      <c r="F393" s="1">
        <v>45071</v>
      </c>
      <c r="G393">
        <v>112.54</v>
      </c>
      <c r="H393" s="4">
        <f t="shared" si="54"/>
        <v>562114.79200000002</v>
      </c>
      <c r="I393" s="5">
        <v>45075</v>
      </c>
      <c r="J393" s="4">
        <v>5374.1</v>
      </c>
      <c r="K393" s="4">
        <f t="shared" si="55"/>
        <v>53741</v>
      </c>
      <c r="L393" s="1">
        <v>45075</v>
      </c>
      <c r="M393">
        <v>5.45</v>
      </c>
      <c r="N393" s="1">
        <v>45075</v>
      </c>
      <c r="O393">
        <v>5.27</v>
      </c>
      <c r="P393" s="1">
        <v>45075</v>
      </c>
      <c r="Q393">
        <v>5.3</v>
      </c>
      <c r="R393" s="1">
        <v>45075</v>
      </c>
      <c r="S393">
        <v>5.28</v>
      </c>
      <c r="T393" s="1">
        <v>45075</v>
      </c>
      <c r="U393">
        <v>5.35</v>
      </c>
      <c r="V393" s="1">
        <v>45075</v>
      </c>
      <c r="W393">
        <v>5.38</v>
      </c>
      <c r="X393" s="1">
        <v>45075</v>
      </c>
      <c r="Y393">
        <f>NETWORKDAYS(X393,$Z$1,FERIADO!$A$2:$A$408)</f>
        <v>1919</v>
      </c>
      <c r="Z393">
        <v>11.55</v>
      </c>
      <c r="AA393" s="6">
        <f t="shared" si="56"/>
        <v>43502.620818333686</v>
      </c>
      <c r="AB393" s="2">
        <f t="shared" si="57"/>
        <v>-1.888692128066556E-3</v>
      </c>
      <c r="AJ393" s="1">
        <v>45075</v>
      </c>
      <c r="AK393">
        <f>NETWORKDAYS(AJ393,$AJ$1,FERIADO!$A$2:$A$408)</f>
        <v>906</v>
      </c>
      <c r="AL393">
        <v>10.97</v>
      </c>
      <c r="AM393" s="6">
        <f t="shared" si="58"/>
        <v>68782.05624837699</v>
      </c>
      <c r="AN393" s="2">
        <f t="shared" si="59"/>
        <v>-3.8415145545036433E-4</v>
      </c>
      <c r="AP393" s="11">
        <f t="shared" si="60"/>
        <v>-9.4434606403327802E-4</v>
      </c>
      <c r="AQ393" s="11">
        <f t="shared" si="61"/>
        <v>-1.1524543663510929E-4</v>
      </c>
      <c r="AR393" s="11">
        <f t="shared" si="62"/>
        <v>-1.0595915006683873E-3</v>
      </c>
    </row>
    <row r="394" spans="2:44" x14ac:dyDescent="0.35">
      <c r="B394" s="1">
        <v>45072</v>
      </c>
      <c r="C394">
        <v>4501.9399999999996</v>
      </c>
      <c r="D394" s="1">
        <v>45072</v>
      </c>
      <c r="E394">
        <v>5.0107999999999997</v>
      </c>
      <c r="F394" s="1">
        <v>45070</v>
      </c>
      <c r="G394">
        <v>113.28400000000001</v>
      </c>
      <c r="H394" s="4">
        <f t="shared" si="54"/>
        <v>567643.46720000007</v>
      </c>
      <c r="I394" s="5">
        <v>45072</v>
      </c>
      <c r="J394" s="4">
        <v>5352.16</v>
      </c>
      <c r="K394" s="4">
        <f t="shared" si="55"/>
        <v>53521.599999999999</v>
      </c>
      <c r="L394" s="1">
        <v>45072</v>
      </c>
      <c r="M394">
        <v>5.47</v>
      </c>
      <c r="N394" s="1">
        <v>45072</v>
      </c>
      <c r="O394">
        <v>5.33</v>
      </c>
      <c r="P394" s="1">
        <v>45072</v>
      </c>
      <c r="Q394">
        <v>5.34</v>
      </c>
      <c r="R394" s="1">
        <v>45072</v>
      </c>
      <c r="S394">
        <v>5.28</v>
      </c>
      <c r="T394" s="1">
        <v>45072</v>
      </c>
      <c r="U394">
        <v>5.36</v>
      </c>
      <c r="V394" s="1">
        <v>45072</v>
      </c>
      <c r="W394">
        <v>5.39</v>
      </c>
      <c r="X394" s="1">
        <v>45072</v>
      </c>
      <c r="Y394">
        <f>NETWORKDAYS(X394,$Z$1,FERIADO!$A$2:$A$408)</f>
        <v>1920</v>
      </c>
      <c r="Z394">
        <v>11.48</v>
      </c>
      <c r="AA394" s="6">
        <f t="shared" si="56"/>
        <v>43692.220222877462</v>
      </c>
      <c r="AB394" s="2">
        <f t="shared" si="57"/>
        <v>4.6388617008202362E-3</v>
      </c>
      <c r="AJ394" s="1">
        <v>45072</v>
      </c>
      <c r="AK394">
        <f>NETWORKDAYS(AJ394,$AJ$1,FERIADO!$A$2:$A$408)</f>
        <v>907</v>
      </c>
      <c r="AL394">
        <v>10.93</v>
      </c>
      <c r="AM394" s="6">
        <f t="shared" si="58"/>
        <v>68842.92374166254</v>
      </c>
      <c r="AN394" s="2">
        <f t="shared" si="59"/>
        <v>1.5183140274611275E-3</v>
      </c>
      <c r="AP394" s="11">
        <f t="shared" si="60"/>
        <v>2.3194308504101181E-3</v>
      </c>
      <c r="AQ394" s="11">
        <f t="shared" si="61"/>
        <v>4.5549420823833822E-4</v>
      </c>
      <c r="AR394" s="11">
        <f t="shared" si="62"/>
        <v>2.7749250586484565E-3</v>
      </c>
    </row>
    <row r="395" spans="2:44" x14ac:dyDescent="0.35">
      <c r="B395" s="1">
        <v>45071</v>
      </c>
      <c r="C395">
        <v>4437.43</v>
      </c>
      <c r="D395" s="1">
        <v>45071</v>
      </c>
      <c r="E395">
        <v>4.9984000000000002</v>
      </c>
      <c r="F395" s="1">
        <v>45069</v>
      </c>
      <c r="G395">
        <v>113.55</v>
      </c>
      <c r="H395" s="4">
        <f t="shared" si="54"/>
        <v>567568.31999999995</v>
      </c>
      <c r="I395" s="5">
        <v>45071</v>
      </c>
      <c r="J395" s="4">
        <v>5394.43</v>
      </c>
      <c r="K395" s="4">
        <f t="shared" si="55"/>
        <v>53944.3</v>
      </c>
      <c r="L395" s="1">
        <v>45071</v>
      </c>
      <c r="M395">
        <v>5.44</v>
      </c>
      <c r="N395" s="1">
        <v>45071</v>
      </c>
      <c r="O395">
        <v>5.27</v>
      </c>
      <c r="P395" s="1">
        <v>45071</v>
      </c>
      <c r="Q395">
        <v>5.3</v>
      </c>
      <c r="R395" s="1">
        <v>45071</v>
      </c>
      <c r="S395">
        <v>5.3</v>
      </c>
      <c r="T395" s="1">
        <v>45071</v>
      </c>
      <c r="U395">
        <v>5.39</v>
      </c>
      <c r="V395" s="1">
        <v>45071</v>
      </c>
      <c r="W395">
        <v>5.42</v>
      </c>
      <c r="X395" s="1">
        <v>45071</v>
      </c>
      <c r="Y395">
        <f>NETWORKDAYS(X395,$Z$1,FERIADO!$A$2:$A$408)</f>
        <v>1921</v>
      </c>
      <c r="Z395">
        <v>11.63</v>
      </c>
      <c r="AA395" s="6">
        <f t="shared" si="56"/>
        <v>43228.010896688109</v>
      </c>
      <c r="AB395" s="2">
        <f t="shared" si="57"/>
        <v>4.8631998275431481E-4</v>
      </c>
      <c r="AJ395" s="1">
        <v>45071</v>
      </c>
      <c r="AK395">
        <f>NETWORKDAYS(AJ395,$AJ$1,FERIADO!$A$2:$A$408)</f>
        <v>908</v>
      </c>
      <c r="AL395">
        <v>11.025</v>
      </c>
      <c r="AM395" s="6">
        <f t="shared" si="58"/>
        <v>68602.665848882694</v>
      </c>
      <c r="AN395" s="2">
        <f t="shared" si="59"/>
        <v>1.8020508752407238E-3</v>
      </c>
      <c r="AP395" s="11">
        <f t="shared" si="60"/>
        <v>2.431599913771574E-4</v>
      </c>
      <c r="AQ395" s="11">
        <f t="shared" si="61"/>
        <v>5.4061526257221716E-4</v>
      </c>
      <c r="AR395" s="11">
        <f t="shared" si="62"/>
        <v>7.8377525394937456E-4</v>
      </c>
    </row>
    <row r="396" spans="2:44" x14ac:dyDescent="0.35">
      <c r="B396" s="1">
        <v>45070</v>
      </c>
      <c r="C396">
        <v>4427.12</v>
      </c>
      <c r="D396" s="1">
        <v>45070</v>
      </c>
      <c r="E396">
        <v>4.9467999999999996</v>
      </c>
      <c r="F396" s="1">
        <v>45068</v>
      </c>
      <c r="G396">
        <v>113.48</v>
      </c>
      <c r="H396" s="4">
        <f t="shared" si="54"/>
        <v>561362.86399999994</v>
      </c>
      <c r="I396" s="5">
        <v>45070</v>
      </c>
      <c r="J396" s="4">
        <v>5313.64</v>
      </c>
      <c r="K396" s="4">
        <f t="shared" si="55"/>
        <v>53136.4</v>
      </c>
      <c r="L396" s="1">
        <v>45070</v>
      </c>
      <c r="M396">
        <v>5.49</v>
      </c>
      <c r="N396" s="1">
        <v>45070</v>
      </c>
      <c r="O396">
        <v>5.33</v>
      </c>
      <c r="P396" s="1">
        <v>45070</v>
      </c>
      <c r="Q396">
        <v>5.37</v>
      </c>
      <c r="R396" s="1">
        <v>45070</v>
      </c>
      <c r="S396">
        <v>5.36</v>
      </c>
      <c r="T396" s="1">
        <v>45070</v>
      </c>
      <c r="U396">
        <v>5.43</v>
      </c>
      <c r="V396" s="1">
        <v>45070</v>
      </c>
      <c r="W396">
        <v>5.46</v>
      </c>
      <c r="X396" s="1">
        <v>45070</v>
      </c>
      <c r="Y396">
        <f>NETWORKDAYS(X396,$Z$1,FERIADO!$A$2:$A$408)</f>
        <v>1922</v>
      </c>
      <c r="Z396">
        <v>11.64</v>
      </c>
      <c r="AA396" s="6">
        <f t="shared" si="56"/>
        <v>43179.631558993467</v>
      </c>
      <c r="AB396" s="2">
        <f t="shared" si="57"/>
        <v>2.2670895702349347E-3</v>
      </c>
      <c r="AJ396" s="1">
        <v>45070</v>
      </c>
      <c r="AK396">
        <f>NETWORKDAYS(AJ396,$AJ$1,FERIADO!$A$2:$A$408)</f>
        <v>909</v>
      </c>
      <c r="AL396">
        <v>11.14</v>
      </c>
      <c r="AM396" s="6">
        <f t="shared" si="58"/>
        <v>68318.59739012309</v>
      </c>
      <c r="AN396" s="2">
        <f t="shared" si="59"/>
        <v>1.0284510215343833E-3</v>
      </c>
      <c r="AP396" s="11">
        <f t="shared" si="60"/>
        <v>1.1335447851174674E-3</v>
      </c>
      <c r="AQ396" s="11">
        <f t="shared" si="61"/>
        <v>3.08535306460315E-4</v>
      </c>
      <c r="AR396" s="11">
        <f t="shared" si="62"/>
        <v>1.4420800915777823E-3</v>
      </c>
    </row>
    <row r="397" spans="2:44" x14ac:dyDescent="0.35">
      <c r="B397" s="1">
        <v>45069</v>
      </c>
      <c r="C397">
        <v>4438.3</v>
      </c>
      <c r="D397" s="1">
        <v>45069</v>
      </c>
      <c r="E397">
        <v>4.9668000000000001</v>
      </c>
      <c r="F397" s="1">
        <v>45065</v>
      </c>
      <c r="G397">
        <v>113.49299999999999</v>
      </c>
      <c r="H397" s="4">
        <f t="shared" si="54"/>
        <v>563697.03240000003</v>
      </c>
      <c r="I397" s="5">
        <v>45069</v>
      </c>
      <c r="J397" s="4">
        <v>5329.69</v>
      </c>
      <c r="K397" s="4">
        <f t="shared" si="55"/>
        <v>53296.899999999994</v>
      </c>
      <c r="L397" s="1">
        <v>45069</v>
      </c>
      <c r="M397">
        <v>5.52</v>
      </c>
      <c r="N397" s="1">
        <v>45069</v>
      </c>
      <c r="O397">
        <v>5.37</v>
      </c>
      <c r="P397" s="1">
        <v>45069</v>
      </c>
      <c r="Q397">
        <v>5.43</v>
      </c>
      <c r="R397" s="1">
        <v>45069</v>
      </c>
      <c r="S397">
        <v>5.39</v>
      </c>
      <c r="T397" s="1">
        <v>45069</v>
      </c>
      <c r="U397">
        <v>5.46</v>
      </c>
      <c r="V397" s="1">
        <v>45069</v>
      </c>
      <c r="W397">
        <v>5.51</v>
      </c>
      <c r="X397" s="1">
        <v>45069</v>
      </c>
      <c r="Y397">
        <f>NETWORKDAYS(X397,$Z$1,FERIADO!$A$2:$A$408)</f>
        <v>1923</v>
      </c>
      <c r="Z397">
        <v>11.71</v>
      </c>
      <c r="AA397" s="6">
        <f t="shared" si="56"/>
        <v>42954.813989531904</v>
      </c>
      <c r="AB397" s="2">
        <f t="shared" si="57"/>
        <v>4.3437544016821468E-3</v>
      </c>
      <c r="AJ397" s="1">
        <v>45069</v>
      </c>
      <c r="AK397">
        <f>NETWORKDAYS(AJ397,$AJ$1,FERIADO!$A$2:$A$408)</f>
        <v>910</v>
      </c>
      <c r="AL397">
        <v>11.2</v>
      </c>
      <c r="AM397" s="6">
        <f t="shared" si="58"/>
        <v>68157.003803607353</v>
      </c>
      <c r="AN397" s="2">
        <f t="shared" si="59"/>
        <v>1.8762963340937925E-3</v>
      </c>
      <c r="AP397" s="11">
        <f t="shared" si="60"/>
        <v>2.1718772008410734E-3</v>
      </c>
      <c r="AQ397" s="11">
        <f t="shared" si="61"/>
        <v>5.6288890022813769E-4</v>
      </c>
      <c r="AR397" s="11">
        <f t="shared" si="62"/>
        <v>2.7347661010692112E-3</v>
      </c>
    </row>
    <row r="398" spans="2:44" x14ac:dyDescent="0.35">
      <c r="B398" s="1">
        <v>45068</v>
      </c>
      <c r="C398">
        <v>4489</v>
      </c>
      <c r="D398" s="1">
        <v>45068</v>
      </c>
      <c r="E398">
        <v>4.9673999999999996</v>
      </c>
      <c r="F398" s="1">
        <v>45064</v>
      </c>
      <c r="G398">
        <v>113.96899999999999</v>
      </c>
      <c r="H398" s="4">
        <f t="shared" si="54"/>
        <v>566129.61060000001</v>
      </c>
      <c r="I398" s="5">
        <v>45068</v>
      </c>
      <c r="J398" s="4">
        <v>5327.02</v>
      </c>
      <c r="K398" s="4">
        <f t="shared" si="55"/>
        <v>53270.200000000004</v>
      </c>
      <c r="L398" s="1">
        <v>45068</v>
      </c>
      <c r="M398">
        <v>5.59</v>
      </c>
      <c r="N398" s="1">
        <v>45068</v>
      </c>
      <c r="O398">
        <v>5.4</v>
      </c>
      <c r="P398" s="1">
        <v>45068</v>
      </c>
      <c r="Q398">
        <v>5.45</v>
      </c>
      <c r="R398" s="1">
        <v>45068</v>
      </c>
      <c r="S398">
        <v>5.42</v>
      </c>
      <c r="T398" s="1">
        <v>45068</v>
      </c>
      <c r="U398">
        <v>5.47</v>
      </c>
      <c r="V398" s="1">
        <v>45068</v>
      </c>
      <c r="W398">
        <v>5.53</v>
      </c>
      <c r="X398" s="1">
        <v>45068</v>
      </c>
      <c r="Y398">
        <f>NETWORKDAYS(X398,$Z$1,FERIADO!$A$2:$A$408)</f>
        <v>1924</v>
      </c>
      <c r="Z398">
        <v>11.85</v>
      </c>
      <c r="AA398" s="6">
        <f t="shared" si="56"/>
        <v>42527.327172397148</v>
      </c>
      <c r="AB398" s="2">
        <f t="shared" si="57"/>
        <v>-1.03618338586485E-4</v>
      </c>
      <c r="AJ398" s="1">
        <v>45068</v>
      </c>
      <c r="AK398">
        <f>NETWORKDAYS(AJ398,$AJ$1,FERIADO!$A$2:$A$408)</f>
        <v>911</v>
      </c>
      <c r="AL398">
        <v>11.32</v>
      </c>
      <c r="AM398" s="6">
        <f t="shared" si="58"/>
        <v>67863.178090507208</v>
      </c>
      <c r="AN398" s="2">
        <f t="shared" si="59"/>
        <v>-3.0943010107274997E-4</v>
      </c>
      <c r="AP398" s="11">
        <f t="shared" si="60"/>
        <v>-5.1809169293242502E-5</v>
      </c>
      <c r="AQ398" s="11">
        <f t="shared" si="61"/>
        <v>-9.2829030321824982E-5</v>
      </c>
      <c r="AR398" s="11">
        <f t="shared" si="62"/>
        <v>-1.4463819961506747E-4</v>
      </c>
    </row>
    <row r="399" spans="2:44" x14ac:dyDescent="0.35">
      <c r="B399" s="1">
        <v>45065</v>
      </c>
      <c r="C399">
        <v>4480.51</v>
      </c>
      <c r="D399" s="1">
        <v>45065</v>
      </c>
      <c r="E399">
        <v>4.9851999999999999</v>
      </c>
      <c r="F399" s="1">
        <v>45063</v>
      </c>
      <c r="G399">
        <v>114.614</v>
      </c>
      <c r="H399" s="4">
        <f t="shared" si="54"/>
        <v>571373.71279999998</v>
      </c>
      <c r="I399" s="5">
        <v>45065</v>
      </c>
      <c r="J399" s="4">
        <v>5360.72</v>
      </c>
      <c r="K399" s="4">
        <f t="shared" si="55"/>
        <v>53607.200000000004</v>
      </c>
      <c r="L399" s="1">
        <v>45065</v>
      </c>
      <c r="M399">
        <v>5.52</v>
      </c>
      <c r="N399" s="1">
        <v>45065</v>
      </c>
      <c r="O399">
        <v>5.33</v>
      </c>
      <c r="P399" s="1">
        <v>45065</v>
      </c>
      <c r="Q399">
        <v>5.39</v>
      </c>
      <c r="R399" s="1">
        <v>45065</v>
      </c>
      <c r="S399">
        <v>5.39</v>
      </c>
      <c r="T399" s="1">
        <v>45065</v>
      </c>
      <c r="U399">
        <v>5.46</v>
      </c>
      <c r="V399" s="1">
        <v>45065</v>
      </c>
      <c r="W399">
        <v>5.5</v>
      </c>
      <c r="X399" s="1">
        <v>45065</v>
      </c>
      <c r="Y399">
        <f>NETWORKDAYS(X399,$Z$1,FERIADO!$A$2:$A$408)</f>
        <v>1925</v>
      </c>
      <c r="Z399">
        <v>11.84</v>
      </c>
      <c r="AA399" s="6">
        <f t="shared" si="56"/>
        <v>42537.474979699175</v>
      </c>
      <c r="AB399" s="2">
        <f t="shared" si="57"/>
        <v>1.9284586667310815E-4</v>
      </c>
      <c r="AJ399" s="1">
        <v>45065</v>
      </c>
      <c r="AK399">
        <f>NETWORKDAYS(AJ399,$AJ$1,FERIADO!$A$2:$A$408)</f>
        <v>912</v>
      </c>
      <c r="AL399">
        <v>11.285</v>
      </c>
      <c r="AM399" s="6">
        <f t="shared" si="58"/>
        <v>67911.547096920171</v>
      </c>
      <c r="AN399" s="2">
        <f t="shared" si="59"/>
        <v>2.5496562730087304E-4</v>
      </c>
      <c r="AP399" s="11">
        <f t="shared" si="60"/>
        <v>9.6422933336554073E-5</v>
      </c>
      <c r="AQ399" s="11">
        <f t="shared" si="61"/>
        <v>7.6489688190261904E-5</v>
      </c>
      <c r="AR399" s="11">
        <f t="shared" si="62"/>
        <v>1.7291262152681596E-4</v>
      </c>
    </row>
    <row r="400" spans="2:44" x14ac:dyDescent="0.35">
      <c r="B400" s="1">
        <v>45064</v>
      </c>
      <c r="C400">
        <v>4496.8100000000004</v>
      </c>
      <c r="D400" s="1">
        <v>45064</v>
      </c>
      <c r="E400">
        <v>4.9641000000000002</v>
      </c>
      <c r="F400" s="1">
        <v>45062</v>
      </c>
      <c r="G400">
        <v>114.932</v>
      </c>
      <c r="H400" s="4">
        <f t="shared" si="54"/>
        <v>570533.94120000012</v>
      </c>
      <c r="I400" s="5">
        <v>45064</v>
      </c>
      <c r="J400" s="4">
        <v>5328.62</v>
      </c>
      <c r="K400" s="4">
        <f t="shared" si="55"/>
        <v>53286.2</v>
      </c>
      <c r="L400" s="1">
        <v>45064</v>
      </c>
      <c r="M400">
        <v>5.5</v>
      </c>
      <c r="N400" s="1">
        <v>45064</v>
      </c>
      <c r="O400">
        <v>5.3</v>
      </c>
      <c r="P400" s="1">
        <v>45064</v>
      </c>
      <c r="Q400">
        <v>5.36</v>
      </c>
      <c r="R400" s="1">
        <v>45064</v>
      </c>
      <c r="S400">
        <v>5.37</v>
      </c>
      <c r="T400" s="1">
        <v>45064</v>
      </c>
      <c r="U400">
        <v>5.44</v>
      </c>
      <c r="V400" s="1">
        <v>45064</v>
      </c>
      <c r="W400">
        <v>5.5</v>
      </c>
      <c r="X400" s="1">
        <v>45064</v>
      </c>
      <c r="Y400">
        <f>NETWORKDAYS(X400,$Z$1,FERIADO!$A$2:$A$408)</f>
        <v>1926</v>
      </c>
      <c r="Z400">
        <v>11.84</v>
      </c>
      <c r="AA400" s="6">
        <f t="shared" si="56"/>
        <v>42518.590661444694</v>
      </c>
      <c r="AB400" s="2">
        <f t="shared" si="57"/>
        <v>-2.7778798649404184E-3</v>
      </c>
      <c r="AJ400" s="1">
        <v>45064</v>
      </c>
      <c r="AK400">
        <f>NETWORKDAYS(AJ400,$AJ$1,FERIADO!$A$2:$A$408)</f>
        <v>913</v>
      </c>
      <c r="AL400">
        <v>11.29</v>
      </c>
      <c r="AM400" s="6">
        <f t="shared" si="58"/>
        <v>67871.6892832835</v>
      </c>
      <c r="AN400" s="2">
        <f t="shared" si="59"/>
        <v>-5.2350050435278337E-4</v>
      </c>
      <c r="AP400" s="11">
        <f t="shared" si="60"/>
        <v>-1.3889399324702092E-3</v>
      </c>
      <c r="AQ400" s="11">
        <f t="shared" si="61"/>
        <v>-1.5705015130583502E-4</v>
      </c>
      <c r="AR400" s="11">
        <f t="shared" si="62"/>
        <v>-1.5459900837760442E-3</v>
      </c>
    </row>
    <row r="401" spans="2:44" x14ac:dyDescent="0.35">
      <c r="B401" s="1">
        <v>45063</v>
      </c>
      <c r="C401">
        <v>4450.0200000000004</v>
      </c>
      <c r="D401" s="1">
        <v>45063</v>
      </c>
      <c r="E401">
        <v>4.9507000000000003</v>
      </c>
      <c r="F401" s="1">
        <v>45061</v>
      </c>
      <c r="G401">
        <v>115.25</v>
      </c>
      <c r="H401" s="4">
        <f t="shared" si="54"/>
        <v>570568.17500000005</v>
      </c>
      <c r="I401" s="5">
        <v>45063</v>
      </c>
      <c r="J401" s="4">
        <v>5299.73</v>
      </c>
      <c r="K401" s="4">
        <f t="shared" si="55"/>
        <v>52997.299999999996</v>
      </c>
      <c r="L401" s="1">
        <v>45063</v>
      </c>
      <c r="M401">
        <v>5.43</v>
      </c>
      <c r="N401" s="1">
        <v>45063</v>
      </c>
      <c r="O401">
        <v>5.29</v>
      </c>
      <c r="P401" s="1">
        <v>45063</v>
      </c>
      <c r="Q401">
        <v>5.33</v>
      </c>
      <c r="R401" s="1">
        <v>45063</v>
      </c>
      <c r="S401">
        <v>5.36</v>
      </c>
      <c r="T401" s="1">
        <v>45063</v>
      </c>
      <c r="U401">
        <v>5.45</v>
      </c>
      <c r="V401" s="1">
        <v>45063</v>
      </c>
      <c r="W401">
        <v>5.5</v>
      </c>
      <c r="X401" s="1">
        <v>45063</v>
      </c>
      <c r="Y401">
        <f>NETWORKDAYS(X401,$Z$1,FERIADO!$A$2:$A$408)</f>
        <v>1927</v>
      </c>
      <c r="Z401">
        <v>11.74</v>
      </c>
      <c r="AA401" s="6">
        <f t="shared" si="56"/>
        <v>42791.424158487505</v>
      </c>
      <c r="AB401" s="2">
        <f t="shared" si="57"/>
        <v>1.0832636502685709E-3</v>
      </c>
      <c r="AJ401" s="1">
        <v>45063</v>
      </c>
      <c r="AK401">
        <f>NETWORKDAYS(AJ401,$AJ$1,FERIADO!$A$2:$A$408)</f>
        <v>914</v>
      </c>
      <c r="AL401">
        <v>11.24</v>
      </c>
      <c r="AM401" s="6">
        <f t="shared" si="58"/>
        <v>67953.551448680853</v>
      </c>
      <c r="AN401" s="2">
        <f t="shared" si="59"/>
        <v>4.6706342381335007E-4</v>
      </c>
      <c r="AP401" s="11">
        <f t="shared" si="60"/>
        <v>5.4163182513428543E-4</v>
      </c>
      <c r="AQ401" s="11">
        <f t="shared" si="61"/>
        <v>1.4011902714400503E-4</v>
      </c>
      <c r="AR401" s="11">
        <f t="shared" si="62"/>
        <v>6.8175085227829043E-4</v>
      </c>
    </row>
    <row r="402" spans="2:44" x14ac:dyDescent="0.35">
      <c r="B402" s="1">
        <v>45062</v>
      </c>
      <c r="C402">
        <v>4406.42</v>
      </c>
      <c r="D402" s="1">
        <v>45062</v>
      </c>
      <c r="E402">
        <v>4.9116</v>
      </c>
      <c r="F402" s="1">
        <v>45058</v>
      </c>
      <c r="G402">
        <v>115.452</v>
      </c>
      <c r="H402" s="4">
        <f t="shared" si="54"/>
        <v>567054.04320000007</v>
      </c>
      <c r="I402" s="5">
        <v>45062</v>
      </c>
      <c r="J402" s="4">
        <v>5301.87</v>
      </c>
      <c r="K402" s="4">
        <f t="shared" si="55"/>
        <v>53018.7</v>
      </c>
      <c r="L402" s="1">
        <v>45062</v>
      </c>
      <c r="M402">
        <v>5.37</v>
      </c>
      <c r="N402" s="1">
        <v>45062</v>
      </c>
      <c r="O402">
        <v>5.23</v>
      </c>
      <c r="P402" s="1">
        <v>45062</v>
      </c>
      <c r="Q402">
        <v>5.32</v>
      </c>
      <c r="R402" s="1">
        <v>45062</v>
      </c>
      <c r="S402">
        <v>5.33</v>
      </c>
      <c r="T402" s="1">
        <v>45062</v>
      </c>
      <c r="U402">
        <v>5.45</v>
      </c>
      <c r="V402" s="1">
        <v>45062</v>
      </c>
      <c r="W402">
        <v>5.51</v>
      </c>
      <c r="X402" s="1">
        <v>45062</v>
      </c>
      <c r="Y402">
        <f>NETWORKDAYS(X402,$Z$1,FERIADO!$A$2:$A$408)</f>
        <v>1928</v>
      </c>
      <c r="Z402">
        <v>11.77</v>
      </c>
      <c r="AA402" s="6">
        <f t="shared" si="56"/>
        <v>42684.822225328055</v>
      </c>
      <c r="AB402" s="2">
        <f t="shared" si="57"/>
        <v>-4.272740971978186E-3</v>
      </c>
      <c r="AJ402" s="1">
        <v>45062</v>
      </c>
      <c r="AK402">
        <f>NETWORKDAYS(AJ402,$AJ$1,FERIADO!$A$2:$A$408)</f>
        <v>915</v>
      </c>
      <c r="AL402">
        <v>11.26</v>
      </c>
      <c r="AM402" s="6">
        <f t="shared" si="58"/>
        <v>67880.509862527615</v>
      </c>
      <c r="AN402" s="2">
        <f t="shared" si="59"/>
        <v>-1.3776352156024715E-3</v>
      </c>
      <c r="AP402" s="11">
        <f t="shared" si="60"/>
        <v>-2.136370485989093E-3</v>
      </c>
      <c r="AQ402" s="11">
        <f t="shared" si="61"/>
        <v>-4.1329056468074142E-4</v>
      </c>
      <c r="AR402" s="11">
        <f t="shared" si="62"/>
        <v>-2.5496610506698346E-3</v>
      </c>
    </row>
    <row r="403" spans="2:44" x14ac:dyDescent="0.35">
      <c r="B403" s="1">
        <v>45061</v>
      </c>
      <c r="C403">
        <v>4427.1099999999997</v>
      </c>
      <c r="D403" s="1">
        <v>45061</v>
      </c>
      <c r="E403">
        <v>4.9097</v>
      </c>
      <c r="F403" s="1">
        <v>45057</v>
      </c>
      <c r="G403">
        <v>116.11499999999999</v>
      </c>
      <c r="H403" s="4">
        <f t="shared" si="54"/>
        <v>570089.81550000003</v>
      </c>
      <c r="I403" s="5">
        <v>45061</v>
      </c>
      <c r="J403" s="4">
        <v>5254.26</v>
      </c>
      <c r="K403" s="4">
        <f t="shared" si="55"/>
        <v>52542.600000000006</v>
      </c>
      <c r="L403" s="1">
        <v>45061</v>
      </c>
      <c r="M403">
        <v>5.3</v>
      </c>
      <c r="N403" s="1">
        <v>45061</v>
      </c>
      <c r="O403">
        <v>5.17</v>
      </c>
      <c r="P403" s="1">
        <v>45061</v>
      </c>
      <c r="Q403">
        <v>5.23</v>
      </c>
      <c r="R403" s="1">
        <v>45061</v>
      </c>
      <c r="S403">
        <v>5.28</v>
      </c>
      <c r="T403" s="1">
        <v>45061</v>
      </c>
      <c r="U403">
        <v>5.38</v>
      </c>
      <c r="V403" s="1">
        <v>45061</v>
      </c>
      <c r="W403">
        <v>5.46</v>
      </c>
      <c r="X403" s="1">
        <v>45061</v>
      </c>
      <c r="Y403">
        <f>NETWORKDAYS(X403,$Z$1,FERIADO!$A$2:$A$408)</f>
        <v>1929</v>
      </c>
      <c r="Z403">
        <v>11.62</v>
      </c>
      <c r="AA403" s="6">
        <f t="shared" si="56"/>
        <v>43106.843021938519</v>
      </c>
      <c r="AB403" s="2">
        <f t="shared" si="57"/>
        <v>5.8464148944497906E-3</v>
      </c>
      <c r="AJ403" s="1">
        <v>45061</v>
      </c>
      <c r="AK403">
        <f>NETWORKDAYS(AJ403,$AJ$1,FERIADO!$A$2:$A$408)</f>
        <v>916</v>
      </c>
      <c r="AL403">
        <v>11.15</v>
      </c>
      <c r="AM403" s="6">
        <f t="shared" si="58"/>
        <v>68096.177022808712</v>
      </c>
      <c r="AN403" s="2">
        <f t="shared" si="59"/>
        <v>1.8874402230054704E-3</v>
      </c>
      <c r="AP403" s="11">
        <f t="shared" si="60"/>
        <v>2.9232074472248953E-3</v>
      </c>
      <c r="AQ403" s="11">
        <f t="shared" si="61"/>
        <v>5.6623206690164108E-4</v>
      </c>
      <c r="AR403" s="11">
        <f t="shared" si="62"/>
        <v>3.4894395141265365E-3</v>
      </c>
    </row>
    <row r="404" spans="2:44" x14ac:dyDescent="0.35">
      <c r="B404" s="1">
        <v>45058</v>
      </c>
      <c r="C404">
        <v>4411.5200000000004</v>
      </c>
      <c r="D404" s="1">
        <v>45058</v>
      </c>
      <c r="E404">
        <v>4.9227999999999996</v>
      </c>
      <c r="F404" s="1">
        <v>45056</v>
      </c>
      <c r="G404">
        <v>115.872</v>
      </c>
      <c r="H404" s="4">
        <f t="shared" si="54"/>
        <v>570414.68160000001</v>
      </c>
      <c r="I404" s="5">
        <v>45058</v>
      </c>
      <c r="J404" s="4">
        <v>5285.29</v>
      </c>
      <c r="K404" s="4">
        <f t="shared" si="55"/>
        <v>52852.9</v>
      </c>
      <c r="L404" s="1">
        <v>45058</v>
      </c>
      <c r="M404">
        <v>5.32</v>
      </c>
      <c r="N404" s="1">
        <v>45058</v>
      </c>
      <c r="O404">
        <v>5.21</v>
      </c>
      <c r="P404" s="1">
        <v>45058</v>
      </c>
      <c r="Q404">
        <v>5.29</v>
      </c>
      <c r="R404" s="1">
        <v>45058</v>
      </c>
      <c r="S404">
        <v>5.34</v>
      </c>
      <c r="T404" s="1">
        <v>45058</v>
      </c>
      <c r="U404">
        <v>5.42</v>
      </c>
      <c r="V404" s="1">
        <v>45058</v>
      </c>
      <c r="W404">
        <v>5.51</v>
      </c>
      <c r="X404" s="1">
        <v>45058</v>
      </c>
      <c r="Y404">
        <f>NETWORKDAYS(X404,$Z$1,FERIADO!$A$2:$A$408)</f>
        <v>1930</v>
      </c>
      <c r="Z404">
        <v>11.81</v>
      </c>
      <c r="AA404" s="6">
        <f t="shared" si="56"/>
        <v>42530.432883967784</v>
      </c>
      <c r="AB404" s="2">
        <f t="shared" si="57"/>
        <v>4.3566803575420471E-3</v>
      </c>
      <c r="AJ404" s="1">
        <v>45058</v>
      </c>
      <c r="AK404">
        <f>NETWORKDAYS(AJ404,$AJ$1,FERIADO!$A$2:$A$408)</f>
        <v>917</v>
      </c>
      <c r="AL404">
        <v>11.27</v>
      </c>
      <c r="AM404" s="6">
        <f t="shared" si="58"/>
        <v>67800.873758776754</v>
      </c>
      <c r="AN404" s="2">
        <f t="shared" si="59"/>
        <v>1.3210971327234288E-3</v>
      </c>
      <c r="AP404" s="11">
        <f t="shared" si="60"/>
        <v>2.1783401787710236E-3</v>
      </c>
      <c r="AQ404" s="11">
        <f t="shared" si="61"/>
        <v>3.9632913981702862E-4</v>
      </c>
      <c r="AR404" s="11">
        <f t="shared" si="62"/>
        <v>2.5746693185880521E-3</v>
      </c>
    </row>
    <row r="405" spans="2:44" x14ac:dyDescent="0.35">
      <c r="B405" s="1">
        <v>45057</v>
      </c>
      <c r="C405">
        <v>4422.45</v>
      </c>
      <c r="D405" s="1">
        <v>45057</v>
      </c>
      <c r="E405">
        <v>4.9690000000000003</v>
      </c>
      <c r="F405" s="1">
        <v>45055</v>
      </c>
      <c r="G405">
        <v>115.10899999999999</v>
      </c>
      <c r="H405" s="4">
        <f t="shared" si="54"/>
        <v>571976.62100000004</v>
      </c>
      <c r="I405" s="5">
        <v>45057</v>
      </c>
      <c r="J405" s="4">
        <v>5298.66</v>
      </c>
      <c r="K405" s="4">
        <f t="shared" si="55"/>
        <v>52986.6</v>
      </c>
      <c r="L405" s="1">
        <v>45057</v>
      </c>
      <c r="M405">
        <v>5.31</v>
      </c>
      <c r="N405" s="1">
        <v>45057</v>
      </c>
      <c r="O405">
        <v>5.23</v>
      </c>
      <c r="P405" s="1">
        <v>45057</v>
      </c>
      <c r="Q405">
        <v>5.31</v>
      </c>
      <c r="R405" s="1">
        <v>45057</v>
      </c>
      <c r="S405">
        <v>5.37</v>
      </c>
      <c r="T405" s="1">
        <v>45057</v>
      </c>
      <c r="U405">
        <v>5.51</v>
      </c>
      <c r="V405" s="1">
        <v>45057</v>
      </c>
      <c r="W405">
        <v>5.6</v>
      </c>
      <c r="X405" s="1">
        <v>45057</v>
      </c>
      <c r="Y405">
        <f>NETWORKDAYS(X405,$Z$1,FERIADO!$A$2:$A$408)</f>
        <v>1931</v>
      </c>
      <c r="Z405">
        <v>11.95</v>
      </c>
      <c r="AA405" s="6">
        <f t="shared" si="56"/>
        <v>42105.916290811627</v>
      </c>
      <c r="AB405" s="2">
        <f t="shared" si="57"/>
        <v>5.5437592243837031E-3</v>
      </c>
      <c r="AJ405" s="1">
        <v>45057</v>
      </c>
      <c r="AK405">
        <f>NETWORKDAYS(AJ405,$AJ$1,FERIADO!$A$2:$A$408)</f>
        <v>918</v>
      </c>
      <c r="AL405">
        <v>11.35</v>
      </c>
      <c r="AM405" s="6">
        <f t="shared" si="58"/>
        <v>67594.941042336897</v>
      </c>
      <c r="AN405" s="2">
        <f t="shared" si="59"/>
        <v>1.820146802431381E-3</v>
      </c>
      <c r="AP405" s="11">
        <f t="shared" si="60"/>
        <v>2.7718796121918516E-3</v>
      </c>
      <c r="AQ405" s="11">
        <f t="shared" si="61"/>
        <v>5.4604404072941429E-4</v>
      </c>
      <c r="AR405" s="11">
        <f t="shared" si="62"/>
        <v>3.3179236529212661E-3</v>
      </c>
    </row>
    <row r="406" spans="2:44" x14ac:dyDescent="0.35">
      <c r="B406" s="1">
        <v>45056</v>
      </c>
      <c r="C406">
        <v>4433.87</v>
      </c>
      <c r="D406" s="1">
        <v>45056</v>
      </c>
      <c r="E406">
        <v>4.9541000000000004</v>
      </c>
      <c r="F406" s="1">
        <v>45054</v>
      </c>
      <c r="G406">
        <v>115.203</v>
      </c>
      <c r="H406" s="4">
        <f t="shared" si="54"/>
        <v>570727.1823000001</v>
      </c>
      <c r="I406" s="5">
        <v>45056</v>
      </c>
      <c r="J406" s="4">
        <v>5313.64</v>
      </c>
      <c r="K406" s="4">
        <f t="shared" si="55"/>
        <v>53136.4</v>
      </c>
      <c r="L406" s="1">
        <v>45056</v>
      </c>
      <c r="M406">
        <v>5.33</v>
      </c>
      <c r="N406" s="1">
        <v>45056</v>
      </c>
      <c r="O406">
        <v>5.28</v>
      </c>
      <c r="P406" s="1">
        <v>45056</v>
      </c>
      <c r="Q406">
        <v>5.39</v>
      </c>
      <c r="R406" s="1">
        <v>45056</v>
      </c>
      <c r="S406">
        <v>5.45</v>
      </c>
      <c r="T406" s="1">
        <v>45056</v>
      </c>
      <c r="U406">
        <v>5.56</v>
      </c>
      <c r="V406" s="1">
        <v>45056</v>
      </c>
      <c r="W406">
        <v>5.68</v>
      </c>
      <c r="X406" s="1">
        <v>45056</v>
      </c>
      <c r="Y406">
        <f>NETWORKDAYS(X406,$Z$1,FERIADO!$A$2:$A$408)</f>
        <v>1932</v>
      </c>
      <c r="Z406">
        <v>12.13</v>
      </c>
      <c r="AA406" s="6">
        <f t="shared" si="56"/>
        <v>41571.851139771279</v>
      </c>
      <c r="AB406" s="2">
        <f t="shared" si="57"/>
        <v>6.7269720999845019E-3</v>
      </c>
      <c r="AJ406" s="1">
        <v>45056</v>
      </c>
      <c r="AK406">
        <f>NETWORKDAYS(AJ406,$AJ$1,FERIADO!$A$2:$A$408)</f>
        <v>919</v>
      </c>
      <c r="AL406">
        <v>11.465</v>
      </c>
      <c r="AM406" s="6">
        <f t="shared" si="58"/>
        <v>67312.240563703177</v>
      </c>
      <c r="AN406" s="2">
        <f t="shared" si="59"/>
        <v>2.8873873521733698E-3</v>
      </c>
      <c r="AP406" s="11">
        <f t="shared" si="60"/>
        <v>3.363486049992251E-3</v>
      </c>
      <c r="AQ406" s="11">
        <f t="shared" si="61"/>
        <v>8.6621620565201088E-4</v>
      </c>
      <c r="AR406" s="11">
        <f t="shared" si="62"/>
        <v>4.229702255644262E-3</v>
      </c>
    </row>
    <row r="407" spans="2:44" x14ac:dyDescent="0.35">
      <c r="B407" s="1">
        <v>45055</v>
      </c>
      <c r="C407">
        <v>4415.25</v>
      </c>
      <c r="D407" s="1">
        <v>45055</v>
      </c>
      <c r="E407">
        <v>5.0000999999999998</v>
      </c>
      <c r="F407" s="1">
        <v>45051</v>
      </c>
      <c r="G407">
        <v>115.789</v>
      </c>
      <c r="H407" s="4">
        <f t="shared" si="54"/>
        <v>578956.57889999996</v>
      </c>
      <c r="I407" s="5">
        <v>45055</v>
      </c>
      <c r="J407" s="4">
        <v>5360.19</v>
      </c>
      <c r="K407" s="4">
        <f t="shared" si="55"/>
        <v>53601.899999999994</v>
      </c>
      <c r="L407" s="1">
        <v>45055</v>
      </c>
      <c r="M407">
        <v>5.31</v>
      </c>
      <c r="N407" s="1">
        <v>45055</v>
      </c>
      <c r="O407">
        <v>5.29</v>
      </c>
      <c r="P407" s="1">
        <v>45055</v>
      </c>
      <c r="Q407">
        <v>5.41</v>
      </c>
      <c r="R407" s="1">
        <v>45055</v>
      </c>
      <c r="S407">
        <v>5.45</v>
      </c>
      <c r="T407" s="1">
        <v>45055</v>
      </c>
      <c r="U407">
        <v>5.62</v>
      </c>
      <c r="V407" s="1">
        <v>45055</v>
      </c>
      <c r="W407">
        <v>5.7</v>
      </c>
      <c r="X407" s="1">
        <v>45055</v>
      </c>
      <c r="Y407">
        <f>NETWORKDAYS(X407,$Z$1,FERIADO!$A$2:$A$408)</f>
        <v>1933</v>
      </c>
      <c r="Z407">
        <v>12.35</v>
      </c>
      <c r="AA407" s="6">
        <f t="shared" si="56"/>
        <v>40932.888399235089</v>
      </c>
      <c r="AB407" s="2">
        <f t="shared" si="57"/>
        <v>-3.0642331604503596E-3</v>
      </c>
      <c r="AJ407" s="1">
        <v>45055</v>
      </c>
      <c r="AK407">
        <f>NETWORKDAYS(AJ407,$AJ$1,FERIADO!$A$2:$A$408)</f>
        <v>920</v>
      </c>
      <c r="AL407">
        <v>11.654999999999999</v>
      </c>
      <c r="AM407" s="6">
        <f t="shared" si="58"/>
        <v>66866.202531218849</v>
      </c>
      <c r="AN407" s="2">
        <f t="shared" si="59"/>
        <v>-9.476629269779183E-4</v>
      </c>
      <c r="AP407" s="11">
        <f t="shared" si="60"/>
        <v>-1.5321165802251798E-3</v>
      </c>
      <c r="AQ407" s="11">
        <f t="shared" si="61"/>
        <v>-2.8429887809337546E-4</v>
      </c>
      <c r="AR407" s="11">
        <f t="shared" si="62"/>
        <v>-1.8164154583185552E-3</v>
      </c>
    </row>
    <row r="408" spans="2:44" x14ac:dyDescent="0.35">
      <c r="B408" s="1">
        <v>45054</v>
      </c>
      <c r="C408">
        <v>4430.28</v>
      </c>
      <c r="D408" s="1">
        <v>45054</v>
      </c>
      <c r="E408">
        <v>4.9690000000000003</v>
      </c>
      <c r="F408" s="1">
        <v>45050</v>
      </c>
      <c r="G408">
        <v>116.31</v>
      </c>
      <c r="H408" s="4">
        <f t="shared" si="54"/>
        <v>577944.39</v>
      </c>
      <c r="I408" s="5">
        <v>45054</v>
      </c>
      <c r="J408" s="4">
        <v>5386.4</v>
      </c>
      <c r="K408" s="4">
        <f t="shared" si="55"/>
        <v>53864</v>
      </c>
      <c r="L408" s="1">
        <v>45054</v>
      </c>
      <c r="M408">
        <v>5.32</v>
      </c>
      <c r="N408" s="1">
        <v>45054</v>
      </c>
      <c r="O408">
        <v>5.27</v>
      </c>
      <c r="P408" s="1">
        <v>45054</v>
      </c>
      <c r="Q408">
        <v>5.4</v>
      </c>
      <c r="R408" s="1">
        <v>45054</v>
      </c>
      <c r="S408">
        <v>5.43</v>
      </c>
      <c r="T408" s="1">
        <v>45054</v>
      </c>
      <c r="U408">
        <v>5.58</v>
      </c>
      <c r="V408" s="1">
        <v>45054</v>
      </c>
      <c r="W408">
        <v>5.69</v>
      </c>
      <c r="X408" s="1">
        <v>45054</v>
      </c>
      <c r="Y408">
        <f>NETWORKDAYS(X408,$Z$1,FERIADO!$A$2:$A$408)</f>
        <v>1934</v>
      </c>
      <c r="Z408">
        <v>12.24</v>
      </c>
      <c r="AA408" s="6">
        <f t="shared" si="56"/>
        <v>41222.718111464994</v>
      </c>
      <c r="AB408" s="2">
        <f t="shared" si="57"/>
        <v>-4.2606300701050741E-3</v>
      </c>
      <c r="AJ408" s="1">
        <v>45054</v>
      </c>
      <c r="AK408">
        <f>NETWORKDAYS(AJ408,$AJ$1,FERIADO!$A$2:$A$408)</f>
        <v>921</v>
      </c>
      <c r="AL408">
        <v>11.574999999999999</v>
      </c>
      <c r="AM408" s="6">
        <f t="shared" si="58"/>
        <v>67012.268874468922</v>
      </c>
      <c r="AN408" s="2">
        <f t="shared" si="59"/>
        <v>-1.7349738793964674E-3</v>
      </c>
      <c r="AP408" s="11">
        <f t="shared" si="60"/>
        <v>-2.1303150350525371E-3</v>
      </c>
      <c r="AQ408" s="11">
        <f t="shared" si="61"/>
        <v>-5.2049216381894019E-4</v>
      </c>
      <c r="AR408" s="11">
        <f t="shared" si="62"/>
        <v>-2.6508071988714773E-3</v>
      </c>
    </row>
    <row r="409" spans="2:44" x14ac:dyDescent="0.35">
      <c r="B409" s="1">
        <v>45051</v>
      </c>
      <c r="C409">
        <v>4424.76</v>
      </c>
      <c r="D409" s="1">
        <v>45051</v>
      </c>
      <c r="E409">
        <v>4.9690000000000003</v>
      </c>
      <c r="F409" s="1">
        <v>45049</v>
      </c>
      <c r="G409">
        <v>116.334</v>
      </c>
      <c r="H409" s="4">
        <f t="shared" si="54"/>
        <v>578063.64600000007</v>
      </c>
      <c r="I409" s="5">
        <v>45051</v>
      </c>
      <c r="J409" s="4">
        <v>5327.02</v>
      </c>
      <c r="K409" s="4">
        <f t="shared" si="55"/>
        <v>53270.200000000004</v>
      </c>
      <c r="L409" s="1">
        <v>45051</v>
      </c>
      <c r="M409">
        <v>5.31</v>
      </c>
      <c r="N409" s="1">
        <v>45051</v>
      </c>
      <c r="O409">
        <v>5.27</v>
      </c>
      <c r="P409" s="1">
        <v>45051</v>
      </c>
      <c r="Q409">
        <v>5.39</v>
      </c>
      <c r="R409" s="1">
        <v>45051</v>
      </c>
      <c r="S409">
        <v>5.4</v>
      </c>
      <c r="T409" s="1">
        <v>45051</v>
      </c>
      <c r="U409">
        <v>5.56</v>
      </c>
      <c r="V409" s="1">
        <v>45051</v>
      </c>
      <c r="W409">
        <v>5.67</v>
      </c>
      <c r="X409" s="1">
        <v>45051</v>
      </c>
      <c r="Y409">
        <f>NETWORKDAYS(X409,$Z$1,FERIADO!$A$2:$A$408)</f>
        <v>1935</v>
      </c>
      <c r="Z409">
        <v>12.09</v>
      </c>
      <c r="AA409" s="6">
        <f t="shared" si="56"/>
        <v>41629.122321312047</v>
      </c>
      <c r="AB409" s="2">
        <f t="shared" si="57"/>
        <v>1.0895581001927465E-3</v>
      </c>
      <c r="AJ409" s="1">
        <v>45051</v>
      </c>
      <c r="AK409">
        <f>NETWORKDAYS(AJ409,$AJ$1,FERIADO!$A$2:$A$408)</f>
        <v>922</v>
      </c>
      <c r="AL409">
        <v>11.44</v>
      </c>
      <c r="AM409" s="6">
        <f t="shared" si="58"/>
        <v>67280.513313582764</v>
      </c>
      <c r="AN409" s="2">
        <f t="shared" si="59"/>
        <v>1.3281778825989133E-3</v>
      </c>
      <c r="AP409" s="11">
        <f t="shared" si="60"/>
        <v>5.4477905009637324E-4</v>
      </c>
      <c r="AQ409" s="11">
        <f t="shared" si="61"/>
        <v>3.9845336477967397E-4</v>
      </c>
      <c r="AR409" s="11">
        <f t="shared" si="62"/>
        <v>9.4323241487604716E-4</v>
      </c>
    </row>
    <row r="410" spans="2:44" x14ac:dyDescent="0.35">
      <c r="B410" s="1">
        <v>45050</v>
      </c>
      <c r="C410">
        <v>4348.18</v>
      </c>
      <c r="D410" s="1">
        <v>45050</v>
      </c>
      <c r="E410">
        <v>5.01</v>
      </c>
      <c r="F410" s="1">
        <v>45048</v>
      </c>
      <c r="G410">
        <v>115.6</v>
      </c>
      <c r="H410" s="4">
        <f t="shared" si="54"/>
        <v>579156</v>
      </c>
      <c r="I410" s="5">
        <v>45050</v>
      </c>
      <c r="J410" s="4">
        <v>5363.4</v>
      </c>
      <c r="K410" s="4">
        <f t="shared" si="55"/>
        <v>53634</v>
      </c>
      <c r="L410" s="1">
        <v>45050</v>
      </c>
      <c r="M410">
        <v>5.39</v>
      </c>
      <c r="N410" s="1">
        <v>45050</v>
      </c>
      <c r="O410">
        <v>5.32</v>
      </c>
      <c r="P410" s="1">
        <v>45050</v>
      </c>
      <c r="Q410">
        <v>5.46</v>
      </c>
      <c r="R410" s="1">
        <v>45050</v>
      </c>
      <c r="S410">
        <v>5.47</v>
      </c>
      <c r="T410" s="1">
        <v>45050</v>
      </c>
      <c r="U410">
        <v>5.6</v>
      </c>
      <c r="V410" s="1">
        <v>45050</v>
      </c>
      <c r="W410">
        <v>5.71</v>
      </c>
      <c r="X410" s="1">
        <v>45050</v>
      </c>
      <c r="Y410">
        <f>NETWORKDAYS(X410,$Z$1,FERIADO!$A$2:$A$408)</f>
        <v>1936</v>
      </c>
      <c r="Z410">
        <v>12.12</v>
      </c>
      <c r="AA410" s="6">
        <f t="shared" si="56"/>
        <v>41524.814068259519</v>
      </c>
      <c r="AB410" s="2">
        <f t="shared" si="57"/>
        <v>7.9257257565978206E-4</v>
      </c>
      <c r="AJ410" s="1">
        <v>45050</v>
      </c>
      <c r="AK410">
        <f>NETWORKDAYS(AJ410,$AJ$1,FERIADO!$A$2:$A$408)</f>
        <v>923</v>
      </c>
      <c r="AL410">
        <v>11.52</v>
      </c>
      <c r="AM410" s="6">
        <f t="shared" si="58"/>
        <v>67075.067493770606</v>
      </c>
      <c r="AN410" s="2">
        <f t="shared" si="59"/>
        <v>1.3298318887307668E-3</v>
      </c>
      <c r="AP410" s="11">
        <f t="shared" si="60"/>
        <v>3.9628628782989103E-4</v>
      </c>
      <c r="AQ410" s="11">
        <f t="shared" si="61"/>
        <v>3.9894956661923E-4</v>
      </c>
      <c r="AR410" s="11">
        <f t="shared" si="62"/>
        <v>7.9523585444912109E-4</v>
      </c>
    </row>
    <row r="411" spans="2:44" x14ac:dyDescent="0.35">
      <c r="B411" s="1">
        <v>45049</v>
      </c>
      <c r="C411">
        <v>4373.76</v>
      </c>
      <c r="D411" s="1">
        <v>45049</v>
      </c>
      <c r="E411">
        <v>5.0221</v>
      </c>
      <c r="F411" s="1">
        <v>45044</v>
      </c>
      <c r="G411">
        <v>115.42</v>
      </c>
      <c r="H411" s="4">
        <f t="shared" si="54"/>
        <v>579650.78200000001</v>
      </c>
      <c r="I411" s="5">
        <v>45049</v>
      </c>
      <c r="J411" s="4">
        <v>5374.63</v>
      </c>
      <c r="K411" s="4">
        <f t="shared" si="55"/>
        <v>53746.3</v>
      </c>
      <c r="L411" s="1">
        <v>45049</v>
      </c>
      <c r="M411">
        <v>5.47</v>
      </c>
      <c r="N411" s="1">
        <v>45049</v>
      </c>
      <c r="O411">
        <v>5.44</v>
      </c>
      <c r="P411" s="1">
        <v>45049</v>
      </c>
      <c r="Q411">
        <v>5.5</v>
      </c>
      <c r="R411" s="1">
        <v>45049</v>
      </c>
      <c r="S411">
        <v>5.55</v>
      </c>
      <c r="T411" s="1">
        <v>45049</v>
      </c>
      <c r="U411">
        <v>5.67</v>
      </c>
      <c r="V411" s="1">
        <v>45049</v>
      </c>
      <c r="W411">
        <v>5.8</v>
      </c>
      <c r="X411" s="1">
        <v>45049</v>
      </c>
      <c r="Y411">
        <f>NETWORKDAYS(X411,$Z$1,FERIADO!$A$2:$A$408)</f>
        <v>1937</v>
      </c>
      <c r="Z411">
        <v>12.14</v>
      </c>
      <c r="AA411" s="6">
        <f t="shared" si="56"/>
        <v>41449.101809977918</v>
      </c>
      <c r="AB411" s="2">
        <f t="shared" si="57"/>
        <v>5.5542100429740423E-3</v>
      </c>
      <c r="AJ411" s="1">
        <v>45049</v>
      </c>
      <c r="AK411">
        <f>NETWORKDAYS(AJ411,$AJ$1,FERIADO!$A$2:$A$408)</f>
        <v>924</v>
      </c>
      <c r="AL411">
        <v>11.6</v>
      </c>
      <c r="AM411" s="6">
        <f t="shared" si="58"/>
        <v>66869.994343161583</v>
      </c>
      <c r="AN411" s="2">
        <f t="shared" si="59"/>
        <v>3.1147547159771885E-3</v>
      </c>
      <c r="AP411" s="11">
        <f t="shared" si="60"/>
        <v>2.7771050214870211E-3</v>
      </c>
      <c r="AQ411" s="11">
        <f t="shared" si="61"/>
        <v>9.3442641479315656E-4</v>
      </c>
      <c r="AR411" s="11">
        <f t="shared" si="62"/>
        <v>3.7115314362801775E-3</v>
      </c>
    </row>
    <row r="412" spans="2:44" x14ac:dyDescent="0.35">
      <c r="B412" s="1">
        <v>45048</v>
      </c>
      <c r="C412">
        <v>4411.28</v>
      </c>
      <c r="D412" s="1">
        <v>45048</v>
      </c>
      <c r="E412">
        <v>5.0328999999999997</v>
      </c>
      <c r="F412" s="1">
        <v>45043</v>
      </c>
      <c r="G412">
        <v>114.815</v>
      </c>
      <c r="H412" s="4">
        <f t="shared" si="54"/>
        <v>577852.41350000002</v>
      </c>
      <c r="I412" s="5">
        <v>45048</v>
      </c>
      <c r="J412" s="4">
        <v>5422.25</v>
      </c>
      <c r="K412" s="4">
        <f t="shared" si="55"/>
        <v>54222.5</v>
      </c>
      <c r="L412" s="1">
        <v>45048</v>
      </c>
      <c r="M412">
        <v>5.54</v>
      </c>
      <c r="N412" s="1">
        <v>45048</v>
      </c>
      <c r="O412">
        <v>5.48</v>
      </c>
      <c r="P412" s="1">
        <v>45048</v>
      </c>
      <c r="Q412">
        <v>5.59</v>
      </c>
      <c r="R412" s="1">
        <v>45048</v>
      </c>
      <c r="S412">
        <v>5.64</v>
      </c>
      <c r="T412" s="1">
        <v>45048</v>
      </c>
      <c r="U412">
        <v>5.73</v>
      </c>
      <c r="V412" s="1">
        <v>45048</v>
      </c>
      <c r="W412">
        <v>5.82</v>
      </c>
      <c r="X412" s="1">
        <v>45048</v>
      </c>
      <c r="Y412">
        <f>NETWORKDAYS(X412,$Z$1,FERIADO!$A$2:$A$408)</f>
        <v>1938</v>
      </c>
      <c r="Z412">
        <v>12.32</v>
      </c>
      <c r="AA412" s="6">
        <f t="shared" si="56"/>
        <v>40922.382831735711</v>
      </c>
      <c r="AB412" s="2">
        <f t="shared" si="57"/>
        <v>2.002265666100153E-4</v>
      </c>
      <c r="AJ412" s="1">
        <v>45048</v>
      </c>
      <c r="AK412">
        <f>NETWORKDAYS(AJ412,$AJ$1,FERIADO!$A$2:$A$408)</f>
        <v>925</v>
      </c>
      <c r="AL412">
        <v>11.805</v>
      </c>
      <c r="AM412" s="6">
        <f t="shared" si="58"/>
        <v>66392.119266551977</v>
      </c>
      <c r="AN412" s="2">
        <f t="shared" si="59"/>
        <v>2.6367285791779736E-4</v>
      </c>
      <c r="AP412" s="11">
        <f t="shared" si="60"/>
        <v>1.0011328330500765E-4</v>
      </c>
      <c r="AQ412" s="11">
        <f t="shared" si="61"/>
        <v>7.910185737533921E-5</v>
      </c>
      <c r="AR412" s="11">
        <f t="shared" si="62"/>
        <v>1.7921514068034686E-4</v>
      </c>
    </row>
    <row r="413" spans="2:44" x14ac:dyDescent="0.35">
      <c r="B413" s="1">
        <v>45044</v>
      </c>
      <c r="C413">
        <v>4471.93</v>
      </c>
      <c r="D413" s="1">
        <v>45044</v>
      </c>
      <c r="E413">
        <v>5.0000999999999998</v>
      </c>
      <c r="F413" s="1">
        <v>45042</v>
      </c>
      <c r="G413">
        <v>115.574</v>
      </c>
      <c r="H413" s="4">
        <f t="shared" si="54"/>
        <v>577881.55740000005</v>
      </c>
      <c r="I413" s="5">
        <v>45044</v>
      </c>
      <c r="J413" s="4">
        <v>5367.14</v>
      </c>
      <c r="K413" s="4">
        <f t="shared" si="55"/>
        <v>53671.4</v>
      </c>
      <c r="L413" s="1">
        <v>45044</v>
      </c>
      <c r="M413">
        <v>5.5</v>
      </c>
      <c r="N413" s="1">
        <v>45044</v>
      </c>
      <c r="O413">
        <v>5.48</v>
      </c>
      <c r="P413" s="1">
        <v>45044</v>
      </c>
      <c r="Q413">
        <v>5.56</v>
      </c>
      <c r="R413" s="1">
        <v>45044</v>
      </c>
      <c r="S413">
        <v>5.6</v>
      </c>
      <c r="T413" s="1">
        <v>45044</v>
      </c>
      <c r="U413">
        <v>5.73</v>
      </c>
      <c r="V413" s="1">
        <v>45044</v>
      </c>
      <c r="W413">
        <v>5.78</v>
      </c>
      <c r="X413" s="1">
        <v>45044</v>
      </c>
      <c r="Y413">
        <f>NETWORKDAYS(X413,$Z$1,FERIADO!$A$2:$A$408)</f>
        <v>1939</v>
      </c>
      <c r="Z413">
        <v>12.32</v>
      </c>
      <c r="AA413" s="6">
        <f t="shared" si="56"/>
        <v>40903.520377742061</v>
      </c>
      <c r="AB413" s="2">
        <f t="shared" si="57"/>
        <v>-1.8840810290897735E-3</v>
      </c>
      <c r="AJ413" s="1">
        <v>45044</v>
      </c>
      <c r="AK413">
        <f>NETWORKDAYS(AJ413,$AJ$1,FERIADO!$A$2:$A$408)</f>
        <v>926</v>
      </c>
      <c r="AL413">
        <v>11.81</v>
      </c>
      <c r="AM413" s="6">
        <f t="shared" si="58"/>
        <v>66351.822906607966</v>
      </c>
      <c r="AN413" s="2">
        <f t="shared" si="59"/>
        <v>-1.0940881135323227E-3</v>
      </c>
      <c r="AP413" s="11">
        <f t="shared" si="60"/>
        <v>-9.4204051454488673E-4</v>
      </c>
      <c r="AQ413" s="11">
        <f t="shared" si="61"/>
        <v>-3.2822643405969681E-4</v>
      </c>
      <c r="AR413" s="11">
        <f t="shared" si="62"/>
        <v>-1.2702669486045835E-3</v>
      </c>
    </row>
    <row r="414" spans="2:44" x14ac:dyDescent="0.35">
      <c r="B414" s="1">
        <v>45043</v>
      </c>
      <c r="C414">
        <v>4438.08</v>
      </c>
      <c r="D414" s="1">
        <v>45043</v>
      </c>
      <c r="E414">
        <v>5.0144000000000002</v>
      </c>
      <c r="F414" s="1">
        <v>45041</v>
      </c>
      <c r="G414">
        <v>115.78</v>
      </c>
      <c r="H414" s="4">
        <f t="shared" si="54"/>
        <v>580567.23199999996</v>
      </c>
      <c r="I414" s="5">
        <v>45043</v>
      </c>
      <c r="J414" s="4">
        <v>5357.51</v>
      </c>
      <c r="K414" s="4">
        <f t="shared" si="55"/>
        <v>53575.100000000006</v>
      </c>
      <c r="L414" s="1">
        <v>45043</v>
      </c>
      <c r="M414">
        <v>5.4</v>
      </c>
      <c r="N414" s="1">
        <v>45043</v>
      </c>
      <c r="O414">
        <v>5.42</v>
      </c>
      <c r="P414" s="1">
        <v>45043</v>
      </c>
      <c r="Q414">
        <v>5.53</v>
      </c>
      <c r="R414" s="1">
        <v>45043</v>
      </c>
      <c r="S414">
        <v>5.55</v>
      </c>
      <c r="T414" s="1">
        <v>45043</v>
      </c>
      <c r="U414">
        <v>5.67</v>
      </c>
      <c r="V414" s="1">
        <v>45043</v>
      </c>
      <c r="W414">
        <v>5.75</v>
      </c>
      <c r="X414" s="1">
        <v>45043</v>
      </c>
      <c r="Y414">
        <f>NETWORKDAYS(X414,$Z$1,FERIADO!$A$2:$A$408)</f>
        <v>1940</v>
      </c>
      <c r="Z414">
        <v>12.25</v>
      </c>
      <c r="AA414" s="6">
        <f t="shared" si="56"/>
        <v>41081.355825927625</v>
      </c>
      <c r="AB414" s="2">
        <f t="shared" si="57"/>
        <v>2.2845341623097901E-3</v>
      </c>
      <c r="AJ414" s="1">
        <v>45043</v>
      </c>
      <c r="AK414">
        <f>NETWORKDAYS(AJ414,$AJ$1,FERIADO!$A$2:$A$408)</f>
        <v>927</v>
      </c>
      <c r="AL414">
        <v>11.72</v>
      </c>
      <c r="AM414" s="6">
        <f t="shared" si="58"/>
        <v>66519.18920315984</v>
      </c>
      <c r="AN414" s="2">
        <f t="shared" si="59"/>
        <v>-9.5336129236529569E-5</v>
      </c>
      <c r="AP414" s="11">
        <f t="shared" si="60"/>
        <v>1.1422670811548951E-3</v>
      </c>
      <c r="AQ414" s="11">
        <f t="shared" si="61"/>
        <v>-2.8600838770958868E-5</v>
      </c>
      <c r="AR414" s="11">
        <f t="shared" si="62"/>
        <v>1.1136662423839362E-3</v>
      </c>
    </row>
    <row r="415" spans="2:44" x14ac:dyDescent="0.35">
      <c r="B415" s="1">
        <v>45042</v>
      </c>
      <c r="C415">
        <v>4357.3999999999996</v>
      </c>
      <c r="D415" s="1">
        <v>45042</v>
      </c>
      <c r="E415">
        <v>5.0579000000000001</v>
      </c>
      <c r="F415" s="1">
        <v>45040</v>
      </c>
      <c r="G415">
        <v>114.989</v>
      </c>
      <c r="H415" s="4">
        <f t="shared" si="54"/>
        <v>581602.86310000008</v>
      </c>
      <c r="I415" s="5">
        <v>45042</v>
      </c>
      <c r="J415" s="4">
        <v>5435.59</v>
      </c>
      <c r="K415" s="4">
        <f t="shared" si="55"/>
        <v>54355.9</v>
      </c>
      <c r="L415" s="1">
        <v>45042</v>
      </c>
      <c r="M415">
        <v>5.42</v>
      </c>
      <c r="N415" s="1">
        <v>45042</v>
      </c>
      <c r="O415">
        <v>5.42</v>
      </c>
      <c r="P415" s="1">
        <v>45042</v>
      </c>
      <c r="Q415">
        <v>5.55</v>
      </c>
      <c r="R415" s="1">
        <v>45042</v>
      </c>
      <c r="S415">
        <v>5.59</v>
      </c>
      <c r="T415" s="1">
        <v>45042</v>
      </c>
      <c r="U415">
        <v>5.7</v>
      </c>
      <c r="V415" s="1">
        <v>45042</v>
      </c>
      <c r="W415">
        <v>5.78</v>
      </c>
      <c r="X415" s="1">
        <v>45042</v>
      </c>
      <c r="Y415">
        <f>NETWORKDAYS(X415,$Z$1,FERIADO!$A$2:$A$408)</f>
        <v>1941</v>
      </c>
      <c r="Z415">
        <v>12.32</v>
      </c>
      <c r="AA415" s="6">
        <f t="shared" si="56"/>
        <v>40865.821548698412</v>
      </c>
      <c r="AB415" s="2">
        <f t="shared" si="57"/>
        <v>1.9875830501778621E-3</v>
      </c>
      <c r="AJ415" s="1">
        <v>45042</v>
      </c>
      <c r="AK415">
        <f>NETWORKDAYS(AJ415,$AJ$1,FERIADO!$A$2:$A$408)</f>
        <v>928</v>
      </c>
      <c r="AL415">
        <v>11.7</v>
      </c>
      <c r="AM415" s="6">
        <f t="shared" si="58"/>
        <v>66533.793068498664</v>
      </c>
      <c r="AN415" s="2">
        <f t="shared" si="59"/>
        <v>4.7732761359338898E-4</v>
      </c>
      <c r="AP415" s="11">
        <f t="shared" si="60"/>
        <v>9.9379152508893105E-4</v>
      </c>
      <c r="AQ415" s="11">
        <f t="shared" si="61"/>
        <v>1.4319828407801668E-4</v>
      </c>
      <c r="AR415" s="11">
        <f t="shared" si="62"/>
        <v>1.1369898091669478E-3</v>
      </c>
    </row>
    <row r="416" spans="2:44" x14ac:dyDescent="0.35">
      <c r="B416" s="1">
        <v>45041</v>
      </c>
      <c r="C416">
        <v>4384.1400000000003</v>
      </c>
      <c r="D416" s="1">
        <v>45041</v>
      </c>
      <c r="E416">
        <v>5.0606999999999998</v>
      </c>
      <c r="F416" s="1">
        <v>45036</v>
      </c>
      <c r="G416">
        <v>114.75</v>
      </c>
      <c r="H416" s="4">
        <f t="shared" si="54"/>
        <v>580715.32499999995</v>
      </c>
      <c r="I416" s="5">
        <v>45041</v>
      </c>
      <c r="J416" s="4">
        <v>5453.36</v>
      </c>
      <c r="K416" s="4">
        <f t="shared" si="55"/>
        <v>54533.599999999999</v>
      </c>
      <c r="L416" s="1">
        <v>45041</v>
      </c>
      <c r="M416">
        <v>5.42</v>
      </c>
      <c r="N416" s="1">
        <v>45041</v>
      </c>
      <c r="O416">
        <v>5.41</v>
      </c>
      <c r="P416" s="1">
        <v>45041</v>
      </c>
      <c r="Q416">
        <v>5.57</v>
      </c>
      <c r="R416" s="1">
        <v>45041</v>
      </c>
      <c r="S416">
        <v>5.62</v>
      </c>
      <c r="T416" s="1">
        <v>45041</v>
      </c>
      <c r="U416">
        <v>5.73</v>
      </c>
      <c r="V416" s="1">
        <v>45041</v>
      </c>
      <c r="W416">
        <v>5.82</v>
      </c>
      <c r="X416" s="1">
        <v>45041</v>
      </c>
      <c r="Y416">
        <f>NETWORKDAYS(X416,$Z$1,FERIADO!$A$2:$A$408)</f>
        <v>1942</v>
      </c>
      <c r="Z416">
        <v>12.38</v>
      </c>
      <c r="AA416" s="6">
        <f t="shared" si="56"/>
        <v>40679.223200538429</v>
      </c>
      <c r="AB416" s="2">
        <f t="shared" si="57"/>
        <v>2.5840314529303309E-3</v>
      </c>
      <c r="AJ416" s="1">
        <v>45041</v>
      </c>
      <c r="AK416">
        <f>NETWORKDAYS(AJ416,$AJ$1,FERIADO!$A$2:$A$408)</f>
        <v>929</v>
      </c>
      <c r="AL416">
        <v>11.72</v>
      </c>
      <c r="AM416" s="6">
        <f t="shared" si="58"/>
        <v>66460.706783166926</v>
      </c>
      <c r="AN416" s="2">
        <f t="shared" si="59"/>
        <v>1.6249704688791674E-3</v>
      </c>
      <c r="AP416" s="11">
        <f t="shared" si="60"/>
        <v>1.2920157264651655E-3</v>
      </c>
      <c r="AQ416" s="11">
        <f t="shared" si="61"/>
        <v>4.8749114066375018E-4</v>
      </c>
      <c r="AR416" s="11">
        <f t="shared" si="62"/>
        <v>1.7795068671289157E-3</v>
      </c>
    </row>
    <row r="417" spans="2:44" x14ac:dyDescent="0.35">
      <c r="B417" s="1">
        <v>45040</v>
      </c>
      <c r="C417">
        <v>4437.8</v>
      </c>
      <c r="D417" s="1">
        <v>45040</v>
      </c>
      <c r="E417">
        <v>5.0589000000000004</v>
      </c>
      <c r="F417" s="1">
        <v>45035</v>
      </c>
      <c r="G417">
        <v>114.3</v>
      </c>
      <c r="H417" s="4">
        <f t="shared" si="54"/>
        <v>578232.27000000014</v>
      </c>
      <c r="I417" s="5">
        <v>45040</v>
      </c>
      <c r="J417" s="4">
        <v>5426.97</v>
      </c>
      <c r="K417" s="4">
        <f t="shared" si="55"/>
        <v>54269.700000000004</v>
      </c>
      <c r="L417" s="1">
        <v>45040</v>
      </c>
      <c r="M417">
        <v>5.42</v>
      </c>
      <c r="N417" s="1">
        <v>45040</v>
      </c>
      <c r="O417">
        <v>5.46</v>
      </c>
      <c r="P417" s="1">
        <v>45040</v>
      </c>
      <c r="Q417">
        <v>5.6</v>
      </c>
      <c r="R417" s="1">
        <v>45040</v>
      </c>
      <c r="S417">
        <v>5.67</v>
      </c>
      <c r="T417" s="1">
        <v>45040</v>
      </c>
      <c r="U417">
        <v>5.78</v>
      </c>
      <c r="V417" s="1">
        <v>45040</v>
      </c>
      <c r="W417">
        <v>5.86</v>
      </c>
      <c r="X417" s="1">
        <v>45040</v>
      </c>
      <c r="Y417">
        <f>NETWORKDAYS(X417,$Z$1,FERIADO!$A$2:$A$408)</f>
        <v>1943</v>
      </c>
      <c r="Z417">
        <v>12.46</v>
      </c>
      <c r="AA417" s="6">
        <f t="shared" si="56"/>
        <v>40437.90239832439</v>
      </c>
      <c r="AB417" s="2">
        <f t="shared" si="57"/>
        <v>3.4777581079274344E-3</v>
      </c>
      <c r="AJ417" s="1">
        <v>45040</v>
      </c>
      <c r="AK417">
        <f>NETWORKDAYS(AJ417,$AJ$1,FERIADO!$A$2:$A$408)</f>
        <v>930</v>
      </c>
      <c r="AL417">
        <v>11.82</v>
      </c>
      <c r="AM417" s="6">
        <f t="shared" si="58"/>
        <v>66212.499863349251</v>
      </c>
      <c r="AN417" s="2">
        <f t="shared" si="59"/>
        <v>1.8417955654147348E-3</v>
      </c>
      <c r="AP417" s="11">
        <f t="shared" si="60"/>
        <v>1.7388790539637172E-3</v>
      </c>
      <c r="AQ417" s="11">
        <f t="shared" si="61"/>
        <v>5.5253866962442046E-4</v>
      </c>
      <c r="AR417" s="11">
        <f t="shared" si="62"/>
        <v>2.2914177235881378E-3</v>
      </c>
    </row>
    <row r="418" spans="2:44" x14ac:dyDescent="0.35">
      <c r="B418" s="1">
        <v>45036</v>
      </c>
      <c r="C418">
        <v>4430.2</v>
      </c>
      <c r="D418" s="1">
        <v>45036</v>
      </c>
      <c r="E418">
        <v>5.0491000000000001</v>
      </c>
      <c r="F418" s="1">
        <v>45034</v>
      </c>
      <c r="G418">
        <v>114.49</v>
      </c>
      <c r="H418" s="4">
        <f t="shared" si="54"/>
        <v>578071.45900000003</v>
      </c>
      <c r="I418" s="5">
        <v>45036</v>
      </c>
      <c r="J418" s="4">
        <v>5444.74</v>
      </c>
      <c r="K418" s="4">
        <f t="shared" si="55"/>
        <v>54447.399999999994</v>
      </c>
      <c r="L418" s="1">
        <v>45036</v>
      </c>
      <c r="M418">
        <v>5.48</v>
      </c>
      <c r="N418" s="1">
        <v>45036</v>
      </c>
      <c r="O418">
        <v>5.49</v>
      </c>
      <c r="P418" s="1">
        <v>45036</v>
      </c>
      <c r="Q418">
        <v>5.63</v>
      </c>
      <c r="R418" s="1">
        <v>45036</v>
      </c>
      <c r="S418">
        <v>5.68</v>
      </c>
      <c r="T418" s="1">
        <v>45036</v>
      </c>
      <c r="U418">
        <v>5.79</v>
      </c>
      <c r="V418" s="1">
        <v>45036</v>
      </c>
      <c r="W418">
        <v>5.88</v>
      </c>
      <c r="X418" s="1">
        <v>45036</v>
      </c>
      <c r="Y418">
        <f>NETWORKDAYS(X418,$Z$1,FERIADO!$A$2:$A$408)</f>
        <v>1944</v>
      </c>
      <c r="Z418">
        <v>12.57</v>
      </c>
      <c r="AA418" s="6">
        <f t="shared" si="56"/>
        <v>40115.375484070013</v>
      </c>
      <c r="AB418" s="2">
        <f t="shared" si="57"/>
        <v>2.2877992861071094E-3</v>
      </c>
      <c r="AJ418" s="1">
        <v>45036</v>
      </c>
      <c r="AK418">
        <f>NETWORKDAYS(AJ418,$AJ$1,FERIADO!$A$2:$A$408)</f>
        <v>931</v>
      </c>
      <c r="AL418">
        <v>11.935</v>
      </c>
      <c r="AM418" s="6">
        <f t="shared" si="58"/>
        <v>65932.294447988199</v>
      </c>
      <c r="AN418" s="2">
        <f t="shared" si="59"/>
        <v>1.9869835240135117E-3</v>
      </c>
      <c r="AP418" s="11">
        <f t="shared" si="60"/>
        <v>1.1438996430535547E-3</v>
      </c>
      <c r="AQ418" s="11">
        <f t="shared" si="61"/>
        <v>5.960950572040535E-4</v>
      </c>
      <c r="AR418" s="11">
        <f t="shared" si="62"/>
        <v>1.7399947002576083E-3</v>
      </c>
    </row>
    <row r="419" spans="2:44" x14ac:dyDescent="0.35">
      <c r="B419" s="1">
        <v>45035</v>
      </c>
      <c r="C419">
        <v>4450.38</v>
      </c>
      <c r="D419" s="1">
        <v>45035</v>
      </c>
      <c r="E419">
        <v>5.0461</v>
      </c>
      <c r="F419" s="1">
        <v>45033</v>
      </c>
      <c r="G419">
        <v>114.35299999999999</v>
      </c>
      <c r="H419" s="4">
        <f t="shared" si="54"/>
        <v>577036.67329999991</v>
      </c>
      <c r="I419" s="5">
        <v>45035</v>
      </c>
      <c r="J419" s="4">
        <v>5473.82</v>
      </c>
      <c r="K419" s="4">
        <f t="shared" si="55"/>
        <v>54738.2</v>
      </c>
      <c r="L419" s="1">
        <v>45035</v>
      </c>
      <c r="M419">
        <v>5.51</v>
      </c>
      <c r="N419" s="1">
        <v>45035</v>
      </c>
      <c r="O419">
        <v>5.54</v>
      </c>
      <c r="P419" s="1">
        <v>45035</v>
      </c>
      <c r="Q419">
        <v>5.68</v>
      </c>
      <c r="R419" s="1">
        <v>45035</v>
      </c>
      <c r="S419">
        <v>5.72</v>
      </c>
      <c r="T419" s="1">
        <v>45035</v>
      </c>
      <c r="U419">
        <v>5.86</v>
      </c>
      <c r="V419" s="1">
        <v>45035</v>
      </c>
      <c r="W419">
        <v>5.92</v>
      </c>
      <c r="X419" s="1">
        <v>45035</v>
      </c>
      <c r="Y419">
        <f>NETWORKDAYS(X419,$Z$1,FERIADO!$A$2:$A$408)</f>
        <v>1945</v>
      </c>
      <c r="Z419">
        <v>12.64</v>
      </c>
      <c r="AA419" s="6">
        <f t="shared" si="56"/>
        <v>39904.609231925009</v>
      </c>
      <c r="AB419" s="2">
        <f t="shared" si="57"/>
        <v>-5.1584374038751695E-3</v>
      </c>
      <c r="AJ419" s="1">
        <v>45035</v>
      </c>
      <c r="AK419">
        <f>NETWORKDAYS(AJ419,$AJ$1,FERIADO!$A$2:$A$408)</f>
        <v>932</v>
      </c>
      <c r="AL419">
        <v>12.06</v>
      </c>
      <c r="AM419" s="6">
        <f t="shared" si="58"/>
        <v>65631.330114735727</v>
      </c>
      <c r="AN419" s="2">
        <f t="shared" si="59"/>
        <v>-1.957525290670547E-3</v>
      </c>
      <c r="AP419" s="11">
        <f t="shared" si="60"/>
        <v>-2.5792187019375848E-3</v>
      </c>
      <c r="AQ419" s="11">
        <f t="shared" si="61"/>
        <v>-5.872575872011641E-4</v>
      </c>
      <c r="AR419" s="11">
        <f t="shared" si="62"/>
        <v>-3.1664762891387491E-3</v>
      </c>
    </row>
    <row r="420" spans="2:44" x14ac:dyDescent="0.35">
      <c r="B420" s="1">
        <v>45034</v>
      </c>
      <c r="C420">
        <v>4459.59</v>
      </c>
      <c r="D420" s="1">
        <v>45034</v>
      </c>
      <c r="E420">
        <v>4.9672000000000001</v>
      </c>
      <c r="F420" s="1">
        <v>45030</v>
      </c>
      <c r="G420">
        <v>114.96299999999999</v>
      </c>
      <c r="H420" s="4">
        <f t="shared" si="54"/>
        <v>571044.2135999999</v>
      </c>
      <c r="I420" s="5">
        <v>45034</v>
      </c>
      <c r="J420" s="4">
        <v>5377.44</v>
      </c>
      <c r="K420" s="4">
        <f t="shared" si="55"/>
        <v>53774.399999999994</v>
      </c>
      <c r="L420" s="1">
        <v>45034</v>
      </c>
      <c r="M420">
        <v>5.48</v>
      </c>
      <c r="N420" s="1">
        <v>45034</v>
      </c>
      <c r="O420">
        <v>5.44</v>
      </c>
      <c r="P420" s="1">
        <v>45034</v>
      </c>
      <c r="Q420">
        <v>5.57</v>
      </c>
      <c r="R420" s="1">
        <v>45034</v>
      </c>
      <c r="S420">
        <v>5.64</v>
      </c>
      <c r="T420" s="1">
        <v>45034</v>
      </c>
      <c r="U420">
        <v>5.75</v>
      </c>
      <c r="V420" s="1">
        <v>45034</v>
      </c>
      <c r="W420">
        <v>5.84</v>
      </c>
      <c r="X420" s="1">
        <v>45034</v>
      </c>
      <c r="Y420">
        <f>NETWORKDAYS(X420,$Z$1,FERIADO!$A$2:$A$408)</f>
        <v>1946</v>
      </c>
      <c r="Z420">
        <v>12.46</v>
      </c>
      <c r="AA420" s="6">
        <f t="shared" si="56"/>
        <v>40381.411911612777</v>
      </c>
      <c r="AB420" s="2">
        <f t="shared" si="57"/>
        <v>-6.0692033868173694E-3</v>
      </c>
      <c r="AJ420" s="1">
        <v>45034</v>
      </c>
      <c r="AK420">
        <f>NETWORKDAYS(AJ420,$AJ$1,FERIADO!$A$2:$A$408)</f>
        <v>933</v>
      </c>
      <c r="AL420">
        <v>11.91</v>
      </c>
      <c r="AM420" s="6">
        <f t="shared" si="58"/>
        <v>65927.822406261563</v>
      </c>
      <c r="AN420" s="2">
        <f t="shared" si="59"/>
        <v>-2.4692078289549981E-3</v>
      </c>
      <c r="AP420" s="11">
        <f t="shared" si="60"/>
        <v>-3.0346016934086847E-3</v>
      </c>
      <c r="AQ420" s="11">
        <f t="shared" si="61"/>
        <v>-7.4076234868649944E-4</v>
      </c>
      <c r="AR420" s="11">
        <f t="shared" si="62"/>
        <v>-3.7753640420951839E-3</v>
      </c>
    </row>
    <row r="421" spans="2:44" x14ac:dyDescent="0.35">
      <c r="B421" s="1">
        <v>45033</v>
      </c>
      <c r="C421">
        <v>4457.6000000000004</v>
      </c>
      <c r="D421" s="1">
        <v>45033</v>
      </c>
      <c r="E421">
        <v>4.9414999999999996</v>
      </c>
      <c r="F421" s="1">
        <v>45029</v>
      </c>
      <c r="G421">
        <v>115.542</v>
      </c>
      <c r="H421" s="4">
        <f t="shared" si="54"/>
        <v>570950.79299999995</v>
      </c>
      <c r="I421" s="5">
        <v>45033</v>
      </c>
      <c r="J421" s="4">
        <v>5331.13</v>
      </c>
      <c r="K421" s="4">
        <f t="shared" si="55"/>
        <v>53311.3</v>
      </c>
      <c r="L421" s="1">
        <v>45033</v>
      </c>
      <c r="M421">
        <v>5.43</v>
      </c>
      <c r="N421" s="1">
        <v>45033</v>
      </c>
      <c r="O421">
        <v>5.4</v>
      </c>
      <c r="P421" s="1">
        <v>45033</v>
      </c>
      <c r="Q421">
        <v>5.53</v>
      </c>
      <c r="R421" s="1">
        <v>45033</v>
      </c>
      <c r="S421">
        <v>5.58</v>
      </c>
      <c r="T421" s="1">
        <v>45033</v>
      </c>
      <c r="U421">
        <v>5.7</v>
      </c>
      <c r="V421" s="1">
        <v>45033</v>
      </c>
      <c r="W421">
        <v>5.8</v>
      </c>
      <c r="X421" s="1">
        <v>45033</v>
      </c>
      <c r="Y421">
        <f>NETWORKDAYS(X421,$Z$1,FERIADO!$A$2:$A$408)</f>
        <v>1947</v>
      </c>
      <c r="Z421">
        <v>12.25</v>
      </c>
      <c r="AA421" s="6">
        <f t="shared" si="56"/>
        <v>40949.697988152933</v>
      </c>
      <c r="AB421" s="2">
        <f t="shared" si="57"/>
        <v>7.9725752413821981E-4</v>
      </c>
      <c r="AJ421" s="1">
        <v>45033</v>
      </c>
      <c r="AK421">
        <f>NETWORKDAYS(AJ421,$AJ$1,FERIADO!$A$2:$A$408)</f>
        <v>934</v>
      </c>
      <c r="AL421">
        <v>11.725</v>
      </c>
      <c r="AM421" s="6">
        <f t="shared" si="58"/>
        <v>66303.726672009652</v>
      </c>
      <c r="AN421" s="2">
        <f t="shared" si="59"/>
        <v>1.1895801438874524E-4</v>
      </c>
      <c r="AP421" s="11">
        <f t="shared" si="60"/>
        <v>3.986287620691099E-4</v>
      </c>
      <c r="AQ421" s="11">
        <f t="shared" si="61"/>
        <v>3.5687404316623569E-5</v>
      </c>
      <c r="AR421" s="11">
        <f t="shared" si="62"/>
        <v>4.3431616638573345E-4</v>
      </c>
    </row>
    <row r="422" spans="2:44" x14ac:dyDescent="0.35">
      <c r="B422" s="1">
        <v>45030</v>
      </c>
      <c r="C422">
        <v>4451.4799999999996</v>
      </c>
      <c r="D422" s="1">
        <v>45030</v>
      </c>
      <c r="E422">
        <v>4.9448999999999996</v>
      </c>
      <c r="F422" s="1">
        <v>45028</v>
      </c>
      <c r="G422">
        <v>115.8</v>
      </c>
      <c r="H422" s="4">
        <f t="shared" si="54"/>
        <v>572619.42000000004</v>
      </c>
      <c r="I422" s="5">
        <v>45030</v>
      </c>
      <c r="J422" s="4">
        <v>5297.21</v>
      </c>
      <c r="K422" s="4">
        <f t="shared" si="55"/>
        <v>52972.1</v>
      </c>
      <c r="L422" s="1">
        <v>45030</v>
      </c>
      <c r="M422">
        <v>5.42</v>
      </c>
      <c r="N422" s="1">
        <v>45030</v>
      </c>
      <c r="O422">
        <v>5.42</v>
      </c>
      <c r="P422" s="1">
        <v>45030</v>
      </c>
      <c r="Q422">
        <v>5.57</v>
      </c>
      <c r="R422" s="1">
        <v>45030</v>
      </c>
      <c r="S422">
        <v>5.62</v>
      </c>
      <c r="T422" s="1">
        <v>45030</v>
      </c>
      <c r="U422">
        <v>5.73</v>
      </c>
      <c r="V422" s="1">
        <v>45030</v>
      </c>
      <c r="W422">
        <v>5.82</v>
      </c>
      <c r="X422" s="1">
        <v>45030</v>
      </c>
      <c r="Y422">
        <f>NETWORKDAYS(X422,$Z$1,FERIADO!$A$2:$A$408)</f>
        <v>1948</v>
      </c>
      <c r="Z422">
        <v>12.27</v>
      </c>
      <c r="AA422" s="6">
        <f t="shared" si="56"/>
        <v>40874.593403168328</v>
      </c>
      <c r="AB422" s="2">
        <f t="shared" si="57"/>
        <v>-9.9747217097818984E-4</v>
      </c>
      <c r="AJ422" s="1">
        <v>45030</v>
      </c>
      <c r="AK422">
        <f>NETWORKDAYS(AJ422,$AJ$1,FERIADO!$A$2:$A$408)</f>
        <v>935</v>
      </c>
      <c r="AL422">
        <v>11.72</v>
      </c>
      <c r="AM422" s="6">
        <f t="shared" si="58"/>
        <v>66285.567842271717</v>
      </c>
      <c r="AN422" s="2">
        <f t="shared" si="59"/>
        <v>-1.1812661780328817E-3</v>
      </c>
      <c r="AP422" s="11">
        <f t="shared" si="60"/>
        <v>-4.9873608548909492E-4</v>
      </c>
      <c r="AQ422" s="11">
        <f t="shared" si="61"/>
        <v>-3.5437985340986447E-4</v>
      </c>
      <c r="AR422" s="11">
        <f t="shared" si="62"/>
        <v>-8.5311593889895944E-4</v>
      </c>
    </row>
    <row r="423" spans="2:44" x14ac:dyDescent="0.35">
      <c r="B423" s="1">
        <v>45029</v>
      </c>
      <c r="C423">
        <v>4447.5600000000004</v>
      </c>
      <c r="D423" s="1">
        <v>45029</v>
      </c>
      <c r="E423">
        <v>4.9090999999999996</v>
      </c>
      <c r="F423" s="1">
        <v>45027</v>
      </c>
      <c r="G423">
        <v>115.434</v>
      </c>
      <c r="H423" s="4">
        <f t="shared" si="54"/>
        <v>566677.04940000002</v>
      </c>
      <c r="I423" s="5">
        <v>45029</v>
      </c>
      <c r="J423" s="4">
        <v>5319.82</v>
      </c>
      <c r="K423" s="4">
        <f t="shared" si="55"/>
        <v>53198.2</v>
      </c>
      <c r="L423" s="1">
        <v>45029</v>
      </c>
      <c r="M423">
        <v>5.39</v>
      </c>
      <c r="N423" s="1">
        <v>45029</v>
      </c>
      <c r="O423">
        <v>5.38</v>
      </c>
      <c r="P423" s="1">
        <v>45029</v>
      </c>
      <c r="Q423">
        <v>5.54</v>
      </c>
      <c r="R423" s="1">
        <v>45029</v>
      </c>
      <c r="S423">
        <v>5.6</v>
      </c>
      <c r="T423" s="1">
        <v>45029</v>
      </c>
      <c r="U423">
        <v>5.72</v>
      </c>
      <c r="V423" s="1">
        <v>45029</v>
      </c>
      <c r="W423">
        <v>5.83</v>
      </c>
      <c r="X423" s="1">
        <v>45029</v>
      </c>
      <c r="Y423">
        <f>NETWORKDAYS(X423,$Z$1,FERIADO!$A$2:$A$408)</f>
        <v>1949</v>
      </c>
      <c r="Z423">
        <v>12.23</v>
      </c>
      <c r="AA423" s="6">
        <f t="shared" si="56"/>
        <v>40968.580612285492</v>
      </c>
      <c r="AB423" s="2">
        <f t="shared" si="57"/>
        <v>6.1823097933876468E-3</v>
      </c>
      <c r="AJ423" s="1">
        <v>45029</v>
      </c>
      <c r="AK423">
        <f>NETWORKDAYS(AJ423,$AJ$1,FERIADO!$A$2:$A$408)</f>
        <v>936</v>
      </c>
      <c r="AL423">
        <v>11.625</v>
      </c>
      <c r="AM423" s="6">
        <f t="shared" si="58"/>
        <v>66466.10774584474</v>
      </c>
      <c r="AN423" s="2">
        <f t="shared" si="59"/>
        <v>2.0690735414598798E-3</v>
      </c>
      <c r="AP423" s="11">
        <f t="shared" si="60"/>
        <v>3.0911548966938234E-3</v>
      </c>
      <c r="AQ423" s="11">
        <f t="shared" si="61"/>
        <v>6.2072206243796396E-4</v>
      </c>
      <c r="AR423" s="11">
        <f t="shared" si="62"/>
        <v>3.7118769591317873E-3</v>
      </c>
    </row>
    <row r="424" spans="2:44" x14ac:dyDescent="0.35">
      <c r="B424" s="1">
        <v>45028</v>
      </c>
      <c r="C424">
        <v>4399.8900000000003</v>
      </c>
      <c r="D424" s="1">
        <v>45028</v>
      </c>
      <c r="E424">
        <v>4.9489999999999998</v>
      </c>
      <c r="F424" s="1">
        <v>45026</v>
      </c>
      <c r="G424">
        <v>115.52</v>
      </c>
      <c r="H424" s="4">
        <f t="shared" si="54"/>
        <v>571708.48</v>
      </c>
      <c r="I424" s="5">
        <v>45028</v>
      </c>
      <c r="J424" s="4">
        <v>5312.82</v>
      </c>
      <c r="K424" s="4">
        <f t="shared" si="55"/>
        <v>53128.2</v>
      </c>
      <c r="L424" s="1">
        <v>45028</v>
      </c>
      <c r="M424">
        <v>5.45</v>
      </c>
      <c r="N424" s="1">
        <v>45028</v>
      </c>
      <c r="O424">
        <v>5.44</v>
      </c>
      <c r="P424" s="1">
        <v>45028</v>
      </c>
      <c r="Q424">
        <v>5.62</v>
      </c>
      <c r="R424" s="1">
        <v>45028</v>
      </c>
      <c r="S424">
        <v>5.7</v>
      </c>
      <c r="T424" s="1">
        <v>45028</v>
      </c>
      <c r="U424">
        <v>5.82</v>
      </c>
      <c r="V424" s="1">
        <v>45028</v>
      </c>
      <c r="W424">
        <v>5.9</v>
      </c>
      <c r="X424" s="1">
        <v>45028</v>
      </c>
      <c r="Y424">
        <f>NETWORKDAYS(X424,$Z$1,FERIADO!$A$2:$A$408)</f>
        <v>1950</v>
      </c>
      <c r="Z424">
        <v>12.43</v>
      </c>
      <c r="AA424" s="6">
        <f t="shared" si="56"/>
        <v>40389.512190724192</v>
      </c>
      <c r="AB424" s="2">
        <f t="shared" si="57"/>
        <v>1.3979421652751912E-3</v>
      </c>
      <c r="AJ424" s="1">
        <v>45028</v>
      </c>
      <c r="AK424">
        <f>NETWORKDAYS(AJ424,$AJ$1,FERIADO!$A$2:$A$408)</f>
        <v>937</v>
      </c>
      <c r="AL424">
        <v>11.755000000000001</v>
      </c>
      <c r="AM424" s="6">
        <f t="shared" si="58"/>
        <v>66150.201845852687</v>
      </c>
      <c r="AN424" s="2">
        <f t="shared" si="59"/>
        <v>4.8081048776570399E-4</v>
      </c>
      <c r="AP424" s="11">
        <f t="shared" si="60"/>
        <v>6.9897108263759561E-4</v>
      </c>
      <c r="AQ424" s="11">
        <f t="shared" si="61"/>
        <v>1.4424314632971119E-4</v>
      </c>
      <c r="AR424" s="11">
        <f t="shared" si="62"/>
        <v>8.4321422896730682E-4</v>
      </c>
    </row>
    <row r="425" spans="2:44" x14ac:dyDescent="0.35">
      <c r="B425" s="1">
        <v>45027</v>
      </c>
      <c r="C425">
        <v>4417.78</v>
      </c>
      <c r="D425" s="1">
        <v>45027</v>
      </c>
      <c r="E425">
        <v>5.0122</v>
      </c>
      <c r="F425" s="1">
        <v>45022</v>
      </c>
      <c r="G425">
        <v>116.45099999999999</v>
      </c>
      <c r="H425" s="4">
        <f t="shared" si="54"/>
        <v>583675.70219999994</v>
      </c>
      <c r="I425" s="5">
        <v>45027</v>
      </c>
      <c r="J425" s="4">
        <v>5407.59</v>
      </c>
      <c r="K425" s="4">
        <f t="shared" si="55"/>
        <v>54075.9</v>
      </c>
      <c r="L425" s="1">
        <v>45027</v>
      </c>
      <c r="M425">
        <v>5.41</v>
      </c>
      <c r="N425" s="1">
        <v>45027</v>
      </c>
      <c r="O425">
        <v>5.43</v>
      </c>
      <c r="P425" s="1">
        <v>45027</v>
      </c>
      <c r="Q425">
        <v>5.65</v>
      </c>
      <c r="R425" s="1">
        <v>45027</v>
      </c>
      <c r="S425">
        <v>5.74</v>
      </c>
      <c r="T425" s="1">
        <v>45027</v>
      </c>
      <c r="U425">
        <v>5.8</v>
      </c>
      <c r="V425" s="1">
        <v>45027</v>
      </c>
      <c r="W425">
        <v>5.9</v>
      </c>
      <c r="X425" s="1">
        <v>45027</v>
      </c>
      <c r="Y425">
        <f>NETWORKDAYS(X425,$Z$1,FERIADO!$A$2:$A$408)</f>
        <v>1951</v>
      </c>
      <c r="Z425">
        <v>12.47</v>
      </c>
      <c r="AA425" s="6">
        <f t="shared" si="56"/>
        <v>40259.712183239455</v>
      </c>
      <c r="AB425" s="2">
        <f t="shared" si="57"/>
        <v>6.1793582795870577E-3</v>
      </c>
      <c r="AJ425" s="1">
        <v>45027</v>
      </c>
      <c r="AK425">
        <f>NETWORKDAYS(AJ425,$AJ$1,FERIADO!$A$2:$A$408)</f>
        <v>938</v>
      </c>
      <c r="AL425">
        <v>11.775</v>
      </c>
      <c r="AM425" s="6">
        <f t="shared" si="58"/>
        <v>66077.007014990508</v>
      </c>
      <c r="AN425" s="2">
        <f t="shared" si="59"/>
        <v>3.0125689176587231E-3</v>
      </c>
      <c r="AP425" s="11">
        <f t="shared" si="60"/>
        <v>3.0896791397935289E-3</v>
      </c>
      <c r="AQ425" s="11">
        <f t="shared" si="61"/>
        <v>9.037706752976169E-4</v>
      </c>
      <c r="AR425" s="11">
        <f t="shared" si="62"/>
        <v>3.9934498150911461E-3</v>
      </c>
    </row>
    <row r="426" spans="2:44" x14ac:dyDescent="0.35">
      <c r="B426" s="1">
        <v>45026</v>
      </c>
      <c r="C426">
        <v>4414.1000000000004</v>
      </c>
      <c r="D426" s="1">
        <v>45026</v>
      </c>
      <c r="E426">
        <v>5.0827999999999998</v>
      </c>
      <c r="F426" s="1">
        <v>45021</v>
      </c>
      <c r="G426">
        <v>116.44</v>
      </c>
      <c r="H426" s="4">
        <f t="shared" si="54"/>
        <v>591841.23199999996</v>
      </c>
      <c r="I426" s="5">
        <v>45026</v>
      </c>
      <c r="J426" s="4">
        <v>5478.66</v>
      </c>
      <c r="K426" s="4">
        <f t="shared" si="55"/>
        <v>54786.6</v>
      </c>
      <c r="L426" s="1">
        <v>45026</v>
      </c>
      <c r="M426">
        <v>5.56</v>
      </c>
      <c r="N426" s="1">
        <v>45026</v>
      </c>
      <c r="O426">
        <v>5.57</v>
      </c>
      <c r="P426" s="1">
        <v>45026</v>
      </c>
      <c r="Q426">
        <v>5.75</v>
      </c>
      <c r="R426" s="1">
        <v>45026</v>
      </c>
      <c r="S426">
        <v>5.8</v>
      </c>
      <c r="T426" s="1">
        <v>45026</v>
      </c>
      <c r="U426">
        <v>5.9</v>
      </c>
      <c r="V426" s="1">
        <v>45026</v>
      </c>
      <c r="W426">
        <v>5.99</v>
      </c>
      <c r="X426" s="1">
        <v>45026</v>
      </c>
      <c r="Y426">
        <f>NETWORKDAYS(X426,$Z$1,FERIADO!$A$2:$A$408)</f>
        <v>1952</v>
      </c>
      <c r="Z426">
        <v>12.67</v>
      </c>
      <c r="AA426" s="6">
        <f t="shared" si="56"/>
        <v>39690.932971306524</v>
      </c>
      <c r="AB426" s="2">
        <f t="shared" si="57"/>
        <v>-9.3154018124485307E-5</v>
      </c>
      <c r="AJ426" s="1">
        <v>45026</v>
      </c>
      <c r="AK426">
        <f>NETWORKDAYS(AJ426,$AJ$1,FERIADO!$A$2:$A$408)</f>
        <v>939</v>
      </c>
      <c r="AL426">
        <v>11.97</v>
      </c>
      <c r="AM426" s="6">
        <f t="shared" si="58"/>
        <v>65620.236955290704</v>
      </c>
      <c r="AN426" s="2">
        <f t="shared" si="59"/>
        <v>7.7346650975596563E-4</v>
      </c>
      <c r="AP426" s="11">
        <f t="shared" si="60"/>
        <v>-4.6577009062242654E-5</v>
      </c>
      <c r="AQ426" s="11">
        <f t="shared" si="61"/>
        <v>2.3203995292678969E-4</v>
      </c>
      <c r="AR426" s="11">
        <f t="shared" si="62"/>
        <v>1.8546294386454702E-4</v>
      </c>
    </row>
    <row r="427" spans="2:44" x14ac:dyDescent="0.35">
      <c r="B427" s="1">
        <v>45022</v>
      </c>
      <c r="C427">
        <v>4406.54</v>
      </c>
      <c r="D427" s="1">
        <v>45022</v>
      </c>
      <c r="E427">
        <v>5.0677000000000003</v>
      </c>
      <c r="F427" s="1">
        <v>45020</v>
      </c>
      <c r="G427">
        <v>116.235</v>
      </c>
      <c r="H427" s="4">
        <f t="shared" si="54"/>
        <v>589044.10950000002</v>
      </c>
      <c r="I427" s="5">
        <v>45022</v>
      </c>
      <c r="J427" s="4">
        <v>5468.97</v>
      </c>
      <c r="K427" s="4">
        <f t="shared" si="55"/>
        <v>54689.700000000004</v>
      </c>
      <c r="L427" s="1">
        <v>45022</v>
      </c>
      <c r="M427">
        <v>5.55</v>
      </c>
      <c r="N427" s="1">
        <v>45022</v>
      </c>
      <c r="O427">
        <v>5.54</v>
      </c>
      <c r="P427" s="1">
        <v>45022</v>
      </c>
      <c r="Q427">
        <v>5.72</v>
      </c>
      <c r="R427" s="1">
        <v>45022</v>
      </c>
      <c r="S427">
        <v>5.78</v>
      </c>
      <c r="T427" s="1">
        <v>45022</v>
      </c>
      <c r="U427">
        <v>5.88</v>
      </c>
      <c r="V427" s="1">
        <v>45022</v>
      </c>
      <c r="W427">
        <v>5.96</v>
      </c>
      <c r="X427" s="1">
        <v>45022</v>
      </c>
      <c r="Y427">
        <f>NETWORKDAYS(X427,$Z$1,FERIADO!$A$2:$A$408)</f>
        <v>1953</v>
      </c>
      <c r="Z427">
        <v>12.66</v>
      </c>
      <c r="AA427" s="6">
        <f t="shared" si="56"/>
        <v>39699.44739321516</v>
      </c>
      <c r="AB427" s="2">
        <f t="shared" si="57"/>
        <v>-2.4858180810398414E-3</v>
      </c>
      <c r="AJ427" s="1">
        <v>45022</v>
      </c>
      <c r="AK427">
        <f>NETWORKDAYS(AJ427,$AJ$1,FERIADO!$A$2:$A$408)</f>
        <v>940</v>
      </c>
      <c r="AL427">
        <v>12.01</v>
      </c>
      <c r="AM427" s="6">
        <f t="shared" si="58"/>
        <v>65503.473128206591</v>
      </c>
      <c r="AN427" s="2">
        <f t="shared" si="59"/>
        <v>-1.1081043732734308E-3</v>
      </c>
      <c r="AP427" s="11">
        <f t="shared" si="60"/>
        <v>-1.2429090405199207E-3</v>
      </c>
      <c r="AQ427" s="11">
        <f t="shared" si="61"/>
        <v>-3.3243131198202924E-4</v>
      </c>
      <c r="AR427" s="11">
        <f t="shared" si="62"/>
        <v>-1.5753403525019499E-3</v>
      </c>
    </row>
    <row r="428" spans="2:44" x14ac:dyDescent="0.35">
      <c r="B428" s="1">
        <v>45021</v>
      </c>
      <c r="C428">
        <v>4391.12</v>
      </c>
      <c r="D428" s="1">
        <v>45021</v>
      </c>
      <c r="E428">
        <v>5.0441000000000003</v>
      </c>
      <c r="F428" s="1">
        <v>45019</v>
      </c>
      <c r="G428">
        <v>115.52</v>
      </c>
      <c r="H428" s="4">
        <f t="shared" si="54"/>
        <v>582694.43200000003</v>
      </c>
      <c r="I428" s="5">
        <v>45021</v>
      </c>
      <c r="J428" s="4">
        <v>5446.9</v>
      </c>
      <c r="K428" s="4">
        <f t="shared" si="55"/>
        <v>54469</v>
      </c>
      <c r="L428" s="1">
        <v>45021</v>
      </c>
      <c r="M428">
        <v>5.49</v>
      </c>
      <c r="N428" s="1">
        <v>45021</v>
      </c>
      <c r="O428">
        <v>5.48</v>
      </c>
      <c r="P428" s="1">
        <v>45021</v>
      </c>
      <c r="Q428">
        <v>5.69</v>
      </c>
      <c r="R428" s="1">
        <v>45021</v>
      </c>
      <c r="S428">
        <v>5.74</v>
      </c>
      <c r="T428" s="1">
        <v>45021</v>
      </c>
      <c r="U428">
        <v>5.83</v>
      </c>
      <c r="V428" s="1">
        <v>45021</v>
      </c>
      <c r="W428">
        <v>5.92</v>
      </c>
      <c r="X428" s="1">
        <v>45021</v>
      </c>
      <c r="Y428">
        <f>NETWORKDAYS(X428,$Z$1,FERIADO!$A$2:$A$408)</f>
        <v>1954</v>
      </c>
      <c r="Z428">
        <v>12.57</v>
      </c>
      <c r="AA428" s="6">
        <f t="shared" si="56"/>
        <v>39927.330952867509</v>
      </c>
      <c r="AB428" s="2">
        <f t="shared" si="57"/>
        <v>3.7937547290710695E-3</v>
      </c>
      <c r="AJ428" s="1">
        <v>45021</v>
      </c>
      <c r="AK428">
        <f>NETWORKDAYS(AJ428,$AJ$1,FERIADO!$A$2:$A$408)</f>
        <v>941</v>
      </c>
      <c r="AL428">
        <v>11.92</v>
      </c>
      <c r="AM428" s="6">
        <f t="shared" si="58"/>
        <v>65670.81894297617</v>
      </c>
      <c r="AN428" s="2">
        <f t="shared" si="59"/>
        <v>1.4990313354339988E-3</v>
      </c>
      <c r="AP428" s="11">
        <f t="shared" si="60"/>
        <v>1.8968773645355347E-3</v>
      </c>
      <c r="AQ428" s="11">
        <f t="shared" si="61"/>
        <v>4.497094006301996E-4</v>
      </c>
      <c r="AR428" s="11">
        <f t="shared" si="62"/>
        <v>2.3465867651657345E-3</v>
      </c>
    </row>
    <row r="429" spans="2:44" x14ac:dyDescent="0.35">
      <c r="B429" s="1">
        <v>45020</v>
      </c>
      <c r="C429">
        <v>4409.24</v>
      </c>
      <c r="D429" s="1">
        <v>45020</v>
      </c>
      <c r="E429">
        <v>5.0755999999999997</v>
      </c>
      <c r="F429" s="1">
        <v>45016</v>
      </c>
      <c r="G429">
        <v>115.059</v>
      </c>
      <c r="H429" s="4">
        <f t="shared" si="54"/>
        <v>583993.46039999998</v>
      </c>
      <c r="I429" s="5">
        <v>45020</v>
      </c>
      <c r="J429" s="4">
        <v>5483.51</v>
      </c>
      <c r="K429" s="4">
        <f t="shared" si="55"/>
        <v>54835.100000000006</v>
      </c>
      <c r="L429" s="1">
        <v>45020</v>
      </c>
      <c r="M429">
        <v>5.55</v>
      </c>
      <c r="N429" s="1">
        <v>45020</v>
      </c>
      <c r="O429">
        <v>5.52</v>
      </c>
      <c r="P429" s="1">
        <v>45020</v>
      </c>
      <c r="Q429">
        <v>5.7</v>
      </c>
      <c r="R429" s="1">
        <v>45020</v>
      </c>
      <c r="S429">
        <v>5.75</v>
      </c>
      <c r="T429" s="1">
        <v>45020</v>
      </c>
      <c r="U429">
        <v>5.9</v>
      </c>
      <c r="V429" s="1">
        <v>45020</v>
      </c>
      <c r="W429">
        <v>5.94</v>
      </c>
      <c r="X429" s="1">
        <v>45020</v>
      </c>
      <c r="Y429">
        <f>NETWORKDAYS(X429,$Z$1,FERIADO!$A$2:$A$408)</f>
        <v>1955</v>
      </c>
      <c r="Z429">
        <v>12.69</v>
      </c>
      <c r="AA429" s="6">
        <f t="shared" si="56"/>
        <v>39580.066986322927</v>
      </c>
      <c r="AB429" s="2">
        <f t="shared" si="57"/>
        <v>2.0002267702264797E-3</v>
      </c>
      <c r="AJ429" s="1">
        <v>45020</v>
      </c>
      <c r="AK429">
        <f>NETWORKDAYS(AJ429,$AJ$1,FERIADO!$A$2:$A$408)</f>
        <v>942</v>
      </c>
      <c r="AL429">
        <v>12.01</v>
      </c>
      <c r="AM429" s="6">
        <f t="shared" si="58"/>
        <v>65444.537191242438</v>
      </c>
      <c r="AN429" s="2">
        <f t="shared" si="59"/>
        <v>9.9326480384658239E-4</v>
      </c>
      <c r="AP429" s="11">
        <f t="shared" si="60"/>
        <v>1.0001133851132399E-3</v>
      </c>
      <c r="AQ429" s="11">
        <f t="shared" si="61"/>
        <v>2.9797944115397471E-4</v>
      </c>
      <c r="AR429" s="11">
        <f t="shared" si="62"/>
        <v>1.2980928262672146E-3</v>
      </c>
    </row>
    <row r="430" spans="2:44" x14ac:dyDescent="0.35">
      <c r="B430" s="1">
        <v>45019</v>
      </c>
      <c r="C430">
        <v>4430.34</v>
      </c>
      <c r="D430" s="1">
        <v>45019</v>
      </c>
      <c r="E430">
        <v>5.0631000000000004</v>
      </c>
      <c r="F430" s="1">
        <v>45015</v>
      </c>
      <c r="G430">
        <v>114.563</v>
      </c>
      <c r="H430" s="4">
        <f t="shared" si="54"/>
        <v>580043.92530000012</v>
      </c>
      <c r="I430" s="5">
        <v>45019</v>
      </c>
      <c r="J430" s="4">
        <v>5480.28</v>
      </c>
      <c r="K430" s="4">
        <f t="shared" si="55"/>
        <v>54802.799999999996</v>
      </c>
      <c r="L430" s="1">
        <v>45019</v>
      </c>
      <c r="M430">
        <v>5.58</v>
      </c>
      <c r="N430" s="1">
        <v>45019</v>
      </c>
      <c r="O430">
        <v>5.55</v>
      </c>
      <c r="P430" s="1">
        <v>45019</v>
      </c>
      <c r="Q430">
        <v>5.73</v>
      </c>
      <c r="R430" s="1">
        <v>45019</v>
      </c>
      <c r="S430">
        <v>5.74</v>
      </c>
      <c r="T430" s="1">
        <v>45019</v>
      </c>
      <c r="U430">
        <v>5.86</v>
      </c>
      <c r="V430" s="1">
        <v>45019</v>
      </c>
      <c r="W430">
        <v>5.94</v>
      </c>
      <c r="X430" s="1">
        <v>45019</v>
      </c>
      <c r="Y430">
        <f>NETWORKDAYS(X430,$Z$1,FERIADO!$A$2:$A$408)</f>
        <v>1956</v>
      </c>
      <c r="Z430">
        <v>12.75</v>
      </c>
      <c r="AA430" s="6">
        <f t="shared" si="56"/>
        <v>39398.192525245504</v>
      </c>
      <c r="AB430" s="2">
        <f t="shared" si="57"/>
        <v>1.702123547681803E-3</v>
      </c>
      <c r="AJ430" s="1">
        <v>45019</v>
      </c>
      <c r="AK430">
        <f>NETWORKDAYS(AJ430,$AJ$1,FERIADO!$A$2:$A$408)</f>
        <v>943</v>
      </c>
      <c r="AL430">
        <v>12.065</v>
      </c>
      <c r="AM430" s="6">
        <f t="shared" si="58"/>
        <v>65295.031543691097</v>
      </c>
      <c r="AN430" s="2">
        <f t="shared" si="59"/>
        <v>7.0433558066371649E-4</v>
      </c>
      <c r="AP430" s="11">
        <f t="shared" si="60"/>
        <v>8.5106177384090148E-4</v>
      </c>
      <c r="AQ430" s="11">
        <f t="shared" si="61"/>
        <v>2.1130067419911495E-4</v>
      </c>
      <c r="AR430" s="11">
        <f t="shared" si="62"/>
        <v>1.0623624480400164E-3</v>
      </c>
    </row>
    <row r="431" spans="2:44" x14ac:dyDescent="0.35">
      <c r="B431" s="1">
        <v>45016</v>
      </c>
      <c r="C431">
        <v>4418.54</v>
      </c>
      <c r="D431" s="1">
        <v>45016</v>
      </c>
      <c r="E431">
        <v>5.0797999999999996</v>
      </c>
      <c r="F431" s="1">
        <v>45014</v>
      </c>
      <c r="G431">
        <v>114.5</v>
      </c>
      <c r="H431" s="4">
        <f t="shared" si="54"/>
        <v>581637.09999999986</v>
      </c>
      <c r="I431" s="5">
        <v>45016</v>
      </c>
      <c r="J431" s="4">
        <v>5478.66</v>
      </c>
      <c r="K431" s="4">
        <f t="shared" si="55"/>
        <v>54786.6</v>
      </c>
      <c r="L431" s="1">
        <v>45016</v>
      </c>
      <c r="M431">
        <v>5.59</v>
      </c>
      <c r="N431" s="1">
        <v>45016</v>
      </c>
      <c r="O431">
        <v>5.57</v>
      </c>
      <c r="P431" s="1">
        <v>45016</v>
      </c>
      <c r="Q431">
        <v>5.77</v>
      </c>
      <c r="R431" s="1">
        <v>45016</v>
      </c>
      <c r="S431">
        <v>5.82</v>
      </c>
      <c r="T431" s="1">
        <v>45016</v>
      </c>
      <c r="U431">
        <v>5.92</v>
      </c>
      <c r="V431" s="1">
        <v>45016</v>
      </c>
      <c r="W431">
        <v>5.97</v>
      </c>
      <c r="X431" s="1">
        <v>45016</v>
      </c>
      <c r="Y431">
        <f>NETWORKDAYS(X431,$Z$1,FERIADO!$A$2:$A$408)</f>
        <v>1957</v>
      </c>
      <c r="Z431">
        <v>12.8</v>
      </c>
      <c r="AA431" s="6">
        <f t="shared" si="56"/>
        <v>39244.08200628512</v>
      </c>
      <c r="AB431" s="2">
        <f t="shared" si="57"/>
        <v>-6.8999016296985042E-4</v>
      </c>
      <c r="AJ431" s="1">
        <v>45016</v>
      </c>
      <c r="AK431">
        <f>NETWORKDAYS(AJ431,$AJ$1,FERIADO!$A$2:$A$408)</f>
        <v>944</v>
      </c>
      <c r="AL431">
        <v>12.1</v>
      </c>
      <c r="AM431" s="6">
        <f t="shared" si="58"/>
        <v>65189.222367623195</v>
      </c>
      <c r="AN431" s="2">
        <f t="shared" si="59"/>
        <v>-4.5704981089238146E-4</v>
      </c>
      <c r="AP431" s="11">
        <f t="shared" si="60"/>
        <v>-3.4499508148492521E-4</v>
      </c>
      <c r="AQ431" s="11">
        <f t="shared" si="61"/>
        <v>-1.3711494326771443E-4</v>
      </c>
      <c r="AR431" s="11">
        <f t="shared" si="62"/>
        <v>-4.8211002475263961E-4</v>
      </c>
    </row>
    <row r="432" spans="2:44" x14ac:dyDescent="0.35">
      <c r="B432" s="1">
        <v>45015</v>
      </c>
      <c r="C432">
        <v>4357.3500000000004</v>
      </c>
      <c r="D432" s="1">
        <v>45015</v>
      </c>
      <c r="E432">
        <v>5.1247999999999996</v>
      </c>
      <c r="F432" s="1">
        <v>45013</v>
      </c>
      <c r="G432">
        <v>114.56</v>
      </c>
      <c r="H432" s="4">
        <f t="shared" si="54"/>
        <v>587097.08799999999</v>
      </c>
      <c r="I432" s="5">
        <v>45015</v>
      </c>
      <c r="J432" s="4">
        <v>5514.2</v>
      </c>
      <c r="K432" s="4">
        <f t="shared" si="55"/>
        <v>55142</v>
      </c>
      <c r="L432" s="1">
        <v>45015</v>
      </c>
      <c r="M432">
        <v>5.51</v>
      </c>
      <c r="N432" s="1">
        <v>45015</v>
      </c>
      <c r="O432">
        <v>5.53</v>
      </c>
      <c r="P432" s="1">
        <v>45015</v>
      </c>
      <c r="Q432">
        <v>5.74</v>
      </c>
      <c r="R432" s="1">
        <v>45015</v>
      </c>
      <c r="S432">
        <v>5.76</v>
      </c>
      <c r="T432" s="1">
        <v>45015</v>
      </c>
      <c r="U432">
        <v>5.87</v>
      </c>
      <c r="V432" s="1">
        <v>45015</v>
      </c>
      <c r="W432">
        <v>5.95</v>
      </c>
      <c r="X432" s="1">
        <v>45015</v>
      </c>
      <c r="Y432">
        <f>NETWORKDAYS(X432,$Z$1,FERIADO!$A$2:$A$408)</f>
        <v>1958</v>
      </c>
      <c r="Z432">
        <v>12.77</v>
      </c>
      <c r="AA432" s="6">
        <f t="shared" si="56"/>
        <v>39306.481031197291</v>
      </c>
      <c r="AB432" s="2">
        <f t="shared" si="57"/>
        <v>5.8905749789540402E-3</v>
      </c>
      <c r="AJ432" s="1">
        <v>45015</v>
      </c>
      <c r="AK432">
        <f>NETWORKDAYS(AJ432,$AJ$1,FERIADO!$A$2:$A$408)</f>
        <v>945</v>
      </c>
      <c r="AL432">
        <v>12.055</v>
      </c>
      <c r="AM432" s="6">
        <f t="shared" si="58"/>
        <v>65257.863362208605</v>
      </c>
      <c r="AN432" s="2">
        <f t="shared" si="59"/>
        <v>3.6842662267257348E-3</v>
      </c>
      <c r="AP432" s="11">
        <f t="shared" si="60"/>
        <v>2.9452874894770201E-3</v>
      </c>
      <c r="AQ432" s="11">
        <f t="shared" si="61"/>
        <v>1.1052798680177204E-3</v>
      </c>
      <c r="AR432" s="11">
        <f t="shared" si="62"/>
        <v>4.0505673574947401E-3</v>
      </c>
    </row>
    <row r="433" spans="2:44" x14ac:dyDescent="0.35">
      <c r="B433" s="1">
        <v>45014</v>
      </c>
      <c r="C433">
        <v>4325.82</v>
      </c>
      <c r="D433" s="1">
        <v>45014</v>
      </c>
      <c r="E433">
        <v>5.1486999999999998</v>
      </c>
      <c r="F433" s="1">
        <v>45012</v>
      </c>
      <c r="G433">
        <v>114.932</v>
      </c>
      <c r="H433" s="4">
        <f t="shared" si="54"/>
        <v>591750.38840000005</v>
      </c>
      <c r="I433" s="5">
        <v>45014</v>
      </c>
      <c r="J433" s="4">
        <v>5560.73</v>
      </c>
      <c r="K433" s="4">
        <f t="shared" si="55"/>
        <v>55607.299999999996</v>
      </c>
      <c r="L433" s="1">
        <v>45014</v>
      </c>
      <c r="M433">
        <v>5.63</v>
      </c>
      <c r="N433" s="1">
        <v>45014</v>
      </c>
      <c r="O433">
        <v>5.65</v>
      </c>
      <c r="P433" s="1">
        <v>45014</v>
      </c>
      <c r="Q433">
        <v>5.77</v>
      </c>
      <c r="R433" s="1">
        <v>45014</v>
      </c>
      <c r="S433">
        <v>5.79</v>
      </c>
      <c r="T433" s="1">
        <v>45014</v>
      </c>
      <c r="U433">
        <v>5.89</v>
      </c>
      <c r="V433" s="1">
        <v>45014</v>
      </c>
      <c r="W433">
        <v>5.98</v>
      </c>
      <c r="X433" s="1">
        <v>45014</v>
      </c>
      <c r="Y433">
        <f>NETWORKDAYS(X433,$Z$1,FERIADO!$A$2:$A$408)</f>
        <v>1959</v>
      </c>
      <c r="Z433">
        <v>12.96</v>
      </c>
      <c r="AA433" s="6">
        <f t="shared" si="56"/>
        <v>38776.944918082278</v>
      </c>
      <c r="AB433" s="2">
        <f t="shared" si="57"/>
        <v>-3.0809170334511284E-3</v>
      </c>
      <c r="AJ433" s="1">
        <v>45014</v>
      </c>
      <c r="AK433">
        <f>NETWORKDAYS(AJ433,$AJ$1,FERIADO!$A$2:$A$408)</f>
        <v>946</v>
      </c>
      <c r="AL433">
        <v>12.295</v>
      </c>
      <c r="AM433" s="6">
        <f t="shared" si="58"/>
        <v>64706.600528653093</v>
      </c>
      <c r="AN433" s="2">
        <f t="shared" si="59"/>
        <v>-2.199965270193401E-3</v>
      </c>
      <c r="AP433" s="11">
        <f t="shared" si="60"/>
        <v>-1.5404585167255642E-3</v>
      </c>
      <c r="AQ433" s="11">
        <f t="shared" si="61"/>
        <v>-6.5998958105802032E-4</v>
      </c>
      <c r="AR433" s="11">
        <f t="shared" si="62"/>
        <v>-2.2004480977835844E-3</v>
      </c>
    </row>
    <row r="434" spans="2:44" x14ac:dyDescent="0.35">
      <c r="B434" s="1">
        <v>45013</v>
      </c>
      <c r="C434">
        <v>4273.6099999999997</v>
      </c>
      <c r="D434" s="1">
        <v>45013</v>
      </c>
      <c r="E434">
        <v>5.1726999999999999</v>
      </c>
      <c r="F434" s="1">
        <v>45009</v>
      </c>
      <c r="G434">
        <v>116.09399999999999</v>
      </c>
      <c r="H434" s="4">
        <f t="shared" si="54"/>
        <v>600519.4338</v>
      </c>
      <c r="I434" s="5">
        <v>45013</v>
      </c>
      <c r="J434" s="4">
        <v>5593.19</v>
      </c>
      <c r="K434" s="4">
        <f t="shared" si="55"/>
        <v>55931.899999999994</v>
      </c>
      <c r="L434" s="1">
        <v>45013</v>
      </c>
      <c r="M434">
        <v>5.58</v>
      </c>
      <c r="N434" s="1">
        <v>45013</v>
      </c>
      <c r="O434">
        <v>5.56</v>
      </c>
      <c r="P434" s="1">
        <v>45013</v>
      </c>
      <c r="Q434">
        <v>5.76</v>
      </c>
      <c r="R434" s="1">
        <v>45013</v>
      </c>
      <c r="S434">
        <v>5.78</v>
      </c>
      <c r="T434" s="1">
        <v>45013</v>
      </c>
      <c r="U434">
        <v>5.92</v>
      </c>
      <c r="V434" s="1">
        <v>45013</v>
      </c>
      <c r="W434">
        <v>5.99</v>
      </c>
      <c r="X434" s="1">
        <v>45013</v>
      </c>
      <c r="Y434">
        <f>NETWORKDAYS(X434,$Z$1,FERIADO!$A$2:$A$408)</f>
        <v>1960</v>
      </c>
      <c r="Z434">
        <v>12.85</v>
      </c>
      <c r="AA434" s="6">
        <f t="shared" si="56"/>
        <v>39053.009474010505</v>
      </c>
      <c r="AB434" s="2">
        <f t="shared" si="57"/>
        <v>3.5009542057346946E-3</v>
      </c>
      <c r="AJ434" s="1">
        <v>45013</v>
      </c>
      <c r="AK434">
        <f>NETWORKDAYS(AJ434,$AJ$1,FERIADO!$A$2:$A$408)</f>
        <v>947</v>
      </c>
      <c r="AL434">
        <v>12.13</v>
      </c>
      <c r="AM434" s="6">
        <f t="shared" si="58"/>
        <v>65035.210353991512</v>
      </c>
      <c r="AN434" s="2">
        <f t="shared" si="59"/>
        <v>3.4300592250390358E-4</v>
      </c>
      <c r="AP434" s="11">
        <f t="shared" si="60"/>
        <v>1.7504771028673473E-3</v>
      </c>
      <c r="AQ434" s="11">
        <f t="shared" si="61"/>
        <v>1.0290177675117107E-4</v>
      </c>
      <c r="AR434" s="11">
        <f t="shared" si="62"/>
        <v>1.8533788796185184E-3</v>
      </c>
    </row>
    <row r="435" spans="2:44" x14ac:dyDescent="0.35">
      <c r="B435" s="1">
        <v>45012</v>
      </c>
      <c r="C435">
        <v>4284.09</v>
      </c>
      <c r="D435" s="1">
        <v>45012</v>
      </c>
      <c r="E435">
        <v>5.23</v>
      </c>
      <c r="F435" s="1">
        <v>45008</v>
      </c>
      <c r="G435">
        <v>115.9</v>
      </c>
      <c r="H435" s="4">
        <f t="shared" si="54"/>
        <v>606157</v>
      </c>
      <c r="I435" s="5">
        <v>45012</v>
      </c>
      <c r="J435" s="4">
        <v>5630.52</v>
      </c>
      <c r="K435" s="4">
        <f t="shared" si="55"/>
        <v>56305.200000000004</v>
      </c>
      <c r="L435" s="1">
        <v>45012</v>
      </c>
      <c r="M435">
        <v>5.46</v>
      </c>
      <c r="N435" s="1">
        <v>45012</v>
      </c>
      <c r="O435">
        <v>5.47</v>
      </c>
      <c r="P435" s="1">
        <v>45012</v>
      </c>
      <c r="Q435">
        <v>5.68</v>
      </c>
      <c r="R435" s="1">
        <v>45012</v>
      </c>
      <c r="S435">
        <v>5.72</v>
      </c>
      <c r="T435" s="1">
        <v>45012</v>
      </c>
      <c r="U435">
        <v>5.87</v>
      </c>
      <c r="V435" s="1">
        <v>45012</v>
      </c>
      <c r="W435">
        <v>6</v>
      </c>
      <c r="X435" s="1">
        <v>45012</v>
      </c>
      <c r="Y435">
        <f>NETWORKDAYS(X435,$Z$1,FERIADO!$A$2:$A$408)</f>
        <v>1961</v>
      </c>
      <c r="Z435">
        <v>12.96</v>
      </c>
      <c r="AA435" s="6">
        <f t="shared" si="56"/>
        <v>38739.459099164873</v>
      </c>
      <c r="AB435" s="2">
        <f t="shared" si="57"/>
        <v>3.2020484707476322E-3</v>
      </c>
      <c r="AJ435" s="1">
        <v>45012</v>
      </c>
      <c r="AK435">
        <f>NETWORKDAYS(AJ435,$AJ$1,FERIADO!$A$2:$A$408)</f>
        <v>948</v>
      </c>
      <c r="AL435">
        <v>12.14</v>
      </c>
      <c r="AM435" s="6">
        <f t="shared" si="58"/>
        <v>64983.86580242544</v>
      </c>
      <c r="AN435" s="2">
        <f t="shared" si="59"/>
        <v>1.1451757570943321E-3</v>
      </c>
      <c r="AP435" s="11">
        <f t="shared" si="60"/>
        <v>1.6010242353738161E-3</v>
      </c>
      <c r="AQ435" s="11">
        <f t="shared" si="61"/>
        <v>3.4355272712829964E-4</v>
      </c>
      <c r="AR435" s="11">
        <f t="shared" si="62"/>
        <v>1.9445769625021157E-3</v>
      </c>
    </row>
    <row r="436" spans="2:44" x14ac:dyDescent="0.35">
      <c r="B436" s="1">
        <v>45009</v>
      </c>
      <c r="C436">
        <v>4277.09</v>
      </c>
      <c r="D436" s="1">
        <v>45009</v>
      </c>
      <c r="E436">
        <v>5.2915000000000001</v>
      </c>
      <c r="F436" s="1">
        <v>45007</v>
      </c>
      <c r="G436">
        <v>115.39700000000001</v>
      </c>
      <c r="H436" s="4">
        <f t="shared" si="54"/>
        <v>610623.22549999994</v>
      </c>
      <c r="I436" s="5">
        <v>45009</v>
      </c>
      <c r="J436" s="4">
        <v>5686.25</v>
      </c>
      <c r="K436" s="4">
        <f t="shared" si="55"/>
        <v>56862.5</v>
      </c>
      <c r="L436" s="1">
        <v>45009</v>
      </c>
      <c r="M436">
        <v>5.48</v>
      </c>
      <c r="N436" s="1">
        <v>45009</v>
      </c>
      <c r="O436">
        <v>5.48</v>
      </c>
      <c r="P436" s="1">
        <v>45009</v>
      </c>
      <c r="Q436">
        <v>5.7</v>
      </c>
      <c r="R436" s="1">
        <v>45009</v>
      </c>
      <c r="S436">
        <v>5.73</v>
      </c>
      <c r="T436" s="1">
        <v>45009</v>
      </c>
      <c r="U436">
        <v>5.88</v>
      </c>
      <c r="V436" s="1">
        <v>45009</v>
      </c>
      <c r="W436">
        <v>6</v>
      </c>
      <c r="X436" s="1">
        <v>45009</v>
      </c>
      <c r="Y436">
        <f>NETWORKDAYS(X436,$Z$1,FERIADO!$A$2:$A$408)</f>
        <v>1962</v>
      </c>
      <c r="Z436">
        <v>13.06</v>
      </c>
      <c r="AA436" s="6">
        <f t="shared" si="56"/>
        <v>38454.883864620162</v>
      </c>
      <c r="AB436" s="2">
        <f t="shared" si="57"/>
        <v>2.6044817076758711E-3</v>
      </c>
      <c r="AJ436" s="1">
        <v>45009</v>
      </c>
      <c r="AK436">
        <f>NETWORKDAYS(AJ436,$AJ$1,FERIADO!$A$2:$A$408)</f>
        <v>949</v>
      </c>
      <c r="AL436">
        <v>12.205</v>
      </c>
      <c r="AM436" s="6">
        <f t="shared" si="58"/>
        <v>64812.737865113435</v>
      </c>
      <c r="AN436" s="2">
        <f t="shared" si="59"/>
        <v>2.3857004252016635E-3</v>
      </c>
      <c r="AP436" s="11">
        <f t="shared" si="60"/>
        <v>1.3022408538379355E-3</v>
      </c>
      <c r="AQ436" s="11">
        <f t="shared" si="61"/>
        <v>7.1571012756049899E-4</v>
      </c>
      <c r="AR436" s="11">
        <f t="shared" si="62"/>
        <v>2.0179509813984344E-3</v>
      </c>
    </row>
    <row r="437" spans="2:44" x14ac:dyDescent="0.35">
      <c r="B437" s="1">
        <v>45008</v>
      </c>
      <c r="C437">
        <v>4253.37</v>
      </c>
      <c r="D437" s="1">
        <v>45008</v>
      </c>
      <c r="E437">
        <v>5.2625999999999999</v>
      </c>
      <c r="F437" s="1">
        <v>45006</v>
      </c>
      <c r="G437">
        <v>114.184</v>
      </c>
      <c r="H437" s="4">
        <f t="shared" si="54"/>
        <v>600904.71840000001</v>
      </c>
      <c r="I437" s="5">
        <v>45008</v>
      </c>
      <c r="J437" s="4">
        <v>5741.98</v>
      </c>
      <c r="K437" s="4">
        <f t="shared" si="55"/>
        <v>57419.799999999996</v>
      </c>
      <c r="L437" s="1">
        <v>45008</v>
      </c>
      <c r="M437">
        <v>5.58</v>
      </c>
      <c r="N437" s="1">
        <v>45008</v>
      </c>
      <c r="O437">
        <v>5.58</v>
      </c>
      <c r="P437" s="1">
        <v>45008</v>
      </c>
      <c r="Q437">
        <v>5.75</v>
      </c>
      <c r="R437" s="1">
        <v>45008</v>
      </c>
      <c r="S437">
        <v>5.79</v>
      </c>
      <c r="T437" s="1">
        <v>45008</v>
      </c>
      <c r="U437">
        <v>5.93</v>
      </c>
      <c r="V437" s="1">
        <v>45008</v>
      </c>
      <c r="W437">
        <v>6.06</v>
      </c>
      <c r="X437" s="1">
        <v>45008</v>
      </c>
      <c r="Y437">
        <f>NETWORKDAYS(X437,$Z$1,FERIADO!$A$2:$A$408)</f>
        <v>1963</v>
      </c>
      <c r="Z437">
        <v>13.14</v>
      </c>
      <c r="AA437" s="6">
        <f t="shared" si="56"/>
        <v>38224.95848388748</v>
      </c>
      <c r="AB437" s="2">
        <f t="shared" si="57"/>
        <v>-3.6786032031095716E-3</v>
      </c>
      <c r="AJ437" s="1">
        <v>45008</v>
      </c>
      <c r="AK437">
        <f>NETWORKDAYS(AJ437,$AJ$1,FERIADO!$A$2:$A$408)</f>
        <v>950</v>
      </c>
      <c r="AL437">
        <v>12.355</v>
      </c>
      <c r="AM437" s="6">
        <f t="shared" si="58"/>
        <v>64457.679572672118</v>
      </c>
      <c r="AN437" s="2">
        <f t="shared" si="59"/>
        <v>-8.2065858356277378E-4</v>
      </c>
      <c r="AP437" s="11">
        <f t="shared" si="60"/>
        <v>-1.8393016015547858E-3</v>
      </c>
      <c r="AQ437" s="11">
        <f t="shared" si="61"/>
        <v>-2.461975750688321E-4</v>
      </c>
      <c r="AR437" s="11">
        <f t="shared" si="62"/>
        <v>-2.0854991766236178E-3</v>
      </c>
    </row>
    <row r="438" spans="2:44" x14ac:dyDescent="0.35">
      <c r="B438" s="1">
        <v>45007</v>
      </c>
      <c r="C438">
        <v>4240.59</v>
      </c>
      <c r="D438" s="1">
        <v>45007</v>
      </c>
      <c r="E438">
        <v>5.2641999999999998</v>
      </c>
      <c r="F438" s="1">
        <v>45005</v>
      </c>
      <c r="G438">
        <v>115.09</v>
      </c>
      <c r="H438" s="4">
        <f t="shared" si="54"/>
        <v>605856.77799999993</v>
      </c>
      <c r="I438" s="5">
        <v>45007</v>
      </c>
      <c r="J438" s="4">
        <v>5682.46</v>
      </c>
      <c r="K438" s="4">
        <f t="shared" si="55"/>
        <v>56824.6</v>
      </c>
      <c r="L438" s="1">
        <v>45007</v>
      </c>
      <c r="M438">
        <v>5.53</v>
      </c>
      <c r="N438" s="1">
        <v>45007</v>
      </c>
      <c r="O438">
        <v>5.54</v>
      </c>
      <c r="P438" s="1">
        <v>45007</v>
      </c>
      <c r="Q438">
        <v>5.69</v>
      </c>
      <c r="R438" s="1">
        <v>45007</v>
      </c>
      <c r="S438">
        <v>5.74</v>
      </c>
      <c r="T438" s="1">
        <v>45007</v>
      </c>
      <c r="U438">
        <v>5.91</v>
      </c>
      <c r="V438" s="1">
        <v>45007</v>
      </c>
      <c r="W438">
        <v>6.03</v>
      </c>
      <c r="X438" s="1">
        <v>45007</v>
      </c>
      <c r="Y438">
        <f>NETWORKDAYS(X438,$Z$1,FERIADO!$A$2:$A$408)</f>
        <v>1964</v>
      </c>
      <c r="Z438">
        <v>13.01</v>
      </c>
      <c r="AA438" s="6">
        <f t="shared" si="56"/>
        <v>38550.110353591765</v>
      </c>
      <c r="AB438" s="2">
        <f t="shared" si="57"/>
        <v>4.7027077928502407E-3</v>
      </c>
      <c r="AJ438" s="1">
        <v>45007</v>
      </c>
      <c r="AK438">
        <f>NETWORKDAYS(AJ438,$AJ$1,FERIADO!$A$2:$A$408)</f>
        <v>951</v>
      </c>
      <c r="AL438">
        <v>12.285</v>
      </c>
      <c r="AM438" s="6">
        <f t="shared" si="58"/>
        <v>64579.596291557362</v>
      </c>
      <c r="AN438" s="2">
        <f t="shared" si="59"/>
        <v>2.3899728588828491E-3</v>
      </c>
      <c r="AP438" s="11">
        <f t="shared" si="60"/>
        <v>2.3513538964251204E-3</v>
      </c>
      <c r="AQ438" s="11">
        <f t="shared" si="61"/>
        <v>7.1699185766485477E-4</v>
      </c>
      <c r="AR438" s="11">
        <f t="shared" si="62"/>
        <v>3.068345754089975E-3</v>
      </c>
    </row>
    <row r="439" spans="2:44" x14ac:dyDescent="0.35">
      <c r="B439" s="1">
        <v>45006</v>
      </c>
      <c r="C439">
        <v>4308.92</v>
      </c>
      <c r="D439" s="1">
        <v>45006</v>
      </c>
      <c r="E439">
        <v>5.2438000000000002</v>
      </c>
      <c r="F439" s="1">
        <v>45002</v>
      </c>
      <c r="G439">
        <v>115.5</v>
      </c>
      <c r="H439" s="4">
        <f t="shared" si="54"/>
        <v>605658.9</v>
      </c>
      <c r="I439" s="5">
        <v>45006</v>
      </c>
      <c r="J439" s="4">
        <v>5685.71</v>
      </c>
      <c r="K439" s="4">
        <f t="shared" si="55"/>
        <v>56857.1</v>
      </c>
      <c r="L439" s="1">
        <v>45006</v>
      </c>
      <c r="M439">
        <v>5.6</v>
      </c>
      <c r="N439" s="1">
        <v>45006</v>
      </c>
      <c r="O439">
        <v>5.6</v>
      </c>
      <c r="P439" s="1">
        <v>45006</v>
      </c>
      <c r="Q439">
        <v>5.76</v>
      </c>
      <c r="R439" s="1">
        <v>45006</v>
      </c>
      <c r="S439">
        <v>5.79</v>
      </c>
      <c r="T439" s="1">
        <v>45006</v>
      </c>
      <c r="U439">
        <v>5.93</v>
      </c>
      <c r="V439" s="1">
        <v>45006</v>
      </c>
      <c r="W439">
        <v>6.05</v>
      </c>
      <c r="X439" s="1">
        <v>45006</v>
      </c>
      <c r="Y439">
        <f>NETWORKDAYS(X439,$Z$1,FERIADO!$A$2:$A$408)</f>
        <v>1965</v>
      </c>
      <c r="Z439">
        <v>13.16</v>
      </c>
      <c r="AA439" s="6">
        <f t="shared" si="56"/>
        <v>38134.926862398941</v>
      </c>
      <c r="AB439" s="2">
        <f t="shared" si="57"/>
        <v>-9.8480669119306997E-4</v>
      </c>
      <c r="AJ439" s="1">
        <v>45006</v>
      </c>
      <c r="AK439">
        <f>NETWORKDAYS(AJ439,$AJ$1,FERIADO!$A$2:$A$408)</f>
        <v>952</v>
      </c>
      <c r="AL439">
        <v>12.435</v>
      </c>
      <c r="AM439" s="6">
        <f t="shared" si="58"/>
        <v>64225.183371951767</v>
      </c>
      <c r="AN439" s="2">
        <f t="shared" si="59"/>
        <v>5.671364527335092E-4</v>
      </c>
      <c r="AP439" s="11">
        <f t="shared" si="60"/>
        <v>-4.9240334559653499E-4</v>
      </c>
      <c r="AQ439" s="11">
        <f t="shared" si="61"/>
        <v>1.7014093582005276E-4</v>
      </c>
      <c r="AR439" s="11">
        <f t="shared" si="62"/>
        <v>-3.222624097764822E-4</v>
      </c>
    </row>
    <row r="440" spans="2:44" x14ac:dyDescent="0.35">
      <c r="B440" s="1">
        <v>45005</v>
      </c>
      <c r="C440">
        <v>4251.1400000000003</v>
      </c>
      <c r="D440" s="1">
        <v>45005</v>
      </c>
      <c r="E440">
        <v>5.2461000000000002</v>
      </c>
      <c r="F440" s="1">
        <v>45001</v>
      </c>
      <c r="G440">
        <v>114.19</v>
      </c>
      <c r="H440" s="4">
        <f t="shared" si="54"/>
        <v>599052.15899999999</v>
      </c>
      <c r="I440" s="5">
        <v>45005</v>
      </c>
      <c r="J440" s="4">
        <v>5682.46</v>
      </c>
      <c r="K440" s="4">
        <f t="shared" si="55"/>
        <v>56824.6</v>
      </c>
      <c r="L440" s="1">
        <v>45005</v>
      </c>
      <c r="M440">
        <v>5.59</v>
      </c>
      <c r="N440" s="1">
        <v>45005</v>
      </c>
      <c r="O440">
        <v>5.57</v>
      </c>
      <c r="P440" s="1">
        <v>45005</v>
      </c>
      <c r="Q440">
        <v>5.76</v>
      </c>
      <c r="R440" s="1">
        <v>45005</v>
      </c>
      <c r="S440">
        <v>5.79</v>
      </c>
      <c r="T440" s="1">
        <v>45005</v>
      </c>
      <c r="U440">
        <v>5.95</v>
      </c>
      <c r="V440" s="1">
        <v>45005</v>
      </c>
      <c r="W440">
        <v>6.06</v>
      </c>
      <c r="X440" s="1">
        <v>45005</v>
      </c>
      <c r="Y440">
        <f>NETWORKDAYS(X440,$Z$1,FERIADO!$A$2:$A$408)</f>
        <v>1966</v>
      </c>
      <c r="Z440">
        <v>13.12</v>
      </c>
      <c r="AA440" s="6">
        <f t="shared" si="56"/>
        <v>38221.499787905123</v>
      </c>
      <c r="AB440" s="2">
        <f t="shared" si="57"/>
        <v>1.1113600462211747E-3</v>
      </c>
      <c r="AJ440" s="1">
        <v>45005</v>
      </c>
      <c r="AK440">
        <f>NETWORKDAYS(AJ440,$AJ$1,FERIADO!$A$2:$A$408)</f>
        <v>953</v>
      </c>
      <c r="AL440">
        <v>12.46</v>
      </c>
      <c r="AM440" s="6">
        <f t="shared" si="58"/>
        <v>64141.367731723367</v>
      </c>
      <c r="AN440" s="2">
        <f t="shared" si="59"/>
        <v>5.6782151319040406E-4</v>
      </c>
      <c r="AP440" s="11">
        <f t="shared" si="60"/>
        <v>5.5568002311058736E-4</v>
      </c>
      <c r="AQ440" s="11">
        <f t="shared" si="61"/>
        <v>1.703464539571212E-4</v>
      </c>
      <c r="AR440" s="11">
        <f t="shared" si="62"/>
        <v>7.2602647706770853E-4</v>
      </c>
    </row>
    <row r="441" spans="2:44" x14ac:dyDescent="0.35">
      <c r="B441" s="1">
        <v>45002</v>
      </c>
      <c r="C441">
        <v>4208.3599999999997</v>
      </c>
      <c r="D441" s="1">
        <v>45002</v>
      </c>
      <c r="E441">
        <v>5.2672999999999996</v>
      </c>
      <c r="F441" s="1">
        <v>45000</v>
      </c>
      <c r="G441">
        <v>115.25</v>
      </c>
      <c r="H441" s="4">
        <f t="shared" si="54"/>
        <v>607056.32500000007</v>
      </c>
      <c r="I441" s="5">
        <v>45002</v>
      </c>
      <c r="J441" s="4">
        <v>5728.45</v>
      </c>
      <c r="K441" s="4">
        <f t="shared" si="55"/>
        <v>57284.5</v>
      </c>
      <c r="L441" s="1">
        <v>45002</v>
      </c>
      <c r="M441">
        <v>5.55</v>
      </c>
      <c r="N441" s="1">
        <v>45002</v>
      </c>
      <c r="O441">
        <v>5.53</v>
      </c>
      <c r="P441" s="1">
        <v>45002</v>
      </c>
      <c r="Q441">
        <v>5.74</v>
      </c>
      <c r="R441" s="1">
        <v>45002</v>
      </c>
      <c r="S441">
        <v>5.78</v>
      </c>
      <c r="T441" s="1">
        <v>45002</v>
      </c>
      <c r="U441">
        <v>5.96</v>
      </c>
      <c r="V441" s="1">
        <v>45002</v>
      </c>
      <c r="W441">
        <v>6.08</v>
      </c>
      <c r="X441" s="1">
        <v>45002</v>
      </c>
      <c r="Y441">
        <f>NETWORKDAYS(X441,$Z$1,FERIADO!$A$2:$A$408)</f>
        <v>1967</v>
      </c>
      <c r="Z441">
        <v>13.15</v>
      </c>
      <c r="AA441" s="6">
        <f t="shared" si="56"/>
        <v>38123.815968651325</v>
      </c>
      <c r="AB441" s="2">
        <f t="shared" si="57"/>
        <v>3.209057420329725E-3</v>
      </c>
      <c r="AJ441" s="1">
        <v>45002</v>
      </c>
      <c r="AK441">
        <f>NETWORKDAYS(AJ441,$AJ$1,FERIADO!$A$2:$A$408)</f>
        <v>954</v>
      </c>
      <c r="AL441">
        <v>12.484999999999999</v>
      </c>
      <c r="AM441" s="6">
        <f t="shared" si="58"/>
        <v>64057.560428107281</v>
      </c>
      <c r="AN441" s="2">
        <f t="shared" si="59"/>
        <v>1.8114485806959928E-3</v>
      </c>
      <c r="AP441" s="11">
        <f t="shared" si="60"/>
        <v>1.6045287101648625E-3</v>
      </c>
      <c r="AQ441" s="11">
        <f t="shared" si="61"/>
        <v>5.4343457420879778E-4</v>
      </c>
      <c r="AR441" s="11">
        <f t="shared" si="62"/>
        <v>2.1479632843736602E-3</v>
      </c>
    </row>
    <row r="442" spans="2:44" x14ac:dyDescent="0.35">
      <c r="B442" s="1">
        <v>45001</v>
      </c>
      <c r="C442">
        <v>4260.67</v>
      </c>
      <c r="D442" s="1">
        <v>45001</v>
      </c>
      <c r="E442">
        <v>5.2885999999999997</v>
      </c>
      <c r="F442" s="1">
        <v>44999</v>
      </c>
      <c r="G442">
        <v>113.583</v>
      </c>
      <c r="H442" s="4">
        <f t="shared" si="54"/>
        <v>600695.05379999999</v>
      </c>
      <c r="I442" s="5">
        <v>45001</v>
      </c>
      <c r="J442" s="4">
        <v>5675.97</v>
      </c>
      <c r="K442" s="4">
        <f t="shared" si="55"/>
        <v>56759.700000000004</v>
      </c>
      <c r="L442" s="1">
        <v>45001</v>
      </c>
      <c r="M442">
        <v>5.59</v>
      </c>
      <c r="N442" s="1">
        <v>45001</v>
      </c>
      <c r="O442">
        <v>5.6</v>
      </c>
      <c r="P442" s="1">
        <v>45001</v>
      </c>
      <c r="Q442">
        <v>5.79</v>
      </c>
      <c r="R442" s="1">
        <v>45001</v>
      </c>
      <c r="S442">
        <v>5.84</v>
      </c>
      <c r="T442" s="1">
        <v>45001</v>
      </c>
      <c r="U442">
        <v>6.03</v>
      </c>
      <c r="V442" s="1">
        <v>45001</v>
      </c>
      <c r="W442">
        <v>6.12</v>
      </c>
      <c r="X442" s="1">
        <v>45001</v>
      </c>
      <c r="Y442">
        <f>NETWORKDAYS(X442,$Z$1,FERIADO!$A$2:$A$408)</f>
        <v>1968</v>
      </c>
      <c r="Z442">
        <v>13.25</v>
      </c>
      <c r="AA442" s="6">
        <f t="shared" si="56"/>
        <v>37843.152427434507</v>
      </c>
      <c r="AB442" s="2">
        <f t="shared" si="57"/>
        <v>-3.68304369925546E-3</v>
      </c>
      <c r="AJ442" s="1">
        <v>45001</v>
      </c>
      <c r="AK442">
        <f>NETWORKDAYS(AJ442,$AJ$1,FERIADO!$A$2:$A$408)</f>
        <v>955</v>
      </c>
      <c r="AL442">
        <v>12.595000000000001</v>
      </c>
      <c r="AM442" s="6">
        <f t="shared" si="58"/>
        <v>63790.931857184645</v>
      </c>
      <c r="AN442" s="2">
        <f t="shared" si="59"/>
        <v>-1.0398028427242717E-3</v>
      </c>
      <c r="AP442" s="11">
        <f t="shared" si="60"/>
        <v>-1.84152184962773E-3</v>
      </c>
      <c r="AQ442" s="11">
        <f t="shared" si="61"/>
        <v>-3.119408528172815E-4</v>
      </c>
      <c r="AR442" s="11">
        <f t="shared" si="62"/>
        <v>-2.1534627024450115E-3</v>
      </c>
    </row>
    <row r="443" spans="2:44" x14ac:dyDescent="0.35">
      <c r="B443" s="1">
        <v>45000</v>
      </c>
      <c r="C443">
        <v>4184.21</v>
      </c>
      <c r="D443" s="1">
        <v>45000</v>
      </c>
      <c r="E443">
        <v>5.2975000000000003</v>
      </c>
      <c r="F443" s="1">
        <v>44998</v>
      </c>
      <c r="G443">
        <v>114.495</v>
      </c>
      <c r="H443" s="4">
        <f t="shared" si="54"/>
        <v>606537.26250000007</v>
      </c>
      <c r="I443" s="5">
        <v>45000</v>
      </c>
      <c r="J443" s="4">
        <v>5741.98</v>
      </c>
      <c r="K443" s="4">
        <f t="shared" si="55"/>
        <v>57419.799999999996</v>
      </c>
      <c r="L443" s="1">
        <v>45000</v>
      </c>
      <c r="M443">
        <v>5.58</v>
      </c>
      <c r="N443" s="1">
        <v>45000</v>
      </c>
      <c r="O443">
        <v>5.59</v>
      </c>
      <c r="P443" s="1">
        <v>45000</v>
      </c>
      <c r="Q443">
        <v>5.85</v>
      </c>
      <c r="R443" s="1">
        <v>45000</v>
      </c>
      <c r="S443">
        <v>5.87</v>
      </c>
      <c r="T443" s="1">
        <v>45000</v>
      </c>
      <c r="U443">
        <v>6.02</v>
      </c>
      <c r="V443" s="1">
        <v>45000</v>
      </c>
      <c r="W443">
        <v>6.17</v>
      </c>
      <c r="X443" s="1">
        <v>45000</v>
      </c>
      <c r="Y443">
        <f>NETWORKDAYS(X443,$Z$1,FERIADO!$A$2:$A$408)</f>
        <v>1969</v>
      </c>
      <c r="Z443">
        <v>13.12</v>
      </c>
      <c r="AA443" s="6">
        <f t="shared" si="56"/>
        <v>38165.446776418838</v>
      </c>
      <c r="AB443" s="2">
        <f t="shared" si="57"/>
        <v>3.5122928331515839E-3</v>
      </c>
      <c r="AJ443" s="1">
        <v>45000</v>
      </c>
      <c r="AK443">
        <f>NETWORKDAYS(AJ443,$AJ$1,FERIADO!$A$2:$A$408)</f>
        <v>956</v>
      </c>
      <c r="AL443">
        <v>12.51</v>
      </c>
      <c r="AM443" s="6">
        <f t="shared" si="58"/>
        <v>63943.845290903781</v>
      </c>
      <c r="AN443" s="2">
        <f t="shared" si="59"/>
        <v>1.6683891217962E-3</v>
      </c>
      <c r="AP443" s="11">
        <f t="shared" si="60"/>
        <v>1.756146416575792E-3</v>
      </c>
      <c r="AQ443" s="11">
        <f t="shared" si="61"/>
        <v>5.0051673653885996E-4</v>
      </c>
      <c r="AR443" s="11">
        <f t="shared" si="62"/>
        <v>2.2566631531146519E-3</v>
      </c>
    </row>
    <row r="444" spans="2:44" x14ac:dyDescent="0.35">
      <c r="B444" s="1">
        <v>44999</v>
      </c>
      <c r="C444">
        <v>4218.0200000000004</v>
      </c>
      <c r="D444" s="1">
        <v>44999</v>
      </c>
      <c r="E444">
        <v>5.2355999999999998</v>
      </c>
      <c r="F444" s="1">
        <v>44995</v>
      </c>
      <c r="G444">
        <v>113.175</v>
      </c>
      <c r="H444" s="4">
        <f t="shared" si="54"/>
        <v>592539.02999999991</v>
      </c>
      <c r="I444" s="5">
        <v>44999</v>
      </c>
      <c r="J444" s="4">
        <v>5706.27</v>
      </c>
      <c r="K444" s="4">
        <f t="shared" si="55"/>
        <v>57062.700000000004</v>
      </c>
      <c r="L444" s="1">
        <v>44999</v>
      </c>
      <c r="M444">
        <v>5.59</v>
      </c>
      <c r="N444" s="1">
        <v>44999</v>
      </c>
      <c r="O444">
        <v>5.62</v>
      </c>
      <c r="P444" s="1">
        <v>44999</v>
      </c>
      <c r="Q444">
        <v>5.86</v>
      </c>
      <c r="R444" s="1">
        <v>44999</v>
      </c>
      <c r="S444">
        <v>5.89</v>
      </c>
      <c r="T444" s="1">
        <v>44999</v>
      </c>
      <c r="U444">
        <v>6.03</v>
      </c>
      <c r="V444" s="1">
        <v>44999</v>
      </c>
      <c r="W444">
        <v>6.17</v>
      </c>
      <c r="X444" s="1">
        <v>44999</v>
      </c>
      <c r="Y444">
        <f>NETWORKDAYS(X444,$Z$1,FERIADO!$A$2:$A$408)</f>
        <v>1970</v>
      </c>
      <c r="Z444">
        <v>13.23</v>
      </c>
      <c r="AA444" s="6">
        <f t="shared" si="56"/>
        <v>37858.0340843909</v>
      </c>
      <c r="AB444" s="2">
        <f t="shared" si="57"/>
        <v>-5.1900098435233083E-3</v>
      </c>
      <c r="AJ444" s="1">
        <v>44999</v>
      </c>
      <c r="AK444">
        <f>NETWORKDAYS(AJ444,$AJ$1,FERIADO!$A$2:$A$408)</f>
        <v>957</v>
      </c>
      <c r="AL444">
        <v>12.61</v>
      </c>
      <c r="AM444" s="6">
        <f t="shared" si="58"/>
        <v>63698.669344777576</v>
      </c>
      <c r="AN444" s="2">
        <f t="shared" si="59"/>
        <v>-1.7023988287826143E-3</v>
      </c>
      <c r="AP444" s="11">
        <f t="shared" si="60"/>
        <v>-2.5950049217616541E-3</v>
      </c>
      <c r="AQ444" s="11">
        <f t="shared" si="61"/>
        <v>-5.1071964863478431E-4</v>
      </c>
      <c r="AR444" s="11">
        <f t="shared" si="62"/>
        <v>-3.1057245703964382E-3</v>
      </c>
    </row>
    <row r="445" spans="2:44" x14ac:dyDescent="0.35">
      <c r="B445" s="1">
        <v>44998</v>
      </c>
      <c r="C445">
        <v>4157.21</v>
      </c>
      <c r="D445" s="1">
        <v>44998</v>
      </c>
      <c r="E445">
        <v>5.2393999999999998</v>
      </c>
      <c r="F445" s="1">
        <v>44994</v>
      </c>
      <c r="G445">
        <v>111.508</v>
      </c>
      <c r="H445" s="4">
        <f t="shared" si="54"/>
        <v>584235.01519999991</v>
      </c>
      <c r="I445" s="5">
        <v>44998</v>
      </c>
      <c r="J445" s="4">
        <v>5699.23</v>
      </c>
      <c r="K445" s="4">
        <f t="shared" si="55"/>
        <v>56992.299999999996</v>
      </c>
      <c r="L445" s="1">
        <v>44998</v>
      </c>
      <c r="M445">
        <v>5.54</v>
      </c>
      <c r="N445" s="1">
        <v>44998</v>
      </c>
      <c r="O445">
        <v>5.59</v>
      </c>
      <c r="P445" s="1">
        <v>44998</v>
      </c>
      <c r="Q445">
        <v>5.82</v>
      </c>
      <c r="R445" s="1">
        <v>44998</v>
      </c>
      <c r="S445">
        <v>5.87</v>
      </c>
      <c r="T445" s="1">
        <v>44998</v>
      </c>
      <c r="U445">
        <v>5.99</v>
      </c>
      <c r="V445" s="1">
        <v>44998</v>
      </c>
      <c r="W445">
        <v>6.16</v>
      </c>
      <c r="X445" s="1">
        <v>44998</v>
      </c>
      <c r="Y445">
        <f>NETWORKDAYS(X445,$Z$1,FERIADO!$A$2:$A$408)</f>
        <v>1971</v>
      </c>
      <c r="Z445">
        <v>13.05</v>
      </c>
      <c r="AA445" s="6">
        <f t="shared" si="56"/>
        <v>38313.168333193906</v>
      </c>
      <c r="AB445" s="2">
        <f t="shared" si="57"/>
        <v>6.8186384042785934E-3</v>
      </c>
      <c r="AJ445" s="1">
        <v>44998</v>
      </c>
      <c r="AK445">
        <f>NETWORKDAYS(AJ445,$AJ$1,FERIADO!$A$2:$A$408)</f>
        <v>958</v>
      </c>
      <c r="AL445">
        <v>12.48</v>
      </c>
      <c r="AM445" s="6">
        <f t="shared" si="58"/>
        <v>63948.852945124287</v>
      </c>
      <c r="AN445" s="2">
        <f t="shared" si="59"/>
        <v>2.6986994763035983E-3</v>
      </c>
      <c r="AP445" s="11">
        <f t="shared" si="60"/>
        <v>3.4093192021392967E-3</v>
      </c>
      <c r="AQ445" s="11">
        <f t="shared" si="61"/>
        <v>8.096098428910795E-4</v>
      </c>
      <c r="AR445" s="11">
        <f t="shared" si="62"/>
        <v>4.2189290450303759E-3</v>
      </c>
    </row>
    <row r="446" spans="2:44" x14ac:dyDescent="0.35">
      <c r="B446" s="1">
        <v>44995</v>
      </c>
      <c r="C446">
        <v>4154.3100000000004</v>
      </c>
      <c r="D446" s="1">
        <v>44995</v>
      </c>
      <c r="E446">
        <v>5.1816000000000004</v>
      </c>
      <c r="F446" s="1">
        <v>44993</v>
      </c>
      <c r="G446">
        <v>110.902</v>
      </c>
      <c r="H446" s="4">
        <f t="shared" si="54"/>
        <v>574649.80320000008</v>
      </c>
      <c r="I446" s="5">
        <v>44995</v>
      </c>
      <c r="J446" s="4">
        <v>5664.61</v>
      </c>
      <c r="K446" s="4">
        <f t="shared" si="55"/>
        <v>56646.1</v>
      </c>
      <c r="L446" s="1">
        <v>44995</v>
      </c>
      <c r="M446">
        <v>5.65</v>
      </c>
      <c r="N446" s="1">
        <v>44995</v>
      </c>
      <c r="O446">
        <v>5.67</v>
      </c>
      <c r="P446" s="1">
        <v>44995</v>
      </c>
      <c r="Q446">
        <v>5.86</v>
      </c>
      <c r="R446" s="1">
        <v>44995</v>
      </c>
      <c r="S446">
        <v>5.91</v>
      </c>
      <c r="T446" s="1">
        <v>44995</v>
      </c>
      <c r="U446">
        <v>6.05</v>
      </c>
      <c r="V446" s="1">
        <v>44995</v>
      </c>
      <c r="W446">
        <v>6.17</v>
      </c>
      <c r="X446" s="1">
        <v>44995</v>
      </c>
      <c r="Y446">
        <f>NETWORKDAYS(X446,$Z$1,FERIADO!$A$2:$A$408)</f>
        <v>1972</v>
      </c>
      <c r="Z446">
        <v>13.27</v>
      </c>
      <c r="AA446" s="6">
        <f t="shared" si="56"/>
        <v>37716.330207144703</v>
      </c>
      <c r="AB446" s="2">
        <f t="shared" si="57"/>
        <v>-3.6899670913216362E-3</v>
      </c>
      <c r="AJ446" s="1">
        <v>44995</v>
      </c>
      <c r="AK446">
        <f>NETWORKDAYS(AJ446,$AJ$1,FERIADO!$A$2:$A$408)</f>
        <v>959</v>
      </c>
      <c r="AL446">
        <v>12.65</v>
      </c>
      <c r="AM446" s="6">
        <f t="shared" si="58"/>
        <v>63552.707815050628</v>
      </c>
      <c r="AN446" s="2">
        <f t="shared" si="59"/>
        <v>-1.117047507040173E-3</v>
      </c>
      <c r="AP446" s="11">
        <f t="shared" si="60"/>
        <v>-1.8449835456608181E-3</v>
      </c>
      <c r="AQ446" s="11">
        <f t="shared" si="61"/>
        <v>-3.351142521120519E-4</v>
      </c>
      <c r="AR446" s="11">
        <f t="shared" si="62"/>
        <v>-2.1800977977728701E-3</v>
      </c>
    </row>
    <row r="447" spans="2:44" x14ac:dyDescent="0.35">
      <c r="B447" s="1">
        <v>44994</v>
      </c>
      <c r="C447">
        <v>4211.05</v>
      </c>
      <c r="D447" s="1">
        <v>44994</v>
      </c>
      <c r="E447">
        <v>5.1346999999999996</v>
      </c>
      <c r="F447" s="1">
        <v>44992</v>
      </c>
      <c r="G447">
        <v>110.89100000000001</v>
      </c>
      <c r="H447" s="4">
        <f t="shared" si="54"/>
        <v>569392.01769999997</v>
      </c>
      <c r="I447" s="5">
        <v>44994</v>
      </c>
      <c r="J447" s="4">
        <v>5613.21</v>
      </c>
      <c r="K447" s="4">
        <f t="shared" si="55"/>
        <v>56132.1</v>
      </c>
      <c r="L447" s="1">
        <v>44994</v>
      </c>
      <c r="M447">
        <v>5.59</v>
      </c>
      <c r="N447" s="1">
        <v>44994</v>
      </c>
      <c r="O447">
        <v>5.59</v>
      </c>
      <c r="P447" s="1">
        <v>44994</v>
      </c>
      <c r="Q447">
        <v>5.83</v>
      </c>
      <c r="R447" s="1">
        <v>44994</v>
      </c>
      <c r="S447">
        <v>5.85</v>
      </c>
      <c r="T447" s="1">
        <v>44994</v>
      </c>
      <c r="U447">
        <v>5.98</v>
      </c>
      <c r="V447" s="1">
        <v>44994</v>
      </c>
      <c r="W447">
        <v>6.14</v>
      </c>
      <c r="X447" s="1">
        <v>44994</v>
      </c>
      <c r="Y447">
        <f>NETWORKDAYS(X447,$Z$1,FERIADO!$A$2:$A$408)</f>
        <v>1973</v>
      </c>
      <c r="Z447">
        <v>13.14</v>
      </c>
      <c r="AA447" s="6">
        <f t="shared" si="56"/>
        <v>38038.150852094332</v>
      </c>
      <c r="AB447" s="2">
        <f t="shared" si="57"/>
        <v>7.721646238564364E-3</v>
      </c>
      <c r="AJ447" s="1">
        <v>44994</v>
      </c>
      <c r="AK447">
        <f>NETWORKDAYS(AJ447,$AJ$1,FERIADO!$A$2:$A$408)</f>
        <v>960</v>
      </c>
      <c r="AL447">
        <v>12.56</v>
      </c>
      <c r="AM447" s="6">
        <f t="shared" si="58"/>
        <v>63716.381942842287</v>
      </c>
      <c r="AN447" s="2">
        <f t="shared" si="59"/>
        <v>3.1440417823809406E-3</v>
      </c>
      <c r="AP447" s="11">
        <f t="shared" si="60"/>
        <v>3.860823119282182E-3</v>
      </c>
      <c r="AQ447" s="11">
        <f t="shared" si="61"/>
        <v>9.432125347142821E-4</v>
      </c>
      <c r="AR447" s="11">
        <f t="shared" si="62"/>
        <v>4.8040356539964645E-3</v>
      </c>
    </row>
    <row r="448" spans="2:44" x14ac:dyDescent="0.35">
      <c r="B448" s="1">
        <v>44993</v>
      </c>
      <c r="C448">
        <v>4294.97</v>
      </c>
      <c r="D448" s="1">
        <v>44993</v>
      </c>
      <c r="E448">
        <v>5.1380999999999997</v>
      </c>
      <c r="F448" s="1">
        <v>44991</v>
      </c>
      <c r="G448">
        <v>110.99</v>
      </c>
      <c r="H448" s="4">
        <f t="shared" si="54"/>
        <v>570277.71899999992</v>
      </c>
      <c r="I448" s="5">
        <v>44993</v>
      </c>
      <c r="J448" s="4">
        <v>5592.65</v>
      </c>
      <c r="K448" s="4">
        <f t="shared" si="55"/>
        <v>55926.5</v>
      </c>
      <c r="L448" s="1">
        <v>44993</v>
      </c>
      <c r="M448">
        <v>5.67</v>
      </c>
      <c r="N448" s="1">
        <v>44993</v>
      </c>
      <c r="O448">
        <v>5.69</v>
      </c>
      <c r="P448" s="1">
        <v>44993</v>
      </c>
      <c r="Q448">
        <v>5.96</v>
      </c>
      <c r="R448" s="1">
        <v>44993</v>
      </c>
      <c r="S448">
        <v>5.97</v>
      </c>
      <c r="T448" s="1">
        <v>44993</v>
      </c>
      <c r="U448">
        <v>6.07</v>
      </c>
      <c r="V448" s="1">
        <v>44993</v>
      </c>
      <c r="W448">
        <v>6.21</v>
      </c>
      <c r="X448" s="1">
        <v>44993</v>
      </c>
      <c r="Y448">
        <f>NETWORKDAYS(X448,$Z$1,FERIADO!$A$2:$A$408)</f>
        <v>1974</v>
      </c>
      <c r="Z448">
        <v>13.39</v>
      </c>
      <c r="AA448" s="6">
        <f t="shared" si="56"/>
        <v>37367.818958294389</v>
      </c>
      <c r="AB448" s="2">
        <f t="shared" si="57"/>
        <v>5.9151394214849839E-3</v>
      </c>
      <c r="AJ448" s="1">
        <v>44993</v>
      </c>
      <c r="AK448">
        <f>NETWORKDAYS(AJ448,$AJ$1,FERIADO!$A$2:$A$408)</f>
        <v>961</v>
      </c>
      <c r="AL448">
        <v>12.76</v>
      </c>
      <c r="AM448" s="6">
        <f t="shared" si="58"/>
        <v>63256.777697022604</v>
      </c>
      <c r="AN448" s="2">
        <f t="shared" si="59"/>
        <v>3.8786273693535173E-3</v>
      </c>
      <c r="AP448" s="11">
        <f t="shared" si="60"/>
        <v>2.9575697107424919E-3</v>
      </c>
      <c r="AQ448" s="11">
        <f t="shared" si="61"/>
        <v>1.1635882108060552E-3</v>
      </c>
      <c r="AR448" s="11">
        <f t="shared" si="62"/>
        <v>4.121157921548547E-3</v>
      </c>
    </row>
    <row r="449" spans="2:44" x14ac:dyDescent="0.35">
      <c r="B449" s="1">
        <v>44992</v>
      </c>
      <c r="C449">
        <v>4292.01</v>
      </c>
      <c r="D449" s="1">
        <v>44992</v>
      </c>
      <c r="E449">
        <v>5.1894999999999998</v>
      </c>
      <c r="F449" s="1">
        <v>44988</v>
      </c>
      <c r="G449">
        <v>111.04300000000001</v>
      </c>
      <c r="H449" s="4">
        <f t="shared" si="54"/>
        <v>576257.64850000001</v>
      </c>
      <c r="I449" s="5">
        <v>44992</v>
      </c>
      <c r="J449" s="4">
        <v>5647.3</v>
      </c>
      <c r="K449" s="4">
        <f t="shared" si="55"/>
        <v>56473</v>
      </c>
      <c r="L449" s="1">
        <v>44992</v>
      </c>
      <c r="M449">
        <v>5.76</v>
      </c>
      <c r="N449" s="1">
        <v>44992</v>
      </c>
      <c r="O449">
        <v>5.79</v>
      </c>
      <c r="P449" s="1">
        <v>44992</v>
      </c>
      <c r="Q449">
        <v>6</v>
      </c>
      <c r="R449" s="1">
        <v>44992</v>
      </c>
      <c r="S449">
        <v>6.05</v>
      </c>
      <c r="T449" s="1">
        <v>44992</v>
      </c>
      <c r="U449">
        <v>6.16</v>
      </c>
      <c r="V449" s="1">
        <v>44992</v>
      </c>
      <c r="W449">
        <v>6.27</v>
      </c>
      <c r="X449" s="1">
        <v>44992</v>
      </c>
      <c r="Y449">
        <f>NETWORKDAYS(X449,$Z$1,FERIADO!$A$2:$A$408)</f>
        <v>1975</v>
      </c>
      <c r="Z449">
        <v>13.58</v>
      </c>
      <c r="AA449" s="6">
        <f t="shared" si="56"/>
        <v>36862.315406301583</v>
      </c>
      <c r="AB449" s="2">
        <f t="shared" si="57"/>
        <v>2.6172130564259817E-3</v>
      </c>
      <c r="AJ449" s="1">
        <v>44992</v>
      </c>
      <c r="AK449">
        <f>NETWORKDAYS(AJ449,$AJ$1,FERIADO!$A$2:$A$408)</f>
        <v>962</v>
      </c>
      <c r="AL449">
        <v>13.01</v>
      </c>
      <c r="AM449" s="6">
        <f t="shared" si="58"/>
        <v>62694.354867219219</v>
      </c>
      <c r="AN449" s="2">
        <f t="shared" si="59"/>
        <v>1.5319637593439117E-3</v>
      </c>
      <c r="AP449" s="11">
        <f t="shared" si="60"/>
        <v>1.3086065282129908E-3</v>
      </c>
      <c r="AQ449" s="11">
        <f t="shared" si="61"/>
        <v>4.5958912780317347E-4</v>
      </c>
      <c r="AR449" s="11">
        <f t="shared" si="62"/>
        <v>1.7681956560161643E-3</v>
      </c>
    </row>
    <row r="450" spans="2:44" x14ac:dyDescent="0.35">
      <c r="B450" s="1">
        <v>44991</v>
      </c>
      <c r="C450">
        <v>4355.28</v>
      </c>
      <c r="D450" s="1">
        <v>44991</v>
      </c>
      <c r="E450">
        <v>5.1963999999999997</v>
      </c>
      <c r="F450" s="1">
        <v>44987</v>
      </c>
      <c r="G450">
        <v>110.55</v>
      </c>
      <c r="H450" s="4">
        <f t="shared" si="54"/>
        <v>574462.0199999999</v>
      </c>
      <c r="I450" s="5">
        <v>44991</v>
      </c>
      <c r="J450" s="4">
        <v>5611.59</v>
      </c>
      <c r="K450" s="4">
        <f t="shared" si="55"/>
        <v>56115.9</v>
      </c>
      <c r="L450" s="1">
        <v>44991</v>
      </c>
      <c r="M450">
        <v>5.84</v>
      </c>
      <c r="N450" s="1">
        <v>44991</v>
      </c>
      <c r="O450">
        <v>5.87</v>
      </c>
      <c r="P450" s="1">
        <v>44991</v>
      </c>
      <c r="Q450">
        <v>6.03</v>
      </c>
      <c r="R450" s="1">
        <v>44991</v>
      </c>
      <c r="S450">
        <v>6.09</v>
      </c>
      <c r="T450" s="1">
        <v>44991</v>
      </c>
      <c r="U450">
        <v>6.17</v>
      </c>
      <c r="V450" s="1">
        <v>44991</v>
      </c>
      <c r="W450">
        <v>6.3</v>
      </c>
      <c r="X450" s="1">
        <v>44991</v>
      </c>
      <c r="Y450">
        <f>NETWORKDAYS(X450,$Z$1,FERIADO!$A$2:$A$408)</f>
        <v>1976</v>
      </c>
      <c r="Z450">
        <v>13.66</v>
      </c>
      <c r="AA450" s="6">
        <f t="shared" si="56"/>
        <v>36640.838000300733</v>
      </c>
      <c r="AB450" s="2">
        <f t="shared" si="57"/>
        <v>1.7191671400803275E-3</v>
      </c>
      <c r="AJ450" s="1">
        <v>44991</v>
      </c>
      <c r="AK450">
        <f>NETWORKDAYS(AJ450,$AJ$1,FERIADO!$A$2:$A$408)</f>
        <v>963</v>
      </c>
      <c r="AL450">
        <v>13.1</v>
      </c>
      <c r="AM450" s="6">
        <f t="shared" si="58"/>
        <v>62473.591575329949</v>
      </c>
      <c r="AN450" s="2">
        <f t="shared" si="59"/>
        <v>1.4602664044135771E-3</v>
      </c>
      <c r="AP450" s="11">
        <f t="shared" si="60"/>
        <v>8.5958357004016375E-4</v>
      </c>
      <c r="AQ450" s="11">
        <f t="shared" si="61"/>
        <v>4.380799213240731E-4</v>
      </c>
      <c r="AR450" s="11">
        <f t="shared" si="62"/>
        <v>1.2976634913642367E-3</v>
      </c>
    </row>
    <row r="451" spans="2:44" x14ac:dyDescent="0.35">
      <c r="B451" s="1">
        <v>44988</v>
      </c>
      <c r="C451">
        <v>4351.93</v>
      </c>
      <c r="D451" s="1">
        <v>44988</v>
      </c>
      <c r="E451">
        <v>5.2031000000000001</v>
      </c>
      <c r="F451" s="1">
        <v>44986</v>
      </c>
      <c r="G451">
        <v>110.97499999999999</v>
      </c>
      <c r="H451" s="4">
        <f t="shared" si="54"/>
        <v>577414.02249999996</v>
      </c>
      <c r="I451" s="5">
        <v>44988</v>
      </c>
      <c r="J451" s="4">
        <v>5655.95</v>
      </c>
      <c r="K451" s="4">
        <f t="shared" si="55"/>
        <v>56559.5</v>
      </c>
      <c r="L451" s="1">
        <v>44988</v>
      </c>
      <c r="M451">
        <v>5.87</v>
      </c>
      <c r="N451" s="1">
        <v>44988</v>
      </c>
      <c r="O451">
        <v>5.88</v>
      </c>
      <c r="P451" s="1">
        <v>44988</v>
      </c>
      <c r="Q451">
        <v>6.05</v>
      </c>
      <c r="R451" s="1">
        <v>44988</v>
      </c>
      <c r="S451">
        <v>6.09</v>
      </c>
      <c r="T451" s="1">
        <v>44988</v>
      </c>
      <c r="U451">
        <v>6.18</v>
      </c>
      <c r="V451" s="1">
        <v>44988</v>
      </c>
      <c r="W451">
        <v>6.28</v>
      </c>
      <c r="X451" s="1">
        <v>44988</v>
      </c>
      <c r="Y451">
        <f>NETWORKDAYS(X451,$Z$1,FERIADO!$A$2:$A$408)</f>
        <v>1977</v>
      </c>
      <c r="Z451">
        <v>13.71</v>
      </c>
      <c r="AA451" s="6">
        <f t="shared" si="56"/>
        <v>36496.080895681247</v>
      </c>
      <c r="AB451" s="2">
        <f t="shared" si="57"/>
        <v>2.0196650758322545E-3</v>
      </c>
      <c r="AJ451" s="1">
        <v>44988</v>
      </c>
      <c r="AK451">
        <f>NETWORKDAYS(AJ451,$AJ$1,FERIADO!$A$2:$A$408)</f>
        <v>964</v>
      </c>
      <c r="AL451">
        <v>13.185</v>
      </c>
      <c r="AM451" s="6">
        <f t="shared" si="58"/>
        <v>62263.88389910262</v>
      </c>
      <c r="AN451" s="2">
        <f t="shared" si="59"/>
        <v>1.1682445784658429E-3</v>
      </c>
      <c r="AP451" s="11">
        <f t="shared" si="60"/>
        <v>1.0098325379161272E-3</v>
      </c>
      <c r="AQ451" s="11">
        <f t="shared" si="61"/>
        <v>3.5047337353975286E-4</v>
      </c>
      <c r="AR451" s="11">
        <f t="shared" si="62"/>
        <v>1.36030591145588E-3</v>
      </c>
    </row>
    <row r="452" spans="2:44" x14ac:dyDescent="0.35">
      <c r="B452" s="1">
        <v>44987</v>
      </c>
      <c r="C452">
        <v>4288.8</v>
      </c>
      <c r="D452" s="1">
        <v>44987</v>
      </c>
      <c r="E452">
        <v>5.2073999999999998</v>
      </c>
      <c r="F452" s="1">
        <v>44985</v>
      </c>
      <c r="G452">
        <v>111.63200000000001</v>
      </c>
      <c r="H452" s="4">
        <f t="shared" ref="H452:H515" si="63">G452*E452*1000</f>
        <v>581312.47680000006</v>
      </c>
      <c r="I452" s="5">
        <v>44987</v>
      </c>
      <c r="J452" s="4">
        <v>5670.56</v>
      </c>
      <c r="K452" s="4">
        <f t="shared" si="55"/>
        <v>56705.600000000006</v>
      </c>
      <c r="L452" s="1">
        <v>44987</v>
      </c>
      <c r="M452">
        <v>5.89</v>
      </c>
      <c r="N452" s="1">
        <v>44987</v>
      </c>
      <c r="O452">
        <v>5.94</v>
      </c>
      <c r="P452" s="1">
        <v>44987</v>
      </c>
      <c r="Q452">
        <v>6.1</v>
      </c>
      <c r="R452" s="1">
        <v>44987</v>
      </c>
      <c r="S452">
        <v>6.11</v>
      </c>
      <c r="T452" s="1">
        <v>44987</v>
      </c>
      <c r="U452">
        <v>6.21</v>
      </c>
      <c r="V452" s="1">
        <v>44987</v>
      </c>
      <c r="W452">
        <v>6.29</v>
      </c>
      <c r="X452" s="1">
        <v>44987</v>
      </c>
      <c r="Y452">
        <f>NETWORKDAYS(X452,$Z$1,FERIADO!$A$2:$A$408)</f>
        <v>1978</v>
      </c>
      <c r="Z452">
        <v>13.77</v>
      </c>
      <c r="AA452" s="6">
        <f t="shared" si="56"/>
        <v>36326.751704558621</v>
      </c>
      <c r="AB452" s="2">
        <f t="shared" si="57"/>
        <v>-7.2803993151850151E-3</v>
      </c>
      <c r="AJ452" s="1">
        <v>44987</v>
      </c>
      <c r="AK452">
        <f>NETWORKDAYS(AJ452,$AJ$1,FERIADO!$A$2:$A$408)</f>
        <v>965</v>
      </c>
      <c r="AL452">
        <v>13.25</v>
      </c>
      <c r="AM452" s="6">
        <f t="shared" si="58"/>
        <v>62096.620206901789</v>
      </c>
      <c r="AN452" s="2">
        <f t="shared" si="59"/>
        <v>-3.6120038174835521E-3</v>
      </c>
      <c r="AP452" s="11">
        <f t="shared" si="60"/>
        <v>-3.6401996575925076E-3</v>
      </c>
      <c r="AQ452" s="11">
        <f t="shared" si="61"/>
        <v>-1.0836011452450655E-3</v>
      </c>
      <c r="AR452" s="11">
        <f t="shared" si="62"/>
        <v>-4.7238008028375727E-3</v>
      </c>
    </row>
    <row r="453" spans="2:44" x14ac:dyDescent="0.35">
      <c r="B453" s="1">
        <v>44986</v>
      </c>
      <c r="C453">
        <v>4249.7</v>
      </c>
      <c r="D453" s="1">
        <v>44986</v>
      </c>
      <c r="E453">
        <v>5.2064000000000004</v>
      </c>
      <c r="F453" s="1">
        <v>44984</v>
      </c>
      <c r="G453">
        <v>111.625</v>
      </c>
      <c r="H453" s="4">
        <f t="shared" si="63"/>
        <v>581164.4</v>
      </c>
      <c r="I453" s="5">
        <v>44986</v>
      </c>
      <c r="J453" s="4">
        <v>5639.18</v>
      </c>
      <c r="K453" s="4">
        <f t="shared" ref="K453:K516" si="64">J453*10</f>
        <v>56391.8</v>
      </c>
      <c r="L453" s="1">
        <v>44986</v>
      </c>
      <c r="M453">
        <v>5.78</v>
      </c>
      <c r="N453" s="1">
        <v>44986</v>
      </c>
      <c r="O453">
        <v>5.82</v>
      </c>
      <c r="P453" s="1">
        <v>44986</v>
      </c>
      <c r="Q453">
        <v>6.05</v>
      </c>
      <c r="R453" s="1">
        <v>44986</v>
      </c>
      <c r="S453">
        <v>6.03</v>
      </c>
      <c r="T453" s="1">
        <v>44986</v>
      </c>
      <c r="U453">
        <v>6.13</v>
      </c>
      <c r="V453" s="1">
        <v>44986</v>
      </c>
      <c r="W453">
        <v>6.22</v>
      </c>
      <c r="X453" s="1">
        <v>44986</v>
      </c>
      <c r="Y453">
        <f>NETWORKDAYS(X453,$Z$1,FERIADO!$A$2:$A$408)</f>
        <v>1979</v>
      </c>
      <c r="Z453">
        <v>13.52</v>
      </c>
      <c r="AA453" s="6">
        <f t="shared" ref="AA453:AA516" si="65">$Z$2/(1+Z453/100)^(Y453/252)</f>
        <v>36940.856854262485</v>
      </c>
      <c r="AB453" s="2">
        <f t="shared" ref="AB453:AB516" si="66">LOG(AA453/AA454)</f>
        <v>-9.840363581123928E-4</v>
      </c>
      <c r="AJ453" s="1">
        <v>44986</v>
      </c>
      <c r="AK453">
        <f>NETWORKDAYS(AJ453,$AJ$1,FERIADO!$A$2:$A$408)</f>
        <v>966</v>
      </c>
      <c r="AL453">
        <v>12.99</v>
      </c>
      <c r="AM453" s="6">
        <f t="shared" ref="AM453:AM516" si="67">$Z$2/(1+AL453/100)^(AK453/252)</f>
        <v>62615.228080479756</v>
      </c>
      <c r="AN453" s="2">
        <f t="shared" ref="AN453:AN516" si="68">LOG(AM453/AM454)</f>
        <v>-8.4535088577794354E-5</v>
      </c>
      <c r="AP453" s="11">
        <f t="shared" ref="AP453:AP516" si="69">AB453*$AF$4</f>
        <v>-4.920181790561964E-4</v>
      </c>
      <c r="AQ453" s="11">
        <f t="shared" ref="AQ453:AQ516" si="70">AN453*$AF$7</f>
        <v>-2.5360526573338306E-5</v>
      </c>
      <c r="AR453" s="11">
        <f t="shared" ref="AR453:AR516" si="71">AQ453+AP453</f>
        <v>-5.1737870562953471E-4</v>
      </c>
    </row>
    <row r="454" spans="2:44" x14ac:dyDescent="0.35">
      <c r="B454" s="1">
        <v>44985</v>
      </c>
      <c r="C454">
        <v>4266.13</v>
      </c>
      <c r="D454" s="1">
        <v>44985</v>
      </c>
      <c r="E454">
        <v>5.2072000000000003</v>
      </c>
      <c r="F454" s="1">
        <v>44981</v>
      </c>
      <c r="G454">
        <v>111.002</v>
      </c>
      <c r="H454" s="4">
        <f t="shared" si="63"/>
        <v>578009.61440000008</v>
      </c>
      <c r="I454" s="5">
        <v>44985</v>
      </c>
      <c r="J454" s="4">
        <v>5703.56</v>
      </c>
      <c r="K454" s="4">
        <f t="shared" si="64"/>
        <v>57035.600000000006</v>
      </c>
      <c r="L454" s="1">
        <v>44985</v>
      </c>
      <c r="M454">
        <v>5.77</v>
      </c>
      <c r="N454" s="1">
        <v>44985</v>
      </c>
      <c r="O454">
        <v>5.79</v>
      </c>
      <c r="P454" s="1">
        <v>44985</v>
      </c>
      <c r="Q454">
        <v>6</v>
      </c>
      <c r="R454" s="1">
        <v>44985</v>
      </c>
      <c r="S454">
        <v>6</v>
      </c>
      <c r="T454" s="1">
        <v>44985</v>
      </c>
      <c r="U454">
        <v>6.09</v>
      </c>
      <c r="V454" s="1">
        <v>44985</v>
      </c>
      <c r="W454">
        <v>6.19</v>
      </c>
      <c r="X454" s="1">
        <v>44985</v>
      </c>
      <c r="Y454">
        <f>NETWORKDAYS(X454,$Z$1,FERIADO!$A$2:$A$408)</f>
        <v>1980</v>
      </c>
      <c r="Z454">
        <v>13.48</v>
      </c>
      <c r="AA454" s="6">
        <f t="shared" si="65"/>
        <v>37024.65336007889</v>
      </c>
      <c r="AB454" s="2">
        <f t="shared" si="66"/>
        <v>-3.0930127694290166E-3</v>
      </c>
      <c r="AJ454" s="1">
        <v>44985</v>
      </c>
      <c r="AK454">
        <f>NETWORKDAYS(AJ454,$AJ$1,FERIADO!$A$2:$A$408)</f>
        <v>967</v>
      </c>
      <c r="AL454">
        <v>12.97</v>
      </c>
      <c r="AM454" s="6">
        <f t="shared" si="67"/>
        <v>62627.417272982093</v>
      </c>
      <c r="AN454" s="2">
        <f t="shared" si="68"/>
        <v>-1.5628258810783536E-3</v>
      </c>
      <c r="AP454" s="11">
        <f t="shared" si="69"/>
        <v>-1.5465063847145083E-3</v>
      </c>
      <c r="AQ454" s="11">
        <f t="shared" si="70"/>
        <v>-4.6884776432350606E-4</v>
      </c>
      <c r="AR454" s="11">
        <f t="shared" si="71"/>
        <v>-2.0153541490380142E-3</v>
      </c>
    </row>
    <row r="455" spans="2:44" x14ac:dyDescent="0.35">
      <c r="B455" s="1">
        <v>44984</v>
      </c>
      <c r="C455">
        <v>4289.41</v>
      </c>
      <c r="D455" s="1">
        <v>44984</v>
      </c>
      <c r="E455">
        <v>5.1954000000000002</v>
      </c>
      <c r="F455" s="1">
        <v>44980</v>
      </c>
      <c r="G455">
        <v>111.371</v>
      </c>
      <c r="H455" s="4">
        <f t="shared" si="63"/>
        <v>578616.89339999994</v>
      </c>
      <c r="I455" s="5">
        <v>44984</v>
      </c>
      <c r="J455" s="4">
        <v>5665.69</v>
      </c>
      <c r="K455" s="4">
        <f t="shared" si="64"/>
        <v>56656.899999999994</v>
      </c>
      <c r="L455" s="1">
        <v>44984</v>
      </c>
      <c r="M455">
        <v>5.74</v>
      </c>
      <c r="N455" s="1">
        <v>44984</v>
      </c>
      <c r="O455">
        <v>5.76</v>
      </c>
      <c r="P455" s="1">
        <v>44984</v>
      </c>
      <c r="Q455">
        <v>5.93</v>
      </c>
      <c r="R455" s="1">
        <v>44984</v>
      </c>
      <c r="S455">
        <v>5.93</v>
      </c>
      <c r="T455" s="1">
        <v>44984</v>
      </c>
      <c r="U455">
        <v>6.04</v>
      </c>
      <c r="V455" s="1">
        <v>44984</v>
      </c>
      <c r="W455">
        <v>6.12</v>
      </c>
      <c r="X455" s="1">
        <v>44984</v>
      </c>
      <c r="Y455">
        <f>NETWORKDAYS(X455,$Z$1,FERIADO!$A$2:$A$408)</f>
        <v>1981</v>
      </c>
      <c r="Z455">
        <v>13.37</v>
      </c>
      <c r="AA455" s="6">
        <f t="shared" si="65"/>
        <v>37289.28137992401</v>
      </c>
      <c r="AB455" s="2">
        <f t="shared" si="66"/>
        <v>5.3344098155635143E-3</v>
      </c>
      <c r="AJ455" s="1">
        <v>44984</v>
      </c>
      <c r="AK455">
        <f>NETWORKDAYS(AJ455,$AJ$1,FERIADO!$A$2:$A$408)</f>
        <v>968</v>
      </c>
      <c r="AL455">
        <v>12.85</v>
      </c>
      <c r="AM455" s="6">
        <f t="shared" si="67"/>
        <v>62853.190495928277</v>
      </c>
      <c r="AN455" s="2">
        <f t="shared" si="68"/>
        <v>3.0176144520110645E-3</v>
      </c>
      <c r="AP455" s="11">
        <f t="shared" si="69"/>
        <v>2.6672049077817572E-3</v>
      </c>
      <c r="AQ455" s="11">
        <f t="shared" si="70"/>
        <v>9.0528433560331935E-4</v>
      </c>
      <c r="AR455" s="11">
        <f t="shared" si="71"/>
        <v>3.5724892433850767E-3</v>
      </c>
    </row>
    <row r="456" spans="2:44" x14ac:dyDescent="0.35">
      <c r="B456" s="1">
        <v>44981</v>
      </c>
      <c r="C456">
        <v>4267.3999999999996</v>
      </c>
      <c r="D456" s="1">
        <v>44981</v>
      </c>
      <c r="E456">
        <v>5.1784999999999997</v>
      </c>
      <c r="F456" s="1">
        <v>44979</v>
      </c>
      <c r="G456">
        <v>111.25</v>
      </c>
      <c r="H456" s="4">
        <f t="shared" si="63"/>
        <v>576108.125</v>
      </c>
      <c r="I456" s="5">
        <v>44981</v>
      </c>
      <c r="J456" s="4">
        <v>5679.85</v>
      </c>
      <c r="K456" s="4">
        <f t="shared" si="64"/>
        <v>56798.5</v>
      </c>
      <c r="L456" s="1">
        <v>44981</v>
      </c>
      <c r="M456">
        <v>5.82</v>
      </c>
      <c r="N456" s="1">
        <v>44981</v>
      </c>
      <c r="O456">
        <v>5.83</v>
      </c>
      <c r="P456" s="1">
        <v>44981</v>
      </c>
      <c r="Q456">
        <v>5.97</v>
      </c>
      <c r="R456" s="1">
        <v>44981</v>
      </c>
      <c r="S456">
        <v>6</v>
      </c>
      <c r="T456" s="1">
        <v>44981</v>
      </c>
      <c r="U456">
        <v>6.1</v>
      </c>
      <c r="V456" s="1">
        <v>44981</v>
      </c>
      <c r="W456">
        <v>6.16</v>
      </c>
      <c r="X456" s="1">
        <v>44981</v>
      </c>
      <c r="Y456">
        <f>NETWORKDAYS(X456,$Z$1,FERIADO!$A$2:$A$408)</f>
        <v>1982</v>
      </c>
      <c r="Z456">
        <v>13.54</v>
      </c>
      <c r="AA456" s="6">
        <f t="shared" si="65"/>
        <v>36834.061096241334</v>
      </c>
      <c r="AB456" s="2">
        <f t="shared" si="66"/>
        <v>-4.2990476632741312E-3</v>
      </c>
      <c r="AJ456" s="1">
        <v>44981</v>
      </c>
      <c r="AK456">
        <f>NETWORKDAYS(AJ456,$AJ$1,FERIADO!$A$2:$A$408)</f>
        <v>969</v>
      </c>
      <c r="AL456">
        <v>13.04</v>
      </c>
      <c r="AM456" s="6">
        <f t="shared" si="67"/>
        <v>62417.980527819971</v>
      </c>
      <c r="AN456" s="2">
        <f t="shared" si="68"/>
        <v>-2.3046941790808755E-3</v>
      </c>
      <c r="AP456" s="11">
        <f t="shared" si="69"/>
        <v>-2.1495238316370656E-3</v>
      </c>
      <c r="AQ456" s="11">
        <f t="shared" si="70"/>
        <v>-6.9140825372426265E-4</v>
      </c>
      <c r="AR456" s="11">
        <f t="shared" si="71"/>
        <v>-2.8409320853613283E-3</v>
      </c>
    </row>
    <row r="457" spans="2:44" x14ac:dyDescent="0.35">
      <c r="B457" s="1">
        <v>44980</v>
      </c>
      <c r="C457">
        <v>4321.76</v>
      </c>
      <c r="D457" s="1">
        <v>44980</v>
      </c>
      <c r="E457">
        <v>5.1323999999999996</v>
      </c>
      <c r="F457" s="1">
        <v>44974</v>
      </c>
      <c r="G457">
        <v>112.04</v>
      </c>
      <c r="H457" s="4">
        <f t="shared" si="63"/>
        <v>575034.09600000002</v>
      </c>
      <c r="I457" s="5">
        <v>44980</v>
      </c>
      <c r="J457" s="4">
        <v>5600.35</v>
      </c>
      <c r="K457" s="4">
        <f t="shared" si="64"/>
        <v>56003.5</v>
      </c>
      <c r="L457" s="1">
        <v>44980</v>
      </c>
      <c r="M457">
        <v>5.71</v>
      </c>
      <c r="N457" s="1">
        <v>44980</v>
      </c>
      <c r="O457">
        <v>5.76</v>
      </c>
      <c r="P457" s="1">
        <v>44980</v>
      </c>
      <c r="Q457">
        <v>5.9</v>
      </c>
      <c r="R457" s="1">
        <v>44980</v>
      </c>
      <c r="S457">
        <v>5.93</v>
      </c>
      <c r="T457" s="1">
        <v>44980</v>
      </c>
      <c r="U457">
        <v>6.03</v>
      </c>
      <c r="V457" s="1">
        <v>44980</v>
      </c>
      <c r="W457">
        <v>6.1</v>
      </c>
      <c r="X457" s="1">
        <v>44980</v>
      </c>
      <c r="Y457">
        <f>NETWORKDAYS(X457,$Z$1,FERIADO!$A$2:$A$408)</f>
        <v>1983</v>
      </c>
      <c r="Z457">
        <v>13.39</v>
      </c>
      <c r="AA457" s="6">
        <f t="shared" si="65"/>
        <v>37200.489263120282</v>
      </c>
      <c r="AB457" s="2">
        <f t="shared" si="66"/>
        <v>1.4225297676472911E-3</v>
      </c>
      <c r="AJ457" s="1">
        <v>44980</v>
      </c>
      <c r="AK457">
        <f>NETWORKDAYS(AJ457,$AJ$1,FERIADO!$A$2:$A$408)</f>
        <v>970</v>
      </c>
      <c r="AL457">
        <v>12.87</v>
      </c>
      <c r="AM457" s="6">
        <f t="shared" si="67"/>
        <v>62750.097877611399</v>
      </c>
      <c r="AN457" s="2">
        <f t="shared" si="68"/>
        <v>1.1720586243392046E-3</v>
      </c>
      <c r="AP457" s="11">
        <f t="shared" si="69"/>
        <v>7.1126488382364554E-4</v>
      </c>
      <c r="AQ457" s="11">
        <f t="shared" si="70"/>
        <v>3.5161758730176135E-4</v>
      </c>
      <c r="AR457" s="11">
        <f t="shared" si="71"/>
        <v>1.0628824711254069E-3</v>
      </c>
    </row>
    <row r="458" spans="2:44" x14ac:dyDescent="0.35">
      <c r="B458" s="1">
        <v>44979</v>
      </c>
      <c r="C458">
        <v>4301.2</v>
      </c>
      <c r="D458" s="1">
        <v>44979</v>
      </c>
      <c r="E458">
        <v>5.1723999999999997</v>
      </c>
      <c r="F458" s="1">
        <v>44973</v>
      </c>
      <c r="G458">
        <v>111.73699999999999</v>
      </c>
      <c r="H458" s="4">
        <f t="shared" si="63"/>
        <v>577948.45879999991</v>
      </c>
      <c r="I458" s="5">
        <v>44979</v>
      </c>
      <c r="J458" s="4">
        <v>5619.41</v>
      </c>
      <c r="K458" s="4">
        <f t="shared" si="64"/>
        <v>56194.1</v>
      </c>
      <c r="L458" s="1">
        <v>44979</v>
      </c>
      <c r="M458">
        <v>5.7</v>
      </c>
      <c r="N458" s="1">
        <v>44979</v>
      </c>
      <c r="O458">
        <v>5.72</v>
      </c>
      <c r="P458" s="1">
        <v>44979</v>
      </c>
      <c r="Q458">
        <v>5.9</v>
      </c>
      <c r="R458" s="1">
        <v>44979</v>
      </c>
      <c r="S458">
        <v>5.91</v>
      </c>
      <c r="T458" s="1">
        <v>44979</v>
      </c>
      <c r="U458">
        <v>6.03</v>
      </c>
      <c r="V458" s="1">
        <v>44979</v>
      </c>
      <c r="W458">
        <v>6.09</v>
      </c>
      <c r="X458" s="1">
        <v>44979</v>
      </c>
      <c r="Y458">
        <f>NETWORKDAYS(X458,$Z$1,FERIADO!$A$2:$A$408)</f>
        <v>1984</v>
      </c>
      <c r="Z458">
        <v>13.43</v>
      </c>
      <c r="AA458" s="6">
        <f t="shared" si="65"/>
        <v>37078.838557347226</v>
      </c>
      <c r="AB458" s="2">
        <f t="shared" si="66"/>
        <v>-4.3096633526935949E-3</v>
      </c>
      <c r="AJ458" s="1">
        <v>44979</v>
      </c>
      <c r="AK458">
        <f>NETWORKDAYS(AJ458,$AJ$1,FERIADO!$A$2:$A$408)</f>
        <v>971</v>
      </c>
      <c r="AL458">
        <v>12.935</v>
      </c>
      <c r="AM458" s="6">
        <f t="shared" si="67"/>
        <v>62580.978436936959</v>
      </c>
      <c r="AN458" s="2">
        <f t="shared" si="68"/>
        <v>-1.422759745434308E-3</v>
      </c>
      <c r="AP458" s="11">
        <f t="shared" si="69"/>
        <v>-2.1548316763467974E-3</v>
      </c>
      <c r="AQ458" s="11">
        <f t="shared" si="70"/>
        <v>-4.2682792363029238E-4</v>
      </c>
      <c r="AR458" s="11">
        <f t="shared" si="71"/>
        <v>-2.5816595999770897E-3</v>
      </c>
    </row>
    <row r="459" spans="2:44" x14ac:dyDescent="0.35">
      <c r="B459" s="1">
        <v>44974</v>
      </c>
      <c r="C459">
        <v>4391.88</v>
      </c>
      <c r="D459" s="1">
        <v>44974</v>
      </c>
      <c r="E459">
        <v>5.2005999999999997</v>
      </c>
      <c r="F459" s="1">
        <v>44972</v>
      </c>
      <c r="G459">
        <v>112.09</v>
      </c>
      <c r="H459" s="4">
        <f t="shared" si="63"/>
        <v>582935.25399999996</v>
      </c>
      <c r="I459" s="5">
        <v>44974</v>
      </c>
      <c r="J459" s="4">
        <v>5636.29</v>
      </c>
      <c r="K459" s="4">
        <f t="shared" si="64"/>
        <v>56362.9</v>
      </c>
      <c r="L459" s="1">
        <v>44974</v>
      </c>
      <c r="M459">
        <v>5.6</v>
      </c>
      <c r="N459" s="1">
        <v>44974</v>
      </c>
      <c r="O459">
        <v>5.64</v>
      </c>
      <c r="P459" s="1">
        <v>44974</v>
      </c>
      <c r="Q459">
        <v>5.8</v>
      </c>
      <c r="R459" s="1">
        <v>44974</v>
      </c>
      <c r="S459">
        <v>5.83</v>
      </c>
      <c r="T459" s="1">
        <v>44974</v>
      </c>
      <c r="U459">
        <v>5.92</v>
      </c>
      <c r="V459" s="1">
        <v>44974</v>
      </c>
      <c r="W459">
        <v>6</v>
      </c>
      <c r="X459" s="1">
        <v>44974</v>
      </c>
      <c r="Y459">
        <f>NETWORKDAYS(X459,$Z$1,FERIADO!$A$2:$A$408)</f>
        <v>1985</v>
      </c>
      <c r="Z459">
        <v>13.28</v>
      </c>
      <c r="AA459" s="6">
        <f t="shared" si="65"/>
        <v>37448.617155003391</v>
      </c>
      <c r="AB459" s="2">
        <f t="shared" si="66"/>
        <v>2.0272603510932282E-3</v>
      </c>
      <c r="AJ459" s="1">
        <v>44974</v>
      </c>
      <c r="AK459">
        <f>NETWORKDAYS(AJ459,$AJ$1,FERIADO!$A$2:$A$408)</f>
        <v>972</v>
      </c>
      <c r="AL459">
        <v>12.824999999999999</v>
      </c>
      <c r="AM459" s="6">
        <f t="shared" si="67"/>
        <v>62786.331497908439</v>
      </c>
      <c r="AN459" s="2">
        <f t="shared" si="68"/>
        <v>8.7663594305534612E-4</v>
      </c>
      <c r="AP459" s="11">
        <f t="shared" si="69"/>
        <v>1.0136301755466141E-3</v>
      </c>
      <c r="AQ459" s="11">
        <f t="shared" si="70"/>
        <v>2.6299078291660384E-4</v>
      </c>
      <c r="AR459" s="11">
        <f t="shared" si="71"/>
        <v>1.2766209584632179E-3</v>
      </c>
    </row>
    <row r="460" spans="2:44" x14ac:dyDescent="0.35">
      <c r="B460" s="1">
        <v>44973</v>
      </c>
      <c r="C460">
        <v>4408.3</v>
      </c>
      <c r="D460" s="1">
        <v>44973</v>
      </c>
      <c r="E460">
        <v>5.2426000000000004</v>
      </c>
      <c r="F460" s="1">
        <v>44971</v>
      </c>
      <c r="G460">
        <v>112.35899999999999</v>
      </c>
      <c r="H460" s="4">
        <f t="shared" si="63"/>
        <v>589053.29340000008</v>
      </c>
      <c r="I460" s="5">
        <v>44973</v>
      </c>
      <c r="J460" s="4">
        <v>5693.46</v>
      </c>
      <c r="K460" s="4">
        <f t="shared" si="64"/>
        <v>56934.6</v>
      </c>
      <c r="L460" s="1">
        <v>44973</v>
      </c>
      <c r="M460">
        <v>5.63</v>
      </c>
      <c r="N460" s="1">
        <v>44973</v>
      </c>
      <c r="O460">
        <v>5.65</v>
      </c>
      <c r="P460" s="1">
        <v>44973</v>
      </c>
      <c r="Q460">
        <v>5.87</v>
      </c>
      <c r="R460" s="1">
        <v>44973</v>
      </c>
      <c r="S460">
        <v>5.87</v>
      </c>
      <c r="T460" s="1">
        <v>44973</v>
      </c>
      <c r="U460">
        <v>5.92</v>
      </c>
      <c r="V460" s="1">
        <v>44973</v>
      </c>
      <c r="W460">
        <v>6.02</v>
      </c>
      <c r="X460" s="1">
        <v>44973</v>
      </c>
      <c r="Y460">
        <f>NETWORKDAYS(X460,$Z$1,FERIADO!$A$2:$A$408)</f>
        <v>1986</v>
      </c>
      <c r="Z460">
        <v>13.34</v>
      </c>
      <c r="AA460" s="6">
        <f t="shared" si="65"/>
        <v>37274.216639313694</v>
      </c>
      <c r="AB460" s="2">
        <f t="shared" si="66"/>
        <v>1.1220860015845255E-3</v>
      </c>
      <c r="AJ460" s="1">
        <v>44973</v>
      </c>
      <c r="AK460">
        <f>NETWORKDAYS(AJ460,$AJ$1,FERIADO!$A$2:$A$408)</f>
        <v>973</v>
      </c>
      <c r="AL460">
        <v>12.87</v>
      </c>
      <c r="AM460" s="6">
        <f t="shared" si="67"/>
        <v>62659.72330025251</v>
      </c>
      <c r="AN460" s="2">
        <f t="shared" si="68"/>
        <v>3.5735658109377593E-4</v>
      </c>
      <c r="AP460" s="11">
        <f t="shared" si="69"/>
        <v>5.6104300079226274E-4</v>
      </c>
      <c r="AQ460" s="11">
        <f t="shared" si="70"/>
        <v>1.0720697432813277E-4</v>
      </c>
      <c r="AR460" s="11">
        <f t="shared" si="71"/>
        <v>6.6824997512039555E-4</v>
      </c>
    </row>
    <row r="461" spans="2:44" x14ac:dyDescent="0.35">
      <c r="B461" s="1">
        <v>44972</v>
      </c>
      <c r="C461">
        <v>4470.26</v>
      </c>
      <c r="D461" s="1">
        <v>44972</v>
      </c>
      <c r="E461">
        <v>5.2237</v>
      </c>
      <c r="F461" s="1">
        <v>44970</v>
      </c>
      <c r="G461">
        <v>112.797</v>
      </c>
      <c r="H461" s="4">
        <f t="shared" si="63"/>
        <v>589217.68889999995</v>
      </c>
      <c r="I461" s="5">
        <v>44972</v>
      </c>
      <c r="J461" s="4">
        <v>5693.46</v>
      </c>
      <c r="K461" s="4">
        <f t="shared" si="64"/>
        <v>56934.6</v>
      </c>
      <c r="L461" s="1">
        <v>44972</v>
      </c>
      <c r="M461">
        <v>5.83</v>
      </c>
      <c r="N461" s="1">
        <v>44972</v>
      </c>
      <c r="O461">
        <v>5.71</v>
      </c>
      <c r="P461" s="1">
        <v>44972</v>
      </c>
      <c r="Q461">
        <v>5.84</v>
      </c>
      <c r="R461" s="1">
        <v>44972</v>
      </c>
      <c r="S461">
        <v>5.87</v>
      </c>
      <c r="T461" s="1">
        <v>44972</v>
      </c>
      <c r="U461">
        <v>5.97</v>
      </c>
      <c r="V461" s="1">
        <v>44972</v>
      </c>
      <c r="W461">
        <v>6.08</v>
      </c>
      <c r="X461" s="1">
        <v>44972</v>
      </c>
      <c r="Y461">
        <f>NETWORKDAYS(X461,$Z$1,FERIADO!$A$2:$A$408)</f>
        <v>1987</v>
      </c>
      <c r="Z461">
        <v>13.37</v>
      </c>
      <c r="AA461" s="6">
        <f t="shared" si="65"/>
        <v>37178.035606582322</v>
      </c>
      <c r="AB461" s="2">
        <f t="shared" si="66"/>
        <v>4.444525785934168E-3</v>
      </c>
      <c r="AJ461" s="1">
        <v>44972</v>
      </c>
      <c r="AK461">
        <f>NETWORKDAYS(AJ461,$AJ$1,FERIADO!$A$2:$A$408)</f>
        <v>974</v>
      </c>
      <c r="AL461">
        <v>12.88</v>
      </c>
      <c r="AM461" s="6">
        <f t="shared" si="67"/>
        <v>62608.185333631096</v>
      </c>
      <c r="AN461" s="2">
        <f t="shared" si="68"/>
        <v>3.3319057171544613E-3</v>
      </c>
      <c r="AP461" s="11">
        <f t="shared" si="69"/>
        <v>2.222262892967084E-3</v>
      </c>
      <c r="AQ461" s="11">
        <f t="shared" si="70"/>
        <v>9.995717151463383E-4</v>
      </c>
      <c r="AR461" s="11">
        <f t="shared" si="71"/>
        <v>3.2218346081134223E-3</v>
      </c>
    </row>
    <row r="462" spans="2:44" x14ac:dyDescent="0.35">
      <c r="B462" s="1">
        <v>44971</v>
      </c>
      <c r="C462">
        <v>4458.9799999999996</v>
      </c>
      <c r="D462" s="1">
        <v>44971</v>
      </c>
      <c r="E462">
        <v>5.1501000000000001</v>
      </c>
      <c r="F462" s="1">
        <v>44967</v>
      </c>
      <c r="G462">
        <v>112.654</v>
      </c>
      <c r="H462" s="4">
        <f t="shared" si="63"/>
        <v>580179.36540000001</v>
      </c>
      <c r="I462" s="5">
        <v>44971</v>
      </c>
      <c r="J462" s="4">
        <v>5666.78</v>
      </c>
      <c r="K462" s="4">
        <f t="shared" si="64"/>
        <v>56667.799999999996</v>
      </c>
      <c r="L462" s="1">
        <v>44971</v>
      </c>
      <c r="M462">
        <v>5.87</v>
      </c>
      <c r="N462" s="1">
        <v>44971</v>
      </c>
      <c r="O462">
        <v>5.89</v>
      </c>
      <c r="P462" s="1">
        <v>44971</v>
      </c>
      <c r="Q462">
        <v>5.99</v>
      </c>
      <c r="R462" s="1">
        <v>44971</v>
      </c>
      <c r="S462">
        <v>5.98</v>
      </c>
      <c r="T462" s="1">
        <v>44971</v>
      </c>
      <c r="U462">
        <v>6.09</v>
      </c>
      <c r="V462" s="1">
        <v>44971</v>
      </c>
      <c r="W462">
        <v>6.19</v>
      </c>
      <c r="X462" s="1">
        <v>44971</v>
      </c>
      <c r="Y462">
        <f>NETWORKDAYS(X462,$Z$1,FERIADO!$A$2:$A$408)</f>
        <v>1988</v>
      </c>
      <c r="Z462">
        <v>13.51</v>
      </c>
      <c r="AA462" s="6">
        <f t="shared" si="65"/>
        <v>36799.499605174729</v>
      </c>
      <c r="AB462" s="2">
        <f t="shared" si="66"/>
        <v>-1.8961531086453356E-3</v>
      </c>
      <c r="AJ462" s="1">
        <v>44971</v>
      </c>
      <c r="AK462">
        <f>NETWORKDAYS(AJ462,$AJ$1,FERIADO!$A$2:$A$408)</f>
        <v>975</v>
      </c>
      <c r="AL462">
        <v>13.09</v>
      </c>
      <c r="AM462" s="6">
        <f t="shared" si="67"/>
        <v>62129.693400099364</v>
      </c>
      <c r="AN462" s="2">
        <f t="shared" si="68"/>
        <v>6.3260532744515129E-5</v>
      </c>
      <c r="AP462" s="11">
        <f t="shared" si="69"/>
        <v>-9.480765543226678E-4</v>
      </c>
      <c r="AQ462" s="11">
        <f t="shared" si="70"/>
        <v>1.897815982335454E-5</v>
      </c>
      <c r="AR462" s="11">
        <f t="shared" si="71"/>
        <v>-9.2909839449931326E-4</v>
      </c>
    </row>
    <row r="463" spans="2:44" x14ac:dyDescent="0.35">
      <c r="B463" s="1">
        <v>44970</v>
      </c>
      <c r="C463">
        <v>4457.8599999999997</v>
      </c>
      <c r="D463" s="1">
        <v>44970</v>
      </c>
      <c r="E463">
        <v>5.1828000000000003</v>
      </c>
      <c r="F463" s="1">
        <v>44966</v>
      </c>
      <c r="G463">
        <v>113.111</v>
      </c>
      <c r="H463" s="4">
        <f t="shared" si="63"/>
        <v>586231.69079999998</v>
      </c>
      <c r="I463" s="5">
        <v>44970</v>
      </c>
      <c r="J463" s="4">
        <v>5631.93</v>
      </c>
      <c r="K463" s="4">
        <f t="shared" si="64"/>
        <v>56319.3</v>
      </c>
      <c r="L463" s="1">
        <v>44970</v>
      </c>
      <c r="M463">
        <v>5.95</v>
      </c>
      <c r="N463" s="1">
        <v>44970</v>
      </c>
      <c r="O463">
        <v>5.94</v>
      </c>
      <c r="P463" s="1">
        <v>44970</v>
      </c>
      <c r="Q463">
        <v>6.04</v>
      </c>
      <c r="R463" s="1">
        <v>44970</v>
      </c>
      <c r="S463">
        <v>6.02</v>
      </c>
      <c r="T463" s="1">
        <v>44970</v>
      </c>
      <c r="U463">
        <v>6.13</v>
      </c>
      <c r="V463" s="1">
        <v>44970</v>
      </c>
      <c r="W463">
        <v>6.19</v>
      </c>
      <c r="X463" s="1">
        <v>44970</v>
      </c>
      <c r="Y463">
        <f>NETWORKDAYS(X463,$Z$1,FERIADO!$A$2:$A$408)</f>
        <v>1989</v>
      </c>
      <c r="Z463">
        <v>13.44</v>
      </c>
      <c r="AA463" s="6">
        <f t="shared" si="65"/>
        <v>36960.519458173054</v>
      </c>
      <c r="AB463" s="2">
        <f t="shared" si="66"/>
        <v>2.3329318679675931E-3</v>
      </c>
      <c r="AJ463" s="1">
        <v>44970</v>
      </c>
      <c r="AK463">
        <f>NETWORKDAYS(AJ463,$AJ$1,FERIADO!$A$2:$A$408)</f>
        <v>976</v>
      </c>
      <c r="AL463">
        <v>13.08</v>
      </c>
      <c r="AM463" s="6">
        <f t="shared" si="67"/>
        <v>62120.644076591823</v>
      </c>
      <c r="AN463" s="2">
        <f t="shared" si="68"/>
        <v>8.0734012915408037E-4</v>
      </c>
      <c r="AP463" s="11">
        <f t="shared" si="69"/>
        <v>1.1664659339837965E-3</v>
      </c>
      <c r="AQ463" s="11">
        <f t="shared" si="70"/>
        <v>2.4220203874622409E-4</v>
      </c>
      <c r="AR463" s="11">
        <f t="shared" si="71"/>
        <v>1.4086679727300206E-3</v>
      </c>
    </row>
    <row r="464" spans="2:44" x14ac:dyDescent="0.35">
      <c r="B464" s="1">
        <v>44967</v>
      </c>
      <c r="C464">
        <v>4408.2299999999996</v>
      </c>
      <c r="D464" s="1">
        <v>44967</v>
      </c>
      <c r="E464">
        <v>5.2519999999999998</v>
      </c>
      <c r="F464" s="1">
        <v>44965</v>
      </c>
      <c r="G464">
        <v>113.5</v>
      </c>
      <c r="H464" s="4">
        <f t="shared" si="63"/>
        <v>596102</v>
      </c>
      <c r="I464" s="5">
        <v>44967</v>
      </c>
      <c r="J464" s="4">
        <v>5697.82</v>
      </c>
      <c r="K464" s="4">
        <f t="shared" si="64"/>
        <v>56978.2</v>
      </c>
      <c r="L464" s="1">
        <v>44967</v>
      </c>
      <c r="M464">
        <v>5.96</v>
      </c>
      <c r="N464" s="1">
        <v>44967</v>
      </c>
      <c r="O464">
        <v>5.94</v>
      </c>
      <c r="P464" s="1">
        <v>44967</v>
      </c>
      <c r="Q464">
        <v>6.03</v>
      </c>
      <c r="R464" s="1">
        <v>44967</v>
      </c>
      <c r="S464">
        <v>6.05</v>
      </c>
      <c r="T464" s="1">
        <v>44967</v>
      </c>
      <c r="U464">
        <v>6.11</v>
      </c>
      <c r="V464" s="1">
        <v>44967</v>
      </c>
      <c r="W464">
        <v>6.21</v>
      </c>
      <c r="X464" s="1">
        <v>44967</v>
      </c>
      <c r="Y464">
        <f>NETWORKDAYS(X464,$Z$1,FERIADO!$A$2:$A$408)</f>
        <v>1990</v>
      </c>
      <c r="Z464">
        <v>13.51</v>
      </c>
      <c r="AA464" s="6">
        <f t="shared" si="65"/>
        <v>36762.508207475403</v>
      </c>
      <c r="AB464" s="2">
        <f t="shared" si="66"/>
        <v>1.7294965891791736E-3</v>
      </c>
      <c r="AJ464" s="1">
        <v>44967</v>
      </c>
      <c r="AK464">
        <f>NETWORKDAYS(AJ464,$AJ$1,FERIADO!$A$2:$A$408)</f>
        <v>977</v>
      </c>
      <c r="AL464">
        <v>13.12</v>
      </c>
      <c r="AM464" s="6">
        <f t="shared" si="67"/>
        <v>62005.270974232481</v>
      </c>
      <c r="AN464" s="2">
        <f t="shared" si="68"/>
        <v>5.1042949636732687E-4</v>
      </c>
      <c r="AP464" s="11">
        <f t="shared" si="69"/>
        <v>8.6474829458958681E-4</v>
      </c>
      <c r="AQ464" s="11">
        <f t="shared" si="70"/>
        <v>1.5312884891019807E-4</v>
      </c>
      <c r="AR464" s="11">
        <f t="shared" si="71"/>
        <v>1.0178771434997849E-3</v>
      </c>
    </row>
    <row r="465" spans="2:44" x14ac:dyDescent="0.35">
      <c r="B465" s="1">
        <v>44966</v>
      </c>
      <c r="C465">
        <v>4395.8500000000004</v>
      </c>
      <c r="D465" s="1">
        <v>44966</v>
      </c>
      <c r="E465">
        <v>5.2309000000000001</v>
      </c>
      <c r="F465" s="1">
        <v>44964</v>
      </c>
      <c r="G465">
        <v>113.25</v>
      </c>
      <c r="H465" s="4">
        <f t="shared" si="63"/>
        <v>592399.42500000005</v>
      </c>
      <c r="I465" s="5">
        <v>44966</v>
      </c>
      <c r="J465" s="4">
        <v>5781.67</v>
      </c>
      <c r="K465" s="4">
        <f t="shared" si="64"/>
        <v>57816.7</v>
      </c>
      <c r="L465" s="1">
        <v>44966</v>
      </c>
      <c r="M465">
        <v>5.99</v>
      </c>
      <c r="N465" s="1">
        <v>44966</v>
      </c>
      <c r="O465">
        <v>5.99</v>
      </c>
      <c r="P465" s="1">
        <v>44966</v>
      </c>
      <c r="Q465">
        <v>6.08</v>
      </c>
      <c r="R465" s="1">
        <v>44966</v>
      </c>
      <c r="S465">
        <v>6.11</v>
      </c>
      <c r="T465" s="1">
        <v>44966</v>
      </c>
      <c r="U465">
        <v>6.13</v>
      </c>
      <c r="V465" s="1">
        <v>44966</v>
      </c>
      <c r="W465">
        <v>6.22</v>
      </c>
      <c r="X465" s="1">
        <v>44966</v>
      </c>
      <c r="Y465">
        <f>NETWORKDAYS(X465,$Z$1,FERIADO!$A$2:$A$408)</f>
        <v>1991</v>
      </c>
      <c r="Z465">
        <v>13.56</v>
      </c>
      <c r="AA465" s="6">
        <f t="shared" si="65"/>
        <v>36616.399509133953</v>
      </c>
      <c r="AB465" s="2">
        <f t="shared" si="66"/>
        <v>-8.8620521041990752E-3</v>
      </c>
      <c r="AJ465" s="1">
        <v>44966</v>
      </c>
      <c r="AK465">
        <f>NETWORKDAYS(AJ465,$AJ$1,FERIADO!$A$2:$A$408)</f>
        <v>978</v>
      </c>
      <c r="AL465">
        <v>13.14</v>
      </c>
      <c r="AM465" s="6">
        <f t="shared" si="67"/>
        <v>61932.438532193519</v>
      </c>
      <c r="AN465" s="2">
        <f t="shared" si="68"/>
        <v>-4.1921683769731103E-3</v>
      </c>
      <c r="AP465" s="11">
        <f t="shared" si="69"/>
        <v>-4.4310260520995376E-3</v>
      </c>
      <c r="AQ465" s="11">
        <f t="shared" si="70"/>
        <v>-1.257650513091933E-3</v>
      </c>
      <c r="AR465" s="11">
        <f t="shared" si="71"/>
        <v>-5.6886765651914702E-3</v>
      </c>
    </row>
    <row r="466" spans="2:44" x14ac:dyDescent="0.35">
      <c r="B466" s="1">
        <v>44965</v>
      </c>
      <c r="C466">
        <v>4443.26</v>
      </c>
      <c r="D466" s="1">
        <v>44965</v>
      </c>
      <c r="E466">
        <v>5.2030000000000003</v>
      </c>
      <c r="F466" s="1">
        <v>44963</v>
      </c>
      <c r="G466">
        <v>113.517</v>
      </c>
      <c r="H466" s="4">
        <f t="shared" si="63"/>
        <v>590628.951</v>
      </c>
      <c r="I466" s="5">
        <v>44965</v>
      </c>
      <c r="J466" s="4">
        <v>5682.03</v>
      </c>
      <c r="K466" s="4">
        <f t="shared" si="64"/>
        <v>56820.299999999996</v>
      </c>
      <c r="L466" s="1">
        <v>44965</v>
      </c>
      <c r="M466">
        <v>5.99</v>
      </c>
      <c r="N466" s="1">
        <v>44965</v>
      </c>
      <c r="O466">
        <v>5.94</v>
      </c>
      <c r="P466" s="1">
        <v>44965</v>
      </c>
      <c r="Q466">
        <v>6</v>
      </c>
      <c r="R466" s="1">
        <v>44965</v>
      </c>
      <c r="S466">
        <v>6.03</v>
      </c>
      <c r="T466" s="1">
        <v>44965</v>
      </c>
      <c r="U466">
        <v>6.08</v>
      </c>
      <c r="V466" s="1">
        <v>44965</v>
      </c>
      <c r="W466">
        <v>6.15</v>
      </c>
      <c r="X466" s="1">
        <v>44965</v>
      </c>
      <c r="Y466">
        <f>NETWORKDAYS(X466,$Z$1,FERIADO!$A$2:$A$408)</f>
        <v>1992</v>
      </c>
      <c r="Z466">
        <v>13.26</v>
      </c>
      <c r="AA466" s="6">
        <f t="shared" si="65"/>
        <v>37371.255639763018</v>
      </c>
      <c r="AB466" s="2">
        <f t="shared" si="66"/>
        <v>7.1824870239267855E-3</v>
      </c>
      <c r="AJ466" s="1">
        <v>44965</v>
      </c>
      <c r="AK466">
        <f>NETWORKDAYS(AJ466,$AJ$1,FERIADO!$A$2:$A$408)</f>
        <v>979</v>
      </c>
      <c r="AL466">
        <v>12.845000000000001</v>
      </c>
      <c r="AM466" s="6">
        <f t="shared" si="67"/>
        <v>62533.156133106131</v>
      </c>
      <c r="AN466" s="2">
        <f t="shared" si="68"/>
        <v>5.4385190374515932E-3</v>
      </c>
      <c r="AP466" s="11">
        <f t="shared" si="69"/>
        <v>3.5912435119633927E-3</v>
      </c>
      <c r="AQ466" s="11">
        <f t="shared" si="70"/>
        <v>1.6315557112354779E-3</v>
      </c>
      <c r="AR466" s="11">
        <f t="shared" si="71"/>
        <v>5.222799223198871E-3</v>
      </c>
    </row>
    <row r="467" spans="2:44" x14ac:dyDescent="0.35">
      <c r="B467" s="1">
        <v>44964</v>
      </c>
      <c r="C467">
        <v>4484.95</v>
      </c>
      <c r="D467" s="1">
        <v>44964</v>
      </c>
      <c r="E467">
        <v>5.1688999999999998</v>
      </c>
      <c r="F467" s="1">
        <v>44960</v>
      </c>
      <c r="G467">
        <v>114.396</v>
      </c>
      <c r="H467" s="4">
        <f t="shared" si="63"/>
        <v>591301.48439999996</v>
      </c>
      <c r="I467" s="5">
        <v>44964</v>
      </c>
      <c r="J467" s="4">
        <v>5698.36</v>
      </c>
      <c r="K467" s="4">
        <f t="shared" si="64"/>
        <v>56983.6</v>
      </c>
      <c r="L467" s="1">
        <v>44964</v>
      </c>
      <c r="M467">
        <v>6.17</v>
      </c>
      <c r="N467" s="1">
        <v>44964</v>
      </c>
      <c r="O467">
        <v>6.07</v>
      </c>
      <c r="P467" s="1">
        <v>44964</v>
      </c>
      <c r="Q467">
        <v>6.11</v>
      </c>
      <c r="R467" s="1">
        <v>44964</v>
      </c>
      <c r="S467">
        <v>6.12</v>
      </c>
      <c r="T467" s="1">
        <v>44964</v>
      </c>
      <c r="U467">
        <v>6.14</v>
      </c>
      <c r="V467" s="1">
        <v>44964</v>
      </c>
      <c r="W467">
        <v>6.21</v>
      </c>
      <c r="X467" s="1">
        <v>44964</v>
      </c>
      <c r="Y467">
        <f>NETWORKDAYS(X467,$Z$1,FERIADO!$A$2:$A$408)</f>
        <v>1993</v>
      </c>
      <c r="Z467">
        <v>13.49</v>
      </c>
      <c r="AA467" s="6">
        <f t="shared" si="65"/>
        <v>36758.281807958003</v>
      </c>
      <c r="AB467" s="2">
        <f t="shared" si="66"/>
        <v>-6.1465381087805193E-3</v>
      </c>
      <c r="AJ467" s="1">
        <v>44964</v>
      </c>
      <c r="AK467">
        <f>NETWORKDAYS(AJ467,$AJ$1,FERIADO!$A$2:$A$408)</f>
        <v>980</v>
      </c>
      <c r="AL467">
        <v>13.195</v>
      </c>
      <c r="AM467" s="6">
        <f t="shared" si="67"/>
        <v>61754.957849391649</v>
      </c>
      <c r="AN467" s="2">
        <f t="shared" si="68"/>
        <v>-1.7291564164665107E-3</v>
      </c>
      <c r="AP467" s="11">
        <f t="shared" si="69"/>
        <v>-3.0732690543902597E-3</v>
      </c>
      <c r="AQ467" s="11">
        <f t="shared" si="70"/>
        <v>-5.1874692493995324E-4</v>
      </c>
      <c r="AR467" s="11">
        <f t="shared" si="71"/>
        <v>-3.5920159793302129E-3</v>
      </c>
    </row>
    <row r="468" spans="2:44" x14ac:dyDescent="0.35">
      <c r="B468" s="1">
        <v>44963</v>
      </c>
      <c r="C468">
        <v>4429.2</v>
      </c>
      <c r="D468" s="1">
        <v>44963</v>
      </c>
      <c r="E468">
        <v>5.1757</v>
      </c>
      <c r="F468" s="1">
        <v>44959</v>
      </c>
      <c r="G468">
        <v>115.571</v>
      </c>
      <c r="H468" s="4">
        <f t="shared" si="63"/>
        <v>598160.8247</v>
      </c>
      <c r="I468" s="5">
        <v>44963</v>
      </c>
      <c r="J468" s="4">
        <v>5626.49</v>
      </c>
      <c r="K468" s="4">
        <f t="shared" si="64"/>
        <v>56264.899999999994</v>
      </c>
      <c r="L468" s="1">
        <v>44963</v>
      </c>
      <c r="M468">
        <v>6.19</v>
      </c>
      <c r="N468" s="1">
        <v>44963</v>
      </c>
      <c r="O468">
        <v>6.11</v>
      </c>
      <c r="P468" s="1">
        <v>44963</v>
      </c>
      <c r="Q468">
        <v>6.14</v>
      </c>
      <c r="R468" s="1">
        <v>44963</v>
      </c>
      <c r="S468">
        <v>6.12</v>
      </c>
      <c r="T468" s="1">
        <v>44963</v>
      </c>
      <c r="U468">
        <v>6.16</v>
      </c>
      <c r="V468" s="1">
        <v>44963</v>
      </c>
      <c r="W468">
        <v>6.24</v>
      </c>
      <c r="X468" s="1">
        <v>44963</v>
      </c>
      <c r="Y468">
        <f>NETWORKDAYS(X468,$Z$1,FERIADO!$A$2:$A$408)</f>
        <v>1994</v>
      </c>
      <c r="Z468">
        <v>13.28</v>
      </c>
      <c r="AA468" s="6">
        <f t="shared" si="65"/>
        <v>37282.217957341221</v>
      </c>
      <c r="AB468" s="2">
        <f t="shared" si="66"/>
        <v>4.1582654046075345E-3</v>
      </c>
      <c r="AJ468" s="1">
        <v>44963</v>
      </c>
      <c r="AK468">
        <f>NETWORKDAYS(AJ468,$AJ$1,FERIADO!$A$2:$A$408)</f>
        <v>981</v>
      </c>
      <c r="AL468">
        <v>13.065</v>
      </c>
      <c r="AM468" s="6">
        <f t="shared" si="67"/>
        <v>62001.327191598066</v>
      </c>
      <c r="AN468" s="2">
        <f t="shared" si="68"/>
        <v>1.9320780537174784E-3</v>
      </c>
      <c r="AP468" s="11">
        <f t="shared" si="69"/>
        <v>2.0791327023037673E-3</v>
      </c>
      <c r="AQ468" s="11">
        <f t="shared" si="70"/>
        <v>5.7962341611524353E-4</v>
      </c>
      <c r="AR468" s="11">
        <f t="shared" si="71"/>
        <v>2.6587561184190107E-3</v>
      </c>
    </row>
    <row r="469" spans="2:44" x14ac:dyDescent="0.35">
      <c r="B469" s="1">
        <v>44960</v>
      </c>
      <c r="C469">
        <v>4459.0200000000004</v>
      </c>
      <c r="D469" s="1">
        <v>44960</v>
      </c>
      <c r="E469">
        <v>5.1024000000000003</v>
      </c>
      <c r="F469" s="1">
        <v>44958</v>
      </c>
      <c r="G469">
        <v>115.515</v>
      </c>
      <c r="H469" s="4">
        <f t="shared" si="63"/>
        <v>589403.73600000003</v>
      </c>
      <c r="I469" s="5">
        <v>44960</v>
      </c>
      <c r="J469" s="4">
        <v>5636.83</v>
      </c>
      <c r="K469" s="4">
        <f t="shared" si="64"/>
        <v>56368.3</v>
      </c>
      <c r="L469" s="1">
        <v>44960</v>
      </c>
      <c r="M469">
        <v>6.26</v>
      </c>
      <c r="N469" s="1">
        <v>44960</v>
      </c>
      <c r="O469">
        <v>6.19</v>
      </c>
      <c r="P469" s="1">
        <v>44960</v>
      </c>
      <c r="Q469">
        <v>6.11</v>
      </c>
      <c r="R469" s="1">
        <v>44960</v>
      </c>
      <c r="S469">
        <v>6.2</v>
      </c>
      <c r="T469" s="1">
        <v>44960</v>
      </c>
      <c r="U469">
        <v>6.25</v>
      </c>
      <c r="V469" s="1">
        <v>44960</v>
      </c>
      <c r="W469">
        <v>6.32</v>
      </c>
      <c r="X469" s="1">
        <v>44960</v>
      </c>
      <c r="Y469">
        <f>NETWORKDAYS(X469,$Z$1,FERIADO!$A$2:$A$408)</f>
        <v>1995</v>
      </c>
      <c r="Z469">
        <v>13.41</v>
      </c>
      <c r="AA469" s="6">
        <f t="shared" si="65"/>
        <v>36926.953172232701</v>
      </c>
      <c r="AB469" s="2">
        <f t="shared" si="66"/>
        <v>-7.3743583988413498E-3</v>
      </c>
      <c r="AJ469" s="1">
        <v>44960</v>
      </c>
      <c r="AK469">
        <f>NETWORKDAYS(AJ469,$AJ$1,FERIADO!$A$2:$A$408)</f>
        <v>982</v>
      </c>
      <c r="AL469">
        <v>13.18</v>
      </c>
      <c r="AM469" s="6">
        <f t="shared" si="67"/>
        <v>61726.109935093213</v>
      </c>
      <c r="AN469" s="2">
        <f t="shared" si="68"/>
        <v>-3.9078733059391517E-3</v>
      </c>
      <c r="AP469" s="11">
        <f t="shared" si="69"/>
        <v>-3.6871791994206749E-3</v>
      </c>
      <c r="AQ469" s="11">
        <f t="shared" si="70"/>
        <v>-1.1723619917817455E-3</v>
      </c>
      <c r="AR469" s="11">
        <f t="shared" si="71"/>
        <v>-4.8595411912024204E-3</v>
      </c>
    </row>
    <row r="470" spans="2:44" x14ac:dyDescent="0.35">
      <c r="B470" s="1">
        <v>44959</v>
      </c>
      <c r="C470">
        <v>4507.26</v>
      </c>
      <c r="D470" s="1">
        <v>44959</v>
      </c>
      <c r="E470">
        <v>4.9894999999999996</v>
      </c>
      <c r="F470" s="1">
        <v>44957</v>
      </c>
      <c r="G470">
        <v>114.56399999999999</v>
      </c>
      <c r="H470" s="4">
        <f t="shared" si="63"/>
        <v>571617.07799999986</v>
      </c>
      <c r="I470" s="5">
        <v>44959</v>
      </c>
      <c r="J470" s="4">
        <v>5525.75</v>
      </c>
      <c r="K470" s="4">
        <f t="shared" si="64"/>
        <v>55257.5</v>
      </c>
      <c r="L470" s="1">
        <v>44959</v>
      </c>
      <c r="M470">
        <v>6.15</v>
      </c>
      <c r="N470" s="1">
        <v>44959</v>
      </c>
      <c r="O470">
        <v>6.07</v>
      </c>
      <c r="P470" s="1">
        <v>44959</v>
      </c>
      <c r="Q470">
        <v>6.09</v>
      </c>
      <c r="R470" s="1">
        <v>44959</v>
      </c>
      <c r="S470">
        <v>6.09</v>
      </c>
      <c r="T470" s="1">
        <v>44959</v>
      </c>
      <c r="U470">
        <v>6.11</v>
      </c>
      <c r="V470" s="1">
        <v>44959</v>
      </c>
      <c r="W470">
        <v>6.19</v>
      </c>
      <c r="X470" s="1">
        <v>44959</v>
      </c>
      <c r="Y470">
        <f>NETWORKDAYS(X470,$Z$1,FERIADO!$A$2:$A$408)</f>
        <v>1996</v>
      </c>
      <c r="Z470">
        <v>13.16</v>
      </c>
      <c r="AA470" s="6">
        <f t="shared" si="65"/>
        <v>37559.329787505951</v>
      </c>
      <c r="AB470" s="2">
        <f t="shared" si="66"/>
        <v>-3.4385102392207232E-3</v>
      </c>
      <c r="AJ470" s="1">
        <v>44959</v>
      </c>
      <c r="AK470">
        <f>NETWORKDAYS(AJ470,$AJ$1,FERIADO!$A$2:$A$408)</f>
        <v>983</v>
      </c>
      <c r="AL470">
        <v>12.904999999999999</v>
      </c>
      <c r="AM470" s="6">
        <f t="shared" si="67"/>
        <v>62284.040911101467</v>
      </c>
      <c r="AN470" s="2">
        <f t="shared" si="68"/>
        <v>-1.7445266507651437E-3</v>
      </c>
      <c r="AP470" s="11">
        <f t="shared" si="69"/>
        <v>-1.7192551196103616E-3</v>
      </c>
      <c r="AQ470" s="11">
        <f t="shared" si="70"/>
        <v>-5.233579952295431E-4</v>
      </c>
      <c r="AR470" s="11">
        <f t="shared" si="71"/>
        <v>-2.2426131148399046E-3</v>
      </c>
    </row>
    <row r="471" spans="2:44" x14ac:dyDescent="0.35">
      <c r="B471" s="1">
        <v>44958</v>
      </c>
      <c r="C471">
        <v>4445.72</v>
      </c>
      <c r="D471" s="1">
        <v>44958</v>
      </c>
      <c r="E471">
        <v>5.0715000000000003</v>
      </c>
      <c r="F471" s="1">
        <v>44956</v>
      </c>
      <c r="G471">
        <v>114.33499999999999</v>
      </c>
      <c r="H471" s="4">
        <f t="shared" si="63"/>
        <v>579849.95250000001</v>
      </c>
      <c r="I471" s="5">
        <v>44958</v>
      </c>
      <c r="J471" s="4">
        <v>5529.02</v>
      </c>
      <c r="K471" s="4">
        <f t="shared" si="64"/>
        <v>55290.200000000004</v>
      </c>
      <c r="L471" s="1">
        <v>44958</v>
      </c>
      <c r="M471">
        <v>6.07</v>
      </c>
      <c r="N471" s="1">
        <v>44958</v>
      </c>
      <c r="O471">
        <v>6.02</v>
      </c>
      <c r="P471" s="1">
        <v>44958</v>
      </c>
      <c r="Q471">
        <v>6.07</v>
      </c>
      <c r="R471" s="1">
        <v>44958</v>
      </c>
      <c r="S471">
        <v>6.06</v>
      </c>
      <c r="T471" s="1">
        <v>44958</v>
      </c>
      <c r="U471">
        <v>6.14</v>
      </c>
      <c r="V471" s="1">
        <v>44958</v>
      </c>
      <c r="W471">
        <v>6.22</v>
      </c>
      <c r="X471" s="1">
        <v>44958</v>
      </c>
      <c r="Y471">
        <f>NETWORKDAYS(X471,$Z$1,FERIADO!$A$2:$A$408)</f>
        <v>1997</v>
      </c>
      <c r="Z471">
        <v>13.04</v>
      </c>
      <c r="AA471" s="6">
        <f t="shared" si="65"/>
        <v>37857.884708658326</v>
      </c>
      <c r="AB471" s="2">
        <f t="shared" si="66"/>
        <v>1.4294714319288276E-3</v>
      </c>
      <c r="AJ471" s="1">
        <v>44958</v>
      </c>
      <c r="AK471">
        <f>NETWORKDAYS(AJ471,$AJ$1,FERIADO!$A$2:$A$408)</f>
        <v>984</v>
      </c>
      <c r="AL471">
        <v>12.775</v>
      </c>
      <c r="AM471" s="6">
        <f t="shared" si="67"/>
        <v>62534.734157161351</v>
      </c>
      <c r="AN471" s="2">
        <f t="shared" si="68"/>
        <v>1.0348766765813811E-3</v>
      </c>
      <c r="AP471" s="11">
        <f t="shared" si="69"/>
        <v>7.1473571596441382E-4</v>
      </c>
      <c r="AQ471" s="11">
        <f t="shared" si="70"/>
        <v>3.1046300297441431E-4</v>
      </c>
      <c r="AR471" s="11">
        <f t="shared" si="71"/>
        <v>1.0251987189388281E-3</v>
      </c>
    </row>
    <row r="472" spans="2:44" x14ac:dyDescent="0.35">
      <c r="B472" s="1">
        <v>44957</v>
      </c>
      <c r="C472">
        <v>4394.9799999999996</v>
      </c>
      <c r="D472" s="1">
        <v>44957</v>
      </c>
      <c r="E472">
        <v>5.0987</v>
      </c>
      <c r="F472" s="1">
        <v>44953</v>
      </c>
      <c r="G472">
        <v>114.621</v>
      </c>
      <c r="H472" s="4">
        <f t="shared" si="63"/>
        <v>584418.09270000004</v>
      </c>
      <c r="I472" s="5">
        <v>44957</v>
      </c>
      <c r="J472" s="4">
        <v>5552.43</v>
      </c>
      <c r="K472" s="4">
        <f t="shared" si="64"/>
        <v>55524.3</v>
      </c>
      <c r="L472" s="1">
        <v>44957</v>
      </c>
      <c r="M472">
        <v>6.03</v>
      </c>
      <c r="N472" s="1">
        <v>44957</v>
      </c>
      <c r="O472">
        <v>5.97</v>
      </c>
      <c r="P472" s="1">
        <v>44957</v>
      </c>
      <c r="Q472">
        <v>6.04</v>
      </c>
      <c r="R472" s="1">
        <v>44957</v>
      </c>
      <c r="S472">
        <v>6.03</v>
      </c>
      <c r="T472" s="1">
        <v>44957</v>
      </c>
      <c r="U472">
        <v>6.14</v>
      </c>
      <c r="V472" s="1">
        <v>44957</v>
      </c>
      <c r="W472">
        <v>6.21</v>
      </c>
      <c r="X472" s="1">
        <v>44957</v>
      </c>
      <c r="Y472">
        <f>NETWORKDAYS(X472,$Z$1,FERIADO!$A$2:$A$408)</f>
        <v>1998</v>
      </c>
      <c r="Z472">
        <v>13.08</v>
      </c>
      <c r="AA472" s="6">
        <f t="shared" si="65"/>
        <v>37733.48110134375</v>
      </c>
      <c r="AB472" s="2">
        <f t="shared" si="66"/>
        <v>3.8657906441432396E-3</v>
      </c>
      <c r="AJ472" s="1">
        <v>44957</v>
      </c>
      <c r="AK472">
        <f>NETWORKDAYS(AJ472,$AJ$1,FERIADO!$A$2:$A$408)</f>
        <v>985</v>
      </c>
      <c r="AL472">
        <v>12.83</v>
      </c>
      <c r="AM472" s="6">
        <f t="shared" si="67"/>
        <v>62385.898064457841</v>
      </c>
      <c r="AN472" s="2">
        <f t="shared" si="68"/>
        <v>1.5629285012012722E-3</v>
      </c>
      <c r="AP472" s="11">
        <f t="shared" si="69"/>
        <v>1.9328953220716198E-3</v>
      </c>
      <c r="AQ472" s="11">
        <f t="shared" si="70"/>
        <v>4.6887855036038166E-4</v>
      </c>
      <c r="AR472" s="11">
        <f t="shared" si="71"/>
        <v>2.4017738724320015E-3</v>
      </c>
    </row>
    <row r="473" spans="2:44" x14ac:dyDescent="0.35">
      <c r="B473" s="1">
        <v>44956</v>
      </c>
      <c r="C473">
        <v>4340.18</v>
      </c>
      <c r="D473" s="1">
        <v>44956</v>
      </c>
      <c r="E473">
        <v>5.0952999999999999</v>
      </c>
      <c r="F473" s="1">
        <v>44952</v>
      </c>
      <c r="G473">
        <v>114.85</v>
      </c>
      <c r="H473" s="4">
        <f t="shared" si="63"/>
        <v>585195.20499999996</v>
      </c>
      <c r="I473" s="5">
        <v>44956</v>
      </c>
      <c r="J473" s="4">
        <v>5604.16</v>
      </c>
      <c r="K473" s="4">
        <f t="shared" si="64"/>
        <v>56041.599999999999</v>
      </c>
      <c r="L473" s="1">
        <v>44956</v>
      </c>
      <c r="M473">
        <v>6.01</v>
      </c>
      <c r="N473" s="1">
        <v>44956</v>
      </c>
      <c r="O473">
        <v>5.97</v>
      </c>
      <c r="P473" s="1">
        <v>44956</v>
      </c>
      <c r="Q473">
        <v>6.05</v>
      </c>
      <c r="R473" s="1">
        <v>44956</v>
      </c>
      <c r="S473">
        <v>6.04</v>
      </c>
      <c r="T473" s="1">
        <v>44956</v>
      </c>
      <c r="U473">
        <v>6.12</v>
      </c>
      <c r="V473" s="1">
        <v>44956</v>
      </c>
      <c r="W473">
        <v>6.21</v>
      </c>
      <c r="X473" s="1">
        <v>44956</v>
      </c>
      <c r="Y473">
        <f>NETWORKDAYS(X473,$Z$1,FERIADO!$A$2:$A$408)</f>
        <v>1999</v>
      </c>
      <c r="Z473">
        <v>13.2</v>
      </c>
      <c r="AA473" s="6">
        <f t="shared" si="65"/>
        <v>37399.094066147016</v>
      </c>
      <c r="AB473" s="2">
        <f t="shared" si="66"/>
        <v>-6.9990278745405137E-4</v>
      </c>
      <c r="AJ473" s="1">
        <v>44956</v>
      </c>
      <c r="AK473">
        <f>NETWORKDAYS(AJ473,$AJ$1,FERIADO!$A$2:$A$408)</f>
        <v>986</v>
      </c>
      <c r="AL473">
        <v>12.92</v>
      </c>
      <c r="AM473" s="6">
        <f t="shared" si="67"/>
        <v>62161.788701539437</v>
      </c>
      <c r="AN473" s="2">
        <f t="shared" si="68"/>
        <v>-6.946506561633204E-4</v>
      </c>
      <c r="AP473" s="11">
        <f t="shared" si="69"/>
        <v>-3.4995139372702568E-4</v>
      </c>
      <c r="AQ473" s="11">
        <f t="shared" si="70"/>
        <v>-2.0839519684899611E-4</v>
      </c>
      <c r="AR473" s="11">
        <f t="shared" si="71"/>
        <v>-5.5834659057602183E-4</v>
      </c>
    </row>
    <row r="474" spans="2:44" x14ac:dyDescent="0.35">
      <c r="B474" s="1">
        <v>44953</v>
      </c>
      <c r="C474">
        <v>4390.93</v>
      </c>
      <c r="D474" s="1">
        <v>44953</v>
      </c>
      <c r="E474">
        <v>5.0761000000000003</v>
      </c>
      <c r="F474" s="1">
        <v>44951</v>
      </c>
      <c r="G474">
        <v>115.18</v>
      </c>
      <c r="H474" s="4">
        <f t="shared" si="63"/>
        <v>584665.19799999997</v>
      </c>
      <c r="I474" s="5">
        <v>44953</v>
      </c>
      <c r="J474" s="4">
        <v>5594.31</v>
      </c>
      <c r="K474" s="4">
        <f t="shared" si="64"/>
        <v>55943.100000000006</v>
      </c>
      <c r="L474" s="1">
        <v>44953</v>
      </c>
      <c r="M474">
        <v>6.03</v>
      </c>
      <c r="N474" s="1">
        <v>44953</v>
      </c>
      <c r="O474">
        <v>5.98</v>
      </c>
      <c r="P474" s="1">
        <v>44953</v>
      </c>
      <c r="Q474">
        <v>6.02</v>
      </c>
      <c r="R474" s="1">
        <v>44953</v>
      </c>
      <c r="S474">
        <v>6</v>
      </c>
      <c r="T474" s="1">
        <v>44953</v>
      </c>
      <c r="U474">
        <v>6.06</v>
      </c>
      <c r="V474" s="1">
        <v>44953</v>
      </c>
      <c r="W474">
        <v>6.17</v>
      </c>
      <c r="X474" s="1">
        <v>44953</v>
      </c>
      <c r="Y474">
        <f>NETWORKDAYS(X474,$Z$1,FERIADO!$A$2:$A$408)</f>
        <v>2000</v>
      </c>
      <c r="Z474">
        <v>13.17</v>
      </c>
      <c r="AA474" s="6">
        <f t="shared" si="65"/>
        <v>37459.41450499327</v>
      </c>
      <c r="AB474" s="2">
        <f t="shared" si="66"/>
        <v>-2.8353176369468633E-3</v>
      </c>
      <c r="AJ474" s="1">
        <v>44953</v>
      </c>
      <c r="AK474">
        <f>NETWORKDAYS(AJ474,$AJ$1,FERIADO!$A$2:$A$408)</f>
        <v>987</v>
      </c>
      <c r="AL474">
        <v>12.86</v>
      </c>
      <c r="AM474" s="6">
        <f t="shared" si="67"/>
        <v>62261.295559556886</v>
      </c>
      <c r="AN474" s="2">
        <f t="shared" si="68"/>
        <v>-1.9049880825231151E-3</v>
      </c>
      <c r="AP474" s="11">
        <f t="shared" si="69"/>
        <v>-1.4176588184734316E-3</v>
      </c>
      <c r="AQ474" s="11">
        <f t="shared" si="70"/>
        <v>-5.7149642475693449E-4</v>
      </c>
      <c r="AR474" s="11">
        <f t="shared" si="71"/>
        <v>-1.9891552432303662E-3</v>
      </c>
    </row>
    <row r="475" spans="2:44" x14ac:dyDescent="0.35">
      <c r="B475" s="1">
        <v>44952</v>
      </c>
      <c r="C475">
        <v>4379.47</v>
      </c>
      <c r="D475" s="1">
        <v>44952</v>
      </c>
      <c r="E475">
        <v>5.0945</v>
      </c>
      <c r="F475" s="1">
        <v>44950</v>
      </c>
      <c r="G475">
        <v>115.01600000000001</v>
      </c>
      <c r="H475" s="4">
        <f t="shared" si="63"/>
        <v>585949.01199999999</v>
      </c>
      <c r="I475" s="5">
        <v>44952</v>
      </c>
      <c r="J475" s="4">
        <v>5556.55</v>
      </c>
      <c r="K475" s="4">
        <f t="shared" si="64"/>
        <v>55565.5</v>
      </c>
      <c r="L475" s="1">
        <v>44952</v>
      </c>
      <c r="M475">
        <v>5.92</v>
      </c>
      <c r="N475" s="1">
        <v>44952</v>
      </c>
      <c r="O475">
        <v>5.85</v>
      </c>
      <c r="P475" s="1">
        <v>44952</v>
      </c>
      <c r="Q475">
        <v>5.95</v>
      </c>
      <c r="R475" s="1">
        <v>44952</v>
      </c>
      <c r="S475">
        <v>5.95</v>
      </c>
      <c r="T475" s="1">
        <v>44952</v>
      </c>
      <c r="U475">
        <v>5.99</v>
      </c>
      <c r="V475" s="1">
        <v>44952</v>
      </c>
      <c r="W475">
        <v>6.09</v>
      </c>
      <c r="X475" s="1">
        <v>44952</v>
      </c>
      <c r="Y475">
        <f>NETWORKDAYS(X475,$Z$1,FERIADO!$A$2:$A$408)</f>
        <v>2001</v>
      </c>
      <c r="Z475">
        <v>13.07</v>
      </c>
      <c r="AA475" s="6">
        <f t="shared" si="65"/>
        <v>37704.770584319216</v>
      </c>
      <c r="AB475" s="2">
        <f t="shared" si="66"/>
        <v>2.1169600067168204E-4</v>
      </c>
      <c r="AJ475" s="1">
        <v>44952</v>
      </c>
      <c r="AK475">
        <f>NETWORKDAYS(AJ475,$AJ$1,FERIADO!$A$2:$A$408)</f>
        <v>988</v>
      </c>
      <c r="AL475">
        <v>12.72</v>
      </c>
      <c r="AM475" s="6">
        <f t="shared" si="67"/>
        <v>62534.998174989116</v>
      </c>
      <c r="AN475" s="2">
        <f t="shared" si="68"/>
        <v>3.5755589036246422E-4</v>
      </c>
      <c r="AP475" s="11">
        <f t="shared" si="69"/>
        <v>1.0584800033584102E-4</v>
      </c>
      <c r="AQ475" s="11">
        <f t="shared" si="70"/>
        <v>1.0726676710873927E-4</v>
      </c>
      <c r="AR475" s="11">
        <f t="shared" si="71"/>
        <v>2.131147674445803E-4</v>
      </c>
    </row>
    <row r="476" spans="2:44" x14ac:dyDescent="0.35">
      <c r="B476" s="1">
        <v>44951</v>
      </c>
      <c r="C476">
        <v>4334.75</v>
      </c>
      <c r="D476" s="1">
        <v>44951</v>
      </c>
      <c r="E476">
        <v>5.1036000000000001</v>
      </c>
      <c r="F476" s="1">
        <v>44949</v>
      </c>
      <c r="G476">
        <v>114.69499999999999</v>
      </c>
      <c r="H476" s="4">
        <f t="shared" si="63"/>
        <v>585357.402</v>
      </c>
      <c r="I476" s="5">
        <v>44951</v>
      </c>
      <c r="J476" s="4">
        <v>5561.47</v>
      </c>
      <c r="K476" s="4">
        <f t="shared" si="64"/>
        <v>55614.700000000004</v>
      </c>
      <c r="L476" s="1">
        <v>44951</v>
      </c>
      <c r="M476">
        <v>5.88</v>
      </c>
      <c r="N476" s="1">
        <v>44951</v>
      </c>
      <c r="O476">
        <v>5.86</v>
      </c>
      <c r="P476" s="1">
        <v>44951</v>
      </c>
      <c r="Q476">
        <v>5.9</v>
      </c>
      <c r="R476" s="1">
        <v>44951</v>
      </c>
      <c r="S476">
        <v>5.9</v>
      </c>
      <c r="T476" s="1">
        <v>44951</v>
      </c>
      <c r="U476">
        <v>5.97</v>
      </c>
      <c r="V476" s="1">
        <v>44951</v>
      </c>
      <c r="W476">
        <v>6.05</v>
      </c>
      <c r="X476" s="1">
        <v>44951</v>
      </c>
      <c r="Y476">
        <f>NETWORKDAYS(X476,$Z$1,FERIADO!$A$2:$A$408)</f>
        <v>2002</v>
      </c>
      <c r="Z476">
        <v>13.07</v>
      </c>
      <c r="AA476" s="6">
        <f t="shared" si="65"/>
        <v>37686.395945923548</v>
      </c>
      <c r="AB476" s="2">
        <f t="shared" si="66"/>
        <v>-1.0096934060767966E-3</v>
      </c>
      <c r="AJ476" s="1">
        <v>44951</v>
      </c>
      <c r="AK476">
        <f>NETWORKDAYS(AJ476,$AJ$1,FERIADO!$A$2:$A$408)</f>
        <v>989</v>
      </c>
      <c r="AL476">
        <v>12.73</v>
      </c>
      <c r="AM476" s="6">
        <f t="shared" si="67"/>
        <v>62483.53412010899</v>
      </c>
      <c r="AN476" s="2">
        <f t="shared" si="68"/>
        <v>2.0650598016457163E-4</v>
      </c>
      <c r="AP476" s="11">
        <f t="shared" si="69"/>
        <v>-5.0484670303839831E-4</v>
      </c>
      <c r="AQ476" s="11">
        <f t="shared" si="70"/>
        <v>6.1951794049371493E-5</v>
      </c>
      <c r="AR476" s="11">
        <f t="shared" si="71"/>
        <v>-4.4289490898902684E-4</v>
      </c>
    </row>
    <row r="477" spans="2:44" x14ac:dyDescent="0.35">
      <c r="B477" s="1">
        <v>44950</v>
      </c>
      <c r="C477">
        <v>4343.3500000000004</v>
      </c>
      <c r="D477" s="1">
        <v>44950</v>
      </c>
      <c r="E477">
        <v>5.1689999999999996</v>
      </c>
      <c r="F477" s="1">
        <v>44946</v>
      </c>
      <c r="G477">
        <v>115.06</v>
      </c>
      <c r="H477" s="4">
        <f t="shared" si="63"/>
        <v>594745.14</v>
      </c>
      <c r="I477" s="5">
        <v>44950</v>
      </c>
      <c r="J477" s="4">
        <v>5633.71</v>
      </c>
      <c r="K477" s="4">
        <f t="shared" si="64"/>
        <v>56337.1</v>
      </c>
      <c r="L477" s="1">
        <v>44950</v>
      </c>
      <c r="M477">
        <v>5.88</v>
      </c>
      <c r="N477" s="1">
        <v>44950</v>
      </c>
      <c r="O477">
        <v>5.84</v>
      </c>
      <c r="P477" s="1">
        <v>44950</v>
      </c>
      <c r="Q477">
        <v>5.94</v>
      </c>
      <c r="R477" s="1">
        <v>44950</v>
      </c>
      <c r="S477">
        <v>5.95</v>
      </c>
      <c r="T477" s="1">
        <v>44950</v>
      </c>
      <c r="U477">
        <v>6</v>
      </c>
      <c r="V477" s="1">
        <v>44950</v>
      </c>
      <c r="W477">
        <v>6.1</v>
      </c>
      <c r="X477" s="1">
        <v>44950</v>
      </c>
      <c r="Y477">
        <f>NETWORKDAYS(X477,$Z$1,FERIADO!$A$2:$A$408)</f>
        <v>2003</v>
      </c>
      <c r="Z477">
        <v>13.03</v>
      </c>
      <c r="AA477" s="6">
        <f t="shared" si="65"/>
        <v>37774.115165651318</v>
      </c>
      <c r="AB477" s="2">
        <f t="shared" si="66"/>
        <v>6.6217636680996322E-3</v>
      </c>
      <c r="AJ477" s="1">
        <v>44950</v>
      </c>
      <c r="AK477">
        <f>NETWORKDAYS(AJ477,$AJ$1,FERIADO!$A$2:$A$408)</f>
        <v>990</v>
      </c>
      <c r="AL477">
        <v>12.73</v>
      </c>
      <c r="AM477" s="6">
        <f t="shared" si="67"/>
        <v>62453.830412704236</v>
      </c>
      <c r="AN477" s="2">
        <f t="shared" si="68"/>
        <v>2.9313643060800364E-3</v>
      </c>
      <c r="AP477" s="11">
        <f t="shared" si="69"/>
        <v>3.3108818340498161E-3</v>
      </c>
      <c r="AQ477" s="11">
        <f t="shared" si="70"/>
        <v>8.7940929182401086E-4</v>
      </c>
      <c r="AR477" s="11">
        <f t="shared" si="71"/>
        <v>4.1902911258738266E-3</v>
      </c>
    </row>
    <row r="478" spans="2:44" x14ac:dyDescent="0.35">
      <c r="B478" s="1">
        <v>44949</v>
      </c>
      <c r="C478">
        <v>4335.09</v>
      </c>
      <c r="D478" s="1">
        <v>44949</v>
      </c>
      <c r="E478">
        <v>5.1916000000000002</v>
      </c>
      <c r="F478" s="1">
        <v>44945</v>
      </c>
      <c r="G478">
        <v>115.65</v>
      </c>
      <c r="H478" s="4">
        <f t="shared" si="63"/>
        <v>600408.54</v>
      </c>
      <c r="I478" s="5">
        <v>44949</v>
      </c>
      <c r="J478" s="4">
        <v>5712.52</v>
      </c>
      <c r="K478" s="4">
        <f t="shared" si="64"/>
        <v>57125.200000000004</v>
      </c>
      <c r="L478" s="1">
        <v>44949</v>
      </c>
      <c r="M478">
        <v>5.93</v>
      </c>
      <c r="N478" s="1">
        <v>44949</v>
      </c>
      <c r="O478">
        <v>5.94</v>
      </c>
      <c r="P478" s="1">
        <v>44949</v>
      </c>
      <c r="Q478">
        <v>6</v>
      </c>
      <c r="R478" s="1">
        <v>44949</v>
      </c>
      <c r="S478">
        <v>6</v>
      </c>
      <c r="T478" s="1">
        <v>44949</v>
      </c>
      <c r="U478">
        <v>6.05</v>
      </c>
      <c r="V478" s="1">
        <v>44949</v>
      </c>
      <c r="W478">
        <v>6.13</v>
      </c>
      <c r="X478" s="1">
        <v>44949</v>
      </c>
      <c r="Y478">
        <f>NETWORKDAYS(X478,$Z$1,FERIADO!$A$2:$A$408)</f>
        <v>2004</v>
      </c>
      <c r="Z478">
        <v>13.24</v>
      </c>
      <c r="AA478" s="6">
        <f t="shared" si="65"/>
        <v>37202.535210057096</v>
      </c>
      <c r="AB478" s="2">
        <f t="shared" si="66"/>
        <v>-4.3658399597919723E-3</v>
      </c>
      <c r="AJ478" s="1">
        <v>44949</v>
      </c>
      <c r="AK478">
        <f>NETWORKDAYS(AJ478,$AJ$1,FERIADO!$A$2:$A$408)</f>
        <v>991</v>
      </c>
      <c r="AL478">
        <v>12.91</v>
      </c>
      <c r="AM478" s="6">
        <f t="shared" si="67"/>
        <v>62033.704270762966</v>
      </c>
      <c r="AN478" s="2">
        <f t="shared" si="68"/>
        <v>-6.9946361158239312E-4</v>
      </c>
      <c r="AP478" s="11">
        <f t="shared" si="69"/>
        <v>-2.1829199798959861E-3</v>
      </c>
      <c r="AQ478" s="11">
        <f t="shared" si="70"/>
        <v>-2.0983908347471794E-4</v>
      </c>
      <c r="AR478" s="11">
        <f t="shared" si="71"/>
        <v>-2.392759063370704E-3</v>
      </c>
    </row>
    <row r="479" spans="2:44" x14ac:dyDescent="0.35">
      <c r="B479" s="1">
        <v>44946</v>
      </c>
      <c r="C479">
        <v>4284.71</v>
      </c>
      <c r="D479" s="1">
        <v>44946</v>
      </c>
      <c r="E479">
        <v>5.1980000000000004</v>
      </c>
      <c r="F479" s="1">
        <v>44944</v>
      </c>
      <c r="G479">
        <v>115.896</v>
      </c>
      <c r="H479" s="4">
        <f t="shared" si="63"/>
        <v>602427.40800000005</v>
      </c>
      <c r="I479" s="5">
        <v>44946</v>
      </c>
      <c r="J479" s="4">
        <v>5714.16</v>
      </c>
      <c r="K479" s="4">
        <f t="shared" si="64"/>
        <v>57141.599999999999</v>
      </c>
      <c r="L479" s="1">
        <v>44946</v>
      </c>
      <c r="M479">
        <v>5.9</v>
      </c>
      <c r="N479" s="1">
        <v>44946</v>
      </c>
      <c r="O479">
        <v>5.83</v>
      </c>
      <c r="P479" s="1">
        <v>44946</v>
      </c>
      <c r="Q479">
        <v>5.95</v>
      </c>
      <c r="R479" s="1">
        <v>44946</v>
      </c>
      <c r="S479">
        <v>5.99</v>
      </c>
      <c r="T479" s="1">
        <v>44946</v>
      </c>
      <c r="U479">
        <v>5.98</v>
      </c>
      <c r="V479" s="1">
        <v>44946</v>
      </c>
      <c r="W479">
        <v>5.96</v>
      </c>
      <c r="X479" s="1">
        <v>44946</v>
      </c>
      <c r="Y479">
        <f>NETWORKDAYS(X479,$Z$1,FERIADO!$A$2:$A$408)</f>
        <v>2005</v>
      </c>
      <c r="Z479">
        <v>13.09</v>
      </c>
      <c r="AA479" s="6">
        <f t="shared" si="65"/>
        <v>37578.407911532093</v>
      </c>
      <c r="AB479" s="2">
        <f t="shared" si="66"/>
        <v>-1.0503968284889146E-2</v>
      </c>
      <c r="AJ479" s="1">
        <v>44946</v>
      </c>
      <c r="AK479">
        <f>NETWORKDAYS(AJ479,$AJ$1,FERIADO!$A$2:$A$408)</f>
        <v>992</v>
      </c>
      <c r="AL479">
        <v>12.85</v>
      </c>
      <c r="AM479" s="6">
        <f t="shared" si="67"/>
        <v>62133.694671458907</v>
      </c>
      <c r="AN479" s="2">
        <f t="shared" si="68"/>
        <v>-4.727271615982861E-3</v>
      </c>
      <c r="AP479" s="11">
        <f t="shared" si="69"/>
        <v>-5.251984142444573E-3</v>
      </c>
      <c r="AQ479" s="11">
        <f t="shared" si="70"/>
        <v>-1.4181814847948582E-3</v>
      </c>
      <c r="AR479" s="11">
        <f t="shared" si="71"/>
        <v>-6.670165627239431E-3</v>
      </c>
    </row>
    <row r="480" spans="2:44" x14ac:dyDescent="0.35">
      <c r="B480" s="1">
        <v>44945</v>
      </c>
      <c r="C480">
        <v>4217.0600000000004</v>
      </c>
      <c r="D480" s="1">
        <v>44945</v>
      </c>
      <c r="E480">
        <v>5.2138</v>
      </c>
      <c r="F480" s="1">
        <v>44943</v>
      </c>
      <c r="G480">
        <v>114.709</v>
      </c>
      <c r="H480" s="4">
        <f t="shared" si="63"/>
        <v>598069.78420000011</v>
      </c>
      <c r="I480" s="5">
        <v>44945</v>
      </c>
      <c r="J480" s="4">
        <v>5672.02</v>
      </c>
      <c r="K480" s="4">
        <f t="shared" si="64"/>
        <v>56720.200000000004</v>
      </c>
      <c r="L480" s="1">
        <v>44945</v>
      </c>
      <c r="M480">
        <v>5.84</v>
      </c>
      <c r="N480" s="1">
        <v>44945</v>
      </c>
      <c r="O480">
        <v>5.74</v>
      </c>
      <c r="P480" s="1">
        <v>44945</v>
      </c>
      <c r="Q480">
        <v>5.83</v>
      </c>
      <c r="R480" s="1">
        <v>44945</v>
      </c>
      <c r="S480">
        <v>5.82</v>
      </c>
      <c r="T480" s="1">
        <v>44945</v>
      </c>
      <c r="U480">
        <v>5.87</v>
      </c>
      <c r="V480" s="1">
        <v>44945</v>
      </c>
      <c r="W480">
        <v>5.94</v>
      </c>
      <c r="X480" s="1">
        <v>44945</v>
      </c>
      <c r="Y480">
        <f>NETWORKDAYS(X480,$Z$1,FERIADO!$A$2:$A$408)</f>
        <v>2006</v>
      </c>
      <c r="Z480">
        <v>12.74</v>
      </c>
      <c r="AA480" s="6">
        <f t="shared" si="65"/>
        <v>38498.370224432889</v>
      </c>
      <c r="AB480" s="2">
        <f t="shared" si="66"/>
        <v>-3.7840218129215866E-3</v>
      </c>
      <c r="AJ480" s="1">
        <v>44945</v>
      </c>
      <c r="AK480">
        <f>NETWORKDAYS(AJ480,$AJ$1,FERIADO!$A$2:$A$408)</f>
        <v>993</v>
      </c>
      <c r="AL480">
        <v>12.525</v>
      </c>
      <c r="AM480" s="6">
        <f t="shared" si="67"/>
        <v>62813.71078506425</v>
      </c>
      <c r="AN480" s="2">
        <f t="shared" si="68"/>
        <v>-9.387914532611978E-4</v>
      </c>
      <c r="AP480" s="11">
        <f t="shared" si="69"/>
        <v>-1.8920109064607933E-3</v>
      </c>
      <c r="AQ480" s="11">
        <f t="shared" si="70"/>
        <v>-2.8163743597835932E-4</v>
      </c>
      <c r="AR480" s="11">
        <f t="shared" si="71"/>
        <v>-2.1736483424391528E-3</v>
      </c>
    </row>
    <row r="481" spans="2:44" x14ac:dyDescent="0.35">
      <c r="B481" s="1">
        <v>44944</v>
      </c>
      <c r="C481">
        <v>4242.2</v>
      </c>
      <c r="D481" s="1">
        <v>44944</v>
      </c>
      <c r="E481">
        <v>5.0903</v>
      </c>
      <c r="F481" s="1">
        <v>44942</v>
      </c>
      <c r="G481">
        <v>114.70099999999999</v>
      </c>
      <c r="H481" s="4">
        <f t="shared" si="63"/>
        <v>583862.50029999996</v>
      </c>
      <c r="I481" s="5">
        <v>44944</v>
      </c>
      <c r="J481" s="4">
        <v>5691.73</v>
      </c>
      <c r="K481" s="4">
        <f t="shared" si="64"/>
        <v>56917.299999999996</v>
      </c>
      <c r="L481" s="1">
        <v>44944</v>
      </c>
      <c r="M481">
        <v>5.92</v>
      </c>
      <c r="N481" s="1">
        <v>44944</v>
      </c>
      <c r="O481">
        <v>5.79</v>
      </c>
      <c r="P481" s="1">
        <v>44944</v>
      </c>
      <c r="Q481">
        <v>5.86</v>
      </c>
      <c r="R481" s="1">
        <v>44944</v>
      </c>
      <c r="S481">
        <v>5.84</v>
      </c>
      <c r="T481" s="1">
        <v>44944</v>
      </c>
      <c r="U481">
        <v>5.88</v>
      </c>
      <c r="V481" s="1">
        <v>44944</v>
      </c>
      <c r="W481">
        <v>5.94</v>
      </c>
      <c r="X481" s="1">
        <v>44944</v>
      </c>
      <c r="Y481">
        <f>NETWORKDAYS(X481,$Z$1,FERIADO!$A$2:$A$408)</f>
        <v>2007</v>
      </c>
      <c r="Z481">
        <v>12.61</v>
      </c>
      <c r="AA481" s="6">
        <f t="shared" si="65"/>
        <v>38835.273357078368</v>
      </c>
      <c r="AB481" s="2">
        <f t="shared" si="66"/>
        <v>-1.9471378249831363E-3</v>
      </c>
      <c r="AJ481" s="1">
        <v>44944</v>
      </c>
      <c r="AK481">
        <f>NETWORKDAYS(AJ481,$AJ$1,FERIADO!$A$2:$A$408)</f>
        <v>994</v>
      </c>
      <c r="AL481">
        <v>12.45</v>
      </c>
      <c r="AM481" s="6">
        <f t="shared" si="67"/>
        <v>62949.63872866334</v>
      </c>
      <c r="AN481" s="2">
        <f t="shared" si="68"/>
        <v>-1.0181510056608621E-3</v>
      </c>
      <c r="AP481" s="11">
        <f t="shared" si="69"/>
        <v>-9.7356891249156816E-4</v>
      </c>
      <c r="AQ481" s="11">
        <f t="shared" si="70"/>
        <v>-3.0544530169825861E-4</v>
      </c>
      <c r="AR481" s="11">
        <f t="shared" si="71"/>
        <v>-1.2790142141898267E-3</v>
      </c>
    </row>
    <row r="482" spans="2:44" x14ac:dyDescent="0.35">
      <c r="B482" s="1">
        <v>44943</v>
      </c>
      <c r="C482">
        <v>4314.53</v>
      </c>
      <c r="D482" s="1">
        <v>44943</v>
      </c>
      <c r="E482">
        <v>5.1196999999999999</v>
      </c>
      <c r="F482" s="1">
        <v>44939</v>
      </c>
      <c r="G482">
        <v>114.819</v>
      </c>
      <c r="H482" s="4">
        <f t="shared" si="63"/>
        <v>587838.83429999999</v>
      </c>
      <c r="I482" s="5">
        <v>44943</v>
      </c>
      <c r="J482" s="4">
        <v>5598.14</v>
      </c>
      <c r="K482" s="4">
        <f t="shared" si="64"/>
        <v>55981.4</v>
      </c>
      <c r="L482" s="1">
        <v>44943</v>
      </c>
      <c r="M482">
        <v>5.89</v>
      </c>
      <c r="N482" s="1">
        <v>44943</v>
      </c>
      <c r="O482">
        <v>5.77</v>
      </c>
      <c r="P482" s="1">
        <v>44943</v>
      </c>
      <c r="Q482">
        <v>5.84</v>
      </c>
      <c r="R482" s="1">
        <v>44943</v>
      </c>
      <c r="S482">
        <v>5.8</v>
      </c>
      <c r="T482" s="1">
        <v>44943</v>
      </c>
      <c r="U482">
        <v>5.85</v>
      </c>
      <c r="V482" s="1">
        <v>44943</v>
      </c>
      <c r="W482">
        <v>5.93</v>
      </c>
      <c r="X482" s="1">
        <v>44943</v>
      </c>
      <c r="Y482">
        <f>NETWORKDAYS(X482,$Z$1,FERIADO!$A$2:$A$408)</f>
        <v>2008</v>
      </c>
      <c r="Z482">
        <v>12.54</v>
      </c>
      <c r="AA482" s="6">
        <f t="shared" si="65"/>
        <v>39009.780288264723</v>
      </c>
      <c r="AB482" s="2">
        <f t="shared" si="66"/>
        <v>2.6639237878302853E-3</v>
      </c>
      <c r="AJ482" s="1">
        <v>44943</v>
      </c>
      <c r="AK482">
        <f>NETWORKDAYS(AJ482,$AJ$1,FERIADO!$A$2:$A$408)</f>
        <v>995</v>
      </c>
      <c r="AL482">
        <v>12.37</v>
      </c>
      <c r="AM482" s="6">
        <f t="shared" si="67"/>
        <v>63097.389684879519</v>
      </c>
      <c r="AN482" s="2">
        <f t="shared" si="68"/>
        <v>1.8804662121078826E-3</v>
      </c>
      <c r="AP482" s="11">
        <f t="shared" si="69"/>
        <v>1.3319618939151426E-3</v>
      </c>
      <c r="AQ482" s="11">
        <f t="shared" si="70"/>
        <v>5.641398636323648E-4</v>
      </c>
      <c r="AR482" s="11">
        <f t="shared" si="71"/>
        <v>1.8961017575475074E-3</v>
      </c>
    </row>
    <row r="483" spans="2:44" x14ac:dyDescent="0.35">
      <c r="B483" s="1">
        <v>44942</v>
      </c>
      <c r="C483">
        <v>4300.92</v>
      </c>
      <c r="D483" s="1">
        <v>44942</v>
      </c>
      <c r="E483">
        <v>5.1109</v>
      </c>
      <c r="F483" s="1">
        <v>44938</v>
      </c>
      <c r="G483">
        <v>115.35599999999999</v>
      </c>
      <c r="H483" s="4">
        <f t="shared" si="63"/>
        <v>589572.9804</v>
      </c>
      <c r="I483" s="5">
        <v>44942</v>
      </c>
      <c r="J483" s="4">
        <v>5654.51</v>
      </c>
      <c r="K483" s="4">
        <f t="shared" si="64"/>
        <v>56545.100000000006</v>
      </c>
      <c r="L483" s="1">
        <v>44942</v>
      </c>
      <c r="M483">
        <v>6.01</v>
      </c>
      <c r="N483" s="1">
        <v>44942</v>
      </c>
      <c r="O483">
        <v>5.84</v>
      </c>
      <c r="P483" s="1">
        <v>44942</v>
      </c>
      <c r="Q483">
        <v>5.88</v>
      </c>
      <c r="R483" s="1">
        <v>44942</v>
      </c>
      <c r="S483">
        <v>5.82</v>
      </c>
      <c r="T483" s="1">
        <v>44942</v>
      </c>
      <c r="U483">
        <v>5.87</v>
      </c>
      <c r="V483" s="1">
        <v>44942</v>
      </c>
      <c r="W483">
        <v>5.93</v>
      </c>
      <c r="X483" s="1">
        <v>44942</v>
      </c>
      <c r="Y483">
        <f>NETWORKDAYS(X483,$Z$1,FERIADO!$A$2:$A$408)</f>
        <v>2009</v>
      </c>
      <c r="Z483">
        <v>12.62</v>
      </c>
      <c r="AA483" s="6">
        <f t="shared" si="65"/>
        <v>38771.230130631673</v>
      </c>
      <c r="AB483" s="2">
        <f t="shared" si="66"/>
        <v>-7.8016164787634264E-3</v>
      </c>
      <c r="AJ483" s="1">
        <v>44942</v>
      </c>
      <c r="AK483">
        <f>NETWORKDAYS(AJ483,$AJ$1,FERIADO!$A$2:$A$408)</f>
        <v>996</v>
      </c>
      <c r="AL483">
        <v>12.48</v>
      </c>
      <c r="AM483" s="6">
        <f t="shared" si="67"/>
        <v>62824.772817920901</v>
      </c>
      <c r="AN483" s="2">
        <f t="shared" si="68"/>
        <v>-3.6970683078427404E-3</v>
      </c>
      <c r="AP483" s="11">
        <f t="shared" si="69"/>
        <v>-3.9008082393817132E-3</v>
      </c>
      <c r="AQ483" s="11">
        <f t="shared" si="70"/>
        <v>-1.109120492352822E-3</v>
      </c>
      <c r="AR483" s="11">
        <f t="shared" si="71"/>
        <v>-5.0099287317345352E-3</v>
      </c>
    </row>
    <row r="484" spans="2:44" x14ac:dyDescent="0.35">
      <c r="B484" s="1">
        <v>44939</v>
      </c>
      <c r="C484">
        <v>4320.8599999999997</v>
      </c>
      <c r="D484" s="1">
        <v>44939</v>
      </c>
      <c r="E484">
        <v>5.1139999999999999</v>
      </c>
      <c r="F484" s="1">
        <v>44937</v>
      </c>
      <c r="G484">
        <v>114.45399999999999</v>
      </c>
      <c r="H484" s="4">
        <f t="shared" si="63"/>
        <v>585317.75599999994</v>
      </c>
      <c r="I484" s="5">
        <v>44939</v>
      </c>
      <c r="J484" s="4">
        <v>5594.86</v>
      </c>
      <c r="K484" s="4">
        <f t="shared" si="64"/>
        <v>55948.6</v>
      </c>
      <c r="L484" s="1">
        <v>44939</v>
      </c>
      <c r="M484">
        <v>5.92</v>
      </c>
      <c r="N484" s="1">
        <v>44939</v>
      </c>
      <c r="O484">
        <v>5.8</v>
      </c>
      <c r="P484" s="1">
        <v>44939</v>
      </c>
      <c r="Q484">
        <v>5.8</v>
      </c>
      <c r="R484" s="1">
        <v>44939</v>
      </c>
      <c r="S484">
        <v>5.78</v>
      </c>
      <c r="T484" s="1">
        <v>44939</v>
      </c>
      <c r="U484">
        <v>5.81</v>
      </c>
      <c r="V484" s="1">
        <v>44939</v>
      </c>
      <c r="W484">
        <v>5.86</v>
      </c>
      <c r="X484" s="1">
        <v>44939</v>
      </c>
      <c r="Y484">
        <f>NETWORKDAYS(X484,$Z$1,FERIADO!$A$2:$A$408)</f>
        <v>2010</v>
      </c>
      <c r="Z484">
        <v>12.36</v>
      </c>
      <c r="AA484" s="6">
        <f t="shared" si="65"/>
        <v>39474.005470434764</v>
      </c>
      <c r="AB484" s="2">
        <f t="shared" si="66"/>
        <v>1.4344187510785262E-3</v>
      </c>
      <c r="AJ484" s="1">
        <v>44939</v>
      </c>
      <c r="AK484">
        <f>NETWORKDAYS(AJ484,$AJ$1,FERIADO!$A$2:$A$408)</f>
        <v>997</v>
      </c>
      <c r="AL484">
        <v>12.225</v>
      </c>
      <c r="AM484" s="6">
        <f t="shared" si="67"/>
        <v>63361.871313333671</v>
      </c>
      <c r="AN484" s="2">
        <f t="shared" si="68"/>
        <v>6.5848250168380664E-4</v>
      </c>
      <c r="AP484" s="11">
        <f t="shared" si="69"/>
        <v>7.1720937553926311E-4</v>
      </c>
      <c r="AQ484" s="11">
        <f t="shared" si="70"/>
        <v>1.9754475050514199E-4</v>
      </c>
      <c r="AR484" s="11">
        <f t="shared" si="71"/>
        <v>9.147541260444051E-4</v>
      </c>
    </row>
    <row r="485" spans="2:44" x14ac:dyDescent="0.35">
      <c r="B485" s="1">
        <v>44938</v>
      </c>
      <c r="C485">
        <v>4304.09</v>
      </c>
      <c r="D485" s="1">
        <v>44938</v>
      </c>
      <c r="E485">
        <v>5.1394000000000002</v>
      </c>
      <c r="F485" s="1">
        <v>44936</v>
      </c>
      <c r="G485">
        <v>114.093</v>
      </c>
      <c r="H485" s="4">
        <f t="shared" si="63"/>
        <v>586369.56420000002</v>
      </c>
      <c r="I485" s="5">
        <v>44938</v>
      </c>
      <c r="J485" s="4">
        <v>5611.82</v>
      </c>
      <c r="K485" s="4">
        <f t="shared" si="64"/>
        <v>56118.2</v>
      </c>
      <c r="L485" s="1">
        <v>44938</v>
      </c>
      <c r="M485">
        <v>5.92</v>
      </c>
      <c r="N485" s="1">
        <v>44938</v>
      </c>
      <c r="O485">
        <v>5.79</v>
      </c>
      <c r="P485" s="1">
        <v>44938</v>
      </c>
      <c r="Q485">
        <v>5.85</v>
      </c>
      <c r="R485" s="1">
        <v>44938</v>
      </c>
      <c r="S485">
        <v>5.79</v>
      </c>
      <c r="T485" s="1">
        <v>44938</v>
      </c>
      <c r="U485">
        <v>5.8</v>
      </c>
      <c r="V485" s="1">
        <v>44938</v>
      </c>
      <c r="W485">
        <v>5.83</v>
      </c>
      <c r="X485" s="1">
        <v>44938</v>
      </c>
      <c r="Y485">
        <f>NETWORKDAYS(X485,$Z$1,FERIADO!$A$2:$A$408)</f>
        <v>2011</v>
      </c>
      <c r="Z485">
        <v>12.4</v>
      </c>
      <c r="AA485" s="6">
        <f t="shared" si="65"/>
        <v>39343.842986591422</v>
      </c>
      <c r="AB485" s="2">
        <f t="shared" si="66"/>
        <v>-1.0705319429134533E-4</v>
      </c>
      <c r="AJ485" s="1">
        <v>44938</v>
      </c>
      <c r="AK485">
        <f>NETWORKDAYS(AJ485,$AJ$1,FERIADO!$A$2:$A$408)</f>
        <v>998</v>
      </c>
      <c r="AL485">
        <v>12.255000000000001</v>
      </c>
      <c r="AM485" s="6">
        <f t="shared" si="67"/>
        <v>63265.874078658991</v>
      </c>
      <c r="AN485" s="2">
        <f t="shared" si="68"/>
        <v>3.5259322565848344E-4</v>
      </c>
      <c r="AP485" s="11">
        <f t="shared" si="69"/>
        <v>-5.3526597145672667E-5</v>
      </c>
      <c r="AQ485" s="11">
        <f t="shared" si="70"/>
        <v>1.0577796769754503E-4</v>
      </c>
      <c r="AR485" s="11">
        <f t="shared" si="71"/>
        <v>5.2251370551872367E-5</v>
      </c>
    </row>
    <row r="486" spans="2:44" x14ac:dyDescent="0.35">
      <c r="B486" s="1">
        <v>44937</v>
      </c>
      <c r="C486">
        <v>4287.8999999999996</v>
      </c>
      <c r="D486" s="1">
        <v>44937</v>
      </c>
      <c r="E486">
        <v>5.2013999999999996</v>
      </c>
      <c r="F486" s="1">
        <v>44935</v>
      </c>
      <c r="G486">
        <v>114.574</v>
      </c>
      <c r="H486" s="4">
        <f t="shared" si="63"/>
        <v>595945.20359999989</v>
      </c>
      <c r="I486" s="5">
        <v>44937</v>
      </c>
      <c r="J486" s="4">
        <v>5672.57</v>
      </c>
      <c r="K486" s="4">
        <f t="shared" si="64"/>
        <v>56725.7</v>
      </c>
      <c r="L486" s="1">
        <v>44937</v>
      </c>
      <c r="M486">
        <v>5.97</v>
      </c>
      <c r="N486" s="1">
        <v>44937</v>
      </c>
      <c r="O486">
        <v>5.87</v>
      </c>
      <c r="P486" s="1">
        <v>44937</v>
      </c>
      <c r="Q486">
        <v>5.91</v>
      </c>
      <c r="R486" s="1">
        <v>44937</v>
      </c>
      <c r="S486">
        <v>6.05</v>
      </c>
      <c r="T486" s="1">
        <v>44937</v>
      </c>
      <c r="U486">
        <v>5.89</v>
      </c>
      <c r="V486" s="1">
        <v>44937</v>
      </c>
      <c r="W486">
        <v>5.9</v>
      </c>
      <c r="X486" s="1">
        <v>44937</v>
      </c>
      <c r="Y486">
        <f>NETWORKDAYS(X486,$Z$1,FERIADO!$A$2:$A$408)</f>
        <v>2012</v>
      </c>
      <c r="Z486">
        <v>12.39</v>
      </c>
      <c r="AA486" s="6">
        <f t="shared" si="65"/>
        <v>39353.542403458065</v>
      </c>
      <c r="AB486" s="2">
        <f t="shared" si="66"/>
        <v>8.8334205381692902E-3</v>
      </c>
      <c r="AJ486" s="1">
        <v>44937</v>
      </c>
      <c r="AK486">
        <f>NETWORKDAYS(AJ486,$AJ$1,FERIADO!$A$2:$A$408)</f>
        <v>999</v>
      </c>
      <c r="AL486">
        <v>12.265000000000001</v>
      </c>
      <c r="AM486" s="6">
        <f t="shared" si="67"/>
        <v>63214.530884838481</v>
      </c>
      <c r="AN486" s="2">
        <f t="shared" si="68"/>
        <v>4.1094729301732963E-3</v>
      </c>
      <c r="AP486" s="11">
        <f t="shared" si="69"/>
        <v>4.4167102690846451E-3</v>
      </c>
      <c r="AQ486" s="11">
        <f t="shared" si="70"/>
        <v>1.2328418790519889E-3</v>
      </c>
      <c r="AR486" s="11">
        <f t="shared" si="71"/>
        <v>5.6495521481366336E-3</v>
      </c>
    </row>
    <row r="487" spans="2:44" x14ac:dyDescent="0.35">
      <c r="B487" s="1">
        <v>44936</v>
      </c>
      <c r="C487">
        <v>4237.55</v>
      </c>
      <c r="D487" s="1">
        <v>44936</v>
      </c>
      <c r="E487">
        <v>5.2389000000000001</v>
      </c>
      <c r="F487" s="1">
        <v>44932</v>
      </c>
      <c r="G487">
        <v>114.32</v>
      </c>
      <c r="H487" s="4">
        <f t="shared" si="63"/>
        <v>598911.04799999995</v>
      </c>
      <c r="I487" s="5">
        <v>44936</v>
      </c>
      <c r="J487" s="4">
        <v>5719.09</v>
      </c>
      <c r="K487" s="4">
        <f t="shared" si="64"/>
        <v>57190.9</v>
      </c>
      <c r="L487" s="1">
        <v>44936</v>
      </c>
      <c r="M487">
        <v>6.09</v>
      </c>
      <c r="N487" s="1">
        <v>44936</v>
      </c>
      <c r="O487">
        <v>5.98</v>
      </c>
      <c r="P487" s="1">
        <v>44936</v>
      </c>
      <c r="Q487">
        <v>6.02</v>
      </c>
      <c r="R487" s="1">
        <v>44936</v>
      </c>
      <c r="S487">
        <v>5.96</v>
      </c>
      <c r="T487" s="1">
        <v>44936</v>
      </c>
      <c r="U487">
        <v>5.99</v>
      </c>
      <c r="V487" s="1">
        <v>44936</v>
      </c>
      <c r="W487">
        <v>6.01</v>
      </c>
      <c r="X487" s="1">
        <v>44936</v>
      </c>
      <c r="Y487">
        <f>NETWORKDAYS(X487,$Z$1,FERIADO!$A$2:$A$408)</f>
        <v>2013</v>
      </c>
      <c r="Z487">
        <v>12.67</v>
      </c>
      <c r="AA487" s="6">
        <f t="shared" si="65"/>
        <v>38561.188498342155</v>
      </c>
      <c r="AB487" s="2">
        <f t="shared" si="66"/>
        <v>4.2080564658898379E-3</v>
      </c>
      <c r="AJ487" s="1">
        <v>44936</v>
      </c>
      <c r="AK487">
        <f>NETWORKDAYS(AJ487,$AJ$1,FERIADO!$A$2:$A$408)</f>
        <v>1000</v>
      </c>
      <c r="AL487">
        <v>12.52</v>
      </c>
      <c r="AM487" s="6">
        <f t="shared" si="67"/>
        <v>62619.190127128189</v>
      </c>
      <c r="AN487" s="2">
        <f t="shared" si="68"/>
        <v>3.1138442050269643E-3</v>
      </c>
      <c r="AP487" s="11">
        <f t="shared" si="69"/>
        <v>2.104028232944919E-3</v>
      </c>
      <c r="AQ487" s="11">
        <f t="shared" si="70"/>
        <v>9.3415326150808923E-4</v>
      </c>
      <c r="AR487" s="11">
        <f t="shared" si="71"/>
        <v>3.0381814944530081E-3</v>
      </c>
    </row>
    <row r="488" spans="2:44" x14ac:dyDescent="0.35">
      <c r="B488" s="1">
        <v>44935</v>
      </c>
      <c r="C488">
        <v>4207.72</v>
      </c>
      <c r="D488" s="1">
        <v>44935</v>
      </c>
      <c r="E488">
        <v>5.2961</v>
      </c>
      <c r="F488" s="1">
        <v>44931</v>
      </c>
      <c r="G488">
        <v>113.08</v>
      </c>
      <c r="H488" s="4">
        <f t="shared" si="63"/>
        <v>598882.98800000001</v>
      </c>
      <c r="I488" s="5">
        <v>44935</v>
      </c>
      <c r="J488" s="4">
        <v>5780.38</v>
      </c>
      <c r="K488" s="4">
        <f t="shared" si="64"/>
        <v>57803.8</v>
      </c>
      <c r="L488" s="1">
        <v>44935</v>
      </c>
      <c r="M488">
        <v>6.19</v>
      </c>
      <c r="N488" s="1">
        <v>44935</v>
      </c>
      <c r="O488">
        <v>6.08</v>
      </c>
      <c r="P488" s="1">
        <v>44935</v>
      </c>
      <c r="Q488">
        <v>6.1</v>
      </c>
      <c r="R488" s="1">
        <v>44935</v>
      </c>
      <c r="S488">
        <v>6.05</v>
      </c>
      <c r="T488" s="1">
        <v>44935</v>
      </c>
      <c r="U488">
        <v>6.06</v>
      </c>
      <c r="V488" s="1">
        <v>44935</v>
      </c>
      <c r="W488">
        <v>6.06</v>
      </c>
      <c r="X488" s="1">
        <v>44935</v>
      </c>
      <c r="Y488">
        <f>NETWORKDAYS(X488,$Z$1,FERIADO!$A$2:$A$408)</f>
        <v>2014</v>
      </c>
      <c r="Z488">
        <v>12.8</v>
      </c>
      <c r="AA488" s="6">
        <f t="shared" si="65"/>
        <v>38189.35772573408</v>
      </c>
      <c r="AB488" s="2">
        <f t="shared" si="66"/>
        <v>1.1310254624781984E-3</v>
      </c>
      <c r="AJ488" s="1">
        <v>44935</v>
      </c>
      <c r="AK488">
        <f>NETWORKDAYS(AJ488,$AJ$1,FERIADO!$A$2:$A$408)</f>
        <v>1001</v>
      </c>
      <c r="AL488">
        <v>12.71</v>
      </c>
      <c r="AM488" s="6">
        <f t="shared" si="67"/>
        <v>62171.823047004385</v>
      </c>
      <c r="AN488" s="2">
        <f t="shared" si="68"/>
        <v>1.4314508620322157E-3</v>
      </c>
      <c r="AP488" s="11">
        <f t="shared" si="69"/>
        <v>5.6551273123909922E-4</v>
      </c>
      <c r="AQ488" s="11">
        <f t="shared" si="70"/>
        <v>4.294352586096647E-4</v>
      </c>
      <c r="AR488" s="11">
        <f t="shared" si="71"/>
        <v>9.9494798984876387E-4</v>
      </c>
    </row>
    <row r="489" spans="2:44" x14ac:dyDescent="0.35">
      <c r="B489" s="1">
        <v>44932</v>
      </c>
      <c r="C489">
        <v>4208.46</v>
      </c>
      <c r="D489" s="1">
        <v>44932</v>
      </c>
      <c r="E489">
        <v>5.2849000000000004</v>
      </c>
      <c r="F489" s="1">
        <v>44930</v>
      </c>
      <c r="G489">
        <v>113.28100000000001</v>
      </c>
      <c r="H489" s="4">
        <f t="shared" si="63"/>
        <v>598678.75690000004</v>
      </c>
      <c r="I489" s="5">
        <v>44932</v>
      </c>
      <c r="J489" s="4">
        <v>5756.85</v>
      </c>
      <c r="K489" s="4">
        <f t="shared" si="64"/>
        <v>57568.5</v>
      </c>
      <c r="L489" s="1">
        <v>44932</v>
      </c>
      <c r="M489">
        <v>6.2</v>
      </c>
      <c r="N489" s="1">
        <v>44932</v>
      </c>
      <c r="O489">
        <v>6.08</v>
      </c>
      <c r="P489" s="1">
        <v>44932</v>
      </c>
      <c r="Q489">
        <v>6.11</v>
      </c>
      <c r="R489" s="1">
        <v>44932</v>
      </c>
      <c r="S489">
        <v>6.05</v>
      </c>
      <c r="T489" s="1">
        <v>44932</v>
      </c>
      <c r="U489">
        <v>6.05</v>
      </c>
      <c r="V489" s="1">
        <v>44932</v>
      </c>
      <c r="W489">
        <v>6.08</v>
      </c>
      <c r="X489" s="1">
        <v>44932</v>
      </c>
      <c r="Y489">
        <f>NETWORKDAYS(X489,$Z$1,FERIADO!$A$2:$A$408)</f>
        <v>2015</v>
      </c>
      <c r="Z489">
        <v>12.83</v>
      </c>
      <c r="AA489" s="6">
        <f t="shared" si="65"/>
        <v>38090.03124793469</v>
      </c>
      <c r="AB489" s="2">
        <f t="shared" si="66"/>
        <v>8.2049614981911968E-3</v>
      </c>
      <c r="AJ489" s="1">
        <v>44932</v>
      </c>
      <c r="AK489">
        <f>NETWORKDAYS(AJ489,$AJ$1,FERIADO!$A$2:$A$408)</f>
        <v>1002</v>
      </c>
      <c r="AL489">
        <v>12.79</v>
      </c>
      <c r="AM489" s="6">
        <f t="shared" si="67"/>
        <v>61967.23973434417</v>
      </c>
      <c r="AN489" s="2">
        <f t="shared" si="68"/>
        <v>4.5696760204280438E-3</v>
      </c>
      <c r="AP489" s="11">
        <f t="shared" si="69"/>
        <v>4.1024807490955984E-3</v>
      </c>
      <c r="AQ489" s="11">
        <f t="shared" si="70"/>
        <v>1.3709028061284132E-3</v>
      </c>
      <c r="AR489" s="11">
        <f t="shared" si="71"/>
        <v>5.4733835552240118E-3</v>
      </c>
    </row>
    <row r="490" spans="2:44" x14ac:dyDescent="0.35">
      <c r="B490" s="1">
        <v>44931</v>
      </c>
      <c r="C490">
        <v>4115.99</v>
      </c>
      <c r="D490" s="1">
        <v>44931</v>
      </c>
      <c r="E490">
        <v>5.4020000000000001</v>
      </c>
      <c r="F490" s="1">
        <v>44929</v>
      </c>
      <c r="G490">
        <v>112.628</v>
      </c>
      <c r="H490" s="4">
        <f t="shared" si="63"/>
        <v>608416.45600000001</v>
      </c>
      <c r="I490" s="5">
        <v>44931</v>
      </c>
      <c r="J490" s="4">
        <v>5889.84</v>
      </c>
      <c r="K490" s="4">
        <f t="shared" si="64"/>
        <v>58898.400000000001</v>
      </c>
      <c r="L490" s="1">
        <v>44931</v>
      </c>
      <c r="M490">
        <v>6.31</v>
      </c>
      <c r="N490" s="1">
        <v>44931</v>
      </c>
      <c r="O490">
        <v>6.18</v>
      </c>
      <c r="P490" s="1">
        <v>44931</v>
      </c>
      <c r="Q490">
        <v>6.2</v>
      </c>
      <c r="R490" s="1">
        <v>44931</v>
      </c>
      <c r="S490">
        <v>6.12</v>
      </c>
      <c r="T490" s="1">
        <v>44931</v>
      </c>
      <c r="U490">
        <v>6.1</v>
      </c>
      <c r="V490" s="1">
        <v>44931</v>
      </c>
      <c r="W490">
        <v>6.12</v>
      </c>
      <c r="X490" s="1">
        <v>44931</v>
      </c>
      <c r="Y490">
        <f>NETWORKDAYS(X490,$Z$1,FERIADO!$A$2:$A$408)</f>
        <v>2016</v>
      </c>
      <c r="Z490">
        <v>13.09</v>
      </c>
      <c r="AA490" s="6">
        <f t="shared" si="65"/>
        <v>37377.165836215136</v>
      </c>
      <c r="AB490" s="2">
        <f t="shared" si="66"/>
        <v>4.8195381512487834E-3</v>
      </c>
      <c r="AJ490" s="1">
        <v>44931</v>
      </c>
      <c r="AK490">
        <f>NETWORKDAYS(AJ490,$AJ$1,FERIADO!$A$2:$A$408)</f>
        <v>1003</v>
      </c>
      <c r="AL490">
        <v>13.074999999999999</v>
      </c>
      <c r="AM490" s="6">
        <f t="shared" si="67"/>
        <v>61318.634549264993</v>
      </c>
      <c r="AN490" s="2">
        <f t="shared" si="68"/>
        <v>2.581972764079038E-3</v>
      </c>
      <c r="AP490" s="11">
        <f t="shared" si="69"/>
        <v>2.4097690756243917E-3</v>
      </c>
      <c r="AQ490" s="11">
        <f t="shared" si="70"/>
        <v>7.7459182922371133E-4</v>
      </c>
      <c r="AR490" s="11">
        <f t="shared" si="71"/>
        <v>3.1843609048481029E-3</v>
      </c>
    </row>
    <row r="491" spans="2:44" x14ac:dyDescent="0.35">
      <c r="B491" s="1">
        <v>44930</v>
      </c>
      <c r="C491">
        <v>4165.72</v>
      </c>
      <c r="D491" s="1">
        <v>44930</v>
      </c>
      <c r="E491">
        <v>5.4452999999999996</v>
      </c>
      <c r="F491" s="1">
        <v>44928</v>
      </c>
      <c r="G491">
        <v>112.29600000000001</v>
      </c>
      <c r="H491" s="4">
        <f t="shared" si="63"/>
        <v>611485.40879999998</v>
      </c>
      <c r="I491" s="5">
        <v>44930</v>
      </c>
      <c r="J491" s="4">
        <v>5978.5</v>
      </c>
      <c r="K491" s="4">
        <f t="shared" si="64"/>
        <v>59785</v>
      </c>
      <c r="L491" s="1">
        <v>44930</v>
      </c>
      <c r="M491">
        <v>6.39</v>
      </c>
      <c r="N491" s="1">
        <v>44930</v>
      </c>
      <c r="O491">
        <v>6.27</v>
      </c>
      <c r="P491" s="1">
        <v>44930</v>
      </c>
      <c r="Q491">
        <v>6.27</v>
      </c>
      <c r="R491" s="1">
        <v>44930</v>
      </c>
      <c r="S491">
        <v>6.17</v>
      </c>
      <c r="T491" s="1">
        <v>44930</v>
      </c>
      <c r="U491">
        <v>6.16</v>
      </c>
      <c r="V491" s="1">
        <v>44930</v>
      </c>
      <c r="W491">
        <v>6.17</v>
      </c>
      <c r="X491" s="1">
        <v>44930</v>
      </c>
      <c r="Y491">
        <f>NETWORKDAYS(X491,$Z$1,FERIADO!$A$2:$A$408)</f>
        <v>2017</v>
      </c>
      <c r="Z491">
        <v>13.24</v>
      </c>
      <c r="AA491" s="6">
        <f t="shared" si="65"/>
        <v>36964.669649547737</v>
      </c>
      <c r="AB491" s="2">
        <f t="shared" si="66"/>
        <v>-4.0000480511329252E-4</v>
      </c>
      <c r="AJ491" s="1">
        <v>44930</v>
      </c>
      <c r="AK491">
        <f>NETWORKDAYS(AJ491,$AJ$1,FERIADO!$A$2:$A$408)</f>
        <v>1004</v>
      </c>
      <c r="AL491">
        <v>13.23</v>
      </c>
      <c r="AM491" s="6">
        <f t="shared" si="67"/>
        <v>60955.163793435619</v>
      </c>
      <c r="AN491" s="2">
        <f t="shared" si="68"/>
        <v>9.7878255422331902E-4</v>
      </c>
      <c r="AP491" s="11">
        <f t="shared" si="69"/>
        <v>-2.0000240255664626E-4</v>
      </c>
      <c r="AQ491" s="11">
        <f t="shared" si="70"/>
        <v>2.9363476626699568E-4</v>
      </c>
      <c r="AR491" s="11">
        <f t="shared" si="71"/>
        <v>9.3632363710349423E-5</v>
      </c>
    </row>
    <row r="492" spans="2:44" x14ac:dyDescent="0.35">
      <c r="B492" s="1">
        <v>44929</v>
      </c>
      <c r="C492">
        <v>4132.5</v>
      </c>
      <c r="D492" s="1">
        <v>44929</v>
      </c>
      <c r="E492">
        <v>5.3753000000000002</v>
      </c>
      <c r="F492" s="1">
        <v>44924</v>
      </c>
      <c r="G492">
        <v>112.4</v>
      </c>
      <c r="H492" s="4">
        <f t="shared" si="63"/>
        <v>604183.72000000009</v>
      </c>
      <c r="I492" s="5">
        <v>44929</v>
      </c>
      <c r="J492" s="4">
        <v>6025.02</v>
      </c>
      <c r="K492" s="4">
        <f t="shared" si="64"/>
        <v>60250.200000000004</v>
      </c>
      <c r="L492" s="1">
        <v>44929</v>
      </c>
      <c r="M492">
        <v>6.34</v>
      </c>
      <c r="N492" s="1">
        <v>44929</v>
      </c>
      <c r="O492">
        <v>6.22</v>
      </c>
      <c r="P492" s="1">
        <v>44929</v>
      </c>
      <c r="Q492">
        <v>6.21</v>
      </c>
      <c r="R492" s="1">
        <v>44929</v>
      </c>
      <c r="S492">
        <v>6.1</v>
      </c>
      <c r="T492" s="1">
        <v>44929</v>
      </c>
      <c r="U492">
        <v>6.1</v>
      </c>
      <c r="V492" s="1">
        <v>44929</v>
      </c>
      <c r="W492">
        <v>6.08</v>
      </c>
      <c r="X492" s="1">
        <v>44929</v>
      </c>
      <c r="Y492">
        <f>NETWORKDAYS(X492,$Z$1,FERIADO!$A$2:$A$408)</f>
        <v>2018</v>
      </c>
      <c r="Z492">
        <v>13.22</v>
      </c>
      <c r="AA492" s="6">
        <f t="shared" si="65"/>
        <v>36998.731461277042</v>
      </c>
      <c r="AB492" s="2">
        <f t="shared" si="66"/>
        <v>-8.4017584154259164E-3</v>
      </c>
      <c r="AJ492" s="1">
        <v>44929</v>
      </c>
      <c r="AK492">
        <f>NETWORKDAYS(AJ492,$AJ$1,FERIADO!$A$2:$A$408)</f>
        <v>1005</v>
      </c>
      <c r="AL492">
        <v>13.28</v>
      </c>
      <c r="AM492" s="6">
        <f t="shared" si="67"/>
        <v>60817.941993442226</v>
      </c>
      <c r="AN492" s="2">
        <f t="shared" si="68"/>
        <v>-5.3036184749653383E-3</v>
      </c>
      <c r="AP492" s="11">
        <f t="shared" si="69"/>
        <v>-4.2008792077129582E-3</v>
      </c>
      <c r="AQ492" s="11">
        <f t="shared" si="70"/>
        <v>-1.5910855424896015E-3</v>
      </c>
      <c r="AR492" s="11">
        <f t="shared" si="71"/>
        <v>-5.7919647502025599E-3</v>
      </c>
    </row>
    <row r="493" spans="2:44" x14ac:dyDescent="0.35">
      <c r="B493" s="1">
        <v>44928</v>
      </c>
      <c r="C493">
        <v>4135.03</v>
      </c>
      <c r="D493" s="1">
        <v>44928</v>
      </c>
      <c r="E493">
        <v>5.343</v>
      </c>
      <c r="F493" s="1">
        <v>44923</v>
      </c>
      <c r="G493">
        <v>112.188</v>
      </c>
      <c r="H493" s="4">
        <f t="shared" si="63"/>
        <v>599420.48399999994</v>
      </c>
      <c r="I493" s="5">
        <v>44928</v>
      </c>
      <c r="J493" s="4">
        <v>5910.64</v>
      </c>
      <c r="K493" s="4">
        <f t="shared" si="64"/>
        <v>59106.400000000001</v>
      </c>
      <c r="L493" s="1">
        <v>44928</v>
      </c>
      <c r="M493">
        <v>6.25</v>
      </c>
      <c r="N493" s="1">
        <v>44928</v>
      </c>
      <c r="O493">
        <v>6.11</v>
      </c>
      <c r="P493" s="1">
        <v>44928</v>
      </c>
      <c r="Q493">
        <v>6.13</v>
      </c>
      <c r="R493" s="1">
        <v>44928</v>
      </c>
      <c r="S493">
        <v>6.02</v>
      </c>
      <c r="T493" s="1">
        <v>44928</v>
      </c>
      <c r="U493">
        <v>6.03</v>
      </c>
      <c r="V493" s="1">
        <v>44928</v>
      </c>
      <c r="W493">
        <v>6.03</v>
      </c>
      <c r="X493" s="1">
        <v>44928</v>
      </c>
      <c r="Y493">
        <f>NETWORKDAYS(X493,$Z$1,FERIADO!$A$2:$A$408)</f>
        <v>2019</v>
      </c>
      <c r="Z493">
        <v>12.94</v>
      </c>
      <c r="AA493" s="6">
        <f t="shared" si="65"/>
        <v>37721.468586748771</v>
      </c>
      <c r="AB493" s="2">
        <f t="shared" si="66"/>
        <v>-8.5354263864323016E-3</v>
      </c>
      <c r="AJ493" s="1">
        <v>44928</v>
      </c>
      <c r="AK493">
        <f>NETWORKDAYS(AJ493,$AJ$1,FERIADO!$A$2:$A$408)</f>
        <v>1006</v>
      </c>
      <c r="AL493">
        <v>12.92</v>
      </c>
      <c r="AM493" s="6">
        <f t="shared" si="67"/>
        <v>61565.206219085099</v>
      </c>
      <c r="AN493" s="2">
        <f t="shared" si="68"/>
        <v>-4.4339617868557734E-3</v>
      </c>
      <c r="AP493" s="11">
        <f t="shared" si="69"/>
        <v>-4.2677131932161508E-3</v>
      </c>
      <c r="AQ493" s="11">
        <f t="shared" si="70"/>
        <v>-1.3301885360567319E-3</v>
      </c>
      <c r="AR493" s="11">
        <f t="shared" si="71"/>
        <v>-5.5979017292728823E-3</v>
      </c>
    </row>
    <row r="494" spans="2:44" x14ac:dyDescent="0.35">
      <c r="B494" s="1">
        <v>44924</v>
      </c>
      <c r="C494">
        <v>4162.2700000000004</v>
      </c>
      <c r="D494" s="1">
        <v>44925</v>
      </c>
      <c r="E494">
        <v>5.2171000000000003</v>
      </c>
      <c r="F494" s="1">
        <v>44922</v>
      </c>
      <c r="G494">
        <v>112.417</v>
      </c>
      <c r="H494" s="4">
        <f t="shared" si="63"/>
        <v>586490.73070000007</v>
      </c>
      <c r="I494" s="5">
        <v>44924</v>
      </c>
      <c r="J494" s="4">
        <v>5824.71</v>
      </c>
      <c r="K494" s="4">
        <f t="shared" si="64"/>
        <v>58247.1</v>
      </c>
      <c r="L494" s="1">
        <v>44924</v>
      </c>
      <c r="M494">
        <v>6.1</v>
      </c>
      <c r="N494" s="1">
        <v>44924</v>
      </c>
      <c r="O494">
        <v>5.98</v>
      </c>
      <c r="P494" s="1">
        <v>44924</v>
      </c>
      <c r="Q494">
        <v>6.01</v>
      </c>
      <c r="R494" s="1">
        <v>44924</v>
      </c>
      <c r="S494">
        <v>5.87</v>
      </c>
      <c r="T494" s="1">
        <v>44924</v>
      </c>
      <c r="U494">
        <v>5.91</v>
      </c>
      <c r="V494" s="1">
        <v>44924</v>
      </c>
      <c r="W494">
        <v>5.92</v>
      </c>
      <c r="X494" s="1">
        <v>44924</v>
      </c>
      <c r="Y494">
        <f>NETWORKDAYS(X494,$Z$1,FERIADO!$A$2:$A$408)</f>
        <v>2021</v>
      </c>
      <c r="Z494">
        <v>12.65</v>
      </c>
      <c r="AA494" s="6">
        <f t="shared" si="65"/>
        <v>38470.162332354463</v>
      </c>
      <c r="AB494" s="2">
        <f t="shared" si="66"/>
        <v>2.0608183506547863E-3</v>
      </c>
      <c r="AJ494" s="1">
        <v>44924</v>
      </c>
      <c r="AK494">
        <f>NETWORKDAYS(AJ494,$AJ$1,FERIADO!$A$2:$A$408)</f>
        <v>1008</v>
      </c>
      <c r="AL494">
        <v>12.605</v>
      </c>
      <c r="AM494" s="6">
        <f t="shared" si="67"/>
        <v>62196.980351812344</v>
      </c>
      <c r="AN494" s="2">
        <f t="shared" si="68"/>
        <v>8.9936707517833522E-4</v>
      </c>
      <c r="AP494" s="11">
        <f t="shared" si="69"/>
        <v>1.0304091753273932E-3</v>
      </c>
      <c r="AQ494" s="11">
        <f t="shared" si="70"/>
        <v>2.6981012255350054E-4</v>
      </c>
      <c r="AR494" s="11">
        <f t="shared" si="71"/>
        <v>1.3002192978808936E-3</v>
      </c>
    </row>
    <row r="495" spans="2:44" x14ac:dyDescent="0.35">
      <c r="B495" s="1">
        <v>44923</v>
      </c>
      <c r="C495">
        <v>4094.05</v>
      </c>
      <c r="D495" s="1">
        <v>44924</v>
      </c>
      <c r="E495">
        <v>5.2171000000000003</v>
      </c>
      <c r="F495" s="1">
        <v>44921</v>
      </c>
      <c r="G495">
        <v>113</v>
      </c>
      <c r="H495" s="4">
        <f t="shared" si="63"/>
        <v>589532.30000000005</v>
      </c>
      <c r="I495" s="5">
        <v>44923</v>
      </c>
      <c r="J495" s="4">
        <v>5798.99</v>
      </c>
      <c r="K495" s="4">
        <f t="shared" si="64"/>
        <v>57989.899999999994</v>
      </c>
      <c r="L495" s="1">
        <v>44923</v>
      </c>
      <c r="M495">
        <v>6.1</v>
      </c>
      <c r="N495" s="1">
        <v>44923</v>
      </c>
      <c r="O495">
        <v>5.97</v>
      </c>
      <c r="P495" s="1">
        <v>44923</v>
      </c>
      <c r="Q495">
        <v>6</v>
      </c>
      <c r="R495" s="1">
        <v>44923</v>
      </c>
      <c r="S495">
        <v>5.89</v>
      </c>
      <c r="T495" s="1">
        <v>44923</v>
      </c>
      <c r="U495">
        <v>5.9</v>
      </c>
      <c r="V495" s="1">
        <v>44923</v>
      </c>
      <c r="W495">
        <v>5.91</v>
      </c>
      <c r="X495" s="1">
        <v>44923</v>
      </c>
      <c r="Y495">
        <f>NETWORKDAYS(X495,$Z$1,FERIADO!$A$2:$A$408)</f>
        <v>2022</v>
      </c>
      <c r="Z495">
        <v>12.71</v>
      </c>
      <c r="AA495" s="6">
        <f t="shared" si="65"/>
        <v>38288.045780551576</v>
      </c>
      <c r="AB495" s="2">
        <f t="shared" si="66"/>
        <v>7.0047514564859168E-3</v>
      </c>
      <c r="AJ495" s="1">
        <v>44923</v>
      </c>
      <c r="AK495">
        <f>NETWORKDAYS(AJ495,$AJ$1,FERIADO!$A$2:$A$408)</f>
        <v>1009</v>
      </c>
      <c r="AL495">
        <v>12.65</v>
      </c>
      <c r="AM495" s="6">
        <f t="shared" si="67"/>
        <v>62068.311813438544</v>
      </c>
      <c r="AN495" s="2">
        <f t="shared" si="68"/>
        <v>4.4492992118169653E-3</v>
      </c>
      <c r="AP495" s="11">
        <f t="shared" si="69"/>
        <v>3.5023757282429584E-3</v>
      </c>
      <c r="AQ495" s="11">
        <f t="shared" si="70"/>
        <v>1.3347897635450896E-3</v>
      </c>
      <c r="AR495" s="11">
        <f t="shared" si="71"/>
        <v>4.8371654917880478E-3</v>
      </c>
    </row>
    <row r="496" spans="2:44" x14ac:dyDescent="0.35">
      <c r="B496" s="1">
        <v>44922</v>
      </c>
      <c r="C496">
        <v>4139.58</v>
      </c>
      <c r="D496" s="1">
        <v>44923</v>
      </c>
      <c r="E496">
        <v>5.2729999999999997</v>
      </c>
      <c r="F496" s="1">
        <v>44918</v>
      </c>
      <c r="G496">
        <v>113.10899999999999</v>
      </c>
      <c r="H496" s="4">
        <f t="shared" si="63"/>
        <v>596423.75699999987</v>
      </c>
      <c r="I496" s="5">
        <v>44922</v>
      </c>
      <c r="J496" s="4">
        <v>5827.6</v>
      </c>
      <c r="K496" s="4">
        <f t="shared" si="64"/>
        <v>58276</v>
      </c>
      <c r="L496" s="1">
        <v>44922</v>
      </c>
      <c r="M496">
        <v>6.21</v>
      </c>
      <c r="N496" s="1">
        <v>44922</v>
      </c>
      <c r="O496">
        <v>6.08</v>
      </c>
      <c r="P496" s="1">
        <v>44922</v>
      </c>
      <c r="Q496">
        <v>6.09</v>
      </c>
      <c r="R496" s="1">
        <v>44922</v>
      </c>
      <c r="S496">
        <v>6</v>
      </c>
      <c r="T496" s="1">
        <v>44922</v>
      </c>
      <c r="U496">
        <v>6</v>
      </c>
      <c r="V496" s="1">
        <v>44922</v>
      </c>
      <c r="W496">
        <v>6.01</v>
      </c>
      <c r="X496" s="1">
        <v>44922</v>
      </c>
      <c r="Y496">
        <f>NETWORKDAYS(X496,$Z$1,FERIADO!$A$2:$A$408)</f>
        <v>2023</v>
      </c>
      <c r="Z496">
        <v>12.93</v>
      </c>
      <c r="AA496" s="6">
        <f t="shared" si="65"/>
        <v>37675.450070431034</v>
      </c>
      <c r="AB496" s="2">
        <f t="shared" si="66"/>
        <v>-4.082470009589716E-4</v>
      </c>
      <c r="AJ496" s="1">
        <v>44922</v>
      </c>
      <c r="AK496">
        <f>NETWORKDAYS(AJ496,$AJ$1,FERIADO!$A$2:$A$408)</f>
        <v>1010</v>
      </c>
      <c r="AL496">
        <v>12.925000000000001</v>
      </c>
      <c r="AM496" s="6">
        <f t="shared" si="67"/>
        <v>61435.674964789818</v>
      </c>
      <c r="AN496" s="2">
        <f t="shared" si="68"/>
        <v>-2.5345448647713854E-4</v>
      </c>
      <c r="AP496" s="11">
        <f t="shared" si="69"/>
        <v>-2.041235004794858E-4</v>
      </c>
      <c r="AQ496" s="11">
        <f t="shared" si="70"/>
        <v>-7.6036345943141553E-5</v>
      </c>
      <c r="AR496" s="11">
        <f t="shared" si="71"/>
        <v>-2.8015984642262734E-4</v>
      </c>
    </row>
    <row r="497" spans="2:44" x14ac:dyDescent="0.35">
      <c r="B497" s="1">
        <v>44921</v>
      </c>
      <c r="C497">
        <v>4144.99</v>
      </c>
      <c r="D497" s="1">
        <v>44922</v>
      </c>
      <c r="E497">
        <v>5.2826000000000004</v>
      </c>
      <c r="F497" s="1">
        <v>44917</v>
      </c>
      <c r="G497">
        <v>113.51</v>
      </c>
      <c r="H497" s="4">
        <f t="shared" si="63"/>
        <v>599627.92600000009</v>
      </c>
      <c r="I497" s="5">
        <v>44921</v>
      </c>
      <c r="J497" s="4">
        <v>5744.53</v>
      </c>
      <c r="K497" s="4">
        <f t="shared" si="64"/>
        <v>57445.299999999996</v>
      </c>
      <c r="L497" s="1">
        <v>44921</v>
      </c>
      <c r="M497">
        <v>6.21</v>
      </c>
      <c r="N497" s="1">
        <v>44921</v>
      </c>
      <c r="O497">
        <v>6.1</v>
      </c>
      <c r="P497" s="1">
        <v>44921</v>
      </c>
      <c r="Q497">
        <v>6.09</v>
      </c>
      <c r="R497" s="1">
        <v>44921</v>
      </c>
      <c r="S497">
        <v>6.01</v>
      </c>
      <c r="T497" s="1">
        <v>44921</v>
      </c>
      <c r="U497">
        <v>6.03</v>
      </c>
      <c r="V497" s="1">
        <v>44921</v>
      </c>
      <c r="W497">
        <v>6.03</v>
      </c>
      <c r="X497" s="1">
        <v>44921</v>
      </c>
      <c r="Y497">
        <f>NETWORKDAYS(X497,$Z$1,FERIADO!$A$2:$A$408)</f>
        <v>2024</v>
      </c>
      <c r="Z497">
        <v>12.91</v>
      </c>
      <c r="AA497" s="6">
        <f t="shared" si="65"/>
        <v>37710.882528374794</v>
      </c>
      <c r="AB497" s="2">
        <f t="shared" si="66"/>
        <v>-3.5017236277689622E-3</v>
      </c>
      <c r="AJ497" s="1">
        <v>44921</v>
      </c>
      <c r="AK497">
        <f>NETWORKDAYS(AJ497,$AJ$1,FERIADO!$A$2:$A$408)</f>
        <v>1011</v>
      </c>
      <c r="AL497">
        <v>12.895</v>
      </c>
      <c r="AM497" s="6">
        <f t="shared" si="67"/>
        <v>61471.539320998614</v>
      </c>
      <c r="AN497" s="2">
        <f t="shared" si="68"/>
        <v>-1.491149552733554E-3</v>
      </c>
      <c r="AP497" s="11">
        <f t="shared" si="69"/>
        <v>-1.7508618138844811E-3</v>
      </c>
      <c r="AQ497" s="11">
        <f t="shared" si="70"/>
        <v>-4.4734486582006616E-4</v>
      </c>
      <c r="AR497" s="11">
        <f t="shared" si="71"/>
        <v>-2.1982066797045473E-3</v>
      </c>
    </row>
    <row r="498" spans="2:44" x14ac:dyDescent="0.35">
      <c r="B498" s="1">
        <v>44918</v>
      </c>
      <c r="C498">
        <v>4160.5</v>
      </c>
      <c r="D498" s="1">
        <v>44921</v>
      </c>
      <c r="E498">
        <v>5.1866000000000003</v>
      </c>
      <c r="F498" s="1">
        <v>44916</v>
      </c>
      <c r="G498">
        <v>113.562</v>
      </c>
      <c r="H498" s="4">
        <f t="shared" si="63"/>
        <v>589000.6692</v>
      </c>
      <c r="I498" s="5">
        <v>44918</v>
      </c>
      <c r="J498" s="4">
        <v>5679.06</v>
      </c>
      <c r="K498" s="4">
        <f t="shared" si="64"/>
        <v>56790.600000000006</v>
      </c>
      <c r="L498" s="1">
        <v>44918</v>
      </c>
      <c r="M498">
        <v>6.2</v>
      </c>
      <c r="N498" s="1">
        <v>44918</v>
      </c>
      <c r="O498">
        <v>6.09</v>
      </c>
      <c r="P498" s="1">
        <v>44918</v>
      </c>
      <c r="Q498">
        <v>6.07</v>
      </c>
      <c r="R498" s="1">
        <v>44918</v>
      </c>
      <c r="S498">
        <v>6</v>
      </c>
      <c r="T498" s="1">
        <v>44918</v>
      </c>
      <c r="U498">
        <v>6.01</v>
      </c>
      <c r="V498" s="1">
        <v>44918</v>
      </c>
      <c r="W498">
        <v>6.03</v>
      </c>
      <c r="X498" s="1">
        <v>44918</v>
      </c>
      <c r="Y498">
        <f>NETWORKDAYS(X498,$Z$1,FERIADO!$A$2:$A$408)</f>
        <v>2025</v>
      </c>
      <c r="Z498">
        <v>12.79</v>
      </c>
      <c r="AA498" s="6">
        <f t="shared" si="65"/>
        <v>38016.175136858772</v>
      </c>
      <c r="AB498" s="2">
        <f t="shared" si="66"/>
        <v>3.6109845637647682E-3</v>
      </c>
      <c r="AJ498" s="1">
        <v>44918</v>
      </c>
      <c r="AK498">
        <f>NETWORKDAYS(AJ498,$AJ$1,FERIADO!$A$2:$A$408)</f>
        <v>1012</v>
      </c>
      <c r="AL498">
        <v>12.785</v>
      </c>
      <c r="AM498" s="6">
        <f t="shared" si="67"/>
        <v>61682.96452967044</v>
      </c>
      <c r="AN498" s="2">
        <f t="shared" si="68"/>
        <v>2.1411456014885635E-3</v>
      </c>
      <c r="AP498" s="11">
        <f t="shared" si="69"/>
        <v>1.8054922818823841E-3</v>
      </c>
      <c r="AQ498" s="11">
        <f t="shared" si="70"/>
        <v>6.4234368044656907E-4</v>
      </c>
      <c r="AR498" s="11">
        <f t="shared" si="71"/>
        <v>2.4478359623289533E-3</v>
      </c>
    </row>
    <row r="499" spans="2:44" x14ac:dyDescent="0.35">
      <c r="B499" s="1">
        <v>44917</v>
      </c>
      <c r="C499">
        <v>4143.6099999999997</v>
      </c>
      <c r="D499" s="1">
        <v>44918</v>
      </c>
      <c r="E499">
        <v>5.1439000000000004</v>
      </c>
      <c r="F499" s="1">
        <v>44915</v>
      </c>
      <c r="G499">
        <v>113.482</v>
      </c>
      <c r="H499" s="4">
        <f t="shared" si="63"/>
        <v>583740.05980000005</v>
      </c>
      <c r="I499" s="5">
        <v>44917</v>
      </c>
      <c r="J499" s="4">
        <v>5690.62</v>
      </c>
      <c r="K499" s="4">
        <f t="shared" si="64"/>
        <v>56906.2</v>
      </c>
      <c r="L499" s="1">
        <v>44917</v>
      </c>
      <c r="M499">
        <v>6.32</v>
      </c>
      <c r="N499" s="1">
        <v>44917</v>
      </c>
      <c r="O499">
        <v>6.17</v>
      </c>
      <c r="P499" s="1">
        <v>44917</v>
      </c>
      <c r="Q499">
        <v>6.19</v>
      </c>
      <c r="R499" s="1">
        <v>44917</v>
      </c>
      <c r="S499">
        <v>6.09</v>
      </c>
      <c r="T499" s="1">
        <v>44917</v>
      </c>
      <c r="U499">
        <v>6.09</v>
      </c>
      <c r="V499" s="1">
        <v>44917</v>
      </c>
      <c r="W499">
        <v>6.09</v>
      </c>
      <c r="X499" s="1">
        <v>44917</v>
      </c>
      <c r="Y499">
        <f>NETWORKDAYS(X499,$Z$1,FERIADO!$A$2:$A$408)</f>
        <v>2026</v>
      </c>
      <c r="Z499">
        <v>12.9</v>
      </c>
      <c r="AA499" s="6">
        <f t="shared" si="65"/>
        <v>37701.396319739411</v>
      </c>
      <c r="AB499" s="2">
        <f t="shared" si="66"/>
        <v>5.1562634863716872E-3</v>
      </c>
      <c r="AJ499" s="1">
        <v>44917</v>
      </c>
      <c r="AK499">
        <f>NETWORKDAYS(AJ499,$AJ$1,FERIADO!$A$2:$A$408)</f>
        <v>1013</v>
      </c>
      <c r="AL499">
        <v>12.91</v>
      </c>
      <c r="AM499" s="6">
        <f t="shared" si="67"/>
        <v>61379.605452265474</v>
      </c>
      <c r="AN499" s="2">
        <f t="shared" si="68"/>
        <v>3.1474313291725382E-3</v>
      </c>
      <c r="AP499" s="11">
        <f t="shared" si="69"/>
        <v>2.5781317431858436E-3</v>
      </c>
      <c r="AQ499" s="11">
        <f t="shared" si="70"/>
        <v>9.4422939875176142E-4</v>
      </c>
      <c r="AR499" s="11">
        <f t="shared" si="71"/>
        <v>3.5223611419376048E-3</v>
      </c>
    </row>
    <row r="500" spans="2:44" x14ac:dyDescent="0.35">
      <c r="B500" s="1">
        <v>44916</v>
      </c>
      <c r="C500">
        <v>4198.38</v>
      </c>
      <c r="D500" s="1">
        <v>44917</v>
      </c>
      <c r="E500">
        <v>5.1864999999999997</v>
      </c>
      <c r="F500" s="1">
        <v>44914</v>
      </c>
      <c r="G500">
        <v>114.137</v>
      </c>
      <c r="H500" s="4">
        <f t="shared" si="63"/>
        <v>591971.5504999999</v>
      </c>
      <c r="I500" s="5">
        <v>44916</v>
      </c>
      <c r="J500" s="4">
        <v>5726.92</v>
      </c>
      <c r="K500" s="4">
        <f t="shared" si="64"/>
        <v>57269.2</v>
      </c>
      <c r="L500" s="1">
        <v>44916</v>
      </c>
      <c r="M500">
        <v>6.36</v>
      </c>
      <c r="N500" s="1">
        <v>44916</v>
      </c>
      <c r="O500">
        <v>6.19</v>
      </c>
      <c r="P500" s="1">
        <v>44916</v>
      </c>
      <c r="Q500">
        <v>6.22</v>
      </c>
      <c r="R500" s="1">
        <v>44916</v>
      </c>
      <c r="S500">
        <v>6.15</v>
      </c>
      <c r="T500" s="1">
        <v>44916</v>
      </c>
      <c r="U500">
        <v>6.14</v>
      </c>
      <c r="V500" s="1">
        <v>44916</v>
      </c>
      <c r="W500">
        <v>6.16</v>
      </c>
      <c r="X500" s="1">
        <v>44916</v>
      </c>
      <c r="Y500">
        <f>NETWORKDAYS(X500,$Z$1,FERIADO!$A$2:$A$408)</f>
        <v>2027</v>
      </c>
      <c r="Z500">
        <v>13.06</v>
      </c>
      <c r="AA500" s="6">
        <f t="shared" si="65"/>
        <v>37256.424359717224</v>
      </c>
      <c r="AB500" s="2">
        <f t="shared" si="66"/>
        <v>3.6103328631632574E-3</v>
      </c>
      <c r="AJ500" s="1">
        <v>44916</v>
      </c>
      <c r="AK500">
        <f>NETWORKDAYS(AJ500,$AJ$1,FERIADO!$A$2:$A$408)</f>
        <v>1014</v>
      </c>
      <c r="AL500">
        <v>13.1</v>
      </c>
      <c r="AM500" s="6">
        <f t="shared" si="67"/>
        <v>60936.381441542093</v>
      </c>
      <c r="AN500" s="2">
        <f t="shared" si="68"/>
        <v>1.6808375907837771E-3</v>
      </c>
      <c r="AP500" s="11">
        <f t="shared" si="69"/>
        <v>1.8051664315816287E-3</v>
      </c>
      <c r="AQ500" s="11">
        <f t="shared" si="70"/>
        <v>5.0425127723513312E-4</v>
      </c>
      <c r="AR500" s="11">
        <f t="shared" si="71"/>
        <v>2.3094177088167616E-3</v>
      </c>
    </row>
    <row r="501" spans="2:44" x14ac:dyDescent="0.35">
      <c r="B501" s="1">
        <v>44915</v>
      </c>
      <c r="C501">
        <v>4143.29</v>
      </c>
      <c r="D501" s="1">
        <v>44916</v>
      </c>
      <c r="E501">
        <v>5.2024999999999997</v>
      </c>
      <c r="F501" s="1">
        <v>44911</v>
      </c>
      <c r="G501">
        <v>114.809</v>
      </c>
      <c r="H501" s="4">
        <f t="shared" si="63"/>
        <v>597293.82249999989</v>
      </c>
      <c r="I501" s="5">
        <v>44915</v>
      </c>
      <c r="J501" s="4">
        <v>5731.88</v>
      </c>
      <c r="K501" s="4">
        <f t="shared" si="64"/>
        <v>57318.8</v>
      </c>
      <c r="L501" s="1">
        <v>44915</v>
      </c>
      <c r="M501">
        <v>6.3</v>
      </c>
      <c r="N501" s="1">
        <v>44915</v>
      </c>
      <c r="O501">
        <v>6.18</v>
      </c>
      <c r="P501" s="1">
        <v>44915</v>
      </c>
      <c r="Q501">
        <v>6.21</v>
      </c>
      <c r="R501" s="1">
        <v>44915</v>
      </c>
      <c r="S501">
        <v>6.12</v>
      </c>
      <c r="T501" s="1">
        <v>44915</v>
      </c>
      <c r="U501">
        <v>6.14</v>
      </c>
      <c r="V501" s="1">
        <v>44915</v>
      </c>
      <c r="W501">
        <v>6.14</v>
      </c>
      <c r="X501" s="1">
        <v>44915</v>
      </c>
      <c r="Y501">
        <f>NETWORKDAYS(X501,$Z$1,FERIADO!$A$2:$A$408)</f>
        <v>2028</v>
      </c>
      <c r="Z501">
        <v>13.17</v>
      </c>
      <c r="AA501" s="6">
        <f t="shared" si="65"/>
        <v>36947.991820669158</v>
      </c>
      <c r="AB501" s="2">
        <f t="shared" si="66"/>
        <v>1.0394819137144731E-2</v>
      </c>
      <c r="AJ501" s="1">
        <v>44915</v>
      </c>
      <c r="AK501">
        <f>NETWORKDAYS(AJ501,$AJ$1,FERIADO!$A$2:$A$408)</f>
        <v>1015</v>
      </c>
      <c r="AL501">
        <v>13.195</v>
      </c>
      <c r="AM501" s="6">
        <f t="shared" si="67"/>
        <v>60700.9968911303</v>
      </c>
      <c r="AN501" s="2">
        <f t="shared" si="68"/>
        <v>6.7754326706765313E-3</v>
      </c>
      <c r="AP501" s="11">
        <f t="shared" si="69"/>
        <v>5.1974095685723655E-3</v>
      </c>
      <c r="AQ501" s="11">
        <f t="shared" si="70"/>
        <v>2.0326298012029592E-3</v>
      </c>
      <c r="AR501" s="11">
        <f t="shared" si="71"/>
        <v>7.2300393697753247E-3</v>
      </c>
    </row>
    <row r="502" spans="2:44" x14ac:dyDescent="0.35">
      <c r="B502" s="1">
        <v>44914</v>
      </c>
      <c r="C502">
        <v>4138.54</v>
      </c>
      <c r="D502" s="1">
        <v>44915</v>
      </c>
      <c r="E502">
        <v>5.2420999999999998</v>
      </c>
      <c r="F502" s="1">
        <v>44910</v>
      </c>
      <c r="G502">
        <v>114.91500000000001</v>
      </c>
      <c r="H502" s="4">
        <f t="shared" si="63"/>
        <v>602395.92149999994</v>
      </c>
      <c r="I502" s="5">
        <v>44914</v>
      </c>
      <c r="J502" s="4">
        <v>5844.1</v>
      </c>
      <c r="K502" s="4">
        <f t="shared" si="64"/>
        <v>58441</v>
      </c>
      <c r="L502" s="1">
        <v>44914</v>
      </c>
      <c r="M502">
        <v>6.48</v>
      </c>
      <c r="N502" s="1">
        <v>44914</v>
      </c>
      <c r="O502">
        <v>6.37</v>
      </c>
      <c r="P502" s="1">
        <v>44914</v>
      </c>
      <c r="Q502">
        <v>6.34</v>
      </c>
      <c r="R502" s="1">
        <v>44914</v>
      </c>
      <c r="S502">
        <v>6.25</v>
      </c>
      <c r="T502" s="1">
        <v>44914</v>
      </c>
      <c r="U502">
        <v>6.23</v>
      </c>
      <c r="V502" s="1">
        <v>44914</v>
      </c>
      <c r="W502">
        <v>6.23</v>
      </c>
      <c r="X502" s="1">
        <v>44914</v>
      </c>
      <c r="Y502">
        <f>NETWORKDAYS(X502,$Z$1,FERIADO!$A$2:$A$408)</f>
        <v>2029</v>
      </c>
      <c r="Z502">
        <v>13.5</v>
      </c>
      <c r="AA502" s="6">
        <f t="shared" si="65"/>
        <v>36074.142763810523</v>
      </c>
      <c r="AB502" s="2">
        <f t="shared" si="66"/>
        <v>5.2646038427806778E-4</v>
      </c>
      <c r="AJ502" s="1">
        <v>44914</v>
      </c>
      <c r="AK502">
        <f>NETWORKDAYS(AJ502,$AJ$1,FERIADO!$A$2:$A$408)</f>
        <v>1016</v>
      </c>
      <c r="AL502">
        <v>13.62</v>
      </c>
      <c r="AM502" s="6">
        <f t="shared" si="67"/>
        <v>59761.348803653964</v>
      </c>
      <c r="AN502" s="2">
        <f t="shared" si="68"/>
        <v>9.1408582615440978E-4</v>
      </c>
      <c r="AP502" s="11">
        <f t="shared" si="69"/>
        <v>2.6323019213903389E-4</v>
      </c>
      <c r="AQ502" s="11">
        <f t="shared" si="70"/>
        <v>2.7422574784632291E-4</v>
      </c>
      <c r="AR502" s="11">
        <f t="shared" si="71"/>
        <v>5.3745593998535675E-4</v>
      </c>
    </row>
    <row r="503" spans="2:44" x14ac:dyDescent="0.35">
      <c r="B503" s="1">
        <v>44911</v>
      </c>
      <c r="C503">
        <v>4169.49</v>
      </c>
      <c r="D503" s="1">
        <v>44914</v>
      </c>
      <c r="E503">
        <v>5.3154000000000003</v>
      </c>
      <c r="F503" s="1">
        <v>44909</v>
      </c>
      <c r="G503">
        <v>114.979</v>
      </c>
      <c r="H503" s="4">
        <f t="shared" si="63"/>
        <v>611159.37660000008</v>
      </c>
      <c r="I503" s="5">
        <v>44911</v>
      </c>
      <c r="J503" s="4">
        <v>5867.21</v>
      </c>
      <c r="K503" s="4">
        <f t="shared" si="64"/>
        <v>58672.1</v>
      </c>
      <c r="L503" s="1">
        <v>44911</v>
      </c>
      <c r="M503">
        <v>6.47</v>
      </c>
      <c r="N503" s="1">
        <v>44911</v>
      </c>
      <c r="O503">
        <v>6.34</v>
      </c>
      <c r="P503" s="1">
        <v>44911</v>
      </c>
      <c r="Q503">
        <v>6.3</v>
      </c>
      <c r="R503" s="1">
        <v>44911</v>
      </c>
      <c r="S503">
        <v>6.24</v>
      </c>
      <c r="T503" s="1">
        <v>44911</v>
      </c>
      <c r="U503">
        <v>6.21</v>
      </c>
      <c r="V503" s="1">
        <v>44911</v>
      </c>
      <c r="W503">
        <v>6.25</v>
      </c>
      <c r="X503" s="1">
        <v>44911</v>
      </c>
      <c r="Y503">
        <f>NETWORKDAYS(X503,$Z$1,FERIADO!$A$2:$A$408)</f>
        <v>2030</v>
      </c>
      <c r="Z503">
        <v>13.51</v>
      </c>
      <c r="AA503" s="6">
        <f t="shared" si="65"/>
        <v>36030.439466851123</v>
      </c>
      <c r="AB503" s="2">
        <f t="shared" si="66"/>
        <v>-5.9542719806685018E-3</v>
      </c>
      <c r="AJ503" s="1">
        <v>44911</v>
      </c>
      <c r="AK503">
        <f>NETWORKDAYS(AJ503,$AJ$1,FERIADO!$A$2:$A$408)</f>
        <v>1017</v>
      </c>
      <c r="AL503">
        <v>13.664999999999999</v>
      </c>
      <c r="AM503" s="6">
        <f t="shared" si="67"/>
        <v>59635.697762473523</v>
      </c>
      <c r="AN503" s="2">
        <f t="shared" si="68"/>
        <v>-4.4158607363090187E-3</v>
      </c>
      <c r="AP503" s="11">
        <f t="shared" si="69"/>
        <v>-2.9771359903342509E-3</v>
      </c>
      <c r="AQ503" s="11">
        <f t="shared" si="70"/>
        <v>-1.3247582208927055E-3</v>
      </c>
      <c r="AR503" s="11">
        <f t="shared" si="71"/>
        <v>-4.3018942112269566E-3</v>
      </c>
    </row>
    <row r="504" spans="2:44" x14ac:dyDescent="0.35">
      <c r="B504" s="1">
        <v>44910</v>
      </c>
      <c r="C504">
        <v>4226.91</v>
      </c>
      <c r="D504" s="1">
        <v>44911</v>
      </c>
      <c r="E504">
        <v>5.2801</v>
      </c>
      <c r="F504" s="1">
        <v>44908</v>
      </c>
      <c r="G504">
        <v>114.61</v>
      </c>
      <c r="H504" s="4">
        <f t="shared" si="63"/>
        <v>605152.26099999994</v>
      </c>
      <c r="I504" s="5">
        <v>44910</v>
      </c>
      <c r="J504" s="4">
        <v>5865.01</v>
      </c>
      <c r="K504" s="4">
        <f t="shared" si="64"/>
        <v>58650.100000000006</v>
      </c>
      <c r="L504" s="1">
        <v>44910</v>
      </c>
      <c r="M504">
        <v>6.35</v>
      </c>
      <c r="N504" s="1">
        <v>44910</v>
      </c>
      <c r="O504">
        <v>6.24</v>
      </c>
      <c r="P504" s="1">
        <v>44910</v>
      </c>
      <c r="Q504">
        <v>6.19</v>
      </c>
      <c r="R504" s="1">
        <v>44910</v>
      </c>
      <c r="S504">
        <v>6.13</v>
      </c>
      <c r="T504" s="1">
        <v>44910</v>
      </c>
      <c r="U504">
        <v>6.16</v>
      </c>
      <c r="V504" s="1">
        <v>44910</v>
      </c>
      <c r="W504">
        <v>6.14</v>
      </c>
      <c r="X504" s="1">
        <v>44910</v>
      </c>
      <c r="Y504">
        <f>NETWORKDAYS(X504,$Z$1,FERIADO!$A$2:$A$408)</f>
        <v>2031</v>
      </c>
      <c r="Z504">
        <v>13.31</v>
      </c>
      <c r="AA504" s="6">
        <f t="shared" si="65"/>
        <v>36527.826494189285</v>
      </c>
      <c r="AB504" s="2">
        <f t="shared" si="66"/>
        <v>7.3164672020274045E-3</v>
      </c>
      <c r="AJ504" s="1">
        <v>44910</v>
      </c>
      <c r="AK504">
        <f>NETWORKDAYS(AJ504,$AJ$1,FERIADO!$A$2:$A$408)</f>
        <v>1018</v>
      </c>
      <c r="AL504">
        <v>13.365</v>
      </c>
      <c r="AM504" s="6">
        <f t="shared" si="67"/>
        <v>60245.16050759521</v>
      </c>
      <c r="AN504" s="2">
        <f t="shared" si="68"/>
        <v>3.9300923808412184E-3</v>
      </c>
      <c r="AP504" s="11">
        <f t="shared" si="69"/>
        <v>3.6582336010137022E-3</v>
      </c>
      <c r="AQ504" s="11">
        <f t="shared" si="70"/>
        <v>1.1790277142523654E-3</v>
      </c>
      <c r="AR504" s="11">
        <f t="shared" si="71"/>
        <v>4.8372613152660674E-3</v>
      </c>
    </row>
    <row r="505" spans="2:44" x14ac:dyDescent="0.35">
      <c r="B505" s="1">
        <v>44909</v>
      </c>
      <c r="C505">
        <v>4336.63</v>
      </c>
      <c r="D505" s="1">
        <v>44910</v>
      </c>
      <c r="E505">
        <v>5.3177000000000003</v>
      </c>
      <c r="F505" s="1">
        <v>44907</v>
      </c>
      <c r="G505">
        <v>113.777</v>
      </c>
      <c r="H505" s="4">
        <f t="shared" si="63"/>
        <v>605031.95290000003</v>
      </c>
      <c r="I505" s="5">
        <v>44909</v>
      </c>
      <c r="J505" s="4">
        <v>5839.15</v>
      </c>
      <c r="K505" s="4">
        <f t="shared" si="64"/>
        <v>58391.5</v>
      </c>
      <c r="L505" s="1">
        <v>44909</v>
      </c>
      <c r="M505">
        <v>6.43</v>
      </c>
      <c r="N505" s="1">
        <v>44909</v>
      </c>
      <c r="O505">
        <v>6.32</v>
      </c>
      <c r="P505" s="1">
        <v>44909</v>
      </c>
      <c r="Q505">
        <v>6.21</v>
      </c>
      <c r="R505" s="1">
        <v>44909</v>
      </c>
      <c r="S505">
        <v>6.19</v>
      </c>
      <c r="T505" s="1">
        <v>44909</v>
      </c>
      <c r="U505">
        <v>6.21</v>
      </c>
      <c r="V505" s="1">
        <v>44909</v>
      </c>
      <c r="W505">
        <v>6.21</v>
      </c>
      <c r="X505" s="1">
        <v>44909</v>
      </c>
      <c r="Y505">
        <f>NETWORKDAYS(X505,$Z$1,FERIADO!$A$2:$A$408)</f>
        <v>2032</v>
      </c>
      <c r="Z505">
        <v>13.54</v>
      </c>
      <c r="AA505" s="6">
        <f t="shared" si="65"/>
        <v>35917.604506449505</v>
      </c>
      <c r="AB505" s="2">
        <f t="shared" si="66"/>
        <v>-6.2674023438719752E-3</v>
      </c>
      <c r="AJ505" s="1">
        <v>44909</v>
      </c>
      <c r="AK505">
        <f>NETWORKDAYS(AJ505,$AJ$1,FERIADO!$A$2:$A$408)</f>
        <v>1019</v>
      </c>
      <c r="AL505">
        <v>13.605</v>
      </c>
      <c r="AM505" s="6">
        <f t="shared" si="67"/>
        <v>59702.438979322178</v>
      </c>
      <c r="AN505" s="2">
        <f t="shared" si="68"/>
        <v>-3.6527881110588788E-3</v>
      </c>
      <c r="AP505" s="11">
        <f t="shared" si="69"/>
        <v>-3.1337011719359876E-3</v>
      </c>
      <c r="AQ505" s="11">
        <f t="shared" si="70"/>
        <v>-1.0958364333176636E-3</v>
      </c>
      <c r="AR505" s="11">
        <f t="shared" si="71"/>
        <v>-4.2295376052536512E-3</v>
      </c>
    </row>
    <row r="506" spans="2:44" x14ac:dyDescent="0.35">
      <c r="B506" s="1">
        <v>44908</v>
      </c>
      <c r="C506">
        <v>4369</v>
      </c>
      <c r="D506" s="1">
        <v>44909</v>
      </c>
      <c r="E506">
        <v>5.34</v>
      </c>
      <c r="F506" s="1">
        <v>44904</v>
      </c>
      <c r="G506">
        <v>114</v>
      </c>
      <c r="H506" s="4">
        <f t="shared" si="63"/>
        <v>608760</v>
      </c>
      <c r="I506" s="5">
        <v>44908</v>
      </c>
      <c r="J506" s="4">
        <v>5853.46</v>
      </c>
      <c r="K506" s="4">
        <f t="shared" si="64"/>
        <v>58534.6</v>
      </c>
      <c r="L506" s="1">
        <v>44908</v>
      </c>
      <c r="M506">
        <v>6.37</v>
      </c>
      <c r="N506" s="1">
        <v>44908</v>
      </c>
      <c r="O506">
        <v>6.3</v>
      </c>
      <c r="P506" s="1">
        <v>44908</v>
      </c>
      <c r="Q506">
        <v>6.27</v>
      </c>
      <c r="R506" s="1">
        <v>44908</v>
      </c>
      <c r="S506">
        <v>6.2</v>
      </c>
      <c r="T506" s="1">
        <v>44908</v>
      </c>
      <c r="U506">
        <v>6.22</v>
      </c>
      <c r="V506" s="1">
        <v>44908</v>
      </c>
      <c r="W506">
        <v>6.2</v>
      </c>
      <c r="X506" s="1">
        <v>44908</v>
      </c>
      <c r="Y506">
        <f>NETWORKDAYS(X506,$Z$1,FERIADO!$A$2:$A$408)</f>
        <v>2033</v>
      </c>
      <c r="Z506">
        <v>13.33</v>
      </c>
      <c r="AA506" s="6">
        <f t="shared" si="65"/>
        <v>36439.697780296083</v>
      </c>
      <c r="AB506" s="2">
        <f t="shared" si="66"/>
        <v>-5.0465133968181685E-3</v>
      </c>
      <c r="AJ506" s="1">
        <v>44908</v>
      </c>
      <c r="AK506">
        <f>NETWORKDAYS(AJ506,$AJ$1,FERIADO!$A$2:$A$408)</f>
        <v>1020</v>
      </c>
      <c r="AL506">
        <v>13.355</v>
      </c>
      <c r="AM506" s="6">
        <f t="shared" si="67"/>
        <v>60206.705246322272</v>
      </c>
      <c r="AN506" s="2">
        <f t="shared" si="68"/>
        <v>-3.3578263856652579E-3</v>
      </c>
      <c r="AP506" s="11">
        <f t="shared" si="69"/>
        <v>-2.5232566984090842E-3</v>
      </c>
      <c r="AQ506" s="11">
        <f t="shared" si="70"/>
        <v>-1.0073479156995774E-3</v>
      </c>
      <c r="AR506" s="11">
        <f t="shared" si="71"/>
        <v>-3.5306046141086616E-3</v>
      </c>
    </row>
    <row r="507" spans="2:44" x14ac:dyDescent="0.35">
      <c r="B507" s="1">
        <v>44907</v>
      </c>
      <c r="C507">
        <v>4328.42</v>
      </c>
      <c r="D507" s="1">
        <v>44908</v>
      </c>
      <c r="E507">
        <v>5.2663000000000002</v>
      </c>
      <c r="F507" s="1">
        <v>44903</v>
      </c>
      <c r="G507">
        <v>114.40900000000001</v>
      </c>
      <c r="H507" s="4">
        <f t="shared" si="63"/>
        <v>602512.11670000013</v>
      </c>
      <c r="I507" s="5">
        <v>44907</v>
      </c>
      <c r="J507" s="4">
        <v>5885.36</v>
      </c>
      <c r="K507" s="4">
        <f t="shared" si="64"/>
        <v>58853.599999999999</v>
      </c>
      <c r="L507" s="1">
        <v>44907</v>
      </c>
      <c r="M507">
        <v>6.27</v>
      </c>
      <c r="N507" s="1">
        <v>44907</v>
      </c>
      <c r="O507">
        <v>6.2</v>
      </c>
      <c r="P507" s="1">
        <v>44907</v>
      </c>
      <c r="Q507">
        <v>6.15</v>
      </c>
      <c r="R507" s="1">
        <v>44907</v>
      </c>
      <c r="S507">
        <v>6.11</v>
      </c>
      <c r="T507" s="1">
        <v>44907</v>
      </c>
      <c r="U507">
        <v>6.12</v>
      </c>
      <c r="V507" s="1">
        <v>44907</v>
      </c>
      <c r="W507">
        <v>6.12</v>
      </c>
      <c r="X507" s="1">
        <v>44907</v>
      </c>
      <c r="Y507">
        <f>NETWORKDAYS(X507,$Z$1,FERIADO!$A$2:$A$408)</f>
        <v>2034</v>
      </c>
      <c r="Z507">
        <v>13.16</v>
      </c>
      <c r="AA507" s="6">
        <f t="shared" si="65"/>
        <v>36865.597726937158</v>
      </c>
      <c r="AB507" s="2">
        <f t="shared" si="66"/>
        <v>-7.543604853354766E-3</v>
      </c>
      <c r="AJ507" s="1">
        <v>44907</v>
      </c>
      <c r="AK507">
        <f>NETWORKDAYS(AJ507,$AJ$1,FERIADO!$A$2:$A$408)</f>
        <v>1021</v>
      </c>
      <c r="AL507">
        <v>13.125</v>
      </c>
      <c r="AM507" s="6">
        <f t="shared" si="67"/>
        <v>60674.008476016694</v>
      </c>
      <c r="AN507" s="2">
        <f t="shared" si="68"/>
        <v>-3.91823692526665E-3</v>
      </c>
      <c r="AP507" s="11">
        <f t="shared" si="69"/>
        <v>-3.771802426677383E-3</v>
      </c>
      <c r="AQ507" s="11">
        <f t="shared" si="70"/>
        <v>-1.1754710775799949E-3</v>
      </c>
      <c r="AR507" s="11">
        <f t="shared" si="71"/>
        <v>-4.9472735042573775E-3</v>
      </c>
    </row>
    <row r="508" spans="2:44" x14ac:dyDescent="0.35">
      <c r="B508" s="1">
        <v>44904</v>
      </c>
      <c r="C508">
        <v>4272.3900000000003</v>
      </c>
      <c r="D508" s="1">
        <v>44907</v>
      </c>
      <c r="E508">
        <v>5.306</v>
      </c>
      <c r="F508" s="1">
        <v>44902</v>
      </c>
      <c r="G508">
        <v>115.072</v>
      </c>
      <c r="H508" s="4">
        <f t="shared" si="63"/>
        <v>610572.03200000001</v>
      </c>
      <c r="I508" s="5">
        <v>44904</v>
      </c>
      <c r="J508" s="4">
        <v>5787.44</v>
      </c>
      <c r="K508" s="4">
        <f t="shared" si="64"/>
        <v>57874.399999999994</v>
      </c>
      <c r="L508" s="1">
        <v>44904</v>
      </c>
      <c r="M508">
        <v>6.1</v>
      </c>
      <c r="N508" s="1">
        <v>44904</v>
      </c>
      <c r="O508">
        <v>6.04</v>
      </c>
      <c r="P508" s="1">
        <v>44904</v>
      </c>
      <c r="Q508">
        <v>6</v>
      </c>
      <c r="R508" s="1">
        <v>44904</v>
      </c>
      <c r="S508">
        <v>5.94</v>
      </c>
      <c r="T508" s="1">
        <v>44904</v>
      </c>
      <c r="U508">
        <v>6.01</v>
      </c>
      <c r="V508" s="1">
        <v>44904</v>
      </c>
      <c r="W508">
        <v>5.97</v>
      </c>
      <c r="X508" s="1">
        <v>44904</v>
      </c>
      <c r="Y508">
        <f>NETWORKDAYS(X508,$Z$1,FERIADO!$A$2:$A$408)</f>
        <v>2035</v>
      </c>
      <c r="Z508">
        <v>12.91</v>
      </c>
      <c r="AA508" s="6">
        <f t="shared" si="65"/>
        <v>37511.539188418821</v>
      </c>
      <c r="AB508" s="2">
        <f t="shared" si="66"/>
        <v>-1.0340161691494338E-3</v>
      </c>
      <c r="AJ508" s="1">
        <v>44904</v>
      </c>
      <c r="AK508">
        <f>NETWORKDAYS(AJ508,$AJ$1,FERIADO!$A$2:$A$408)</f>
        <v>1022</v>
      </c>
      <c r="AL508">
        <v>12.86</v>
      </c>
      <c r="AM508" s="6">
        <f t="shared" si="67"/>
        <v>61223.890675416398</v>
      </c>
      <c r="AN508" s="2">
        <f t="shared" si="68"/>
        <v>-1.0416611763214634E-3</v>
      </c>
      <c r="AP508" s="11">
        <f t="shared" si="69"/>
        <v>-5.1700808457471692E-4</v>
      </c>
      <c r="AQ508" s="11">
        <f t="shared" si="70"/>
        <v>-3.1249835289643904E-4</v>
      </c>
      <c r="AR508" s="11">
        <f t="shared" si="71"/>
        <v>-8.2950643747115591E-4</v>
      </c>
    </row>
    <row r="509" spans="2:44" x14ac:dyDescent="0.35">
      <c r="B509" s="1">
        <v>44903</v>
      </c>
      <c r="C509">
        <v>4307.54</v>
      </c>
      <c r="D509" s="1">
        <v>44904</v>
      </c>
      <c r="E509">
        <v>5.2389999999999999</v>
      </c>
      <c r="F509" s="1">
        <v>44901</v>
      </c>
      <c r="G509">
        <v>114.33499999999999</v>
      </c>
      <c r="H509" s="4">
        <f t="shared" si="63"/>
        <v>599001.06499999994</v>
      </c>
      <c r="I509" s="5">
        <v>44903</v>
      </c>
      <c r="J509" s="4">
        <v>5784.14</v>
      </c>
      <c r="K509" s="4">
        <f t="shared" si="64"/>
        <v>57841.4</v>
      </c>
      <c r="L509" s="1">
        <v>44903</v>
      </c>
      <c r="M509">
        <v>6.03</v>
      </c>
      <c r="N509" s="1">
        <v>44903</v>
      </c>
      <c r="O509">
        <v>6</v>
      </c>
      <c r="P509" s="1">
        <v>44903</v>
      </c>
      <c r="Q509">
        <v>5.93</v>
      </c>
      <c r="R509" s="1">
        <v>44903</v>
      </c>
      <c r="S509">
        <v>5.9</v>
      </c>
      <c r="T509" s="1">
        <v>44903</v>
      </c>
      <c r="U509">
        <v>5.96</v>
      </c>
      <c r="V509" s="1">
        <v>44903</v>
      </c>
      <c r="W509">
        <v>5.97</v>
      </c>
      <c r="X509" s="1">
        <v>44903</v>
      </c>
      <c r="Y509">
        <f>NETWORKDAYS(X509,$Z$1,FERIADO!$A$2:$A$408)</f>
        <v>2036</v>
      </c>
      <c r="Z509">
        <v>12.87</v>
      </c>
      <c r="AA509" s="6">
        <f t="shared" si="65"/>
        <v>37600.957201217418</v>
      </c>
      <c r="AB509" s="2">
        <f t="shared" si="66"/>
        <v>-3.2143059738508136E-3</v>
      </c>
      <c r="AJ509" s="1">
        <v>44903</v>
      </c>
      <c r="AK509">
        <f>NETWORKDAYS(AJ509,$AJ$1,FERIADO!$A$2:$A$408)</f>
        <v>1023</v>
      </c>
      <c r="AL509">
        <v>12.78</v>
      </c>
      <c r="AM509" s="6">
        <f t="shared" si="67"/>
        <v>61370.913250844882</v>
      </c>
      <c r="AN509" s="2">
        <f t="shared" si="68"/>
        <v>-8.1012614999665961E-4</v>
      </c>
      <c r="AP509" s="11">
        <f t="shared" si="69"/>
        <v>-1.6071529869254068E-3</v>
      </c>
      <c r="AQ509" s="11">
        <f t="shared" si="70"/>
        <v>-2.4303784499899787E-4</v>
      </c>
      <c r="AR509" s="11">
        <f t="shared" si="71"/>
        <v>-1.8501908319244046E-3</v>
      </c>
    </row>
    <row r="510" spans="2:44" x14ac:dyDescent="0.35">
      <c r="B510" s="1">
        <v>44902</v>
      </c>
      <c r="C510">
        <v>4275.76</v>
      </c>
      <c r="D510" s="1">
        <v>44903</v>
      </c>
      <c r="E510">
        <v>5.2084999999999999</v>
      </c>
      <c r="F510" s="1">
        <v>44900</v>
      </c>
      <c r="G510">
        <v>113.78</v>
      </c>
      <c r="H510" s="4">
        <f t="shared" si="63"/>
        <v>592623.12999999989</v>
      </c>
      <c r="I510" s="5">
        <v>44902</v>
      </c>
      <c r="J510" s="4">
        <v>5754.43</v>
      </c>
      <c r="K510" s="4">
        <f t="shared" si="64"/>
        <v>57544.3</v>
      </c>
      <c r="L510" s="1">
        <v>44902</v>
      </c>
      <c r="M510">
        <v>6.01</v>
      </c>
      <c r="N510" s="1">
        <v>44902</v>
      </c>
      <c r="O510">
        <v>5.96</v>
      </c>
      <c r="P510" s="1">
        <v>44902</v>
      </c>
      <c r="Q510">
        <v>5.95</v>
      </c>
      <c r="R510" s="1">
        <v>44902</v>
      </c>
      <c r="S510">
        <v>5.88</v>
      </c>
      <c r="T510" s="1">
        <v>44902</v>
      </c>
      <c r="U510">
        <v>5.93</v>
      </c>
      <c r="V510" s="1">
        <v>44902</v>
      </c>
      <c r="W510">
        <v>5.93</v>
      </c>
      <c r="X510" s="1">
        <v>44902</v>
      </c>
      <c r="Y510">
        <f>NETWORKDAYS(X510,$Z$1,FERIADO!$A$2:$A$408)</f>
        <v>2037</v>
      </c>
      <c r="Z510">
        <v>12.76</v>
      </c>
      <c r="AA510" s="6">
        <f t="shared" si="65"/>
        <v>37880.282292389151</v>
      </c>
      <c r="AB510" s="2">
        <f t="shared" si="66"/>
        <v>1.76402910456945E-3</v>
      </c>
      <c r="AJ510" s="1">
        <v>44902</v>
      </c>
      <c r="AK510">
        <f>NETWORKDAYS(AJ510,$AJ$1,FERIADO!$A$2:$A$408)</f>
        <v>1024</v>
      </c>
      <c r="AL510">
        <v>12.715</v>
      </c>
      <c r="AM510" s="6">
        <f t="shared" si="67"/>
        <v>61485.50043616422</v>
      </c>
      <c r="AN510" s="2">
        <f t="shared" si="68"/>
        <v>1.537899207015007E-3</v>
      </c>
      <c r="AP510" s="11">
        <f t="shared" si="69"/>
        <v>8.8201455228472498E-4</v>
      </c>
      <c r="AQ510" s="11">
        <f t="shared" si="70"/>
        <v>4.6136976210450211E-4</v>
      </c>
      <c r="AR510" s="11">
        <f t="shared" si="71"/>
        <v>1.3433843143892271E-3</v>
      </c>
    </row>
    <row r="511" spans="2:44" x14ac:dyDescent="0.35">
      <c r="B511" s="1">
        <v>44901</v>
      </c>
      <c r="C511">
        <v>4280.28</v>
      </c>
      <c r="D511" s="1">
        <v>44902</v>
      </c>
      <c r="E511">
        <v>5.2202000000000002</v>
      </c>
      <c r="F511" s="1">
        <v>44897</v>
      </c>
      <c r="G511">
        <v>114.74</v>
      </c>
      <c r="H511" s="4">
        <f t="shared" si="63"/>
        <v>598965.74799999991</v>
      </c>
      <c r="I511" s="5">
        <v>44901</v>
      </c>
      <c r="J511" s="4">
        <v>5802.84</v>
      </c>
      <c r="K511" s="4">
        <f t="shared" si="64"/>
        <v>58028.4</v>
      </c>
      <c r="L511" s="1">
        <v>44901</v>
      </c>
      <c r="M511">
        <v>6.03</v>
      </c>
      <c r="N511" s="1">
        <v>44901</v>
      </c>
      <c r="O511">
        <v>6.04</v>
      </c>
      <c r="P511" s="1">
        <v>44901</v>
      </c>
      <c r="Q511">
        <v>5.95</v>
      </c>
      <c r="R511" s="1">
        <v>44901</v>
      </c>
      <c r="S511">
        <v>5.9</v>
      </c>
      <c r="T511" s="1">
        <v>44901</v>
      </c>
      <c r="U511">
        <v>5.92</v>
      </c>
      <c r="V511" s="1">
        <v>44901</v>
      </c>
      <c r="W511">
        <v>5.92</v>
      </c>
      <c r="X511" s="1">
        <v>44901</v>
      </c>
      <c r="Y511">
        <f>NETWORKDAYS(X511,$Z$1,FERIADO!$A$2:$A$408)</f>
        <v>2038</v>
      </c>
      <c r="Z511">
        <v>12.81</v>
      </c>
      <c r="AA511" s="6">
        <f t="shared" si="65"/>
        <v>37726.73119458805</v>
      </c>
      <c r="AB511" s="2">
        <f t="shared" si="66"/>
        <v>-3.2204063565615519E-3</v>
      </c>
      <c r="AJ511" s="1">
        <v>44901</v>
      </c>
      <c r="AK511">
        <f>NETWORKDAYS(AJ511,$AJ$1,FERIADO!$A$2:$A$408)</f>
        <v>1025</v>
      </c>
      <c r="AL511">
        <v>12.8</v>
      </c>
      <c r="AM511" s="6">
        <f t="shared" si="67"/>
        <v>61268.15648840995</v>
      </c>
      <c r="AN511" s="2">
        <f t="shared" si="68"/>
        <v>-9.6847943037532485E-4</v>
      </c>
      <c r="AP511" s="11">
        <f t="shared" si="69"/>
        <v>-1.6102031782807759E-3</v>
      </c>
      <c r="AQ511" s="11">
        <f t="shared" si="70"/>
        <v>-2.9054382911259747E-4</v>
      </c>
      <c r="AR511" s="11">
        <f t="shared" si="71"/>
        <v>-1.9007470073933734E-3</v>
      </c>
    </row>
    <row r="512" spans="2:44" x14ac:dyDescent="0.35">
      <c r="B512" s="1">
        <v>44900</v>
      </c>
      <c r="C512">
        <v>4341.8900000000003</v>
      </c>
      <c r="D512" s="1">
        <v>44901</v>
      </c>
      <c r="E512">
        <v>5.2389999999999999</v>
      </c>
      <c r="F512" s="1">
        <v>44896</v>
      </c>
      <c r="G512">
        <v>114.696</v>
      </c>
      <c r="H512" s="4">
        <f t="shared" si="63"/>
        <v>600892.34399999992</v>
      </c>
      <c r="I512" s="5">
        <v>44900</v>
      </c>
      <c r="J512" s="4">
        <v>5844.65</v>
      </c>
      <c r="K512" s="4">
        <f t="shared" si="64"/>
        <v>58446.5</v>
      </c>
      <c r="L512" s="1">
        <v>44900</v>
      </c>
      <c r="M512">
        <v>6.05</v>
      </c>
      <c r="N512" s="1">
        <v>44900</v>
      </c>
      <c r="O512">
        <v>5.96</v>
      </c>
      <c r="P512" s="1">
        <v>44900</v>
      </c>
      <c r="Q512">
        <v>5.9</v>
      </c>
      <c r="R512" s="1">
        <v>44900</v>
      </c>
      <c r="S512">
        <v>5.84</v>
      </c>
      <c r="T512" s="1">
        <v>44900</v>
      </c>
      <c r="U512">
        <v>5.85</v>
      </c>
      <c r="V512" s="1">
        <v>44900</v>
      </c>
      <c r="W512">
        <v>5.87</v>
      </c>
      <c r="X512" s="1">
        <v>44900</v>
      </c>
      <c r="Y512">
        <f>NETWORKDAYS(X512,$Z$1,FERIADO!$A$2:$A$408)</f>
        <v>2039</v>
      </c>
      <c r="Z512">
        <v>12.7</v>
      </c>
      <c r="AA512" s="6">
        <f t="shared" si="65"/>
        <v>38007.524493867866</v>
      </c>
      <c r="AB512" s="2">
        <f t="shared" si="66"/>
        <v>-7.2888226361417126E-3</v>
      </c>
      <c r="AJ512" s="1">
        <v>44900</v>
      </c>
      <c r="AK512">
        <f>NETWORKDAYS(AJ512,$AJ$1,FERIADO!$A$2:$A$408)</f>
        <v>1026</v>
      </c>
      <c r="AL512">
        <v>12.725</v>
      </c>
      <c r="AM512" s="6">
        <f t="shared" si="67"/>
        <v>61404.937317694792</v>
      </c>
      <c r="AN512" s="2">
        <f t="shared" si="68"/>
        <v>-3.4872134581565174E-3</v>
      </c>
      <c r="AP512" s="11">
        <f t="shared" si="69"/>
        <v>-3.6444113180708563E-3</v>
      </c>
      <c r="AQ512" s="11">
        <f t="shared" si="70"/>
        <v>-1.0461640374469551E-3</v>
      </c>
      <c r="AR512" s="11">
        <f t="shared" si="71"/>
        <v>-4.6905753555178111E-3</v>
      </c>
    </row>
    <row r="513" spans="2:44" x14ac:dyDescent="0.35">
      <c r="B513" s="1">
        <v>44897</v>
      </c>
      <c r="C513">
        <v>4417.76</v>
      </c>
      <c r="D513" s="1">
        <v>44900</v>
      </c>
      <c r="E513">
        <v>5.2457000000000003</v>
      </c>
      <c r="F513" s="1">
        <v>44895</v>
      </c>
      <c r="G513">
        <v>113.5</v>
      </c>
      <c r="H513" s="4">
        <f t="shared" si="63"/>
        <v>595386.95000000007</v>
      </c>
      <c r="I513" s="5">
        <v>44897</v>
      </c>
      <c r="J513" s="4">
        <v>5773.14</v>
      </c>
      <c r="K513" s="4">
        <f t="shared" si="64"/>
        <v>57731.4</v>
      </c>
      <c r="L513" s="1">
        <v>44897</v>
      </c>
      <c r="M513">
        <v>5.92</v>
      </c>
      <c r="N513" s="1">
        <v>44897</v>
      </c>
      <c r="O513">
        <v>5.86</v>
      </c>
      <c r="P513" s="1">
        <v>44897</v>
      </c>
      <c r="Q513">
        <v>5.78</v>
      </c>
      <c r="R513" s="1">
        <v>44897</v>
      </c>
      <c r="S513">
        <v>5.7</v>
      </c>
      <c r="T513" s="1">
        <v>44897</v>
      </c>
      <c r="U513">
        <v>5.72</v>
      </c>
      <c r="V513" s="1">
        <v>44897</v>
      </c>
      <c r="W513">
        <v>5.74</v>
      </c>
      <c r="X513" s="1">
        <v>44897</v>
      </c>
      <c r="Y513">
        <f>NETWORKDAYS(X513,$Z$1,FERIADO!$A$2:$A$408)</f>
        <v>2040</v>
      </c>
      <c r="Z513">
        <v>12.46</v>
      </c>
      <c r="AA513" s="6">
        <f t="shared" si="65"/>
        <v>38650.792813742031</v>
      </c>
      <c r="AB513" s="2">
        <f t="shared" si="66"/>
        <v>8.9491218431977868E-3</v>
      </c>
      <c r="AJ513" s="1">
        <v>44897</v>
      </c>
      <c r="AK513">
        <f>NETWORKDAYS(AJ513,$AJ$1,FERIADO!$A$2:$A$408)</f>
        <v>1027</v>
      </c>
      <c r="AL513">
        <v>12.49</v>
      </c>
      <c r="AM513" s="6">
        <f t="shared" si="67"/>
        <v>61899.979591251045</v>
      </c>
      <c r="AN513" s="2">
        <f t="shared" si="68"/>
        <v>4.292942201593172E-3</v>
      </c>
      <c r="AP513" s="11">
        <f t="shared" si="69"/>
        <v>4.4745609215988934E-3</v>
      </c>
      <c r="AQ513" s="11">
        <f t="shared" si="70"/>
        <v>1.2878826604779516E-3</v>
      </c>
      <c r="AR513" s="11">
        <f t="shared" si="71"/>
        <v>5.762443582076845E-3</v>
      </c>
    </row>
    <row r="514" spans="2:44" x14ac:dyDescent="0.35">
      <c r="B514" s="1">
        <v>44896</v>
      </c>
      <c r="C514">
        <v>4440.08</v>
      </c>
      <c r="D514" s="1">
        <v>44897</v>
      </c>
      <c r="E514">
        <v>5.1967999999999996</v>
      </c>
      <c r="F514" s="1">
        <v>44894</v>
      </c>
      <c r="G514">
        <v>112.97</v>
      </c>
      <c r="H514" s="4">
        <f t="shared" si="63"/>
        <v>587082.49600000004</v>
      </c>
      <c r="I514" s="5">
        <v>44896</v>
      </c>
      <c r="J514" s="4">
        <v>5741.78</v>
      </c>
      <c r="K514" s="4">
        <f t="shared" si="64"/>
        <v>57417.799999999996</v>
      </c>
      <c r="L514" s="1">
        <v>44896</v>
      </c>
      <c r="M514">
        <v>6</v>
      </c>
      <c r="N514" s="1">
        <v>44896</v>
      </c>
      <c r="O514">
        <v>5.9</v>
      </c>
      <c r="P514" s="1">
        <v>44896</v>
      </c>
      <c r="Q514">
        <v>5.83</v>
      </c>
      <c r="R514" s="1">
        <v>44896</v>
      </c>
      <c r="S514">
        <v>5.75</v>
      </c>
      <c r="T514" s="1">
        <v>44896</v>
      </c>
      <c r="U514">
        <v>5.76</v>
      </c>
      <c r="V514" s="1">
        <v>44896</v>
      </c>
      <c r="W514">
        <v>5.76</v>
      </c>
      <c r="X514" s="1">
        <v>44896</v>
      </c>
      <c r="Y514">
        <f>NETWORKDAYS(X514,$Z$1,FERIADO!$A$2:$A$408)</f>
        <v>2041</v>
      </c>
      <c r="Z514">
        <v>12.74</v>
      </c>
      <c r="AA514" s="6">
        <f t="shared" si="65"/>
        <v>37862.499869885134</v>
      </c>
      <c r="AB514" s="2">
        <f t="shared" si="66"/>
        <v>-3.5411200079366253E-3</v>
      </c>
      <c r="AJ514" s="1">
        <v>44896</v>
      </c>
      <c r="AK514">
        <f>NETWORKDAYS(AJ514,$AJ$1,FERIADO!$A$2:$A$408)</f>
        <v>1028</v>
      </c>
      <c r="AL514">
        <v>12.75</v>
      </c>
      <c r="AM514" s="6">
        <f t="shared" si="67"/>
        <v>61291.120867625134</v>
      </c>
      <c r="AN514" s="2">
        <f t="shared" si="68"/>
        <v>-1.3667191262411915E-3</v>
      </c>
      <c r="AP514" s="11">
        <f t="shared" si="69"/>
        <v>-1.7705600039683127E-3</v>
      </c>
      <c r="AQ514" s="11">
        <f t="shared" si="70"/>
        <v>-4.1001573787235746E-4</v>
      </c>
      <c r="AR514" s="11">
        <f t="shared" si="71"/>
        <v>-2.1805757418406702E-3</v>
      </c>
    </row>
    <row r="515" spans="2:44" x14ac:dyDescent="0.35">
      <c r="B515" s="1">
        <v>44895</v>
      </c>
      <c r="C515">
        <v>4435.04</v>
      </c>
      <c r="D515" s="1">
        <v>44896</v>
      </c>
      <c r="E515">
        <v>5.1942000000000004</v>
      </c>
      <c r="F515" s="1">
        <v>44893</v>
      </c>
      <c r="G515">
        <v>113.039</v>
      </c>
      <c r="H515" s="4">
        <f t="shared" si="63"/>
        <v>587147.17379999999</v>
      </c>
      <c r="I515" s="5">
        <v>44895</v>
      </c>
      <c r="J515" s="4">
        <v>5737.93</v>
      </c>
      <c r="K515" s="4">
        <f t="shared" si="64"/>
        <v>57379.3</v>
      </c>
      <c r="L515" s="1">
        <v>44895</v>
      </c>
      <c r="M515">
        <v>5.95</v>
      </c>
      <c r="N515" s="1">
        <v>44895</v>
      </c>
      <c r="O515">
        <v>5.83</v>
      </c>
      <c r="P515" s="1">
        <v>44895</v>
      </c>
      <c r="Q515">
        <v>5.77</v>
      </c>
      <c r="R515" s="1">
        <v>44895</v>
      </c>
      <c r="S515">
        <v>5.71</v>
      </c>
      <c r="T515" s="1">
        <v>44895</v>
      </c>
      <c r="U515">
        <v>5.76</v>
      </c>
      <c r="V515" s="1">
        <v>44895</v>
      </c>
      <c r="W515">
        <v>5.72</v>
      </c>
      <c r="X515" s="1">
        <v>44895</v>
      </c>
      <c r="Y515">
        <f>NETWORKDAYS(X515,$Z$1,FERIADO!$A$2:$A$408)</f>
        <v>2042</v>
      </c>
      <c r="Z515">
        <v>12.62</v>
      </c>
      <c r="AA515" s="6">
        <f t="shared" si="65"/>
        <v>38172.482516391821</v>
      </c>
      <c r="AB515" s="2">
        <f t="shared" si="66"/>
        <v>8.0120186112973522E-3</v>
      </c>
      <c r="AJ515" s="1">
        <v>44895</v>
      </c>
      <c r="AK515">
        <f>NETWORKDAYS(AJ515,$AJ$1,FERIADO!$A$2:$A$408)</f>
        <v>1029</v>
      </c>
      <c r="AL515">
        <v>12.65</v>
      </c>
      <c r="AM515" s="6">
        <f t="shared" si="67"/>
        <v>61484.307051283344</v>
      </c>
      <c r="AN515" s="2">
        <f t="shared" si="68"/>
        <v>3.7472042683481923E-3</v>
      </c>
      <c r="AP515" s="11">
        <f t="shared" si="69"/>
        <v>4.0060093056486761E-3</v>
      </c>
      <c r="AQ515" s="11">
        <f t="shared" si="70"/>
        <v>1.1241612805044576E-3</v>
      </c>
      <c r="AR515" s="11">
        <f t="shared" si="71"/>
        <v>5.1301705861531337E-3</v>
      </c>
    </row>
    <row r="516" spans="2:44" x14ac:dyDescent="0.35">
      <c r="B516" s="1">
        <v>44894</v>
      </c>
      <c r="C516">
        <v>4299.01</v>
      </c>
      <c r="D516" s="1">
        <v>44895</v>
      </c>
      <c r="E516">
        <v>5.2934999999999999</v>
      </c>
      <c r="F516" s="1">
        <v>44890</v>
      </c>
      <c r="G516">
        <v>112.95</v>
      </c>
      <c r="H516" s="4">
        <f t="shared" ref="H516:H579" si="72">G516*E516*1000</f>
        <v>597900.82500000007</v>
      </c>
      <c r="I516" s="5">
        <v>44894</v>
      </c>
      <c r="J516" s="4">
        <v>5838.6</v>
      </c>
      <c r="K516" s="4">
        <f t="shared" si="64"/>
        <v>58386</v>
      </c>
      <c r="L516" s="1">
        <v>44894</v>
      </c>
      <c r="M516">
        <v>6.07</v>
      </c>
      <c r="N516" s="1">
        <v>44894</v>
      </c>
      <c r="O516">
        <v>5.93</v>
      </c>
      <c r="P516" s="1">
        <v>44894</v>
      </c>
      <c r="Q516">
        <v>5.88</v>
      </c>
      <c r="R516" s="1">
        <v>44894</v>
      </c>
      <c r="S516">
        <v>5.82</v>
      </c>
      <c r="T516" s="1">
        <v>44894</v>
      </c>
      <c r="U516">
        <v>5.87</v>
      </c>
      <c r="V516" s="1">
        <v>44894</v>
      </c>
      <c r="W516">
        <v>5.85</v>
      </c>
      <c r="X516" s="1">
        <v>44894</v>
      </c>
      <c r="Y516">
        <f>NETWORKDAYS(X516,$Z$1,FERIADO!$A$2:$A$408)</f>
        <v>2043</v>
      </c>
      <c r="Z516">
        <v>12.87</v>
      </c>
      <c r="AA516" s="6">
        <f t="shared" si="65"/>
        <v>37474.719105383854</v>
      </c>
      <c r="AB516" s="2">
        <f t="shared" si="66"/>
        <v>1.4846631389520273E-2</v>
      </c>
      <c r="AJ516" s="1">
        <v>44894</v>
      </c>
      <c r="AK516">
        <f>NETWORKDAYS(AJ516,$AJ$1,FERIADO!$A$2:$A$408)</f>
        <v>1030</v>
      </c>
      <c r="AL516">
        <v>12.875</v>
      </c>
      <c r="AM516" s="6">
        <f t="shared" si="67"/>
        <v>60956.086754893025</v>
      </c>
      <c r="AN516" s="2">
        <f t="shared" si="68"/>
        <v>8.4538215354850385E-3</v>
      </c>
      <c r="AP516" s="11">
        <f t="shared" si="69"/>
        <v>7.4233156947601363E-3</v>
      </c>
      <c r="AQ516" s="11">
        <f t="shared" si="70"/>
        <v>2.5361464606455113E-3</v>
      </c>
      <c r="AR516" s="11">
        <f t="shared" si="71"/>
        <v>9.9594621554056472E-3</v>
      </c>
    </row>
    <row r="517" spans="2:44" x14ac:dyDescent="0.35">
      <c r="B517" s="1">
        <v>44893</v>
      </c>
      <c r="C517">
        <v>4305.8</v>
      </c>
      <c r="D517" s="1">
        <v>44894</v>
      </c>
      <c r="E517">
        <v>5.3070000000000004</v>
      </c>
      <c r="F517" s="1">
        <v>44889</v>
      </c>
      <c r="G517">
        <v>113.43</v>
      </c>
      <c r="H517" s="4">
        <f t="shared" si="72"/>
        <v>601973.01</v>
      </c>
      <c r="I517" s="5">
        <v>44893</v>
      </c>
      <c r="J517" s="4">
        <v>5946.06</v>
      </c>
      <c r="K517" s="4">
        <f t="shared" ref="K517:K580" si="73">J517*10</f>
        <v>59460.600000000006</v>
      </c>
      <c r="L517" s="1">
        <v>44893</v>
      </c>
      <c r="M517">
        <v>6.3</v>
      </c>
      <c r="N517" s="1">
        <v>44893</v>
      </c>
      <c r="O517">
        <v>6.19</v>
      </c>
      <c r="P517" s="1">
        <v>44893</v>
      </c>
      <c r="Q517">
        <v>6.1</v>
      </c>
      <c r="R517" s="1">
        <v>44893</v>
      </c>
      <c r="S517">
        <v>6.04</v>
      </c>
      <c r="T517" s="1">
        <v>44893</v>
      </c>
      <c r="U517">
        <v>6.07</v>
      </c>
      <c r="V517" s="1">
        <v>44893</v>
      </c>
      <c r="W517">
        <v>6.04</v>
      </c>
      <c r="X517" s="1">
        <v>44893</v>
      </c>
      <c r="Y517">
        <f>NETWORKDAYS(X517,$Z$1,FERIADO!$A$2:$A$408)</f>
        <v>2044</v>
      </c>
      <c r="Z517">
        <v>13.34</v>
      </c>
      <c r="AA517" s="6">
        <f t="shared" ref="AA517:AA580" si="74">$Z$2/(1+Z517/100)^(Y517/252)</f>
        <v>36215.27228982003</v>
      </c>
      <c r="AB517" s="2">
        <f t="shared" ref="AB517:AB580" si="75">LOG(AA517/AA518)</f>
        <v>6.1189549021190368E-3</v>
      </c>
      <c r="AJ517" s="1">
        <v>44893</v>
      </c>
      <c r="AK517">
        <f>NETWORKDAYS(AJ517,$AJ$1,FERIADO!$A$2:$A$408)</f>
        <v>1031</v>
      </c>
      <c r="AL517">
        <v>13.4</v>
      </c>
      <c r="AM517" s="6">
        <f t="shared" ref="AM517:AM580" si="76">$Z$2/(1+AL517/100)^(AK517/252)</f>
        <v>59781.011208912474</v>
      </c>
      <c r="AN517" s="2">
        <f t="shared" ref="AN517:AN580" si="77">LOG(AM517/AM518)</f>
        <v>3.4289883060725905E-3</v>
      </c>
      <c r="AP517" s="11">
        <f t="shared" ref="AP517:AP580" si="78">AB517*$AF$4</f>
        <v>3.0594774510595184E-3</v>
      </c>
      <c r="AQ517" s="11">
        <f t="shared" ref="AQ517:AQ580" si="79">AN517*$AF$7</f>
        <v>1.028696491821777E-3</v>
      </c>
      <c r="AR517" s="11">
        <f t="shared" ref="AR517:AR580" si="80">AQ517+AP517</f>
        <v>4.0881739428812952E-3</v>
      </c>
    </row>
    <row r="518" spans="2:44" x14ac:dyDescent="0.35">
      <c r="B518" s="1">
        <v>44890</v>
      </c>
      <c r="C518">
        <v>4374.21</v>
      </c>
      <c r="D518" s="1">
        <v>44893</v>
      </c>
      <c r="E518">
        <v>5.3791000000000002</v>
      </c>
      <c r="F518" s="1">
        <v>44888</v>
      </c>
      <c r="G518">
        <v>112.874</v>
      </c>
      <c r="H518" s="4">
        <f t="shared" si="72"/>
        <v>607160.53339999996</v>
      </c>
      <c r="I518" s="5">
        <v>44890</v>
      </c>
      <c r="J518" s="4">
        <v>5997.57</v>
      </c>
      <c r="K518" s="4">
        <f t="shared" si="73"/>
        <v>59975.7</v>
      </c>
      <c r="L518" s="1">
        <v>44890</v>
      </c>
      <c r="M518">
        <v>6.37</v>
      </c>
      <c r="N518" s="1">
        <v>44890</v>
      </c>
      <c r="O518">
        <v>6.22</v>
      </c>
      <c r="P518" s="1">
        <v>44890</v>
      </c>
      <c r="Q518">
        <v>6.19</v>
      </c>
      <c r="R518" s="1">
        <v>44890</v>
      </c>
      <c r="S518">
        <v>6.11</v>
      </c>
      <c r="T518" s="1">
        <v>44890</v>
      </c>
      <c r="U518">
        <v>6.11</v>
      </c>
      <c r="V518" s="1">
        <v>44890</v>
      </c>
      <c r="W518">
        <v>6.1</v>
      </c>
      <c r="X518" s="1">
        <v>44890</v>
      </c>
      <c r="Y518">
        <f>NETWORKDAYS(X518,$Z$1,FERIADO!$A$2:$A$408)</f>
        <v>2045</v>
      </c>
      <c r="Z518">
        <v>13.53</v>
      </c>
      <c r="AA518" s="6">
        <f t="shared" si="74"/>
        <v>35708.598066243037</v>
      </c>
      <c r="AB518" s="2">
        <f t="shared" si="75"/>
        <v>-4.1321630100065827E-3</v>
      </c>
      <c r="AJ518" s="1">
        <v>44890</v>
      </c>
      <c r="AK518">
        <f>NETWORKDAYS(AJ518,$AJ$1,FERIADO!$A$2:$A$408)</f>
        <v>1032</v>
      </c>
      <c r="AL518">
        <v>13.605</v>
      </c>
      <c r="AM518" s="6">
        <f t="shared" si="76"/>
        <v>59310.866466704589</v>
      </c>
      <c r="AN518" s="2">
        <f t="shared" si="77"/>
        <v>-2.9955513651449442E-3</v>
      </c>
      <c r="AP518" s="11">
        <f t="shared" si="78"/>
        <v>-2.0660815050032913E-3</v>
      </c>
      <c r="AQ518" s="11">
        <f t="shared" si="79"/>
        <v>-8.9866540954348321E-4</v>
      </c>
      <c r="AR518" s="11">
        <f t="shared" si="80"/>
        <v>-2.9647469145467746E-3</v>
      </c>
    </row>
    <row r="519" spans="2:44" x14ac:dyDescent="0.35">
      <c r="B519" s="1">
        <v>44889</v>
      </c>
      <c r="C519">
        <v>4398.38</v>
      </c>
      <c r="D519" s="1">
        <v>44890</v>
      </c>
      <c r="E519">
        <v>5.3502000000000001</v>
      </c>
      <c r="F519" s="1">
        <v>44887</v>
      </c>
      <c r="G519">
        <v>112.58</v>
      </c>
      <c r="H519" s="4">
        <f t="shared" si="72"/>
        <v>602325.51599999995</v>
      </c>
      <c r="I519" s="5">
        <v>44889</v>
      </c>
      <c r="J519" s="4">
        <v>5896.21</v>
      </c>
      <c r="K519" s="4">
        <f t="shared" si="73"/>
        <v>58962.1</v>
      </c>
      <c r="L519" s="1">
        <v>44889</v>
      </c>
      <c r="M519">
        <v>6.2</v>
      </c>
      <c r="N519" s="1">
        <v>44889</v>
      </c>
      <c r="O519">
        <v>6.19</v>
      </c>
      <c r="P519" s="1">
        <v>44889</v>
      </c>
      <c r="Q519">
        <v>6.05</v>
      </c>
      <c r="R519" s="1">
        <v>44889</v>
      </c>
      <c r="S519">
        <v>5.98</v>
      </c>
      <c r="T519" s="1">
        <v>44889</v>
      </c>
      <c r="U519">
        <v>5.98</v>
      </c>
      <c r="V519" s="1">
        <v>44889</v>
      </c>
      <c r="W519">
        <v>5.85</v>
      </c>
      <c r="X519" s="1">
        <v>44889</v>
      </c>
      <c r="Y519">
        <f>NETWORKDAYS(X519,$Z$1,FERIADO!$A$2:$A$408)</f>
        <v>2046</v>
      </c>
      <c r="Z519">
        <v>13.39</v>
      </c>
      <c r="AA519" s="6">
        <f t="shared" si="74"/>
        <v>36049.974591866383</v>
      </c>
      <c r="AB519" s="2">
        <f t="shared" si="75"/>
        <v>1.015836003881028E-2</v>
      </c>
      <c r="AJ519" s="1">
        <v>44889</v>
      </c>
      <c r="AK519">
        <f>NETWORKDAYS(AJ519,$AJ$1,FERIADO!$A$2:$A$408)</f>
        <v>1033</v>
      </c>
      <c r="AL519">
        <v>13.4</v>
      </c>
      <c r="AM519" s="6">
        <f t="shared" si="76"/>
        <v>59721.378001639605</v>
      </c>
      <c r="AN519" s="2">
        <f t="shared" si="77"/>
        <v>6.0214940636240718E-3</v>
      </c>
      <c r="AP519" s="11">
        <f t="shared" si="78"/>
        <v>5.0791800194051398E-3</v>
      </c>
      <c r="AQ519" s="11">
        <f t="shared" si="79"/>
        <v>1.8064482190872214E-3</v>
      </c>
      <c r="AR519" s="11">
        <f t="shared" si="80"/>
        <v>6.8856282384923608E-3</v>
      </c>
    </row>
    <row r="520" spans="2:44" x14ac:dyDescent="0.35">
      <c r="B520" s="1">
        <v>44888</v>
      </c>
      <c r="C520">
        <v>4377.62</v>
      </c>
      <c r="D520" s="1">
        <v>44889</v>
      </c>
      <c r="E520">
        <v>5.3143000000000002</v>
      </c>
      <c r="F520" s="1">
        <v>44886</v>
      </c>
      <c r="G520">
        <v>112.205</v>
      </c>
      <c r="H520" s="4">
        <f t="shared" si="72"/>
        <v>596291.03150000004</v>
      </c>
      <c r="I520" s="5">
        <v>44888</v>
      </c>
      <c r="J520" s="4">
        <v>5954.37</v>
      </c>
      <c r="K520" s="4">
        <f t="shared" si="73"/>
        <v>59543.7</v>
      </c>
      <c r="L520" s="1">
        <v>44888</v>
      </c>
      <c r="M520">
        <v>6.3</v>
      </c>
      <c r="N520" s="1">
        <v>44888</v>
      </c>
      <c r="O520">
        <v>6.22</v>
      </c>
      <c r="P520" s="1">
        <v>44888</v>
      </c>
      <c r="Q520">
        <v>6.11</v>
      </c>
      <c r="R520" s="1">
        <v>44888</v>
      </c>
      <c r="S520">
        <v>6.09</v>
      </c>
      <c r="T520" s="1">
        <v>44888</v>
      </c>
      <c r="U520">
        <v>6.11</v>
      </c>
      <c r="V520" s="1">
        <v>44888</v>
      </c>
      <c r="W520">
        <v>6.09</v>
      </c>
      <c r="X520" s="1">
        <v>44888</v>
      </c>
      <c r="Y520">
        <f>NETWORKDAYS(X520,$Z$1,FERIADO!$A$2:$A$408)</f>
        <v>2047</v>
      </c>
      <c r="Z520">
        <v>13.71</v>
      </c>
      <c r="AA520" s="6">
        <f t="shared" si="74"/>
        <v>35216.533376749212</v>
      </c>
      <c r="AB520" s="2">
        <f t="shared" si="75"/>
        <v>-9.1027395170677587E-3</v>
      </c>
      <c r="AJ520" s="1">
        <v>44888</v>
      </c>
      <c r="AK520">
        <f>NETWORKDAYS(AJ520,$AJ$1,FERIADO!$A$2:$A$408)</f>
        <v>1034</v>
      </c>
      <c r="AL520">
        <v>13.77</v>
      </c>
      <c r="AM520" s="6">
        <f t="shared" si="76"/>
        <v>58899.054877756011</v>
      </c>
      <c r="AN520" s="2">
        <f t="shared" si="77"/>
        <v>-4.6445450778215503E-3</v>
      </c>
      <c r="AP520" s="11">
        <f t="shared" si="78"/>
        <v>-4.5513697585338794E-3</v>
      </c>
      <c r="AQ520" s="11">
        <f t="shared" si="79"/>
        <v>-1.393363523346465E-3</v>
      </c>
      <c r="AR520" s="11">
        <f t="shared" si="80"/>
        <v>-5.9447332818803444E-3</v>
      </c>
    </row>
    <row r="521" spans="2:44" x14ac:dyDescent="0.35">
      <c r="B521" s="1">
        <v>44887</v>
      </c>
      <c r="C521">
        <v>4355.0600000000004</v>
      </c>
      <c r="D521" s="1">
        <v>44888</v>
      </c>
      <c r="E521">
        <v>5.3924000000000003</v>
      </c>
      <c r="F521" s="1">
        <v>44883</v>
      </c>
      <c r="G521">
        <v>112.273</v>
      </c>
      <c r="H521" s="4">
        <f t="shared" si="72"/>
        <v>605420.92520000006</v>
      </c>
      <c r="I521" s="5">
        <v>44887</v>
      </c>
      <c r="J521" s="4">
        <v>5943.29</v>
      </c>
      <c r="K521" s="4">
        <f t="shared" si="73"/>
        <v>59432.9</v>
      </c>
      <c r="L521" s="1">
        <v>44887</v>
      </c>
      <c r="M521">
        <v>6.18</v>
      </c>
      <c r="N521" s="1">
        <v>44887</v>
      </c>
      <c r="O521">
        <v>6.11</v>
      </c>
      <c r="P521" s="1">
        <v>44887</v>
      </c>
      <c r="Q521">
        <v>6.11</v>
      </c>
      <c r="R521" s="1">
        <v>44887</v>
      </c>
      <c r="S521">
        <v>6.05</v>
      </c>
      <c r="T521" s="1">
        <v>44887</v>
      </c>
      <c r="U521">
        <v>6.05</v>
      </c>
      <c r="V521" s="1">
        <v>44887</v>
      </c>
      <c r="W521">
        <v>6.07</v>
      </c>
      <c r="X521" s="1">
        <v>44887</v>
      </c>
      <c r="Y521">
        <f>NETWORKDAYS(X521,$Z$1,FERIADO!$A$2:$A$408)</f>
        <v>2048</v>
      </c>
      <c r="Z521">
        <v>13.41</v>
      </c>
      <c r="AA521" s="6">
        <f t="shared" si="74"/>
        <v>35962.455909039083</v>
      </c>
      <c r="AB521" s="2">
        <f t="shared" si="75"/>
        <v>-4.4567453032982474E-3</v>
      </c>
      <c r="AJ521" s="1">
        <v>44887</v>
      </c>
      <c r="AK521">
        <f>NETWORKDAYS(AJ521,$AJ$1,FERIADO!$A$2:$A$408)</f>
        <v>1035</v>
      </c>
      <c r="AL521">
        <v>13.46</v>
      </c>
      <c r="AM521" s="6">
        <f t="shared" si="76"/>
        <v>59532.328704687628</v>
      </c>
      <c r="AN521" s="2">
        <f t="shared" si="77"/>
        <v>-3.0900406038193162E-3</v>
      </c>
      <c r="AP521" s="11">
        <f t="shared" si="78"/>
        <v>-2.2283726516491237E-3</v>
      </c>
      <c r="AQ521" s="11">
        <f t="shared" si="79"/>
        <v>-9.2701218114579482E-4</v>
      </c>
      <c r="AR521" s="11">
        <f t="shared" si="80"/>
        <v>-3.1553848327949188E-3</v>
      </c>
    </row>
    <row r="522" spans="2:44" x14ac:dyDescent="0.35">
      <c r="B522" s="1">
        <v>44886</v>
      </c>
      <c r="C522">
        <v>4300.25</v>
      </c>
      <c r="D522" s="1">
        <v>44887</v>
      </c>
      <c r="E522">
        <v>5.3333000000000004</v>
      </c>
      <c r="F522" s="1">
        <v>44882</v>
      </c>
      <c r="G522">
        <v>112.64</v>
      </c>
      <c r="H522" s="4">
        <f t="shared" si="72"/>
        <v>600742.91200000001</v>
      </c>
      <c r="I522" s="5">
        <v>44886</v>
      </c>
      <c r="J522" s="4">
        <v>5907.28</v>
      </c>
      <c r="K522" s="4">
        <f t="shared" si="73"/>
        <v>59072.799999999996</v>
      </c>
      <c r="L522" s="1">
        <v>44886</v>
      </c>
      <c r="M522">
        <v>6</v>
      </c>
      <c r="N522" s="1">
        <v>44886</v>
      </c>
      <c r="O522">
        <v>5.93</v>
      </c>
      <c r="P522" s="1">
        <v>44886</v>
      </c>
      <c r="Q522">
        <v>5.92</v>
      </c>
      <c r="R522" s="1">
        <v>44886</v>
      </c>
      <c r="S522">
        <v>5.9</v>
      </c>
      <c r="T522" s="1">
        <v>44886</v>
      </c>
      <c r="U522">
        <v>5.91</v>
      </c>
      <c r="V522" s="1">
        <v>44886</v>
      </c>
      <c r="W522">
        <v>5.94</v>
      </c>
      <c r="X522" s="1">
        <v>44886</v>
      </c>
      <c r="Y522">
        <f>NETWORKDAYS(X522,$Z$1,FERIADO!$A$2:$A$408)</f>
        <v>2049</v>
      </c>
      <c r="Z522">
        <v>13.26</v>
      </c>
      <c r="AA522" s="6">
        <f t="shared" si="74"/>
        <v>36333.403986784258</v>
      </c>
      <c r="AB522" s="2">
        <f t="shared" si="75"/>
        <v>5.8249233399864115E-3</v>
      </c>
      <c r="AJ522" s="1">
        <v>44886</v>
      </c>
      <c r="AK522">
        <f>NETWORKDAYS(AJ522,$AJ$1,FERIADO!$A$2:$A$408)</f>
        <v>1036</v>
      </c>
      <c r="AL522">
        <v>13.25</v>
      </c>
      <c r="AM522" s="6">
        <f t="shared" si="76"/>
        <v>59957.416545188818</v>
      </c>
      <c r="AN522" s="2">
        <f t="shared" si="77"/>
        <v>3.525300756427993E-3</v>
      </c>
      <c r="AP522" s="11">
        <f t="shared" si="78"/>
        <v>2.9124616699932057E-3</v>
      </c>
      <c r="AQ522" s="11">
        <f t="shared" si="79"/>
        <v>1.0575902269283979E-3</v>
      </c>
      <c r="AR522" s="11">
        <f t="shared" si="80"/>
        <v>3.9700518969216034E-3</v>
      </c>
    </row>
    <row r="523" spans="2:44" x14ac:dyDescent="0.35">
      <c r="B523" s="1">
        <v>44883</v>
      </c>
      <c r="C523">
        <v>4309.05</v>
      </c>
      <c r="D523" s="1">
        <v>44886</v>
      </c>
      <c r="E523">
        <v>5.3253000000000004</v>
      </c>
      <c r="F523" s="1">
        <v>44881</v>
      </c>
      <c r="G523">
        <v>113.25</v>
      </c>
      <c r="H523" s="4">
        <f t="shared" si="72"/>
        <v>603090.22499999998</v>
      </c>
      <c r="I523" s="5">
        <v>44883</v>
      </c>
      <c r="J523" s="4">
        <v>5968.77</v>
      </c>
      <c r="K523" s="4">
        <f t="shared" si="73"/>
        <v>59687.700000000004</v>
      </c>
      <c r="L523" s="1">
        <v>44883</v>
      </c>
      <c r="M523">
        <v>6.04</v>
      </c>
      <c r="N523" s="1">
        <v>44883</v>
      </c>
      <c r="O523">
        <v>5.97</v>
      </c>
      <c r="P523" s="1">
        <v>44883</v>
      </c>
      <c r="Q523">
        <v>5.92</v>
      </c>
      <c r="R523" s="1">
        <v>44883</v>
      </c>
      <c r="S523">
        <v>5.97</v>
      </c>
      <c r="T523" s="1">
        <v>44883</v>
      </c>
      <c r="U523">
        <v>5.96</v>
      </c>
      <c r="V523" s="1">
        <v>44883</v>
      </c>
      <c r="W523">
        <v>5.99</v>
      </c>
      <c r="X523" s="1">
        <v>44883</v>
      </c>
      <c r="Y523">
        <f>NETWORKDAYS(X523,$Z$1,FERIADO!$A$2:$A$408)</f>
        <v>2050</v>
      </c>
      <c r="Z523">
        <v>13.44</v>
      </c>
      <c r="AA523" s="6">
        <f t="shared" si="74"/>
        <v>35849.33998798074</v>
      </c>
      <c r="AB523" s="2">
        <f t="shared" si="75"/>
        <v>-4.4596133351216703E-3</v>
      </c>
      <c r="AJ523" s="1">
        <v>44883</v>
      </c>
      <c r="AK523">
        <f>NETWORKDAYS(AJ523,$AJ$1,FERIADO!$A$2:$A$408)</f>
        <v>1037</v>
      </c>
      <c r="AL523">
        <v>13.46</v>
      </c>
      <c r="AM523" s="6">
        <f t="shared" si="76"/>
        <v>59472.693892228119</v>
      </c>
      <c r="AN523" s="2">
        <f t="shared" si="77"/>
        <v>-2.3068080235647526E-3</v>
      </c>
      <c r="AP523" s="11">
        <f t="shared" si="78"/>
        <v>-2.2298066675608351E-3</v>
      </c>
      <c r="AQ523" s="11">
        <f t="shared" si="79"/>
        <v>-6.9204240706942572E-4</v>
      </c>
      <c r="AR523" s="11">
        <f t="shared" si="80"/>
        <v>-2.921849074630261E-3</v>
      </c>
    </row>
    <row r="524" spans="2:44" x14ac:dyDescent="0.35">
      <c r="B524" s="1">
        <v>44882</v>
      </c>
      <c r="C524">
        <v>4302.9399999999996</v>
      </c>
      <c r="D524" s="1">
        <v>44883</v>
      </c>
      <c r="E524">
        <v>5.3471000000000002</v>
      </c>
      <c r="F524" s="1">
        <v>44879</v>
      </c>
      <c r="G524">
        <v>112.1</v>
      </c>
      <c r="H524" s="4">
        <f t="shared" si="72"/>
        <v>599409.90999999992</v>
      </c>
      <c r="I524" s="5">
        <v>44882</v>
      </c>
      <c r="J524" s="4">
        <v>6028.59</v>
      </c>
      <c r="K524" s="4">
        <f t="shared" si="73"/>
        <v>60285.9</v>
      </c>
      <c r="L524" s="1">
        <v>44882</v>
      </c>
      <c r="M524">
        <v>5.99</v>
      </c>
      <c r="N524" s="1">
        <v>44882</v>
      </c>
      <c r="O524">
        <v>5.94</v>
      </c>
      <c r="P524" s="1">
        <v>44882</v>
      </c>
      <c r="Q524">
        <v>5.88</v>
      </c>
      <c r="R524" s="1">
        <v>44882</v>
      </c>
      <c r="S524">
        <v>5.82</v>
      </c>
      <c r="T524" s="1">
        <v>44882</v>
      </c>
      <c r="U524">
        <v>5.86</v>
      </c>
      <c r="V524" s="1">
        <v>44882</v>
      </c>
      <c r="W524">
        <v>5.85</v>
      </c>
      <c r="X524" s="1">
        <v>44882</v>
      </c>
      <c r="Y524">
        <f>NETWORKDAYS(X524,$Z$1,FERIADO!$A$2:$A$408)</f>
        <v>2051</v>
      </c>
      <c r="Z524">
        <v>13.29</v>
      </c>
      <c r="AA524" s="6">
        <f t="shared" si="74"/>
        <v>36219.360477427559</v>
      </c>
      <c r="AB524" s="2">
        <f t="shared" si="75"/>
        <v>-6.0335605523289294E-3</v>
      </c>
      <c r="AJ524" s="1">
        <v>44882</v>
      </c>
      <c r="AK524">
        <f>NETWORKDAYS(AJ524,$AJ$1,FERIADO!$A$2:$A$408)</f>
        <v>1038</v>
      </c>
      <c r="AL524">
        <v>13.3</v>
      </c>
      <c r="AM524" s="6">
        <f t="shared" si="76"/>
        <v>59789.430796309549</v>
      </c>
      <c r="AN524" s="2">
        <f t="shared" si="77"/>
        <v>-3.1859086426102206E-3</v>
      </c>
      <c r="AP524" s="11">
        <f t="shared" si="78"/>
        <v>-3.0167802761644647E-3</v>
      </c>
      <c r="AQ524" s="11">
        <f t="shared" si="79"/>
        <v>-9.5577259278306615E-4</v>
      </c>
      <c r="AR524" s="11">
        <f t="shared" si="80"/>
        <v>-3.972552868947531E-3</v>
      </c>
    </row>
    <row r="525" spans="2:44" x14ac:dyDescent="0.35">
      <c r="B525" s="1">
        <v>44881</v>
      </c>
      <c r="C525">
        <v>4309.3999999999996</v>
      </c>
      <c r="D525" s="1">
        <v>44882</v>
      </c>
      <c r="E525">
        <v>5.4649000000000001</v>
      </c>
      <c r="F525" s="1">
        <v>44876</v>
      </c>
      <c r="G525">
        <v>112.282</v>
      </c>
      <c r="H525" s="4">
        <f t="shared" si="72"/>
        <v>613609.90179999999</v>
      </c>
      <c r="I525" s="5">
        <v>44881</v>
      </c>
      <c r="J525" s="4">
        <v>6009.76</v>
      </c>
      <c r="K525" s="4">
        <f t="shared" si="73"/>
        <v>60097.600000000006</v>
      </c>
      <c r="L525" s="1">
        <v>44881</v>
      </c>
      <c r="M525">
        <v>5.93</v>
      </c>
      <c r="N525" s="1">
        <v>44881</v>
      </c>
      <c r="O525">
        <v>5.86</v>
      </c>
      <c r="P525" s="1">
        <v>44881</v>
      </c>
      <c r="Q525">
        <v>5.86</v>
      </c>
      <c r="R525" s="1">
        <v>44881</v>
      </c>
      <c r="S525">
        <v>5.83</v>
      </c>
      <c r="T525" s="1">
        <v>44881</v>
      </c>
      <c r="U525">
        <v>5.86</v>
      </c>
      <c r="V525" s="1">
        <v>44881</v>
      </c>
      <c r="W525">
        <v>5.85</v>
      </c>
      <c r="X525" s="1">
        <v>44881</v>
      </c>
      <c r="Y525">
        <f>NETWORKDAYS(X525,$Z$1,FERIADO!$A$2:$A$408)</f>
        <v>2052</v>
      </c>
      <c r="Z525">
        <v>13.09</v>
      </c>
      <c r="AA525" s="6">
        <f t="shared" si="74"/>
        <v>36726.059906526832</v>
      </c>
      <c r="AB525" s="2">
        <f t="shared" si="75"/>
        <v>-7.6181296707177586E-3</v>
      </c>
      <c r="AJ525" s="1">
        <v>44881</v>
      </c>
      <c r="AK525">
        <f>NETWORKDAYS(AJ525,$AJ$1,FERIADO!$A$2:$A$408)</f>
        <v>1039</v>
      </c>
      <c r="AL525">
        <v>13.085000000000001</v>
      </c>
      <c r="AM525" s="6">
        <f t="shared" si="76"/>
        <v>60229.648347667993</v>
      </c>
      <c r="AN525" s="2">
        <f t="shared" si="77"/>
        <v>-4.4697497509916494E-3</v>
      </c>
      <c r="AP525" s="11">
        <f t="shared" si="78"/>
        <v>-3.8090648353588793E-3</v>
      </c>
      <c r="AQ525" s="11">
        <f t="shared" si="79"/>
        <v>-1.3409249252974947E-3</v>
      </c>
      <c r="AR525" s="11">
        <f t="shared" si="80"/>
        <v>-5.1499897606563736E-3</v>
      </c>
    </row>
    <row r="526" spans="2:44" x14ac:dyDescent="0.35">
      <c r="B526" s="1">
        <v>44879</v>
      </c>
      <c r="C526">
        <v>4311.67</v>
      </c>
      <c r="D526" s="1">
        <v>44881</v>
      </c>
      <c r="E526">
        <v>5.3197999999999999</v>
      </c>
      <c r="F526" s="1">
        <v>44875</v>
      </c>
      <c r="G526">
        <v>112.47</v>
      </c>
      <c r="H526" s="4">
        <f t="shared" si="72"/>
        <v>598317.90599999996</v>
      </c>
      <c r="I526" s="5">
        <v>44879</v>
      </c>
      <c r="J526" s="4">
        <v>5934.98</v>
      </c>
      <c r="K526" s="4">
        <f t="shared" si="73"/>
        <v>59349.799999999996</v>
      </c>
      <c r="L526" s="1">
        <v>44879</v>
      </c>
      <c r="M526">
        <v>5.83</v>
      </c>
      <c r="N526" s="1">
        <v>44879</v>
      </c>
      <c r="O526">
        <v>5.78</v>
      </c>
      <c r="P526" s="1">
        <v>44879</v>
      </c>
      <c r="Q526">
        <v>5.79</v>
      </c>
      <c r="R526" s="1">
        <v>44879</v>
      </c>
      <c r="S526">
        <v>5.75</v>
      </c>
      <c r="T526" s="1">
        <v>44879</v>
      </c>
      <c r="U526">
        <v>5.75</v>
      </c>
      <c r="V526" s="1">
        <v>44879</v>
      </c>
      <c r="W526">
        <v>5.79</v>
      </c>
      <c r="X526" s="1">
        <v>44879</v>
      </c>
      <c r="Y526">
        <f>NETWORKDAYS(X526,$Z$1,FERIADO!$A$2:$A$408)</f>
        <v>2053</v>
      </c>
      <c r="Z526">
        <v>12.84</v>
      </c>
      <c r="AA526" s="6">
        <f t="shared" si="74"/>
        <v>37375.969608877233</v>
      </c>
      <c r="AB526" s="2">
        <f t="shared" si="75"/>
        <v>1.2421579169480768E-2</v>
      </c>
      <c r="AJ526" s="1">
        <v>44879</v>
      </c>
      <c r="AK526">
        <f>NETWORKDAYS(AJ526,$AJ$1,FERIADO!$A$2:$A$408)</f>
        <v>1040</v>
      </c>
      <c r="AL526">
        <v>12.79</v>
      </c>
      <c r="AM526" s="6">
        <f t="shared" si="76"/>
        <v>60852.73151191356</v>
      </c>
      <c r="AN526" s="2">
        <f t="shared" si="77"/>
        <v>6.5586105332788051E-3</v>
      </c>
      <c r="AP526" s="11">
        <f t="shared" si="78"/>
        <v>6.2107895847403841E-3</v>
      </c>
      <c r="AQ526" s="11">
        <f t="shared" si="79"/>
        <v>1.9675831599836415E-3</v>
      </c>
      <c r="AR526" s="11">
        <f t="shared" si="80"/>
        <v>8.1783727447240252E-3</v>
      </c>
    </row>
    <row r="527" spans="2:44" x14ac:dyDescent="0.35">
      <c r="B527" s="1">
        <v>44876</v>
      </c>
      <c r="C527">
        <v>4341.22</v>
      </c>
      <c r="D527" s="1">
        <v>44879</v>
      </c>
      <c r="E527">
        <v>5.3007</v>
      </c>
      <c r="F527" s="1">
        <v>44874</v>
      </c>
      <c r="G527">
        <v>110.488</v>
      </c>
      <c r="H527" s="4">
        <f t="shared" si="72"/>
        <v>585663.74159999995</v>
      </c>
      <c r="I527" s="5">
        <v>44876</v>
      </c>
      <c r="J527" s="4">
        <v>5944.4</v>
      </c>
      <c r="K527" s="4">
        <f t="shared" si="73"/>
        <v>59444</v>
      </c>
      <c r="L527" s="1">
        <v>44876</v>
      </c>
      <c r="M527">
        <v>6.06</v>
      </c>
      <c r="N527" s="1">
        <v>44876</v>
      </c>
      <c r="O527">
        <v>5.97</v>
      </c>
      <c r="P527" s="1">
        <v>44876</v>
      </c>
      <c r="Q527">
        <v>5.95</v>
      </c>
      <c r="R527" s="1">
        <v>44876</v>
      </c>
      <c r="S527">
        <v>5.92</v>
      </c>
      <c r="T527" s="1">
        <v>44876</v>
      </c>
      <c r="U527">
        <v>5.91</v>
      </c>
      <c r="V527" s="1">
        <v>44876</v>
      </c>
      <c r="W527">
        <v>5.94</v>
      </c>
      <c r="X527" s="1">
        <v>44876</v>
      </c>
      <c r="Y527">
        <f>NETWORKDAYS(X527,$Z$1,FERIADO!$A$2:$A$408)</f>
        <v>2054</v>
      </c>
      <c r="Z527">
        <v>13.23</v>
      </c>
      <c r="AA527" s="6">
        <f t="shared" si="74"/>
        <v>36322.094900915457</v>
      </c>
      <c r="AB527" s="2">
        <f t="shared" si="75"/>
        <v>-5.4203233878970906E-3</v>
      </c>
      <c r="AJ527" s="1">
        <v>44876</v>
      </c>
      <c r="AK527">
        <f>NETWORKDAYS(AJ527,$AJ$1,FERIADO!$A$2:$A$408)</f>
        <v>1041</v>
      </c>
      <c r="AL527">
        <v>13.19</v>
      </c>
      <c r="AM527" s="6">
        <f t="shared" si="76"/>
        <v>59940.652567941681</v>
      </c>
      <c r="AN527" s="2">
        <f t="shared" si="77"/>
        <v>-3.1212461122362995E-3</v>
      </c>
      <c r="AP527" s="11">
        <f t="shared" si="78"/>
        <v>-2.7101616939485453E-3</v>
      </c>
      <c r="AQ527" s="11">
        <f t="shared" si="79"/>
        <v>-9.3637383367088981E-4</v>
      </c>
      <c r="AR527" s="11">
        <f t="shared" si="80"/>
        <v>-3.6465355276194353E-3</v>
      </c>
    </row>
    <row r="528" spans="2:44" x14ac:dyDescent="0.35">
      <c r="B528" s="1">
        <v>44875</v>
      </c>
      <c r="C528">
        <v>4291.3500000000004</v>
      </c>
      <c r="D528" s="1">
        <v>44876</v>
      </c>
      <c r="E528">
        <v>5.3045</v>
      </c>
      <c r="F528" s="1">
        <v>44873</v>
      </c>
      <c r="G528">
        <v>110.30500000000001</v>
      </c>
      <c r="H528" s="4">
        <f t="shared" si="72"/>
        <v>585112.87249999994</v>
      </c>
      <c r="I528" s="5">
        <v>44875</v>
      </c>
      <c r="J528" s="4">
        <v>5948.27</v>
      </c>
      <c r="K528" s="4">
        <f t="shared" si="73"/>
        <v>59482.700000000004</v>
      </c>
      <c r="L528" s="1">
        <v>44875</v>
      </c>
      <c r="M528">
        <v>6.09</v>
      </c>
      <c r="N528" s="1">
        <v>44875</v>
      </c>
      <c r="O528">
        <v>5.94</v>
      </c>
      <c r="P528" s="1">
        <v>44875</v>
      </c>
      <c r="Q528">
        <v>5.88</v>
      </c>
      <c r="R528" s="1">
        <v>44875</v>
      </c>
      <c r="S528">
        <v>5.87</v>
      </c>
      <c r="T528" s="1">
        <v>44875</v>
      </c>
      <c r="U528">
        <v>5.9</v>
      </c>
      <c r="V528" s="1">
        <v>44875</v>
      </c>
      <c r="W528">
        <v>5.91</v>
      </c>
      <c r="X528" s="1">
        <v>44875</v>
      </c>
      <c r="Y528">
        <f>NETWORKDAYS(X528,$Z$1,FERIADO!$A$2:$A$408)</f>
        <v>2055</v>
      </c>
      <c r="Z528">
        <v>13.05</v>
      </c>
      <c r="AA528" s="6">
        <f t="shared" si="74"/>
        <v>36778.26283760849</v>
      </c>
      <c r="AB528" s="2">
        <f t="shared" si="75"/>
        <v>-3.0322202885890222E-2</v>
      </c>
      <c r="AJ528" s="1">
        <v>44875</v>
      </c>
      <c r="AK528">
        <f>NETWORKDAYS(AJ528,$AJ$1,FERIADO!$A$2:$A$408)</f>
        <v>1042</v>
      </c>
      <c r="AL528">
        <v>12.98</v>
      </c>
      <c r="AM528" s="6">
        <f t="shared" si="76"/>
        <v>60372.993871427352</v>
      </c>
      <c r="AN528" s="2">
        <f t="shared" si="77"/>
        <v>-1.7054984555763014E-2</v>
      </c>
      <c r="AP528" s="11">
        <f t="shared" si="78"/>
        <v>-1.5161101442945111E-2</v>
      </c>
      <c r="AQ528" s="11">
        <f t="shared" si="79"/>
        <v>-5.1164953667289037E-3</v>
      </c>
      <c r="AR528" s="11">
        <f t="shared" si="80"/>
        <v>-2.0277596809674014E-2</v>
      </c>
    </row>
    <row r="529" spans="2:44" x14ac:dyDescent="0.35">
      <c r="B529" s="1">
        <v>44874</v>
      </c>
      <c r="C529">
        <v>4079.32</v>
      </c>
      <c r="D529" s="1">
        <v>44875</v>
      </c>
      <c r="E529">
        <v>5.3057999999999996</v>
      </c>
      <c r="F529" s="1">
        <v>44872</v>
      </c>
      <c r="G529">
        <v>109.67</v>
      </c>
      <c r="H529" s="4">
        <f t="shared" si="72"/>
        <v>581887.08600000001</v>
      </c>
      <c r="I529" s="5">
        <v>44874</v>
      </c>
      <c r="J529" s="4">
        <v>5764.93</v>
      </c>
      <c r="K529" s="4">
        <f t="shared" si="73"/>
        <v>57649.3</v>
      </c>
      <c r="L529" s="1">
        <v>44874</v>
      </c>
      <c r="M529">
        <v>5.6</v>
      </c>
      <c r="N529" s="1">
        <v>44874</v>
      </c>
      <c r="O529">
        <v>5.57</v>
      </c>
      <c r="P529" s="1">
        <v>44874</v>
      </c>
      <c r="Q529">
        <v>5.59</v>
      </c>
      <c r="R529" s="1">
        <v>44874</v>
      </c>
      <c r="S529">
        <v>5.59</v>
      </c>
      <c r="T529" s="1">
        <v>44874</v>
      </c>
      <c r="U529">
        <v>5.66</v>
      </c>
      <c r="V529" s="1">
        <v>44874</v>
      </c>
      <c r="W529">
        <v>5.69</v>
      </c>
      <c r="X529" s="1">
        <v>44874</v>
      </c>
      <c r="Y529">
        <f>NETWORKDAYS(X529,$Z$1,FERIADO!$A$2:$A$408)</f>
        <v>2056</v>
      </c>
      <c r="Z529">
        <v>12.08</v>
      </c>
      <c r="AA529" s="6">
        <f t="shared" si="74"/>
        <v>39437.866728739107</v>
      </c>
      <c r="AB529" s="2">
        <f t="shared" si="75"/>
        <v>-1.7017275499186559E-3</v>
      </c>
      <c r="AJ529" s="1">
        <v>44874</v>
      </c>
      <c r="AK529">
        <f>NETWORKDAYS(AJ529,$AJ$1,FERIADO!$A$2:$A$408)</f>
        <v>1043</v>
      </c>
      <c r="AL529">
        <v>11.9</v>
      </c>
      <c r="AM529" s="6">
        <f t="shared" si="76"/>
        <v>62791.043056776565</v>
      </c>
      <c r="AN529" s="2">
        <f t="shared" si="77"/>
        <v>-5.2992225514940578E-4</v>
      </c>
      <c r="AP529" s="11">
        <f t="shared" si="78"/>
        <v>-8.5086377495932793E-4</v>
      </c>
      <c r="AQ529" s="11">
        <f t="shared" si="79"/>
        <v>-1.5897667654482173E-4</v>
      </c>
      <c r="AR529" s="11">
        <f t="shared" si="80"/>
        <v>-1.0098404515041497E-3</v>
      </c>
    </row>
    <row r="530" spans="2:44" x14ac:dyDescent="0.35">
      <c r="B530" s="1">
        <v>44873</v>
      </c>
      <c r="C530">
        <v>4164</v>
      </c>
      <c r="D530" s="1">
        <v>44874</v>
      </c>
      <c r="E530">
        <v>5.1623000000000001</v>
      </c>
      <c r="F530" s="1">
        <v>44869</v>
      </c>
      <c r="G530">
        <v>109.97199999999999</v>
      </c>
      <c r="H530" s="4">
        <f t="shared" si="72"/>
        <v>567708.45559999999</v>
      </c>
      <c r="I530" s="5">
        <v>44873</v>
      </c>
      <c r="J530" s="4">
        <v>5728.93</v>
      </c>
      <c r="K530" s="4">
        <f t="shared" si="73"/>
        <v>57289.3</v>
      </c>
      <c r="L530" s="1">
        <v>44873</v>
      </c>
      <c r="M530">
        <v>5.51</v>
      </c>
      <c r="N530" s="1">
        <v>44873</v>
      </c>
      <c r="O530">
        <v>5.55</v>
      </c>
      <c r="P530" s="1">
        <v>44873</v>
      </c>
      <c r="Q530">
        <v>5.54</v>
      </c>
      <c r="R530" s="1">
        <v>44873</v>
      </c>
      <c r="S530">
        <v>5.55</v>
      </c>
      <c r="T530" s="1">
        <v>44873</v>
      </c>
      <c r="U530">
        <v>5.63</v>
      </c>
      <c r="V530" s="1">
        <v>44873</v>
      </c>
      <c r="W530">
        <v>5.66</v>
      </c>
      <c r="X530" s="1">
        <v>44873</v>
      </c>
      <c r="Y530">
        <f>NETWORKDAYS(X530,$Z$1,FERIADO!$A$2:$A$408)</f>
        <v>2057</v>
      </c>
      <c r="Z530">
        <v>12.02</v>
      </c>
      <c r="AA530" s="6">
        <f t="shared" si="74"/>
        <v>39592.702134034123</v>
      </c>
      <c r="AB530" s="2">
        <f t="shared" si="75"/>
        <v>-4.5568130546570105E-3</v>
      </c>
      <c r="AJ530" s="1">
        <v>44873</v>
      </c>
      <c r="AK530">
        <f>NETWORKDAYS(AJ530,$AJ$1,FERIADO!$A$2:$A$408)</f>
        <v>1044</v>
      </c>
      <c r="AL530">
        <v>11.855</v>
      </c>
      <c r="AM530" s="6">
        <f t="shared" si="76"/>
        <v>62867.706890493268</v>
      </c>
      <c r="AN530" s="2">
        <f t="shared" si="77"/>
        <v>-1.7400436945141471E-3</v>
      </c>
      <c r="AP530" s="11">
        <f t="shared" si="78"/>
        <v>-2.2784065273285053E-3</v>
      </c>
      <c r="AQ530" s="11">
        <f t="shared" si="79"/>
        <v>-5.2201310835424408E-4</v>
      </c>
      <c r="AR530" s="11">
        <f t="shared" si="80"/>
        <v>-2.8004196356827492E-3</v>
      </c>
    </row>
    <row r="531" spans="2:44" x14ac:dyDescent="0.35">
      <c r="B531" s="1">
        <v>44872</v>
      </c>
      <c r="C531">
        <v>4140.71</v>
      </c>
      <c r="D531" s="1">
        <v>44873</v>
      </c>
      <c r="E531">
        <v>5.1738</v>
      </c>
      <c r="F531" s="1">
        <v>44868</v>
      </c>
      <c r="G531">
        <v>109.85599999999999</v>
      </c>
      <c r="H531" s="4">
        <f t="shared" si="72"/>
        <v>568372.97279999999</v>
      </c>
      <c r="I531" s="5">
        <v>44872</v>
      </c>
      <c r="J531" s="4">
        <v>5743.33</v>
      </c>
      <c r="K531" s="4">
        <f t="shared" si="73"/>
        <v>57433.3</v>
      </c>
      <c r="L531" s="1">
        <v>44872</v>
      </c>
      <c r="M531">
        <v>5.48</v>
      </c>
      <c r="N531" s="1">
        <v>44872</v>
      </c>
      <c r="O531">
        <v>5.53</v>
      </c>
      <c r="P531" s="1">
        <v>44872</v>
      </c>
      <c r="Q531">
        <v>5.53</v>
      </c>
      <c r="R531" s="1">
        <v>44872</v>
      </c>
      <c r="S531">
        <v>5.51</v>
      </c>
      <c r="T531" s="1">
        <v>44872</v>
      </c>
      <c r="U531">
        <v>5.62</v>
      </c>
      <c r="V531" s="1">
        <v>44872</v>
      </c>
      <c r="W531">
        <v>5.66</v>
      </c>
      <c r="X531" s="1">
        <v>44872</v>
      </c>
      <c r="Y531">
        <f>NETWORKDAYS(X531,$Z$1,FERIADO!$A$2:$A$408)</f>
        <v>2058</v>
      </c>
      <c r="Z531">
        <v>11.87</v>
      </c>
      <c r="AA531" s="6">
        <f t="shared" si="74"/>
        <v>40010.313626596253</v>
      </c>
      <c r="AB531" s="2">
        <f t="shared" si="75"/>
        <v>-7.4275520972692938E-3</v>
      </c>
      <c r="AJ531" s="1">
        <v>44872</v>
      </c>
      <c r="AK531">
        <f>NETWORKDAYS(AJ531,$AJ$1,FERIADO!$A$2:$A$408)</f>
        <v>1045</v>
      </c>
      <c r="AL531">
        <v>11.734999999999999</v>
      </c>
      <c r="AM531" s="6">
        <f t="shared" si="76"/>
        <v>63120.09783842766</v>
      </c>
      <c r="AN531" s="2">
        <f t="shared" si="77"/>
        <v>-4.1700656030116594E-3</v>
      </c>
      <c r="AP531" s="11">
        <f t="shared" si="78"/>
        <v>-3.7137760486346469E-3</v>
      </c>
      <c r="AQ531" s="11">
        <f t="shared" si="79"/>
        <v>-1.2510196809034978E-3</v>
      </c>
      <c r="AR531" s="11">
        <f t="shared" si="80"/>
        <v>-4.9647957295381445E-3</v>
      </c>
    </row>
    <row r="532" spans="2:44" x14ac:dyDescent="0.35">
      <c r="B532" s="1">
        <v>44869</v>
      </c>
      <c r="C532">
        <v>4110.71</v>
      </c>
      <c r="D532" s="1">
        <v>44872</v>
      </c>
      <c r="E532">
        <v>5.0880000000000001</v>
      </c>
      <c r="F532" s="1">
        <v>44866</v>
      </c>
      <c r="G532">
        <v>110.602</v>
      </c>
      <c r="H532" s="4">
        <f t="shared" si="72"/>
        <v>562742.97600000002</v>
      </c>
      <c r="I532" s="5">
        <v>44869</v>
      </c>
      <c r="J532" s="4">
        <v>5632.55</v>
      </c>
      <c r="K532" s="4">
        <f t="shared" si="73"/>
        <v>56325.5</v>
      </c>
      <c r="L532" s="1">
        <v>44869</v>
      </c>
      <c r="M532">
        <v>5.34</v>
      </c>
      <c r="N532" s="1">
        <v>44869</v>
      </c>
      <c r="O532">
        <v>5.39</v>
      </c>
      <c r="P532" s="1">
        <v>44869</v>
      </c>
      <c r="Q532">
        <v>5.41</v>
      </c>
      <c r="R532" s="1">
        <v>44869</v>
      </c>
      <c r="S532">
        <v>5.44</v>
      </c>
      <c r="T532" s="1">
        <v>44869</v>
      </c>
      <c r="U532">
        <v>5.53</v>
      </c>
      <c r="V532" s="1">
        <v>44869</v>
      </c>
      <c r="W532">
        <v>5.56</v>
      </c>
      <c r="X532" s="1">
        <v>44869</v>
      </c>
      <c r="Y532">
        <f>NETWORKDAYS(X532,$Z$1,FERIADO!$A$2:$A$408)</f>
        <v>2059</v>
      </c>
      <c r="Z532">
        <v>11.63</v>
      </c>
      <c r="AA532" s="6">
        <f t="shared" si="74"/>
        <v>40700.477813955353</v>
      </c>
      <c r="AB532" s="2">
        <f t="shared" si="75"/>
        <v>2.4151292699641511E-3</v>
      </c>
      <c r="AJ532" s="1">
        <v>44869</v>
      </c>
      <c r="AK532">
        <f>NETWORKDAYS(AJ532,$AJ$1,FERIADO!$A$2:$A$408)</f>
        <v>1046</v>
      </c>
      <c r="AL532">
        <v>11.465</v>
      </c>
      <c r="AM532" s="6">
        <f t="shared" si="76"/>
        <v>63729.091735624206</v>
      </c>
      <c r="AN532" s="2">
        <f t="shared" si="77"/>
        <v>1.077175442754546E-3</v>
      </c>
      <c r="AP532" s="11">
        <f t="shared" si="78"/>
        <v>1.2075646349820755E-3</v>
      </c>
      <c r="AQ532" s="11">
        <f t="shared" si="79"/>
        <v>3.2315263282636379E-4</v>
      </c>
      <c r="AR532" s="11">
        <f t="shared" si="80"/>
        <v>1.5307172678084393E-3</v>
      </c>
    </row>
    <row r="533" spans="2:44" x14ac:dyDescent="0.35">
      <c r="B533" s="1">
        <v>44868</v>
      </c>
      <c r="C533">
        <v>4049.43</v>
      </c>
      <c r="D533" s="1">
        <v>44869</v>
      </c>
      <c r="E533">
        <v>5.0354000000000001</v>
      </c>
      <c r="F533" s="1">
        <v>44865</v>
      </c>
      <c r="G533">
        <v>110.73</v>
      </c>
      <c r="H533" s="4">
        <f t="shared" si="72"/>
        <v>557569.84199999995</v>
      </c>
      <c r="I533" s="5">
        <v>44868</v>
      </c>
      <c r="J533" s="4">
        <v>5696.25</v>
      </c>
      <c r="K533" s="4">
        <f t="shared" si="73"/>
        <v>56962.5</v>
      </c>
      <c r="L533" s="1">
        <v>44868</v>
      </c>
      <c r="M533">
        <v>5.35</v>
      </c>
      <c r="N533" s="1">
        <v>44868</v>
      </c>
      <c r="O533">
        <v>5.4</v>
      </c>
      <c r="P533" s="1">
        <v>44868</v>
      </c>
      <c r="Q533">
        <v>5.41</v>
      </c>
      <c r="R533" s="1">
        <v>44868</v>
      </c>
      <c r="S533">
        <v>5.41</v>
      </c>
      <c r="T533" s="1">
        <v>44868</v>
      </c>
      <c r="U533">
        <v>5.53</v>
      </c>
      <c r="V533" s="1">
        <v>44868</v>
      </c>
      <c r="W533">
        <v>5.55</v>
      </c>
      <c r="X533" s="1">
        <v>44868</v>
      </c>
      <c r="Y533">
        <f>NETWORKDAYS(X533,$Z$1,FERIADO!$A$2:$A$408)</f>
        <v>2060</v>
      </c>
      <c r="Z533">
        <v>11.7</v>
      </c>
      <c r="AA533" s="6">
        <f t="shared" si="74"/>
        <v>40474.768971864272</v>
      </c>
      <c r="AB533" s="2">
        <f t="shared" si="75"/>
        <v>-2.3541156660800023E-3</v>
      </c>
      <c r="AJ533" s="1">
        <v>44868</v>
      </c>
      <c r="AK533">
        <f>NETWORKDAYS(AJ533,$AJ$1,FERIADO!$A$2:$A$408)</f>
        <v>1047</v>
      </c>
      <c r="AL533">
        <v>11.52</v>
      </c>
      <c r="AM533" s="6">
        <f t="shared" si="76"/>
        <v>63571.221089959479</v>
      </c>
      <c r="AN533" s="2">
        <f t="shared" si="77"/>
        <v>-4.6002534175272825E-4</v>
      </c>
      <c r="AP533" s="11">
        <f t="shared" si="78"/>
        <v>-1.1770578330400011E-3</v>
      </c>
      <c r="AQ533" s="11">
        <f t="shared" si="79"/>
        <v>-1.3800760252581846E-4</v>
      </c>
      <c r="AR533" s="11">
        <f t="shared" si="80"/>
        <v>-1.3150654355658196E-3</v>
      </c>
    </row>
    <row r="534" spans="2:44" x14ac:dyDescent="0.35">
      <c r="B534" s="1">
        <v>44866</v>
      </c>
      <c r="C534">
        <v>4200.03</v>
      </c>
      <c r="D534" s="1">
        <v>44868</v>
      </c>
      <c r="E534">
        <v>5.1342999999999996</v>
      </c>
      <c r="F534" s="1">
        <v>44862</v>
      </c>
      <c r="G534">
        <v>111.102</v>
      </c>
      <c r="H534" s="4">
        <f t="shared" si="72"/>
        <v>570430.99859999993</v>
      </c>
      <c r="I534" s="5">
        <v>44866</v>
      </c>
      <c r="J534" s="4">
        <v>5727.27</v>
      </c>
      <c r="K534" s="4">
        <f t="shared" si="73"/>
        <v>57272.700000000004</v>
      </c>
      <c r="L534" s="1">
        <v>44866</v>
      </c>
      <c r="M534">
        <v>5.32</v>
      </c>
      <c r="N534" s="1">
        <v>44866</v>
      </c>
      <c r="O534">
        <v>5.36</v>
      </c>
      <c r="P534" s="1">
        <v>44866</v>
      </c>
      <c r="Q534">
        <v>5.38</v>
      </c>
      <c r="R534" s="1">
        <v>44866</v>
      </c>
      <c r="S534">
        <v>5.39</v>
      </c>
      <c r="T534" s="1">
        <v>44866</v>
      </c>
      <c r="U534">
        <v>5.46</v>
      </c>
      <c r="V534" s="1">
        <v>44866</v>
      </c>
      <c r="W534">
        <v>5.5</v>
      </c>
      <c r="X534" s="1">
        <v>44866</v>
      </c>
      <c r="Y534">
        <f>NETWORKDAYS(X534,$Z$1,FERIADO!$A$2:$A$408)</f>
        <v>2061</v>
      </c>
      <c r="Z534">
        <v>11.62</v>
      </c>
      <c r="AA534" s="6">
        <f t="shared" si="74"/>
        <v>40694.760245563637</v>
      </c>
      <c r="AB534" s="2">
        <f t="shared" si="75"/>
        <v>1.144430332830927E-3</v>
      </c>
      <c r="AJ534" s="1">
        <v>44866</v>
      </c>
      <c r="AK534">
        <f>NETWORKDAYS(AJ534,$AJ$1,FERIADO!$A$2:$A$408)</f>
        <v>1048</v>
      </c>
      <c r="AL534">
        <v>11.48</v>
      </c>
      <c r="AM534" s="6">
        <f t="shared" si="76"/>
        <v>63638.594422827417</v>
      </c>
      <c r="AN534" s="2">
        <f t="shared" si="77"/>
        <v>3.4944918237345189E-4</v>
      </c>
      <c r="AP534" s="11">
        <f t="shared" si="78"/>
        <v>5.7221516641546349E-4</v>
      </c>
      <c r="AQ534" s="11">
        <f t="shared" si="79"/>
        <v>1.0483475471203556E-4</v>
      </c>
      <c r="AR534" s="11">
        <f t="shared" si="80"/>
        <v>6.7704992112749903E-4</v>
      </c>
    </row>
    <row r="535" spans="2:44" x14ac:dyDescent="0.35">
      <c r="B535" s="1">
        <v>44865</v>
      </c>
      <c r="C535">
        <v>4223.92</v>
      </c>
      <c r="D535" s="1">
        <v>44866</v>
      </c>
      <c r="E535">
        <v>5.1494</v>
      </c>
      <c r="F535" s="1">
        <v>44861</v>
      </c>
      <c r="G535">
        <v>111.803</v>
      </c>
      <c r="H535" s="4">
        <f t="shared" si="72"/>
        <v>575718.36820000003</v>
      </c>
      <c r="I535" s="5">
        <v>44865</v>
      </c>
      <c r="J535" s="4">
        <v>5776.01</v>
      </c>
      <c r="K535" s="4">
        <f t="shared" si="73"/>
        <v>57760.100000000006</v>
      </c>
      <c r="L535" s="1">
        <v>44865</v>
      </c>
      <c r="M535">
        <v>5.28</v>
      </c>
      <c r="N535" s="1">
        <v>44865</v>
      </c>
      <c r="O535">
        <v>5.36</v>
      </c>
      <c r="P535" s="1">
        <v>44865</v>
      </c>
      <c r="Q535">
        <v>5.36</v>
      </c>
      <c r="R535" s="1">
        <v>44865</v>
      </c>
      <c r="S535">
        <v>5.37</v>
      </c>
      <c r="T535" s="1">
        <v>44865</v>
      </c>
      <c r="U535">
        <v>5.48</v>
      </c>
      <c r="V535" s="1">
        <v>44865</v>
      </c>
      <c r="W535">
        <v>5.49</v>
      </c>
      <c r="X535" s="1">
        <v>44865</v>
      </c>
      <c r="Y535">
        <f>NETWORKDAYS(X535,$Z$1,FERIADO!$A$2:$A$408)</f>
        <v>2062</v>
      </c>
      <c r="Z535">
        <v>11.65</v>
      </c>
      <c r="AA535" s="6">
        <f t="shared" si="74"/>
        <v>40587.664688668294</v>
      </c>
      <c r="AB535" s="2">
        <f t="shared" si="75"/>
        <v>5.2812691415040323E-3</v>
      </c>
      <c r="AJ535" s="1">
        <v>44865</v>
      </c>
      <c r="AK535">
        <f>NETWORKDAYS(AJ535,$AJ$1,FERIADO!$A$2:$A$408)</f>
        <v>1049</v>
      </c>
      <c r="AL535">
        <v>11.49</v>
      </c>
      <c r="AM535" s="6">
        <f t="shared" si="76"/>
        <v>63587.40908389735</v>
      </c>
      <c r="AN535" s="2">
        <f t="shared" si="77"/>
        <v>2.7824938913654524E-3</v>
      </c>
      <c r="AP535" s="11">
        <f t="shared" si="78"/>
        <v>2.6406345707520162E-3</v>
      </c>
      <c r="AQ535" s="11">
        <f t="shared" si="79"/>
        <v>8.347481674096357E-4</v>
      </c>
      <c r="AR535" s="11">
        <f t="shared" si="80"/>
        <v>3.475382738161652E-3</v>
      </c>
    </row>
    <row r="536" spans="2:44" x14ac:dyDescent="0.35">
      <c r="B536" s="1">
        <v>44862</v>
      </c>
      <c r="C536">
        <v>4262.99</v>
      </c>
      <c r="D536" s="1">
        <v>44865</v>
      </c>
      <c r="E536">
        <v>5.2564000000000002</v>
      </c>
      <c r="F536" s="1">
        <v>44860</v>
      </c>
      <c r="G536">
        <v>111.08</v>
      </c>
      <c r="H536" s="4">
        <f t="shared" si="72"/>
        <v>583880.91200000001</v>
      </c>
      <c r="I536" s="5">
        <v>44862</v>
      </c>
      <c r="J536" s="4">
        <v>5900.08</v>
      </c>
      <c r="K536" s="4">
        <f t="shared" si="73"/>
        <v>59000.800000000003</v>
      </c>
      <c r="L536" s="1">
        <v>44862</v>
      </c>
      <c r="M536">
        <v>5.44</v>
      </c>
      <c r="N536" s="1">
        <v>44862</v>
      </c>
      <c r="O536">
        <v>5.48</v>
      </c>
      <c r="P536" s="1">
        <v>44862</v>
      </c>
      <c r="Q536">
        <v>5.51</v>
      </c>
      <c r="R536" s="1">
        <v>44862</v>
      </c>
      <c r="S536">
        <v>5.5</v>
      </c>
      <c r="T536" s="1">
        <v>44862</v>
      </c>
      <c r="U536">
        <v>5.57</v>
      </c>
      <c r="V536" s="1">
        <v>44862</v>
      </c>
      <c r="W536">
        <v>5.59</v>
      </c>
      <c r="X536" s="1">
        <v>44862</v>
      </c>
      <c r="Y536">
        <f>NETWORKDAYS(X536,$Z$1,FERIADO!$A$2:$A$408)</f>
        <v>2063</v>
      </c>
      <c r="Z536">
        <v>11.81</v>
      </c>
      <c r="AA536" s="6">
        <f t="shared" si="74"/>
        <v>40097.084400164298</v>
      </c>
      <c r="AB536" s="2">
        <f t="shared" si="75"/>
        <v>1.4646999490143457E-3</v>
      </c>
      <c r="AJ536" s="1">
        <v>44862</v>
      </c>
      <c r="AK536">
        <f>NETWORKDAYS(AJ536,$AJ$1,FERIADO!$A$2:$A$408)</f>
        <v>1050</v>
      </c>
      <c r="AL536">
        <v>11.65</v>
      </c>
      <c r="AM536" s="6">
        <f t="shared" si="76"/>
        <v>63181.311380143234</v>
      </c>
      <c r="AN536" s="2">
        <f t="shared" si="77"/>
        <v>4.3324232987840082E-4</v>
      </c>
      <c r="AP536" s="11">
        <f t="shared" si="78"/>
        <v>7.3234997450717285E-4</v>
      </c>
      <c r="AQ536" s="11">
        <f t="shared" si="79"/>
        <v>1.2997269896352024E-4</v>
      </c>
      <c r="AR536" s="11">
        <f t="shared" si="80"/>
        <v>8.6232267347069306E-4</v>
      </c>
    </row>
    <row r="537" spans="2:44" x14ac:dyDescent="0.35">
      <c r="B537" s="1">
        <v>44861</v>
      </c>
      <c r="C537">
        <v>4119.25</v>
      </c>
      <c r="D537" s="1">
        <v>44862</v>
      </c>
      <c r="E537">
        <v>5.3449</v>
      </c>
      <c r="F537" s="1">
        <v>44859</v>
      </c>
      <c r="G537">
        <v>110.755</v>
      </c>
      <c r="H537" s="4">
        <f t="shared" si="72"/>
        <v>591974.39950000006</v>
      </c>
      <c r="I537" s="5">
        <v>44861</v>
      </c>
      <c r="J537" s="4">
        <v>5941.82</v>
      </c>
      <c r="K537" s="4">
        <f t="shared" si="73"/>
        <v>59418.2</v>
      </c>
      <c r="L537" s="1">
        <v>44861</v>
      </c>
      <c r="M537">
        <v>5.46</v>
      </c>
      <c r="N537" s="1">
        <v>44861</v>
      </c>
      <c r="O537">
        <v>5.5</v>
      </c>
      <c r="P537" s="1">
        <v>44861</v>
      </c>
      <c r="Q537">
        <v>5.48</v>
      </c>
      <c r="R537" s="1">
        <v>44861</v>
      </c>
      <c r="S537">
        <v>5.54</v>
      </c>
      <c r="T537" s="1">
        <v>44861</v>
      </c>
      <c r="U537">
        <v>5.55</v>
      </c>
      <c r="V537" s="1">
        <v>44861</v>
      </c>
      <c r="W537">
        <v>5.59</v>
      </c>
      <c r="X537" s="1">
        <v>44861</v>
      </c>
      <c r="Y537">
        <f>NETWORKDAYS(X537,$Z$1,FERIADO!$A$2:$A$408)</f>
        <v>2064</v>
      </c>
      <c r="Z537">
        <v>11.85</v>
      </c>
      <c r="AA537" s="6">
        <f t="shared" si="74"/>
        <v>39962.080907050105</v>
      </c>
      <c r="AB537" s="2">
        <f t="shared" si="75"/>
        <v>4.6446828132349956E-3</v>
      </c>
      <c r="AJ537" s="1">
        <v>44861</v>
      </c>
      <c r="AK537">
        <f>NETWORKDAYS(AJ537,$AJ$1,FERIADO!$A$2:$A$408)</f>
        <v>1051</v>
      </c>
      <c r="AL537">
        <v>11.664999999999999</v>
      </c>
      <c r="AM537" s="6">
        <f t="shared" si="76"/>
        <v>63118.314563525841</v>
      </c>
      <c r="AN537" s="2">
        <f t="shared" si="77"/>
        <v>2.4617811527008178E-3</v>
      </c>
      <c r="AP537" s="11">
        <f t="shared" si="78"/>
        <v>2.3223414066174978E-3</v>
      </c>
      <c r="AQ537" s="11">
        <f t="shared" si="79"/>
        <v>7.3853434581024535E-4</v>
      </c>
      <c r="AR537" s="11">
        <f t="shared" si="80"/>
        <v>3.0608757524277432E-3</v>
      </c>
    </row>
    <row r="538" spans="2:44" x14ac:dyDescent="0.35">
      <c r="B538" s="1">
        <v>44860</v>
      </c>
      <c r="C538">
        <v>4195.8999999999996</v>
      </c>
      <c r="D538" s="1">
        <v>44861</v>
      </c>
      <c r="E538">
        <v>5.2996999999999996</v>
      </c>
      <c r="F538" s="1">
        <v>44858</v>
      </c>
      <c r="G538">
        <v>109.667</v>
      </c>
      <c r="H538" s="4">
        <f t="shared" si="72"/>
        <v>581202.19990000001</v>
      </c>
      <c r="I538" s="5">
        <v>44860</v>
      </c>
      <c r="J538" s="4">
        <v>5997.46</v>
      </c>
      <c r="K538" s="4">
        <f t="shared" si="73"/>
        <v>59974.6</v>
      </c>
      <c r="L538" s="1">
        <v>44860</v>
      </c>
      <c r="M538">
        <v>5.58</v>
      </c>
      <c r="N538" s="1">
        <v>44860</v>
      </c>
      <c r="O538">
        <v>5.57</v>
      </c>
      <c r="P538" s="1">
        <v>44860</v>
      </c>
      <c r="Q538">
        <v>5.57</v>
      </c>
      <c r="R538" s="1">
        <v>44860</v>
      </c>
      <c r="S538">
        <v>5.57</v>
      </c>
      <c r="T538" s="1">
        <v>44860</v>
      </c>
      <c r="U538">
        <v>5.57</v>
      </c>
      <c r="V538" s="1">
        <v>44860</v>
      </c>
      <c r="W538">
        <v>5.63</v>
      </c>
      <c r="X538" s="1">
        <v>44860</v>
      </c>
      <c r="Y538">
        <f>NETWORKDAYS(X538,$Z$1,FERIADO!$A$2:$A$408)</f>
        <v>2065</v>
      </c>
      <c r="Z538">
        <v>11.99</v>
      </c>
      <c r="AA538" s="6">
        <f t="shared" si="74"/>
        <v>39536.972618194035</v>
      </c>
      <c r="AB538" s="2">
        <f t="shared" si="75"/>
        <v>-2.031067176390611E-3</v>
      </c>
      <c r="AJ538" s="1">
        <v>44860</v>
      </c>
      <c r="AK538">
        <f>NETWORKDAYS(AJ538,$AJ$1,FERIADO!$A$2:$A$408)</f>
        <v>1052</v>
      </c>
      <c r="AL538">
        <v>11.805</v>
      </c>
      <c r="AM538" s="6">
        <f t="shared" si="76"/>
        <v>62761.543013300645</v>
      </c>
      <c r="AN538" s="2">
        <f t="shared" si="77"/>
        <v>-1.9189786148331662E-3</v>
      </c>
      <c r="AP538" s="11">
        <f t="shared" si="78"/>
        <v>-1.0155335881953055E-3</v>
      </c>
      <c r="AQ538" s="11">
        <f t="shared" si="79"/>
        <v>-5.7569358444994987E-4</v>
      </c>
      <c r="AR538" s="11">
        <f t="shared" si="80"/>
        <v>-1.5912271726452555E-3</v>
      </c>
    </row>
    <row r="539" spans="2:44" x14ac:dyDescent="0.35">
      <c r="B539" s="1">
        <v>44859</v>
      </c>
      <c r="C539">
        <v>4185.67</v>
      </c>
      <c r="D539" s="1">
        <v>44860</v>
      </c>
      <c r="E539">
        <v>5.3242000000000003</v>
      </c>
      <c r="F539" s="1">
        <v>44855</v>
      </c>
      <c r="G539">
        <v>109.794</v>
      </c>
      <c r="H539" s="4">
        <f t="shared" si="72"/>
        <v>584565.21480000007</v>
      </c>
      <c r="I539" s="5">
        <v>44859</v>
      </c>
      <c r="J539" s="4">
        <v>5922.34</v>
      </c>
      <c r="K539" s="4">
        <f t="shared" si="73"/>
        <v>59223.4</v>
      </c>
      <c r="L539" s="1">
        <v>44859</v>
      </c>
      <c r="M539">
        <v>5.48</v>
      </c>
      <c r="N539" s="1">
        <v>44859</v>
      </c>
      <c r="O539">
        <v>5.49</v>
      </c>
      <c r="P539" s="1">
        <v>44859</v>
      </c>
      <c r="Q539">
        <v>5.52</v>
      </c>
      <c r="R539" s="1">
        <v>44859</v>
      </c>
      <c r="S539">
        <v>5.51</v>
      </c>
      <c r="T539" s="1">
        <v>44859</v>
      </c>
      <c r="U539">
        <v>5.56</v>
      </c>
      <c r="V539" s="1">
        <v>44859</v>
      </c>
      <c r="W539">
        <v>5.58</v>
      </c>
      <c r="X539" s="1">
        <v>44859</v>
      </c>
      <c r="Y539">
        <f>NETWORKDAYS(X539,$Z$1,FERIADO!$A$2:$A$408)</f>
        <v>2066</v>
      </c>
      <c r="Z539">
        <v>11.92</v>
      </c>
      <c r="AA539" s="6">
        <f t="shared" si="74"/>
        <v>39722.308418483604</v>
      </c>
      <c r="AB539" s="2">
        <f t="shared" si="75"/>
        <v>8.305918578905393E-4</v>
      </c>
      <c r="AJ539" s="1">
        <v>44859</v>
      </c>
      <c r="AK539">
        <f>NETWORKDAYS(AJ539,$AJ$1,FERIADO!$A$2:$A$408)</f>
        <v>1053</v>
      </c>
      <c r="AL539">
        <v>11.675000000000001</v>
      </c>
      <c r="AM539" s="6">
        <f t="shared" si="76"/>
        <v>63039.475477899192</v>
      </c>
      <c r="AN539" s="2">
        <f t="shared" si="77"/>
        <v>7.5950605451886464E-4</v>
      </c>
      <c r="AP539" s="11">
        <f t="shared" si="78"/>
        <v>4.1529592894526965E-4</v>
      </c>
      <c r="AQ539" s="11">
        <f t="shared" si="79"/>
        <v>2.2785181635565939E-4</v>
      </c>
      <c r="AR539" s="11">
        <f t="shared" si="80"/>
        <v>6.4314774530092899E-4</v>
      </c>
    </row>
    <row r="540" spans="2:44" x14ac:dyDescent="0.35">
      <c r="B540" s="1">
        <v>44858</v>
      </c>
      <c r="C540">
        <v>4133.1400000000003</v>
      </c>
      <c r="D540" s="1">
        <v>44859</v>
      </c>
      <c r="E540">
        <v>5.3085000000000004</v>
      </c>
      <c r="F540" s="1">
        <v>44854</v>
      </c>
      <c r="G540">
        <v>109.345</v>
      </c>
      <c r="H540" s="4">
        <f t="shared" si="72"/>
        <v>580457.93250000011</v>
      </c>
      <c r="I540" s="5">
        <v>44858</v>
      </c>
      <c r="J540" s="4">
        <v>5906.76</v>
      </c>
      <c r="K540" s="4">
        <f t="shared" si="73"/>
        <v>59067.600000000006</v>
      </c>
      <c r="L540" s="1">
        <v>44858</v>
      </c>
      <c r="M540">
        <v>5.47</v>
      </c>
      <c r="N540" s="1">
        <v>44858</v>
      </c>
      <c r="O540">
        <v>5.47</v>
      </c>
      <c r="P540" s="1">
        <v>44858</v>
      </c>
      <c r="Q540">
        <v>5.51</v>
      </c>
      <c r="R540" s="1">
        <v>44858</v>
      </c>
      <c r="S540">
        <v>5.5</v>
      </c>
      <c r="T540" s="1">
        <v>44858</v>
      </c>
      <c r="U540">
        <v>5.56</v>
      </c>
      <c r="V540" s="1">
        <v>44858</v>
      </c>
      <c r="W540">
        <v>5.58</v>
      </c>
      <c r="X540" s="1">
        <v>44858</v>
      </c>
      <c r="Y540">
        <f>NETWORKDAYS(X540,$Z$1,FERIADO!$A$2:$A$408)</f>
        <v>2067</v>
      </c>
      <c r="Z540">
        <v>11.94</v>
      </c>
      <c r="AA540" s="6">
        <f t="shared" si="74"/>
        <v>39646.411768386082</v>
      </c>
      <c r="AB540" s="2">
        <f t="shared" si="75"/>
        <v>-5.8600184247672889E-3</v>
      </c>
      <c r="AJ540" s="1">
        <v>44858</v>
      </c>
      <c r="AK540">
        <f>NETWORKDAYS(AJ540,$AJ$1,FERIADO!$A$2:$A$408)</f>
        <v>1054</v>
      </c>
      <c r="AL540">
        <v>11.71</v>
      </c>
      <c r="AM540" s="6">
        <f t="shared" si="76"/>
        <v>62929.326664697139</v>
      </c>
      <c r="AN540" s="2">
        <f t="shared" si="77"/>
        <v>-2.9042064080943104E-3</v>
      </c>
      <c r="AP540" s="11">
        <f t="shared" si="78"/>
        <v>-2.9300092123836444E-3</v>
      </c>
      <c r="AQ540" s="11">
        <f t="shared" si="79"/>
        <v>-8.7126192242829306E-4</v>
      </c>
      <c r="AR540" s="11">
        <f t="shared" si="80"/>
        <v>-3.8012711348119374E-3</v>
      </c>
    </row>
    <row r="541" spans="2:44" x14ac:dyDescent="0.35">
      <c r="B541" s="1">
        <v>44855</v>
      </c>
      <c r="C541">
        <v>4101.72</v>
      </c>
      <c r="D541" s="1">
        <v>44858</v>
      </c>
      <c r="E541">
        <v>5.2737999999999996</v>
      </c>
      <c r="F541" s="1">
        <v>44853</v>
      </c>
      <c r="G541">
        <v>109.94</v>
      </c>
      <c r="H541" s="4">
        <f t="shared" si="72"/>
        <v>579801.57199999993</v>
      </c>
      <c r="I541" s="5">
        <v>44855</v>
      </c>
      <c r="J541" s="4">
        <v>5757.63</v>
      </c>
      <c r="K541" s="4">
        <f t="shared" si="73"/>
        <v>57576.3</v>
      </c>
      <c r="L541" s="1">
        <v>44855</v>
      </c>
      <c r="M541">
        <v>5.42</v>
      </c>
      <c r="N541" s="1">
        <v>44855</v>
      </c>
      <c r="O541">
        <v>5.41</v>
      </c>
      <c r="P541" s="1">
        <v>44855</v>
      </c>
      <c r="Q541">
        <v>5.44</v>
      </c>
      <c r="R541" s="1">
        <v>44855</v>
      </c>
      <c r="S541">
        <v>5.47</v>
      </c>
      <c r="T541" s="1">
        <v>44855</v>
      </c>
      <c r="U541">
        <v>5.51</v>
      </c>
      <c r="V541" s="1">
        <v>44855</v>
      </c>
      <c r="W541">
        <v>5.51</v>
      </c>
      <c r="X541" s="1">
        <v>44855</v>
      </c>
      <c r="Y541">
        <f>NETWORKDAYS(X541,$Z$1,FERIADO!$A$2:$A$408)</f>
        <v>2068</v>
      </c>
      <c r="Z541">
        <v>11.75</v>
      </c>
      <c r="AA541" s="6">
        <f t="shared" si="74"/>
        <v>40184.993801296114</v>
      </c>
      <c r="AB541" s="2">
        <f t="shared" si="75"/>
        <v>1.4675417039688441E-3</v>
      </c>
      <c r="AJ541" s="1">
        <v>44855</v>
      </c>
      <c r="AK541">
        <f>NETWORKDAYS(AJ541,$AJ$1,FERIADO!$A$2:$A$408)</f>
        <v>1055</v>
      </c>
      <c r="AL541">
        <v>11.52</v>
      </c>
      <c r="AM541" s="6">
        <f t="shared" si="76"/>
        <v>63351.556740605389</v>
      </c>
      <c r="AN541" s="2">
        <f t="shared" si="77"/>
        <v>8.4055282490600846E-4</v>
      </c>
      <c r="AP541" s="11">
        <f t="shared" si="78"/>
        <v>7.3377085198442205E-4</v>
      </c>
      <c r="AQ541" s="11">
        <f t="shared" si="79"/>
        <v>2.5216584747180253E-4</v>
      </c>
      <c r="AR541" s="11">
        <f t="shared" si="80"/>
        <v>9.8593669945622447E-4</v>
      </c>
    </row>
    <row r="542" spans="2:44" x14ac:dyDescent="0.35">
      <c r="B542" s="1">
        <v>44854</v>
      </c>
      <c r="C542">
        <v>3993.36</v>
      </c>
      <c r="D542" s="1">
        <v>44855</v>
      </c>
      <c r="E542">
        <v>5.1913</v>
      </c>
      <c r="F542" s="1">
        <v>44852</v>
      </c>
      <c r="G542">
        <v>110.798</v>
      </c>
      <c r="H542" s="4">
        <f t="shared" si="72"/>
        <v>575185.65740000003</v>
      </c>
      <c r="I542" s="5">
        <v>44854</v>
      </c>
      <c r="J542" s="4">
        <v>5817.73</v>
      </c>
      <c r="K542" s="4">
        <f t="shared" si="73"/>
        <v>58177.299999999996</v>
      </c>
      <c r="L542" s="1">
        <v>44854</v>
      </c>
      <c r="M542">
        <v>5.44</v>
      </c>
      <c r="N542" s="1">
        <v>44854</v>
      </c>
      <c r="O542">
        <v>5.43</v>
      </c>
      <c r="P542" s="1">
        <v>44854</v>
      </c>
      <c r="Q542">
        <v>5.47</v>
      </c>
      <c r="R542" s="1">
        <v>44854</v>
      </c>
      <c r="S542">
        <v>5.49</v>
      </c>
      <c r="T542" s="1">
        <v>44854</v>
      </c>
      <c r="U542">
        <v>5.53</v>
      </c>
      <c r="V542" s="1">
        <v>44854</v>
      </c>
      <c r="W542">
        <v>5.55</v>
      </c>
      <c r="X542" s="1">
        <v>44854</v>
      </c>
      <c r="Y542">
        <f>NETWORKDAYS(X542,$Z$1,FERIADO!$A$2:$A$408)</f>
        <v>2069</v>
      </c>
      <c r="Z542">
        <v>11.79</v>
      </c>
      <c r="AA542" s="6">
        <f t="shared" si="74"/>
        <v>40049.432265045274</v>
      </c>
      <c r="AB542" s="2">
        <f t="shared" si="75"/>
        <v>-4.462176682091396E-4</v>
      </c>
      <c r="AJ542" s="1">
        <v>44854</v>
      </c>
      <c r="AK542">
        <f>NETWORKDAYS(AJ542,$AJ$1,FERIADO!$A$2:$A$408)</f>
        <v>1056</v>
      </c>
      <c r="AL542">
        <v>11.56</v>
      </c>
      <c r="AM542" s="6">
        <f t="shared" si="76"/>
        <v>63229.061903806723</v>
      </c>
      <c r="AN542" s="2">
        <f t="shared" si="77"/>
        <v>-3.0139952939761764E-4</v>
      </c>
      <c r="AP542" s="11">
        <f t="shared" si="78"/>
        <v>-2.231088341045698E-4</v>
      </c>
      <c r="AQ542" s="11">
        <f t="shared" si="79"/>
        <v>-9.041985881928529E-5</v>
      </c>
      <c r="AR542" s="11">
        <f t="shared" si="80"/>
        <v>-3.1352869292385511E-4</v>
      </c>
    </row>
    <row r="543" spans="2:44" x14ac:dyDescent="0.35">
      <c r="B543" s="1">
        <v>44853</v>
      </c>
      <c r="C543">
        <v>4031.22</v>
      </c>
      <c r="D543" s="1">
        <v>44854</v>
      </c>
      <c r="E543">
        <v>5.2169999999999996</v>
      </c>
      <c r="F543" s="1">
        <v>44851</v>
      </c>
      <c r="G543">
        <v>110.782</v>
      </c>
      <c r="H543" s="4">
        <f t="shared" si="72"/>
        <v>577949.6939999999</v>
      </c>
      <c r="I543" s="5">
        <v>44853</v>
      </c>
      <c r="J543" s="4">
        <v>5878.38</v>
      </c>
      <c r="K543" s="4">
        <f t="shared" si="73"/>
        <v>58783.8</v>
      </c>
      <c r="L543" s="1">
        <v>44853</v>
      </c>
      <c r="M543">
        <v>5.44</v>
      </c>
      <c r="N543" s="1">
        <v>44853</v>
      </c>
      <c r="O543">
        <v>5.42</v>
      </c>
      <c r="P543" s="1">
        <v>44853</v>
      </c>
      <c r="Q543">
        <v>5.46</v>
      </c>
      <c r="R543" s="1">
        <v>44853</v>
      </c>
      <c r="S543">
        <v>5.56</v>
      </c>
      <c r="T543" s="1">
        <v>44853</v>
      </c>
      <c r="U543">
        <v>5.54</v>
      </c>
      <c r="V543" s="1">
        <v>44853</v>
      </c>
      <c r="W543">
        <v>5.57</v>
      </c>
      <c r="X543" s="1">
        <v>44853</v>
      </c>
      <c r="Y543">
        <f>NETWORKDAYS(X543,$Z$1,FERIADO!$A$2:$A$408)</f>
        <v>2070</v>
      </c>
      <c r="Z543">
        <v>11.77</v>
      </c>
      <c r="AA543" s="6">
        <f t="shared" si="74"/>
        <v>40090.602367047439</v>
      </c>
      <c r="AB543" s="2">
        <f t="shared" si="75"/>
        <v>-3.0029543875715711E-3</v>
      </c>
      <c r="AJ543" s="1">
        <v>44853</v>
      </c>
      <c r="AK543">
        <f>NETWORKDAYS(AJ543,$AJ$1,FERIADO!$A$2:$A$408)</f>
        <v>1057</v>
      </c>
      <c r="AL543">
        <v>11.53</v>
      </c>
      <c r="AM543" s="6">
        <f t="shared" si="76"/>
        <v>63272.957980454506</v>
      </c>
      <c r="AN543" s="2">
        <f t="shared" si="77"/>
        <v>-1.1202864534494512E-3</v>
      </c>
      <c r="AP543" s="11">
        <f t="shared" si="78"/>
        <v>-1.5014771937857856E-3</v>
      </c>
      <c r="AQ543" s="11">
        <f t="shared" si="79"/>
        <v>-3.3608593603483538E-4</v>
      </c>
      <c r="AR543" s="11">
        <f t="shared" si="80"/>
        <v>-1.837563129820621E-3</v>
      </c>
    </row>
    <row r="544" spans="2:44" x14ac:dyDescent="0.35">
      <c r="B544" s="1">
        <v>44852</v>
      </c>
      <c r="C544">
        <v>4080.58</v>
      </c>
      <c r="D544" s="1">
        <v>44853</v>
      </c>
      <c r="E544">
        <v>5.2801999999999998</v>
      </c>
      <c r="F544" s="1">
        <v>44848</v>
      </c>
      <c r="G544">
        <v>110.512</v>
      </c>
      <c r="H544" s="4">
        <f t="shared" si="72"/>
        <v>583525.46239999996</v>
      </c>
      <c r="I544" s="5">
        <v>44852</v>
      </c>
      <c r="J544" s="4">
        <v>5845.55</v>
      </c>
      <c r="K544" s="4">
        <f t="shared" si="73"/>
        <v>58455.5</v>
      </c>
      <c r="L544" s="1">
        <v>44852</v>
      </c>
      <c r="M544">
        <v>5.43</v>
      </c>
      <c r="N544" s="1">
        <v>44852</v>
      </c>
      <c r="O544">
        <v>5.42</v>
      </c>
      <c r="P544" s="1">
        <v>44852</v>
      </c>
      <c r="Q544">
        <v>5.46</v>
      </c>
      <c r="R544" s="1">
        <v>44852</v>
      </c>
      <c r="S544">
        <v>5.47</v>
      </c>
      <c r="T544" s="1">
        <v>44852</v>
      </c>
      <c r="U544">
        <v>5.51</v>
      </c>
      <c r="V544" s="1">
        <v>44852</v>
      </c>
      <c r="W544">
        <v>5.53</v>
      </c>
      <c r="X544" s="1">
        <v>44852</v>
      </c>
      <c r="Y544">
        <f>NETWORKDAYS(X544,$Z$1,FERIADO!$A$2:$A$408)</f>
        <v>2071</v>
      </c>
      <c r="Z544">
        <v>11.67</v>
      </c>
      <c r="AA544" s="6">
        <f t="shared" si="74"/>
        <v>40368.771763596633</v>
      </c>
      <c r="AB544" s="2">
        <f t="shared" si="75"/>
        <v>1.4690731479108043E-3</v>
      </c>
      <c r="AJ544" s="1">
        <v>44852</v>
      </c>
      <c r="AK544">
        <f>NETWORKDAYS(AJ544,$AJ$1,FERIADO!$A$2:$A$408)</f>
        <v>1058</v>
      </c>
      <c r="AL544">
        <v>11.45</v>
      </c>
      <c r="AM544" s="6">
        <f t="shared" si="76"/>
        <v>63436.384741994843</v>
      </c>
      <c r="AN544" s="2">
        <f t="shared" si="77"/>
        <v>7.5988492341660496E-4</v>
      </c>
      <c r="AP544" s="11">
        <f t="shared" si="78"/>
        <v>7.3453657395540213E-4</v>
      </c>
      <c r="AQ544" s="11">
        <f t="shared" si="79"/>
        <v>2.2796547702498148E-4</v>
      </c>
      <c r="AR544" s="11">
        <f t="shared" si="80"/>
        <v>9.6250205098038361E-4</v>
      </c>
    </row>
    <row r="545" spans="2:44" x14ac:dyDescent="0.35">
      <c r="B545" s="1">
        <v>44851</v>
      </c>
      <c r="C545">
        <v>4020.39</v>
      </c>
      <c r="D545" s="1">
        <v>44852</v>
      </c>
      <c r="E545">
        <v>5.2690999999999999</v>
      </c>
      <c r="F545" s="1">
        <v>44847</v>
      </c>
      <c r="G545">
        <v>111.05500000000001</v>
      </c>
      <c r="H545" s="4">
        <f t="shared" si="72"/>
        <v>585159.90050000011</v>
      </c>
      <c r="I545" s="5">
        <v>44851</v>
      </c>
      <c r="J545" s="4">
        <v>5897.86</v>
      </c>
      <c r="K545" s="4">
        <f t="shared" si="73"/>
        <v>58978.6</v>
      </c>
      <c r="L545" s="1">
        <v>44851</v>
      </c>
      <c r="M545">
        <v>5.46</v>
      </c>
      <c r="N545" s="1">
        <v>44851</v>
      </c>
      <c r="O545">
        <v>5.43</v>
      </c>
      <c r="P545" s="1">
        <v>44851</v>
      </c>
      <c r="Q545">
        <v>5.47</v>
      </c>
      <c r="R545" s="1">
        <v>44851</v>
      </c>
      <c r="S545">
        <v>5.47</v>
      </c>
      <c r="T545" s="1">
        <v>44851</v>
      </c>
      <c r="U545">
        <v>5.51</v>
      </c>
      <c r="V545" s="1">
        <v>44851</v>
      </c>
      <c r="W545">
        <v>5.54</v>
      </c>
      <c r="X545" s="1">
        <v>44851</v>
      </c>
      <c r="Y545">
        <f>NETWORKDAYS(X545,$Z$1,FERIADO!$A$2:$A$408)</f>
        <v>2072</v>
      </c>
      <c r="Z545">
        <v>11.71</v>
      </c>
      <c r="AA545" s="6">
        <f t="shared" si="74"/>
        <v>40232.448392879785</v>
      </c>
      <c r="AB545" s="2">
        <f t="shared" si="75"/>
        <v>3.3875034021215249E-3</v>
      </c>
      <c r="AJ545" s="1">
        <v>44851</v>
      </c>
      <c r="AK545">
        <f>NETWORKDAYS(AJ545,$AJ$1,FERIADO!$A$2:$A$408)</f>
        <v>1059</v>
      </c>
      <c r="AL545">
        <v>11.484999999999999</v>
      </c>
      <c r="AM545" s="6">
        <f t="shared" si="76"/>
        <v>63325.487165849794</v>
      </c>
      <c r="AN545" s="2">
        <f t="shared" si="77"/>
        <v>2.3163070179701255E-3</v>
      </c>
      <c r="AP545" s="11">
        <f t="shared" si="78"/>
        <v>1.6937517010607625E-3</v>
      </c>
      <c r="AQ545" s="11">
        <f t="shared" si="79"/>
        <v>6.948921053910376E-4</v>
      </c>
      <c r="AR545" s="11">
        <f t="shared" si="80"/>
        <v>2.3886438064518001E-3</v>
      </c>
    </row>
    <row r="546" spans="2:44" x14ac:dyDescent="0.35">
      <c r="B546" s="1">
        <v>44848</v>
      </c>
      <c r="C546">
        <v>3909.18</v>
      </c>
      <c r="D546" s="1">
        <v>44851</v>
      </c>
      <c r="E546">
        <v>5.2706999999999997</v>
      </c>
      <c r="F546" s="1">
        <v>44845</v>
      </c>
      <c r="G546">
        <v>111.11</v>
      </c>
      <c r="H546" s="4">
        <f t="shared" si="72"/>
        <v>585627.47699999996</v>
      </c>
      <c r="I546" s="5">
        <v>44848</v>
      </c>
      <c r="J546" s="4">
        <v>5943.49</v>
      </c>
      <c r="K546" s="4">
        <f t="shared" si="73"/>
        <v>59434.899999999994</v>
      </c>
      <c r="L546" s="1">
        <v>44848</v>
      </c>
      <c r="M546">
        <v>5.54</v>
      </c>
      <c r="N546" s="1">
        <v>44848</v>
      </c>
      <c r="O546">
        <v>5.51</v>
      </c>
      <c r="P546" s="1">
        <v>44848</v>
      </c>
      <c r="Q546">
        <v>5.54</v>
      </c>
      <c r="R546" s="1">
        <v>44848</v>
      </c>
      <c r="S546">
        <v>5.53</v>
      </c>
      <c r="T546" s="1">
        <v>44848</v>
      </c>
      <c r="U546">
        <v>5.56</v>
      </c>
      <c r="V546" s="1">
        <v>44848</v>
      </c>
      <c r="W546">
        <v>5.58</v>
      </c>
      <c r="X546" s="1">
        <v>44848</v>
      </c>
      <c r="Y546">
        <f>NETWORKDAYS(X546,$Z$1,FERIADO!$A$2:$A$408)</f>
        <v>2073</v>
      </c>
      <c r="Z546">
        <v>11.81</v>
      </c>
      <c r="AA546" s="6">
        <f t="shared" si="74"/>
        <v>39919.855398367356</v>
      </c>
      <c r="AB546" s="2">
        <f t="shared" si="75"/>
        <v>-1.0865546873620382E-3</v>
      </c>
      <c r="AJ546" s="1">
        <v>44848</v>
      </c>
      <c r="AK546">
        <f>NETWORKDAYS(AJ546,$AJ$1,FERIADO!$A$2:$A$408)</f>
        <v>1060</v>
      </c>
      <c r="AL546">
        <v>11.615</v>
      </c>
      <c r="AM546" s="6">
        <f t="shared" si="76"/>
        <v>62988.640143634249</v>
      </c>
      <c r="AN546" s="2">
        <f t="shared" si="77"/>
        <v>-8.7578863952834679E-4</v>
      </c>
      <c r="AP546" s="11">
        <f t="shared" si="78"/>
        <v>-5.4327734368101908E-4</v>
      </c>
      <c r="AQ546" s="11">
        <f t="shared" si="79"/>
        <v>-2.6273659185850401E-4</v>
      </c>
      <c r="AR546" s="11">
        <f t="shared" si="80"/>
        <v>-8.0601393553952308E-4</v>
      </c>
    </row>
    <row r="547" spans="2:44" x14ac:dyDescent="0.35">
      <c r="B547" s="1">
        <v>44847</v>
      </c>
      <c r="C547">
        <v>4000.16</v>
      </c>
      <c r="D547" s="1">
        <v>44848</v>
      </c>
      <c r="E547">
        <v>5.2817999999999996</v>
      </c>
      <c r="F547" s="1">
        <v>44844</v>
      </c>
      <c r="G547">
        <v>111.119</v>
      </c>
      <c r="H547" s="4">
        <f t="shared" si="72"/>
        <v>586908.33419999992</v>
      </c>
      <c r="I547" s="5">
        <v>44847</v>
      </c>
      <c r="J547" s="4">
        <v>5877.27</v>
      </c>
      <c r="K547" s="4">
        <f t="shared" si="73"/>
        <v>58772.700000000004</v>
      </c>
      <c r="L547" s="1">
        <v>44847</v>
      </c>
      <c r="M547">
        <v>5.54</v>
      </c>
      <c r="N547" s="1">
        <v>44847</v>
      </c>
      <c r="O547">
        <v>5.53</v>
      </c>
      <c r="P547" s="1">
        <v>44847</v>
      </c>
      <c r="Q547">
        <v>5.55</v>
      </c>
      <c r="R547" s="1">
        <v>44847</v>
      </c>
      <c r="S547">
        <v>5.53</v>
      </c>
      <c r="T547" s="1">
        <v>44847</v>
      </c>
      <c r="U547">
        <v>5.56</v>
      </c>
      <c r="V547" s="1">
        <v>44847</v>
      </c>
      <c r="W547">
        <v>5.58</v>
      </c>
      <c r="X547" s="1">
        <v>44847</v>
      </c>
      <c r="Y547">
        <f>NETWORKDAYS(X547,$Z$1,FERIADO!$A$2:$A$408)</f>
        <v>2074</v>
      </c>
      <c r="Z547">
        <v>11.77</v>
      </c>
      <c r="AA547" s="6">
        <f t="shared" si="74"/>
        <v>40019.855312816828</v>
      </c>
      <c r="AB547" s="2">
        <f t="shared" si="75"/>
        <v>-4.4818229408128627E-4</v>
      </c>
      <c r="AJ547" s="1">
        <v>44847</v>
      </c>
      <c r="AK547">
        <f>NETWORKDAYS(AJ547,$AJ$1,FERIADO!$A$2:$A$408)</f>
        <v>1061</v>
      </c>
      <c r="AL547">
        <v>11.55</v>
      </c>
      <c r="AM547" s="6">
        <f t="shared" si="76"/>
        <v>63115.789801661078</v>
      </c>
      <c r="AN547" s="2">
        <f t="shared" si="77"/>
        <v>-4.6804077668788162E-4</v>
      </c>
      <c r="AP547" s="11">
        <f t="shared" si="78"/>
        <v>-2.2409114704064314E-4</v>
      </c>
      <c r="AQ547" s="11">
        <f t="shared" si="79"/>
        <v>-1.4041223300636447E-4</v>
      </c>
      <c r="AR547" s="11">
        <f t="shared" si="80"/>
        <v>-3.6450338004700761E-4</v>
      </c>
    </row>
    <row r="548" spans="2:44" x14ac:dyDescent="0.35">
      <c r="B548" s="1">
        <v>44845</v>
      </c>
      <c r="C548">
        <v>3911.48</v>
      </c>
      <c r="D548" s="1">
        <v>44847</v>
      </c>
      <c r="E548">
        <v>5.3010999999999999</v>
      </c>
      <c r="F548" s="1">
        <v>44841</v>
      </c>
      <c r="G548">
        <v>111.431</v>
      </c>
      <c r="H548" s="4">
        <f t="shared" si="72"/>
        <v>590706.8740999999</v>
      </c>
      <c r="I548" s="5">
        <v>44845</v>
      </c>
      <c r="J548" s="4">
        <v>5916.22</v>
      </c>
      <c r="K548" s="4">
        <f t="shared" si="73"/>
        <v>59162.200000000004</v>
      </c>
      <c r="L548" s="1">
        <v>44845</v>
      </c>
      <c r="M548">
        <v>5.54</v>
      </c>
      <c r="N548" s="1">
        <v>44845</v>
      </c>
      <c r="O548">
        <v>5.53</v>
      </c>
      <c r="P548" s="1">
        <v>44845</v>
      </c>
      <c r="Q548">
        <v>5.56</v>
      </c>
      <c r="R548" s="1">
        <v>44845</v>
      </c>
      <c r="S548">
        <v>5.51</v>
      </c>
      <c r="T548" s="1">
        <v>44845</v>
      </c>
      <c r="U548">
        <v>5.57</v>
      </c>
      <c r="V548" s="1">
        <v>44845</v>
      </c>
      <c r="W548">
        <v>5.59</v>
      </c>
      <c r="X548" s="1">
        <v>44845</v>
      </c>
      <c r="Y548">
        <f>NETWORKDAYS(X548,$Z$1,FERIADO!$A$2:$A$408)</f>
        <v>2075</v>
      </c>
      <c r="Z548">
        <v>11.75</v>
      </c>
      <c r="AA548" s="6">
        <f t="shared" si="74"/>
        <v>40061.176235303676</v>
      </c>
      <c r="AB548" s="2">
        <f t="shared" si="75"/>
        <v>-5.5760215158728449E-3</v>
      </c>
      <c r="AJ548" s="1">
        <v>44845</v>
      </c>
      <c r="AK548">
        <f>NETWORKDAYS(AJ548,$AJ$1,FERIADO!$A$2:$A$408)</f>
        <v>1062</v>
      </c>
      <c r="AL548">
        <v>11.51</v>
      </c>
      <c r="AM548" s="6">
        <f t="shared" si="76"/>
        <v>63183.8465887645</v>
      </c>
      <c r="AN548" s="2">
        <f t="shared" si="77"/>
        <v>-2.7718022070826564E-3</v>
      </c>
      <c r="AP548" s="11">
        <f t="shared" si="78"/>
        <v>-2.7880107579364224E-3</v>
      </c>
      <c r="AQ548" s="11">
        <f t="shared" si="79"/>
        <v>-8.3154066212479691E-4</v>
      </c>
      <c r="AR548" s="11">
        <f t="shared" si="80"/>
        <v>-3.6195514200612192E-3</v>
      </c>
    </row>
    <row r="549" spans="2:44" x14ac:dyDescent="0.35">
      <c r="B549" s="1">
        <v>44844</v>
      </c>
      <c r="C549">
        <v>3940.78</v>
      </c>
      <c r="D549" s="1">
        <v>44845</v>
      </c>
      <c r="E549">
        <v>5.2061000000000002</v>
      </c>
      <c r="F549" s="1">
        <v>44840</v>
      </c>
      <c r="G549">
        <v>111.89</v>
      </c>
      <c r="H549" s="4">
        <f t="shared" si="72"/>
        <v>582510.52899999998</v>
      </c>
      <c r="I549" s="5">
        <v>44844</v>
      </c>
      <c r="J549" s="4">
        <v>5797.7</v>
      </c>
      <c r="K549" s="4">
        <f t="shared" si="73"/>
        <v>57977</v>
      </c>
      <c r="L549" s="1">
        <v>44844</v>
      </c>
      <c r="M549">
        <v>5.54</v>
      </c>
      <c r="N549" s="1">
        <v>44844</v>
      </c>
      <c r="O549">
        <v>5.52</v>
      </c>
      <c r="P549" s="1">
        <v>44844</v>
      </c>
      <c r="Q549">
        <v>5.55</v>
      </c>
      <c r="R549" s="1">
        <v>44844</v>
      </c>
      <c r="S549">
        <v>5.52</v>
      </c>
      <c r="T549" s="1">
        <v>44844</v>
      </c>
      <c r="U549">
        <v>5.57</v>
      </c>
      <c r="V549" s="1">
        <v>44844</v>
      </c>
      <c r="W549">
        <v>5.57</v>
      </c>
      <c r="X549" s="1">
        <v>44844</v>
      </c>
      <c r="Y549">
        <f>NETWORKDAYS(X549,$Z$1,FERIADO!$A$2:$A$408)</f>
        <v>2076</v>
      </c>
      <c r="Z549">
        <v>11.57</v>
      </c>
      <c r="AA549" s="6">
        <f t="shared" si="74"/>
        <v>40578.84840745465</v>
      </c>
      <c r="AB549" s="2">
        <f t="shared" si="75"/>
        <v>1.1510361753723788E-3</v>
      </c>
      <c r="AJ549" s="1">
        <v>44844</v>
      </c>
      <c r="AK549">
        <f>NETWORKDAYS(AJ549,$AJ$1,FERIADO!$A$2:$A$408)</f>
        <v>1063</v>
      </c>
      <c r="AL549">
        <v>11.33</v>
      </c>
      <c r="AM549" s="6">
        <f t="shared" si="76"/>
        <v>63588.39511657309</v>
      </c>
      <c r="AN549" s="2">
        <f t="shared" si="77"/>
        <v>6.7902480866837073E-4</v>
      </c>
      <c r="AP549" s="11">
        <f t="shared" si="78"/>
        <v>5.7551808768618938E-4</v>
      </c>
      <c r="AQ549" s="11">
        <f t="shared" si="79"/>
        <v>2.0370744260051122E-4</v>
      </c>
      <c r="AR549" s="11">
        <f t="shared" si="80"/>
        <v>7.7922553028670054E-4</v>
      </c>
    </row>
    <row r="550" spans="2:44" x14ac:dyDescent="0.35">
      <c r="B550" s="1">
        <v>44841</v>
      </c>
      <c r="C550">
        <v>3964.69</v>
      </c>
      <c r="D550" s="1">
        <v>44844</v>
      </c>
      <c r="E550">
        <v>5.1935000000000002</v>
      </c>
      <c r="F550" s="1">
        <v>44839</v>
      </c>
      <c r="G550">
        <v>112.527</v>
      </c>
      <c r="H550" s="4">
        <f t="shared" si="72"/>
        <v>584408.97450000001</v>
      </c>
      <c r="I550" s="5">
        <v>44841</v>
      </c>
      <c r="J550" s="4">
        <v>5816.62</v>
      </c>
      <c r="K550" s="4">
        <f t="shared" si="73"/>
        <v>58166.2</v>
      </c>
      <c r="L550" s="1">
        <v>44841</v>
      </c>
      <c r="M550">
        <v>5.54</v>
      </c>
      <c r="N550" s="1">
        <v>44841</v>
      </c>
      <c r="O550">
        <v>5.54</v>
      </c>
      <c r="P550" s="1">
        <v>44841</v>
      </c>
      <c r="Q550">
        <v>5.56</v>
      </c>
      <c r="R550" s="1">
        <v>44841</v>
      </c>
      <c r="S550">
        <v>5.51</v>
      </c>
      <c r="T550" s="1">
        <v>44841</v>
      </c>
      <c r="U550">
        <v>5.53</v>
      </c>
      <c r="V550" s="1">
        <v>44841</v>
      </c>
      <c r="W550">
        <v>5.53</v>
      </c>
      <c r="X550" s="1">
        <v>44841</v>
      </c>
      <c r="Y550">
        <f>NETWORKDAYS(X550,$Z$1,FERIADO!$A$2:$A$408)</f>
        <v>2077</v>
      </c>
      <c r="Z550">
        <v>11.6</v>
      </c>
      <c r="AA550" s="6">
        <f t="shared" si="74"/>
        <v>40471.442297196503</v>
      </c>
      <c r="AB550" s="2">
        <f t="shared" si="75"/>
        <v>-4.527070910321722E-4</v>
      </c>
      <c r="AJ550" s="1">
        <v>44841</v>
      </c>
      <c r="AK550">
        <f>NETWORKDAYS(AJ550,$AJ$1,FERIADO!$A$2:$A$408)</f>
        <v>1064</v>
      </c>
      <c r="AL550">
        <v>11.36</v>
      </c>
      <c r="AM550" s="6">
        <f t="shared" si="76"/>
        <v>63489.051554854625</v>
      </c>
      <c r="AN550" s="2">
        <f t="shared" si="77"/>
        <v>-6.1809954889467442E-5</v>
      </c>
      <c r="AP550" s="11">
        <f t="shared" si="78"/>
        <v>-2.263535455160861E-4</v>
      </c>
      <c r="AQ550" s="11">
        <f t="shared" si="79"/>
        <v>-1.854298646684023E-5</v>
      </c>
      <c r="AR550" s="11">
        <f t="shared" si="80"/>
        <v>-2.4489653198292633E-4</v>
      </c>
    </row>
    <row r="551" spans="2:44" x14ac:dyDescent="0.35">
      <c r="B551" s="1">
        <v>44840</v>
      </c>
      <c r="C551">
        <v>4072.75</v>
      </c>
      <c r="D551" s="1">
        <v>44841</v>
      </c>
      <c r="E551">
        <v>5.2214999999999998</v>
      </c>
      <c r="F551" s="1">
        <v>44838</v>
      </c>
      <c r="G551">
        <v>113.39400000000001</v>
      </c>
      <c r="H551" s="4">
        <f t="shared" si="72"/>
        <v>592086.77099999995</v>
      </c>
      <c r="I551" s="5">
        <v>44840</v>
      </c>
      <c r="J551" s="4">
        <v>5841.66</v>
      </c>
      <c r="K551" s="4">
        <f t="shared" si="73"/>
        <v>58416.6</v>
      </c>
      <c r="L551" s="1">
        <v>44840</v>
      </c>
      <c r="M551">
        <v>5.55</v>
      </c>
      <c r="N551" s="1">
        <v>44840</v>
      </c>
      <c r="O551">
        <v>5.53</v>
      </c>
      <c r="P551" s="1">
        <v>44840</v>
      </c>
      <c r="Q551">
        <v>5.54</v>
      </c>
      <c r="R551" s="1">
        <v>44840</v>
      </c>
      <c r="S551">
        <v>5.5</v>
      </c>
      <c r="T551" s="1">
        <v>44840</v>
      </c>
      <c r="U551">
        <v>5.51</v>
      </c>
      <c r="V551" s="1">
        <v>44840</v>
      </c>
      <c r="W551">
        <v>5.5</v>
      </c>
      <c r="X551" s="1">
        <v>44840</v>
      </c>
      <c r="Y551">
        <f>NETWORKDAYS(X551,$Z$1,FERIADO!$A$2:$A$408)</f>
        <v>2078</v>
      </c>
      <c r="Z551">
        <v>11.58</v>
      </c>
      <c r="AA551" s="6">
        <f t="shared" si="74"/>
        <v>40513.651586603854</v>
      </c>
      <c r="AB551" s="2">
        <f t="shared" si="75"/>
        <v>-1.0958298298720556E-3</v>
      </c>
      <c r="AJ551" s="1">
        <v>44840</v>
      </c>
      <c r="AK551">
        <f>NETWORKDAYS(AJ551,$AJ$1,FERIADO!$A$2:$A$408)</f>
        <v>1065</v>
      </c>
      <c r="AL551">
        <v>11.345000000000001</v>
      </c>
      <c r="AM551" s="6">
        <f t="shared" si="76"/>
        <v>63498.088129908276</v>
      </c>
      <c r="AN551" s="2">
        <f t="shared" si="77"/>
        <v>-3.9237131101734412E-4</v>
      </c>
      <c r="AP551" s="11">
        <f t="shared" si="78"/>
        <v>-5.4791491493602781E-4</v>
      </c>
      <c r="AQ551" s="11">
        <f t="shared" si="79"/>
        <v>-1.1771139330520324E-4</v>
      </c>
      <c r="AR551" s="11">
        <f t="shared" si="80"/>
        <v>-6.6562630824123104E-4</v>
      </c>
    </row>
    <row r="552" spans="2:44" x14ac:dyDescent="0.35">
      <c r="B552" s="1">
        <v>44839</v>
      </c>
      <c r="C552">
        <v>4128.32</v>
      </c>
      <c r="D552" s="1">
        <v>44840</v>
      </c>
      <c r="E552">
        <v>5.2001999999999997</v>
      </c>
      <c r="F552" s="1">
        <v>44837</v>
      </c>
      <c r="G552">
        <v>113.28</v>
      </c>
      <c r="H552" s="4">
        <f t="shared" si="72"/>
        <v>589078.65600000008</v>
      </c>
      <c r="I552" s="5">
        <v>44839</v>
      </c>
      <c r="J552" s="4">
        <v>5813.83</v>
      </c>
      <c r="K552" s="4">
        <f t="shared" si="73"/>
        <v>58138.3</v>
      </c>
      <c r="L552" s="1">
        <v>44839</v>
      </c>
      <c r="M552">
        <v>5.52</v>
      </c>
      <c r="N552" s="1">
        <v>44839</v>
      </c>
      <c r="O552">
        <v>5.49</v>
      </c>
      <c r="P552" s="1">
        <v>44839</v>
      </c>
      <c r="Q552">
        <v>5.49</v>
      </c>
      <c r="R552" s="1">
        <v>44839</v>
      </c>
      <c r="S552">
        <v>5.43</v>
      </c>
      <c r="T552" s="1">
        <v>44839</v>
      </c>
      <c r="U552">
        <v>5.48</v>
      </c>
      <c r="V552" s="1">
        <v>44839</v>
      </c>
      <c r="W552">
        <v>5.48</v>
      </c>
      <c r="X552" s="1">
        <v>44839</v>
      </c>
      <c r="Y552">
        <f>NETWORKDAYS(X552,$Z$1,FERIADO!$A$2:$A$408)</f>
        <v>2079</v>
      </c>
      <c r="Z552">
        <v>11.54</v>
      </c>
      <c r="AA552" s="6">
        <f t="shared" si="74"/>
        <v>40616.006389430964</v>
      </c>
      <c r="AB552" s="2">
        <f t="shared" si="75"/>
        <v>-2.0621370495612508E-3</v>
      </c>
      <c r="AJ552" s="1">
        <v>44839</v>
      </c>
      <c r="AK552">
        <f>NETWORKDAYS(AJ552,$AJ$1,FERIADO!$A$2:$A$408)</f>
        <v>1066</v>
      </c>
      <c r="AL552">
        <v>11.31</v>
      </c>
      <c r="AM552" s="6">
        <f t="shared" si="76"/>
        <v>63555.482564778169</v>
      </c>
      <c r="AN552" s="2">
        <f t="shared" si="77"/>
        <v>-8.8946399651387582E-4</v>
      </c>
      <c r="AP552" s="11">
        <f t="shared" si="78"/>
        <v>-1.0310685247806254E-3</v>
      </c>
      <c r="AQ552" s="11">
        <f t="shared" si="79"/>
        <v>-2.6683919895416271E-4</v>
      </c>
      <c r="AR552" s="11">
        <f t="shared" si="80"/>
        <v>-1.2979077237347881E-3</v>
      </c>
    </row>
    <row r="553" spans="2:44" x14ac:dyDescent="0.35">
      <c r="B553" s="1">
        <v>44838</v>
      </c>
      <c r="C553">
        <v>4136.3</v>
      </c>
      <c r="D553" s="1">
        <v>44839</v>
      </c>
      <c r="E553">
        <v>5.2138</v>
      </c>
      <c r="F553" s="1">
        <v>44834</v>
      </c>
      <c r="G553">
        <v>111.89700000000001</v>
      </c>
      <c r="H553" s="4">
        <f t="shared" si="72"/>
        <v>583408.57860000001</v>
      </c>
      <c r="I553" s="5">
        <v>44838</v>
      </c>
      <c r="J553" s="4">
        <v>5795.47</v>
      </c>
      <c r="K553" s="4">
        <f t="shared" si="73"/>
        <v>57954.700000000004</v>
      </c>
      <c r="L553" s="1">
        <v>44838</v>
      </c>
      <c r="M553">
        <v>5.58</v>
      </c>
      <c r="N553" s="1">
        <v>44838</v>
      </c>
      <c r="O553">
        <v>5.53</v>
      </c>
      <c r="P553" s="1">
        <v>44838</v>
      </c>
      <c r="Q553">
        <v>5.51</v>
      </c>
      <c r="R553" s="1">
        <v>44838</v>
      </c>
      <c r="S553">
        <v>5.47</v>
      </c>
      <c r="T553" s="1">
        <v>44838</v>
      </c>
      <c r="U553">
        <v>5.47</v>
      </c>
      <c r="V553" s="1">
        <v>44838</v>
      </c>
      <c r="W553">
        <v>5.47</v>
      </c>
      <c r="X553" s="1">
        <v>44838</v>
      </c>
      <c r="Y553">
        <f>NETWORKDAYS(X553,$Z$1,FERIADO!$A$2:$A$408)</f>
        <v>2080</v>
      </c>
      <c r="Z553">
        <v>11.47</v>
      </c>
      <c r="AA553" s="6">
        <f t="shared" si="74"/>
        <v>40809.319767063309</v>
      </c>
      <c r="AB553" s="2">
        <f t="shared" si="75"/>
        <v>2.4385707015893037E-3</v>
      </c>
      <c r="AJ553" s="1">
        <v>44838</v>
      </c>
      <c r="AK553">
        <f>NETWORKDAYS(AJ553,$AJ$1,FERIADO!$A$2:$A$408)</f>
        <v>1067</v>
      </c>
      <c r="AL553">
        <v>11.244999999999999</v>
      </c>
      <c r="AM553" s="6">
        <f t="shared" si="76"/>
        <v>63685.781807210617</v>
      </c>
      <c r="AN553" s="2">
        <f t="shared" si="77"/>
        <v>1.0107316893652708E-3</v>
      </c>
      <c r="AP553" s="11">
        <f t="shared" si="78"/>
        <v>1.2192853507946519E-3</v>
      </c>
      <c r="AQ553" s="11">
        <f t="shared" si="79"/>
        <v>3.032195068095812E-4</v>
      </c>
      <c r="AR553" s="11">
        <f t="shared" si="80"/>
        <v>1.5225048576042331E-3</v>
      </c>
    </row>
    <row r="554" spans="2:44" x14ac:dyDescent="0.35">
      <c r="B554" s="1">
        <v>44837</v>
      </c>
      <c r="C554">
        <v>4016.22</v>
      </c>
      <c r="D554" s="1">
        <v>44838</v>
      </c>
      <c r="E554">
        <v>5.1405000000000003</v>
      </c>
      <c r="F554" s="1">
        <v>44833</v>
      </c>
      <c r="G554">
        <v>112.14</v>
      </c>
      <c r="H554" s="4">
        <f t="shared" si="72"/>
        <v>576455.67000000004</v>
      </c>
      <c r="I554" s="5">
        <v>44837</v>
      </c>
      <c r="J554" s="4">
        <v>5792.69</v>
      </c>
      <c r="K554" s="4">
        <f t="shared" si="73"/>
        <v>57926.899999999994</v>
      </c>
      <c r="L554" s="1">
        <v>44837</v>
      </c>
      <c r="M554">
        <v>5.6</v>
      </c>
      <c r="N554" s="1">
        <v>44837</v>
      </c>
      <c r="O554">
        <v>5.54</v>
      </c>
      <c r="P554" s="1">
        <v>44837</v>
      </c>
      <c r="Q554">
        <v>5.53</v>
      </c>
      <c r="R554" s="1">
        <v>44837</v>
      </c>
      <c r="S554">
        <v>5.45</v>
      </c>
      <c r="T554" s="1">
        <v>44837</v>
      </c>
      <c r="U554">
        <v>5.47</v>
      </c>
      <c r="V554" s="1">
        <v>44837</v>
      </c>
      <c r="W554">
        <v>5.45</v>
      </c>
      <c r="X554" s="1">
        <v>44837</v>
      </c>
      <c r="Y554">
        <f>NETWORKDAYS(X554,$Z$1,FERIADO!$A$2:$A$408)</f>
        <v>2081</v>
      </c>
      <c r="Z554">
        <v>11.54</v>
      </c>
      <c r="AA554" s="6">
        <f t="shared" si="74"/>
        <v>40580.816885444088</v>
      </c>
      <c r="AB554" s="2">
        <f t="shared" si="75"/>
        <v>8.5423524930910398E-3</v>
      </c>
      <c r="AJ554" s="1">
        <v>44837</v>
      </c>
      <c r="AK554">
        <f>NETWORKDAYS(AJ554,$AJ$1,FERIADO!$A$2:$A$408)</f>
        <v>1068</v>
      </c>
      <c r="AL554">
        <v>11.295</v>
      </c>
      <c r="AM554" s="6">
        <f t="shared" si="76"/>
        <v>63537.73849682742</v>
      </c>
      <c r="AN554" s="2">
        <f t="shared" si="77"/>
        <v>4.1529531136516185E-3</v>
      </c>
      <c r="AP554" s="11">
        <f t="shared" si="78"/>
        <v>4.2711762465455199E-3</v>
      </c>
      <c r="AQ554" s="11">
        <f t="shared" si="79"/>
        <v>1.2458859340954856E-3</v>
      </c>
      <c r="AR554" s="11">
        <f t="shared" si="80"/>
        <v>5.5170621806410053E-3</v>
      </c>
    </row>
    <row r="555" spans="2:44" x14ac:dyDescent="0.35">
      <c r="B555" s="1">
        <v>44834</v>
      </c>
      <c r="C555">
        <v>3915.58</v>
      </c>
      <c r="D555" s="1">
        <v>44837</v>
      </c>
      <c r="E555">
        <v>5.1996000000000002</v>
      </c>
      <c r="F555" s="1">
        <v>44832</v>
      </c>
      <c r="G555">
        <v>112.65</v>
      </c>
      <c r="H555" s="4">
        <f t="shared" si="72"/>
        <v>585734.94000000006</v>
      </c>
      <c r="I555" s="5">
        <v>44834</v>
      </c>
      <c r="J555" s="4">
        <v>6062.01</v>
      </c>
      <c r="K555" s="4">
        <f t="shared" si="73"/>
        <v>60620.100000000006</v>
      </c>
      <c r="L555" s="1">
        <v>44834</v>
      </c>
      <c r="M555">
        <v>5.65</v>
      </c>
      <c r="N555" s="1">
        <v>44834</v>
      </c>
      <c r="O555">
        <v>5.59</v>
      </c>
      <c r="P555" s="1">
        <v>44834</v>
      </c>
      <c r="Q555">
        <v>5.54</v>
      </c>
      <c r="R555" s="1">
        <v>44834</v>
      </c>
      <c r="S555">
        <v>5.51</v>
      </c>
      <c r="T555" s="1">
        <v>44834</v>
      </c>
      <c r="U555">
        <v>5.51</v>
      </c>
      <c r="V555" s="1">
        <v>44834</v>
      </c>
      <c r="W555">
        <v>5.5</v>
      </c>
      <c r="X555" s="1">
        <v>44834</v>
      </c>
      <c r="Y555">
        <f>NETWORKDAYS(X555,$Z$1,FERIADO!$A$2:$A$408)</f>
        <v>2082</v>
      </c>
      <c r="Z555">
        <v>11.8</v>
      </c>
      <c r="AA555" s="6">
        <f t="shared" si="74"/>
        <v>39790.411689127701</v>
      </c>
      <c r="AB555" s="2">
        <f t="shared" si="75"/>
        <v>5.0054006551782911E-3</v>
      </c>
      <c r="AJ555" s="1">
        <v>44834</v>
      </c>
      <c r="AK555">
        <f>NETWORKDAYS(AJ555,$AJ$1,FERIADO!$A$2:$A$408)</f>
        <v>1069</v>
      </c>
      <c r="AL555">
        <v>11.535</v>
      </c>
      <c r="AM555" s="6">
        <f t="shared" si="76"/>
        <v>62933.052867160644</v>
      </c>
      <c r="AN555" s="2">
        <f t="shared" si="77"/>
        <v>2.5013332070445956E-3</v>
      </c>
      <c r="AP555" s="11">
        <f t="shared" si="78"/>
        <v>2.5027003275891455E-3</v>
      </c>
      <c r="AQ555" s="11">
        <f t="shared" si="79"/>
        <v>7.5039996211337867E-4</v>
      </c>
      <c r="AR555" s="11">
        <f t="shared" si="80"/>
        <v>3.2531002897025242E-3</v>
      </c>
    </row>
    <row r="556" spans="2:44" x14ac:dyDescent="0.35">
      <c r="B556" s="1">
        <v>44833</v>
      </c>
      <c r="C556">
        <v>3973.42</v>
      </c>
      <c r="D556" s="1">
        <v>44834</v>
      </c>
      <c r="E556">
        <v>5.4059999999999997</v>
      </c>
      <c r="F556" s="1">
        <v>44831</v>
      </c>
      <c r="G556">
        <v>111.01600000000001</v>
      </c>
      <c r="H556" s="4">
        <f t="shared" si="72"/>
        <v>600152.49600000004</v>
      </c>
      <c r="I556" s="5">
        <v>44833</v>
      </c>
      <c r="J556" s="4">
        <v>6052</v>
      </c>
      <c r="K556" s="4">
        <f t="shared" si="73"/>
        <v>60520</v>
      </c>
      <c r="L556" s="1">
        <v>44833</v>
      </c>
      <c r="M556">
        <v>5.7</v>
      </c>
      <c r="N556" s="1">
        <v>44833</v>
      </c>
      <c r="O556">
        <v>5.65</v>
      </c>
      <c r="P556" s="1">
        <v>44833</v>
      </c>
      <c r="Q556">
        <v>5.63</v>
      </c>
      <c r="R556" s="1">
        <v>44833</v>
      </c>
      <c r="S556">
        <v>5.59</v>
      </c>
      <c r="T556" s="1">
        <v>44833</v>
      </c>
      <c r="U556">
        <v>5.59</v>
      </c>
      <c r="V556" s="1">
        <v>44833</v>
      </c>
      <c r="W556">
        <v>5.6</v>
      </c>
      <c r="X556" s="1">
        <v>44833</v>
      </c>
      <c r="Y556">
        <f>NETWORKDAYS(X556,$Z$1,FERIADO!$A$2:$A$408)</f>
        <v>2083</v>
      </c>
      <c r="Z556">
        <v>11.95</v>
      </c>
      <c r="AA556" s="6">
        <f t="shared" si="74"/>
        <v>39334.445467677375</v>
      </c>
      <c r="AB556" s="2">
        <f t="shared" si="75"/>
        <v>1.7982670143309814E-3</v>
      </c>
      <c r="AJ556" s="1">
        <v>44833</v>
      </c>
      <c r="AK556">
        <f>NETWORKDAYS(AJ556,$AJ$1,FERIADO!$A$2:$A$408)</f>
        <v>1070</v>
      </c>
      <c r="AL556">
        <v>11.675000000000001</v>
      </c>
      <c r="AM556" s="6">
        <f t="shared" si="76"/>
        <v>62571.629713686445</v>
      </c>
      <c r="AN556" s="2">
        <f t="shared" si="77"/>
        <v>8.5129845815772097E-4</v>
      </c>
      <c r="AP556" s="11">
        <f t="shared" si="78"/>
        <v>8.9913350716549069E-4</v>
      </c>
      <c r="AQ556" s="11">
        <f t="shared" si="79"/>
        <v>2.5538953744731627E-4</v>
      </c>
      <c r="AR556" s="11">
        <f t="shared" si="80"/>
        <v>1.1545230446128069E-3</v>
      </c>
    </row>
    <row r="557" spans="2:44" x14ac:dyDescent="0.35">
      <c r="B557" s="1">
        <v>44832</v>
      </c>
      <c r="C557">
        <v>4056.68</v>
      </c>
      <c r="D557" s="1">
        <v>44833</v>
      </c>
      <c r="E557">
        <v>5.391</v>
      </c>
      <c r="F557" s="1">
        <v>44830</v>
      </c>
      <c r="G557">
        <v>111.1</v>
      </c>
      <c r="H557" s="4">
        <f t="shared" si="72"/>
        <v>598940.09999999986</v>
      </c>
      <c r="I557" s="5">
        <v>44832</v>
      </c>
      <c r="J557" s="4">
        <v>6029.02</v>
      </c>
      <c r="K557" s="4">
        <f t="shared" si="73"/>
        <v>60290.200000000004</v>
      </c>
      <c r="L557" s="1">
        <v>44832</v>
      </c>
      <c r="M557">
        <v>5.71</v>
      </c>
      <c r="N557" s="1">
        <v>44832</v>
      </c>
      <c r="O557">
        <v>5.67</v>
      </c>
      <c r="P557" s="1">
        <v>44832</v>
      </c>
      <c r="Q557">
        <v>5.63</v>
      </c>
      <c r="R557" s="1">
        <v>44832</v>
      </c>
      <c r="S557">
        <v>5.58</v>
      </c>
      <c r="T557" s="1">
        <v>44832</v>
      </c>
      <c r="U557">
        <v>5.64</v>
      </c>
      <c r="V557" s="1">
        <v>44832</v>
      </c>
      <c r="W557">
        <v>5.6</v>
      </c>
      <c r="X557" s="1">
        <v>44832</v>
      </c>
      <c r="Y557">
        <f>NETWORKDAYS(X557,$Z$1,FERIADO!$A$2:$A$408)</f>
        <v>2084</v>
      </c>
      <c r="Z557">
        <v>12</v>
      </c>
      <c r="AA557" s="6">
        <f t="shared" si="74"/>
        <v>39171.911523119619</v>
      </c>
      <c r="AB557" s="2">
        <f t="shared" si="75"/>
        <v>-6.226979532004428E-3</v>
      </c>
      <c r="AJ557" s="1">
        <v>44832</v>
      </c>
      <c r="AK557">
        <f>NETWORKDAYS(AJ557,$AJ$1,FERIADO!$A$2:$A$408)</f>
        <v>1071</v>
      </c>
      <c r="AL557">
        <v>11.715</v>
      </c>
      <c r="AM557" s="6">
        <f t="shared" si="76"/>
        <v>62449.097741859434</v>
      </c>
      <c r="AN557" s="2">
        <f t="shared" si="77"/>
        <v>-2.6225795558186627E-3</v>
      </c>
      <c r="AP557" s="11">
        <f t="shared" si="78"/>
        <v>-3.113489766002214E-3</v>
      </c>
      <c r="AQ557" s="11">
        <f t="shared" si="79"/>
        <v>-7.8677386674559874E-4</v>
      </c>
      <c r="AR557" s="11">
        <f t="shared" si="80"/>
        <v>-3.9002636327478126E-3</v>
      </c>
    </row>
    <row r="558" spans="2:44" x14ac:dyDescent="0.35">
      <c r="B558" s="1">
        <v>44831</v>
      </c>
      <c r="C558">
        <v>3977.93</v>
      </c>
      <c r="D558" s="1">
        <v>44832</v>
      </c>
      <c r="E558">
        <v>5.3587999999999996</v>
      </c>
      <c r="F558" s="1">
        <v>44827</v>
      </c>
      <c r="G558">
        <v>112.71</v>
      </c>
      <c r="H558" s="4">
        <f t="shared" si="72"/>
        <v>603990.34799999988</v>
      </c>
      <c r="I558" s="5">
        <v>44831</v>
      </c>
      <c r="J558" s="4">
        <v>6035.74</v>
      </c>
      <c r="K558" s="4">
        <f t="shared" si="73"/>
        <v>60357.399999999994</v>
      </c>
      <c r="L558" s="1">
        <v>44831</v>
      </c>
      <c r="M558">
        <v>5.65</v>
      </c>
      <c r="N558" s="1">
        <v>44831</v>
      </c>
      <c r="O558">
        <v>5.61</v>
      </c>
      <c r="P558" s="1">
        <v>44831</v>
      </c>
      <c r="Q558">
        <v>5.56</v>
      </c>
      <c r="R558" s="1">
        <v>44831</v>
      </c>
      <c r="S558">
        <v>5.54</v>
      </c>
      <c r="T558" s="1">
        <v>44831</v>
      </c>
      <c r="U558">
        <v>5.6</v>
      </c>
      <c r="V558" s="1">
        <v>44831</v>
      </c>
      <c r="W558">
        <v>5.6</v>
      </c>
      <c r="X558" s="1">
        <v>44831</v>
      </c>
      <c r="Y558">
        <f>NETWORKDAYS(X558,$Z$1,FERIADO!$A$2:$A$408)</f>
        <v>2085</v>
      </c>
      <c r="Z558">
        <v>11.8</v>
      </c>
      <c r="AA558" s="6">
        <f t="shared" si="74"/>
        <v>39737.61012020526</v>
      </c>
      <c r="AB558" s="2">
        <f t="shared" si="75"/>
        <v>3.4063495854950998E-3</v>
      </c>
      <c r="AJ558" s="1">
        <v>44831</v>
      </c>
      <c r="AK558">
        <f>NETWORKDAYS(AJ558,$AJ$1,FERIADO!$A$2:$A$408)</f>
        <v>1072</v>
      </c>
      <c r="AL558">
        <v>11.545</v>
      </c>
      <c r="AM558" s="6">
        <f t="shared" si="76"/>
        <v>62827.350826035443</v>
      </c>
      <c r="AN558" s="2">
        <f t="shared" si="77"/>
        <v>2.5905499571260474E-3</v>
      </c>
      <c r="AP558" s="11">
        <f t="shared" si="78"/>
        <v>1.7031747927475499E-3</v>
      </c>
      <c r="AQ558" s="11">
        <f t="shared" si="79"/>
        <v>7.771649871378142E-4</v>
      </c>
      <c r="AR558" s="11">
        <f t="shared" si="80"/>
        <v>2.480339779885364E-3</v>
      </c>
    </row>
    <row r="559" spans="2:44" x14ac:dyDescent="0.35">
      <c r="B559" s="1">
        <v>44830</v>
      </c>
      <c r="C559">
        <v>3981.79</v>
      </c>
      <c r="D559" s="1">
        <v>44831</v>
      </c>
      <c r="E559">
        <v>5.3502000000000001</v>
      </c>
      <c r="F559" s="1">
        <v>44826</v>
      </c>
      <c r="G559">
        <v>112.69</v>
      </c>
      <c r="H559" s="4">
        <f t="shared" si="72"/>
        <v>602914.03800000006</v>
      </c>
      <c r="I559" s="5">
        <v>44830</v>
      </c>
      <c r="J559" s="4">
        <v>6052</v>
      </c>
      <c r="K559" s="4">
        <f t="shared" si="73"/>
        <v>60520</v>
      </c>
      <c r="L559" s="1">
        <v>44830</v>
      </c>
      <c r="M559">
        <v>5.71</v>
      </c>
      <c r="N559" s="1">
        <v>44830</v>
      </c>
      <c r="O559">
        <v>5.65</v>
      </c>
      <c r="P559" s="1">
        <v>44830</v>
      </c>
      <c r="Q559">
        <v>5.58</v>
      </c>
      <c r="R559" s="1">
        <v>44830</v>
      </c>
      <c r="S559">
        <v>5.58</v>
      </c>
      <c r="T559" s="1">
        <v>44830</v>
      </c>
      <c r="U559">
        <v>5.62</v>
      </c>
      <c r="V559" s="1">
        <v>44830</v>
      </c>
      <c r="W559">
        <v>5.62</v>
      </c>
      <c r="X559" s="1">
        <v>44830</v>
      </c>
      <c r="Y559">
        <f>NETWORKDAYS(X559,$Z$1,FERIADO!$A$2:$A$408)</f>
        <v>2086</v>
      </c>
      <c r="Z559">
        <v>11.9</v>
      </c>
      <c r="AA559" s="6">
        <f t="shared" si="74"/>
        <v>39427.150881579684</v>
      </c>
      <c r="AB559" s="2">
        <f t="shared" si="75"/>
        <v>-8.8173355362660549E-3</v>
      </c>
      <c r="AJ559" s="1">
        <v>44830</v>
      </c>
      <c r="AK559">
        <f>NETWORKDAYS(AJ559,$AJ$1,FERIADO!$A$2:$A$408)</f>
        <v>1073</v>
      </c>
      <c r="AL559">
        <v>11.69</v>
      </c>
      <c r="AM559" s="6">
        <f t="shared" si="76"/>
        <v>62453.703587394026</v>
      </c>
      <c r="AN559" s="2">
        <f t="shared" si="77"/>
        <v>-4.4554406883934288E-3</v>
      </c>
      <c r="AP559" s="11">
        <f t="shared" si="78"/>
        <v>-4.4086677681330275E-3</v>
      </c>
      <c r="AQ559" s="11">
        <f t="shared" si="79"/>
        <v>-1.3366322065180285E-3</v>
      </c>
      <c r="AR559" s="11">
        <f t="shared" si="80"/>
        <v>-5.7452999746510558E-3</v>
      </c>
    </row>
    <row r="560" spans="2:44" x14ac:dyDescent="0.35">
      <c r="B560" s="1">
        <v>44827</v>
      </c>
      <c r="C560">
        <v>4030.52</v>
      </c>
      <c r="D560" s="1">
        <v>44830</v>
      </c>
      <c r="E560">
        <v>5.3541999999999996</v>
      </c>
      <c r="F560" s="1">
        <v>44825</v>
      </c>
      <c r="G560">
        <v>113.94</v>
      </c>
      <c r="H560" s="4">
        <f t="shared" si="72"/>
        <v>610057.54799999995</v>
      </c>
      <c r="I560" s="5">
        <v>44827</v>
      </c>
      <c r="J560" s="4">
        <v>5905.73</v>
      </c>
      <c r="K560" s="4">
        <f t="shared" si="73"/>
        <v>59057.299999999996</v>
      </c>
      <c r="L560" s="1">
        <v>44827</v>
      </c>
      <c r="M560">
        <v>5.59</v>
      </c>
      <c r="N560" s="1">
        <v>44827</v>
      </c>
      <c r="O560">
        <v>5.54</v>
      </c>
      <c r="P560" s="1">
        <v>44827</v>
      </c>
      <c r="Q560">
        <v>5.49</v>
      </c>
      <c r="R560" s="1">
        <v>44827</v>
      </c>
      <c r="S560">
        <v>5.47</v>
      </c>
      <c r="T560" s="1">
        <v>44827</v>
      </c>
      <c r="U560">
        <v>5.53</v>
      </c>
      <c r="V560" s="1">
        <v>44827</v>
      </c>
      <c r="W560">
        <v>5.53</v>
      </c>
      <c r="X560" s="1">
        <v>44827</v>
      </c>
      <c r="Y560">
        <f>NETWORKDAYS(X560,$Z$1,FERIADO!$A$2:$A$408)</f>
        <v>2087</v>
      </c>
      <c r="Z560">
        <v>11.62</v>
      </c>
      <c r="AA560" s="6">
        <f t="shared" si="74"/>
        <v>40235.808305719765</v>
      </c>
      <c r="AB560" s="2">
        <f t="shared" si="75"/>
        <v>-6.5869688519290285E-3</v>
      </c>
      <c r="AJ560" s="1">
        <v>44827</v>
      </c>
      <c r="AK560">
        <f>NETWORKDAYS(AJ560,$AJ$1,FERIADO!$A$2:$A$408)</f>
        <v>1074</v>
      </c>
      <c r="AL560">
        <v>11.41</v>
      </c>
      <c r="AM560" s="6">
        <f t="shared" si="76"/>
        <v>63097.715910939398</v>
      </c>
      <c r="AN560" s="2">
        <f t="shared" si="77"/>
        <v>-3.5591178050504947E-3</v>
      </c>
      <c r="AP560" s="11">
        <f t="shared" si="78"/>
        <v>-3.2934844259645143E-3</v>
      </c>
      <c r="AQ560" s="11">
        <f t="shared" si="79"/>
        <v>-1.0677353415151484E-3</v>
      </c>
      <c r="AR560" s="11">
        <f t="shared" si="80"/>
        <v>-4.3612197674796627E-3</v>
      </c>
    </row>
    <row r="561" spans="2:44" x14ac:dyDescent="0.35">
      <c r="B561" s="1">
        <v>44826</v>
      </c>
      <c r="C561">
        <v>4101.2</v>
      </c>
      <c r="D561" s="1">
        <v>44827</v>
      </c>
      <c r="E561">
        <v>5.2251000000000003</v>
      </c>
      <c r="F561" s="1">
        <v>44824</v>
      </c>
      <c r="G561">
        <v>113.858</v>
      </c>
      <c r="H561" s="4">
        <f t="shared" si="72"/>
        <v>594919.43580000009</v>
      </c>
      <c r="I561" s="5">
        <v>44826</v>
      </c>
      <c r="J561" s="4">
        <v>5746.01</v>
      </c>
      <c r="K561" s="4">
        <f t="shared" si="73"/>
        <v>57460.100000000006</v>
      </c>
      <c r="L561" s="1">
        <v>44826</v>
      </c>
      <c r="M561">
        <v>5.47</v>
      </c>
      <c r="N561" s="1">
        <v>44826</v>
      </c>
      <c r="O561">
        <v>5.4</v>
      </c>
      <c r="P561" s="1">
        <v>44826</v>
      </c>
      <c r="Q561">
        <v>5.42</v>
      </c>
      <c r="R561" s="1">
        <v>44826</v>
      </c>
      <c r="S561">
        <v>5.43</v>
      </c>
      <c r="T561" s="1">
        <v>44826</v>
      </c>
      <c r="U561">
        <v>5.47</v>
      </c>
      <c r="V561" s="1">
        <v>44826</v>
      </c>
      <c r="W561">
        <v>5.49</v>
      </c>
      <c r="X561" s="1">
        <v>44826</v>
      </c>
      <c r="Y561">
        <f>NETWORKDAYS(X561,$Z$1,FERIADO!$A$2:$A$408)</f>
        <v>2088</v>
      </c>
      <c r="Z561">
        <v>11.41</v>
      </c>
      <c r="AA561" s="6">
        <f t="shared" si="74"/>
        <v>40850.718475842754</v>
      </c>
      <c r="AB561" s="2">
        <f t="shared" si="75"/>
        <v>5.0301285459464018E-3</v>
      </c>
      <c r="AJ561" s="1">
        <v>44826</v>
      </c>
      <c r="AK561">
        <f>NETWORKDAYS(AJ561,$AJ$1,FERIADO!$A$2:$A$408)</f>
        <v>1075</v>
      </c>
      <c r="AL561">
        <v>11.185</v>
      </c>
      <c r="AM561" s="6">
        <f t="shared" si="76"/>
        <v>63616.937168241537</v>
      </c>
      <c r="AN561" s="2">
        <f t="shared" si="77"/>
        <v>3.1823761575533048E-3</v>
      </c>
      <c r="AP561" s="11">
        <f t="shared" si="78"/>
        <v>2.5150642729732009E-3</v>
      </c>
      <c r="AQ561" s="11">
        <f t="shared" si="79"/>
        <v>9.5471284726599145E-4</v>
      </c>
      <c r="AR561" s="11">
        <f t="shared" si="80"/>
        <v>3.4697771202391921E-3</v>
      </c>
    </row>
    <row r="562" spans="2:44" x14ac:dyDescent="0.35">
      <c r="B562" s="1">
        <v>44825</v>
      </c>
      <c r="C562">
        <v>4124.16</v>
      </c>
      <c r="D562" s="1">
        <v>44826</v>
      </c>
      <c r="E562">
        <v>5.1670999999999996</v>
      </c>
      <c r="F562" s="1">
        <v>44823</v>
      </c>
      <c r="G562">
        <v>114.337</v>
      </c>
      <c r="H562" s="4">
        <f t="shared" si="72"/>
        <v>590790.71269999992</v>
      </c>
      <c r="I562" s="5">
        <v>44825</v>
      </c>
      <c r="J562" s="4">
        <v>5808.21</v>
      </c>
      <c r="K562" s="4">
        <f t="shared" si="73"/>
        <v>58082.1</v>
      </c>
      <c r="L562" s="1">
        <v>44825</v>
      </c>
      <c r="M562">
        <v>5.62</v>
      </c>
      <c r="N562" s="1">
        <v>44825</v>
      </c>
      <c r="O562">
        <v>5.53</v>
      </c>
      <c r="P562" s="1">
        <v>44825</v>
      </c>
      <c r="Q562">
        <v>5.52</v>
      </c>
      <c r="R562" s="1">
        <v>44825</v>
      </c>
      <c r="S562">
        <v>5.51</v>
      </c>
      <c r="T562" s="1">
        <v>44825</v>
      </c>
      <c r="U562">
        <v>5.54</v>
      </c>
      <c r="V562" s="1">
        <v>44825</v>
      </c>
      <c r="W562">
        <v>5.57</v>
      </c>
      <c r="X562" s="1">
        <v>44825</v>
      </c>
      <c r="Y562">
        <f>NETWORKDAYS(X562,$Z$1,FERIADO!$A$2:$A$408)</f>
        <v>2089</v>
      </c>
      <c r="Z562">
        <v>11.56</v>
      </c>
      <c r="AA562" s="6">
        <f t="shared" si="74"/>
        <v>40380.302746503716</v>
      </c>
      <c r="AB562" s="2">
        <f t="shared" si="75"/>
        <v>6.317751128628122E-3</v>
      </c>
      <c r="AJ562" s="1">
        <v>44825</v>
      </c>
      <c r="AK562">
        <f>NETWORKDAYS(AJ562,$AJ$1,FERIADO!$A$2:$A$408)</f>
        <v>1076</v>
      </c>
      <c r="AL562">
        <v>11.365</v>
      </c>
      <c r="AM562" s="6">
        <f t="shared" si="76"/>
        <v>63152.475646744831</v>
      </c>
      <c r="AN562" s="2">
        <f t="shared" si="77"/>
        <v>3.5158699090023404E-3</v>
      </c>
      <c r="AP562" s="11">
        <f t="shared" si="78"/>
        <v>3.158875564314061E-3</v>
      </c>
      <c r="AQ562" s="11">
        <f t="shared" si="79"/>
        <v>1.0547609727007022E-3</v>
      </c>
      <c r="AR562" s="11">
        <f t="shared" si="80"/>
        <v>4.2136365370147632E-3</v>
      </c>
    </row>
    <row r="563" spans="2:44" x14ac:dyDescent="0.35">
      <c r="B563" s="1">
        <v>44824</v>
      </c>
      <c r="C563">
        <v>4208.58</v>
      </c>
      <c r="D563" s="1">
        <v>44825</v>
      </c>
      <c r="E563">
        <v>5.1685999999999996</v>
      </c>
      <c r="F563" s="1">
        <v>44820</v>
      </c>
      <c r="G563">
        <v>114.76</v>
      </c>
      <c r="H563" s="4">
        <f t="shared" si="72"/>
        <v>593148.53600000008</v>
      </c>
      <c r="I563" s="5">
        <v>44824</v>
      </c>
      <c r="J563" s="4">
        <v>5780.19</v>
      </c>
      <c r="K563" s="4">
        <f t="shared" si="73"/>
        <v>57801.899999999994</v>
      </c>
      <c r="L563" s="1">
        <v>44824</v>
      </c>
      <c r="M563">
        <v>5.65</v>
      </c>
      <c r="N563" s="1">
        <v>44824</v>
      </c>
      <c r="O563">
        <v>5.58</v>
      </c>
      <c r="P563" s="1">
        <v>44824</v>
      </c>
      <c r="Q563">
        <v>5.55</v>
      </c>
      <c r="R563" s="1">
        <v>44824</v>
      </c>
      <c r="S563">
        <v>5.55</v>
      </c>
      <c r="T563" s="1">
        <v>44824</v>
      </c>
      <c r="U563">
        <v>5.57</v>
      </c>
      <c r="V563" s="1">
        <v>44824</v>
      </c>
      <c r="W563">
        <v>5.6</v>
      </c>
      <c r="X563" s="1">
        <v>44824</v>
      </c>
      <c r="Y563">
        <f>NETWORKDAYS(X563,$Z$1,FERIADO!$A$2:$A$408)</f>
        <v>2090</v>
      </c>
      <c r="Z563">
        <v>11.75</v>
      </c>
      <c r="AA563" s="6">
        <f t="shared" si="74"/>
        <v>39797.136032686816</v>
      </c>
      <c r="AB563" s="2">
        <f t="shared" si="75"/>
        <v>8.3634217015749173E-4</v>
      </c>
      <c r="AJ563" s="1">
        <v>44824</v>
      </c>
      <c r="AK563">
        <f>NETWORKDAYS(AJ563,$AJ$1,FERIADO!$A$2:$A$408)</f>
        <v>1077</v>
      </c>
      <c r="AL563">
        <v>11.565</v>
      </c>
      <c r="AM563" s="6">
        <f t="shared" si="76"/>
        <v>62643.283007377031</v>
      </c>
      <c r="AN563" s="2">
        <f t="shared" si="77"/>
        <v>3.5511872059691907E-4</v>
      </c>
      <c r="AP563" s="11">
        <f t="shared" si="78"/>
        <v>4.1817108507874587E-4</v>
      </c>
      <c r="AQ563" s="11">
        <f t="shared" si="79"/>
        <v>1.0653561617907572E-4</v>
      </c>
      <c r="AR563" s="11">
        <f t="shared" si="80"/>
        <v>5.2470670125782156E-4</v>
      </c>
    </row>
    <row r="564" spans="2:44" x14ac:dyDescent="0.35">
      <c r="B564" s="1">
        <v>44823</v>
      </c>
      <c r="C564">
        <v>4264.09</v>
      </c>
      <c r="D564" s="1">
        <v>44824</v>
      </c>
      <c r="E564">
        <v>5.1699000000000002</v>
      </c>
      <c r="F564" s="1">
        <v>44819</v>
      </c>
      <c r="G564">
        <v>114.571</v>
      </c>
      <c r="H564" s="4">
        <f t="shared" si="72"/>
        <v>592320.61290000007</v>
      </c>
      <c r="I564" s="5">
        <v>44823</v>
      </c>
      <c r="J564" s="4">
        <v>5814.94</v>
      </c>
      <c r="K564" s="4">
        <f t="shared" si="73"/>
        <v>58149.399999999994</v>
      </c>
      <c r="L564" s="1">
        <v>44823</v>
      </c>
      <c r="M564">
        <v>5.67</v>
      </c>
      <c r="N564" s="1">
        <v>44823</v>
      </c>
      <c r="O564">
        <v>5.59</v>
      </c>
      <c r="P564" s="1">
        <v>44823</v>
      </c>
      <c r="Q564">
        <v>5.54</v>
      </c>
      <c r="R564" s="1">
        <v>44823</v>
      </c>
      <c r="S564">
        <v>5.56</v>
      </c>
      <c r="T564" s="1">
        <v>44823</v>
      </c>
      <c r="U564">
        <v>5.58</v>
      </c>
      <c r="V564" s="1">
        <v>44823</v>
      </c>
      <c r="W564">
        <v>5.61</v>
      </c>
      <c r="X564" s="1">
        <v>44823</v>
      </c>
      <c r="Y564">
        <f>NETWORKDAYS(X564,$Z$1,FERIADO!$A$2:$A$408)</f>
        <v>2091</v>
      </c>
      <c r="Z564">
        <v>11.77</v>
      </c>
      <c r="AA564" s="6">
        <f t="shared" si="74"/>
        <v>39720.570483902928</v>
      </c>
      <c r="AB564" s="2">
        <f t="shared" si="75"/>
        <v>3.4159966992184264E-3</v>
      </c>
      <c r="AJ564" s="1">
        <v>44823</v>
      </c>
      <c r="AK564">
        <f>NETWORKDAYS(AJ564,$AJ$1,FERIADO!$A$2:$A$408)</f>
        <v>1078</v>
      </c>
      <c r="AL564">
        <v>11.574999999999999</v>
      </c>
      <c r="AM564" s="6">
        <f t="shared" si="76"/>
        <v>62592.081090650965</v>
      </c>
      <c r="AN564" s="2">
        <f t="shared" si="77"/>
        <v>2.2708747190274344E-3</v>
      </c>
      <c r="AP564" s="11">
        <f t="shared" si="78"/>
        <v>1.7079983496092132E-3</v>
      </c>
      <c r="AQ564" s="11">
        <f t="shared" si="79"/>
        <v>6.8126241570823029E-4</v>
      </c>
      <c r="AR564" s="11">
        <f t="shared" si="80"/>
        <v>2.3892607653174434E-3</v>
      </c>
    </row>
    <row r="565" spans="2:44" x14ac:dyDescent="0.35">
      <c r="B565" s="1">
        <v>44820</v>
      </c>
      <c r="C565">
        <v>4234.57</v>
      </c>
      <c r="D565" s="1">
        <v>44823</v>
      </c>
      <c r="E565">
        <v>5.2361000000000004</v>
      </c>
      <c r="F565" s="1">
        <v>44818</v>
      </c>
      <c r="G565">
        <v>114.92700000000001</v>
      </c>
      <c r="H565" s="4">
        <f t="shared" si="72"/>
        <v>601769.26470000017</v>
      </c>
      <c r="I565" s="5">
        <v>44820</v>
      </c>
      <c r="J565" s="4">
        <v>5909.09</v>
      </c>
      <c r="K565" s="4">
        <f t="shared" si="73"/>
        <v>59090.9</v>
      </c>
      <c r="L565" s="1">
        <v>44820</v>
      </c>
      <c r="M565">
        <v>5.68</v>
      </c>
      <c r="N565" s="1">
        <v>44820</v>
      </c>
      <c r="O565">
        <v>5.61</v>
      </c>
      <c r="P565" s="1">
        <v>44820</v>
      </c>
      <c r="Q565">
        <v>5.62</v>
      </c>
      <c r="R565" s="1">
        <v>44820</v>
      </c>
      <c r="S565">
        <v>5.62</v>
      </c>
      <c r="T565" s="1">
        <v>44820</v>
      </c>
      <c r="U565">
        <v>5.64</v>
      </c>
      <c r="V565" s="1">
        <v>44820</v>
      </c>
      <c r="W565">
        <v>5.67</v>
      </c>
      <c r="X565" s="1">
        <v>44820</v>
      </c>
      <c r="Y565">
        <f>NETWORKDAYS(X565,$Z$1,FERIADO!$A$2:$A$408)</f>
        <v>2092</v>
      </c>
      <c r="Z565">
        <v>11.87</v>
      </c>
      <c r="AA565" s="6">
        <f t="shared" si="74"/>
        <v>39409.368949495518</v>
      </c>
      <c r="AB565" s="2">
        <f t="shared" si="75"/>
        <v>2.7718494873377997E-3</v>
      </c>
      <c r="AJ565" s="1">
        <v>44820</v>
      </c>
      <c r="AK565">
        <f>NETWORKDAYS(AJ565,$AJ$1,FERIADO!$A$2:$A$408)</f>
        <v>1079</v>
      </c>
      <c r="AL565">
        <v>11.7</v>
      </c>
      <c r="AM565" s="6">
        <f t="shared" si="76"/>
        <v>62265.648649370261</v>
      </c>
      <c r="AN565" s="2">
        <f t="shared" si="77"/>
        <v>1.4399961568761534E-3</v>
      </c>
      <c r="AP565" s="11">
        <f t="shared" si="78"/>
        <v>1.3859247436688999E-3</v>
      </c>
      <c r="AQ565" s="11">
        <f t="shared" si="79"/>
        <v>4.3199884706284598E-4</v>
      </c>
      <c r="AR565" s="11">
        <f t="shared" si="80"/>
        <v>1.8179235907317458E-3</v>
      </c>
    </row>
    <row r="566" spans="2:44" x14ac:dyDescent="0.35">
      <c r="B566" s="1">
        <v>44819</v>
      </c>
      <c r="C566">
        <v>4239.97</v>
      </c>
      <c r="D566" s="1">
        <v>44820</v>
      </c>
      <c r="E566">
        <v>5.2876000000000003</v>
      </c>
      <c r="F566" s="1">
        <v>44817</v>
      </c>
      <c r="G566">
        <v>115.03</v>
      </c>
      <c r="H566" s="4">
        <f t="shared" si="72"/>
        <v>608232.62800000014</v>
      </c>
      <c r="I566" s="5">
        <v>44819</v>
      </c>
      <c r="J566" s="4">
        <v>5902.92</v>
      </c>
      <c r="K566" s="4">
        <f t="shared" si="73"/>
        <v>59029.2</v>
      </c>
      <c r="L566" s="1">
        <v>44819</v>
      </c>
      <c r="M566">
        <v>5.8</v>
      </c>
      <c r="N566" s="1">
        <v>44819</v>
      </c>
      <c r="O566">
        <v>5.74</v>
      </c>
      <c r="P566" s="1">
        <v>44819</v>
      </c>
      <c r="Q566">
        <v>5.7</v>
      </c>
      <c r="R566" s="1">
        <v>44819</v>
      </c>
      <c r="S566">
        <v>5.71</v>
      </c>
      <c r="T566" s="1">
        <v>44819</v>
      </c>
      <c r="U566">
        <v>5.7</v>
      </c>
      <c r="V566" s="1">
        <v>44819</v>
      </c>
      <c r="W566">
        <v>5.71</v>
      </c>
      <c r="X566" s="1">
        <v>44819</v>
      </c>
      <c r="Y566">
        <f>NETWORKDAYS(X566,$Z$1,FERIADO!$A$2:$A$408)</f>
        <v>2093</v>
      </c>
      <c r="Z566">
        <v>11.95</v>
      </c>
      <c r="AA566" s="6">
        <f t="shared" si="74"/>
        <v>39158.642802949951</v>
      </c>
      <c r="AB566" s="2">
        <f t="shared" si="75"/>
        <v>-3.3531239810882297E-3</v>
      </c>
      <c r="AJ566" s="1">
        <v>44819</v>
      </c>
      <c r="AK566">
        <f>NETWORKDAYS(AJ566,$AJ$1,FERIADO!$A$2:$A$408)</f>
        <v>1080</v>
      </c>
      <c r="AL566">
        <v>11.775</v>
      </c>
      <c r="AM566" s="6">
        <f t="shared" si="76"/>
        <v>62059.535481010826</v>
      </c>
      <c r="AN566" s="2">
        <f t="shared" si="77"/>
        <v>-2.3933776587354194E-3</v>
      </c>
      <c r="AP566" s="11">
        <f t="shared" si="78"/>
        <v>-1.6765619905441149E-3</v>
      </c>
      <c r="AQ566" s="11">
        <f t="shared" si="79"/>
        <v>-7.1801329762062583E-4</v>
      </c>
      <c r="AR566" s="11">
        <f t="shared" si="80"/>
        <v>-2.3945752881647407E-3</v>
      </c>
    </row>
    <row r="567" spans="2:44" x14ac:dyDescent="0.35">
      <c r="B567" s="1">
        <v>44818</v>
      </c>
      <c r="C567">
        <v>4314.4799999999996</v>
      </c>
      <c r="D567" s="1">
        <v>44819</v>
      </c>
      <c r="E567">
        <v>5.2205000000000004</v>
      </c>
      <c r="F567" s="1">
        <v>44816</v>
      </c>
      <c r="G567">
        <v>115.64</v>
      </c>
      <c r="H567" s="4">
        <f t="shared" si="72"/>
        <v>603698.62</v>
      </c>
      <c r="I567" s="5">
        <v>44818</v>
      </c>
      <c r="J567" s="4">
        <v>5814.38</v>
      </c>
      <c r="K567" s="4">
        <f t="shared" si="73"/>
        <v>58143.8</v>
      </c>
      <c r="L567" s="1">
        <v>44818</v>
      </c>
      <c r="M567">
        <v>5.69</v>
      </c>
      <c r="N567" s="1">
        <v>44818</v>
      </c>
      <c r="O567">
        <v>5.64</v>
      </c>
      <c r="P567" s="1">
        <v>44818</v>
      </c>
      <c r="Q567">
        <v>5.63</v>
      </c>
      <c r="R567" s="1">
        <v>44818</v>
      </c>
      <c r="S567">
        <v>5.62</v>
      </c>
      <c r="T567" s="1">
        <v>44818</v>
      </c>
      <c r="U567">
        <v>5.63</v>
      </c>
      <c r="V567" s="1">
        <v>44818</v>
      </c>
      <c r="W567">
        <v>5.68</v>
      </c>
      <c r="X567" s="1">
        <v>44818</v>
      </c>
      <c r="Y567">
        <f>NETWORKDAYS(X567,$Z$1,FERIADO!$A$2:$A$408)</f>
        <v>2094</v>
      </c>
      <c r="Z567">
        <v>11.84</v>
      </c>
      <c r="AA567" s="6">
        <f t="shared" si="74"/>
        <v>39462.15110302977</v>
      </c>
      <c r="AB567" s="2">
        <f t="shared" si="75"/>
        <v>-2.7137720779276293E-3</v>
      </c>
      <c r="AJ567" s="1">
        <v>44818</v>
      </c>
      <c r="AK567">
        <f>NETWORKDAYS(AJ567,$AJ$1,FERIADO!$A$2:$A$408)</f>
        <v>1081</v>
      </c>
      <c r="AL567">
        <v>11.62</v>
      </c>
      <c r="AM567" s="6">
        <f t="shared" si="76"/>
        <v>62402.486960219889</v>
      </c>
      <c r="AN567" s="2">
        <f t="shared" si="77"/>
        <v>-9.803250578924842E-4</v>
      </c>
      <c r="AP567" s="11">
        <f t="shared" si="78"/>
        <v>-1.3568860389638147E-3</v>
      </c>
      <c r="AQ567" s="11">
        <f t="shared" si="79"/>
        <v>-2.9409751736774527E-4</v>
      </c>
      <c r="AR567" s="11">
        <f t="shared" si="80"/>
        <v>-1.65098355633156E-3</v>
      </c>
    </row>
    <row r="568" spans="2:44" x14ac:dyDescent="0.35">
      <c r="B568" s="1">
        <v>44817</v>
      </c>
      <c r="C568">
        <v>4291.03</v>
      </c>
      <c r="D568" s="1">
        <v>44818</v>
      </c>
      <c r="E568">
        <v>5.1768000000000001</v>
      </c>
      <c r="F568" s="1">
        <v>44813</v>
      </c>
      <c r="G568">
        <v>115.8</v>
      </c>
      <c r="H568" s="4">
        <f t="shared" si="72"/>
        <v>599473.43999999994</v>
      </c>
      <c r="I568" s="5">
        <v>44817</v>
      </c>
      <c r="J568" s="4">
        <v>5843.52</v>
      </c>
      <c r="K568" s="4">
        <f t="shared" si="73"/>
        <v>58435.200000000004</v>
      </c>
      <c r="L568" s="1">
        <v>44817</v>
      </c>
      <c r="M568">
        <v>5.7</v>
      </c>
      <c r="N568" s="1">
        <v>44817</v>
      </c>
      <c r="O568">
        <v>5.64</v>
      </c>
      <c r="P568" s="1">
        <v>44817</v>
      </c>
      <c r="Q568">
        <v>5.62</v>
      </c>
      <c r="R568" s="1">
        <v>44817</v>
      </c>
      <c r="S568">
        <v>5.62</v>
      </c>
      <c r="T568" s="1">
        <v>44817</v>
      </c>
      <c r="U568">
        <v>5.64</v>
      </c>
      <c r="V568" s="1">
        <v>44817</v>
      </c>
      <c r="W568">
        <v>5.66</v>
      </c>
      <c r="X568" s="1">
        <v>44817</v>
      </c>
      <c r="Y568">
        <f>NETWORKDAYS(X568,$Z$1,FERIADO!$A$2:$A$408)</f>
        <v>2095</v>
      </c>
      <c r="Z568">
        <v>11.75</v>
      </c>
      <c r="AA568" s="6">
        <f t="shared" si="74"/>
        <v>39709.509926269362</v>
      </c>
      <c r="AB568" s="2">
        <f t="shared" si="75"/>
        <v>-6.9268703063343328E-3</v>
      </c>
      <c r="AJ568" s="1">
        <v>44817</v>
      </c>
      <c r="AK568">
        <f>NETWORKDAYS(AJ568,$AJ$1,FERIADO!$A$2:$A$408)</f>
        <v>1082</v>
      </c>
      <c r="AL568">
        <v>11.55</v>
      </c>
      <c r="AM568" s="6">
        <f t="shared" si="76"/>
        <v>62543.506062393433</v>
      </c>
      <c r="AN568" s="2">
        <f t="shared" si="77"/>
        <v>-3.6639153600514455E-3</v>
      </c>
      <c r="AP568" s="11">
        <f t="shared" si="78"/>
        <v>-3.4634351531671664E-3</v>
      </c>
      <c r="AQ568" s="11">
        <f t="shared" si="79"/>
        <v>-1.0991746080154336E-3</v>
      </c>
      <c r="AR568" s="11">
        <f t="shared" si="80"/>
        <v>-4.5626097611826E-3</v>
      </c>
    </row>
    <row r="569" spans="2:44" x14ac:dyDescent="0.35">
      <c r="B569" s="1">
        <v>44816</v>
      </c>
      <c r="C569">
        <v>4492.42</v>
      </c>
      <c r="D569" s="1">
        <v>44817</v>
      </c>
      <c r="E569">
        <v>5.1787999999999998</v>
      </c>
      <c r="F569" s="1">
        <v>44812</v>
      </c>
      <c r="G569">
        <v>115.76600000000001</v>
      </c>
      <c r="H569" s="4">
        <f t="shared" si="72"/>
        <v>599528.9608</v>
      </c>
      <c r="I569" s="5">
        <v>44816</v>
      </c>
      <c r="J569" s="4">
        <v>5738.72</v>
      </c>
      <c r="K569" s="4">
        <f t="shared" si="73"/>
        <v>57387.200000000004</v>
      </c>
      <c r="L569" s="1">
        <v>44816</v>
      </c>
      <c r="M569">
        <v>5.64</v>
      </c>
      <c r="N569" s="1">
        <v>44816</v>
      </c>
      <c r="O569">
        <v>5.58</v>
      </c>
      <c r="P569" s="1">
        <v>44816</v>
      </c>
      <c r="Q569">
        <v>5.58</v>
      </c>
      <c r="R569" s="1">
        <v>44816</v>
      </c>
      <c r="S569">
        <v>5.58</v>
      </c>
      <c r="T569" s="1">
        <v>44816</v>
      </c>
      <c r="U569">
        <v>5.61</v>
      </c>
      <c r="V569" s="1">
        <v>44816</v>
      </c>
      <c r="W569">
        <v>5.63</v>
      </c>
      <c r="X569" s="1">
        <v>44816</v>
      </c>
      <c r="Y569">
        <f>NETWORKDAYS(X569,$Z$1,FERIADO!$A$2:$A$408)</f>
        <v>2096</v>
      </c>
      <c r="Z569">
        <v>11.53</v>
      </c>
      <c r="AA569" s="6">
        <f t="shared" si="74"/>
        <v>40347.942902176037</v>
      </c>
      <c r="AB569" s="2">
        <f t="shared" si="75"/>
        <v>-1.1083059253098771E-3</v>
      </c>
      <c r="AJ569" s="1">
        <v>44816</v>
      </c>
      <c r="AK569">
        <f>NETWORKDAYS(AJ569,$AJ$1,FERIADO!$A$2:$A$408)</f>
        <v>1083</v>
      </c>
      <c r="AL569">
        <v>11.32</v>
      </c>
      <c r="AM569" s="6">
        <f t="shared" si="76"/>
        <v>63073.384918470838</v>
      </c>
      <c r="AN569" s="2">
        <f t="shared" si="77"/>
        <v>-3.1870909802472199E-4</v>
      </c>
      <c r="AP569" s="11">
        <f t="shared" si="78"/>
        <v>-5.5415296265493854E-4</v>
      </c>
      <c r="AQ569" s="11">
        <f t="shared" si="79"/>
        <v>-9.5612729407416593E-5</v>
      </c>
      <c r="AR569" s="11">
        <f t="shared" si="80"/>
        <v>-6.4976569206235519E-4</v>
      </c>
    </row>
    <row r="570" spans="2:44" x14ac:dyDescent="0.35">
      <c r="B570" s="1">
        <v>44813</v>
      </c>
      <c r="C570">
        <v>4434.26</v>
      </c>
      <c r="D570" s="1">
        <v>44816</v>
      </c>
      <c r="E570">
        <v>5.1177000000000001</v>
      </c>
      <c r="F570" s="1">
        <v>44810</v>
      </c>
      <c r="G570">
        <v>115.55500000000001</v>
      </c>
      <c r="H570" s="4">
        <f t="shared" si="72"/>
        <v>591375.82350000006</v>
      </c>
      <c r="I570" s="5">
        <v>44813</v>
      </c>
      <c r="J570" s="4">
        <v>5802.61</v>
      </c>
      <c r="K570" s="4">
        <f t="shared" si="73"/>
        <v>58026.1</v>
      </c>
      <c r="L570" s="1">
        <v>44813</v>
      </c>
      <c r="M570">
        <v>5.59</v>
      </c>
      <c r="N570" s="1">
        <v>44813</v>
      </c>
      <c r="O570">
        <v>5.54</v>
      </c>
      <c r="P570" s="1">
        <v>44813</v>
      </c>
      <c r="Q570">
        <v>5.51</v>
      </c>
      <c r="R570" s="1">
        <v>44813</v>
      </c>
      <c r="S570">
        <v>5.51</v>
      </c>
      <c r="T570" s="1">
        <v>44813</v>
      </c>
      <c r="U570">
        <v>5.52</v>
      </c>
      <c r="V570" s="1">
        <v>44813</v>
      </c>
      <c r="W570">
        <v>5.61</v>
      </c>
      <c r="X570" s="1">
        <v>44813</v>
      </c>
      <c r="Y570">
        <f>NETWORKDAYS(X570,$Z$1,FERIADO!$A$2:$A$408)</f>
        <v>2097</v>
      </c>
      <c r="Z570">
        <v>11.49</v>
      </c>
      <c r="AA570" s="6">
        <f t="shared" si="74"/>
        <v>40451.04108537209</v>
      </c>
      <c r="AB570" s="2">
        <f t="shared" si="75"/>
        <v>4.4009500953766587E-3</v>
      </c>
      <c r="AJ570" s="1">
        <v>44813</v>
      </c>
      <c r="AK570">
        <f>NETWORKDAYS(AJ570,$AJ$1,FERIADO!$A$2:$A$408)</f>
        <v>1084</v>
      </c>
      <c r="AL570">
        <v>11.29</v>
      </c>
      <c r="AM570" s="6">
        <f t="shared" si="76"/>
        <v>63119.688613904924</v>
      </c>
      <c r="AN570" s="2">
        <f t="shared" si="77"/>
        <v>2.2834036944543662E-3</v>
      </c>
      <c r="AP570" s="11">
        <f t="shared" si="78"/>
        <v>2.2004750476883293E-3</v>
      </c>
      <c r="AQ570" s="11">
        <f t="shared" si="79"/>
        <v>6.8502110833630983E-4</v>
      </c>
      <c r="AR570" s="11">
        <f t="shared" si="80"/>
        <v>2.8854961560246389E-3</v>
      </c>
    </row>
    <row r="571" spans="2:44" x14ac:dyDescent="0.35">
      <c r="B571" s="1">
        <v>44812</v>
      </c>
      <c r="C571">
        <v>4364.42</v>
      </c>
      <c r="D571" s="1">
        <v>44813</v>
      </c>
      <c r="E571">
        <v>5.1627000000000001</v>
      </c>
      <c r="F571" s="1">
        <v>44809</v>
      </c>
      <c r="G571">
        <v>116.312</v>
      </c>
      <c r="H571" s="4">
        <f t="shared" si="72"/>
        <v>600483.96239999996</v>
      </c>
      <c r="I571" s="5">
        <v>44812</v>
      </c>
      <c r="J571" s="4">
        <v>5882.19</v>
      </c>
      <c r="K571" s="4">
        <f t="shared" si="73"/>
        <v>58821.899999999994</v>
      </c>
      <c r="L571" s="1">
        <v>44812</v>
      </c>
      <c r="M571">
        <v>5.64</v>
      </c>
      <c r="N571" s="1">
        <v>44812</v>
      </c>
      <c r="O571">
        <v>5.55</v>
      </c>
      <c r="P571" s="1">
        <v>44812</v>
      </c>
      <c r="Q571">
        <v>5.49</v>
      </c>
      <c r="R571" s="1">
        <v>44812</v>
      </c>
      <c r="S571">
        <v>5.5</v>
      </c>
      <c r="T571" s="1">
        <v>44812</v>
      </c>
      <c r="U571">
        <v>5.56</v>
      </c>
      <c r="V571" s="1">
        <v>44812</v>
      </c>
      <c r="W571">
        <v>5.58</v>
      </c>
      <c r="X571" s="1">
        <v>44812</v>
      </c>
      <c r="Y571">
        <f>NETWORKDAYS(X571,$Z$1,FERIADO!$A$2:$A$408)</f>
        <v>2098</v>
      </c>
      <c r="Z571">
        <v>11.62</v>
      </c>
      <c r="AA571" s="6">
        <f t="shared" si="74"/>
        <v>40043.197891390169</v>
      </c>
      <c r="AB571" s="2">
        <f t="shared" si="75"/>
        <v>5.6946461175175793E-3</v>
      </c>
      <c r="AJ571" s="1">
        <v>44812</v>
      </c>
      <c r="AK571">
        <f>NETWORKDAYS(AJ571,$AJ$1,FERIADO!$A$2:$A$408)</f>
        <v>1085</v>
      </c>
      <c r="AL571">
        <v>11.414999999999999</v>
      </c>
      <c r="AM571" s="6">
        <f t="shared" si="76"/>
        <v>62788.693156006229</v>
      </c>
      <c r="AN571" s="2">
        <f t="shared" si="77"/>
        <v>3.7106443391215264E-3</v>
      </c>
      <c r="AP571" s="11">
        <f t="shared" si="78"/>
        <v>2.8473230587587896E-3</v>
      </c>
      <c r="AQ571" s="11">
        <f t="shared" si="79"/>
        <v>1.1131933017364578E-3</v>
      </c>
      <c r="AR571" s="11">
        <f t="shared" si="80"/>
        <v>3.9605163604952472E-3</v>
      </c>
    </row>
    <row r="572" spans="2:44" x14ac:dyDescent="0.35">
      <c r="B572" s="1">
        <v>44810</v>
      </c>
      <c r="C572">
        <v>4264.16</v>
      </c>
      <c r="D572" s="1">
        <v>44812</v>
      </c>
      <c r="E572">
        <v>5.2149000000000001</v>
      </c>
      <c r="F572" s="1">
        <v>44806</v>
      </c>
      <c r="G572">
        <v>116.61799999999999</v>
      </c>
      <c r="H572" s="4">
        <f t="shared" si="72"/>
        <v>608151.20819999988</v>
      </c>
      <c r="I572" s="5">
        <v>44810</v>
      </c>
      <c r="J572" s="4">
        <v>5921.42</v>
      </c>
      <c r="K572" s="4">
        <f t="shared" si="73"/>
        <v>59214.2</v>
      </c>
      <c r="L572" s="1">
        <v>44810</v>
      </c>
      <c r="M572">
        <v>5.7</v>
      </c>
      <c r="N572" s="1">
        <v>44810</v>
      </c>
      <c r="O572">
        <v>5.65</v>
      </c>
      <c r="P572" s="1">
        <v>44810</v>
      </c>
      <c r="Q572">
        <v>5.58</v>
      </c>
      <c r="R572" s="1">
        <v>44810</v>
      </c>
      <c r="S572">
        <v>5.57</v>
      </c>
      <c r="T572" s="1">
        <v>44810</v>
      </c>
      <c r="U572">
        <v>5.62</v>
      </c>
      <c r="V572" s="1">
        <v>44810</v>
      </c>
      <c r="W572">
        <v>5.67</v>
      </c>
      <c r="X572" s="1">
        <v>44810</v>
      </c>
      <c r="Y572">
        <f>NETWORKDAYS(X572,$Z$1,FERIADO!$A$2:$A$408)</f>
        <v>2099</v>
      </c>
      <c r="Z572">
        <v>11.79</v>
      </c>
      <c r="AA572" s="6">
        <f t="shared" si="74"/>
        <v>39521.56259380954</v>
      </c>
      <c r="AB572" s="2">
        <f t="shared" si="75"/>
        <v>-2.3987942802338349E-3</v>
      </c>
      <c r="AJ572" s="1">
        <v>44810</v>
      </c>
      <c r="AK572">
        <f>NETWORKDAYS(AJ572,$AJ$1,FERIADO!$A$2:$A$408)</f>
        <v>1086</v>
      </c>
      <c r="AL572">
        <v>11.625</v>
      </c>
      <c r="AM572" s="6">
        <f t="shared" si="76"/>
        <v>62254.507205844078</v>
      </c>
      <c r="AN572" s="2">
        <f t="shared" si="77"/>
        <v>-2.7496798747610818E-3</v>
      </c>
      <c r="AP572" s="11">
        <f t="shared" si="78"/>
        <v>-1.1993971401169175E-3</v>
      </c>
      <c r="AQ572" s="11">
        <f t="shared" si="79"/>
        <v>-8.2490396242832452E-4</v>
      </c>
      <c r="AR572" s="11">
        <f t="shared" si="80"/>
        <v>-2.0243011025452419E-3</v>
      </c>
    </row>
    <row r="573" spans="2:44" x14ac:dyDescent="0.35">
      <c r="B573" s="1">
        <v>44809</v>
      </c>
      <c r="C573">
        <v>4284.6099999999997</v>
      </c>
      <c r="D573" s="1">
        <v>44810</v>
      </c>
      <c r="E573">
        <v>5.2222</v>
      </c>
      <c r="F573" s="1">
        <v>44805</v>
      </c>
      <c r="G573">
        <v>116.01</v>
      </c>
      <c r="H573" s="4">
        <f t="shared" si="72"/>
        <v>605827.42200000002</v>
      </c>
      <c r="I573" s="5">
        <v>44809</v>
      </c>
      <c r="J573" s="4">
        <v>5818.3</v>
      </c>
      <c r="K573" s="4">
        <f t="shared" si="73"/>
        <v>58183</v>
      </c>
      <c r="L573" s="1">
        <v>44809</v>
      </c>
      <c r="M573">
        <v>5.62</v>
      </c>
      <c r="N573" s="1">
        <v>44809</v>
      </c>
      <c r="O573">
        <v>5.54</v>
      </c>
      <c r="P573" s="1">
        <v>44809</v>
      </c>
      <c r="Q573">
        <v>5.5</v>
      </c>
      <c r="R573" s="1">
        <v>44809</v>
      </c>
      <c r="S573">
        <v>5.51</v>
      </c>
      <c r="T573" s="1">
        <v>44809</v>
      </c>
      <c r="U573">
        <v>5.6</v>
      </c>
      <c r="V573" s="1">
        <v>44809</v>
      </c>
      <c r="W573">
        <v>5.57</v>
      </c>
      <c r="X573" s="1">
        <v>44809</v>
      </c>
      <c r="Y573">
        <f>NETWORKDAYS(X573,$Z$1,FERIADO!$A$2:$A$408)</f>
        <v>2100</v>
      </c>
      <c r="Z573">
        <v>11.71</v>
      </c>
      <c r="AA573" s="6">
        <f t="shared" si="74"/>
        <v>39740.461075780055</v>
      </c>
      <c r="AB573" s="2">
        <f t="shared" si="75"/>
        <v>1.1630976656673187E-3</v>
      </c>
      <c r="AJ573" s="1">
        <v>44809</v>
      </c>
      <c r="AK573">
        <f>NETWORKDAYS(AJ573,$AJ$1,FERIADO!$A$2:$A$408)</f>
        <v>1087</v>
      </c>
      <c r="AL573">
        <v>11.45</v>
      </c>
      <c r="AM573" s="6">
        <f t="shared" si="76"/>
        <v>62649.914055844121</v>
      </c>
      <c r="AN573" s="2">
        <f t="shared" si="77"/>
        <v>6.073817471377096E-4</v>
      </c>
      <c r="AP573" s="11">
        <f t="shared" si="78"/>
        <v>5.8154883283365933E-4</v>
      </c>
      <c r="AQ573" s="11">
        <f t="shared" si="79"/>
        <v>1.8221452414131289E-4</v>
      </c>
      <c r="AR573" s="11">
        <f t="shared" si="80"/>
        <v>7.6376335697497225E-4</v>
      </c>
    </row>
    <row r="574" spans="2:44" x14ac:dyDescent="0.35">
      <c r="B574" s="1">
        <v>44806</v>
      </c>
      <c r="C574">
        <v>4285.96</v>
      </c>
      <c r="D574" s="1">
        <v>44809</v>
      </c>
      <c r="E574">
        <v>5.1680000000000001</v>
      </c>
      <c r="F574" s="1">
        <v>44804</v>
      </c>
      <c r="G574">
        <v>116.42</v>
      </c>
      <c r="H574" s="4">
        <f t="shared" si="72"/>
        <v>601658.56000000006</v>
      </c>
      <c r="I574" s="5">
        <v>44806</v>
      </c>
      <c r="J574" s="4">
        <v>5833.99</v>
      </c>
      <c r="K574" s="4">
        <f t="shared" si="73"/>
        <v>58339.899999999994</v>
      </c>
      <c r="L574" s="1">
        <v>44806</v>
      </c>
      <c r="M574">
        <v>5.59</v>
      </c>
      <c r="N574" s="1">
        <v>44806</v>
      </c>
      <c r="O574">
        <v>5.51</v>
      </c>
      <c r="P574" s="1">
        <v>44806</v>
      </c>
      <c r="Q574">
        <v>5.47</v>
      </c>
      <c r="R574" s="1">
        <v>44806</v>
      </c>
      <c r="S574">
        <v>5.51</v>
      </c>
      <c r="T574" s="1">
        <v>44806</v>
      </c>
      <c r="U574">
        <v>5.54</v>
      </c>
      <c r="V574" s="1">
        <v>44806</v>
      </c>
      <c r="W574">
        <v>5.55</v>
      </c>
      <c r="X574" s="1">
        <v>44806</v>
      </c>
      <c r="Y574">
        <f>NETWORKDAYS(X574,$Z$1,FERIADO!$A$2:$A$408)</f>
        <v>2101</v>
      </c>
      <c r="Z574">
        <v>11.74</v>
      </c>
      <c r="AA574" s="6">
        <f t="shared" si="74"/>
        <v>39634.173291094274</v>
      </c>
      <c r="AB574" s="2">
        <f t="shared" si="75"/>
        <v>3.7557074114970917E-3</v>
      </c>
      <c r="AJ574" s="1">
        <v>44806</v>
      </c>
      <c r="AK574">
        <f>NETWORKDAYS(AJ574,$AJ$1,FERIADO!$A$2:$A$408)</f>
        <v>1088</v>
      </c>
      <c r="AL574">
        <v>11.475</v>
      </c>
      <c r="AM574" s="6">
        <f t="shared" si="76"/>
        <v>62562.356375110845</v>
      </c>
      <c r="AN574" s="2">
        <f t="shared" si="77"/>
        <v>1.3653494793471946E-3</v>
      </c>
      <c r="AP574" s="11">
        <f t="shared" si="78"/>
        <v>1.8778537057485458E-3</v>
      </c>
      <c r="AQ574" s="11">
        <f t="shared" si="79"/>
        <v>4.0960484380415837E-4</v>
      </c>
      <c r="AR574" s="11">
        <f t="shared" si="80"/>
        <v>2.2874585495527042E-3</v>
      </c>
    </row>
    <row r="575" spans="2:44" x14ac:dyDescent="0.35">
      <c r="B575" s="1">
        <v>44805</v>
      </c>
      <c r="C575">
        <v>4328.8</v>
      </c>
      <c r="D575" s="1">
        <v>44806</v>
      </c>
      <c r="E575">
        <v>5.1871999999999998</v>
      </c>
      <c r="F575" s="1">
        <v>44803</v>
      </c>
      <c r="G575">
        <v>117.02500000000001</v>
      </c>
      <c r="H575" s="4">
        <f t="shared" si="72"/>
        <v>607032.07999999996</v>
      </c>
      <c r="I575" s="5">
        <v>44805</v>
      </c>
      <c r="J575" s="4">
        <v>5920.3</v>
      </c>
      <c r="K575" s="4">
        <f t="shared" si="73"/>
        <v>59203</v>
      </c>
      <c r="L575" s="1">
        <v>44805</v>
      </c>
      <c r="M575">
        <v>5.61</v>
      </c>
      <c r="N575" s="1">
        <v>44805</v>
      </c>
      <c r="O575">
        <v>5.55</v>
      </c>
      <c r="P575" s="1">
        <v>44805</v>
      </c>
      <c r="Q575">
        <v>5.52</v>
      </c>
      <c r="R575" s="1">
        <v>44805</v>
      </c>
      <c r="S575">
        <v>5.56</v>
      </c>
      <c r="T575" s="1">
        <v>44805</v>
      </c>
      <c r="U575">
        <v>5.61</v>
      </c>
      <c r="V575" s="1">
        <v>44805</v>
      </c>
      <c r="W575">
        <v>5.6</v>
      </c>
      <c r="X575" s="1">
        <v>44805</v>
      </c>
      <c r="Y575">
        <f>NETWORKDAYS(X575,$Z$1,FERIADO!$A$2:$A$408)</f>
        <v>2102</v>
      </c>
      <c r="Z575">
        <v>11.85</v>
      </c>
      <c r="AA575" s="6">
        <f t="shared" si="74"/>
        <v>39292.901223719105</v>
      </c>
      <c r="AB575" s="2">
        <f t="shared" si="75"/>
        <v>5.3737971982012085E-3</v>
      </c>
      <c r="AJ575" s="1">
        <v>44805</v>
      </c>
      <c r="AK575">
        <f>NETWORKDAYS(AJ575,$AJ$1,FERIADO!$A$2:$A$408)</f>
        <v>1089</v>
      </c>
      <c r="AL575">
        <v>11.545</v>
      </c>
      <c r="AM575" s="6">
        <f t="shared" si="76"/>
        <v>62365.979601860796</v>
      </c>
      <c r="AN575" s="2">
        <f t="shared" si="77"/>
        <v>3.7215163867076167E-3</v>
      </c>
      <c r="AP575" s="11">
        <f t="shared" si="78"/>
        <v>2.6868985991006043E-3</v>
      </c>
      <c r="AQ575" s="11">
        <f t="shared" si="79"/>
        <v>1.1164549160122849E-3</v>
      </c>
      <c r="AR575" s="11">
        <f t="shared" si="80"/>
        <v>3.8033535151128892E-3</v>
      </c>
    </row>
    <row r="576" spans="2:44" x14ac:dyDescent="0.35">
      <c r="B576" s="1">
        <v>44804</v>
      </c>
      <c r="C576">
        <v>4316.29</v>
      </c>
      <c r="D576" s="1">
        <v>44805</v>
      </c>
      <c r="E576">
        <v>5.2000999999999999</v>
      </c>
      <c r="F576" s="1">
        <v>44802</v>
      </c>
      <c r="G576">
        <v>118</v>
      </c>
      <c r="H576" s="4">
        <f t="shared" si="72"/>
        <v>613611.80000000005</v>
      </c>
      <c r="I576" s="5">
        <v>44804</v>
      </c>
      <c r="J576" s="4">
        <v>5859.21</v>
      </c>
      <c r="K576" s="4">
        <f t="shared" si="73"/>
        <v>58592.1</v>
      </c>
      <c r="L576" s="1">
        <v>44804</v>
      </c>
      <c r="M576">
        <v>5.72</v>
      </c>
      <c r="N576" s="1">
        <v>44804</v>
      </c>
      <c r="O576">
        <v>5.64</v>
      </c>
      <c r="P576" s="1">
        <v>44804</v>
      </c>
      <c r="Q576">
        <v>5.63</v>
      </c>
      <c r="R576" s="1">
        <v>44804</v>
      </c>
      <c r="S576">
        <v>5.64</v>
      </c>
      <c r="T576" s="1">
        <v>44804</v>
      </c>
      <c r="U576">
        <v>5.66</v>
      </c>
      <c r="V576" s="1">
        <v>44804</v>
      </c>
      <c r="W576">
        <v>5.72</v>
      </c>
      <c r="X576" s="1">
        <v>44804</v>
      </c>
      <c r="Y576">
        <f>NETWORKDAYS(X576,$Z$1,FERIADO!$A$2:$A$408)</f>
        <v>2103</v>
      </c>
      <c r="Z576">
        <v>12.01</v>
      </c>
      <c r="AA576" s="6">
        <f t="shared" si="74"/>
        <v>38809.701219170616</v>
      </c>
      <c r="AB576" s="2">
        <f t="shared" si="75"/>
        <v>2.137277654083941E-3</v>
      </c>
      <c r="AJ576" s="1">
        <v>44804</v>
      </c>
      <c r="AK576">
        <f>NETWORKDAYS(AJ576,$AJ$1,FERIADO!$A$2:$A$408)</f>
        <v>1090</v>
      </c>
      <c r="AL576">
        <v>11.755000000000001</v>
      </c>
      <c r="AM576" s="6">
        <f t="shared" si="76"/>
        <v>61833.842005961065</v>
      </c>
      <c r="AN576" s="2">
        <f t="shared" si="77"/>
        <v>2.2934198426500262E-3</v>
      </c>
      <c r="AP576" s="11">
        <f t="shared" si="78"/>
        <v>1.0686388270419705E-3</v>
      </c>
      <c r="AQ576" s="11">
        <f t="shared" si="79"/>
        <v>6.8802595279500781E-4</v>
      </c>
      <c r="AR576" s="11">
        <f t="shared" si="80"/>
        <v>1.7566647798369782E-3</v>
      </c>
    </row>
    <row r="577" spans="2:44" x14ac:dyDescent="0.35">
      <c r="B577" s="1">
        <v>44803</v>
      </c>
      <c r="C577">
        <v>4349.8</v>
      </c>
      <c r="D577" s="1">
        <v>44804</v>
      </c>
      <c r="E577">
        <v>5.1783999999999999</v>
      </c>
      <c r="F577" s="1">
        <v>44799</v>
      </c>
      <c r="G577">
        <v>117.64</v>
      </c>
      <c r="H577" s="4">
        <f t="shared" si="72"/>
        <v>609186.97599999991</v>
      </c>
      <c r="I577" s="5">
        <v>44803</v>
      </c>
      <c r="J577" s="4">
        <v>5787.48</v>
      </c>
      <c r="K577" s="4">
        <f t="shared" si="73"/>
        <v>57874.799999999996</v>
      </c>
      <c r="L577" s="1">
        <v>44803</v>
      </c>
      <c r="M577">
        <v>5.8</v>
      </c>
      <c r="N577" s="1">
        <v>44803</v>
      </c>
      <c r="O577">
        <v>5.71</v>
      </c>
      <c r="P577" s="1">
        <v>44803</v>
      </c>
      <c r="Q577">
        <v>5.7</v>
      </c>
      <c r="R577" s="1">
        <v>44803</v>
      </c>
      <c r="S577">
        <v>5.67</v>
      </c>
      <c r="T577" s="1">
        <v>44803</v>
      </c>
      <c r="U577">
        <v>5.68</v>
      </c>
      <c r="V577" s="1">
        <v>44803</v>
      </c>
      <c r="W577">
        <v>5.7</v>
      </c>
      <c r="X577" s="1">
        <v>44803</v>
      </c>
      <c r="Y577">
        <f>NETWORKDAYS(X577,$Z$1,FERIADO!$A$2:$A$408)</f>
        <v>2104</v>
      </c>
      <c r="Z577">
        <v>12.07</v>
      </c>
      <c r="AA577" s="6">
        <f t="shared" si="74"/>
        <v>38619.177639583249</v>
      </c>
      <c r="AB577" s="2">
        <f t="shared" si="75"/>
        <v>8.4373429915961641E-4</v>
      </c>
      <c r="AJ577" s="1">
        <v>44803</v>
      </c>
      <c r="AK577">
        <f>NETWORKDAYS(AJ577,$AJ$1,FERIADO!$A$2:$A$408)</f>
        <v>1091</v>
      </c>
      <c r="AL577">
        <v>11.88</v>
      </c>
      <c r="AM577" s="6">
        <f t="shared" si="76"/>
        <v>61508.170860969098</v>
      </c>
      <c r="AN577" s="2">
        <f t="shared" si="77"/>
        <v>1.9346213372815733E-4</v>
      </c>
      <c r="AP577" s="11">
        <f t="shared" si="78"/>
        <v>4.2186714957980821E-4</v>
      </c>
      <c r="AQ577" s="11">
        <f t="shared" si="79"/>
        <v>5.8038640118447196E-5</v>
      </c>
      <c r="AR577" s="11">
        <f t="shared" si="80"/>
        <v>4.7990578969825539E-4</v>
      </c>
    </row>
    <row r="578" spans="2:44" x14ac:dyDescent="0.35">
      <c r="B578" s="1">
        <v>44802</v>
      </c>
      <c r="C578">
        <v>4404.1899999999996</v>
      </c>
      <c r="D578" s="1">
        <v>44803</v>
      </c>
      <c r="E578">
        <v>5.0610999999999997</v>
      </c>
      <c r="F578" s="1">
        <v>44798</v>
      </c>
      <c r="G578">
        <v>117.70099999999999</v>
      </c>
      <c r="H578" s="4">
        <f t="shared" si="72"/>
        <v>595696.53109999991</v>
      </c>
      <c r="I578" s="5">
        <v>44802</v>
      </c>
      <c r="J578" s="4">
        <v>5680.79</v>
      </c>
      <c r="K578" s="4">
        <f t="shared" si="73"/>
        <v>56807.9</v>
      </c>
      <c r="L578" s="1">
        <v>44802</v>
      </c>
      <c r="M578">
        <v>5.72</v>
      </c>
      <c r="N578" s="1">
        <v>44802</v>
      </c>
      <c r="O578">
        <v>5.65</v>
      </c>
      <c r="P578" s="1">
        <v>44802</v>
      </c>
      <c r="Q578">
        <v>5.65</v>
      </c>
      <c r="R578" s="1">
        <v>44802</v>
      </c>
      <c r="S578">
        <v>5.65</v>
      </c>
      <c r="T578" s="1">
        <v>44802</v>
      </c>
      <c r="U578">
        <v>5.71</v>
      </c>
      <c r="V578" s="1">
        <v>44802</v>
      </c>
      <c r="W578">
        <v>5.66</v>
      </c>
      <c r="X578" s="1">
        <v>44802</v>
      </c>
      <c r="Y578">
        <f>NETWORKDAYS(X578,$Z$1,FERIADO!$A$2:$A$408)</f>
        <v>2105</v>
      </c>
      <c r="Z578">
        <v>12.09</v>
      </c>
      <c r="AA578" s="6">
        <f t="shared" si="74"/>
        <v>38544.222293155479</v>
      </c>
      <c r="AB578" s="2">
        <f t="shared" si="75"/>
        <v>-2.0706058844396935E-3</v>
      </c>
      <c r="AJ578" s="1">
        <v>44802</v>
      </c>
      <c r="AK578">
        <f>NETWORKDAYS(AJ578,$AJ$1,FERIADO!$A$2:$A$408)</f>
        <v>1092</v>
      </c>
      <c r="AL578">
        <v>11.88</v>
      </c>
      <c r="AM578" s="6">
        <f t="shared" si="76"/>
        <v>61480.777346955801</v>
      </c>
      <c r="AN578" s="2">
        <f t="shared" si="77"/>
        <v>-1.4909394322501863E-3</v>
      </c>
      <c r="AP578" s="11">
        <f t="shared" si="78"/>
        <v>-1.0353029422198467E-3</v>
      </c>
      <c r="AQ578" s="11">
        <f t="shared" si="79"/>
        <v>-4.4728182967505587E-4</v>
      </c>
      <c r="AR578" s="11">
        <f t="shared" si="80"/>
        <v>-1.4825847718949025E-3</v>
      </c>
    </row>
    <row r="579" spans="2:44" x14ac:dyDescent="0.35">
      <c r="B579" s="1">
        <v>44799</v>
      </c>
      <c r="C579">
        <v>4411.13</v>
      </c>
      <c r="D579" s="1">
        <v>44802</v>
      </c>
      <c r="E579">
        <v>5.0423</v>
      </c>
      <c r="F579" s="1">
        <v>44797</v>
      </c>
      <c r="G579">
        <v>117.176</v>
      </c>
      <c r="H579" s="4">
        <f t="shared" si="72"/>
        <v>590836.54479999992</v>
      </c>
      <c r="I579" s="5">
        <v>44799</v>
      </c>
      <c r="J579" s="4">
        <v>5724.26</v>
      </c>
      <c r="K579" s="4">
        <f t="shared" si="73"/>
        <v>57242.600000000006</v>
      </c>
      <c r="L579" s="1">
        <v>44799</v>
      </c>
      <c r="M579">
        <v>5.64</v>
      </c>
      <c r="N579" s="1">
        <v>44799</v>
      </c>
      <c r="O579">
        <v>5.54</v>
      </c>
      <c r="P579" s="1">
        <v>44799</v>
      </c>
      <c r="Q579">
        <v>5.57</v>
      </c>
      <c r="R579" s="1">
        <v>44799</v>
      </c>
      <c r="S579">
        <v>5.56</v>
      </c>
      <c r="T579" s="1">
        <v>44799</v>
      </c>
      <c r="U579">
        <v>5.59</v>
      </c>
      <c r="V579" s="1">
        <v>44799</v>
      </c>
      <c r="W579">
        <v>5.61</v>
      </c>
      <c r="X579" s="1">
        <v>44799</v>
      </c>
      <c r="Y579">
        <f>NETWORKDAYS(X579,$Z$1,FERIADO!$A$2:$A$408)</f>
        <v>2106</v>
      </c>
      <c r="Z579">
        <v>12.02</v>
      </c>
      <c r="AA579" s="6">
        <f t="shared" si="74"/>
        <v>38728.430143383259</v>
      </c>
      <c r="AB579" s="2">
        <f t="shared" si="75"/>
        <v>2.7879318606983039E-3</v>
      </c>
      <c r="AJ579" s="1">
        <v>44799</v>
      </c>
      <c r="AK579">
        <f>NETWORKDAYS(AJ579,$AJ$1,FERIADO!$A$2:$A$408)</f>
        <v>1093</v>
      </c>
      <c r="AL579">
        <v>11.78</v>
      </c>
      <c r="AM579" s="6">
        <f t="shared" si="76"/>
        <v>61692.204480945904</v>
      </c>
      <c r="AN579" s="2">
        <f t="shared" si="77"/>
        <v>2.0463750763674501E-3</v>
      </c>
      <c r="AP579" s="11">
        <f t="shared" si="78"/>
        <v>1.3939659303491519E-3</v>
      </c>
      <c r="AQ579" s="11">
        <f t="shared" si="79"/>
        <v>6.1391252291023506E-4</v>
      </c>
      <c r="AR579" s="11">
        <f t="shared" si="80"/>
        <v>2.0078784532593869E-3</v>
      </c>
    </row>
    <row r="580" spans="2:44" x14ac:dyDescent="0.35">
      <c r="B580" s="1">
        <v>44798</v>
      </c>
      <c r="C580">
        <v>4572.83</v>
      </c>
      <c r="D580" s="1">
        <v>44799</v>
      </c>
      <c r="E580">
        <v>5.0896999999999997</v>
      </c>
      <c r="F580" s="1">
        <v>44796</v>
      </c>
      <c r="G580">
        <v>117.643</v>
      </c>
      <c r="H580" s="4">
        <f t="shared" ref="H580:H643" si="81">G580*E580*1000</f>
        <v>598767.57709999988</v>
      </c>
      <c r="I580" s="5">
        <v>44798</v>
      </c>
      <c r="J580" s="4">
        <v>5779.01</v>
      </c>
      <c r="K580" s="4">
        <f t="shared" si="73"/>
        <v>57790.100000000006</v>
      </c>
      <c r="L580" s="1">
        <v>44798</v>
      </c>
      <c r="M580">
        <v>5.6</v>
      </c>
      <c r="N580" s="1">
        <v>44798</v>
      </c>
      <c r="O580">
        <v>5.57</v>
      </c>
      <c r="P580" s="1">
        <v>44798</v>
      </c>
      <c r="Q580">
        <v>5.6</v>
      </c>
      <c r="R580" s="1">
        <v>44798</v>
      </c>
      <c r="S580">
        <v>5.58</v>
      </c>
      <c r="T580" s="1">
        <v>44798</v>
      </c>
      <c r="U580">
        <v>5.62</v>
      </c>
      <c r="V580" s="1">
        <v>44798</v>
      </c>
      <c r="W580">
        <v>5.67</v>
      </c>
      <c r="X580" s="1">
        <v>44798</v>
      </c>
      <c r="Y580">
        <f>NETWORKDAYS(X580,$Z$1,FERIADO!$A$2:$A$408)</f>
        <v>2107</v>
      </c>
      <c r="Z580">
        <v>12.1</v>
      </c>
      <c r="AA580" s="6">
        <f t="shared" si="74"/>
        <v>38480.611190992895</v>
      </c>
      <c r="AB580" s="2">
        <f t="shared" si="75"/>
        <v>-6.2904894279624301E-3</v>
      </c>
      <c r="AJ580" s="1">
        <v>44798</v>
      </c>
      <c r="AK580">
        <f>NETWORKDAYS(AJ580,$AJ$1,FERIADO!$A$2:$A$408)</f>
        <v>1094</v>
      </c>
      <c r="AL580">
        <v>11.89</v>
      </c>
      <c r="AM580" s="6">
        <f t="shared" si="76"/>
        <v>61402.197514798099</v>
      </c>
      <c r="AN580" s="2">
        <f t="shared" si="77"/>
        <v>-3.3515270220682929E-3</v>
      </c>
      <c r="AP580" s="11">
        <f t="shared" si="78"/>
        <v>-3.145244713981215E-3</v>
      </c>
      <c r="AQ580" s="11">
        <f t="shared" si="79"/>
        <v>-1.0054581066204879E-3</v>
      </c>
      <c r="AR580" s="11">
        <f t="shared" si="80"/>
        <v>-4.1507028206017029E-3</v>
      </c>
    </row>
    <row r="581" spans="2:44" x14ac:dyDescent="0.35">
      <c r="B581" s="1">
        <v>44797</v>
      </c>
      <c r="C581">
        <v>4526.0200000000004</v>
      </c>
      <c r="D581" s="1">
        <v>44798</v>
      </c>
      <c r="E581">
        <v>5.1166999999999998</v>
      </c>
      <c r="F581" s="1">
        <v>44795</v>
      </c>
      <c r="G581">
        <v>117.8</v>
      </c>
      <c r="H581" s="4">
        <f t="shared" si="81"/>
        <v>602747.26</v>
      </c>
      <c r="I581" s="5">
        <v>44797</v>
      </c>
      <c r="J581" s="4">
        <v>5784.09</v>
      </c>
      <c r="K581" s="4">
        <f t="shared" ref="K581:K644" si="82">J581*10</f>
        <v>57840.9</v>
      </c>
      <c r="L581" s="1">
        <v>44797</v>
      </c>
      <c r="M581">
        <v>5.54</v>
      </c>
      <c r="N581" s="1">
        <v>44797</v>
      </c>
      <c r="O581">
        <v>5.49</v>
      </c>
      <c r="P581" s="1">
        <v>44797</v>
      </c>
      <c r="Q581">
        <v>5.47</v>
      </c>
      <c r="R581" s="1">
        <v>44797</v>
      </c>
      <c r="S581">
        <v>5.51</v>
      </c>
      <c r="T581" s="1">
        <v>44797</v>
      </c>
      <c r="U581">
        <v>5.59</v>
      </c>
      <c r="V581" s="1">
        <v>44797</v>
      </c>
      <c r="W581">
        <v>5.63</v>
      </c>
      <c r="X581" s="1">
        <v>44797</v>
      </c>
      <c r="Y581">
        <f>NETWORKDAYS(X581,$Z$1,FERIADO!$A$2:$A$408)</f>
        <v>2108</v>
      </c>
      <c r="Z581">
        <v>11.9</v>
      </c>
      <c r="AA581" s="6">
        <f t="shared" ref="AA581:AA644" si="83">$Z$2/(1+Z581/100)^(Y581/252)</f>
        <v>39042.03538990004</v>
      </c>
      <c r="AB581" s="2">
        <f t="shared" ref="AB581:AB644" si="84">LOG(AA581/AA582)</f>
        <v>-7.8079241665441788E-4</v>
      </c>
      <c r="AJ581" s="1">
        <v>44797</v>
      </c>
      <c r="AK581">
        <f>NETWORKDAYS(AJ581,$AJ$1,FERIADO!$A$2:$A$408)</f>
        <v>1095</v>
      </c>
      <c r="AL581">
        <v>11.68</v>
      </c>
      <c r="AM581" s="6">
        <f t="shared" ref="AM581:AM644" si="85">$Z$2/(1+AL581/100)^(AK581/252)</f>
        <v>61877.882200100474</v>
      </c>
      <c r="AN581" s="2">
        <f t="shared" ref="AN581:AN644" si="86">LOG(AM581/AM582)</f>
        <v>-1.0785174748604452E-3</v>
      </c>
      <c r="AP581" s="11">
        <f t="shared" ref="AP581:AP644" si="87">AB581*$AF$4</f>
        <v>-3.9039620832720894E-4</v>
      </c>
      <c r="AQ581" s="11">
        <f t="shared" ref="AQ581:AQ644" si="88">AN581*$AF$7</f>
        <v>-3.2355524245813354E-4</v>
      </c>
      <c r="AR581" s="11">
        <f t="shared" ref="AR581:AR644" si="89">AQ581+AP581</f>
        <v>-7.1395145078534243E-4</v>
      </c>
    </row>
    <row r="582" spans="2:44" x14ac:dyDescent="0.35">
      <c r="B582" s="1">
        <v>44796</v>
      </c>
      <c r="C582">
        <v>4497.67</v>
      </c>
      <c r="D582" s="1">
        <v>44797</v>
      </c>
      <c r="E582">
        <v>5.1044</v>
      </c>
      <c r="F582" s="1">
        <v>44792</v>
      </c>
      <c r="G582">
        <v>118.20699999999999</v>
      </c>
      <c r="H582" s="4">
        <f t="shared" si="81"/>
        <v>603375.81079999998</v>
      </c>
      <c r="I582" s="5">
        <v>44796</v>
      </c>
      <c r="J582" s="4">
        <v>5777.32</v>
      </c>
      <c r="K582" s="4">
        <f t="shared" si="82"/>
        <v>57773.2</v>
      </c>
      <c r="L582" s="1">
        <v>44796</v>
      </c>
      <c r="M582">
        <v>5.49</v>
      </c>
      <c r="N582" s="1">
        <v>44796</v>
      </c>
      <c r="O582">
        <v>5.43</v>
      </c>
      <c r="P582" s="1">
        <v>44796</v>
      </c>
      <c r="Q582">
        <v>5.46</v>
      </c>
      <c r="R582" s="1">
        <v>44796</v>
      </c>
      <c r="S582">
        <v>5.47</v>
      </c>
      <c r="T582" s="1">
        <v>44796</v>
      </c>
      <c r="U582">
        <v>5.54</v>
      </c>
      <c r="V582" s="1">
        <v>44796</v>
      </c>
      <c r="W582">
        <v>5.59</v>
      </c>
      <c r="X582" s="1">
        <v>44796</v>
      </c>
      <c r="Y582">
        <f>NETWORKDAYS(X582,$Z$1,FERIADO!$A$2:$A$408)</f>
        <v>2109</v>
      </c>
      <c r="Z582">
        <v>11.87</v>
      </c>
      <c r="AA582" s="6">
        <f t="shared" si="83"/>
        <v>39112.289895330905</v>
      </c>
      <c r="AB582" s="2">
        <f t="shared" si="84"/>
        <v>7.0129971953189329E-3</v>
      </c>
      <c r="AJ582" s="1">
        <v>44796</v>
      </c>
      <c r="AK582">
        <f>NETWORKDAYS(AJ582,$AJ$1,FERIADO!$A$2:$A$408)</f>
        <v>1096</v>
      </c>
      <c r="AL582">
        <v>11.605</v>
      </c>
      <c r="AM582" s="6">
        <f t="shared" si="85"/>
        <v>62031.739351220393</v>
      </c>
      <c r="AN582" s="2">
        <f t="shared" si="86"/>
        <v>4.0813519417295784E-3</v>
      </c>
      <c r="AP582" s="11">
        <f t="shared" si="87"/>
        <v>3.5064985976594664E-3</v>
      </c>
      <c r="AQ582" s="11">
        <f t="shared" si="88"/>
        <v>1.2244055825188734E-3</v>
      </c>
      <c r="AR582" s="11">
        <f t="shared" si="89"/>
        <v>4.7309041801783403E-3</v>
      </c>
    </row>
    <row r="583" spans="2:44" x14ac:dyDescent="0.35">
      <c r="B583" s="1">
        <v>44795</v>
      </c>
      <c r="C583">
        <v>4525.8599999999997</v>
      </c>
      <c r="D583" s="1">
        <v>44796</v>
      </c>
      <c r="E583">
        <v>5.1024000000000003</v>
      </c>
      <c r="F583" s="1">
        <v>44791</v>
      </c>
      <c r="G583">
        <v>118.86799999999999</v>
      </c>
      <c r="H583" s="4">
        <f t="shared" si="81"/>
        <v>606512.08319999999</v>
      </c>
      <c r="I583" s="5">
        <v>44795</v>
      </c>
      <c r="J583" s="4">
        <v>5839.41</v>
      </c>
      <c r="K583" s="4">
        <f t="shared" si="82"/>
        <v>58394.1</v>
      </c>
      <c r="L583" s="1">
        <v>44795</v>
      </c>
      <c r="M583">
        <v>5.6</v>
      </c>
      <c r="N583" s="1">
        <v>44795</v>
      </c>
      <c r="O583">
        <v>5.54</v>
      </c>
      <c r="P583" s="1">
        <v>44795</v>
      </c>
      <c r="Q583">
        <v>5.57</v>
      </c>
      <c r="R583" s="1">
        <v>44795</v>
      </c>
      <c r="S583">
        <v>5.59</v>
      </c>
      <c r="T583" s="1">
        <v>44795</v>
      </c>
      <c r="U583">
        <v>5.66</v>
      </c>
      <c r="V583" s="1">
        <v>44795</v>
      </c>
      <c r="W583">
        <v>5.65</v>
      </c>
      <c r="X583" s="1">
        <v>44795</v>
      </c>
      <c r="Y583">
        <f>NETWORKDAYS(X583,$Z$1,FERIADO!$A$2:$A$408)</f>
        <v>2110</v>
      </c>
      <c r="Z583">
        <v>12.08</v>
      </c>
      <c r="AA583" s="6">
        <f t="shared" si="83"/>
        <v>38485.775842002906</v>
      </c>
      <c r="AB583" s="2">
        <f t="shared" si="84"/>
        <v>-1.7515605381320906E-3</v>
      </c>
      <c r="AJ583" s="1">
        <v>44795</v>
      </c>
      <c r="AK583">
        <f>NETWORKDAYS(AJ583,$AJ$1,FERIADO!$A$2:$A$408)</f>
        <v>1097</v>
      </c>
      <c r="AL583">
        <v>11.835000000000001</v>
      </c>
      <c r="AM583" s="6">
        <f t="shared" si="85"/>
        <v>61451.516784370309</v>
      </c>
      <c r="AN583" s="2">
        <f t="shared" si="86"/>
        <v>1.0816536620203803E-4</v>
      </c>
      <c r="AP583" s="11">
        <f t="shared" si="87"/>
        <v>-8.7578026906604532E-4</v>
      </c>
      <c r="AQ583" s="11">
        <f t="shared" si="88"/>
        <v>3.2449609860611407E-5</v>
      </c>
      <c r="AR583" s="11">
        <f t="shared" si="89"/>
        <v>-8.4333065920543394E-4</v>
      </c>
    </row>
    <row r="584" spans="2:44" x14ac:dyDescent="0.35">
      <c r="B584" s="1">
        <v>44792</v>
      </c>
      <c r="C584">
        <v>4607.84</v>
      </c>
      <c r="D584" s="1">
        <v>44795</v>
      </c>
      <c r="E584">
        <v>5.1703000000000001</v>
      </c>
      <c r="F584" s="1">
        <v>44790</v>
      </c>
      <c r="G584">
        <v>118.79300000000001</v>
      </c>
      <c r="H584" s="4">
        <f t="shared" si="81"/>
        <v>614195.44790000014</v>
      </c>
      <c r="I584" s="5">
        <v>44792</v>
      </c>
      <c r="J584" s="4">
        <v>5855.78</v>
      </c>
      <c r="K584" s="4">
        <f t="shared" si="82"/>
        <v>58557.799999999996</v>
      </c>
      <c r="L584" s="1">
        <v>44792</v>
      </c>
      <c r="M584">
        <v>5.57</v>
      </c>
      <c r="N584" s="1">
        <v>44792</v>
      </c>
      <c r="O584">
        <v>5.52</v>
      </c>
      <c r="P584" s="1">
        <v>44792</v>
      </c>
      <c r="Q584">
        <v>5.54</v>
      </c>
      <c r="R584" s="1">
        <v>44792</v>
      </c>
      <c r="S584">
        <v>5.53</v>
      </c>
      <c r="T584" s="1">
        <v>44792</v>
      </c>
      <c r="U584">
        <v>5.61</v>
      </c>
      <c r="V584" s="1">
        <v>44792</v>
      </c>
      <c r="W584">
        <v>5.6</v>
      </c>
      <c r="X584" s="1">
        <v>44792</v>
      </c>
      <c r="Y584">
        <f>NETWORKDAYS(X584,$Z$1,FERIADO!$A$2:$A$408)</f>
        <v>2111</v>
      </c>
      <c r="Z584">
        <v>12.02</v>
      </c>
      <c r="AA584" s="6">
        <f t="shared" si="83"/>
        <v>38641.306912607208</v>
      </c>
      <c r="AB584" s="2">
        <f t="shared" si="84"/>
        <v>-3.0550762565527733E-3</v>
      </c>
      <c r="AJ584" s="1">
        <v>44792</v>
      </c>
      <c r="AK584">
        <f>NETWORKDAYS(AJ584,$AJ$1,FERIADO!$A$2:$A$408)</f>
        <v>1098</v>
      </c>
      <c r="AL584">
        <v>11.83</v>
      </c>
      <c r="AM584" s="6">
        <f t="shared" si="85"/>
        <v>61436.213577857758</v>
      </c>
      <c r="AN584" s="2">
        <f t="shared" si="86"/>
        <v>-1.8407769711740872E-3</v>
      </c>
      <c r="AP584" s="11">
        <f t="shared" si="87"/>
        <v>-1.5275381282763866E-3</v>
      </c>
      <c r="AQ584" s="11">
        <f t="shared" si="88"/>
        <v>-5.5223309135222619E-4</v>
      </c>
      <c r="AR584" s="11">
        <f t="shared" si="89"/>
        <v>-2.0797712196286128E-3</v>
      </c>
    </row>
    <row r="585" spans="2:44" x14ac:dyDescent="0.35">
      <c r="B585" s="1">
        <v>44791</v>
      </c>
      <c r="C585">
        <v>4677.6899999999996</v>
      </c>
      <c r="D585" s="1">
        <v>44792</v>
      </c>
      <c r="E585">
        <v>5.1955</v>
      </c>
      <c r="F585" s="1">
        <v>44789</v>
      </c>
      <c r="G585">
        <v>119.44499999999999</v>
      </c>
      <c r="H585" s="4">
        <f t="shared" si="81"/>
        <v>620576.49749999994</v>
      </c>
      <c r="I585" s="5">
        <v>44791</v>
      </c>
      <c r="J585" s="4">
        <v>5854.65</v>
      </c>
      <c r="K585" s="4">
        <f t="shared" si="82"/>
        <v>58546.5</v>
      </c>
      <c r="L585" s="1">
        <v>44791</v>
      </c>
      <c r="M585">
        <v>5.52</v>
      </c>
      <c r="N585" s="1">
        <v>44791</v>
      </c>
      <c r="O585">
        <v>5.48</v>
      </c>
      <c r="P585" s="1">
        <v>44791</v>
      </c>
      <c r="Q585">
        <v>5.51</v>
      </c>
      <c r="R585" s="1">
        <v>44791</v>
      </c>
      <c r="S585">
        <v>5.51</v>
      </c>
      <c r="T585" s="1">
        <v>44791</v>
      </c>
      <c r="U585">
        <v>5.52</v>
      </c>
      <c r="V585" s="1">
        <v>44791</v>
      </c>
      <c r="W585">
        <v>5.57</v>
      </c>
      <c r="X585" s="1">
        <v>44791</v>
      </c>
      <c r="Y585">
        <f>NETWORKDAYS(X585,$Z$1,FERIADO!$A$2:$A$408)</f>
        <v>2112</v>
      </c>
      <c r="Z585">
        <v>11.92</v>
      </c>
      <c r="AA585" s="6">
        <f t="shared" si="83"/>
        <v>38914.090341271069</v>
      </c>
      <c r="AB585" s="2">
        <f t="shared" si="84"/>
        <v>-2.7354167588606658E-3</v>
      </c>
      <c r="AJ585" s="1">
        <v>44791</v>
      </c>
      <c r="AK585">
        <f>NETWORKDAYS(AJ585,$AJ$1,FERIADO!$A$2:$A$408)</f>
        <v>1099</v>
      </c>
      <c r="AL585">
        <v>11.71</v>
      </c>
      <c r="AM585" s="6">
        <f t="shared" si="85"/>
        <v>61697.166410988364</v>
      </c>
      <c r="AN585" s="2">
        <f t="shared" si="86"/>
        <v>-1.676789206671083E-3</v>
      </c>
      <c r="AP585" s="11">
        <f t="shared" si="87"/>
        <v>-1.3677083794303329E-3</v>
      </c>
      <c r="AQ585" s="11">
        <f t="shared" si="88"/>
        <v>-5.0303676200132489E-4</v>
      </c>
      <c r="AR585" s="11">
        <f t="shared" si="89"/>
        <v>-1.8707451414316577E-3</v>
      </c>
    </row>
    <row r="586" spans="2:44" x14ac:dyDescent="0.35">
      <c r="B586" s="1">
        <v>44790</v>
      </c>
      <c r="C586">
        <v>4668.2299999999996</v>
      </c>
      <c r="D586" s="1">
        <v>44791</v>
      </c>
      <c r="E586">
        <v>5.1767000000000003</v>
      </c>
      <c r="F586" s="1">
        <v>44788</v>
      </c>
      <c r="G586">
        <v>119.652</v>
      </c>
      <c r="H586" s="4">
        <f t="shared" si="81"/>
        <v>619402.50839999993</v>
      </c>
      <c r="I586" s="5">
        <v>44790</v>
      </c>
      <c r="J586" s="4">
        <v>5857.47</v>
      </c>
      <c r="K586" s="4">
        <f t="shared" si="82"/>
        <v>58574.700000000004</v>
      </c>
      <c r="L586" s="1">
        <v>44790</v>
      </c>
      <c r="M586">
        <v>5.56</v>
      </c>
      <c r="N586" s="1">
        <v>44790</v>
      </c>
      <c r="O586">
        <v>5.5</v>
      </c>
      <c r="P586" s="1">
        <v>44790</v>
      </c>
      <c r="Q586">
        <v>5.53</v>
      </c>
      <c r="R586" s="1">
        <v>44790</v>
      </c>
      <c r="S586">
        <v>5.51</v>
      </c>
      <c r="T586" s="1">
        <v>44790</v>
      </c>
      <c r="U586">
        <v>5.52</v>
      </c>
      <c r="V586" s="1">
        <v>44790</v>
      </c>
      <c r="W586">
        <v>5.57</v>
      </c>
      <c r="X586" s="1">
        <v>44790</v>
      </c>
      <c r="Y586">
        <f>NETWORKDAYS(X586,$Z$1,FERIADO!$A$2:$A$408)</f>
        <v>2113</v>
      </c>
      <c r="Z586">
        <v>11.83</v>
      </c>
      <c r="AA586" s="6">
        <f t="shared" si="83"/>
        <v>39159.965413842525</v>
      </c>
      <c r="AB586" s="2">
        <f t="shared" si="84"/>
        <v>-3.7188213457816578E-3</v>
      </c>
      <c r="AJ586" s="1">
        <v>44790</v>
      </c>
      <c r="AK586">
        <f>NETWORKDAYS(AJ586,$AJ$1,FERIADO!$A$2:$A$408)</f>
        <v>1100</v>
      </c>
      <c r="AL586">
        <v>11.6</v>
      </c>
      <c r="AM586" s="6">
        <f t="shared" si="85"/>
        <v>61935.836525421611</v>
      </c>
      <c r="AN586" s="2">
        <f t="shared" si="86"/>
        <v>-2.958886196980245E-3</v>
      </c>
      <c r="AP586" s="11">
        <f t="shared" si="87"/>
        <v>-1.8594106728908289E-3</v>
      </c>
      <c r="AQ586" s="11">
        <f t="shared" si="88"/>
        <v>-8.8766585909407349E-4</v>
      </c>
      <c r="AR586" s="11">
        <f t="shared" si="89"/>
        <v>-2.7470765319849025E-3</v>
      </c>
    </row>
    <row r="587" spans="2:44" x14ac:dyDescent="0.35">
      <c r="B587" s="1">
        <v>44789</v>
      </c>
      <c r="C587">
        <v>4700.13</v>
      </c>
      <c r="D587" s="1">
        <v>44790</v>
      </c>
      <c r="E587">
        <v>5.1779000000000002</v>
      </c>
      <c r="F587" s="1">
        <v>44785</v>
      </c>
      <c r="G587">
        <v>119.32</v>
      </c>
      <c r="H587" s="4">
        <f t="shared" si="81"/>
        <v>617827.02800000005</v>
      </c>
      <c r="I587" s="5">
        <v>44789</v>
      </c>
      <c r="J587" s="4">
        <v>5839.41</v>
      </c>
      <c r="K587" s="4">
        <f t="shared" si="82"/>
        <v>58394.1</v>
      </c>
      <c r="L587" s="1">
        <v>44789</v>
      </c>
      <c r="M587">
        <v>5.47</v>
      </c>
      <c r="N587" s="1">
        <v>44789</v>
      </c>
      <c r="O587">
        <v>5.46</v>
      </c>
      <c r="P587" s="1">
        <v>44789</v>
      </c>
      <c r="Q587">
        <v>5.46</v>
      </c>
      <c r="R587" s="1">
        <v>44789</v>
      </c>
      <c r="S587">
        <v>5.46</v>
      </c>
      <c r="T587" s="1">
        <v>44789</v>
      </c>
      <c r="U587">
        <v>5.51</v>
      </c>
      <c r="V587" s="1">
        <v>44789</v>
      </c>
      <c r="W587">
        <v>5.54</v>
      </c>
      <c r="X587" s="1">
        <v>44789</v>
      </c>
      <c r="Y587">
        <f>NETWORKDAYS(X587,$Z$1,FERIADO!$A$2:$A$408)</f>
        <v>2114</v>
      </c>
      <c r="Z587">
        <v>11.71</v>
      </c>
      <c r="AA587" s="6">
        <f t="shared" si="83"/>
        <v>39496.728158858597</v>
      </c>
      <c r="AB587" s="2">
        <f t="shared" si="84"/>
        <v>5.17115614726877E-4</v>
      </c>
      <c r="AJ587" s="1">
        <v>44789</v>
      </c>
      <c r="AK587">
        <f>NETWORKDAYS(AJ587,$AJ$1,FERIADO!$A$2:$A$408)</f>
        <v>1101</v>
      </c>
      <c r="AL587">
        <v>11.414999999999999</v>
      </c>
      <c r="AM587" s="6">
        <f t="shared" si="85"/>
        <v>62359.251527342341</v>
      </c>
      <c r="AN587" s="2">
        <f t="shared" si="86"/>
        <v>-1.5466560413869543E-4</v>
      </c>
      <c r="AP587" s="11">
        <f t="shared" si="87"/>
        <v>2.585578073634385E-4</v>
      </c>
      <c r="AQ587" s="11">
        <f t="shared" si="88"/>
        <v>-4.639968124160863E-5</v>
      </c>
      <c r="AR587" s="11">
        <f t="shared" si="89"/>
        <v>2.1215812612182988E-4</v>
      </c>
    </row>
    <row r="588" spans="2:44" x14ac:dyDescent="0.35">
      <c r="B588" s="1">
        <v>44788</v>
      </c>
      <c r="C588">
        <v>4684.88</v>
      </c>
      <c r="D588" s="1">
        <v>44789</v>
      </c>
      <c r="E588">
        <v>5.1334</v>
      </c>
      <c r="F588" s="1">
        <v>44784</v>
      </c>
      <c r="G588">
        <v>119.096</v>
      </c>
      <c r="H588" s="4">
        <f t="shared" si="81"/>
        <v>611367.40640000009</v>
      </c>
      <c r="I588" s="5">
        <v>44788</v>
      </c>
      <c r="J588" s="4">
        <v>5782.4</v>
      </c>
      <c r="K588" s="4">
        <f t="shared" si="82"/>
        <v>57824</v>
      </c>
      <c r="L588" s="1">
        <v>44788</v>
      </c>
      <c r="M588">
        <v>5.37</v>
      </c>
      <c r="N588" s="1">
        <v>44788</v>
      </c>
      <c r="O588">
        <v>5.38</v>
      </c>
      <c r="P588" s="1">
        <v>44788</v>
      </c>
      <c r="Q588">
        <v>5.37</v>
      </c>
      <c r="R588" s="1">
        <v>44788</v>
      </c>
      <c r="S588">
        <v>5.38</v>
      </c>
      <c r="T588" s="1">
        <v>44788</v>
      </c>
      <c r="U588">
        <v>5.47</v>
      </c>
      <c r="V588" s="1">
        <v>44788</v>
      </c>
      <c r="W588">
        <v>5.45</v>
      </c>
      <c r="X588" s="1">
        <v>44788</v>
      </c>
      <c r="Y588">
        <f>NETWORKDAYS(X588,$Z$1,FERIADO!$A$2:$A$408)</f>
        <v>2115</v>
      </c>
      <c r="Z588">
        <v>11.72</v>
      </c>
      <c r="AA588" s="6">
        <f t="shared" si="83"/>
        <v>39449.7272853553</v>
      </c>
      <c r="AB588" s="2">
        <f t="shared" si="84"/>
        <v>7.0392511544996898E-3</v>
      </c>
      <c r="AJ588" s="1">
        <v>44788</v>
      </c>
      <c r="AK588">
        <f>NETWORKDAYS(AJ588,$AJ$1,FERIADO!$A$2:$A$408)</f>
        <v>1102</v>
      </c>
      <c r="AL588">
        <v>11.395</v>
      </c>
      <c r="AM588" s="6">
        <f t="shared" si="85"/>
        <v>62381.463527096661</v>
      </c>
      <c r="AN588" s="2">
        <f t="shared" si="86"/>
        <v>3.3402890681524331E-3</v>
      </c>
      <c r="AP588" s="11">
        <f t="shared" si="87"/>
        <v>3.5196255772498449E-3</v>
      </c>
      <c r="AQ588" s="11">
        <f t="shared" si="88"/>
        <v>1.0020867204457299E-3</v>
      </c>
      <c r="AR588" s="11">
        <f t="shared" si="89"/>
        <v>4.5217122976955746E-3</v>
      </c>
    </row>
    <row r="589" spans="2:44" x14ac:dyDescent="0.35">
      <c r="B589" s="1">
        <v>44785</v>
      </c>
      <c r="C589">
        <v>4670.2</v>
      </c>
      <c r="D589" s="1">
        <v>44788</v>
      </c>
      <c r="E589">
        <v>5.0918999999999999</v>
      </c>
      <c r="F589" s="1">
        <v>44783</v>
      </c>
      <c r="G589">
        <v>119.7</v>
      </c>
      <c r="H589" s="4">
        <f t="shared" si="81"/>
        <v>609500.43000000005</v>
      </c>
      <c r="I589" s="5">
        <v>44785</v>
      </c>
      <c r="J589" s="4">
        <v>5757</v>
      </c>
      <c r="K589" s="4">
        <f t="shared" si="82"/>
        <v>57570</v>
      </c>
      <c r="L589" s="1">
        <v>44785</v>
      </c>
      <c r="M589">
        <v>5.43</v>
      </c>
      <c r="N589" s="1">
        <v>44785</v>
      </c>
      <c r="O589">
        <v>5.45</v>
      </c>
      <c r="P589" s="1">
        <v>44785</v>
      </c>
      <c r="Q589">
        <v>5.49</v>
      </c>
      <c r="R589" s="1">
        <v>44785</v>
      </c>
      <c r="S589">
        <v>5.51</v>
      </c>
      <c r="T589" s="1">
        <v>44785</v>
      </c>
      <c r="U589">
        <v>5.55</v>
      </c>
      <c r="V589" s="1">
        <v>44785</v>
      </c>
      <c r="W589">
        <v>5.58</v>
      </c>
      <c r="X589" s="1">
        <v>44785</v>
      </c>
      <c r="Y589">
        <f>NETWORKDAYS(X589,$Z$1,FERIADO!$A$2:$A$408)</f>
        <v>2116</v>
      </c>
      <c r="Z589">
        <v>11.93</v>
      </c>
      <c r="AA589" s="6">
        <f t="shared" si="83"/>
        <v>38815.461502124548</v>
      </c>
      <c r="AB589" s="2">
        <f t="shared" si="84"/>
        <v>6.0567160000320084E-3</v>
      </c>
      <c r="AJ589" s="1">
        <v>44785</v>
      </c>
      <c r="AK589">
        <f>NETWORKDAYS(AJ589,$AJ$1,FERIADO!$A$2:$A$408)</f>
        <v>1103</v>
      </c>
      <c r="AL589">
        <v>11.58</v>
      </c>
      <c r="AM589" s="6">
        <f t="shared" si="85"/>
        <v>61903.509388679122</v>
      </c>
      <c r="AN589" s="2">
        <f t="shared" si="86"/>
        <v>3.7663164270485779E-3</v>
      </c>
      <c r="AP589" s="11">
        <f t="shared" si="87"/>
        <v>3.0283580000160042E-3</v>
      </c>
      <c r="AQ589" s="11">
        <f t="shared" si="88"/>
        <v>1.1298949281145733E-3</v>
      </c>
      <c r="AR589" s="11">
        <f t="shared" si="89"/>
        <v>4.158252928130577E-3</v>
      </c>
    </row>
    <row r="590" spans="2:44" x14ac:dyDescent="0.35">
      <c r="B590" s="1">
        <v>44784</v>
      </c>
      <c r="C590">
        <v>4600.33</v>
      </c>
      <c r="D590" s="1">
        <v>44785</v>
      </c>
      <c r="E590">
        <v>5.1017000000000001</v>
      </c>
      <c r="F590" s="1">
        <v>44782</v>
      </c>
      <c r="G590">
        <v>119.6</v>
      </c>
      <c r="H590" s="4">
        <f t="shared" si="81"/>
        <v>610163.31999999995</v>
      </c>
      <c r="I590" s="5">
        <v>44784</v>
      </c>
      <c r="J590" s="4">
        <v>5856.91</v>
      </c>
      <c r="K590" s="4">
        <f t="shared" si="82"/>
        <v>58569.1</v>
      </c>
      <c r="L590" s="1">
        <v>44784</v>
      </c>
      <c r="M590">
        <v>5.56</v>
      </c>
      <c r="N590" s="1">
        <v>44784</v>
      </c>
      <c r="O590">
        <v>5.55</v>
      </c>
      <c r="P590" s="1">
        <v>44784</v>
      </c>
      <c r="Q590">
        <v>5.59</v>
      </c>
      <c r="R590" s="1">
        <v>44784</v>
      </c>
      <c r="S590">
        <v>5.6</v>
      </c>
      <c r="T590" s="1">
        <v>44784</v>
      </c>
      <c r="U590">
        <v>5.68</v>
      </c>
      <c r="V590" s="1">
        <v>44784</v>
      </c>
      <c r="W590">
        <v>5.69</v>
      </c>
      <c r="X590" s="1">
        <v>44784</v>
      </c>
      <c r="Y590">
        <f>NETWORKDAYS(X590,$Z$1,FERIADO!$A$2:$A$408)</f>
        <v>2117</v>
      </c>
      <c r="Z590">
        <v>12.11</v>
      </c>
      <c r="AA590" s="6">
        <f t="shared" si="83"/>
        <v>38277.894237457665</v>
      </c>
      <c r="AB590" s="2">
        <f t="shared" si="84"/>
        <v>-1.4312904229606942E-3</v>
      </c>
      <c r="AJ590" s="1">
        <v>44784</v>
      </c>
      <c r="AK590">
        <f>NETWORKDAYS(AJ590,$AJ$1,FERIADO!$A$2:$A$408)</f>
        <v>1104</v>
      </c>
      <c r="AL590">
        <v>11.79</v>
      </c>
      <c r="AM590" s="6">
        <f t="shared" si="85"/>
        <v>61368.986919028881</v>
      </c>
      <c r="AN590" s="2">
        <f t="shared" si="86"/>
        <v>-1.0859813576557607E-3</v>
      </c>
      <c r="AP590" s="11">
        <f t="shared" si="87"/>
        <v>-7.1564521148034712E-4</v>
      </c>
      <c r="AQ590" s="11">
        <f t="shared" si="88"/>
        <v>-3.2579440729672821E-4</v>
      </c>
      <c r="AR590" s="11">
        <f t="shared" si="89"/>
        <v>-1.0414396187770753E-3</v>
      </c>
    </row>
    <row r="591" spans="2:44" x14ac:dyDescent="0.35">
      <c r="B591" s="1">
        <v>44783</v>
      </c>
      <c r="C591">
        <v>4597.1400000000003</v>
      </c>
      <c r="D591" s="1">
        <v>44784</v>
      </c>
      <c r="E591">
        <v>5.1120999999999999</v>
      </c>
      <c r="F591" s="1">
        <v>44781</v>
      </c>
      <c r="G591">
        <v>119.93300000000001</v>
      </c>
      <c r="H591" s="4">
        <f t="shared" si="81"/>
        <v>613109.48930000002</v>
      </c>
      <c r="I591" s="5">
        <v>44783</v>
      </c>
      <c r="J591" s="4">
        <v>5786.35</v>
      </c>
      <c r="K591" s="4">
        <f t="shared" si="82"/>
        <v>57863.5</v>
      </c>
      <c r="L591" s="1">
        <v>44783</v>
      </c>
      <c r="M591">
        <v>5.46</v>
      </c>
      <c r="N591" s="1">
        <v>44783</v>
      </c>
      <c r="O591">
        <v>5.47</v>
      </c>
      <c r="P591" s="1">
        <v>44783</v>
      </c>
      <c r="Q591">
        <v>5.49</v>
      </c>
      <c r="R591" s="1">
        <v>44783</v>
      </c>
      <c r="S591">
        <v>5.54</v>
      </c>
      <c r="T591" s="1">
        <v>44783</v>
      </c>
      <c r="U591">
        <v>5.62</v>
      </c>
      <c r="V591" s="1">
        <v>44783</v>
      </c>
      <c r="W591">
        <v>5.63</v>
      </c>
      <c r="X591" s="1">
        <v>44783</v>
      </c>
      <c r="Y591">
        <f>NETWORKDAYS(X591,$Z$1,FERIADO!$A$2:$A$408)</f>
        <v>2118</v>
      </c>
      <c r="Z591">
        <v>12.06</v>
      </c>
      <c r="AA591" s="6">
        <f t="shared" si="83"/>
        <v>38404.253573122776</v>
      </c>
      <c r="AB591" s="2">
        <f t="shared" si="84"/>
        <v>1.1737561796602914E-3</v>
      </c>
      <c r="AJ591" s="1">
        <v>44783</v>
      </c>
      <c r="AK591">
        <f>NETWORKDAYS(AJ591,$AJ$1,FERIADO!$A$2:$A$408)</f>
        <v>1105</v>
      </c>
      <c r="AL591">
        <v>11.715</v>
      </c>
      <c r="AM591" s="6">
        <f t="shared" si="85"/>
        <v>61522.636052946065</v>
      </c>
      <c r="AN591" s="2">
        <f t="shared" si="86"/>
        <v>1.2143578365926772E-3</v>
      </c>
      <c r="AP591" s="11">
        <f t="shared" si="87"/>
        <v>5.868780898301457E-4</v>
      </c>
      <c r="AQ591" s="11">
        <f t="shared" si="88"/>
        <v>3.6430735097780316E-4</v>
      </c>
      <c r="AR591" s="11">
        <f t="shared" si="89"/>
        <v>9.5118544080794885E-4</v>
      </c>
    </row>
    <row r="592" spans="2:44" x14ac:dyDescent="0.35">
      <c r="B592" s="1">
        <v>44782</v>
      </c>
      <c r="C592">
        <v>4507.16</v>
      </c>
      <c r="D592" s="1">
        <v>44783</v>
      </c>
      <c r="E592">
        <v>5.0491000000000001</v>
      </c>
      <c r="F592" s="1">
        <v>44778</v>
      </c>
      <c r="G592">
        <v>119.43</v>
      </c>
      <c r="H592" s="4">
        <f t="shared" si="81"/>
        <v>603014.01300000004</v>
      </c>
      <c r="I592" s="5">
        <v>44782</v>
      </c>
      <c r="J592" s="4">
        <v>5823.04</v>
      </c>
      <c r="K592" s="4">
        <f t="shared" si="82"/>
        <v>58230.400000000001</v>
      </c>
      <c r="L592" s="1">
        <v>44782</v>
      </c>
      <c r="M592">
        <v>5.44</v>
      </c>
      <c r="N592" s="1">
        <v>44782</v>
      </c>
      <c r="O592">
        <v>5.42</v>
      </c>
      <c r="P592" s="1">
        <v>44782</v>
      </c>
      <c r="Q592">
        <v>5.47</v>
      </c>
      <c r="R592" s="1">
        <v>44782</v>
      </c>
      <c r="S592">
        <v>5.51</v>
      </c>
      <c r="T592" s="1">
        <v>44782</v>
      </c>
      <c r="U592">
        <v>5.62</v>
      </c>
      <c r="V592" s="1">
        <v>44782</v>
      </c>
      <c r="W592">
        <v>5.67</v>
      </c>
      <c r="X592" s="1">
        <v>44782</v>
      </c>
      <c r="Y592">
        <f>NETWORKDAYS(X592,$Z$1,FERIADO!$A$2:$A$408)</f>
        <v>2119</v>
      </c>
      <c r="Z592">
        <v>12.09</v>
      </c>
      <c r="AA592" s="6">
        <f t="shared" si="83"/>
        <v>38300.599549975443</v>
      </c>
      <c r="AB592" s="2">
        <f t="shared" si="84"/>
        <v>-5.0222531256126262E-3</v>
      </c>
      <c r="AJ592" s="1">
        <v>44782</v>
      </c>
      <c r="AK592">
        <f>NETWORKDAYS(AJ592,$AJ$1,FERIADO!$A$2:$A$408)</f>
        <v>1106</v>
      </c>
      <c r="AL592">
        <v>11.775</v>
      </c>
      <c r="AM592" s="6">
        <f t="shared" si="85"/>
        <v>61350.849064438233</v>
      </c>
      <c r="AN592" s="2">
        <f t="shared" si="86"/>
        <v>-1.7720049002546809E-3</v>
      </c>
      <c r="AP592" s="11">
        <f t="shared" si="87"/>
        <v>-2.5111265628063131E-3</v>
      </c>
      <c r="AQ592" s="11">
        <f t="shared" si="88"/>
        <v>-5.3160147007640427E-4</v>
      </c>
      <c r="AR592" s="11">
        <f t="shared" si="89"/>
        <v>-3.0427280328827171E-3</v>
      </c>
    </row>
    <row r="593" spans="2:44" x14ac:dyDescent="0.35">
      <c r="B593" s="1">
        <v>44781</v>
      </c>
      <c r="C593">
        <v>4523.1000000000004</v>
      </c>
      <c r="D593" s="1">
        <v>44782</v>
      </c>
      <c r="E593">
        <v>5.1218000000000004</v>
      </c>
      <c r="F593" s="1">
        <v>44777</v>
      </c>
      <c r="G593">
        <v>120.518</v>
      </c>
      <c r="H593" s="4">
        <f t="shared" si="81"/>
        <v>617269.09240000008</v>
      </c>
      <c r="I593" s="5">
        <v>44781</v>
      </c>
      <c r="J593" s="4">
        <v>5812.88</v>
      </c>
      <c r="K593" s="4">
        <f t="shared" si="82"/>
        <v>58128.800000000003</v>
      </c>
      <c r="L593" s="1">
        <v>44781</v>
      </c>
      <c r="M593">
        <v>5.31</v>
      </c>
      <c r="N593" s="1">
        <v>44781</v>
      </c>
      <c r="O593">
        <v>5.29</v>
      </c>
      <c r="P593" s="1">
        <v>44781</v>
      </c>
      <c r="Q593">
        <v>5.4</v>
      </c>
      <c r="R593" s="1">
        <v>44781</v>
      </c>
      <c r="S593">
        <v>5.46</v>
      </c>
      <c r="T593" s="1">
        <v>44781</v>
      </c>
      <c r="U593">
        <v>5.6</v>
      </c>
      <c r="V593" s="1">
        <v>44781</v>
      </c>
      <c r="W593">
        <v>5.6</v>
      </c>
      <c r="X593" s="1">
        <v>44781</v>
      </c>
      <c r="Y593">
        <f>NETWORKDAYS(X593,$Z$1,FERIADO!$A$2:$A$408)</f>
        <v>2120</v>
      </c>
      <c r="Z593">
        <v>11.93</v>
      </c>
      <c r="AA593" s="6">
        <f t="shared" si="83"/>
        <v>38746.084878086316</v>
      </c>
      <c r="AB593" s="2">
        <f t="shared" si="84"/>
        <v>1.1606392190522475E-2</v>
      </c>
      <c r="AJ593" s="1">
        <v>44781</v>
      </c>
      <c r="AK593">
        <f>NETWORKDAYS(AJ593,$AJ$1,FERIADO!$A$2:$A$408)</f>
        <v>1107</v>
      </c>
      <c r="AL593">
        <v>11.66</v>
      </c>
      <c r="AM593" s="6">
        <f t="shared" si="85"/>
        <v>61601.68369089457</v>
      </c>
      <c r="AN593" s="2">
        <f t="shared" si="86"/>
        <v>6.0808788688471432E-3</v>
      </c>
      <c r="AP593" s="11">
        <f t="shared" si="87"/>
        <v>5.8031960952612373E-3</v>
      </c>
      <c r="AQ593" s="11">
        <f t="shared" si="88"/>
        <v>1.824263660654143E-3</v>
      </c>
      <c r="AR593" s="11">
        <f t="shared" si="89"/>
        <v>7.6274597559153803E-3</v>
      </c>
    </row>
    <row r="594" spans="2:44" x14ac:dyDescent="0.35">
      <c r="B594" s="1">
        <v>44778</v>
      </c>
      <c r="C594">
        <v>4518.12</v>
      </c>
      <c r="D594" s="1">
        <v>44781</v>
      </c>
      <c r="E594">
        <v>5.1241000000000003</v>
      </c>
      <c r="F594" s="1">
        <v>44776</v>
      </c>
      <c r="G594">
        <v>120.34699999999999</v>
      </c>
      <c r="H594" s="4">
        <f t="shared" si="81"/>
        <v>616670.06270000001</v>
      </c>
      <c r="I594" s="5">
        <v>44778</v>
      </c>
      <c r="J594" s="4">
        <v>5872.71</v>
      </c>
      <c r="K594" s="4">
        <f t="shared" si="82"/>
        <v>58727.1</v>
      </c>
      <c r="L594" s="1">
        <v>44778</v>
      </c>
      <c r="M594">
        <v>5.39</v>
      </c>
      <c r="N594" s="1">
        <v>44778</v>
      </c>
      <c r="O594">
        <v>5.37</v>
      </c>
      <c r="P594" s="1">
        <v>44778</v>
      </c>
      <c r="Q594">
        <v>5.46</v>
      </c>
      <c r="R594" s="1">
        <v>44778</v>
      </c>
      <c r="S594">
        <v>5.49</v>
      </c>
      <c r="T594" s="1">
        <v>44778</v>
      </c>
      <c r="U594">
        <v>5.61</v>
      </c>
      <c r="V594" s="1">
        <v>44778</v>
      </c>
      <c r="W594">
        <v>5.7</v>
      </c>
      <c r="X594" s="1">
        <v>44778</v>
      </c>
      <c r="Y594">
        <f>NETWORKDAYS(X594,$Z$1,FERIADO!$A$2:$A$408)</f>
        <v>2121</v>
      </c>
      <c r="Z594">
        <v>12.28</v>
      </c>
      <c r="AA594" s="6">
        <f t="shared" si="83"/>
        <v>37724.321144561734</v>
      </c>
      <c r="AB594" s="2">
        <f t="shared" si="84"/>
        <v>6.0576396891562859E-3</v>
      </c>
      <c r="AJ594" s="1">
        <v>44778</v>
      </c>
      <c r="AK594">
        <f>NETWORKDAYS(AJ594,$AJ$1,FERIADO!$A$2:$A$408)</f>
        <v>1108</v>
      </c>
      <c r="AL594">
        <v>12.005000000000001</v>
      </c>
      <c r="AM594" s="6">
        <f t="shared" si="85"/>
        <v>60745.16325045823</v>
      </c>
      <c r="AN594" s="2">
        <f t="shared" si="86"/>
        <v>2.0714927486814075E-3</v>
      </c>
      <c r="AP594" s="11">
        <f t="shared" si="87"/>
        <v>3.028819844578143E-3</v>
      </c>
      <c r="AQ594" s="11">
        <f t="shared" si="88"/>
        <v>6.2144782460442219E-4</v>
      </c>
      <c r="AR594" s="11">
        <f t="shared" si="89"/>
        <v>3.6502676691825653E-3</v>
      </c>
    </row>
    <row r="595" spans="2:44" x14ac:dyDescent="0.35">
      <c r="B595" s="1">
        <v>44777</v>
      </c>
      <c r="C595">
        <v>4528.74</v>
      </c>
      <c r="D595" s="1">
        <v>44778</v>
      </c>
      <c r="E595">
        <v>5.2159000000000004</v>
      </c>
      <c r="F595" s="1">
        <v>44775</v>
      </c>
      <c r="G595">
        <v>120.13500000000001</v>
      </c>
      <c r="H595" s="4">
        <f t="shared" si="81"/>
        <v>626612.14650000015</v>
      </c>
      <c r="I595" s="5">
        <v>44777</v>
      </c>
      <c r="J595" s="4">
        <v>5928.03</v>
      </c>
      <c r="K595" s="4">
        <f t="shared" si="82"/>
        <v>59280.299999999996</v>
      </c>
      <c r="L595" s="1">
        <v>44777</v>
      </c>
      <c r="M595">
        <v>5.44</v>
      </c>
      <c r="N595" s="1">
        <v>44777</v>
      </c>
      <c r="O595">
        <v>5.43</v>
      </c>
      <c r="P595" s="1">
        <v>44777</v>
      </c>
      <c r="Q595">
        <v>5.51</v>
      </c>
      <c r="R595" s="1">
        <v>44777</v>
      </c>
      <c r="S595">
        <v>5.55</v>
      </c>
      <c r="T595" s="1">
        <v>44776</v>
      </c>
      <c r="U595">
        <v>5.91</v>
      </c>
      <c r="V595" s="1">
        <v>44777</v>
      </c>
      <c r="W595">
        <v>5.74</v>
      </c>
      <c r="X595" s="1">
        <v>44777</v>
      </c>
      <c r="Y595">
        <f>NETWORKDAYS(X595,$Z$1,FERIADO!$A$2:$A$408)</f>
        <v>2122</v>
      </c>
      <c r="Z595">
        <v>12.46</v>
      </c>
      <c r="AA595" s="6">
        <f t="shared" si="83"/>
        <v>37201.786294752805</v>
      </c>
      <c r="AB595" s="2">
        <f t="shared" si="84"/>
        <v>8.9759895166820342E-3</v>
      </c>
      <c r="AJ595" s="1">
        <v>44777</v>
      </c>
      <c r="AK595">
        <f>NETWORKDAYS(AJ595,$AJ$1,FERIADO!$A$2:$A$408)</f>
        <v>1109</v>
      </c>
      <c r="AL595">
        <v>12.115</v>
      </c>
      <c r="AM595" s="6">
        <f t="shared" si="85"/>
        <v>60456.111585728082</v>
      </c>
      <c r="AN595" s="2">
        <f t="shared" si="86"/>
        <v>6.4147803254417206E-3</v>
      </c>
      <c r="AP595" s="11">
        <f t="shared" si="87"/>
        <v>4.4879947583410171E-3</v>
      </c>
      <c r="AQ595" s="11">
        <f t="shared" si="88"/>
        <v>1.924434097632516E-3</v>
      </c>
      <c r="AR595" s="11">
        <f t="shared" si="89"/>
        <v>6.4124288559735329E-3</v>
      </c>
    </row>
    <row r="596" spans="2:44" x14ac:dyDescent="0.35">
      <c r="B596" s="1">
        <v>44776</v>
      </c>
      <c r="C596">
        <v>4527.5200000000004</v>
      </c>
      <c r="D596" s="1">
        <v>44777</v>
      </c>
      <c r="E596">
        <v>5.2403000000000004</v>
      </c>
      <c r="F596" s="1">
        <v>44774</v>
      </c>
      <c r="G596">
        <v>121.51</v>
      </c>
      <c r="H596" s="4">
        <f t="shared" si="81"/>
        <v>636748.853</v>
      </c>
      <c r="I596" s="5">
        <v>44776</v>
      </c>
      <c r="J596" s="4">
        <v>6014.39</v>
      </c>
      <c r="K596" s="4">
        <f t="shared" si="82"/>
        <v>60143.9</v>
      </c>
      <c r="L596" s="1">
        <v>44776</v>
      </c>
      <c r="M596">
        <v>5.79</v>
      </c>
      <c r="N596" s="1">
        <v>44776</v>
      </c>
      <c r="O596">
        <v>5.78</v>
      </c>
      <c r="P596" s="1">
        <v>44776</v>
      </c>
      <c r="Q596">
        <v>5.8</v>
      </c>
      <c r="R596" s="1">
        <v>44776</v>
      </c>
      <c r="S596">
        <v>5.81</v>
      </c>
      <c r="T596" s="1">
        <v>44775</v>
      </c>
      <c r="U596">
        <v>5.99</v>
      </c>
      <c r="V596" s="1">
        <v>44776</v>
      </c>
      <c r="W596">
        <v>5.95</v>
      </c>
      <c r="X596" s="1">
        <v>44776</v>
      </c>
      <c r="Y596">
        <f>NETWORKDAYS(X596,$Z$1,FERIADO!$A$2:$A$408)</f>
        <v>2123</v>
      </c>
      <c r="Z596">
        <v>12.73</v>
      </c>
      <c r="AA596" s="6">
        <f t="shared" si="83"/>
        <v>36440.791731540347</v>
      </c>
      <c r="AB596" s="2">
        <f t="shared" si="84"/>
        <v>3.7766000415288149E-3</v>
      </c>
      <c r="AJ596" s="1">
        <v>44776</v>
      </c>
      <c r="AK596">
        <f>NETWORKDAYS(AJ596,$AJ$1,FERIADO!$A$2:$A$408)</f>
        <v>1110</v>
      </c>
      <c r="AL596">
        <v>12.48</v>
      </c>
      <c r="AM596" s="6">
        <f t="shared" si="85"/>
        <v>59569.702404420881</v>
      </c>
      <c r="AN596" s="2">
        <f t="shared" si="86"/>
        <v>2.8393460280227625E-3</v>
      </c>
      <c r="AP596" s="11">
        <f t="shared" si="87"/>
        <v>1.8883000207644074E-3</v>
      </c>
      <c r="AQ596" s="11">
        <f t="shared" si="88"/>
        <v>8.5180380840682872E-4</v>
      </c>
      <c r="AR596" s="11">
        <f t="shared" si="89"/>
        <v>2.7401038291712363E-3</v>
      </c>
    </row>
    <row r="597" spans="2:44" x14ac:dyDescent="0.35">
      <c r="B597" s="1">
        <v>44775</v>
      </c>
      <c r="C597">
        <v>4464.74</v>
      </c>
      <c r="D597" s="1">
        <v>44776</v>
      </c>
      <c r="E597">
        <v>5.2839999999999998</v>
      </c>
      <c r="F597" s="1">
        <v>44771</v>
      </c>
      <c r="G597">
        <v>121.09</v>
      </c>
      <c r="H597" s="4">
        <f t="shared" si="81"/>
        <v>639839.56000000006</v>
      </c>
      <c r="I597" s="5">
        <v>44775</v>
      </c>
      <c r="J597" s="4">
        <v>6009.31</v>
      </c>
      <c r="K597" s="4">
        <f t="shared" si="82"/>
        <v>60093.100000000006</v>
      </c>
      <c r="L597" s="1">
        <v>44775</v>
      </c>
      <c r="M597">
        <v>5.9</v>
      </c>
      <c r="N597" s="1">
        <v>44775</v>
      </c>
      <c r="O597">
        <v>5.88</v>
      </c>
      <c r="P597" s="1">
        <v>44775</v>
      </c>
      <c r="Q597">
        <v>5.87</v>
      </c>
      <c r="R597" s="1">
        <v>44775</v>
      </c>
      <c r="S597">
        <v>5.89</v>
      </c>
      <c r="T597" s="1">
        <v>44774</v>
      </c>
      <c r="U597">
        <v>5.88</v>
      </c>
      <c r="V597" s="1">
        <v>44775</v>
      </c>
      <c r="W597">
        <v>6</v>
      </c>
      <c r="X597" s="1">
        <v>44775</v>
      </c>
      <c r="Y597">
        <f>NETWORKDAYS(X597,$Z$1,FERIADO!$A$2:$A$408)</f>
        <v>2124</v>
      </c>
      <c r="Z597">
        <v>12.84</v>
      </c>
      <c r="AA597" s="6">
        <f t="shared" si="83"/>
        <v>36125.278516008708</v>
      </c>
      <c r="AB597" s="2">
        <f t="shared" si="84"/>
        <v>-5.9634323309907126E-3</v>
      </c>
      <c r="AJ597" s="1">
        <v>44775</v>
      </c>
      <c r="AK597">
        <f>NETWORKDAYS(AJ597,$AJ$1,FERIADO!$A$2:$A$408)</f>
        <v>1111</v>
      </c>
      <c r="AL597">
        <v>12.635</v>
      </c>
      <c r="AM597" s="6">
        <f t="shared" si="85"/>
        <v>59181.515802021095</v>
      </c>
      <c r="AN597" s="2">
        <f t="shared" si="86"/>
        <v>-2.4339864432945833E-3</v>
      </c>
      <c r="AP597" s="11">
        <f t="shared" si="87"/>
        <v>-2.9817161654953563E-3</v>
      </c>
      <c r="AQ597" s="11">
        <f t="shared" si="88"/>
        <v>-7.3019593298837492E-4</v>
      </c>
      <c r="AR597" s="11">
        <f t="shared" si="89"/>
        <v>-3.7119120984837311E-3</v>
      </c>
    </row>
    <row r="598" spans="2:44" x14ac:dyDescent="0.35">
      <c r="B598" s="1">
        <v>44774</v>
      </c>
      <c r="C598">
        <v>4491.12</v>
      </c>
      <c r="D598" s="1">
        <v>44775</v>
      </c>
      <c r="E598">
        <v>5.2323000000000004</v>
      </c>
      <c r="F598" s="1">
        <v>44770</v>
      </c>
      <c r="G598">
        <v>120.97</v>
      </c>
      <c r="H598" s="4">
        <f t="shared" si="81"/>
        <v>632951.33100000012</v>
      </c>
      <c r="I598" s="5">
        <v>44774</v>
      </c>
      <c r="J598" s="4">
        <v>5909.4</v>
      </c>
      <c r="K598" s="4">
        <f t="shared" si="82"/>
        <v>59094</v>
      </c>
      <c r="L598" s="1">
        <v>44774</v>
      </c>
      <c r="M598">
        <v>5.79</v>
      </c>
      <c r="N598" s="1">
        <v>44774</v>
      </c>
      <c r="O598">
        <v>5.8</v>
      </c>
      <c r="P598" s="1">
        <v>44774</v>
      </c>
      <c r="Q598">
        <v>5.8</v>
      </c>
      <c r="R598" s="1">
        <v>44774</v>
      </c>
      <c r="S598">
        <v>5.86</v>
      </c>
      <c r="T598" s="1">
        <v>44771</v>
      </c>
      <c r="U598">
        <v>5.97</v>
      </c>
      <c r="V598" s="1">
        <v>44774</v>
      </c>
      <c r="W598">
        <v>5.98</v>
      </c>
      <c r="X598" s="1">
        <v>44774</v>
      </c>
      <c r="Y598">
        <f>NETWORKDAYS(X598,$Z$1,FERIADO!$A$2:$A$408)</f>
        <v>2125</v>
      </c>
      <c r="Z598">
        <v>12.65</v>
      </c>
      <c r="AA598" s="6">
        <f t="shared" si="83"/>
        <v>36624.747260528653</v>
      </c>
      <c r="AB598" s="2">
        <f t="shared" si="84"/>
        <v>3.7812747583096835E-3</v>
      </c>
      <c r="AJ598" s="1">
        <v>44774</v>
      </c>
      <c r="AK598">
        <f>NETWORKDAYS(AJ598,$AJ$1,FERIADO!$A$2:$A$408)</f>
        <v>1112</v>
      </c>
      <c r="AL598">
        <v>12.48</v>
      </c>
      <c r="AM598" s="6">
        <f t="shared" si="85"/>
        <v>59514.127477342969</v>
      </c>
      <c r="AN598" s="2">
        <f t="shared" si="86"/>
        <v>2.4183041448575739E-3</v>
      </c>
      <c r="AP598" s="11">
        <f t="shared" si="87"/>
        <v>1.8906373791548418E-3</v>
      </c>
      <c r="AQ598" s="11">
        <f t="shared" si="88"/>
        <v>7.2549124345727212E-4</v>
      </c>
      <c r="AR598" s="11">
        <f t="shared" si="89"/>
        <v>2.6161286226121139E-3</v>
      </c>
    </row>
    <row r="599" spans="2:44" x14ac:dyDescent="0.35">
      <c r="B599" s="1">
        <v>44771</v>
      </c>
      <c r="C599">
        <v>4506.01</v>
      </c>
      <c r="D599" s="1">
        <v>44774</v>
      </c>
      <c r="E599">
        <v>5.16</v>
      </c>
      <c r="F599" s="1">
        <v>44769</v>
      </c>
      <c r="G599">
        <v>119.98</v>
      </c>
      <c r="H599" s="4">
        <f t="shared" si="81"/>
        <v>619096.80000000005</v>
      </c>
      <c r="I599" s="5">
        <v>44771</v>
      </c>
      <c r="J599" s="4">
        <v>5894.16</v>
      </c>
      <c r="K599" s="4">
        <f t="shared" si="82"/>
        <v>58941.599999999999</v>
      </c>
      <c r="L599" s="1">
        <v>44771</v>
      </c>
      <c r="M599">
        <v>5.9</v>
      </c>
      <c r="N599" s="1">
        <v>44771</v>
      </c>
      <c r="O599">
        <v>5.86</v>
      </c>
      <c r="P599" s="1">
        <v>44771</v>
      </c>
      <c r="Q599">
        <v>5.86</v>
      </c>
      <c r="R599" s="1">
        <v>44771</v>
      </c>
      <c r="S599">
        <v>5.85</v>
      </c>
      <c r="T599" s="1">
        <v>44770</v>
      </c>
      <c r="U599">
        <v>5.97</v>
      </c>
      <c r="V599" s="1">
        <v>44771</v>
      </c>
      <c r="W599">
        <v>6</v>
      </c>
      <c r="X599" s="1">
        <v>44771</v>
      </c>
      <c r="Y599">
        <f>NETWORKDAYS(X599,$Z$1,FERIADO!$A$2:$A$408)</f>
        <v>2126</v>
      </c>
      <c r="Z599">
        <v>12.76</v>
      </c>
      <c r="AA599" s="6">
        <f t="shared" si="83"/>
        <v>36307.250502477036</v>
      </c>
      <c r="AB599" s="2">
        <f t="shared" si="84"/>
        <v>6.3783711271806643E-3</v>
      </c>
      <c r="AJ599" s="1">
        <v>44771</v>
      </c>
      <c r="AK599">
        <f>NETWORKDAYS(AJ599,$AJ$1,FERIADO!$A$2:$A$408)</f>
        <v>1113</v>
      </c>
      <c r="AL599">
        <v>12.61</v>
      </c>
      <c r="AM599" s="6">
        <f t="shared" si="85"/>
        <v>59183.652874879357</v>
      </c>
      <c r="AN599" s="2">
        <f t="shared" si="86"/>
        <v>2.7602780967395418E-3</v>
      </c>
      <c r="AP599" s="11">
        <f t="shared" si="87"/>
        <v>3.1891855635903322E-3</v>
      </c>
      <c r="AQ599" s="11">
        <f t="shared" si="88"/>
        <v>8.2808342902186249E-4</v>
      </c>
      <c r="AR599" s="11">
        <f t="shared" si="89"/>
        <v>4.0172689926121948E-3</v>
      </c>
    </row>
    <row r="600" spans="2:44" x14ac:dyDescent="0.35">
      <c r="B600" s="1">
        <v>44770</v>
      </c>
      <c r="C600">
        <v>4478.8</v>
      </c>
      <c r="D600" s="1">
        <v>44771</v>
      </c>
      <c r="E600">
        <v>5.1878000000000002</v>
      </c>
      <c r="F600" s="1">
        <v>44768</v>
      </c>
      <c r="G600">
        <v>119.661</v>
      </c>
      <c r="H600" s="4">
        <f t="shared" si="81"/>
        <v>620777.33580000012</v>
      </c>
      <c r="I600" s="5">
        <v>44770</v>
      </c>
      <c r="J600" s="4">
        <v>5915.05</v>
      </c>
      <c r="K600" s="4">
        <f t="shared" si="82"/>
        <v>59150.5</v>
      </c>
      <c r="L600" s="1">
        <v>44770</v>
      </c>
      <c r="M600">
        <v>5.97</v>
      </c>
      <c r="N600" s="1">
        <v>44770</v>
      </c>
      <c r="O600">
        <v>5.98</v>
      </c>
      <c r="P600" s="1">
        <v>44770</v>
      </c>
      <c r="Q600">
        <v>5.94</v>
      </c>
      <c r="R600" s="1">
        <v>44770</v>
      </c>
      <c r="S600">
        <v>5.93</v>
      </c>
      <c r="T600" s="1">
        <v>44769</v>
      </c>
      <c r="U600">
        <v>6.07</v>
      </c>
      <c r="V600" s="1">
        <v>44770</v>
      </c>
      <c r="W600">
        <v>6.03</v>
      </c>
      <c r="X600" s="1">
        <v>44770</v>
      </c>
      <c r="Y600">
        <f>NETWORKDAYS(X600,$Z$1,FERIADO!$A$2:$A$408)</f>
        <v>2127</v>
      </c>
      <c r="Z600">
        <v>12.95</v>
      </c>
      <c r="AA600" s="6">
        <f t="shared" si="83"/>
        <v>35777.911916173311</v>
      </c>
      <c r="AB600" s="2">
        <f t="shared" si="84"/>
        <v>7.0220291430804858E-3</v>
      </c>
      <c r="AJ600" s="1">
        <v>44770</v>
      </c>
      <c r="AK600">
        <f>NETWORKDAYS(AJ600,$AJ$1,FERIADO!$A$2:$A$408)</f>
        <v>1114</v>
      </c>
      <c r="AL600">
        <v>12.76</v>
      </c>
      <c r="AM600" s="6">
        <f t="shared" si="85"/>
        <v>58808.687741107649</v>
      </c>
      <c r="AN600" s="2">
        <f t="shared" si="86"/>
        <v>3.6122121976278096E-3</v>
      </c>
      <c r="AP600" s="11">
        <f t="shared" si="87"/>
        <v>3.5110145715402429E-3</v>
      </c>
      <c r="AQ600" s="11">
        <f t="shared" si="88"/>
        <v>1.0836636592883428E-3</v>
      </c>
      <c r="AR600" s="11">
        <f t="shared" si="89"/>
        <v>4.5946782308285859E-3</v>
      </c>
    </row>
    <row r="601" spans="2:44" x14ac:dyDescent="0.35">
      <c r="B601" s="1">
        <v>44769</v>
      </c>
      <c r="C601">
        <v>4384</v>
      </c>
      <c r="D601" s="1">
        <v>44770</v>
      </c>
      <c r="E601">
        <v>5.2142999999999997</v>
      </c>
      <c r="F601" s="1">
        <v>44767</v>
      </c>
      <c r="G601">
        <v>119.76300000000001</v>
      </c>
      <c r="H601" s="4">
        <f t="shared" si="81"/>
        <v>624480.21089999995</v>
      </c>
      <c r="I601" s="5">
        <v>44769</v>
      </c>
      <c r="J601" s="4">
        <v>5984.62</v>
      </c>
      <c r="K601" s="4">
        <f t="shared" si="82"/>
        <v>59846.2</v>
      </c>
      <c r="L601" s="1">
        <v>44769</v>
      </c>
      <c r="M601">
        <v>6.15</v>
      </c>
      <c r="N601" s="1">
        <v>44769</v>
      </c>
      <c r="O601">
        <v>6.08</v>
      </c>
      <c r="P601" s="1">
        <v>44769</v>
      </c>
      <c r="Q601">
        <v>6.07</v>
      </c>
      <c r="R601" s="1">
        <v>44769</v>
      </c>
      <c r="S601">
        <v>6.04</v>
      </c>
      <c r="T601" s="1">
        <v>44768</v>
      </c>
      <c r="U601">
        <v>6.1</v>
      </c>
      <c r="V601" s="1">
        <v>44769</v>
      </c>
      <c r="W601">
        <v>6.1</v>
      </c>
      <c r="X601" s="1">
        <v>44769</v>
      </c>
      <c r="Y601">
        <f>NETWORKDAYS(X601,$Z$1,FERIADO!$A$2:$A$408)</f>
        <v>2128</v>
      </c>
      <c r="Z601">
        <v>13.16</v>
      </c>
      <c r="AA601" s="6">
        <f t="shared" si="83"/>
        <v>35204.076930398893</v>
      </c>
      <c r="AB601" s="2">
        <f t="shared" si="84"/>
        <v>4.4257669254878134E-3</v>
      </c>
      <c r="AJ601" s="1">
        <v>44769</v>
      </c>
      <c r="AK601">
        <f>NETWORKDAYS(AJ601,$AJ$1,FERIADO!$A$2:$A$408)</f>
        <v>1115</v>
      </c>
      <c r="AL601">
        <v>12.96</v>
      </c>
      <c r="AM601" s="6">
        <f t="shared" si="85"/>
        <v>58321.579387069192</v>
      </c>
      <c r="AN601" s="2">
        <f t="shared" si="86"/>
        <v>2.8473043320483078E-3</v>
      </c>
      <c r="AP601" s="11">
        <f t="shared" si="87"/>
        <v>2.2128834627439067E-3</v>
      </c>
      <c r="AQ601" s="11">
        <f t="shared" si="88"/>
        <v>8.5419129961449231E-4</v>
      </c>
      <c r="AR601" s="11">
        <f t="shared" si="89"/>
        <v>3.067074762358399E-3</v>
      </c>
    </row>
    <row r="602" spans="2:44" x14ac:dyDescent="0.35">
      <c r="B602" s="1">
        <v>44768</v>
      </c>
      <c r="C602">
        <v>4295.57</v>
      </c>
      <c r="D602" s="1">
        <v>44769</v>
      </c>
      <c r="E602">
        <v>5.3068</v>
      </c>
      <c r="F602" s="1">
        <v>44764</v>
      </c>
      <c r="G602">
        <v>120.05</v>
      </c>
      <c r="H602" s="4">
        <f t="shared" si="81"/>
        <v>637081.34</v>
      </c>
      <c r="I602" s="5">
        <v>44768</v>
      </c>
      <c r="J602" s="4">
        <v>6110.64</v>
      </c>
      <c r="K602" s="4">
        <f t="shared" si="82"/>
        <v>61106.400000000001</v>
      </c>
      <c r="L602" s="1">
        <v>44768</v>
      </c>
      <c r="M602">
        <v>6.19</v>
      </c>
      <c r="N602" s="1">
        <v>44768</v>
      </c>
      <c r="O602">
        <v>6.16</v>
      </c>
      <c r="P602" s="1">
        <v>44768</v>
      </c>
      <c r="Q602">
        <v>6.07</v>
      </c>
      <c r="R602" s="1">
        <v>44768</v>
      </c>
      <c r="S602">
        <v>6.07</v>
      </c>
      <c r="T602" s="1">
        <v>44764</v>
      </c>
      <c r="U602">
        <v>6</v>
      </c>
      <c r="V602" s="1">
        <v>44768</v>
      </c>
      <c r="W602">
        <v>6.15</v>
      </c>
      <c r="X602" s="1">
        <v>44768</v>
      </c>
      <c r="Y602">
        <f>NETWORKDAYS(X602,$Z$1,FERIADO!$A$2:$A$408)</f>
        <v>2129</v>
      </c>
      <c r="Z602">
        <v>13.29</v>
      </c>
      <c r="AA602" s="6">
        <f t="shared" si="83"/>
        <v>34847.14435568537</v>
      </c>
      <c r="AB602" s="2">
        <f t="shared" si="84"/>
        <v>2.1504593966836897E-4</v>
      </c>
      <c r="AJ602" s="1">
        <v>44768</v>
      </c>
      <c r="AK602">
        <f>NETWORKDAYS(AJ602,$AJ$1,FERIADO!$A$2:$A$408)</f>
        <v>1116</v>
      </c>
      <c r="AL602">
        <v>13.115</v>
      </c>
      <c r="AM602" s="6">
        <f t="shared" si="85"/>
        <v>57940.46444190498</v>
      </c>
      <c r="AN602" s="2">
        <f t="shared" si="86"/>
        <v>6.3779279329615314E-4</v>
      </c>
      <c r="AP602" s="11">
        <f t="shared" si="87"/>
        <v>1.0752296983418448E-4</v>
      </c>
      <c r="AQ602" s="11">
        <f t="shared" si="88"/>
        <v>1.9133783798884593E-4</v>
      </c>
      <c r="AR602" s="11">
        <f t="shared" si="89"/>
        <v>2.9886080782303044E-4</v>
      </c>
    </row>
    <row r="603" spans="2:44" x14ac:dyDescent="0.35">
      <c r="B603" s="1">
        <v>44767</v>
      </c>
      <c r="C603">
        <v>4327.28</v>
      </c>
      <c r="D603" s="1">
        <v>44767</v>
      </c>
      <c r="E603">
        <v>5.4138000000000002</v>
      </c>
      <c r="F603" s="1">
        <v>44763</v>
      </c>
      <c r="G603">
        <v>119.1</v>
      </c>
      <c r="H603" s="4">
        <f t="shared" si="81"/>
        <v>644783.58000000007</v>
      </c>
      <c r="I603" s="5">
        <v>44767</v>
      </c>
      <c r="J603" s="4">
        <v>6118.05</v>
      </c>
      <c r="K603" s="4">
        <f t="shared" si="82"/>
        <v>61180.5</v>
      </c>
      <c r="L603" s="1">
        <v>44767</v>
      </c>
      <c r="M603">
        <v>6.14</v>
      </c>
      <c r="N603" s="1">
        <v>44767</v>
      </c>
      <c r="O603">
        <v>6.07</v>
      </c>
      <c r="P603" s="1">
        <v>44767</v>
      </c>
      <c r="Q603">
        <v>6.01</v>
      </c>
      <c r="R603" s="1">
        <v>44767</v>
      </c>
      <c r="S603">
        <v>5.98</v>
      </c>
      <c r="T603" s="1">
        <v>44763</v>
      </c>
      <c r="U603">
        <v>6.06</v>
      </c>
      <c r="V603" s="1">
        <v>44767</v>
      </c>
      <c r="W603">
        <v>6.05</v>
      </c>
      <c r="X603" s="1">
        <v>44767</v>
      </c>
      <c r="Y603">
        <f>NETWORKDAYS(X603,$Z$1,FERIADO!$A$2:$A$408)</f>
        <v>2130</v>
      </c>
      <c r="Z603">
        <v>13.29</v>
      </c>
      <c r="AA603" s="6">
        <f t="shared" si="83"/>
        <v>34829.8936600956</v>
      </c>
      <c r="AB603" s="2">
        <f t="shared" si="84"/>
        <v>3.7792090647937918E-3</v>
      </c>
      <c r="AJ603" s="1">
        <v>44767</v>
      </c>
      <c r="AK603">
        <f>NETWORKDAYS(AJ603,$AJ$1,FERIADO!$A$2:$A$408)</f>
        <v>1117</v>
      </c>
      <c r="AL603">
        <v>13.14</v>
      </c>
      <c r="AM603" s="6">
        <f t="shared" si="85"/>
        <v>57855.43713747838</v>
      </c>
      <c r="AN603" s="2">
        <f t="shared" si="86"/>
        <v>1.9149898616788563E-3</v>
      </c>
      <c r="AP603" s="11">
        <f t="shared" si="87"/>
        <v>1.8896045323968959E-3</v>
      </c>
      <c r="AQ603" s="11">
        <f t="shared" si="88"/>
        <v>5.7449695850365684E-4</v>
      </c>
      <c r="AR603" s="11">
        <f t="shared" si="89"/>
        <v>2.4641014909005526E-3</v>
      </c>
    </row>
    <row r="604" spans="2:44" x14ac:dyDescent="0.35">
      <c r="B604" s="1">
        <v>44764</v>
      </c>
      <c r="C604">
        <v>4321.18</v>
      </c>
      <c r="D604" s="1">
        <v>44764</v>
      </c>
      <c r="E604">
        <v>5.4516</v>
      </c>
      <c r="F604" s="1">
        <v>44762</v>
      </c>
      <c r="G604">
        <v>117.85</v>
      </c>
      <c r="H604" s="4">
        <f t="shared" si="81"/>
        <v>642471.05999999994</v>
      </c>
      <c r="I604" s="5">
        <v>44764</v>
      </c>
      <c r="J604" s="4">
        <v>6282.85</v>
      </c>
      <c r="K604" s="4">
        <f t="shared" si="82"/>
        <v>62828.5</v>
      </c>
      <c r="L604" s="1">
        <v>44764</v>
      </c>
      <c r="M604">
        <v>6.12</v>
      </c>
      <c r="N604" s="1">
        <v>44764</v>
      </c>
      <c r="O604">
        <v>6.09</v>
      </c>
      <c r="P604" s="1">
        <v>44764</v>
      </c>
      <c r="Q604">
        <v>6</v>
      </c>
      <c r="R604" s="1">
        <v>44764</v>
      </c>
      <c r="S604">
        <v>5.98</v>
      </c>
      <c r="T604" s="1">
        <v>44762</v>
      </c>
      <c r="U604">
        <v>6.08</v>
      </c>
      <c r="V604" s="1">
        <v>44764</v>
      </c>
      <c r="W604">
        <v>6.04</v>
      </c>
      <c r="X604" s="1">
        <v>44764</v>
      </c>
      <c r="Y604">
        <f>NETWORKDAYS(X604,$Z$1,FERIADO!$A$2:$A$408)</f>
        <v>2131</v>
      </c>
      <c r="Z604">
        <v>13.4</v>
      </c>
      <c r="AA604" s="6">
        <f t="shared" si="83"/>
        <v>34528.120562637574</v>
      </c>
      <c r="AB604" s="2">
        <f t="shared" si="84"/>
        <v>4.7500554899219003E-3</v>
      </c>
      <c r="AJ604" s="1">
        <v>44764</v>
      </c>
      <c r="AK604">
        <f>NETWORKDAYS(AJ604,$AJ$1,FERIADO!$A$2:$A$408)</f>
        <v>1118</v>
      </c>
      <c r="AL604">
        <v>13.24</v>
      </c>
      <c r="AM604" s="6">
        <f t="shared" si="85"/>
        <v>57600.889421807369</v>
      </c>
      <c r="AN604" s="2">
        <f t="shared" si="86"/>
        <v>3.1072098788165049E-3</v>
      </c>
      <c r="AP604" s="11">
        <f t="shared" si="87"/>
        <v>2.3750277449609502E-3</v>
      </c>
      <c r="AQ604" s="11">
        <f t="shared" si="88"/>
        <v>9.3216296364495143E-4</v>
      </c>
      <c r="AR604" s="11">
        <f t="shared" si="89"/>
        <v>3.3071907086059016E-3</v>
      </c>
    </row>
    <row r="605" spans="2:44" x14ac:dyDescent="0.35">
      <c r="B605" s="1">
        <v>44763</v>
      </c>
      <c r="C605">
        <v>4347.4799999999996</v>
      </c>
      <c r="D605" s="1">
        <v>44763</v>
      </c>
      <c r="E605">
        <v>5.4744000000000002</v>
      </c>
      <c r="F605" s="1">
        <v>44761</v>
      </c>
      <c r="G605">
        <v>117.86199999999999</v>
      </c>
      <c r="H605" s="4">
        <f t="shared" si="81"/>
        <v>645223.7328</v>
      </c>
      <c r="I605" s="5">
        <v>44763</v>
      </c>
      <c r="J605" s="4">
        <v>6283.99</v>
      </c>
      <c r="K605" s="4">
        <f t="shared" si="82"/>
        <v>62839.899999999994</v>
      </c>
      <c r="L605" s="1">
        <v>44763</v>
      </c>
      <c r="M605">
        <v>6.22</v>
      </c>
      <c r="N605" s="1">
        <v>44763</v>
      </c>
      <c r="O605">
        <v>6.18</v>
      </c>
      <c r="P605" s="1">
        <v>44763</v>
      </c>
      <c r="Q605">
        <v>6.09</v>
      </c>
      <c r="R605" s="1">
        <v>44763</v>
      </c>
      <c r="S605">
        <v>6.07</v>
      </c>
      <c r="T605" s="1">
        <v>44761</v>
      </c>
      <c r="U605">
        <v>6.12</v>
      </c>
      <c r="V605" s="1">
        <v>44763</v>
      </c>
      <c r="W605">
        <v>6.09</v>
      </c>
      <c r="X605" s="1">
        <v>44763</v>
      </c>
      <c r="Y605">
        <f>NETWORKDAYS(X605,$Z$1,FERIADO!$A$2:$A$408)</f>
        <v>2132</v>
      </c>
      <c r="Z605">
        <v>13.54</v>
      </c>
      <c r="AA605" s="6">
        <f t="shared" si="83"/>
        <v>34152.530192990904</v>
      </c>
      <c r="AB605" s="2">
        <f t="shared" si="84"/>
        <v>-1.7242400360768177E-3</v>
      </c>
      <c r="AJ605" s="1">
        <v>44763</v>
      </c>
      <c r="AK605">
        <f>NETWORKDAYS(AJ605,$AJ$1,FERIADO!$A$2:$A$408)</f>
        <v>1119</v>
      </c>
      <c r="AL605">
        <v>13.41</v>
      </c>
      <c r="AM605" s="6">
        <f t="shared" si="85"/>
        <v>57190.247968282907</v>
      </c>
      <c r="AN605" s="2">
        <f t="shared" si="86"/>
        <v>-1.7413815123739273E-3</v>
      </c>
      <c r="AP605" s="11">
        <f t="shared" si="87"/>
        <v>-8.6212001803840884E-4</v>
      </c>
      <c r="AQ605" s="11">
        <f t="shared" si="88"/>
        <v>-5.224144537121782E-4</v>
      </c>
      <c r="AR605" s="11">
        <f t="shared" si="89"/>
        <v>-1.3845344717505871E-3</v>
      </c>
    </row>
    <row r="606" spans="2:44" x14ac:dyDescent="0.35">
      <c r="B606" s="1">
        <v>44762</v>
      </c>
      <c r="C606">
        <v>4309.0600000000004</v>
      </c>
      <c r="D606" s="1">
        <v>44762</v>
      </c>
      <c r="E606">
        <v>5.4282000000000004</v>
      </c>
      <c r="F606" s="1">
        <v>44760</v>
      </c>
      <c r="G606">
        <v>118.21599999999999</v>
      </c>
      <c r="H606" s="4">
        <f t="shared" si="81"/>
        <v>641700.09120000002</v>
      </c>
      <c r="I606" s="5">
        <v>44762</v>
      </c>
      <c r="J606" s="4">
        <v>6256.62</v>
      </c>
      <c r="K606" s="4">
        <f t="shared" si="82"/>
        <v>62566.2</v>
      </c>
      <c r="L606" s="1">
        <v>44762</v>
      </c>
      <c r="M606">
        <v>6.2</v>
      </c>
      <c r="N606" s="1">
        <v>44762</v>
      </c>
      <c r="O606">
        <v>6.19</v>
      </c>
      <c r="P606" s="1">
        <v>44762</v>
      </c>
      <c r="Q606">
        <v>6.05</v>
      </c>
      <c r="R606" s="1">
        <v>44762</v>
      </c>
      <c r="S606">
        <v>6.03</v>
      </c>
      <c r="T606" s="1">
        <v>44760</v>
      </c>
      <c r="U606">
        <v>5.91</v>
      </c>
      <c r="V606" s="1">
        <v>44762</v>
      </c>
      <c r="W606">
        <v>6.06</v>
      </c>
      <c r="X606" s="1">
        <v>44762</v>
      </c>
      <c r="Y606">
        <f>NETWORKDAYS(X606,$Z$1,FERIADO!$A$2:$A$408)</f>
        <v>2133</v>
      </c>
      <c r="Z606">
        <v>13.48</v>
      </c>
      <c r="AA606" s="6">
        <f t="shared" si="83"/>
        <v>34288.392411795168</v>
      </c>
      <c r="AB606" s="2">
        <f t="shared" si="84"/>
        <v>1.8380016890940428E-3</v>
      </c>
      <c r="AJ606" s="1">
        <v>44762</v>
      </c>
      <c r="AK606">
        <f>NETWORKDAYS(AJ606,$AJ$1,FERIADO!$A$2:$A$408)</f>
        <v>1120</v>
      </c>
      <c r="AL606">
        <v>13.295</v>
      </c>
      <c r="AM606" s="6">
        <f t="shared" si="85"/>
        <v>57420.022864899744</v>
      </c>
      <c r="AN606" s="2">
        <f t="shared" si="86"/>
        <v>1.3231926277031847E-3</v>
      </c>
      <c r="AP606" s="11">
        <f t="shared" si="87"/>
        <v>9.190008445470214E-4</v>
      </c>
      <c r="AQ606" s="11">
        <f t="shared" si="88"/>
        <v>3.9695778831095539E-4</v>
      </c>
      <c r="AR606" s="11">
        <f t="shared" si="89"/>
        <v>1.3159586328579768E-3</v>
      </c>
    </row>
    <row r="607" spans="2:44" x14ac:dyDescent="0.35">
      <c r="B607" s="1">
        <v>44761</v>
      </c>
      <c r="C607">
        <v>4301.3599999999997</v>
      </c>
      <c r="D607" s="1">
        <v>44761</v>
      </c>
      <c r="E607">
        <v>5.3898000000000001</v>
      </c>
      <c r="F607" s="1">
        <v>44757</v>
      </c>
      <c r="G607">
        <v>118.64100000000001</v>
      </c>
      <c r="H607" s="4">
        <f t="shared" si="81"/>
        <v>639451.26179999998</v>
      </c>
      <c r="I607" s="5">
        <v>44761</v>
      </c>
      <c r="J607" s="4">
        <v>6192.75</v>
      </c>
      <c r="K607" s="4">
        <f t="shared" si="82"/>
        <v>61927.5</v>
      </c>
      <c r="L607" s="1">
        <v>44761</v>
      </c>
      <c r="M607">
        <v>6.27</v>
      </c>
      <c r="N607" s="1">
        <v>44761</v>
      </c>
      <c r="O607">
        <v>6.27</v>
      </c>
      <c r="P607" s="1">
        <v>44761</v>
      </c>
      <c r="Q607">
        <v>6.14</v>
      </c>
      <c r="R607" s="1">
        <v>44761</v>
      </c>
      <c r="S607">
        <v>6.09</v>
      </c>
      <c r="T607" s="1">
        <v>44757</v>
      </c>
      <c r="U607">
        <v>5.89</v>
      </c>
      <c r="V607" s="1">
        <v>44761</v>
      </c>
      <c r="W607">
        <v>6.12</v>
      </c>
      <c r="X607" s="1">
        <v>44761</v>
      </c>
      <c r="Y607">
        <f>NETWORKDAYS(X607,$Z$1,FERIADO!$A$2:$A$408)</f>
        <v>2134</v>
      </c>
      <c r="Z607">
        <v>13.53</v>
      </c>
      <c r="AA607" s="6">
        <f t="shared" si="83"/>
        <v>34143.585249793658</v>
      </c>
      <c r="AB607" s="2">
        <f t="shared" si="84"/>
        <v>-4.9704686962032535E-3</v>
      </c>
      <c r="AJ607" s="1">
        <v>44761</v>
      </c>
      <c r="AK607">
        <f>NETWORKDAYS(AJ607,$AJ$1,FERIADO!$A$2:$A$408)</f>
        <v>1121</v>
      </c>
      <c r="AL607">
        <v>13.36</v>
      </c>
      <c r="AM607" s="6">
        <f t="shared" si="85"/>
        <v>57245.343866126779</v>
      </c>
      <c r="AN607" s="2">
        <f t="shared" si="86"/>
        <v>-2.3442171528864943E-3</v>
      </c>
      <c r="AP607" s="11">
        <f t="shared" si="87"/>
        <v>-2.4852343481016267E-3</v>
      </c>
      <c r="AQ607" s="11">
        <f t="shared" si="88"/>
        <v>-7.0326514586594824E-4</v>
      </c>
      <c r="AR607" s="11">
        <f t="shared" si="89"/>
        <v>-3.1884994939675752E-3</v>
      </c>
    </row>
    <row r="608" spans="2:44" x14ac:dyDescent="0.35">
      <c r="B608" s="1">
        <v>44760</v>
      </c>
      <c r="C608">
        <v>4182.84</v>
      </c>
      <c r="D608" s="1">
        <v>44760</v>
      </c>
      <c r="E608">
        <v>5.3669000000000002</v>
      </c>
      <c r="F608" s="1">
        <v>44756</v>
      </c>
      <c r="G608">
        <v>118.46</v>
      </c>
      <c r="H608" s="4">
        <f t="shared" si="81"/>
        <v>635762.97399999993</v>
      </c>
      <c r="I608" s="5">
        <v>44760</v>
      </c>
      <c r="J608" s="4">
        <v>6224.11</v>
      </c>
      <c r="K608" s="4">
        <f t="shared" si="82"/>
        <v>62241.1</v>
      </c>
      <c r="L608" s="1">
        <v>44760</v>
      </c>
      <c r="M608">
        <v>6.14</v>
      </c>
      <c r="N608" s="1">
        <v>44760</v>
      </c>
      <c r="O608">
        <v>6.14</v>
      </c>
      <c r="P608" s="1">
        <v>44760</v>
      </c>
      <c r="Q608">
        <v>6.04</v>
      </c>
      <c r="R608" s="1">
        <v>44760</v>
      </c>
      <c r="S608">
        <v>5.99</v>
      </c>
      <c r="T608" s="1">
        <v>44756</v>
      </c>
      <c r="U608">
        <v>5.89</v>
      </c>
      <c r="V608" s="1">
        <v>44760</v>
      </c>
      <c r="W608">
        <v>6.02</v>
      </c>
      <c r="X608" s="1">
        <v>44760</v>
      </c>
      <c r="Y608">
        <f>NETWORKDAYS(X608,$Z$1,FERIADO!$A$2:$A$408)</f>
        <v>2135</v>
      </c>
      <c r="Z608">
        <v>13.37</v>
      </c>
      <c r="AA608" s="6">
        <f t="shared" si="83"/>
        <v>34536.600822094399</v>
      </c>
      <c r="AB608" s="2">
        <f t="shared" si="84"/>
        <v>-7.5848800384982363E-3</v>
      </c>
      <c r="AJ608" s="1">
        <v>44760</v>
      </c>
      <c r="AK608">
        <f>NETWORKDAYS(AJ608,$AJ$1,FERIADO!$A$2:$A$408)</f>
        <v>1122</v>
      </c>
      <c r="AL608">
        <v>13.21</v>
      </c>
      <c r="AM608" s="6">
        <f t="shared" si="85"/>
        <v>57555.175910308106</v>
      </c>
      <c r="AN608" s="2">
        <f t="shared" si="86"/>
        <v>-4.3217574162682446E-3</v>
      </c>
      <c r="AP608" s="11">
        <f t="shared" si="87"/>
        <v>-3.7924400192491181E-3</v>
      </c>
      <c r="AQ608" s="11">
        <f t="shared" si="88"/>
        <v>-1.2965272248804734E-3</v>
      </c>
      <c r="AR608" s="11">
        <f t="shared" si="89"/>
        <v>-5.0889672441295913E-3</v>
      </c>
    </row>
    <row r="609" spans="2:44" x14ac:dyDescent="0.35">
      <c r="B609" s="1">
        <v>44757</v>
      </c>
      <c r="C609">
        <v>4212.88</v>
      </c>
      <c r="D609" s="1">
        <v>44757</v>
      </c>
      <c r="E609">
        <v>5.4008000000000003</v>
      </c>
      <c r="F609" s="1">
        <v>44755</v>
      </c>
      <c r="G609">
        <v>118.72199999999999</v>
      </c>
      <c r="H609" s="4">
        <f t="shared" si="81"/>
        <v>641193.77760000003</v>
      </c>
      <c r="I609" s="5">
        <v>44757</v>
      </c>
      <c r="J609" s="4">
        <v>6194.46</v>
      </c>
      <c r="K609" s="4">
        <f t="shared" si="82"/>
        <v>61944.6</v>
      </c>
      <c r="L609" s="1">
        <v>44757</v>
      </c>
      <c r="M609">
        <v>5.98</v>
      </c>
      <c r="N609" s="1">
        <v>44757</v>
      </c>
      <c r="O609">
        <v>5.95</v>
      </c>
      <c r="P609" s="1">
        <v>44757</v>
      </c>
      <c r="Q609">
        <v>5.87</v>
      </c>
      <c r="R609" s="1">
        <v>44757</v>
      </c>
      <c r="S609">
        <v>5.82</v>
      </c>
      <c r="T609" s="1">
        <v>44755</v>
      </c>
      <c r="U609">
        <v>5.93</v>
      </c>
      <c r="V609" s="1">
        <v>44757</v>
      </c>
      <c r="W609">
        <v>5.88</v>
      </c>
      <c r="X609" s="1">
        <v>44757</v>
      </c>
      <c r="Y609">
        <f>NETWORKDAYS(X609,$Z$1,FERIADO!$A$2:$A$408)</f>
        <v>2136</v>
      </c>
      <c r="Z609">
        <v>13.13</v>
      </c>
      <c r="AA609" s="6">
        <f t="shared" si="83"/>
        <v>35145.074724063204</v>
      </c>
      <c r="AB609" s="2">
        <f t="shared" si="84"/>
        <v>1.5145585405285853E-3</v>
      </c>
      <c r="AJ609" s="1">
        <v>44757</v>
      </c>
      <c r="AK609">
        <f>NETWORKDAYS(AJ609,$AJ$1,FERIADO!$A$2:$A$408)</f>
        <v>1123</v>
      </c>
      <c r="AL609">
        <v>12.945</v>
      </c>
      <c r="AM609" s="6">
        <f t="shared" si="85"/>
        <v>58130.779019157955</v>
      </c>
      <c r="AN609" s="2">
        <f t="shared" si="86"/>
        <v>1.1528512754717204E-3</v>
      </c>
      <c r="AP609" s="11">
        <f t="shared" si="87"/>
        <v>7.5727927026429263E-4</v>
      </c>
      <c r="AQ609" s="11">
        <f t="shared" si="88"/>
        <v>3.4585538264151613E-4</v>
      </c>
      <c r="AR609" s="11">
        <f t="shared" si="89"/>
        <v>1.1031346529058088E-3</v>
      </c>
    </row>
    <row r="610" spans="2:44" x14ac:dyDescent="0.35">
      <c r="B610" s="1">
        <v>44756</v>
      </c>
      <c r="C610">
        <v>4139.83</v>
      </c>
      <c r="D610" s="1">
        <v>44756</v>
      </c>
      <c r="E610">
        <v>5.4561999999999999</v>
      </c>
      <c r="F610" s="1">
        <v>44754</v>
      </c>
      <c r="G610">
        <v>118.53100000000001</v>
      </c>
      <c r="H610" s="4">
        <f t="shared" si="81"/>
        <v>646728.84220000007</v>
      </c>
      <c r="I610" s="5">
        <v>44756</v>
      </c>
      <c r="J610" s="4">
        <v>6210.43</v>
      </c>
      <c r="K610" s="4">
        <f t="shared" si="82"/>
        <v>62104.3</v>
      </c>
      <c r="L610" s="1">
        <v>44756</v>
      </c>
      <c r="M610">
        <v>6.08</v>
      </c>
      <c r="N610" s="1">
        <v>44756</v>
      </c>
      <c r="O610">
        <v>5.97</v>
      </c>
      <c r="P610" s="1">
        <v>44756</v>
      </c>
      <c r="Q610">
        <v>5.91</v>
      </c>
      <c r="R610" s="1">
        <v>44756</v>
      </c>
      <c r="S610">
        <v>5.8</v>
      </c>
      <c r="T610" s="1">
        <v>44754</v>
      </c>
      <c r="U610">
        <v>5.91</v>
      </c>
      <c r="V610" s="1">
        <v>44756</v>
      </c>
      <c r="W610">
        <v>5.92</v>
      </c>
      <c r="X610" s="1">
        <v>44756</v>
      </c>
      <c r="Y610">
        <f>NETWORKDAYS(X610,$Z$1,FERIADO!$A$2:$A$408)</f>
        <v>2137</v>
      </c>
      <c r="Z610">
        <v>13.17</v>
      </c>
      <c r="AA610" s="6">
        <f t="shared" si="83"/>
        <v>35022.723261599174</v>
      </c>
      <c r="AB610" s="2">
        <f t="shared" si="84"/>
        <v>-1.7407894827830316E-3</v>
      </c>
      <c r="AJ610" s="1">
        <v>44756</v>
      </c>
      <c r="AK610">
        <f>NETWORKDAYS(AJ610,$AJ$1,FERIADO!$A$2:$A$408)</f>
        <v>1124</v>
      </c>
      <c r="AL610">
        <v>13</v>
      </c>
      <c r="AM610" s="6">
        <f t="shared" si="85"/>
        <v>57976.673278181413</v>
      </c>
      <c r="AN610" s="2">
        <f t="shared" si="86"/>
        <v>-1.1624695084197518E-3</v>
      </c>
      <c r="AP610" s="11">
        <f t="shared" si="87"/>
        <v>-8.7039474139151581E-4</v>
      </c>
      <c r="AQ610" s="11">
        <f t="shared" si="88"/>
        <v>-3.487408525259255E-4</v>
      </c>
      <c r="AR610" s="11">
        <f t="shared" si="89"/>
        <v>-1.2191355939174414E-3</v>
      </c>
    </row>
    <row r="611" spans="2:44" x14ac:dyDescent="0.35">
      <c r="B611" s="1">
        <v>44755</v>
      </c>
      <c r="C611">
        <v>4140.76</v>
      </c>
      <c r="D611" s="1">
        <v>44755</v>
      </c>
      <c r="E611">
        <v>5.3986999999999998</v>
      </c>
      <c r="F611" s="1">
        <v>44753</v>
      </c>
      <c r="G611">
        <v>118.402</v>
      </c>
      <c r="H611" s="4">
        <f t="shared" si="81"/>
        <v>639216.87739999988</v>
      </c>
      <c r="I611" s="5">
        <v>44755</v>
      </c>
      <c r="J611" s="4">
        <v>6180.21</v>
      </c>
      <c r="K611" s="4">
        <f t="shared" si="82"/>
        <v>61802.1</v>
      </c>
      <c r="L611" s="1">
        <v>44755</v>
      </c>
      <c r="M611">
        <v>6.07</v>
      </c>
      <c r="N611" s="1">
        <v>44755</v>
      </c>
      <c r="O611">
        <v>5.96</v>
      </c>
      <c r="P611" s="1">
        <v>44755</v>
      </c>
      <c r="Q611">
        <v>5.89</v>
      </c>
      <c r="R611" s="1">
        <v>44755</v>
      </c>
      <c r="S611">
        <v>5.86</v>
      </c>
      <c r="T611" s="1">
        <v>44753</v>
      </c>
      <c r="U611">
        <v>5.97</v>
      </c>
      <c r="V611" s="1">
        <v>44755</v>
      </c>
      <c r="W611">
        <v>6</v>
      </c>
      <c r="X611" s="1">
        <v>44755</v>
      </c>
      <c r="Y611">
        <f>NETWORKDAYS(X611,$Z$1,FERIADO!$A$2:$A$408)</f>
        <v>2138</v>
      </c>
      <c r="Z611">
        <v>13.11</v>
      </c>
      <c r="AA611" s="6">
        <f t="shared" si="83"/>
        <v>35163.387124836932</v>
      </c>
      <c r="AB611" s="2">
        <f t="shared" si="84"/>
        <v>5.3819805728322736E-4</v>
      </c>
      <c r="AJ611" s="1">
        <v>44755</v>
      </c>
      <c r="AK611">
        <f>NETWORKDAYS(AJ611,$AJ$1,FERIADO!$A$2:$A$408)</f>
        <v>1125</v>
      </c>
      <c r="AL611">
        <v>12.92</v>
      </c>
      <c r="AM611" s="6">
        <f t="shared" si="85"/>
        <v>58132.066444139644</v>
      </c>
      <c r="AN611" s="2">
        <f t="shared" si="86"/>
        <v>3.7549907864758721E-5</v>
      </c>
      <c r="AP611" s="11">
        <f t="shared" si="87"/>
        <v>2.6909902864161368E-4</v>
      </c>
      <c r="AQ611" s="11">
        <f t="shared" si="88"/>
        <v>1.1264972359427616E-5</v>
      </c>
      <c r="AR611" s="11">
        <f t="shared" si="89"/>
        <v>2.8036400100104128E-4</v>
      </c>
    </row>
    <row r="612" spans="2:44" x14ac:dyDescent="0.35">
      <c r="B612" s="1">
        <v>44754</v>
      </c>
      <c r="C612">
        <v>4167</v>
      </c>
      <c r="D612" s="1">
        <v>44754</v>
      </c>
      <c r="E612">
        <v>5.4114000000000004</v>
      </c>
      <c r="F612" s="1">
        <v>44750</v>
      </c>
      <c r="G612">
        <v>117.76</v>
      </c>
      <c r="H612" s="4">
        <f t="shared" si="81"/>
        <v>637246.46400000004</v>
      </c>
      <c r="I612" s="5">
        <v>44754</v>
      </c>
      <c r="J612" s="4">
        <v>6233.81</v>
      </c>
      <c r="K612" s="4">
        <f t="shared" si="82"/>
        <v>62338.100000000006</v>
      </c>
      <c r="L612" s="1">
        <v>44754</v>
      </c>
      <c r="M612">
        <v>6.02</v>
      </c>
      <c r="N612" s="1">
        <v>44754</v>
      </c>
      <c r="O612">
        <v>6.01</v>
      </c>
      <c r="P612" s="1">
        <v>44754</v>
      </c>
      <c r="Q612">
        <v>5.87</v>
      </c>
      <c r="R612" s="1">
        <v>44754</v>
      </c>
      <c r="S612">
        <v>5.84</v>
      </c>
      <c r="T612" s="1">
        <v>44749</v>
      </c>
      <c r="U612">
        <v>5.69</v>
      </c>
      <c r="V612" s="1">
        <v>44754</v>
      </c>
      <c r="W612">
        <v>5.96</v>
      </c>
      <c r="X612" s="1">
        <v>44754</v>
      </c>
      <c r="Y612">
        <f>NETWORKDAYS(X612,$Z$1,FERIADO!$A$2:$A$408)</f>
        <v>2139</v>
      </c>
      <c r="Z612">
        <v>13.12</v>
      </c>
      <c r="AA612" s="6">
        <f t="shared" si="83"/>
        <v>35119.837998660638</v>
      </c>
      <c r="AB612" s="2">
        <f t="shared" si="84"/>
        <v>4.7740618615128658E-3</v>
      </c>
      <c r="AJ612" s="1">
        <v>44754</v>
      </c>
      <c r="AK612">
        <f>NETWORKDAYS(AJ612,$AJ$1,FERIADO!$A$2:$A$408)</f>
        <v>1126</v>
      </c>
      <c r="AL612">
        <v>12.91</v>
      </c>
      <c r="AM612" s="6">
        <f t="shared" si="85"/>
        <v>58127.040454941431</v>
      </c>
      <c r="AN612" s="2">
        <f t="shared" si="86"/>
        <v>3.1313716598346613E-3</v>
      </c>
      <c r="AP612" s="11">
        <f t="shared" si="87"/>
        <v>2.3870309307564329E-3</v>
      </c>
      <c r="AQ612" s="11">
        <f t="shared" si="88"/>
        <v>9.3941149795039838E-4</v>
      </c>
      <c r="AR612" s="11">
        <f t="shared" si="89"/>
        <v>3.3264424287068311E-3</v>
      </c>
    </row>
    <row r="613" spans="2:44" x14ac:dyDescent="0.35">
      <c r="B613" s="1">
        <v>44753</v>
      </c>
      <c r="C613">
        <v>4207.29</v>
      </c>
      <c r="D613" s="1">
        <v>44753</v>
      </c>
      <c r="E613">
        <v>5.3471000000000002</v>
      </c>
      <c r="F613" s="1">
        <v>44749</v>
      </c>
      <c r="G613">
        <v>118.36</v>
      </c>
      <c r="H613" s="4">
        <f t="shared" si="81"/>
        <v>632882.75599999994</v>
      </c>
      <c r="I613" s="5">
        <v>44753</v>
      </c>
      <c r="J613" s="4">
        <v>6168.8</v>
      </c>
      <c r="K613" s="4">
        <f t="shared" si="82"/>
        <v>61688</v>
      </c>
      <c r="L613" s="1">
        <v>44753</v>
      </c>
      <c r="M613">
        <v>5.99</v>
      </c>
      <c r="N613" s="1">
        <v>44753</v>
      </c>
      <c r="O613">
        <v>5.98</v>
      </c>
      <c r="P613" s="1">
        <v>44753</v>
      </c>
      <c r="Q613">
        <v>5.97</v>
      </c>
      <c r="R613" s="1">
        <v>44753</v>
      </c>
      <c r="S613">
        <v>5.88</v>
      </c>
      <c r="T613" s="1">
        <v>44748</v>
      </c>
      <c r="U613">
        <v>5.71</v>
      </c>
      <c r="V613" s="1">
        <v>44753</v>
      </c>
      <c r="W613">
        <v>5.98</v>
      </c>
      <c r="X613" s="1">
        <v>44753</v>
      </c>
      <c r="Y613">
        <f>NETWORKDAYS(X613,$Z$1,FERIADO!$A$2:$A$408)</f>
        <v>2140</v>
      </c>
      <c r="Z613">
        <v>13.26</v>
      </c>
      <c r="AA613" s="6">
        <f t="shared" si="83"/>
        <v>34735.890899626196</v>
      </c>
      <c r="AB613" s="2">
        <f t="shared" si="84"/>
        <v>-6.6331322891296698E-3</v>
      </c>
      <c r="AJ613" s="1">
        <v>44753</v>
      </c>
      <c r="AK613">
        <f>NETWORKDAYS(AJ613,$AJ$1,FERIADO!$A$2:$A$408)</f>
        <v>1127</v>
      </c>
      <c r="AL613">
        <v>13.08</v>
      </c>
      <c r="AM613" s="6">
        <f t="shared" si="85"/>
        <v>57709.437299372905</v>
      </c>
      <c r="AN613" s="2">
        <f t="shared" si="86"/>
        <v>-3.8322954263895342E-3</v>
      </c>
      <c r="AP613" s="11">
        <f t="shared" si="87"/>
        <v>-3.3165661445648349E-3</v>
      </c>
      <c r="AQ613" s="11">
        <f t="shared" si="88"/>
        <v>-1.1496886279168603E-3</v>
      </c>
      <c r="AR613" s="11">
        <f t="shared" si="89"/>
        <v>-4.4662547724816952E-3</v>
      </c>
    </row>
    <row r="614" spans="2:44" x14ac:dyDescent="0.35">
      <c r="B614" s="1">
        <v>44750</v>
      </c>
      <c r="C614">
        <v>4257.55</v>
      </c>
      <c r="D614" s="1">
        <v>44750</v>
      </c>
      <c r="E614">
        <v>5.3079999999999998</v>
      </c>
      <c r="F614" s="1">
        <v>44748</v>
      </c>
      <c r="G614">
        <v>118.89</v>
      </c>
      <c r="H614" s="4">
        <f t="shared" si="81"/>
        <v>631068.12</v>
      </c>
      <c r="I614" s="5">
        <v>44750</v>
      </c>
      <c r="J614" s="4">
        <v>6030.23</v>
      </c>
      <c r="K614" s="4">
        <f t="shared" si="82"/>
        <v>60302.299999999996</v>
      </c>
      <c r="L614" s="1">
        <v>44750</v>
      </c>
      <c r="M614">
        <v>5.87</v>
      </c>
      <c r="N614" s="1">
        <v>44750</v>
      </c>
      <c r="O614">
        <v>5.85</v>
      </c>
      <c r="P614" s="1">
        <v>44750</v>
      </c>
      <c r="Q614">
        <v>5.84</v>
      </c>
      <c r="R614" s="1">
        <v>44750</v>
      </c>
      <c r="S614">
        <v>5.83</v>
      </c>
      <c r="T614" s="1">
        <v>44747</v>
      </c>
      <c r="U614">
        <v>5.68</v>
      </c>
      <c r="V614" s="1">
        <v>44750</v>
      </c>
      <c r="W614">
        <v>5.95</v>
      </c>
      <c r="X614" s="1">
        <v>44750</v>
      </c>
      <c r="Y614">
        <f>NETWORKDAYS(X614,$Z$1,FERIADO!$A$2:$A$408)</f>
        <v>2141</v>
      </c>
      <c r="Z614">
        <v>13.05</v>
      </c>
      <c r="AA614" s="6">
        <f t="shared" si="83"/>
        <v>35270.496589837087</v>
      </c>
      <c r="AB614" s="2">
        <f t="shared" si="84"/>
        <v>-1.7483521907471649E-3</v>
      </c>
      <c r="AJ614" s="1">
        <v>44750</v>
      </c>
      <c r="AK614">
        <f>NETWORKDAYS(AJ614,$AJ$1,FERIADO!$A$2:$A$408)</f>
        <v>1128</v>
      </c>
      <c r="AL614">
        <v>12.845000000000001</v>
      </c>
      <c r="AM614" s="6">
        <f t="shared" si="85"/>
        <v>58220.929559074066</v>
      </c>
      <c r="AN614" s="2">
        <f t="shared" si="86"/>
        <v>-1.7756132626595878E-3</v>
      </c>
      <c r="AP614" s="11">
        <f t="shared" si="87"/>
        <v>-8.7417609537358246E-4</v>
      </c>
      <c r="AQ614" s="11">
        <f t="shared" si="88"/>
        <v>-5.3268397879787635E-4</v>
      </c>
      <c r="AR614" s="11">
        <f t="shared" si="89"/>
        <v>-1.4068600741714587E-3</v>
      </c>
    </row>
    <row r="615" spans="2:44" x14ac:dyDescent="0.35">
      <c r="B615" s="1">
        <v>44749</v>
      </c>
      <c r="C615">
        <v>4248.41</v>
      </c>
      <c r="D615" s="1">
        <v>44749</v>
      </c>
      <c r="E615">
        <v>5.3634000000000004</v>
      </c>
      <c r="F615" s="1">
        <v>44747</v>
      </c>
      <c r="G615">
        <v>119.765</v>
      </c>
      <c r="H615" s="4">
        <f t="shared" si="81"/>
        <v>642347.60100000002</v>
      </c>
      <c r="I615" s="5">
        <v>44749</v>
      </c>
      <c r="J615" s="4">
        <v>6130.6</v>
      </c>
      <c r="K615" s="4">
        <f t="shared" si="82"/>
        <v>61306</v>
      </c>
      <c r="L615" s="1">
        <v>44749</v>
      </c>
      <c r="M615">
        <v>5.75</v>
      </c>
      <c r="N615" s="1">
        <v>44749</v>
      </c>
      <c r="O615">
        <v>5.73</v>
      </c>
      <c r="P615" s="1">
        <v>44749</v>
      </c>
      <c r="Q615">
        <v>5.73</v>
      </c>
      <c r="R615" s="1">
        <v>44749</v>
      </c>
      <c r="S615">
        <v>5.71</v>
      </c>
      <c r="T615" s="1">
        <v>44746</v>
      </c>
      <c r="U615">
        <v>5.66</v>
      </c>
      <c r="V615" s="1">
        <v>44749</v>
      </c>
      <c r="W615">
        <v>5.78</v>
      </c>
      <c r="X615" s="1">
        <v>44749</v>
      </c>
      <c r="Y615">
        <f>NETWORKDAYS(X615,$Z$1,FERIADO!$A$2:$A$408)</f>
        <v>2142</v>
      </c>
      <c r="Z615">
        <v>12.99</v>
      </c>
      <c r="AA615" s="6">
        <f t="shared" si="83"/>
        <v>35412.772264755724</v>
      </c>
      <c r="AB615" s="2">
        <f t="shared" si="84"/>
        <v>2.4978096673925897E-3</v>
      </c>
      <c r="AJ615" s="1">
        <v>44749</v>
      </c>
      <c r="AK615">
        <f>NETWORKDAYS(AJ615,$AJ$1,FERIADO!$A$2:$A$408)</f>
        <v>1129</v>
      </c>
      <c r="AL615">
        <v>12.73</v>
      </c>
      <c r="AM615" s="6">
        <f t="shared" si="85"/>
        <v>58459.453135864642</v>
      </c>
      <c r="AN615" s="2">
        <f t="shared" si="86"/>
        <v>2.2784256067878888E-3</v>
      </c>
      <c r="AP615" s="11">
        <f t="shared" si="87"/>
        <v>1.2489048336962948E-3</v>
      </c>
      <c r="AQ615" s="11">
        <f t="shared" si="88"/>
        <v>6.8352768203636658E-4</v>
      </c>
      <c r="AR615" s="11">
        <f t="shared" si="89"/>
        <v>1.9324325157326614E-3</v>
      </c>
    </row>
    <row r="616" spans="2:44" x14ac:dyDescent="0.35">
      <c r="B616" s="1">
        <v>44748</v>
      </c>
      <c r="C616">
        <v>4199.3599999999997</v>
      </c>
      <c r="D616" s="1">
        <v>44748</v>
      </c>
      <c r="E616">
        <v>5.4314999999999998</v>
      </c>
      <c r="F616" s="1">
        <v>44746</v>
      </c>
      <c r="G616">
        <v>119.1</v>
      </c>
      <c r="H616" s="4">
        <f t="shared" si="81"/>
        <v>646891.64999999991</v>
      </c>
      <c r="I616" s="5">
        <v>44748</v>
      </c>
      <c r="J616" s="4">
        <v>6230.96</v>
      </c>
      <c r="K616" s="4">
        <f t="shared" si="82"/>
        <v>62309.599999999999</v>
      </c>
      <c r="L616" s="1">
        <v>44748</v>
      </c>
      <c r="M616">
        <v>5.81</v>
      </c>
      <c r="N616" s="1">
        <v>44748</v>
      </c>
      <c r="O616">
        <v>5.78</v>
      </c>
      <c r="P616" s="1">
        <v>44748</v>
      </c>
      <c r="Q616">
        <v>5.76</v>
      </c>
      <c r="R616" s="1">
        <v>44748</v>
      </c>
      <c r="S616">
        <v>5.76</v>
      </c>
      <c r="T616" s="1">
        <v>44743</v>
      </c>
      <c r="U616">
        <v>5.63</v>
      </c>
      <c r="V616" s="1">
        <v>44748</v>
      </c>
      <c r="W616">
        <v>5.85</v>
      </c>
      <c r="X616" s="1">
        <v>44748</v>
      </c>
      <c r="Y616">
        <f>NETWORKDAYS(X616,$Z$1,FERIADO!$A$2:$A$408)</f>
        <v>2143</v>
      </c>
      <c r="Z616">
        <v>13.06</v>
      </c>
      <c r="AA616" s="6">
        <f t="shared" si="83"/>
        <v>35209.683147861499</v>
      </c>
      <c r="AB616" s="2">
        <f t="shared" si="84"/>
        <v>-1.7498560337076939E-3</v>
      </c>
      <c r="AJ616" s="1">
        <v>44748</v>
      </c>
      <c r="AK616">
        <f>NETWORKDAYS(AJ616,$AJ$1,FERIADO!$A$2:$A$408)</f>
        <v>1130</v>
      </c>
      <c r="AL616">
        <v>12.85</v>
      </c>
      <c r="AM616" s="6">
        <f t="shared" si="85"/>
        <v>58153.562223185829</v>
      </c>
      <c r="AN616" s="2">
        <f t="shared" si="86"/>
        <v>-3.9627726553884054E-4</v>
      </c>
      <c r="AP616" s="11">
        <f t="shared" si="87"/>
        <v>-8.7492801685384695E-4</v>
      </c>
      <c r="AQ616" s="11">
        <f t="shared" si="88"/>
        <v>-1.1888317966165215E-4</v>
      </c>
      <c r="AR616" s="11">
        <f t="shared" si="89"/>
        <v>-9.9381119651549901E-4</v>
      </c>
    </row>
    <row r="617" spans="2:44" x14ac:dyDescent="0.35">
      <c r="B617" s="1">
        <v>44747</v>
      </c>
      <c r="C617">
        <v>4179.16</v>
      </c>
      <c r="D617" s="1">
        <v>44747</v>
      </c>
      <c r="E617">
        <v>5.3893000000000004</v>
      </c>
      <c r="F617" s="1">
        <v>44743</v>
      </c>
      <c r="G617">
        <v>119.41</v>
      </c>
      <c r="H617" s="4">
        <f t="shared" si="81"/>
        <v>643536.31300000008</v>
      </c>
      <c r="I617" s="5">
        <v>44747</v>
      </c>
      <c r="J617" s="4">
        <v>6190.47</v>
      </c>
      <c r="K617" s="4">
        <f t="shared" si="82"/>
        <v>61904.700000000004</v>
      </c>
      <c r="L617" s="1">
        <v>44747</v>
      </c>
      <c r="M617">
        <v>5.72</v>
      </c>
      <c r="N617" s="1">
        <v>44747</v>
      </c>
      <c r="O617">
        <v>5.69</v>
      </c>
      <c r="P617" s="1">
        <v>44747</v>
      </c>
      <c r="Q617">
        <v>5.7</v>
      </c>
      <c r="R617" s="1">
        <v>44747</v>
      </c>
      <c r="S617">
        <v>5.67</v>
      </c>
      <c r="T617" s="1">
        <v>44742</v>
      </c>
      <c r="U617">
        <v>5.54</v>
      </c>
      <c r="V617" s="1">
        <v>44747</v>
      </c>
      <c r="W617">
        <v>5.75</v>
      </c>
      <c r="X617" s="1">
        <v>44747</v>
      </c>
      <c r="Y617">
        <f>NETWORKDAYS(X617,$Z$1,FERIADO!$A$2:$A$408)</f>
        <v>2144</v>
      </c>
      <c r="Z617">
        <v>13</v>
      </c>
      <c r="AA617" s="6">
        <f t="shared" si="83"/>
        <v>35351.835924375671</v>
      </c>
      <c r="AB617" s="2">
        <f t="shared" si="84"/>
        <v>-4.0446293954775484E-3</v>
      </c>
      <c r="AJ617" s="1">
        <v>44747</v>
      </c>
      <c r="AK617">
        <f>NETWORKDAYS(AJ617,$AJ$1,FERIADO!$A$2:$A$408)</f>
        <v>1131</v>
      </c>
      <c r="AL617">
        <v>12.815</v>
      </c>
      <c r="AM617" s="6">
        <f t="shared" si="85"/>
        <v>58206.649362427517</v>
      </c>
      <c r="AN617" s="2">
        <f t="shared" si="86"/>
        <v>-1.9549836639752589E-3</v>
      </c>
      <c r="AP617" s="11">
        <f t="shared" si="87"/>
        <v>-2.0223146977387742E-3</v>
      </c>
      <c r="AQ617" s="11">
        <f t="shared" si="88"/>
        <v>-5.8649509919257768E-4</v>
      </c>
      <c r="AR617" s="11">
        <f t="shared" si="89"/>
        <v>-2.6088097969313518E-3</v>
      </c>
    </row>
    <row r="618" spans="2:44" x14ac:dyDescent="0.35">
      <c r="B618" s="1">
        <v>44746</v>
      </c>
      <c r="C618">
        <v>4146.76</v>
      </c>
      <c r="D618" s="1">
        <v>44746</v>
      </c>
      <c r="E618">
        <v>5.3032000000000004</v>
      </c>
      <c r="F618" s="1">
        <v>44742</v>
      </c>
      <c r="G618">
        <v>118.27200000000001</v>
      </c>
      <c r="H618" s="4">
        <f t="shared" si="81"/>
        <v>627220.07040000008</v>
      </c>
      <c r="I618" s="5">
        <v>44746</v>
      </c>
      <c r="J618" s="4">
        <v>6126.6</v>
      </c>
      <c r="K618" s="4">
        <f t="shared" si="82"/>
        <v>61266</v>
      </c>
      <c r="L618" s="1">
        <v>44746</v>
      </c>
      <c r="M618">
        <v>5.67</v>
      </c>
      <c r="N618" s="1">
        <v>44746</v>
      </c>
      <c r="O618">
        <v>5.66</v>
      </c>
      <c r="P618" s="1">
        <v>44746</v>
      </c>
      <c r="Q618">
        <v>5.63</v>
      </c>
      <c r="R618" s="1">
        <v>44746</v>
      </c>
      <c r="S618">
        <v>5.62</v>
      </c>
      <c r="T618" s="1">
        <v>44741</v>
      </c>
      <c r="U618">
        <v>5.61</v>
      </c>
      <c r="V618" s="1">
        <v>44746</v>
      </c>
      <c r="W618">
        <v>5.72</v>
      </c>
      <c r="X618" s="1">
        <v>44746</v>
      </c>
      <c r="Y618">
        <f>NETWORKDAYS(X618,$Z$1,FERIADO!$A$2:$A$408)</f>
        <v>2145</v>
      </c>
      <c r="Z618">
        <v>12.87</v>
      </c>
      <c r="AA618" s="6">
        <f t="shared" si="83"/>
        <v>35682.60909765504</v>
      </c>
      <c r="AB618" s="2">
        <f t="shared" si="84"/>
        <v>-1.4300615682258982E-3</v>
      </c>
      <c r="AJ618" s="1">
        <v>44746</v>
      </c>
      <c r="AK618">
        <f>NETWORKDAYS(AJ618,$AJ$1,FERIADO!$A$2:$A$408)</f>
        <v>1132</v>
      </c>
      <c r="AL618">
        <v>12.69</v>
      </c>
      <c r="AM618" s="6">
        <f t="shared" si="85"/>
        <v>58469.258165353276</v>
      </c>
      <c r="AN618" s="2">
        <f t="shared" si="86"/>
        <v>-1.180773626774957E-3</v>
      </c>
      <c r="AP618" s="11">
        <f t="shared" si="87"/>
        <v>-7.1503078411294912E-4</v>
      </c>
      <c r="AQ618" s="11">
        <f t="shared" si="88"/>
        <v>-3.5423208803248707E-4</v>
      </c>
      <c r="AR618" s="11">
        <f t="shared" si="89"/>
        <v>-1.0692628721454362E-3</v>
      </c>
    </row>
    <row r="619" spans="2:44" x14ac:dyDescent="0.35">
      <c r="B619" s="1">
        <v>44743</v>
      </c>
      <c r="C619">
        <v>4172.5600000000004</v>
      </c>
      <c r="D619" s="1">
        <v>44743</v>
      </c>
      <c r="E619">
        <v>5.3136000000000001</v>
      </c>
      <c r="F619" s="1">
        <v>44741</v>
      </c>
      <c r="G619">
        <v>117.55</v>
      </c>
      <c r="H619" s="4">
        <f t="shared" si="81"/>
        <v>624613.68000000005</v>
      </c>
      <c r="I619" s="5">
        <v>44743</v>
      </c>
      <c r="J619" s="4">
        <v>6127.74</v>
      </c>
      <c r="K619" s="4">
        <f t="shared" si="82"/>
        <v>61277.399999999994</v>
      </c>
      <c r="L619" s="1">
        <v>44743</v>
      </c>
      <c r="M619">
        <v>5.6</v>
      </c>
      <c r="N619" s="1">
        <v>44743</v>
      </c>
      <c r="O619">
        <v>5.6</v>
      </c>
      <c r="P619" s="1">
        <v>44743</v>
      </c>
      <c r="Q619">
        <v>5.58</v>
      </c>
      <c r="R619" s="1">
        <v>44743</v>
      </c>
      <c r="S619">
        <v>5.59</v>
      </c>
      <c r="T619" s="1">
        <v>44740</v>
      </c>
      <c r="U619">
        <v>5.59</v>
      </c>
      <c r="V619" s="1">
        <v>44743</v>
      </c>
      <c r="W619">
        <v>5.62</v>
      </c>
      <c r="X619" s="1">
        <v>44743</v>
      </c>
      <c r="Y619">
        <f>NETWORKDAYS(X619,$Z$1,FERIADO!$A$2:$A$408)</f>
        <v>2146</v>
      </c>
      <c r="Z619">
        <v>12.82</v>
      </c>
      <c r="AA619" s="6">
        <f t="shared" si="83"/>
        <v>35800.299826792347</v>
      </c>
      <c r="AB619" s="2">
        <f t="shared" si="84"/>
        <v>2.1751583201952036E-3</v>
      </c>
      <c r="AJ619" s="1">
        <v>44743</v>
      </c>
      <c r="AK619">
        <f>NETWORKDAYS(AJ619,$AJ$1,FERIADO!$A$2:$A$408)</f>
        <v>1133</v>
      </c>
      <c r="AL619">
        <v>12.61</v>
      </c>
      <c r="AM619" s="6">
        <f t="shared" si="85"/>
        <v>58628.442540631811</v>
      </c>
      <c r="AN619" s="2">
        <f t="shared" si="86"/>
        <v>8.987396130237256E-4</v>
      </c>
      <c r="AP619" s="11">
        <f t="shared" si="87"/>
        <v>1.0875791600976018E-3</v>
      </c>
      <c r="AQ619" s="11">
        <f t="shared" si="88"/>
        <v>2.6962188390711769E-4</v>
      </c>
      <c r="AR619" s="11">
        <f t="shared" si="89"/>
        <v>1.3572010440047195E-3</v>
      </c>
    </row>
    <row r="620" spans="2:44" x14ac:dyDescent="0.35">
      <c r="B620" s="1">
        <v>44742</v>
      </c>
      <c r="C620">
        <v>4123.58</v>
      </c>
      <c r="D620" s="1">
        <v>44742</v>
      </c>
      <c r="E620">
        <v>5.2374000000000001</v>
      </c>
      <c r="F620" s="1">
        <v>44740</v>
      </c>
      <c r="G620">
        <v>116.89</v>
      </c>
      <c r="H620" s="4">
        <f t="shared" si="81"/>
        <v>612199.68599999999</v>
      </c>
      <c r="I620" s="5">
        <v>44742</v>
      </c>
      <c r="J620" s="4">
        <v>6042.78</v>
      </c>
      <c r="K620" s="4">
        <f t="shared" si="82"/>
        <v>60427.799999999996</v>
      </c>
      <c r="L620" s="1">
        <v>44742</v>
      </c>
      <c r="M620">
        <v>5.57</v>
      </c>
      <c r="N620" s="1">
        <v>44742</v>
      </c>
      <c r="O620">
        <v>5.55</v>
      </c>
      <c r="P620" s="1">
        <v>44742</v>
      </c>
      <c r="Q620">
        <v>5.51</v>
      </c>
      <c r="R620" s="1">
        <v>44742</v>
      </c>
      <c r="S620">
        <v>5.51</v>
      </c>
      <c r="T620" s="1">
        <v>44739</v>
      </c>
      <c r="U620">
        <v>5.49</v>
      </c>
      <c r="V620" s="1">
        <v>44742</v>
      </c>
      <c r="W620">
        <v>5.6</v>
      </c>
      <c r="X620" s="1">
        <v>44742</v>
      </c>
      <c r="Y620">
        <f>NETWORKDAYS(X620,$Z$1,FERIADO!$A$2:$A$408)</f>
        <v>2147</v>
      </c>
      <c r="Z620">
        <v>12.88</v>
      </c>
      <c r="AA620" s="6">
        <f t="shared" si="83"/>
        <v>35621.442761649509</v>
      </c>
      <c r="AB620" s="2">
        <f t="shared" si="84"/>
        <v>3.1591268433856508E-3</v>
      </c>
      <c r="AJ620" s="1">
        <v>44742</v>
      </c>
      <c r="AK620">
        <f>NETWORKDAYS(AJ620,$AJ$1,FERIADO!$A$2:$A$408)</f>
        <v>1134</v>
      </c>
      <c r="AL620">
        <v>12.65</v>
      </c>
      <c r="AM620" s="6">
        <f t="shared" si="85"/>
        <v>58507.240861139522</v>
      </c>
      <c r="AN620" s="2">
        <f t="shared" si="86"/>
        <v>2.3745724872802159E-3</v>
      </c>
      <c r="AP620" s="11">
        <f t="shared" si="87"/>
        <v>1.5795634216928254E-3</v>
      </c>
      <c r="AQ620" s="11">
        <f t="shared" si="88"/>
        <v>7.1237174618406479E-4</v>
      </c>
      <c r="AR620" s="11">
        <f t="shared" si="89"/>
        <v>2.2919351678768901E-3</v>
      </c>
    </row>
    <row r="621" spans="2:44" x14ac:dyDescent="0.35">
      <c r="B621" s="1">
        <v>44741</v>
      </c>
      <c r="C621">
        <v>4165.25</v>
      </c>
      <c r="D621" s="1">
        <v>44741</v>
      </c>
      <c r="E621">
        <v>5.2262000000000004</v>
      </c>
      <c r="F621" s="1">
        <v>44739</v>
      </c>
      <c r="G621">
        <v>116.742</v>
      </c>
      <c r="H621" s="4">
        <f t="shared" si="81"/>
        <v>610117.04040000006</v>
      </c>
      <c r="I621" s="5">
        <v>44741</v>
      </c>
      <c r="J621" s="4">
        <v>5962.95</v>
      </c>
      <c r="K621" s="4">
        <f t="shared" si="82"/>
        <v>59629.5</v>
      </c>
      <c r="L621" s="1">
        <v>44741</v>
      </c>
      <c r="M621">
        <v>5.64</v>
      </c>
      <c r="N621" s="1">
        <v>44741</v>
      </c>
      <c r="O621">
        <v>5.59</v>
      </c>
      <c r="P621" s="1">
        <v>44741</v>
      </c>
      <c r="Q621">
        <v>5.62</v>
      </c>
      <c r="R621" s="1">
        <v>44741</v>
      </c>
      <c r="S621">
        <v>5.61</v>
      </c>
      <c r="T621" s="1">
        <v>44736</v>
      </c>
      <c r="U621">
        <v>5.38</v>
      </c>
      <c r="V621" s="1">
        <v>44741</v>
      </c>
      <c r="W621">
        <v>5.66</v>
      </c>
      <c r="X621" s="1">
        <v>44741</v>
      </c>
      <c r="Y621">
        <f>NETWORKDAYS(X621,$Z$1,FERIADO!$A$2:$A$408)</f>
        <v>2148</v>
      </c>
      <c r="Z621">
        <v>12.97</v>
      </c>
      <c r="AA621" s="6">
        <f t="shared" si="83"/>
        <v>35363.266889905557</v>
      </c>
      <c r="AB621" s="2">
        <f t="shared" si="84"/>
        <v>1.5212842958568396E-3</v>
      </c>
      <c r="AJ621" s="1">
        <v>44741</v>
      </c>
      <c r="AK621">
        <f>NETWORKDAYS(AJ621,$AJ$1,FERIADO!$A$2:$A$408)</f>
        <v>1135</v>
      </c>
      <c r="AL621">
        <v>12.775</v>
      </c>
      <c r="AM621" s="6">
        <f t="shared" si="85"/>
        <v>58188.216393410657</v>
      </c>
      <c r="AN621" s="2">
        <f t="shared" si="86"/>
        <v>9.8823715740385632E-4</v>
      </c>
      <c r="AP621" s="11">
        <f t="shared" si="87"/>
        <v>7.606421479284198E-4</v>
      </c>
      <c r="AQ621" s="11">
        <f t="shared" si="88"/>
        <v>2.964711472211569E-4</v>
      </c>
      <c r="AR621" s="11">
        <f t="shared" si="89"/>
        <v>1.0571132951495768E-3</v>
      </c>
    </row>
    <row r="622" spans="2:44" x14ac:dyDescent="0.35">
      <c r="B622" s="1">
        <v>44740</v>
      </c>
      <c r="C622">
        <v>4171.8</v>
      </c>
      <c r="D622" s="1">
        <v>44740</v>
      </c>
      <c r="E622">
        <v>5.2172999999999998</v>
      </c>
      <c r="F622" s="1">
        <v>44736</v>
      </c>
      <c r="G622">
        <v>117.27</v>
      </c>
      <c r="H622" s="4">
        <f t="shared" si="81"/>
        <v>611832.77099999995</v>
      </c>
      <c r="I622" s="5">
        <v>44740</v>
      </c>
      <c r="J622" s="4">
        <v>6062.96</v>
      </c>
      <c r="K622" s="4">
        <f t="shared" si="82"/>
        <v>60629.599999999999</v>
      </c>
      <c r="L622" s="1">
        <v>44740</v>
      </c>
      <c r="M622">
        <v>5.43</v>
      </c>
      <c r="N622" s="1">
        <v>44740</v>
      </c>
      <c r="O622">
        <v>5.56</v>
      </c>
      <c r="P622" s="1">
        <v>44740</v>
      </c>
      <c r="Q622">
        <v>5.54</v>
      </c>
      <c r="R622" s="1">
        <v>44740</v>
      </c>
      <c r="S622">
        <v>5.54</v>
      </c>
      <c r="T622" s="1">
        <v>44735</v>
      </c>
      <c r="U622">
        <v>5.36</v>
      </c>
      <c r="V622" s="1">
        <v>44740</v>
      </c>
      <c r="W622">
        <v>5.66</v>
      </c>
      <c r="X622" s="1">
        <v>44740</v>
      </c>
      <c r="Y622">
        <f>NETWORKDAYS(X622,$Z$1,FERIADO!$A$2:$A$408)</f>
        <v>2149</v>
      </c>
      <c r="Z622">
        <v>13.01</v>
      </c>
      <c r="AA622" s="6">
        <f t="shared" si="83"/>
        <v>35239.610082565589</v>
      </c>
      <c r="AB622" s="2">
        <f t="shared" si="84"/>
        <v>-9.6384808564509237E-3</v>
      </c>
      <c r="AJ622" s="1">
        <v>44740</v>
      </c>
      <c r="AK622">
        <f>NETWORKDAYS(AJ622,$AJ$1,FERIADO!$A$2:$A$408)</f>
        <v>1136</v>
      </c>
      <c r="AL622">
        <v>12.82</v>
      </c>
      <c r="AM622" s="6">
        <f t="shared" si="85"/>
        <v>58055.959630664125</v>
      </c>
      <c r="AN622" s="2">
        <f t="shared" si="86"/>
        <v>-5.1837126773434661E-3</v>
      </c>
      <c r="AP622" s="11">
        <f t="shared" si="87"/>
        <v>-4.8192404282254618E-3</v>
      </c>
      <c r="AQ622" s="11">
        <f t="shared" si="88"/>
        <v>-1.5551138032030398E-3</v>
      </c>
      <c r="AR622" s="11">
        <f t="shared" si="89"/>
        <v>-6.3743542314285018E-3</v>
      </c>
    </row>
    <row r="623" spans="2:44" x14ac:dyDescent="0.35">
      <c r="B623" s="1">
        <v>44739</v>
      </c>
      <c r="C623">
        <v>4262.87</v>
      </c>
      <c r="D623" s="1">
        <v>44739</v>
      </c>
      <c r="E623">
        <v>5.2207999999999997</v>
      </c>
      <c r="F623" s="1">
        <v>44735</v>
      </c>
      <c r="G623">
        <v>117.547</v>
      </c>
      <c r="H623" s="4">
        <f t="shared" si="81"/>
        <v>613689.37759999989</v>
      </c>
      <c r="I623" s="5">
        <v>44739</v>
      </c>
      <c r="J623" s="4">
        <v>6032.5</v>
      </c>
      <c r="K623" s="4">
        <f t="shared" si="82"/>
        <v>60325</v>
      </c>
      <c r="L623" s="1">
        <v>44739</v>
      </c>
      <c r="M623">
        <v>5.38</v>
      </c>
      <c r="N623" s="1">
        <v>44739</v>
      </c>
      <c r="O623">
        <v>5.4</v>
      </c>
      <c r="P623" s="1">
        <v>44739</v>
      </c>
      <c r="Q623">
        <v>5.4</v>
      </c>
      <c r="R623" s="1">
        <v>44739</v>
      </c>
      <c r="S623">
        <v>5.41</v>
      </c>
      <c r="T623" s="1">
        <v>44734</v>
      </c>
      <c r="U623">
        <v>5.44</v>
      </c>
      <c r="V623" s="1">
        <v>44739</v>
      </c>
      <c r="W623">
        <v>5.53</v>
      </c>
      <c r="X623" s="1">
        <v>44739</v>
      </c>
      <c r="Y623">
        <f>NETWORKDAYS(X623,$Z$1,FERIADO!$A$2:$A$408)</f>
        <v>2150</v>
      </c>
      <c r="Z623">
        <v>12.71</v>
      </c>
      <c r="AA623" s="6">
        <f t="shared" si="83"/>
        <v>36030.440792258312</v>
      </c>
      <c r="AB623" s="2">
        <f t="shared" si="84"/>
        <v>-1.7677155111688319E-3</v>
      </c>
      <c r="AJ623" s="1">
        <v>44739</v>
      </c>
      <c r="AK623">
        <f>NETWORKDAYS(AJ623,$AJ$1,FERIADO!$A$2:$A$408)</f>
        <v>1137</v>
      </c>
      <c r="AL623">
        <v>12.51</v>
      </c>
      <c r="AM623" s="6">
        <f t="shared" si="85"/>
        <v>58753.064076691771</v>
      </c>
      <c r="AN623" s="2">
        <f t="shared" si="86"/>
        <v>-6.6862963622313322E-4</v>
      </c>
      <c r="AP623" s="11">
        <f t="shared" si="87"/>
        <v>-8.8385775558441594E-4</v>
      </c>
      <c r="AQ623" s="11">
        <f t="shared" si="88"/>
        <v>-2.0058889086693995E-4</v>
      </c>
      <c r="AR623" s="11">
        <f t="shared" si="89"/>
        <v>-1.084446646451356E-3</v>
      </c>
    </row>
    <row r="624" spans="2:44" x14ac:dyDescent="0.35">
      <c r="B624" s="1">
        <v>44736</v>
      </c>
      <c r="C624">
        <v>4263.9799999999996</v>
      </c>
      <c r="D624" s="1">
        <v>44736</v>
      </c>
      <c r="E624">
        <v>5.2328000000000001</v>
      </c>
      <c r="F624" s="1">
        <v>44734</v>
      </c>
      <c r="G624">
        <v>116.92700000000001</v>
      </c>
      <c r="H624" s="4">
        <f t="shared" si="81"/>
        <v>611855.60560000013</v>
      </c>
      <c r="I624" s="5">
        <v>44736</v>
      </c>
      <c r="J624" s="4">
        <v>6039.97</v>
      </c>
      <c r="K624" s="4">
        <f t="shared" si="82"/>
        <v>60399.700000000004</v>
      </c>
      <c r="L624" s="1">
        <v>44736</v>
      </c>
      <c r="M624">
        <v>5.39</v>
      </c>
      <c r="N624" s="1">
        <v>44736</v>
      </c>
      <c r="O624">
        <v>5.36</v>
      </c>
      <c r="P624" s="1">
        <v>44736</v>
      </c>
      <c r="Q624">
        <v>5.39</v>
      </c>
      <c r="R624" s="1">
        <v>44736</v>
      </c>
      <c r="S624">
        <v>5.39</v>
      </c>
      <c r="T624" s="1">
        <v>44733</v>
      </c>
      <c r="U624">
        <v>5.45</v>
      </c>
      <c r="V624" s="1">
        <v>44736</v>
      </c>
      <c r="W624">
        <v>5.51</v>
      </c>
      <c r="X624" s="1">
        <v>44736</v>
      </c>
      <c r="Y624">
        <f>NETWORKDAYS(X624,$Z$1,FERIADO!$A$2:$A$408)</f>
        <v>2151</v>
      </c>
      <c r="Z624">
        <v>12.65</v>
      </c>
      <c r="AA624" s="6">
        <f t="shared" si="83"/>
        <v>36177.394921670348</v>
      </c>
      <c r="AB624" s="2">
        <f t="shared" si="84"/>
        <v>-5.3957960576401813E-3</v>
      </c>
      <c r="AJ624" s="1">
        <v>44736</v>
      </c>
      <c r="AK624">
        <f>NETWORKDAYS(AJ624,$AJ$1,FERIADO!$A$2:$A$408)</f>
        <v>1138</v>
      </c>
      <c r="AL624">
        <v>12.46</v>
      </c>
      <c r="AM624" s="6">
        <f t="shared" si="85"/>
        <v>58843.588588097773</v>
      </c>
      <c r="AN624" s="2">
        <f t="shared" si="86"/>
        <v>-4.6910034412580813E-3</v>
      </c>
      <c r="AP624" s="11">
        <f t="shared" si="87"/>
        <v>-2.6978980288200906E-3</v>
      </c>
      <c r="AQ624" s="11">
        <f t="shared" si="88"/>
        <v>-1.4073010323774244E-3</v>
      </c>
      <c r="AR624" s="11">
        <f t="shared" si="89"/>
        <v>-4.1051990611975153E-3</v>
      </c>
    </row>
    <row r="625" spans="2:44" x14ac:dyDescent="0.35">
      <c r="B625" s="1">
        <v>44735</v>
      </c>
      <c r="C625">
        <v>4124.04</v>
      </c>
      <c r="D625" s="1">
        <v>44735</v>
      </c>
      <c r="E625">
        <v>5.1826999999999996</v>
      </c>
      <c r="F625" s="1">
        <v>44733</v>
      </c>
      <c r="G625">
        <v>115.961</v>
      </c>
      <c r="H625" s="4">
        <f t="shared" si="81"/>
        <v>600991.07469999988</v>
      </c>
      <c r="I625" s="5">
        <v>44735</v>
      </c>
      <c r="J625" s="4">
        <v>6039.39</v>
      </c>
      <c r="K625" s="4">
        <f t="shared" si="82"/>
        <v>60393.9</v>
      </c>
      <c r="L625" s="1">
        <v>44735</v>
      </c>
      <c r="M625">
        <v>5.31</v>
      </c>
      <c r="N625" s="1">
        <v>44735</v>
      </c>
      <c r="O625">
        <v>5.29</v>
      </c>
      <c r="P625" s="1">
        <v>44735</v>
      </c>
      <c r="Q625">
        <v>5.28</v>
      </c>
      <c r="R625" s="1">
        <v>44735</v>
      </c>
      <c r="S625">
        <v>5.29</v>
      </c>
      <c r="T625" s="1">
        <v>44732</v>
      </c>
      <c r="U625">
        <v>5.39</v>
      </c>
      <c r="V625" s="1">
        <v>44735</v>
      </c>
      <c r="W625">
        <v>5.43</v>
      </c>
      <c r="X625" s="1">
        <v>44735</v>
      </c>
      <c r="Y625">
        <f>NETWORKDAYS(X625,$Z$1,FERIADO!$A$2:$A$408)</f>
        <v>2152</v>
      </c>
      <c r="Z625">
        <v>12.48</v>
      </c>
      <c r="AA625" s="6">
        <f t="shared" si="83"/>
        <v>36629.676810563709</v>
      </c>
      <c r="AB625" s="2">
        <f t="shared" si="84"/>
        <v>1.5219546133704092E-3</v>
      </c>
      <c r="AJ625" s="1">
        <v>44735</v>
      </c>
      <c r="AK625">
        <f>NETWORKDAYS(AJ625,$AJ$1,FERIADO!$A$2:$A$408)</f>
        <v>1139</v>
      </c>
      <c r="AL625">
        <v>12.18</v>
      </c>
      <c r="AM625" s="6">
        <f t="shared" si="85"/>
        <v>59482.628824115818</v>
      </c>
      <c r="AN625" s="2">
        <f t="shared" si="86"/>
        <v>1.1610841029310621E-3</v>
      </c>
      <c r="AP625" s="11">
        <f t="shared" si="87"/>
        <v>7.609773066852046E-4</v>
      </c>
      <c r="AQ625" s="11">
        <f t="shared" si="88"/>
        <v>3.4832523087931862E-4</v>
      </c>
      <c r="AR625" s="11">
        <f t="shared" si="89"/>
        <v>1.1093025375645232E-3</v>
      </c>
    </row>
    <row r="626" spans="2:44" x14ac:dyDescent="0.35">
      <c r="B626" s="1">
        <v>44734</v>
      </c>
      <c r="C626">
        <v>4101.82</v>
      </c>
      <c r="D626" s="1">
        <v>44734</v>
      </c>
      <c r="E626">
        <v>5.1502999999999997</v>
      </c>
      <c r="F626" s="1">
        <v>44732</v>
      </c>
      <c r="G626">
        <v>115.75</v>
      </c>
      <c r="H626" s="4">
        <f t="shared" si="81"/>
        <v>596147.22499999998</v>
      </c>
      <c r="I626" s="5">
        <v>44734</v>
      </c>
      <c r="J626" s="4">
        <v>5987.09</v>
      </c>
      <c r="K626" s="4">
        <f t="shared" si="82"/>
        <v>59870.9</v>
      </c>
      <c r="L626" s="1">
        <v>44734</v>
      </c>
      <c r="M626">
        <v>5.38</v>
      </c>
      <c r="N626" s="1">
        <v>44734</v>
      </c>
      <c r="O626">
        <v>5.37</v>
      </c>
      <c r="P626" s="1">
        <v>44734</v>
      </c>
      <c r="Q626">
        <v>5.36</v>
      </c>
      <c r="R626" s="1">
        <v>44734</v>
      </c>
      <c r="S626">
        <v>5.34</v>
      </c>
      <c r="T626" s="1">
        <v>44727</v>
      </c>
      <c r="U626">
        <v>5.36</v>
      </c>
      <c r="V626" s="1">
        <v>44734</v>
      </c>
      <c r="W626">
        <v>5.49</v>
      </c>
      <c r="X626" s="1">
        <v>44734</v>
      </c>
      <c r="Y626">
        <f>NETWORKDAYS(X626,$Z$1,FERIADO!$A$2:$A$408)</f>
        <v>2153</v>
      </c>
      <c r="Z626">
        <v>12.52</v>
      </c>
      <c r="AA626" s="6">
        <f t="shared" si="83"/>
        <v>36501.535334635744</v>
      </c>
      <c r="AB626" s="2">
        <f t="shared" si="84"/>
        <v>4.4896890164107641E-3</v>
      </c>
      <c r="AJ626" s="1">
        <v>44734</v>
      </c>
      <c r="AK626">
        <f>NETWORKDAYS(AJ626,$AJ$1,FERIADO!$A$2:$A$408)</f>
        <v>1140</v>
      </c>
      <c r="AL626">
        <v>12.234999999999999</v>
      </c>
      <c r="AM626" s="6">
        <f t="shared" si="85"/>
        <v>59323.814705479548</v>
      </c>
      <c r="AN626" s="2">
        <f t="shared" si="86"/>
        <v>3.0001708369560456E-3</v>
      </c>
      <c r="AP626" s="11">
        <f t="shared" si="87"/>
        <v>2.244844508205382E-3</v>
      </c>
      <c r="AQ626" s="11">
        <f t="shared" si="88"/>
        <v>9.0005125108681369E-4</v>
      </c>
      <c r="AR626" s="11">
        <f t="shared" si="89"/>
        <v>3.1448957592921959E-3</v>
      </c>
    </row>
    <row r="627" spans="2:44" x14ac:dyDescent="0.35">
      <c r="B627" s="1">
        <v>44733</v>
      </c>
      <c r="C627">
        <v>4115.3500000000004</v>
      </c>
      <c r="D627" s="1">
        <v>44733</v>
      </c>
      <c r="E627">
        <v>5.1456</v>
      </c>
      <c r="F627" s="1">
        <v>44729</v>
      </c>
      <c r="G627">
        <v>116.229</v>
      </c>
      <c r="H627" s="4">
        <f t="shared" si="81"/>
        <v>598067.94239999994</v>
      </c>
      <c r="I627" s="5">
        <v>44733</v>
      </c>
      <c r="J627" s="4">
        <v>5912.36</v>
      </c>
      <c r="K627" s="4">
        <f t="shared" si="82"/>
        <v>59123.6</v>
      </c>
      <c r="L627" s="1">
        <v>44733</v>
      </c>
      <c r="M627">
        <v>5.38</v>
      </c>
      <c r="N627" s="1">
        <v>44733</v>
      </c>
      <c r="O627">
        <v>5.39</v>
      </c>
      <c r="P627" s="1">
        <v>44733</v>
      </c>
      <c r="Q627">
        <v>5.38</v>
      </c>
      <c r="R627" s="1">
        <v>44733</v>
      </c>
      <c r="S627">
        <v>5.39</v>
      </c>
      <c r="T627" s="1">
        <v>44726</v>
      </c>
      <c r="U627">
        <v>5.43</v>
      </c>
      <c r="V627" s="1">
        <v>44733</v>
      </c>
      <c r="W627">
        <v>5.48</v>
      </c>
      <c r="X627" s="1">
        <v>44733</v>
      </c>
      <c r="Y627">
        <f>NETWORKDAYS(X627,$Z$1,FERIADO!$A$2:$A$408)</f>
        <v>2154</v>
      </c>
      <c r="Z627">
        <v>12.65</v>
      </c>
      <c r="AA627" s="6">
        <f t="shared" si="83"/>
        <v>36126.130232827258</v>
      </c>
      <c r="AB627" s="2">
        <f t="shared" si="84"/>
        <v>-7.8390570302752508E-4</v>
      </c>
      <c r="AJ627" s="1">
        <v>44733</v>
      </c>
      <c r="AK627">
        <f>NETWORKDAYS(AJ627,$AJ$1,FERIADO!$A$2:$A$408)</f>
        <v>1141</v>
      </c>
      <c r="AL627">
        <v>12.395</v>
      </c>
      <c r="AM627" s="6">
        <f t="shared" si="85"/>
        <v>58915.409262201079</v>
      </c>
      <c r="AN627" s="2">
        <f t="shared" si="86"/>
        <v>-6.1300699696544179E-5</v>
      </c>
      <c r="AP627" s="11">
        <f t="shared" si="87"/>
        <v>-3.9195285151376254E-4</v>
      </c>
      <c r="AQ627" s="11">
        <f t="shared" si="88"/>
        <v>-1.8390209908963253E-5</v>
      </c>
      <c r="AR627" s="11">
        <f t="shared" si="89"/>
        <v>-4.1034306142272582E-4</v>
      </c>
    </row>
    <row r="628" spans="2:44" x14ac:dyDescent="0.35">
      <c r="B628" s="1">
        <v>44732</v>
      </c>
      <c r="C628">
        <v>4011.47</v>
      </c>
      <c r="D628" s="1">
        <v>44732</v>
      </c>
      <c r="E628">
        <v>5.1635</v>
      </c>
      <c r="F628" s="1">
        <v>44727</v>
      </c>
      <c r="G628">
        <v>115.81</v>
      </c>
      <c r="H628" s="4">
        <f t="shared" si="81"/>
        <v>597984.93500000006</v>
      </c>
      <c r="I628" s="5">
        <v>44732</v>
      </c>
      <c r="J628" s="4">
        <v>5987.09</v>
      </c>
      <c r="K628" s="4">
        <f t="shared" si="82"/>
        <v>59870.9</v>
      </c>
      <c r="L628" s="1">
        <v>44732</v>
      </c>
      <c r="M628">
        <v>5.27</v>
      </c>
      <c r="N628" s="1">
        <v>44732</v>
      </c>
      <c r="O628">
        <v>5.3</v>
      </c>
      <c r="P628" s="1">
        <v>44732</v>
      </c>
      <c r="Q628">
        <v>5.29</v>
      </c>
      <c r="R628" s="1">
        <v>44732</v>
      </c>
      <c r="S628">
        <v>5.31</v>
      </c>
      <c r="T628" s="1">
        <v>44721</v>
      </c>
      <c r="U628">
        <v>5.3</v>
      </c>
      <c r="V628" s="1">
        <v>44732</v>
      </c>
      <c r="W628">
        <v>5.44</v>
      </c>
      <c r="X628" s="1">
        <v>44732</v>
      </c>
      <c r="Y628">
        <f>NETWORKDAYS(X628,$Z$1,FERIADO!$A$2:$A$408)</f>
        <v>2155</v>
      </c>
      <c r="Z628">
        <v>12.62</v>
      </c>
      <c r="AA628" s="6">
        <f t="shared" si="83"/>
        <v>36191.397130173755</v>
      </c>
      <c r="AB628" s="2">
        <f t="shared" si="84"/>
        <v>2.5135905190881817E-3</v>
      </c>
      <c r="AJ628" s="1">
        <v>44732</v>
      </c>
      <c r="AK628">
        <f>NETWORKDAYS(AJ628,$AJ$1,FERIADO!$A$2:$A$408)</f>
        <v>1142</v>
      </c>
      <c r="AL628">
        <v>12.38</v>
      </c>
      <c r="AM628" s="6">
        <f t="shared" si="85"/>
        <v>58923.725763696879</v>
      </c>
      <c r="AN628" s="2">
        <f t="shared" si="86"/>
        <v>1.4277492791867246E-3</v>
      </c>
      <c r="AP628" s="11">
        <f t="shared" si="87"/>
        <v>1.2567952595440909E-3</v>
      </c>
      <c r="AQ628" s="11">
        <f t="shared" si="88"/>
        <v>4.2832478375601739E-4</v>
      </c>
      <c r="AR628" s="11">
        <f t="shared" si="89"/>
        <v>1.6851200433001083E-3</v>
      </c>
    </row>
    <row r="629" spans="2:44" x14ac:dyDescent="0.35">
      <c r="B629" s="1">
        <v>44729</v>
      </c>
      <c r="C629">
        <v>4017.15</v>
      </c>
      <c r="D629" s="1">
        <v>44729</v>
      </c>
      <c r="E629">
        <v>5.1307</v>
      </c>
      <c r="F629" s="1">
        <v>44726</v>
      </c>
      <c r="G629">
        <v>114.405</v>
      </c>
      <c r="H629" s="4">
        <f t="shared" si="81"/>
        <v>586977.73349999997</v>
      </c>
      <c r="I629" s="5">
        <v>44729</v>
      </c>
      <c r="J629" s="4">
        <v>5946.28</v>
      </c>
      <c r="K629" s="4">
        <f t="shared" si="82"/>
        <v>59462.799999999996</v>
      </c>
      <c r="L629" s="1">
        <v>44729</v>
      </c>
      <c r="M629">
        <v>5.21</v>
      </c>
      <c r="N629" s="1">
        <v>44729</v>
      </c>
      <c r="O629">
        <v>5.2</v>
      </c>
      <c r="P629" s="1">
        <v>44729</v>
      </c>
      <c r="Q629">
        <v>5.22</v>
      </c>
      <c r="R629" s="1">
        <v>44729</v>
      </c>
      <c r="S629">
        <v>5.23</v>
      </c>
      <c r="T629" s="1">
        <v>44720</v>
      </c>
      <c r="U629">
        <v>5.5</v>
      </c>
      <c r="V629" s="1">
        <v>44729</v>
      </c>
      <c r="W629">
        <v>5.37</v>
      </c>
      <c r="X629" s="1">
        <v>44729</v>
      </c>
      <c r="Y629">
        <f>NETWORKDAYS(X629,$Z$1,FERIADO!$A$2:$A$408)</f>
        <v>2156</v>
      </c>
      <c r="Z629">
        <v>12.69</v>
      </c>
      <c r="AA629" s="6">
        <f t="shared" si="83"/>
        <v>35982.535156262202</v>
      </c>
      <c r="AB629" s="2">
        <f t="shared" si="84"/>
        <v>4.4917891599928917E-3</v>
      </c>
      <c r="AJ629" s="1">
        <v>44729</v>
      </c>
      <c r="AK629">
        <f>NETWORKDAYS(AJ629,$AJ$1,FERIADO!$A$2:$A$408)</f>
        <v>1143</v>
      </c>
      <c r="AL629">
        <v>12.45</v>
      </c>
      <c r="AM629" s="6">
        <f t="shared" si="85"/>
        <v>58730.331245924106</v>
      </c>
      <c r="AN629" s="2">
        <f t="shared" si="86"/>
        <v>4.0556594434748433E-3</v>
      </c>
      <c r="AP629" s="11">
        <f t="shared" si="87"/>
        <v>2.2458945799964459E-3</v>
      </c>
      <c r="AQ629" s="11">
        <f t="shared" si="88"/>
        <v>1.216697833042453E-3</v>
      </c>
      <c r="AR629" s="11">
        <f t="shared" si="89"/>
        <v>3.4625924130388987E-3</v>
      </c>
    </row>
    <row r="630" spans="2:44" x14ac:dyDescent="0.35">
      <c r="B630" s="1">
        <v>44727</v>
      </c>
      <c r="C630">
        <v>4142.3900000000003</v>
      </c>
      <c r="D630" s="1">
        <v>44727</v>
      </c>
      <c r="E630">
        <v>5.1113</v>
      </c>
      <c r="F630" s="1">
        <v>44725</v>
      </c>
      <c r="G630">
        <v>115.26300000000001</v>
      </c>
      <c r="H630" s="4">
        <f t="shared" si="81"/>
        <v>589143.77190000005</v>
      </c>
      <c r="I630" s="5">
        <v>44727</v>
      </c>
      <c r="J630" s="4">
        <v>5837.07</v>
      </c>
      <c r="K630" s="4">
        <f t="shared" si="82"/>
        <v>58370.7</v>
      </c>
      <c r="L630" s="1">
        <v>44727</v>
      </c>
      <c r="M630">
        <v>5.26</v>
      </c>
      <c r="N630" s="1">
        <v>44727</v>
      </c>
      <c r="O630">
        <v>5.26</v>
      </c>
      <c r="P630" s="1">
        <v>44727</v>
      </c>
      <c r="Q630">
        <v>5.24</v>
      </c>
      <c r="R630" s="1">
        <v>44727</v>
      </c>
      <c r="S630">
        <v>5.25</v>
      </c>
      <c r="T630" s="1">
        <v>44715</v>
      </c>
      <c r="U630">
        <v>5.38</v>
      </c>
      <c r="V630" s="1">
        <v>44727</v>
      </c>
      <c r="W630">
        <v>5.38</v>
      </c>
      <c r="X630" s="1">
        <v>44727</v>
      </c>
      <c r="Y630">
        <f>NETWORKDAYS(X630,$Z$1,FERIADO!$A$2:$A$408)</f>
        <v>2157</v>
      </c>
      <c r="Z630">
        <v>12.82</v>
      </c>
      <c r="AA630" s="6">
        <f t="shared" si="83"/>
        <v>35612.295570851747</v>
      </c>
      <c r="AB630" s="2">
        <f t="shared" si="84"/>
        <v>1.0741653213463506E-2</v>
      </c>
      <c r="AJ630" s="1">
        <v>44727</v>
      </c>
      <c r="AK630">
        <f>NETWORKDAYS(AJ630,$AJ$1,FERIADO!$A$2:$A$408)</f>
        <v>1144</v>
      </c>
      <c r="AL630">
        <v>12.67</v>
      </c>
      <c r="AM630" s="6">
        <f t="shared" si="85"/>
        <v>58184.430902875145</v>
      </c>
      <c r="AN630" s="2">
        <f t="shared" si="86"/>
        <v>6.1513217777865795E-3</v>
      </c>
      <c r="AP630" s="11">
        <f t="shared" si="87"/>
        <v>5.3708266067317529E-3</v>
      </c>
      <c r="AQ630" s="11">
        <f t="shared" si="88"/>
        <v>1.8453965333359737E-3</v>
      </c>
      <c r="AR630" s="11">
        <f t="shared" si="89"/>
        <v>7.2162231400677264E-3</v>
      </c>
    </row>
    <row r="631" spans="2:44" x14ac:dyDescent="0.35">
      <c r="B631" s="1">
        <v>44726</v>
      </c>
      <c r="C631">
        <v>4078.63</v>
      </c>
      <c r="D631" s="1">
        <v>44726</v>
      </c>
      <c r="E631">
        <v>5.1196999999999999</v>
      </c>
      <c r="F631" s="1">
        <v>44722</v>
      </c>
      <c r="G631">
        <v>116.746</v>
      </c>
      <c r="H631" s="4">
        <f t="shared" si="81"/>
        <v>597704.49619999994</v>
      </c>
      <c r="I631" s="5">
        <v>44726</v>
      </c>
      <c r="J631" s="4">
        <v>5912.94</v>
      </c>
      <c r="K631" s="4">
        <f t="shared" si="82"/>
        <v>59129.399999999994</v>
      </c>
      <c r="L631" s="1">
        <v>44726</v>
      </c>
      <c r="M631">
        <v>5.44</v>
      </c>
      <c r="N631" s="1">
        <v>44726</v>
      </c>
      <c r="O631">
        <v>5.41</v>
      </c>
      <c r="P631" s="1">
        <v>44726</v>
      </c>
      <c r="Q631">
        <v>5.38</v>
      </c>
      <c r="R631" s="1">
        <v>44726</v>
      </c>
      <c r="S631">
        <v>5.41</v>
      </c>
      <c r="T631" s="1">
        <v>44714</v>
      </c>
      <c r="U631">
        <v>5.45</v>
      </c>
      <c r="V631" s="1">
        <v>44726</v>
      </c>
      <c r="W631">
        <v>5.5</v>
      </c>
      <c r="X631" s="1">
        <v>44726</v>
      </c>
      <c r="Y631">
        <f>NETWORKDAYS(X631,$Z$1,FERIADO!$A$2:$A$408)</f>
        <v>2158</v>
      </c>
      <c r="Z631">
        <v>13.14</v>
      </c>
      <c r="AA631" s="6">
        <f t="shared" si="83"/>
        <v>34742.279993443422</v>
      </c>
      <c r="AB631" s="2">
        <f t="shared" si="84"/>
        <v>-7.6884275740828293E-3</v>
      </c>
      <c r="AJ631" s="1">
        <v>44726</v>
      </c>
      <c r="AK631">
        <f>NETWORKDAYS(AJ631,$AJ$1,FERIADO!$A$2:$A$408)</f>
        <v>1145</v>
      </c>
      <c r="AL631">
        <v>13.01</v>
      </c>
      <c r="AM631" s="6">
        <f t="shared" si="85"/>
        <v>57366.118950311728</v>
      </c>
      <c r="AN631" s="2">
        <f t="shared" si="86"/>
        <v>-4.513487507527965E-3</v>
      </c>
      <c r="AP631" s="11">
        <f t="shared" si="87"/>
        <v>-3.8442137870414146E-3</v>
      </c>
      <c r="AQ631" s="11">
        <f t="shared" si="88"/>
        <v>-1.3540462522583895E-3</v>
      </c>
      <c r="AR631" s="11">
        <f t="shared" si="89"/>
        <v>-5.1982600392998044E-3</v>
      </c>
    </row>
    <row r="632" spans="2:44" x14ac:dyDescent="0.35">
      <c r="B632" s="1">
        <v>44725</v>
      </c>
      <c r="C632">
        <v>4071.81</v>
      </c>
      <c r="D632" s="1">
        <v>44725</v>
      </c>
      <c r="E632">
        <v>5.1026999999999996</v>
      </c>
      <c r="F632" s="1">
        <v>44721</v>
      </c>
      <c r="G632">
        <v>117.866</v>
      </c>
      <c r="H632" s="4">
        <f t="shared" si="81"/>
        <v>601434.8382</v>
      </c>
      <c r="I632" s="5">
        <v>44725</v>
      </c>
      <c r="J632" s="4">
        <v>5911.21</v>
      </c>
      <c r="K632" s="4">
        <f t="shared" si="82"/>
        <v>59112.1</v>
      </c>
      <c r="L632" s="1">
        <v>44725</v>
      </c>
      <c r="M632">
        <v>5.4</v>
      </c>
      <c r="N632" s="1">
        <v>44725</v>
      </c>
      <c r="O632">
        <v>5.35</v>
      </c>
      <c r="P632" s="1">
        <v>44725</v>
      </c>
      <c r="Q632">
        <v>5.35</v>
      </c>
      <c r="R632" s="1">
        <v>44725</v>
      </c>
      <c r="S632">
        <v>5.37</v>
      </c>
      <c r="T632" s="1">
        <v>44713</v>
      </c>
      <c r="U632">
        <v>5.43</v>
      </c>
      <c r="V632" s="1">
        <v>44725</v>
      </c>
      <c r="W632">
        <v>5.47</v>
      </c>
      <c r="X632" s="1">
        <v>44725</v>
      </c>
      <c r="Y632">
        <f>NETWORKDAYS(X632,$Z$1,FERIADO!$A$2:$A$408)</f>
        <v>2159</v>
      </c>
      <c r="Z632">
        <v>12.9</v>
      </c>
      <c r="AA632" s="6">
        <f t="shared" si="83"/>
        <v>35362.808042694967</v>
      </c>
      <c r="AB632" s="2">
        <f t="shared" si="84"/>
        <v>-5.7305698301492259E-3</v>
      </c>
      <c r="AJ632" s="1">
        <v>44725</v>
      </c>
      <c r="AK632">
        <f>NETWORKDAYS(AJ632,$AJ$1,FERIADO!$A$2:$A$408)</f>
        <v>1146</v>
      </c>
      <c r="AL632">
        <v>12.74</v>
      </c>
      <c r="AM632" s="6">
        <f t="shared" si="85"/>
        <v>57965.415946299181</v>
      </c>
      <c r="AN632" s="2">
        <f t="shared" si="86"/>
        <v>-4.1815888529728668E-3</v>
      </c>
      <c r="AP632" s="11">
        <f t="shared" si="87"/>
        <v>-2.8652849150746129E-3</v>
      </c>
      <c r="AQ632" s="11">
        <f t="shared" si="88"/>
        <v>-1.2544766558918599E-3</v>
      </c>
      <c r="AR632" s="11">
        <f t="shared" si="89"/>
        <v>-4.1197615709664733E-3</v>
      </c>
    </row>
    <row r="633" spans="2:44" x14ac:dyDescent="0.35">
      <c r="B633" s="1">
        <v>44722</v>
      </c>
      <c r="C633">
        <v>4253.8500000000004</v>
      </c>
      <c r="D633" s="1">
        <v>44722</v>
      </c>
      <c r="E633">
        <v>4.9829999999999997</v>
      </c>
      <c r="F633" s="1">
        <v>44720</v>
      </c>
      <c r="G633">
        <v>118.06699999999999</v>
      </c>
      <c r="H633" s="4">
        <f t="shared" si="81"/>
        <v>588327.86099999992</v>
      </c>
      <c r="I633" s="5">
        <v>44722</v>
      </c>
      <c r="J633" s="4">
        <v>5768.09</v>
      </c>
      <c r="K633" s="4">
        <f t="shared" si="82"/>
        <v>57680.9</v>
      </c>
      <c r="L633" s="1">
        <v>44722</v>
      </c>
      <c r="M633">
        <v>5.29</v>
      </c>
      <c r="N633" s="1">
        <v>44722</v>
      </c>
      <c r="O633">
        <v>5.29</v>
      </c>
      <c r="P633" s="1">
        <v>44722</v>
      </c>
      <c r="Q633">
        <v>5.28</v>
      </c>
      <c r="R633" s="1">
        <v>44722</v>
      </c>
      <c r="S633">
        <v>5.27</v>
      </c>
      <c r="T633" s="1">
        <v>44712</v>
      </c>
      <c r="U633">
        <v>5.43</v>
      </c>
      <c r="V633" s="1">
        <v>44722</v>
      </c>
      <c r="W633">
        <v>5.38</v>
      </c>
      <c r="X633" s="1">
        <v>44722</v>
      </c>
      <c r="Y633">
        <f>NETWORKDAYS(X633,$Z$1,FERIADO!$A$2:$A$408)</f>
        <v>2160</v>
      </c>
      <c r="Z633">
        <v>12.72</v>
      </c>
      <c r="AA633" s="6">
        <f t="shared" si="83"/>
        <v>35832.516821161567</v>
      </c>
      <c r="AB633" s="2">
        <f t="shared" si="84"/>
        <v>-7.8497316585379674E-4</v>
      </c>
      <c r="AJ633" s="1">
        <v>44722</v>
      </c>
      <c r="AK633">
        <f>NETWORKDAYS(AJ633,$AJ$1,FERIADO!$A$2:$A$408)</f>
        <v>1147</v>
      </c>
      <c r="AL633">
        <v>12.49</v>
      </c>
      <c r="AM633" s="6">
        <f t="shared" si="85"/>
        <v>58526.22942977785</v>
      </c>
      <c r="AN633" s="2">
        <f t="shared" si="86"/>
        <v>-1.4895445157174611E-4</v>
      </c>
      <c r="AP633" s="11">
        <f t="shared" si="87"/>
        <v>-3.9248658292689837E-4</v>
      </c>
      <c r="AQ633" s="11">
        <f t="shared" si="88"/>
        <v>-4.468633547152383E-5</v>
      </c>
      <c r="AR633" s="11">
        <f t="shared" si="89"/>
        <v>-4.3717291839842219E-4</v>
      </c>
    </row>
    <row r="634" spans="2:44" x14ac:dyDescent="0.35">
      <c r="B634" s="1">
        <v>44721</v>
      </c>
      <c r="C634">
        <v>4385.8900000000003</v>
      </c>
      <c r="D634" s="1">
        <v>44721</v>
      </c>
      <c r="E634">
        <v>4.8944999999999999</v>
      </c>
      <c r="F634" s="1">
        <v>44719</v>
      </c>
      <c r="G634">
        <v>118.3</v>
      </c>
      <c r="H634" s="4">
        <f t="shared" si="81"/>
        <v>579019.34999999986</v>
      </c>
      <c r="I634" s="5">
        <v>44721</v>
      </c>
      <c r="J634" s="4">
        <v>5674.4</v>
      </c>
      <c r="K634" s="4">
        <f t="shared" si="82"/>
        <v>56744</v>
      </c>
      <c r="L634" s="1">
        <v>44721</v>
      </c>
      <c r="M634">
        <v>5.3</v>
      </c>
      <c r="N634" s="1">
        <v>44721</v>
      </c>
      <c r="O634">
        <v>5.28</v>
      </c>
      <c r="P634" s="1">
        <v>44721</v>
      </c>
      <c r="Q634">
        <v>5.26</v>
      </c>
      <c r="R634" s="1">
        <v>44721</v>
      </c>
      <c r="S634">
        <v>5.28</v>
      </c>
      <c r="T634" s="1">
        <v>44708</v>
      </c>
      <c r="U634">
        <v>5.33</v>
      </c>
      <c r="V634" s="1">
        <v>44721</v>
      </c>
      <c r="W634">
        <v>5.41</v>
      </c>
      <c r="X634" s="1">
        <v>44721</v>
      </c>
      <c r="Y634">
        <f>NETWORKDAYS(X634,$Z$1,FERIADO!$A$2:$A$408)</f>
        <v>2161</v>
      </c>
      <c r="Z634">
        <v>12.69</v>
      </c>
      <c r="AA634" s="6">
        <f t="shared" si="83"/>
        <v>35897.34149772094</v>
      </c>
      <c r="AB634" s="2">
        <f t="shared" si="84"/>
        <v>1.1976793571340646E-3</v>
      </c>
      <c r="AJ634" s="1">
        <v>44721</v>
      </c>
      <c r="AK634">
        <f>NETWORKDAYS(AJ634,$AJ$1,FERIADO!$A$2:$A$408)</f>
        <v>1148</v>
      </c>
      <c r="AL634">
        <v>12.47</v>
      </c>
      <c r="AM634" s="6">
        <f t="shared" si="85"/>
        <v>58546.306216263714</v>
      </c>
      <c r="AN634" s="2">
        <f t="shared" si="86"/>
        <v>2.4900185714225634E-3</v>
      </c>
      <c r="AP634" s="11">
        <f t="shared" si="87"/>
        <v>5.9883967856703231E-4</v>
      </c>
      <c r="AQ634" s="11">
        <f t="shared" si="88"/>
        <v>7.4700557142676899E-4</v>
      </c>
      <c r="AR634" s="11">
        <f t="shared" si="89"/>
        <v>1.3458452499938013E-3</v>
      </c>
    </row>
    <row r="635" spans="2:44" x14ac:dyDescent="0.35">
      <c r="B635" s="1">
        <v>44720</v>
      </c>
      <c r="C635">
        <v>4482.79</v>
      </c>
      <c r="D635" s="1">
        <v>44720</v>
      </c>
      <c r="E635">
        <v>4.8704999999999998</v>
      </c>
      <c r="F635" s="1">
        <v>44718</v>
      </c>
      <c r="G635">
        <v>117.846</v>
      </c>
      <c r="H635" s="4">
        <f t="shared" si="81"/>
        <v>573968.94299999997</v>
      </c>
      <c r="I635" s="5">
        <v>44720</v>
      </c>
      <c r="J635" s="4">
        <v>5670.95</v>
      </c>
      <c r="K635" s="4">
        <f t="shared" si="82"/>
        <v>56709.5</v>
      </c>
      <c r="L635" s="1">
        <v>44720</v>
      </c>
      <c r="M635">
        <v>5.38</v>
      </c>
      <c r="N635" s="1">
        <v>44720</v>
      </c>
      <c r="O635">
        <v>5.35</v>
      </c>
      <c r="P635" s="1">
        <v>44720</v>
      </c>
      <c r="Q635">
        <v>5.31</v>
      </c>
      <c r="R635" s="1">
        <v>44720</v>
      </c>
      <c r="S635">
        <v>5.34</v>
      </c>
      <c r="T635" s="1">
        <v>44706</v>
      </c>
      <c r="U635">
        <v>5.43</v>
      </c>
      <c r="V635" s="1">
        <v>44720</v>
      </c>
      <c r="W635">
        <v>5.43</v>
      </c>
      <c r="X635" s="1">
        <v>44720</v>
      </c>
      <c r="Y635">
        <f>NETWORKDAYS(X635,$Z$1,FERIADO!$A$2:$A$408)</f>
        <v>2162</v>
      </c>
      <c r="Z635">
        <v>12.72</v>
      </c>
      <c r="AA635" s="6">
        <f t="shared" si="83"/>
        <v>35798.481672693029</v>
      </c>
      <c r="AB635" s="2">
        <f t="shared" si="84"/>
        <v>1.1983327802989954E-3</v>
      </c>
      <c r="AJ635" s="1">
        <v>44720</v>
      </c>
      <c r="AK635">
        <f>NETWORKDAYS(AJ635,$AJ$1,FERIADO!$A$2:$A$408)</f>
        <v>1149</v>
      </c>
      <c r="AL635">
        <v>12.6</v>
      </c>
      <c r="AM635" s="6">
        <f t="shared" si="85"/>
        <v>58211.592615074078</v>
      </c>
      <c r="AN635" s="2">
        <f t="shared" si="86"/>
        <v>1.1650927766308409E-4</v>
      </c>
      <c r="AP635" s="11">
        <f t="shared" si="87"/>
        <v>5.9916639014949771E-4</v>
      </c>
      <c r="AQ635" s="11">
        <f t="shared" si="88"/>
        <v>3.4952783298925227E-5</v>
      </c>
      <c r="AR635" s="11">
        <f t="shared" si="89"/>
        <v>6.3411917344842299E-4</v>
      </c>
    </row>
    <row r="636" spans="2:44" x14ac:dyDescent="0.35">
      <c r="B636" s="1">
        <v>44719</v>
      </c>
      <c r="C636">
        <v>4529.53</v>
      </c>
      <c r="D636" s="1">
        <v>44719</v>
      </c>
      <c r="E636">
        <v>4.8902999999999999</v>
      </c>
      <c r="F636" s="1">
        <v>44715</v>
      </c>
      <c r="G636">
        <v>118.65600000000001</v>
      </c>
      <c r="H636" s="4">
        <f t="shared" si="81"/>
        <v>580263.43680000002</v>
      </c>
      <c r="I636" s="5">
        <v>44719</v>
      </c>
      <c r="J636" s="4">
        <v>5639.91</v>
      </c>
      <c r="K636" s="4">
        <f t="shared" si="82"/>
        <v>56399.1</v>
      </c>
      <c r="L636" s="1">
        <v>44719</v>
      </c>
      <c r="M636">
        <v>5.41</v>
      </c>
      <c r="N636" s="1">
        <v>44719</v>
      </c>
      <c r="O636">
        <v>5.4</v>
      </c>
      <c r="P636" s="1">
        <v>44719</v>
      </c>
      <c r="Q636">
        <v>5.34</v>
      </c>
      <c r="R636" s="1">
        <v>44719</v>
      </c>
      <c r="S636">
        <v>5.37</v>
      </c>
      <c r="T636" s="1">
        <v>44705</v>
      </c>
      <c r="U636">
        <v>5.43</v>
      </c>
      <c r="V636" s="1">
        <v>44719</v>
      </c>
      <c r="W636">
        <v>5.48</v>
      </c>
      <c r="X636" s="1">
        <v>44719</v>
      </c>
      <c r="Y636">
        <f>NETWORKDAYS(X636,$Z$1,FERIADO!$A$2:$A$408)</f>
        <v>2163</v>
      </c>
      <c r="Z636">
        <v>12.75</v>
      </c>
      <c r="AA636" s="6">
        <f t="shared" si="83"/>
        <v>35699.84039094115</v>
      </c>
      <c r="AB636" s="2">
        <f t="shared" si="84"/>
        <v>-6.7458088474228566E-3</v>
      </c>
      <c r="AJ636" s="1">
        <v>44719</v>
      </c>
      <c r="AK636">
        <f>NETWORKDAYS(AJ636,$AJ$1,FERIADO!$A$2:$A$408)</f>
        <v>1150</v>
      </c>
      <c r="AL636">
        <v>12.595000000000001</v>
      </c>
      <c r="AM636" s="6">
        <f t="shared" si="85"/>
        <v>58195.97813864526</v>
      </c>
      <c r="AN636" s="2">
        <f t="shared" si="86"/>
        <v>-3.3221573276937849E-3</v>
      </c>
      <c r="AP636" s="11">
        <f t="shared" si="87"/>
        <v>-3.3729044237114283E-3</v>
      </c>
      <c r="AQ636" s="11">
        <f t="shared" si="88"/>
        <v>-9.9664719830813535E-4</v>
      </c>
      <c r="AR636" s="11">
        <f t="shared" si="89"/>
        <v>-4.3695516220195636E-3</v>
      </c>
    </row>
    <row r="637" spans="2:44" x14ac:dyDescent="0.35">
      <c r="B637" s="1">
        <v>44718</v>
      </c>
      <c r="C637">
        <v>4491.75</v>
      </c>
      <c r="D637" s="1">
        <v>44718</v>
      </c>
      <c r="E637">
        <v>4.7832999999999997</v>
      </c>
      <c r="F637" s="1">
        <v>44714</v>
      </c>
      <c r="G637">
        <v>118.818</v>
      </c>
      <c r="H637" s="4">
        <f t="shared" si="81"/>
        <v>568342.13939999999</v>
      </c>
      <c r="I637" s="5">
        <v>44718</v>
      </c>
      <c r="J637" s="4">
        <v>5553.69</v>
      </c>
      <c r="K637" s="4">
        <f t="shared" si="82"/>
        <v>55536.899999999994</v>
      </c>
      <c r="L637" s="1">
        <v>44718</v>
      </c>
      <c r="M637">
        <v>5.33</v>
      </c>
      <c r="N637" s="1">
        <v>44718</v>
      </c>
      <c r="O637">
        <v>5.3</v>
      </c>
      <c r="P637" s="1">
        <v>44718</v>
      </c>
      <c r="Q637">
        <v>5.31</v>
      </c>
      <c r="R637" s="1">
        <v>44718</v>
      </c>
      <c r="S637">
        <v>5.32</v>
      </c>
      <c r="T637" s="1">
        <v>44704</v>
      </c>
      <c r="U637">
        <v>5.3</v>
      </c>
      <c r="V637" s="1">
        <v>44718</v>
      </c>
      <c r="W637">
        <v>5.44</v>
      </c>
      <c r="X637" s="1">
        <v>44718</v>
      </c>
      <c r="Y637">
        <f>NETWORKDAYS(X637,$Z$1,FERIADO!$A$2:$A$408)</f>
        <v>2164</v>
      </c>
      <c r="Z637">
        <v>12.54</v>
      </c>
      <c r="AA637" s="6">
        <f t="shared" si="83"/>
        <v>36258.687828702903</v>
      </c>
      <c r="AB637" s="2">
        <f t="shared" si="84"/>
        <v>-1.7861662384894641E-3</v>
      </c>
      <c r="AJ637" s="1">
        <v>44718</v>
      </c>
      <c r="AK637">
        <f>NETWORKDAYS(AJ637,$AJ$1,FERIADO!$A$2:$A$408)</f>
        <v>1151</v>
      </c>
      <c r="AL637">
        <v>12.395</v>
      </c>
      <c r="AM637" s="6">
        <f t="shared" si="85"/>
        <v>58642.858216300636</v>
      </c>
      <c r="AN637" s="2">
        <f t="shared" si="86"/>
        <v>-1.3006317742363901E-3</v>
      </c>
      <c r="AP637" s="11">
        <f t="shared" si="87"/>
        <v>-8.9308311924473206E-4</v>
      </c>
      <c r="AQ637" s="11">
        <f t="shared" si="88"/>
        <v>-3.90189532270917E-4</v>
      </c>
      <c r="AR637" s="11">
        <f t="shared" si="89"/>
        <v>-1.283272651515649E-3</v>
      </c>
    </row>
    <row r="638" spans="2:44" x14ac:dyDescent="0.35">
      <c r="B638" s="1">
        <v>44715</v>
      </c>
      <c r="C638">
        <v>4485.24</v>
      </c>
      <c r="D638" s="1">
        <v>44715</v>
      </c>
      <c r="E638">
        <v>4.7949999999999999</v>
      </c>
      <c r="F638" s="1">
        <v>44713</v>
      </c>
      <c r="G638">
        <v>118.71</v>
      </c>
      <c r="H638" s="4">
        <f t="shared" si="81"/>
        <v>569214.44999999995</v>
      </c>
      <c r="I638" s="5">
        <v>44715</v>
      </c>
      <c r="J638" s="4">
        <v>5531.85</v>
      </c>
      <c r="K638" s="4">
        <f t="shared" si="82"/>
        <v>55318.5</v>
      </c>
      <c r="L638" s="1">
        <v>44715</v>
      </c>
      <c r="M638">
        <v>5.33</v>
      </c>
      <c r="N638" s="1">
        <v>44715</v>
      </c>
      <c r="O638">
        <v>5.33</v>
      </c>
      <c r="P638" s="1">
        <v>44715</v>
      </c>
      <c r="Q638">
        <v>5.3</v>
      </c>
      <c r="R638" s="1">
        <v>44715</v>
      </c>
      <c r="S638">
        <v>5.3</v>
      </c>
      <c r="T638" s="1">
        <v>44701</v>
      </c>
      <c r="U638">
        <v>5.33</v>
      </c>
      <c r="V638" s="1">
        <v>44715</v>
      </c>
      <c r="W638">
        <v>5.43</v>
      </c>
      <c r="X638" s="1">
        <v>44715</v>
      </c>
      <c r="Y638">
        <f>NETWORKDAYS(X638,$Z$1,FERIADO!$A$2:$A$408)</f>
        <v>2165</v>
      </c>
      <c r="Z638">
        <v>12.48</v>
      </c>
      <c r="AA638" s="6">
        <f t="shared" si="83"/>
        <v>36408.119632001944</v>
      </c>
      <c r="AB638" s="2">
        <f t="shared" si="84"/>
        <v>1.5299205087130321E-3</v>
      </c>
      <c r="AJ638" s="1">
        <v>44715</v>
      </c>
      <c r="AK638">
        <f>NETWORKDAYS(AJ638,$AJ$1,FERIADO!$A$2:$A$408)</f>
        <v>1152</v>
      </c>
      <c r="AL638">
        <v>12.31</v>
      </c>
      <c r="AM638" s="6">
        <f t="shared" si="85"/>
        <v>58818.745991608244</v>
      </c>
      <c r="AN638" s="2">
        <f t="shared" si="86"/>
        <v>9.9608614707858258E-4</v>
      </c>
      <c r="AP638" s="11">
        <f t="shared" si="87"/>
        <v>7.6496025435651607E-4</v>
      </c>
      <c r="AQ638" s="11">
        <f t="shared" si="88"/>
        <v>2.9882584412357476E-4</v>
      </c>
      <c r="AR638" s="11">
        <f t="shared" si="89"/>
        <v>1.0637860984800908E-3</v>
      </c>
    </row>
    <row r="639" spans="2:44" x14ac:dyDescent="0.35">
      <c r="B639" s="1">
        <v>44714</v>
      </c>
      <c r="C639">
        <v>4552.72</v>
      </c>
      <c r="D639" s="1">
        <v>44714</v>
      </c>
      <c r="E639">
        <v>4.7873000000000001</v>
      </c>
      <c r="F639" s="1">
        <v>44712</v>
      </c>
      <c r="G639">
        <v>119.4</v>
      </c>
      <c r="H639" s="4">
        <f t="shared" si="81"/>
        <v>571603.62000000011</v>
      </c>
      <c r="I639" s="5">
        <v>44714</v>
      </c>
      <c r="J639" s="4">
        <v>5563.46</v>
      </c>
      <c r="K639" s="4">
        <f t="shared" si="82"/>
        <v>55634.6</v>
      </c>
      <c r="L639" s="1">
        <v>44714</v>
      </c>
      <c r="M639">
        <v>5.38</v>
      </c>
      <c r="N639" s="1">
        <v>44714</v>
      </c>
      <c r="O639">
        <v>5.36</v>
      </c>
      <c r="P639" s="1">
        <v>44714</v>
      </c>
      <c r="Q639">
        <v>5.34</v>
      </c>
      <c r="R639" s="1">
        <v>44714</v>
      </c>
      <c r="S639">
        <v>5.32</v>
      </c>
      <c r="T639" s="1">
        <v>44699</v>
      </c>
      <c r="U639">
        <v>5.33</v>
      </c>
      <c r="V639" s="1">
        <v>44714</v>
      </c>
      <c r="W639">
        <v>5.43</v>
      </c>
      <c r="X639" s="1">
        <v>44714</v>
      </c>
      <c r="Y639">
        <f>NETWORKDAYS(X639,$Z$1,FERIADO!$A$2:$A$408)</f>
        <v>2166</v>
      </c>
      <c r="Z639">
        <v>12.52</v>
      </c>
      <c r="AA639" s="6">
        <f t="shared" si="83"/>
        <v>36280.087767828438</v>
      </c>
      <c r="AB639" s="2">
        <f t="shared" si="84"/>
        <v>-1.7886647518587048E-3</v>
      </c>
      <c r="AJ639" s="1">
        <v>44714</v>
      </c>
      <c r="AK639">
        <f>NETWORKDAYS(AJ639,$AJ$1,FERIADO!$A$2:$A$408)</f>
        <v>1153</v>
      </c>
      <c r="AL639">
        <v>12.355</v>
      </c>
      <c r="AM639" s="6">
        <f t="shared" si="85"/>
        <v>58683.9954863651</v>
      </c>
      <c r="AN639" s="2">
        <f t="shared" si="86"/>
        <v>-1.6587078178304316E-3</v>
      </c>
      <c r="AP639" s="11">
        <f t="shared" si="87"/>
        <v>-8.9433237592935239E-4</v>
      </c>
      <c r="AQ639" s="11">
        <f t="shared" si="88"/>
        <v>-4.9761234534912943E-4</v>
      </c>
      <c r="AR639" s="11">
        <f t="shared" si="89"/>
        <v>-1.3919447212784818E-3</v>
      </c>
    </row>
    <row r="640" spans="2:44" x14ac:dyDescent="0.35">
      <c r="B640" s="1">
        <v>44713</v>
      </c>
      <c r="C640">
        <v>4467.26</v>
      </c>
      <c r="D640" s="1">
        <v>44713</v>
      </c>
      <c r="E640">
        <v>4.7759</v>
      </c>
      <c r="F640" s="1">
        <v>44711</v>
      </c>
      <c r="G640">
        <v>119.7</v>
      </c>
      <c r="H640" s="4">
        <f t="shared" si="81"/>
        <v>571675.2300000001</v>
      </c>
      <c r="I640" s="5">
        <v>44713</v>
      </c>
      <c r="J640" s="4">
        <v>5586.45</v>
      </c>
      <c r="K640" s="4">
        <f t="shared" si="82"/>
        <v>55864.5</v>
      </c>
      <c r="L640" s="1">
        <v>44713</v>
      </c>
      <c r="M640">
        <v>5.36</v>
      </c>
      <c r="N640" s="1">
        <v>44713</v>
      </c>
      <c r="O640">
        <v>5.3</v>
      </c>
      <c r="P640" s="1">
        <v>44713</v>
      </c>
      <c r="Q640">
        <v>5.34</v>
      </c>
      <c r="R640" s="1">
        <v>44713</v>
      </c>
      <c r="S640">
        <v>5.34</v>
      </c>
      <c r="T640" s="1">
        <v>44698</v>
      </c>
      <c r="U640">
        <v>5.34</v>
      </c>
      <c r="V640" s="1">
        <v>44713</v>
      </c>
      <c r="W640">
        <v>5.43</v>
      </c>
      <c r="X640" s="1">
        <v>44713</v>
      </c>
      <c r="Y640">
        <f>NETWORKDAYS(X640,$Z$1,FERIADO!$A$2:$A$408)</f>
        <v>2167</v>
      </c>
      <c r="Z640">
        <v>12.46</v>
      </c>
      <c r="AA640" s="6">
        <f t="shared" si="83"/>
        <v>36429.81734761189</v>
      </c>
      <c r="AB640" s="2">
        <f t="shared" si="84"/>
        <v>-4.784473417738337E-3</v>
      </c>
      <c r="AJ640" s="1">
        <v>44713</v>
      </c>
      <c r="AK640">
        <f>NETWORKDAYS(AJ640,$AJ$1,FERIADO!$A$2:$A$408)</f>
        <v>1154</v>
      </c>
      <c r="AL640">
        <v>12.25</v>
      </c>
      <c r="AM640" s="6">
        <f t="shared" si="85"/>
        <v>58908.556765361463</v>
      </c>
      <c r="AN640" s="2">
        <f t="shared" si="86"/>
        <v>-2.1074588430133618E-3</v>
      </c>
      <c r="AP640" s="11">
        <f t="shared" si="87"/>
        <v>-2.3922367088691685E-3</v>
      </c>
      <c r="AQ640" s="11">
        <f t="shared" si="88"/>
        <v>-6.3223765290400854E-4</v>
      </c>
      <c r="AR640" s="11">
        <f t="shared" si="89"/>
        <v>-3.024474361773177E-3</v>
      </c>
    </row>
    <row r="641" spans="2:44" x14ac:dyDescent="0.35">
      <c r="B641" s="1">
        <v>44712</v>
      </c>
      <c r="C641">
        <v>4504.82</v>
      </c>
      <c r="D641" s="1">
        <v>44712</v>
      </c>
      <c r="E641">
        <v>4.7282999999999999</v>
      </c>
      <c r="F641" s="1">
        <v>44708</v>
      </c>
      <c r="G641">
        <v>120.22</v>
      </c>
      <c r="H641" s="4">
        <f t="shared" si="81"/>
        <v>568436.22600000002</v>
      </c>
      <c r="I641" s="5">
        <v>44712</v>
      </c>
      <c r="J641" s="4">
        <v>5491.04</v>
      </c>
      <c r="K641" s="4">
        <f t="shared" si="82"/>
        <v>54910.400000000001</v>
      </c>
      <c r="L641" s="1">
        <v>44712</v>
      </c>
      <c r="M641">
        <v>5.36</v>
      </c>
      <c r="N641" s="1">
        <v>44712</v>
      </c>
      <c r="O641">
        <v>5.36</v>
      </c>
      <c r="P641" s="1">
        <v>44712</v>
      </c>
      <c r="Q641">
        <v>5.34</v>
      </c>
      <c r="R641" s="1">
        <v>44712</v>
      </c>
      <c r="S641">
        <v>5.35</v>
      </c>
      <c r="T641" s="1">
        <v>44697</v>
      </c>
      <c r="U641">
        <v>5.28</v>
      </c>
      <c r="V641" s="1">
        <v>44712</v>
      </c>
      <c r="W641">
        <v>5.42</v>
      </c>
      <c r="X641" s="1">
        <v>44712</v>
      </c>
      <c r="Y641">
        <f>NETWORKDAYS(X641,$Z$1,FERIADO!$A$2:$A$408)</f>
        <v>2168</v>
      </c>
      <c r="Z641">
        <v>12.31</v>
      </c>
      <c r="AA641" s="6">
        <f t="shared" si="83"/>
        <v>36833.370980599837</v>
      </c>
      <c r="AB641" s="2">
        <f t="shared" si="84"/>
        <v>4.524385100936776E-3</v>
      </c>
      <c r="AJ641" s="1">
        <v>44712</v>
      </c>
      <c r="AK641">
        <f>NETWORKDAYS(AJ641,$AJ$1,FERIADO!$A$2:$A$408)</f>
        <v>1155</v>
      </c>
      <c r="AL641">
        <v>12.12</v>
      </c>
      <c r="AM641" s="6">
        <f t="shared" si="85"/>
        <v>59195.111328765772</v>
      </c>
      <c r="AN641" s="2">
        <f t="shared" si="86"/>
        <v>2.1507668100310853E-3</v>
      </c>
      <c r="AP641" s="11">
        <f t="shared" si="87"/>
        <v>2.262192550468388E-3</v>
      </c>
      <c r="AQ641" s="11">
        <f t="shared" si="88"/>
        <v>6.4523004300932559E-4</v>
      </c>
      <c r="AR641" s="11">
        <f t="shared" si="89"/>
        <v>2.9074225934777138E-3</v>
      </c>
    </row>
    <row r="642" spans="2:44" x14ac:dyDescent="0.35">
      <c r="B642" s="1">
        <v>44711</v>
      </c>
      <c r="C642">
        <v>4529.87</v>
      </c>
      <c r="D642" s="1">
        <v>44711</v>
      </c>
      <c r="E642">
        <v>4.7210000000000001</v>
      </c>
      <c r="F642" s="1">
        <v>44707</v>
      </c>
      <c r="G642">
        <v>120.696</v>
      </c>
      <c r="H642" s="4">
        <f t="shared" si="81"/>
        <v>569805.81600000011</v>
      </c>
      <c r="I642" s="5">
        <v>44711</v>
      </c>
      <c r="J642" s="4">
        <v>5512.88</v>
      </c>
      <c r="K642" s="4">
        <f t="shared" si="82"/>
        <v>55128.800000000003</v>
      </c>
      <c r="L642" s="1">
        <v>44711</v>
      </c>
      <c r="M642">
        <v>5.48</v>
      </c>
      <c r="N642" s="1">
        <v>44711</v>
      </c>
      <c r="O642">
        <v>5.37</v>
      </c>
      <c r="P642" s="1">
        <v>44711</v>
      </c>
      <c r="Q642">
        <v>5.42</v>
      </c>
      <c r="R642" s="1">
        <v>44711</v>
      </c>
      <c r="S642">
        <v>5.43</v>
      </c>
      <c r="T642" s="1">
        <v>44694</v>
      </c>
      <c r="U642">
        <v>5.36</v>
      </c>
      <c r="V642" s="1">
        <v>44711</v>
      </c>
      <c r="W642">
        <v>5.47</v>
      </c>
      <c r="X642" s="1">
        <v>44711</v>
      </c>
      <c r="Y642">
        <f>NETWORKDAYS(X642,$Z$1,FERIADO!$A$2:$A$408)</f>
        <v>2169</v>
      </c>
      <c r="Z642">
        <v>12.44</v>
      </c>
      <c r="AA642" s="6">
        <f t="shared" si="83"/>
        <v>36451.640806118245</v>
      </c>
      <c r="AB642" s="2">
        <f t="shared" si="84"/>
        <v>-9.789277731417247E-3</v>
      </c>
      <c r="AJ642" s="1">
        <v>44711</v>
      </c>
      <c r="AK642">
        <f>NETWORKDAYS(AJ642,$AJ$1,FERIADO!$A$2:$A$408)</f>
        <v>1156</v>
      </c>
      <c r="AL642">
        <v>12.23</v>
      </c>
      <c r="AM642" s="6">
        <f t="shared" si="85"/>
        <v>58902.682680517406</v>
      </c>
      <c r="AN642" s="2">
        <f t="shared" si="86"/>
        <v>-5.1383185800244306E-3</v>
      </c>
      <c r="AP642" s="11">
        <f t="shared" si="87"/>
        <v>-4.8946388657086235E-3</v>
      </c>
      <c r="AQ642" s="11">
        <f t="shared" si="88"/>
        <v>-1.5414955740073292E-3</v>
      </c>
      <c r="AR642" s="11">
        <f t="shared" si="89"/>
        <v>-6.4361344397159525E-3</v>
      </c>
    </row>
    <row r="643" spans="2:44" x14ac:dyDescent="0.35">
      <c r="B643" s="1">
        <v>44708</v>
      </c>
      <c r="C643">
        <v>4545.47</v>
      </c>
      <c r="D643" s="1">
        <v>44708</v>
      </c>
      <c r="E643">
        <v>4.7427999999999999</v>
      </c>
      <c r="F643" s="1">
        <v>44706</v>
      </c>
      <c r="G643">
        <v>120.57299999999999</v>
      </c>
      <c r="H643" s="4">
        <f t="shared" si="81"/>
        <v>571853.62439999997</v>
      </c>
      <c r="I643" s="5">
        <v>44708</v>
      </c>
      <c r="J643" s="4">
        <v>5486.21</v>
      </c>
      <c r="K643" s="4">
        <f t="shared" si="82"/>
        <v>54862.1</v>
      </c>
      <c r="L643" s="1">
        <v>44708</v>
      </c>
      <c r="M643">
        <v>5.32</v>
      </c>
      <c r="N643" s="1">
        <v>44708</v>
      </c>
      <c r="O643">
        <v>5.29</v>
      </c>
      <c r="P643" s="1">
        <v>44708</v>
      </c>
      <c r="Q643">
        <v>5.28</v>
      </c>
      <c r="R643" s="1">
        <v>44708</v>
      </c>
      <c r="S643">
        <v>5.29</v>
      </c>
      <c r="T643" s="1">
        <v>44692</v>
      </c>
      <c r="U643">
        <v>5.48</v>
      </c>
      <c r="V643" s="1">
        <v>44708</v>
      </c>
      <c r="W643">
        <v>5.4</v>
      </c>
      <c r="X643" s="1">
        <v>44708</v>
      </c>
      <c r="Y643">
        <f>NETWORKDAYS(X643,$Z$1,FERIADO!$A$2:$A$408)</f>
        <v>2170</v>
      </c>
      <c r="Z643">
        <v>12.14</v>
      </c>
      <c r="AA643" s="6">
        <f t="shared" si="83"/>
        <v>37282.61445816901</v>
      </c>
      <c r="AB643" s="2">
        <f t="shared" si="84"/>
        <v>8.6469058355701553E-4</v>
      </c>
      <c r="AJ643" s="1">
        <v>44708</v>
      </c>
      <c r="AK643">
        <f>NETWORKDAYS(AJ643,$AJ$1,FERIADO!$A$2:$A$408)</f>
        <v>1157</v>
      </c>
      <c r="AL643">
        <v>11.93</v>
      </c>
      <c r="AM643" s="6">
        <f t="shared" si="85"/>
        <v>59603.723785635215</v>
      </c>
      <c r="AN643" s="2">
        <f t="shared" si="86"/>
        <v>-1.623951747978472E-4</v>
      </c>
      <c r="AP643" s="11">
        <f t="shared" si="87"/>
        <v>4.3234529177850776E-4</v>
      </c>
      <c r="AQ643" s="11">
        <f t="shared" si="88"/>
        <v>-4.871855243935416E-5</v>
      </c>
      <c r="AR643" s="11">
        <f t="shared" si="89"/>
        <v>3.8362673933915362E-4</v>
      </c>
    </row>
    <row r="644" spans="2:44" x14ac:dyDescent="0.35">
      <c r="B644" s="1">
        <v>44707</v>
      </c>
      <c r="C644">
        <v>4421.96</v>
      </c>
      <c r="D644" s="1">
        <v>44707</v>
      </c>
      <c r="E644">
        <v>4.7961</v>
      </c>
      <c r="F644" s="1">
        <v>44705</v>
      </c>
      <c r="G644">
        <v>120.435</v>
      </c>
      <c r="H644" s="4">
        <f t="shared" ref="H644:H707" si="90">G644*E644*1000</f>
        <v>577618.30350000004</v>
      </c>
      <c r="I644" s="5">
        <v>44707</v>
      </c>
      <c r="J644" s="4">
        <v>5534.91</v>
      </c>
      <c r="K644" s="4">
        <f t="shared" si="82"/>
        <v>55349.1</v>
      </c>
      <c r="L644" s="1">
        <v>44707</v>
      </c>
      <c r="M644">
        <v>5.3</v>
      </c>
      <c r="N644" s="1">
        <v>44707</v>
      </c>
      <c r="O644">
        <v>5.29</v>
      </c>
      <c r="P644" s="1">
        <v>44707</v>
      </c>
      <c r="Q644">
        <v>5.28</v>
      </c>
      <c r="R644" s="1">
        <v>44707</v>
      </c>
      <c r="S644">
        <v>5.3</v>
      </c>
      <c r="T644" s="1">
        <v>44691</v>
      </c>
      <c r="U644">
        <v>5.4</v>
      </c>
      <c r="V644" s="1">
        <v>44707</v>
      </c>
      <c r="W644">
        <v>5.37</v>
      </c>
      <c r="X644" s="1">
        <v>44707</v>
      </c>
      <c r="Y644">
        <f>NETWORKDAYS(X644,$Z$1,FERIADO!$A$2:$A$408)</f>
        <v>2171</v>
      </c>
      <c r="Z644">
        <v>12.16</v>
      </c>
      <c r="AA644" s="6">
        <f t="shared" si="83"/>
        <v>37208.457739520571</v>
      </c>
      <c r="AB644" s="2">
        <f t="shared" si="84"/>
        <v>3.2002069176788567E-3</v>
      </c>
      <c r="AJ644" s="1">
        <v>44707</v>
      </c>
      <c r="AK644">
        <f>NETWORKDAYS(AJ644,$AJ$1,FERIADO!$A$2:$A$408)</f>
        <v>1158</v>
      </c>
      <c r="AL644">
        <v>11.91</v>
      </c>
      <c r="AM644" s="6">
        <f t="shared" si="85"/>
        <v>59626.015496597531</v>
      </c>
      <c r="AN644" s="2">
        <f t="shared" si="86"/>
        <v>3.40404799599753E-3</v>
      </c>
      <c r="AP644" s="11">
        <f t="shared" si="87"/>
        <v>1.6001034588394283E-3</v>
      </c>
      <c r="AQ644" s="11">
        <f t="shared" si="88"/>
        <v>1.0212143987992589E-3</v>
      </c>
      <c r="AR644" s="11">
        <f t="shared" si="89"/>
        <v>2.6213178576386872E-3</v>
      </c>
    </row>
    <row r="645" spans="2:44" x14ac:dyDescent="0.35">
      <c r="B645" s="1">
        <v>44706</v>
      </c>
      <c r="C645">
        <v>4324.71</v>
      </c>
      <c r="D645" s="1">
        <v>44706</v>
      </c>
      <c r="E645">
        <v>4.8353000000000002</v>
      </c>
      <c r="F645" s="1">
        <v>44704</v>
      </c>
      <c r="G645">
        <v>119.535</v>
      </c>
      <c r="H645" s="4">
        <f t="shared" si="90"/>
        <v>577987.58550000004</v>
      </c>
      <c r="I645" s="5">
        <v>44706</v>
      </c>
      <c r="J645" s="4">
        <v>5602.15</v>
      </c>
      <c r="K645" s="4">
        <f t="shared" ref="K645:K708" si="91">J645*10</f>
        <v>56021.5</v>
      </c>
      <c r="L645" s="1">
        <v>44706</v>
      </c>
      <c r="M645">
        <v>5.39</v>
      </c>
      <c r="N645" s="1">
        <v>44706</v>
      </c>
      <c r="O645">
        <v>5.37</v>
      </c>
      <c r="P645" s="1">
        <v>44706</v>
      </c>
      <c r="Q645">
        <v>5.37</v>
      </c>
      <c r="R645" s="1">
        <v>44706</v>
      </c>
      <c r="S645">
        <v>5.39</v>
      </c>
      <c r="T645" s="1">
        <v>44690</v>
      </c>
      <c r="U645">
        <v>5.39</v>
      </c>
      <c r="V645" s="1">
        <v>44706</v>
      </c>
      <c r="W645">
        <v>5.46</v>
      </c>
      <c r="X645" s="1">
        <v>44706</v>
      </c>
      <c r="Y645">
        <f>NETWORKDAYS(X645,$Z$1,FERIADO!$A$2:$A$408)</f>
        <v>2172</v>
      </c>
      <c r="Z645">
        <v>12.25</v>
      </c>
      <c r="AA645" s="6">
        <f t="shared" ref="AA645:AA708" si="92">$Z$2/(1+Z645/100)^(Y645/252)</f>
        <v>36935.285667566503</v>
      </c>
      <c r="AB645" s="2">
        <f t="shared" ref="AB645:AB708" si="93">LOG(AA645/AA646)</f>
        <v>-3.4725099802540931E-3</v>
      </c>
      <c r="AJ645" s="1">
        <v>44706</v>
      </c>
      <c r="AK645">
        <f>NETWORKDAYS(AJ645,$AJ$1,FERIADO!$A$2:$A$408)</f>
        <v>1159</v>
      </c>
      <c r="AL645">
        <v>12.09</v>
      </c>
      <c r="AM645" s="6">
        <f t="shared" ref="AM645:AM708" si="94">$Z$2/(1+AL645/100)^(AK645/252)</f>
        <v>59160.487033091827</v>
      </c>
      <c r="AN645" s="2">
        <f t="shared" ref="AN645:AN708" si="95">LOG(AM645/AM646)</f>
        <v>-1.2306213192357111E-3</v>
      </c>
      <c r="AP645" s="11">
        <f t="shared" ref="AP645:AP708" si="96">AB645*$AF$4</f>
        <v>-1.7362549901270466E-3</v>
      </c>
      <c r="AQ645" s="11">
        <f t="shared" ref="AQ645:AQ708" si="97">AN645*$AF$7</f>
        <v>-3.6918639577071332E-4</v>
      </c>
      <c r="AR645" s="11">
        <f t="shared" ref="AR645:AR708" si="98">AQ645+AP645</f>
        <v>-2.1054413858977599E-3</v>
      </c>
    </row>
    <row r="646" spans="2:44" x14ac:dyDescent="0.35">
      <c r="B646" s="1">
        <v>44705</v>
      </c>
      <c r="C646">
        <v>4309.75</v>
      </c>
      <c r="D646" s="1">
        <v>44705</v>
      </c>
      <c r="E646">
        <v>4.8099999999999996</v>
      </c>
      <c r="F646" s="1">
        <v>44701</v>
      </c>
      <c r="G646">
        <v>120.161</v>
      </c>
      <c r="H646" s="4">
        <f t="shared" si="90"/>
        <v>577974.40999999992</v>
      </c>
      <c r="I646" s="5">
        <v>44705</v>
      </c>
      <c r="J646" s="4">
        <v>5599.83</v>
      </c>
      <c r="K646" s="4">
        <f t="shared" si="91"/>
        <v>55998.3</v>
      </c>
      <c r="L646" s="1">
        <v>44705</v>
      </c>
      <c r="M646">
        <v>5.34</v>
      </c>
      <c r="N646" s="1">
        <v>44705</v>
      </c>
      <c r="O646">
        <v>5.33</v>
      </c>
      <c r="P646" s="1">
        <v>44705</v>
      </c>
      <c r="Q646">
        <v>5.32</v>
      </c>
      <c r="R646" s="1">
        <v>44705</v>
      </c>
      <c r="S646">
        <v>5.34</v>
      </c>
      <c r="T646" s="1">
        <v>44687</v>
      </c>
      <c r="U646">
        <v>5.42</v>
      </c>
      <c r="V646" s="1">
        <v>44705</v>
      </c>
      <c r="W646">
        <v>5.42</v>
      </c>
      <c r="X646" s="1">
        <v>44705</v>
      </c>
      <c r="Y646">
        <f>NETWORKDAYS(X646,$Z$1,FERIADO!$A$2:$A$408)</f>
        <v>2173</v>
      </c>
      <c r="Z646">
        <v>12.14</v>
      </c>
      <c r="AA646" s="6">
        <f t="shared" si="92"/>
        <v>37231.794794127942</v>
      </c>
      <c r="AB646" s="2">
        <f t="shared" si="93"/>
        <v>-6.8253166847265659E-3</v>
      </c>
      <c r="AJ646" s="1">
        <v>44705</v>
      </c>
      <c r="AK646">
        <f>NETWORKDAYS(AJ646,$AJ$1,FERIADO!$A$2:$A$408)</f>
        <v>1160</v>
      </c>
      <c r="AL646">
        <v>12.01</v>
      </c>
      <c r="AM646" s="6">
        <f t="shared" si="94"/>
        <v>59328.362533331514</v>
      </c>
      <c r="AN646" s="2">
        <f t="shared" si="95"/>
        <v>-4.0067976363612418E-3</v>
      </c>
      <c r="AP646" s="11">
        <f t="shared" si="96"/>
        <v>-3.412658342363283E-3</v>
      </c>
      <c r="AQ646" s="11">
        <f t="shared" si="97"/>
        <v>-1.2020392909083725E-3</v>
      </c>
      <c r="AR646" s="11">
        <f t="shared" si="98"/>
        <v>-4.6146976332716557E-3</v>
      </c>
    </row>
    <row r="647" spans="2:44" x14ac:dyDescent="0.35">
      <c r="B647" s="1">
        <v>44704</v>
      </c>
      <c r="C647">
        <v>4338.9399999999996</v>
      </c>
      <c r="D647" s="1">
        <v>44704</v>
      </c>
      <c r="E647">
        <v>4.7967000000000004</v>
      </c>
      <c r="F647" s="1">
        <v>44700</v>
      </c>
      <c r="G647">
        <v>119.66200000000001</v>
      </c>
      <c r="H647" s="4">
        <f t="shared" si="90"/>
        <v>573982.7154000001</v>
      </c>
      <c r="I647" s="5">
        <v>44704</v>
      </c>
      <c r="J647" s="4">
        <v>5596.94</v>
      </c>
      <c r="K647" s="4">
        <f t="shared" si="91"/>
        <v>55969.399999999994</v>
      </c>
      <c r="L647" s="1">
        <v>44704</v>
      </c>
      <c r="M647">
        <v>5.24</v>
      </c>
      <c r="N647" s="1">
        <v>44704</v>
      </c>
      <c r="O647">
        <v>5.24</v>
      </c>
      <c r="P647" s="1">
        <v>44704</v>
      </c>
      <c r="Q647">
        <v>5.24</v>
      </c>
      <c r="R647" s="1">
        <v>44704</v>
      </c>
      <c r="S647">
        <v>5.28</v>
      </c>
      <c r="T647" s="1">
        <v>44686</v>
      </c>
      <c r="U647">
        <v>5.37</v>
      </c>
      <c r="V647" s="1">
        <v>44704</v>
      </c>
      <c r="W647">
        <v>5.32</v>
      </c>
      <c r="X647" s="1">
        <v>44704</v>
      </c>
      <c r="Y647">
        <f>NETWORKDAYS(X647,$Z$1,FERIADO!$A$2:$A$408)</f>
        <v>2174</v>
      </c>
      <c r="Z647">
        <v>11.93</v>
      </c>
      <c r="AA647" s="6">
        <f t="shared" si="92"/>
        <v>37821.547029311383</v>
      </c>
      <c r="AB647" s="2">
        <f t="shared" si="93"/>
        <v>2.2030076574189317E-3</v>
      </c>
      <c r="AJ647" s="1">
        <v>44704</v>
      </c>
      <c r="AK647">
        <f>NETWORKDAYS(AJ647,$AJ$1,FERIADO!$A$2:$A$408)</f>
        <v>1161</v>
      </c>
      <c r="AL647">
        <v>11.775</v>
      </c>
      <c r="AM647" s="6">
        <f t="shared" si="94"/>
        <v>59878.25832828589</v>
      </c>
      <c r="AN647" s="2">
        <f t="shared" si="95"/>
        <v>1.7141398251984731E-3</v>
      </c>
      <c r="AP647" s="11">
        <f t="shared" si="96"/>
        <v>1.1015038287094658E-3</v>
      </c>
      <c r="AQ647" s="11">
        <f t="shared" si="97"/>
        <v>5.1424194755954192E-4</v>
      </c>
      <c r="AR647" s="11">
        <f t="shared" si="98"/>
        <v>1.6157457762690079E-3</v>
      </c>
    </row>
    <row r="648" spans="2:44" x14ac:dyDescent="0.35">
      <c r="B648" s="1">
        <v>44701</v>
      </c>
      <c r="C648">
        <v>4258.21</v>
      </c>
      <c r="D648" s="1">
        <v>44701</v>
      </c>
      <c r="E648">
        <v>4.8771000000000004</v>
      </c>
      <c r="F648" s="1">
        <v>44699</v>
      </c>
      <c r="G648">
        <v>119.437</v>
      </c>
      <c r="H648" s="4">
        <f t="shared" si="90"/>
        <v>582506.19270000001</v>
      </c>
      <c r="I648" s="5">
        <v>44701</v>
      </c>
      <c r="J648" s="4">
        <v>5672.88</v>
      </c>
      <c r="K648" s="4">
        <f t="shared" si="91"/>
        <v>56728.800000000003</v>
      </c>
      <c r="L648" s="1">
        <v>44701</v>
      </c>
      <c r="M648">
        <v>5.23</v>
      </c>
      <c r="N648" s="1">
        <v>44701</v>
      </c>
      <c r="O648">
        <v>5.2</v>
      </c>
      <c r="P648" s="1">
        <v>44701</v>
      </c>
      <c r="Q648">
        <v>5.22</v>
      </c>
      <c r="R648" s="1">
        <v>44701</v>
      </c>
      <c r="S648">
        <v>5.24</v>
      </c>
      <c r="T648" s="1">
        <v>44685</v>
      </c>
      <c r="U648">
        <v>5.28</v>
      </c>
      <c r="V648" s="1">
        <v>44701</v>
      </c>
      <c r="W648">
        <v>5.33</v>
      </c>
      <c r="X648" s="1">
        <v>44701</v>
      </c>
      <c r="Y648">
        <f>NETWORKDAYS(X648,$Z$1,FERIADO!$A$2:$A$408)</f>
        <v>2175</v>
      </c>
      <c r="Z648">
        <v>11.99</v>
      </c>
      <c r="AA648" s="6">
        <f t="shared" si="92"/>
        <v>37630.178752524844</v>
      </c>
      <c r="AB648" s="2">
        <f t="shared" si="93"/>
        <v>4.2113257373758454E-3</v>
      </c>
      <c r="AJ648" s="1">
        <v>44701</v>
      </c>
      <c r="AK648">
        <f>NETWORKDAYS(AJ648,$AJ$1,FERIADO!$A$2:$A$408)</f>
        <v>1162</v>
      </c>
      <c r="AL648">
        <v>11.86</v>
      </c>
      <c r="AM648" s="6">
        <f t="shared" si="94"/>
        <v>59642.387460191312</v>
      </c>
      <c r="AN648" s="2">
        <f t="shared" si="95"/>
        <v>2.4316490914483521E-3</v>
      </c>
      <c r="AP648" s="11">
        <f t="shared" si="96"/>
        <v>2.1056628686879227E-3</v>
      </c>
      <c r="AQ648" s="11">
        <f t="shared" si="97"/>
        <v>7.2949472743450555E-4</v>
      </c>
      <c r="AR648" s="11">
        <f t="shared" si="98"/>
        <v>2.8351575961224284E-3</v>
      </c>
    </row>
    <row r="649" spans="2:44" x14ac:dyDescent="0.35">
      <c r="B649" s="1">
        <v>44700</v>
      </c>
      <c r="C649">
        <v>4255.62</v>
      </c>
      <c r="D649" s="1">
        <v>44700</v>
      </c>
      <c r="E649">
        <v>4.9192</v>
      </c>
      <c r="F649" s="1">
        <v>44698</v>
      </c>
      <c r="G649">
        <v>118.64</v>
      </c>
      <c r="H649" s="4">
        <f t="shared" si="90"/>
        <v>583613.88799999992</v>
      </c>
      <c r="I649" s="5">
        <v>44700</v>
      </c>
      <c r="J649" s="4">
        <v>5739.54</v>
      </c>
      <c r="K649" s="4">
        <f t="shared" si="91"/>
        <v>57395.4</v>
      </c>
      <c r="L649" s="1">
        <v>44700</v>
      </c>
      <c r="M649">
        <v>5.26</v>
      </c>
      <c r="N649" s="1">
        <v>44700</v>
      </c>
      <c r="O649">
        <v>5.24</v>
      </c>
      <c r="P649" s="1">
        <v>44700</v>
      </c>
      <c r="Q649">
        <v>5.23</v>
      </c>
      <c r="R649" s="1">
        <v>44700</v>
      </c>
      <c r="S649">
        <v>5.27</v>
      </c>
      <c r="T649" s="1">
        <v>44684</v>
      </c>
      <c r="U649">
        <v>5.34</v>
      </c>
      <c r="V649" s="1">
        <v>44700</v>
      </c>
      <c r="W649">
        <v>5.32</v>
      </c>
      <c r="X649" s="1">
        <v>44700</v>
      </c>
      <c r="Y649">
        <f>NETWORKDAYS(X649,$Z$1,FERIADO!$A$2:$A$408)</f>
        <v>2176</v>
      </c>
      <c r="Z649">
        <v>12.11</v>
      </c>
      <c r="AA649" s="6">
        <f t="shared" si="92"/>
        <v>37267.044811326006</v>
      </c>
      <c r="AB649" s="2">
        <f t="shared" si="93"/>
        <v>5.5476706710347341E-3</v>
      </c>
      <c r="AJ649" s="1">
        <v>44700</v>
      </c>
      <c r="AK649">
        <f>NETWORKDAYS(AJ649,$AJ$1,FERIADO!$A$2:$A$408)</f>
        <v>1163</v>
      </c>
      <c r="AL649">
        <v>11.984999999999999</v>
      </c>
      <c r="AM649" s="6">
        <f t="shared" si="94"/>
        <v>59309.378166713403</v>
      </c>
      <c r="AN649" s="2">
        <f t="shared" si="95"/>
        <v>3.5063148459646026E-3</v>
      </c>
      <c r="AP649" s="11">
        <f t="shared" si="96"/>
        <v>2.773835335517367E-3</v>
      </c>
      <c r="AQ649" s="11">
        <f t="shared" si="97"/>
        <v>1.0518944537893807E-3</v>
      </c>
      <c r="AR649" s="11">
        <f t="shared" si="98"/>
        <v>3.8257297893067475E-3</v>
      </c>
    </row>
    <row r="650" spans="2:44" x14ac:dyDescent="0.35">
      <c r="B650" s="1">
        <v>44699</v>
      </c>
      <c r="C650">
        <v>4269.67</v>
      </c>
      <c r="D650" s="1">
        <v>44699</v>
      </c>
      <c r="E650">
        <v>4.9585999999999997</v>
      </c>
      <c r="F650" s="1">
        <v>44697</v>
      </c>
      <c r="G650">
        <v>119.575</v>
      </c>
      <c r="H650" s="4">
        <f t="shared" si="90"/>
        <v>592924.59499999997</v>
      </c>
      <c r="I650" s="5">
        <v>44699</v>
      </c>
      <c r="J650" s="4">
        <v>5780.7</v>
      </c>
      <c r="K650" s="4">
        <f t="shared" si="91"/>
        <v>57807</v>
      </c>
      <c r="L650" s="1">
        <v>44699</v>
      </c>
      <c r="M650">
        <v>5.23</v>
      </c>
      <c r="N650" s="1">
        <v>44699</v>
      </c>
      <c r="O650">
        <v>5.32</v>
      </c>
      <c r="P650" s="1">
        <v>44699</v>
      </c>
      <c r="Q650">
        <v>5.26</v>
      </c>
      <c r="R650" s="1">
        <v>44699</v>
      </c>
      <c r="S650">
        <v>5.27</v>
      </c>
      <c r="T650" s="1">
        <v>44683</v>
      </c>
      <c r="U650">
        <v>5.44</v>
      </c>
      <c r="V650" s="1">
        <v>44699</v>
      </c>
      <c r="W650">
        <v>5.34</v>
      </c>
      <c r="X650" s="1">
        <v>44699</v>
      </c>
      <c r="Y650">
        <f>NETWORKDAYS(X650,$Z$1,FERIADO!$A$2:$A$408)</f>
        <v>2177</v>
      </c>
      <c r="Z650">
        <v>12.27</v>
      </c>
      <c r="AA650" s="6">
        <f t="shared" si="92"/>
        <v>36794.0237985247</v>
      </c>
      <c r="AB650" s="2">
        <f t="shared" si="93"/>
        <v>8.6806362991306114E-4</v>
      </c>
      <c r="AJ650" s="1">
        <v>44699</v>
      </c>
      <c r="AK650">
        <f>NETWORKDAYS(AJ650,$AJ$1,FERIADO!$A$2:$A$408)</f>
        <v>1164</v>
      </c>
      <c r="AL650">
        <v>12.17</v>
      </c>
      <c r="AM650" s="6">
        <f t="shared" si="94"/>
        <v>58832.466450284606</v>
      </c>
      <c r="AN650" s="2">
        <f t="shared" si="95"/>
        <v>5.558750495448585E-4</v>
      </c>
      <c r="AP650" s="11">
        <f t="shared" si="96"/>
        <v>4.3403181495653057E-4</v>
      </c>
      <c r="AQ650" s="11">
        <f t="shared" si="97"/>
        <v>1.6676251486345755E-4</v>
      </c>
      <c r="AR650" s="11">
        <f t="shared" si="98"/>
        <v>6.0079432981998814E-4</v>
      </c>
    </row>
    <row r="651" spans="2:44" x14ac:dyDescent="0.35">
      <c r="B651" s="1">
        <v>44698</v>
      </c>
      <c r="C651">
        <v>4462.09</v>
      </c>
      <c r="D651" s="1">
        <v>44698</v>
      </c>
      <c r="E651">
        <v>4.9669999999999996</v>
      </c>
      <c r="F651" s="1">
        <v>44694</v>
      </c>
      <c r="G651">
        <v>119.14</v>
      </c>
      <c r="H651" s="4">
        <f t="shared" si="90"/>
        <v>591768.38</v>
      </c>
      <c r="I651" s="5">
        <v>44698</v>
      </c>
      <c r="J651" s="4">
        <v>5748.82</v>
      </c>
      <c r="K651" s="4">
        <f t="shared" si="91"/>
        <v>57488.2</v>
      </c>
      <c r="L651" s="1">
        <v>44698</v>
      </c>
      <c r="M651">
        <v>5.23</v>
      </c>
      <c r="N651" s="1">
        <v>44698</v>
      </c>
      <c r="O651">
        <v>5.25</v>
      </c>
      <c r="P651" s="1">
        <v>44698</v>
      </c>
      <c r="Q651">
        <v>5.25</v>
      </c>
      <c r="R651" s="1">
        <v>44698</v>
      </c>
      <c r="S651">
        <v>5.28</v>
      </c>
      <c r="T651" s="1">
        <v>44680</v>
      </c>
      <c r="U651">
        <v>5.3</v>
      </c>
      <c r="V651" s="1">
        <v>44698</v>
      </c>
      <c r="W651">
        <v>5.34</v>
      </c>
      <c r="X651" s="1">
        <v>44698</v>
      </c>
      <c r="Y651">
        <f>NETWORKDAYS(X651,$Z$1,FERIADO!$A$2:$A$408)</f>
        <v>2178</v>
      </c>
      <c r="Z651">
        <v>12.29</v>
      </c>
      <c r="AA651" s="6">
        <f t="shared" si="92"/>
        <v>36720.553708050407</v>
      </c>
      <c r="AB651" s="2">
        <f t="shared" si="93"/>
        <v>-1.3467460540762496E-4</v>
      </c>
      <c r="AJ651" s="1">
        <v>44698</v>
      </c>
      <c r="AK651">
        <f>NETWORKDAYS(AJ651,$AJ$1,FERIADO!$A$2:$A$408)</f>
        <v>1165</v>
      </c>
      <c r="AL651">
        <v>12.19</v>
      </c>
      <c r="AM651" s="6">
        <f t="shared" si="94"/>
        <v>58757.21202943565</v>
      </c>
      <c r="AN651" s="2">
        <f t="shared" si="95"/>
        <v>2.8778547012212307E-4</v>
      </c>
      <c r="AP651" s="11">
        <f t="shared" si="96"/>
        <v>-6.7337302703812478E-5</v>
      </c>
      <c r="AQ651" s="11">
        <f t="shared" si="97"/>
        <v>8.6335641036636919E-5</v>
      </c>
      <c r="AR651" s="11">
        <f t="shared" si="98"/>
        <v>1.899833833282444E-5</v>
      </c>
    </row>
    <row r="652" spans="2:44" x14ac:dyDescent="0.35">
      <c r="B652" s="1">
        <v>44697</v>
      </c>
      <c r="C652">
        <v>4365.5600000000004</v>
      </c>
      <c r="D652" s="1">
        <v>44697</v>
      </c>
      <c r="E652">
        <v>5.0659999999999998</v>
      </c>
      <c r="F652" s="1">
        <v>44693</v>
      </c>
      <c r="G652">
        <v>119.58</v>
      </c>
      <c r="H652" s="4">
        <f t="shared" si="90"/>
        <v>605792.28</v>
      </c>
      <c r="I652" s="5">
        <v>44697</v>
      </c>
      <c r="J652" s="4">
        <v>5894.32</v>
      </c>
      <c r="K652" s="4">
        <f t="shared" si="91"/>
        <v>58943.199999999997</v>
      </c>
      <c r="L652" s="1">
        <v>44697</v>
      </c>
      <c r="M652">
        <v>5.25</v>
      </c>
      <c r="N652" s="1">
        <v>44697</v>
      </c>
      <c r="O652">
        <v>5.25</v>
      </c>
      <c r="P652" s="1">
        <v>44697</v>
      </c>
      <c r="Q652">
        <v>5.26</v>
      </c>
      <c r="R652" s="1">
        <v>44697</v>
      </c>
      <c r="S652">
        <v>5.31</v>
      </c>
      <c r="T652" s="1">
        <v>44678</v>
      </c>
      <c r="U652">
        <v>5.38</v>
      </c>
      <c r="V652" s="1">
        <v>44697</v>
      </c>
      <c r="W652">
        <v>5.33</v>
      </c>
      <c r="X652" s="1">
        <v>44697</v>
      </c>
      <c r="Y652">
        <f>NETWORKDAYS(X652,$Z$1,FERIADO!$A$2:$A$408)</f>
        <v>2179</v>
      </c>
      <c r="Z652">
        <v>12.28</v>
      </c>
      <c r="AA652" s="6">
        <f t="shared" si="92"/>
        <v>36731.942507905136</v>
      </c>
      <c r="AB652" s="2">
        <f t="shared" si="93"/>
        <v>6.2177554123189534E-3</v>
      </c>
      <c r="AJ652" s="1">
        <v>44697</v>
      </c>
      <c r="AK652">
        <f>NETWORKDAYS(AJ652,$AJ$1,FERIADO!$A$2:$A$408)</f>
        <v>1166</v>
      </c>
      <c r="AL652">
        <v>12.195</v>
      </c>
      <c r="AM652" s="6">
        <f t="shared" si="94"/>
        <v>58718.289429003569</v>
      </c>
      <c r="AN652" s="2">
        <f t="shared" si="95"/>
        <v>2.6168501321594843E-3</v>
      </c>
      <c r="AP652" s="11">
        <f t="shared" si="96"/>
        <v>3.1088777061594767E-3</v>
      </c>
      <c r="AQ652" s="11">
        <f t="shared" si="97"/>
        <v>7.8505503964784523E-4</v>
      </c>
      <c r="AR652" s="11">
        <f t="shared" si="98"/>
        <v>3.8939327458073218E-3</v>
      </c>
    </row>
    <row r="653" spans="2:44" x14ac:dyDescent="0.35">
      <c r="B653" s="1">
        <v>44694</v>
      </c>
      <c r="C653">
        <v>4382.1099999999997</v>
      </c>
      <c r="D653" s="1">
        <v>44694</v>
      </c>
      <c r="E653">
        <v>5.1069000000000004</v>
      </c>
      <c r="F653" s="1">
        <v>44692</v>
      </c>
      <c r="G653">
        <v>119.172</v>
      </c>
      <c r="H653" s="4">
        <f t="shared" si="90"/>
        <v>608599.48680000007</v>
      </c>
      <c r="I653" s="5">
        <v>44694</v>
      </c>
      <c r="J653" s="4">
        <v>5899.54</v>
      </c>
      <c r="K653" s="4">
        <f t="shared" si="91"/>
        <v>58995.4</v>
      </c>
      <c r="L653" s="1">
        <v>44694</v>
      </c>
      <c r="M653">
        <v>5.28</v>
      </c>
      <c r="N653" s="1">
        <v>44694</v>
      </c>
      <c r="O653">
        <v>5.32</v>
      </c>
      <c r="P653" s="1">
        <v>44694</v>
      </c>
      <c r="Q653">
        <v>5.32</v>
      </c>
      <c r="R653" s="1">
        <v>44694</v>
      </c>
      <c r="S653">
        <v>5.36</v>
      </c>
      <c r="T653" s="1">
        <v>44677</v>
      </c>
      <c r="U653">
        <v>5.32</v>
      </c>
      <c r="V653" s="1">
        <v>44694</v>
      </c>
      <c r="W653">
        <v>5.38</v>
      </c>
      <c r="X653" s="1">
        <v>44694</v>
      </c>
      <c r="Y653">
        <f>NETWORKDAYS(X653,$Z$1,FERIADO!$A$2:$A$408)</f>
        <v>2180</v>
      </c>
      <c r="Z653">
        <v>12.46</v>
      </c>
      <c r="AA653" s="6">
        <f t="shared" si="92"/>
        <v>36209.801202969204</v>
      </c>
      <c r="AB653" s="2">
        <f t="shared" si="93"/>
        <v>2.8752376826335396E-3</v>
      </c>
      <c r="AJ653" s="1">
        <v>44694</v>
      </c>
      <c r="AK653">
        <f>NETWORKDAYS(AJ653,$AJ$1,FERIADO!$A$2:$A$408)</f>
        <v>1167</v>
      </c>
      <c r="AL653">
        <v>12.33</v>
      </c>
      <c r="AM653" s="6">
        <f t="shared" si="94"/>
        <v>58365.544997110192</v>
      </c>
      <c r="AN653" s="2">
        <f t="shared" si="95"/>
        <v>7.378993692234813E-4</v>
      </c>
      <c r="AP653" s="11">
        <f t="shared" si="96"/>
        <v>1.4376188413167698E-3</v>
      </c>
      <c r="AQ653" s="11">
        <f t="shared" si="97"/>
        <v>2.2136981076704439E-4</v>
      </c>
      <c r="AR653" s="11">
        <f t="shared" si="98"/>
        <v>1.6589886520838142E-3</v>
      </c>
    </row>
    <row r="654" spans="2:44" x14ac:dyDescent="0.35">
      <c r="B654" s="1">
        <v>44693</v>
      </c>
      <c r="C654">
        <v>4264.8599999999997</v>
      </c>
      <c r="D654" s="1">
        <v>44693</v>
      </c>
      <c r="E654">
        <v>5.1475999999999997</v>
      </c>
      <c r="F654" s="1">
        <v>44691</v>
      </c>
      <c r="G654">
        <v>118.741</v>
      </c>
      <c r="H654" s="4">
        <f t="shared" si="90"/>
        <v>611231.17159999989</v>
      </c>
      <c r="I654" s="5">
        <v>44693</v>
      </c>
      <c r="J654" s="4">
        <v>5984.75</v>
      </c>
      <c r="K654" s="4">
        <f t="shared" si="91"/>
        <v>59847.5</v>
      </c>
      <c r="L654" s="1">
        <v>44693</v>
      </c>
      <c r="M654">
        <v>5.36</v>
      </c>
      <c r="N654" s="1">
        <v>44693</v>
      </c>
      <c r="O654">
        <v>5.38</v>
      </c>
      <c r="P654" s="1">
        <v>44693</v>
      </c>
      <c r="Q654">
        <v>5.41</v>
      </c>
      <c r="R654" s="1">
        <v>44693</v>
      </c>
      <c r="S654">
        <v>5.45</v>
      </c>
      <c r="T654" s="1">
        <v>44676</v>
      </c>
      <c r="U654">
        <v>5.27</v>
      </c>
      <c r="V654" s="1">
        <v>44693</v>
      </c>
      <c r="W654">
        <v>5.5</v>
      </c>
      <c r="X654" s="1">
        <v>44693</v>
      </c>
      <c r="Y654">
        <f>NETWORKDAYS(X654,$Z$1,FERIADO!$A$2:$A$408)</f>
        <v>2181</v>
      </c>
      <c r="Z654">
        <v>12.54</v>
      </c>
      <c r="AA654" s="6">
        <f t="shared" si="92"/>
        <v>35970.866762052261</v>
      </c>
      <c r="AB654" s="2">
        <f t="shared" si="93"/>
        <v>-1.1332083881547181E-3</v>
      </c>
      <c r="AJ654" s="1">
        <v>44693</v>
      </c>
      <c r="AK654">
        <f>NETWORKDAYS(AJ654,$AJ$1,FERIADO!$A$2:$A$408)</f>
        <v>1168</v>
      </c>
      <c r="AL654">
        <v>12.36</v>
      </c>
      <c r="AM654" s="6">
        <f t="shared" si="94"/>
        <v>58266.461694131831</v>
      </c>
      <c r="AN654" s="2">
        <f t="shared" si="95"/>
        <v>-7.8556545926300686E-4</v>
      </c>
      <c r="AP654" s="11">
        <f t="shared" si="96"/>
        <v>-5.6660419407735907E-4</v>
      </c>
      <c r="AQ654" s="11">
        <f t="shared" si="97"/>
        <v>-2.3566963777890205E-4</v>
      </c>
      <c r="AR654" s="11">
        <f t="shared" si="98"/>
        <v>-8.0227383185626111E-4</v>
      </c>
    </row>
    <row r="655" spans="2:44" x14ac:dyDescent="0.35">
      <c r="B655" s="1">
        <v>44692</v>
      </c>
      <c r="C655">
        <v>4296.1000000000004</v>
      </c>
      <c r="D655" s="1">
        <v>44692</v>
      </c>
      <c r="E655">
        <v>5.1238000000000001</v>
      </c>
      <c r="F655" s="1">
        <v>44690</v>
      </c>
      <c r="G655">
        <v>118.53100000000001</v>
      </c>
      <c r="H655" s="4">
        <f t="shared" si="90"/>
        <v>607329.13780000003</v>
      </c>
      <c r="I655" s="5">
        <v>44692</v>
      </c>
      <c r="J655" s="4">
        <v>5994.61</v>
      </c>
      <c r="K655" s="4">
        <f t="shared" si="91"/>
        <v>59946.1</v>
      </c>
      <c r="L655" s="1">
        <v>44692</v>
      </c>
      <c r="M655">
        <v>5.37</v>
      </c>
      <c r="N655" s="1">
        <v>44692</v>
      </c>
      <c r="O655">
        <v>5.42</v>
      </c>
      <c r="P655" s="1">
        <v>44692</v>
      </c>
      <c r="Q655">
        <v>5.44</v>
      </c>
      <c r="R655" s="1">
        <v>44692</v>
      </c>
      <c r="S655">
        <v>5.49</v>
      </c>
      <c r="T655" s="1">
        <v>44673</v>
      </c>
      <c r="U655">
        <v>5.31</v>
      </c>
      <c r="V655" s="1">
        <v>44692</v>
      </c>
      <c r="W655">
        <v>5.52</v>
      </c>
      <c r="X655" s="1">
        <v>44692</v>
      </c>
      <c r="Y655">
        <f>NETWORKDAYS(X655,$Z$1,FERIADO!$A$2:$A$408)</f>
        <v>2182</v>
      </c>
      <c r="Z655">
        <v>12.5</v>
      </c>
      <c r="AA655" s="6">
        <f t="shared" si="92"/>
        <v>36064.848419402631</v>
      </c>
      <c r="AB655" s="2">
        <f t="shared" si="93"/>
        <v>-3.4773718957349085E-3</v>
      </c>
      <c r="AJ655" s="1">
        <v>44692</v>
      </c>
      <c r="AK655">
        <f>NETWORKDAYS(AJ655,$AJ$1,FERIADO!$A$2:$A$408)</f>
        <v>1169</v>
      </c>
      <c r="AL655">
        <v>12.305</v>
      </c>
      <c r="AM655" s="6">
        <f t="shared" si="94"/>
        <v>58371.951272384751</v>
      </c>
      <c r="AN655" s="2">
        <f t="shared" si="95"/>
        <v>-1.9556817309601474E-3</v>
      </c>
      <c r="AP655" s="11">
        <f t="shared" si="96"/>
        <v>-1.7386859478674542E-3</v>
      </c>
      <c r="AQ655" s="11">
        <f t="shared" si="97"/>
        <v>-5.8670451928804416E-4</v>
      </c>
      <c r="AR655" s="11">
        <f t="shared" si="98"/>
        <v>-2.3253904671554984E-3</v>
      </c>
    </row>
    <row r="656" spans="2:44" x14ac:dyDescent="0.35">
      <c r="B656" s="1">
        <v>44691</v>
      </c>
      <c r="C656">
        <v>4358.28</v>
      </c>
      <c r="D656" s="1">
        <v>44691</v>
      </c>
      <c r="E656">
        <v>5.1383999999999999</v>
      </c>
      <c r="F656" s="1">
        <v>44687</v>
      </c>
      <c r="G656">
        <v>117.59099999999999</v>
      </c>
      <c r="H656" s="4">
        <f t="shared" si="90"/>
        <v>604229.59439999994</v>
      </c>
      <c r="I656" s="5">
        <v>44691</v>
      </c>
      <c r="J656" s="4">
        <v>5989.97</v>
      </c>
      <c r="K656" s="4">
        <f t="shared" si="91"/>
        <v>59899.700000000004</v>
      </c>
      <c r="L656" s="1">
        <v>44691</v>
      </c>
      <c r="M656">
        <v>5.36</v>
      </c>
      <c r="N656" s="1">
        <v>44691</v>
      </c>
      <c r="O656">
        <v>5.42</v>
      </c>
      <c r="P656" s="1">
        <v>44691</v>
      </c>
      <c r="Q656">
        <v>5.41</v>
      </c>
      <c r="R656" s="1">
        <v>44691</v>
      </c>
      <c r="S656">
        <v>5.45</v>
      </c>
      <c r="T656" s="1">
        <v>44671</v>
      </c>
      <c r="U656">
        <v>5.29</v>
      </c>
      <c r="V656" s="1">
        <v>44691</v>
      </c>
      <c r="W656">
        <v>5.49</v>
      </c>
      <c r="X656" s="1">
        <v>44691</v>
      </c>
      <c r="Y656">
        <f>NETWORKDAYS(X656,$Z$1,FERIADO!$A$2:$A$408)</f>
        <v>2183</v>
      </c>
      <c r="Z656">
        <v>12.39</v>
      </c>
      <c r="AA656" s="6">
        <f t="shared" si="92"/>
        <v>36354.776837381352</v>
      </c>
      <c r="AB656" s="2">
        <f t="shared" si="93"/>
        <v>3.5487618246850907E-3</v>
      </c>
      <c r="AJ656" s="1">
        <v>44691</v>
      </c>
      <c r="AK656">
        <f>NETWORKDAYS(AJ656,$AJ$1,FERIADO!$A$2:$A$408)</f>
        <v>1170</v>
      </c>
      <c r="AL656">
        <v>12.185</v>
      </c>
      <c r="AM656" s="6">
        <f t="shared" si="94"/>
        <v>58635.400109909599</v>
      </c>
      <c r="AN656" s="2">
        <f t="shared" si="95"/>
        <v>2.175969216225055E-3</v>
      </c>
      <c r="AP656" s="11">
        <f t="shared" si="96"/>
        <v>1.7743809123425454E-3</v>
      </c>
      <c r="AQ656" s="11">
        <f t="shared" si="97"/>
        <v>6.5279076486751653E-4</v>
      </c>
      <c r="AR656" s="11">
        <f t="shared" si="98"/>
        <v>2.427171677210062E-3</v>
      </c>
    </row>
    <row r="657" spans="2:44" x14ac:dyDescent="0.35">
      <c r="B657" s="1">
        <v>44690</v>
      </c>
      <c r="C657">
        <v>4375.66</v>
      </c>
      <c r="D657" s="1">
        <v>44690</v>
      </c>
      <c r="E657">
        <v>5.1334</v>
      </c>
      <c r="F657" s="1">
        <v>44686</v>
      </c>
      <c r="G657">
        <v>118.199</v>
      </c>
      <c r="H657" s="4">
        <f t="shared" si="90"/>
        <v>606762.74660000007</v>
      </c>
      <c r="I657" s="5">
        <v>44690</v>
      </c>
      <c r="J657" s="4">
        <v>6025.33</v>
      </c>
      <c r="K657" s="4">
        <f t="shared" si="91"/>
        <v>60253.3</v>
      </c>
      <c r="L657" s="1">
        <v>44690</v>
      </c>
      <c r="M657">
        <v>5.36</v>
      </c>
      <c r="N657" s="1">
        <v>44690</v>
      </c>
      <c r="O657">
        <v>5.34</v>
      </c>
      <c r="P657" s="1">
        <v>44690</v>
      </c>
      <c r="Q657">
        <v>5.37</v>
      </c>
      <c r="R657" s="1">
        <v>44690</v>
      </c>
      <c r="S657">
        <v>5.4</v>
      </c>
      <c r="T657" s="1">
        <v>44670</v>
      </c>
      <c r="U657">
        <v>5.3</v>
      </c>
      <c r="V657" s="1">
        <v>44690</v>
      </c>
      <c r="W657">
        <v>5.44</v>
      </c>
      <c r="X657" s="1">
        <v>44690</v>
      </c>
      <c r="Y657">
        <f>NETWORKDAYS(X657,$Z$1,FERIADO!$A$2:$A$408)</f>
        <v>2184</v>
      </c>
      <c r="Z657">
        <v>12.49</v>
      </c>
      <c r="AA657" s="6">
        <f t="shared" si="92"/>
        <v>36058.920516858467</v>
      </c>
      <c r="AB657" s="2">
        <f t="shared" si="93"/>
        <v>2.2108008256182697E-3</v>
      </c>
      <c r="AJ657" s="1">
        <v>44690</v>
      </c>
      <c r="AK657">
        <f>NETWORKDAYS(AJ657,$AJ$1,FERIADO!$A$2:$A$408)</f>
        <v>1171</v>
      </c>
      <c r="AL657">
        <v>12.295</v>
      </c>
      <c r="AM657" s="6">
        <f t="shared" si="94"/>
        <v>58342.350735647691</v>
      </c>
      <c r="AN657" s="2">
        <f t="shared" si="95"/>
        <v>1.9078549801048628E-3</v>
      </c>
      <c r="AP657" s="11">
        <f t="shared" si="96"/>
        <v>1.1054004128091348E-3</v>
      </c>
      <c r="AQ657" s="11">
        <f t="shared" si="97"/>
        <v>5.7235649403145886E-4</v>
      </c>
      <c r="AR657" s="11">
        <f t="shared" si="98"/>
        <v>1.6777569068405938E-3</v>
      </c>
    </row>
    <row r="658" spans="2:44" x14ac:dyDescent="0.35">
      <c r="B658" s="1">
        <v>44687</v>
      </c>
      <c r="C658">
        <v>4482.6899999999996</v>
      </c>
      <c r="D658" s="1">
        <v>44687</v>
      </c>
      <c r="E658">
        <v>5.0743999999999998</v>
      </c>
      <c r="F658" s="1">
        <v>44685</v>
      </c>
      <c r="G658">
        <v>118.887</v>
      </c>
      <c r="H658" s="4">
        <f t="shared" si="90"/>
        <v>603280.19279999996</v>
      </c>
      <c r="I658" s="5">
        <v>44687</v>
      </c>
      <c r="J658" s="4">
        <v>5931.42</v>
      </c>
      <c r="K658" s="4">
        <f t="shared" si="91"/>
        <v>59314.2</v>
      </c>
      <c r="L658" s="1">
        <v>44687</v>
      </c>
      <c r="M658">
        <v>5.32</v>
      </c>
      <c r="N658" s="1">
        <v>44687</v>
      </c>
      <c r="O658">
        <v>5.37</v>
      </c>
      <c r="P658" s="1">
        <v>44687</v>
      </c>
      <c r="Q658">
        <v>5.38</v>
      </c>
      <c r="R658" s="1">
        <v>44687</v>
      </c>
      <c r="S658">
        <v>5.4</v>
      </c>
      <c r="T658" s="1">
        <v>44665</v>
      </c>
      <c r="U658">
        <v>5.34</v>
      </c>
      <c r="V658" s="1">
        <v>44687</v>
      </c>
      <c r="W658">
        <v>5.4</v>
      </c>
      <c r="X658" s="1">
        <v>44687</v>
      </c>
      <c r="Y658">
        <f>NETWORKDAYS(X658,$Z$1,FERIADO!$A$2:$A$408)</f>
        <v>2185</v>
      </c>
      <c r="Z658">
        <v>12.55</v>
      </c>
      <c r="AA658" s="6">
        <f t="shared" si="92"/>
        <v>35875.826945240646</v>
      </c>
      <c r="AB658" s="2">
        <f t="shared" si="93"/>
        <v>-6.1614012411181189E-3</v>
      </c>
      <c r="AJ658" s="1">
        <v>44687</v>
      </c>
      <c r="AK658">
        <f>NETWORKDAYS(AJ658,$AJ$1,FERIADO!$A$2:$A$408)</f>
        <v>1172</v>
      </c>
      <c r="AL658">
        <v>12.39</v>
      </c>
      <c r="AM658" s="6">
        <f t="shared" si="94"/>
        <v>58086.615014653777</v>
      </c>
      <c r="AN658" s="2">
        <f t="shared" si="95"/>
        <v>-3.3992660086580606E-3</v>
      </c>
      <c r="AP658" s="11">
        <f t="shared" si="96"/>
        <v>-3.0807006205590595E-3</v>
      </c>
      <c r="AQ658" s="11">
        <f t="shared" si="97"/>
        <v>-1.0197798025974182E-3</v>
      </c>
      <c r="AR658" s="11">
        <f t="shared" si="98"/>
        <v>-4.1004804231564778E-3</v>
      </c>
    </row>
    <row r="659" spans="2:44" x14ac:dyDescent="0.35">
      <c r="B659" s="1">
        <v>44686</v>
      </c>
      <c r="C659">
        <v>4536.49</v>
      </c>
      <c r="D659" s="1">
        <v>44686</v>
      </c>
      <c r="E659">
        <v>5.0045000000000002</v>
      </c>
      <c r="F659" s="1">
        <v>44684</v>
      </c>
      <c r="G659">
        <v>118.41</v>
      </c>
      <c r="H659" s="4">
        <f t="shared" si="90"/>
        <v>592582.84499999997</v>
      </c>
      <c r="I659" s="5">
        <v>44686</v>
      </c>
      <c r="J659" s="4">
        <v>5878.67</v>
      </c>
      <c r="K659" s="4">
        <f t="shared" si="91"/>
        <v>58786.7</v>
      </c>
      <c r="L659" s="1">
        <v>44686</v>
      </c>
      <c r="M659">
        <v>5.25</v>
      </c>
      <c r="N659" s="1">
        <v>44686</v>
      </c>
      <c r="O659">
        <v>5.28</v>
      </c>
      <c r="P659" s="1">
        <v>44686</v>
      </c>
      <c r="Q659">
        <v>5.3</v>
      </c>
      <c r="R659" s="1">
        <v>44686</v>
      </c>
      <c r="S659">
        <v>5.32</v>
      </c>
      <c r="T659" s="1">
        <v>44664</v>
      </c>
      <c r="U659">
        <v>5.32</v>
      </c>
      <c r="V659" s="1">
        <v>44686</v>
      </c>
      <c r="W659">
        <v>5.39</v>
      </c>
      <c r="X659" s="1">
        <v>44686</v>
      </c>
      <c r="Y659">
        <f>NETWORKDAYS(X659,$Z$1,FERIADO!$A$2:$A$408)</f>
        <v>2186</v>
      </c>
      <c r="Z659">
        <v>12.36</v>
      </c>
      <c r="AA659" s="6">
        <f t="shared" si="92"/>
        <v>36388.430299467349</v>
      </c>
      <c r="AB659" s="2">
        <f t="shared" si="93"/>
        <v>-7.5222932150797788E-3</v>
      </c>
      <c r="AJ659" s="1">
        <v>44686</v>
      </c>
      <c r="AK659">
        <f>NETWORKDAYS(AJ659,$AJ$1,FERIADO!$A$2:$A$408)</f>
        <v>1173</v>
      </c>
      <c r="AL659">
        <v>12.19</v>
      </c>
      <c r="AM659" s="6">
        <f t="shared" si="94"/>
        <v>58543.048660307511</v>
      </c>
      <c r="AN659" s="2">
        <f t="shared" si="95"/>
        <v>-4.9480655930287786E-3</v>
      </c>
      <c r="AP659" s="11">
        <f t="shared" si="96"/>
        <v>-3.7611466075398894E-3</v>
      </c>
      <c r="AQ659" s="11">
        <f t="shared" si="97"/>
        <v>-1.4844196779086336E-3</v>
      </c>
      <c r="AR659" s="11">
        <f t="shared" si="98"/>
        <v>-5.2455662854485226E-3</v>
      </c>
    </row>
    <row r="660" spans="2:44" x14ac:dyDescent="0.35">
      <c r="B660" s="1">
        <v>44685</v>
      </c>
      <c r="C660">
        <v>4675.92</v>
      </c>
      <c r="D660" s="1">
        <v>44685</v>
      </c>
      <c r="E660">
        <v>5.0087000000000002</v>
      </c>
      <c r="F660" s="1">
        <v>44683</v>
      </c>
      <c r="G660">
        <v>118.50700000000001</v>
      </c>
      <c r="H660" s="4">
        <f t="shared" si="90"/>
        <v>593566.01089999999</v>
      </c>
      <c r="I660" s="5">
        <v>44685</v>
      </c>
      <c r="J660" s="4">
        <v>5754.61</v>
      </c>
      <c r="K660" s="4">
        <f t="shared" si="91"/>
        <v>57546.1</v>
      </c>
      <c r="L660" s="1">
        <v>44685</v>
      </c>
      <c r="M660">
        <v>5.12</v>
      </c>
      <c r="N660" s="1">
        <v>44685</v>
      </c>
      <c r="O660">
        <v>5.21</v>
      </c>
      <c r="P660" s="1">
        <v>44685</v>
      </c>
      <c r="Q660">
        <v>5.23</v>
      </c>
      <c r="R660" s="1">
        <v>44685</v>
      </c>
      <c r="S660">
        <v>5.23</v>
      </c>
      <c r="T660" s="1">
        <v>44662</v>
      </c>
      <c r="U660">
        <v>5.32</v>
      </c>
      <c r="V660" s="1">
        <v>44685</v>
      </c>
      <c r="W660">
        <v>5.35</v>
      </c>
      <c r="X660" s="1">
        <v>44685</v>
      </c>
      <c r="Y660">
        <f>NETWORKDAYS(X660,$Z$1,FERIADO!$A$2:$A$408)</f>
        <v>2187</v>
      </c>
      <c r="Z660">
        <v>12.13</v>
      </c>
      <c r="AA660" s="6">
        <f t="shared" si="92"/>
        <v>37024.194169663344</v>
      </c>
      <c r="AB660" s="2">
        <f t="shared" si="93"/>
        <v>2.2144874002460158E-3</v>
      </c>
      <c r="AJ660" s="1">
        <v>44685</v>
      </c>
      <c r="AK660">
        <f>NETWORKDAYS(AJ660,$AJ$1,FERIADO!$A$2:$A$408)</f>
        <v>1174</v>
      </c>
      <c r="AL660">
        <v>11.904999999999999</v>
      </c>
      <c r="AM660" s="6">
        <f t="shared" si="94"/>
        <v>59213.863796457925</v>
      </c>
      <c r="AN660" s="2">
        <f t="shared" si="95"/>
        <v>2.0025956377331851E-3</v>
      </c>
      <c r="AP660" s="11">
        <f t="shared" si="96"/>
        <v>1.1072437001230079E-3</v>
      </c>
      <c r="AQ660" s="11">
        <f t="shared" si="97"/>
        <v>6.0077869131995555E-4</v>
      </c>
      <c r="AR660" s="11">
        <f t="shared" si="98"/>
        <v>1.7080223914429636E-3</v>
      </c>
    </row>
    <row r="661" spans="2:44" x14ac:dyDescent="0.35">
      <c r="B661" s="1">
        <v>44684</v>
      </c>
      <c r="C661">
        <v>4553.07</v>
      </c>
      <c r="D661" s="1">
        <v>44684</v>
      </c>
      <c r="E661">
        <v>5.0160999999999998</v>
      </c>
      <c r="F661" s="1">
        <v>44680</v>
      </c>
      <c r="G661">
        <v>118.828</v>
      </c>
      <c r="H661" s="4">
        <f t="shared" si="90"/>
        <v>596053.13079999993</v>
      </c>
      <c r="I661" s="5">
        <v>44684</v>
      </c>
      <c r="J661" s="4">
        <v>5799.83</v>
      </c>
      <c r="K661" s="4">
        <f t="shared" si="91"/>
        <v>57998.3</v>
      </c>
      <c r="L661" s="1">
        <v>44684</v>
      </c>
      <c r="M661">
        <v>5.25</v>
      </c>
      <c r="N661" s="1">
        <v>44684</v>
      </c>
      <c r="O661">
        <v>5.31</v>
      </c>
      <c r="P661" s="1">
        <v>44684</v>
      </c>
      <c r="Q661">
        <v>5.3</v>
      </c>
      <c r="R661" s="1">
        <v>44684</v>
      </c>
      <c r="S661">
        <v>5.31</v>
      </c>
      <c r="T661" s="1">
        <v>44659</v>
      </c>
      <c r="U661">
        <v>5.13</v>
      </c>
      <c r="V661" s="1">
        <v>44684</v>
      </c>
      <c r="W661">
        <v>5.35</v>
      </c>
      <c r="X661" s="1">
        <v>44684</v>
      </c>
      <c r="Y661">
        <f>NETWORKDAYS(X661,$Z$1,FERIADO!$A$2:$A$408)</f>
        <v>2188</v>
      </c>
      <c r="Z661">
        <v>12.19</v>
      </c>
      <c r="AA661" s="6">
        <f t="shared" si="92"/>
        <v>36835.886614874486</v>
      </c>
      <c r="AB661" s="2">
        <f t="shared" si="93"/>
        <v>-1.3804437678769041E-4</v>
      </c>
      <c r="AJ661" s="1">
        <v>44684</v>
      </c>
      <c r="AK661">
        <f>NETWORKDAYS(AJ661,$AJ$1,FERIADO!$A$2:$A$408)</f>
        <v>1175</v>
      </c>
      <c r="AL661">
        <v>12.005000000000001</v>
      </c>
      <c r="AM661" s="6">
        <f t="shared" si="94"/>
        <v>58941.448530271839</v>
      </c>
      <c r="AN661" s="2">
        <f t="shared" si="95"/>
        <v>-1.6654167758194056E-4</v>
      </c>
      <c r="AP661" s="11">
        <f t="shared" si="96"/>
        <v>-6.9022188393845206E-5</v>
      </c>
      <c r="AQ661" s="11">
        <f t="shared" si="97"/>
        <v>-4.9962503274582165E-5</v>
      </c>
      <c r="AR661" s="11">
        <f t="shared" si="98"/>
        <v>-1.1898469166842738E-4</v>
      </c>
    </row>
    <row r="662" spans="2:44" x14ac:dyDescent="0.35">
      <c r="B662" s="1">
        <v>44683</v>
      </c>
      <c r="C662">
        <v>4514.79</v>
      </c>
      <c r="D662" s="1">
        <v>44683</v>
      </c>
      <c r="E662">
        <v>5.0259999999999998</v>
      </c>
      <c r="F662" s="1">
        <v>44679</v>
      </c>
      <c r="G662">
        <v>119.59</v>
      </c>
      <c r="H662" s="4">
        <f t="shared" si="90"/>
        <v>601059.34</v>
      </c>
      <c r="I662" s="5">
        <v>44683</v>
      </c>
      <c r="J662" s="4">
        <v>5950.55</v>
      </c>
      <c r="K662" s="4">
        <f t="shared" si="91"/>
        <v>59505.5</v>
      </c>
      <c r="L662" s="1">
        <v>44683</v>
      </c>
      <c r="M662">
        <v>5.27</v>
      </c>
      <c r="N662" s="1">
        <v>44683</v>
      </c>
      <c r="O662">
        <v>5.31</v>
      </c>
      <c r="P662" s="1">
        <v>44683</v>
      </c>
      <c r="Q662">
        <v>5.3</v>
      </c>
      <c r="R662" s="1">
        <v>44683</v>
      </c>
      <c r="S662">
        <v>5.35</v>
      </c>
      <c r="T662" s="1">
        <v>44658</v>
      </c>
      <c r="U662">
        <v>5.16</v>
      </c>
      <c r="V662" s="1">
        <v>44683</v>
      </c>
      <c r="W662">
        <v>5.39</v>
      </c>
      <c r="X662" s="1">
        <v>44683</v>
      </c>
      <c r="Y662">
        <f>NETWORKDAYS(X662,$Z$1,FERIADO!$A$2:$A$408)</f>
        <v>2189</v>
      </c>
      <c r="Z662">
        <v>12.18</v>
      </c>
      <c r="AA662" s="6">
        <f t="shared" si="92"/>
        <v>36847.597091205585</v>
      </c>
      <c r="AB662" s="2">
        <f t="shared" si="93"/>
        <v>-3.5046196618967094E-3</v>
      </c>
      <c r="AJ662" s="1">
        <v>44683</v>
      </c>
      <c r="AK662">
        <f>NETWORKDAYS(AJ662,$AJ$1,FERIADO!$A$2:$A$408)</f>
        <v>1176</v>
      </c>
      <c r="AL662">
        <v>11.984999999999999</v>
      </c>
      <c r="AM662" s="6">
        <f t="shared" si="94"/>
        <v>58964.055518177476</v>
      </c>
      <c r="AN662" s="2">
        <f t="shared" si="95"/>
        <v>-2.6144456065959843E-3</v>
      </c>
      <c r="AP662" s="11">
        <f t="shared" si="96"/>
        <v>-1.7523098309483547E-3</v>
      </c>
      <c r="AQ662" s="11">
        <f t="shared" si="97"/>
        <v>-7.8433368197879528E-4</v>
      </c>
      <c r="AR662" s="11">
        <f t="shared" si="98"/>
        <v>-2.5366435129271499E-3</v>
      </c>
    </row>
    <row r="663" spans="2:44" x14ac:dyDescent="0.35">
      <c r="B663" s="1">
        <v>44680</v>
      </c>
      <c r="C663">
        <v>4508.1099999999997</v>
      </c>
      <c r="D663" s="1">
        <v>44680</v>
      </c>
      <c r="E663">
        <v>4.9184999999999999</v>
      </c>
      <c r="F663" s="1">
        <v>44678</v>
      </c>
      <c r="G663">
        <v>119.70399999999999</v>
      </c>
      <c r="H663" s="4">
        <f t="shared" si="90"/>
        <v>588764.12399999995</v>
      </c>
      <c r="I663" s="5">
        <v>44680</v>
      </c>
      <c r="J663" s="4">
        <v>5817.8</v>
      </c>
      <c r="K663" s="4">
        <f t="shared" si="91"/>
        <v>58178</v>
      </c>
      <c r="L663" s="1">
        <v>44680</v>
      </c>
      <c r="M663">
        <v>5.2</v>
      </c>
      <c r="N663" s="1">
        <v>44680</v>
      </c>
      <c r="O663">
        <v>5.26</v>
      </c>
      <c r="P663" s="1">
        <v>44680</v>
      </c>
      <c r="Q663">
        <v>5.22</v>
      </c>
      <c r="R663" s="1">
        <v>44680</v>
      </c>
      <c r="S663">
        <v>5.25</v>
      </c>
      <c r="T663" s="1">
        <v>44657</v>
      </c>
      <c r="U663">
        <v>5.12</v>
      </c>
      <c r="V663" s="1">
        <v>44680</v>
      </c>
      <c r="W663">
        <v>5.37</v>
      </c>
      <c r="X663" s="1">
        <v>44680</v>
      </c>
      <c r="Y663">
        <f>NETWORKDAYS(X663,$Z$1,FERIADO!$A$2:$A$408)</f>
        <v>2190</v>
      </c>
      <c r="Z663">
        <v>12.07</v>
      </c>
      <c r="AA663" s="6">
        <f t="shared" si="92"/>
        <v>37146.148580476431</v>
      </c>
      <c r="AB663" s="2">
        <f t="shared" si="93"/>
        <v>8.7018176691433264E-4</v>
      </c>
      <c r="AJ663" s="1">
        <v>44680</v>
      </c>
      <c r="AK663">
        <f>NETWORKDAYS(AJ663,$AJ$1,FERIADO!$A$2:$A$408)</f>
        <v>1177</v>
      </c>
      <c r="AL663">
        <v>11.83</v>
      </c>
      <c r="AM663" s="6">
        <f t="shared" si="94"/>
        <v>59320.088740153711</v>
      </c>
      <c r="AN663" s="2">
        <f t="shared" si="95"/>
        <v>2.8345940297055825E-4</v>
      </c>
      <c r="AP663" s="11">
        <f t="shared" si="96"/>
        <v>4.3509088345716632E-4</v>
      </c>
      <c r="AQ663" s="11">
        <f t="shared" si="97"/>
        <v>8.5037820891167466E-5</v>
      </c>
      <c r="AR663" s="11">
        <f t="shared" si="98"/>
        <v>5.201287043483338E-4</v>
      </c>
    </row>
    <row r="664" spans="2:44" x14ac:dyDescent="0.35">
      <c r="B664" s="1">
        <v>44679</v>
      </c>
      <c r="C664">
        <v>4644.51</v>
      </c>
      <c r="D664" s="1">
        <v>44679</v>
      </c>
      <c r="E664">
        <v>5.0103999999999997</v>
      </c>
      <c r="F664" s="1">
        <v>44677</v>
      </c>
      <c r="G664">
        <v>120.425</v>
      </c>
      <c r="H664" s="4">
        <f t="shared" si="90"/>
        <v>603377.41999999993</v>
      </c>
      <c r="I664" s="5">
        <v>44679</v>
      </c>
      <c r="J664" s="4">
        <v>5779.54</v>
      </c>
      <c r="K664" s="4">
        <f t="shared" si="91"/>
        <v>57795.4</v>
      </c>
      <c r="L664" s="1">
        <v>44679</v>
      </c>
      <c r="M664">
        <v>5.14</v>
      </c>
      <c r="N664" s="1">
        <v>44679</v>
      </c>
      <c r="O664">
        <v>5.2</v>
      </c>
      <c r="P664" s="1">
        <v>44679</v>
      </c>
      <c r="Q664">
        <v>5.17</v>
      </c>
      <c r="R664" s="1">
        <v>44679</v>
      </c>
      <c r="S664">
        <v>5.25</v>
      </c>
      <c r="T664" s="1">
        <v>44652</v>
      </c>
      <c r="U664">
        <v>5.07</v>
      </c>
      <c r="V664" s="1">
        <v>44679</v>
      </c>
      <c r="W664">
        <v>5.33</v>
      </c>
      <c r="X664" s="1">
        <v>44679</v>
      </c>
      <c r="Y664">
        <f>NETWORKDAYS(X664,$Z$1,FERIADO!$A$2:$A$408)</f>
        <v>2191</v>
      </c>
      <c r="Z664">
        <v>12.09</v>
      </c>
      <c r="AA664" s="6">
        <f t="shared" si="92"/>
        <v>37071.794562655057</v>
      </c>
      <c r="AB664" s="2">
        <f t="shared" si="93"/>
        <v>1.8814250936323898E-3</v>
      </c>
      <c r="AJ664" s="1">
        <v>44679</v>
      </c>
      <c r="AK664">
        <f>NETWORKDAYS(AJ664,$AJ$1,FERIADO!$A$2:$A$408)</f>
        <v>1178</v>
      </c>
      <c r="AL664">
        <v>11.835000000000001</v>
      </c>
      <c r="AM664" s="6">
        <f t="shared" si="94"/>
        <v>59281.383779810756</v>
      </c>
      <c r="AN664" s="2">
        <f t="shared" si="95"/>
        <v>8.285679460382795E-4</v>
      </c>
      <c r="AP664" s="11">
        <f t="shared" si="96"/>
        <v>9.4071254681619488E-4</v>
      </c>
      <c r="AQ664" s="11">
        <f t="shared" si="97"/>
        <v>2.4857038381148383E-4</v>
      </c>
      <c r="AR664" s="11">
        <f t="shared" si="98"/>
        <v>1.1892829306276787E-3</v>
      </c>
    </row>
    <row r="665" spans="2:44" x14ac:dyDescent="0.35">
      <c r="B665" s="1">
        <v>44678</v>
      </c>
      <c r="C665">
        <v>4597.4799999999996</v>
      </c>
      <c r="D665" s="1">
        <v>44678</v>
      </c>
      <c r="E665">
        <v>5.0160999999999998</v>
      </c>
      <c r="F665" s="1">
        <v>44676</v>
      </c>
      <c r="G665">
        <v>119.61199999999999</v>
      </c>
      <c r="H665" s="4">
        <f t="shared" si="90"/>
        <v>599985.75319999992</v>
      </c>
      <c r="I665" s="5">
        <v>44678</v>
      </c>
      <c r="J665" s="4">
        <v>5811.7</v>
      </c>
      <c r="K665" s="4">
        <f t="shared" si="91"/>
        <v>58117</v>
      </c>
      <c r="L665" s="1">
        <v>44678</v>
      </c>
      <c r="M665">
        <v>5.16</v>
      </c>
      <c r="N665" s="1">
        <v>44678</v>
      </c>
      <c r="O665">
        <v>5.22</v>
      </c>
      <c r="P665" s="1">
        <v>44678</v>
      </c>
      <c r="Q665">
        <v>5.24</v>
      </c>
      <c r="R665" s="1">
        <v>44678</v>
      </c>
      <c r="S665">
        <v>5.27</v>
      </c>
      <c r="T665" s="1">
        <v>44651</v>
      </c>
      <c r="U665">
        <v>5.16</v>
      </c>
      <c r="V665" s="1">
        <v>44678</v>
      </c>
      <c r="W665">
        <v>5.35</v>
      </c>
      <c r="X665" s="1">
        <v>44678</v>
      </c>
      <c r="Y665">
        <f>NETWORKDAYS(X665,$Z$1,FERIADO!$A$2:$A$408)</f>
        <v>2192</v>
      </c>
      <c r="Z665">
        <v>12.14</v>
      </c>
      <c r="AA665" s="6">
        <f t="shared" si="92"/>
        <v>36911.541677320492</v>
      </c>
      <c r="AB665" s="2">
        <f t="shared" si="93"/>
        <v>1.5453213041038889E-3</v>
      </c>
      <c r="AJ665" s="1">
        <v>44678</v>
      </c>
      <c r="AK665">
        <f>NETWORKDAYS(AJ665,$AJ$1,FERIADO!$A$2:$A$408)</f>
        <v>1179</v>
      </c>
      <c r="AL665">
        <v>11.87</v>
      </c>
      <c r="AM665" s="6">
        <f t="shared" si="94"/>
        <v>59168.391718532483</v>
      </c>
      <c r="AN665" s="2">
        <f t="shared" si="95"/>
        <v>2.1919334528389786E-3</v>
      </c>
      <c r="AP665" s="11">
        <f t="shared" si="96"/>
        <v>7.7266065205194444E-4</v>
      </c>
      <c r="AQ665" s="11">
        <f t="shared" si="97"/>
        <v>6.5758003585169352E-4</v>
      </c>
      <c r="AR665" s="11">
        <f t="shared" si="98"/>
        <v>1.4302406879036379E-3</v>
      </c>
    </row>
    <row r="666" spans="2:44" x14ac:dyDescent="0.35">
      <c r="B666" s="1">
        <v>44677</v>
      </c>
      <c r="C666">
        <v>4515.93</v>
      </c>
      <c r="D666" s="1">
        <v>44677</v>
      </c>
      <c r="E666">
        <v>4.9660000000000002</v>
      </c>
      <c r="F666" s="1">
        <v>44673</v>
      </c>
      <c r="G666">
        <v>119</v>
      </c>
      <c r="H666" s="4">
        <f t="shared" si="90"/>
        <v>590954.00000000012</v>
      </c>
      <c r="I666" s="5">
        <v>44677</v>
      </c>
      <c r="J666" s="4">
        <v>5853.22</v>
      </c>
      <c r="K666" s="4">
        <f t="shared" si="91"/>
        <v>58532.200000000004</v>
      </c>
      <c r="L666" s="1">
        <v>44677</v>
      </c>
      <c r="M666">
        <v>5.23</v>
      </c>
      <c r="N666" s="1">
        <v>44677</v>
      </c>
      <c r="O666">
        <v>5.25</v>
      </c>
      <c r="P666" s="1">
        <v>44677</v>
      </c>
      <c r="Q666">
        <v>5.26</v>
      </c>
      <c r="R666" s="1">
        <v>44677</v>
      </c>
      <c r="S666">
        <v>5.29</v>
      </c>
      <c r="T666" s="1">
        <v>44649</v>
      </c>
      <c r="U666">
        <v>5.14</v>
      </c>
      <c r="V666" s="1">
        <v>44677</v>
      </c>
      <c r="W666">
        <v>5.35</v>
      </c>
      <c r="X666" s="1">
        <v>44677</v>
      </c>
      <c r="Y666">
        <f>NETWORKDAYS(X666,$Z$1,FERIADO!$A$2:$A$408)</f>
        <v>2193</v>
      </c>
      <c r="Z666">
        <v>12.18</v>
      </c>
      <c r="AA666" s="6">
        <f t="shared" si="92"/>
        <v>36780.435174285274</v>
      </c>
      <c r="AB666" s="2">
        <f t="shared" si="93"/>
        <v>-4.5236853155660815E-3</v>
      </c>
      <c r="AJ666" s="1">
        <v>44677</v>
      </c>
      <c r="AK666">
        <f>NETWORKDAYS(AJ666,$AJ$1,FERIADO!$A$2:$A$408)</f>
        <v>1180</v>
      </c>
      <c r="AL666">
        <v>11.98</v>
      </c>
      <c r="AM666" s="6">
        <f t="shared" si="94"/>
        <v>58870.514484545311</v>
      </c>
      <c r="AN666" s="2">
        <f t="shared" si="95"/>
        <v>-2.8062145371153921E-3</v>
      </c>
      <c r="AP666" s="11">
        <f t="shared" si="96"/>
        <v>-2.2618426577830407E-3</v>
      </c>
      <c r="AQ666" s="11">
        <f t="shared" si="97"/>
        <v>-8.4186436113461765E-4</v>
      </c>
      <c r="AR666" s="11">
        <f t="shared" si="98"/>
        <v>-3.1037070189176585E-3</v>
      </c>
    </row>
    <row r="667" spans="2:44" x14ac:dyDescent="0.35">
      <c r="B667" s="1">
        <v>44676</v>
      </c>
      <c r="C667">
        <v>4683.66</v>
      </c>
      <c r="D667" s="1">
        <v>44676</v>
      </c>
      <c r="E667">
        <v>4.8811999999999998</v>
      </c>
      <c r="F667" s="1">
        <v>44671</v>
      </c>
      <c r="G667">
        <v>119.571</v>
      </c>
      <c r="H667" s="4">
        <f t="shared" si="90"/>
        <v>583649.96519999998</v>
      </c>
      <c r="I667" s="5">
        <v>44676</v>
      </c>
      <c r="J667" s="4">
        <v>5715.22</v>
      </c>
      <c r="K667" s="4">
        <f t="shared" si="91"/>
        <v>57152.200000000004</v>
      </c>
      <c r="L667" s="1">
        <v>44676</v>
      </c>
      <c r="M667">
        <v>5.12</v>
      </c>
      <c r="N667" s="1">
        <v>44676</v>
      </c>
      <c r="O667">
        <v>5.19</v>
      </c>
      <c r="P667" s="1">
        <v>44676</v>
      </c>
      <c r="Q667">
        <v>5.2</v>
      </c>
      <c r="R667" s="1">
        <v>44676</v>
      </c>
      <c r="S667">
        <v>5.25</v>
      </c>
      <c r="T667" s="1">
        <v>44645</v>
      </c>
      <c r="U667">
        <v>5.07</v>
      </c>
      <c r="V667" s="1">
        <v>44676</v>
      </c>
      <c r="W667">
        <v>5.32</v>
      </c>
      <c r="X667" s="1">
        <v>44676</v>
      </c>
      <c r="Y667">
        <f>NETWORKDAYS(X667,$Z$1,FERIADO!$A$2:$A$408)</f>
        <v>2194</v>
      </c>
      <c r="Z667">
        <v>12.04</v>
      </c>
      <c r="AA667" s="6">
        <f t="shared" si="92"/>
        <v>37165.548675422127</v>
      </c>
      <c r="AB667" s="2">
        <f t="shared" si="93"/>
        <v>5.2570364124345428E-3</v>
      </c>
      <c r="AJ667" s="1">
        <v>44676</v>
      </c>
      <c r="AK667">
        <f>NETWORKDAYS(AJ667,$AJ$1,FERIADO!$A$2:$A$408)</f>
        <v>1181</v>
      </c>
      <c r="AL667">
        <v>11.815</v>
      </c>
      <c r="AM667" s="6">
        <f t="shared" si="94"/>
        <v>59252.140745962424</v>
      </c>
      <c r="AN667" s="2">
        <f t="shared" si="95"/>
        <v>3.1962182129801719E-3</v>
      </c>
      <c r="AP667" s="11">
        <f t="shared" si="96"/>
        <v>2.6285182062172714E-3</v>
      </c>
      <c r="AQ667" s="11">
        <f t="shared" si="97"/>
        <v>9.5886546389405158E-4</v>
      </c>
      <c r="AR667" s="11">
        <f t="shared" si="98"/>
        <v>3.5873836701113227E-3</v>
      </c>
    </row>
    <row r="668" spans="2:44" x14ac:dyDescent="0.35">
      <c r="B668" s="1">
        <v>44673</v>
      </c>
      <c r="C668">
        <v>4639.21</v>
      </c>
      <c r="D668" s="1">
        <v>44673</v>
      </c>
      <c r="E668">
        <v>4.7320000000000002</v>
      </c>
      <c r="F668" s="1">
        <v>44670</v>
      </c>
      <c r="G668">
        <v>118.89</v>
      </c>
      <c r="H668" s="4">
        <f t="shared" si="90"/>
        <v>562587.48</v>
      </c>
      <c r="I668" s="5">
        <v>44673</v>
      </c>
      <c r="J668" s="4">
        <v>5619.32</v>
      </c>
      <c r="K668" s="4">
        <f t="shared" si="91"/>
        <v>56193.2</v>
      </c>
      <c r="L668" s="1">
        <v>44673</v>
      </c>
      <c r="M668">
        <v>5.17</v>
      </c>
      <c r="N668" s="1">
        <v>44673</v>
      </c>
      <c r="O668">
        <v>5.2</v>
      </c>
      <c r="P668" s="1">
        <v>44673</v>
      </c>
      <c r="Q668">
        <v>5.25</v>
      </c>
      <c r="R668" s="1">
        <v>44673</v>
      </c>
      <c r="S668">
        <v>5.26</v>
      </c>
      <c r="T668" s="1">
        <v>44643</v>
      </c>
      <c r="U668">
        <v>5.36</v>
      </c>
      <c r="V668" s="1">
        <v>44673</v>
      </c>
      <c r="W668">
        <v>5.34</v>
      </c>
      <c r="X668" s="1">
        <v>44673</v>
      </c>
      <c r="Y668">
        <f>NETWORKDAYS(X668,$Z$1,FERIADO!$A$2:$A$408)</f>
        <v>2195</v>
      </c>
      <c r="Z668">
        <v>12.19</v>
      </c>
      <c r="AA668" s="6">
        <f t="shared" si="92"/>
        <v>36718.380017959091</v>
      </c>
      <c r="AB668" s="2">
        <f t="shared" si="93"/>
        <v>-5.8786832794470471E-3</v>
      </c>
      <c r="AJ668" s="1">
        <v>44673</v>
      </c>
      <c r="AK668">
        <f>NETWORKDAYS(AJ668,$AJ$1,FERIADO!$A$2:$A$408)</f>
        <v>1182</v>
      </c>
      <c r="AL668">
        <v>11.98</v>
      </c>
      <c r="AM668" s="6">
        <f t="shared" si="94"/>
        <v>58817.671512814297</v>
      </c>
      <c r="AN668" s="2">
        <f t="shared" si="95"/>
        <v>-3.1759983160284454E-3</v>
      </c>
      <c r="AP668" s="11">
        <f t="shared" si="96"/>
        <v>-2.9393416397235235E-3</v>
      </c>
      <c r="AQ668" s="11">
        <f t="shared" si="97"/>
        <v>-9.5279949480853361E-4</v>
      </c>
      <c r="AR668" s="11">
        <f t="shared" si="98"/>
        <v>-3.8921411345320574E-3</v>
      </c>
    </row>
    <row r="669" spans="2:44" x14ac:dyDescent="0.35">
      <c r="B669" s="1">
        <v>44671</v>
      </c>
      <c r="C669">
        <v>4877.43</v>
      </c>
      <c r="D669" s="1">
        <v>44671</v>
      </c>
      <c r="E669">
        <v>4.6391</v>
      </c>
      <c r="F669" s="1">
        <v>44669</v>
      </c>
      <c r="G669">
        <v>119.66</v>
      </c>
      <c r="H669" s="4">
        <f t="shared" si="90"/>
        <v>555114.70600000001</v>
      </c>
      <c r="I669" s="5">
        <v>44671</v>
      </c>
      <c r="J669" s="4">
        <v>5419.34</v>
      </c>
      <c r="K669" s="4">
        <f t="shared" si="91"/>
        <v>54193.4</v>
      </c>
      <c r="L669" s="1">
        <v>44671</v>
      </c>
      <c r="M669">
        <v>5.12</v>
      </c>
      <c r="N669" s="1">
        <v>44671</v>
      </c>
      <c r="O669">
        <v>5.18</v>
      </c>
      <c r="P669" s="1">
        <v>44671</v>
      </c>
      <c r="Q669">
        <v>5.19</v>
      </c>
      <c r="R669" s="1">
        <v>44671</v>
      </c>
      <c r="S669">
        <v>5.25</v>
      </c>
      <c r="T669" s="1">
        <v>44642</v>
      </c>
      <c r="U669">
        <v>5.45</v>
      </c>
      <c r="V669" s="1">
        <v>44671</v>
      </c>
      <c r="W669">
        <v>5.34</v>
      </c>
      <c r="X669" s="1">
        <v>44671</v>
      </c>
      <c r="Y669">
        <f>NETWORKDAYS(X669,$Z$1,FERIADO!$A$2:$A$408)</f>
        <v>2196</v>
      </c>
      <c r="Z669">
        <v>12.01</v>
      </c>
      <c r="AA669" s="6">
        <f t="shared" si="92"/>
        <v>37218.785341126881</v>
      </c>
      <c r="AB669" s="2">
        <f t="shared" si="93"/>
        <v>1.9546348108040581E-4</v>
      </c>
      <c r="AJ669" s="1">
        <v>44671</v>
      </c>
      <c r="AK669">
        <f>NETWORKDAYS(AJ669,$AJ$1,FERIADO!$A$2:$A$408)</f>
        <v>1183</v>
      </c>
      <c r="AL669">
        <v>11.795</v>
      </c>
      <c r="AM669" s="6">
        <f t="shared" si="94"/>
        <v>59249.382147038275</v>
      </c>
      <c r="AN669" s="2">
        <f t="shared" si="95"/>
        <v>2.8341081516488844E-4</v>
      </c>
      <c r="AP669" s="11">
        <f t="shared" si="96"/>
        <v>9.7731740540202907E-5</v>
      </c>
      <c r="AQ669" s="11">
        <f t="shared" si="97"/>
        <v>8.5023244549466536E-5</v>
      </c>
      <c r="AR669" s="11">
        <f t="shared" si="98"/>
        <v>1.8275498508966943E-4</v>
      </c>
    </row>
    <row r="670" spans="2:44" x14ac:dyDescent="0.35">
      <c r="B670" s="1">
        <v>44670</v>
      </c>
      <c r="C670">
        <v>4845.17</v>
      </c>
      <c r="D670" s="1">
        <v>44670</v>
      </c>
      <c r="E670">
        <v>4.6657999999999999</v>
      </c>
      <c r="F670" s="1">
        <v>44665</v>
      </c>
      <c r="G670">
        <v>119.818</v>
      </c>
      <c r="H670" s="4">
        <f t="shared" si="90"/>
        <v>559046.82440000004</v>
      </c>
      <c r="I670" s="5">
        <v>44670</v>
      </c>
      <c r="J670" s="4">
        <v>5475.48</v>
      </c>
      <c r="K670" s="4">
        <f t="shared" si="91"/>
        <v>54754.799999999996</v>
      </c>
      <c r="L670" s="1">
        <v>44670</v>
      </c>
      <c r="M670">
        <v>5.12</v>
      </c>
      <c r="N670" s="1">
        <v>44670</v>
      </c>
      <c r="O670">
        <v>5.14</v>
      </c>
      <c r="P670" s="1">
        <v>44670</v>
      </c>
      <c r="Q670">
        <v>5.19</v>
      </c>
      <c r="R670" s="1">
        <v>44670</v>
      </c>
      <c r="S670">
        <v>5.24</v>
      </c>
      <c r="T670" s="1">
        <v>44641</v>
      </c>
      <c r="U670">
        <v>5.46</v>
      </c>
      <c r="V670" s="1">
        <v>44670</v>
      </c>
      <c r="W670">
        <v>5.33</v>
      </c>
      <c r="X670" s="1">
        <v>44670</v>
      </c>
      <c r="Y670">
        <f>NETWORKDAYS(X670,$Z$1,FERIADO!$A$2:$A$408)</f>
        <v>2197</v>
      </c>
      <c r="Z670">
        <v>12.01</v>
      </c>
      <c r="AA670" s="6">
        <f t="shared" si="92"/>
        <v>37202.038003138106</v>
      </c>
      <c r="AB670" s="2">
        <f t="shared" si="93"/>
        <v>-1.8341916743074799E-3</v>
      </c>
      <c r="AJ670" s="1">
        <v>44670</v>
      </c>
      <c r="AK670">
        <f>NETWORKDAYS(AJ670,$AJ$1,FERIADO!$A$2:$A$408)</f>
        <v>1184</v>
      </c>
      <c r="AL670">
        <v>11.8</v>
      </c>
      <c r="AM670" s="6">
        <f t="shared" si="94"/>
        <v>59210.72994543294</v>
      </c>
      <c r="AN670" s="2">
        <f t="shared" si="95"/>
        <v>-3.5584543722513981E-4</v>
      </c>
      <c r="AP670" s="11">
        <f t="shared" si="96"/>
        <v>-9.1709583715373993E-4</v>
      </c>
      <c r="AQ670" s="11">
        <f t="shared" si="97"/>
        <v>-1.0675363116754194E-4</v>
      </c>
      <c r="AR670" s="11">
        <f t="shared" si="98"/>
        <v>-1.0238494683212818E-3</v>
      </c>
    </row>
    <row r="671" spans="2:44" x14ac:dyDescent="0.35">
      <c r="B671" s="1">
        <v>44669</v>
      </c>
      <c r="C671">
        <v>4803.63</v>
      </c>
      <c r="D671" s="1">
        <v>44669</v>
      </c>
      <c r="E671">
        <v>4.6740000000000004</v>
      </c>
      <c r="F671" s="1">
        <v>44664</v>
      </c>
      <c r="G671">
        <v>120.688</v>
      </c>
      <c r="H671" s="4">
        <f t="shared" si="90"/>
        <v>564095.71200000006</v>
      </c>
      <c r="I671" s="5">
        <v>44669</v>
      </c>
      <c r="J671" s="4">
        <v>5461.44</v>
      </c>
      <c r="K671" s="4">
        <f t="shared" si="91"/>
        <v>54614.399999999994</v>
      </c>
      <c r="L671" s="1">
        <v>44669</v>
      </c>
      <c r="M671">
        <v>5.07</v>
      </c>
      <c r="N671" s="1">
        <v>44669</v>
      </c>
      <c r="O671">
        <v>5.14</v>
      </c>
      <c r="P671" s="1">
        <v>44669</v>
      </c>
      <c r="Q671">
        <v>5.18</v>
      </c>
      <c r="R671" s="1">
        <v>44669</v>
      </c>
      <c r="S671">
        <v>5.22</v>
      </c>
      <c r="T671" s="1">
        <v>44637</v>
      </c>
      <c r="U671">
        <v>5.54</v>
      </c>
      <c r="V671" s="1">
        <v>44669</v>
      </c>
      <c r="W671">
        <v>5.3</v>
      </c>
      <c r="X671" s="1">
        <v>44669</v>
      </c>
      <c r="Y671">
        <f>NETWORKDAYS(X671,$Z$1,FERIADO!$A$2:$A$408)</f>
        <v>2198</v>
      </c>
      <c r="Z671">
        <v>11.95</v>
      </c>
      <c r="AA671" s="6">
        <f t="shared" si="92"/>
        <v>37359.488689135287</v>
      </c>
      <c r="AB671" s="2">
        <f t="shared" si="93"/>
        <v>2.901736451485391E-3</v>
      </c>
      <c r="AJ671" s="1">
        <v>44669</v>
      </c>
      <c r="AK671">
        <f>NETWORKDAYS(AJ671,$AJ$1,FERIADO!$A$2:$A$408)</f>
        <v>1185</v>
      </c>
      <c r="AL671">
        <v>11.77</v>
      </c>
      <c r="AM671" s="6">
        <f t="shared" si="94"/>
        <v>59259.264990827563</v>
      </c>
      <c r="AN671" s="2">
        <f t="shared" si="95"/>
        <v>1.8369374098646612E-3</v>
      </c>
      <c r="AP671" s="11">
        <f t="shared" si="96"/>
        <v>1.4508682257426955E-3</v>
      </c>
      <c r="AQ671" s="11">
        <f t="shared" si="97"/>
        <v>5.5108122295939837E-4</v>
      </c>
      <c r="AR671" s="11">
        <f t="shared" si="98"/>
        <v>2.001949448702094E-3</v>
      </c>
    </row>
    <row r="672" spans="2:44" x14ac:dyDescent="0.35">
      <c r="B672" s="1">
        <v>44665</v>
      </c>
      <c r="C672">
        <v>4786.58</v>
      </c>
      <c r="D672" s="1">
        <v>44665</v>
      </c>
      <c r="E672">
        <v>4.7152000000000003</v>
      </c>
      <c r="F672" s="1">
        <v>44663</v>
      </c>
      <c r="G672">
        <v>120.43</v>
      </c>
      <c r="H672" s="4">
        <f t="shared" si="90"/>
        <v>567851.53599999996</v>
      </c>
      <c r="I672" s="5">
        <v>44665</v>
      </c>
      <c r="J672" s="4">
        <v>5516.99</v>
      </c>
      <c r="K672" s="4">
        <f t="shared" si="91"/>
        <v>55169.899999999994</v>
      </c>
      <c r="L672" s="1">
        <v>44665</v>
      </c>
      <c r="M672">
        <v>5.12</v>
      </c>
      <c r="N672" s="1">
        <v>44665</v>
      </c>
      <c r="O672">
        <v>5.2</v>
      </c>
      <c r="P672" s="1">
        <v>44665</v>
      </c>
      <c r="Q672">
        <v>5.21</v>
      </c>
      <c r="R672" s="1">
        <v>44665</v>
      </c>
      <c r="S672">
        <v>5.28</v>
      </c>
      <c r="T672" s="1">
        <v>44636</v>
      </c>
      <c r="U672">
        <v>5.57</v>
      </c>
      <c r="V672" s="1">
        <v>44665</v>
      </c>
      <c r="W672">
        <v>5.34</v>
      </c>
      <c r="X672" s="1">
        <v>44665</v>
      </c>
      <c r="Y672">
        <f>NETWORKDAYS(X672,$Z$1,FERIADO!$A$2:$A$408)</f>
        <v>2199</v>
      </c>
      <c r="Z672">
        <v>12.03</v>
      </c>
      <c r="AA672" s="6">
        <f t="shared" si="92"/>
        <v>37110.703502664146</v>
      </c>
      <c r="AB672" s="2">
        <f t="shared" si="93"/>
        <v>-5.9009136953389182E-3</v>
      </c>
      <c r="AJ672" s="1">
        <v>44665</v>
      </c>
      <c r="AK672">
        <f>NETWORKDAYS(AJ672,$AJ$1,FERIADO!$A$2:$A$408)</f>
        <v>1186</v>
      </c>
      <c r="AL672">
        <v>11.86</v>
      </c>
      <c r="AM672" s="6">
        <f t="shared" si="94"/>
        <v>59009.1451388235</v>
      </c>
      <c r="AN672" s="2">
        <f t="shared" si="95"/>
        <v>-2.3687309420625641E-3</v>
      </c>
      <c r="AP672" s="11">
        <f t="shared" si="96"/>
        <v>-2.9504568476694591E-3</v>
      </c>
      <c r="AQ672" s="11">
        <f t="shared" si="97"/>
        <v>-7.1061928261876922E-4</v>
      </c>
      <c r="AR672" s="11">
        <f t="shared" si="98"/>
        <v>-3.6610761302882282E-3</v>
      </c>
    </row>
    <row r="673" spans="2:44" x14ac:dyDescent="0.35">
      <c r="B673" s="1">
        <v>44664</v>
      </c>
      <c r="C673">
        <v>4843.32</v>
      </c>
      <c r="D673" s="1">
        <v>44664</v>
      </c>
      <c r="E673">
        <v>4.6805000000000003</v>
      </c>
      <c r="F673" s="1">
        <v>44662</v>
      </c>
      <c r="G673">
        <v>119.708</v>
      </c>
      <c r="H673" s="4">
        <f t="shared" si="90"/>
        <v>560293.29400000011</v>
      </c>
      <c r="I673" s="5">
        <v>44664</v>
      </c>
      <c r="J673" s="4">
        <v>5509.39</v>
      </c>
      <c r="K673" s="4">
        <f t="shared" si="91"/>
        <v>55093.9</v>
      </c>
      <c r="L673" s="1">
        <v>44664</v>
      </c>
      <c r="M673">
        <v>5.13</v>
      </c>
      <c r="N673" s="1">
        <v>44664</v>
      </c>
      <c r="O673">
        <v>5.21</v>
      </c>
      <c r="P673" s="1">
        <v>44664</v>
      </c>
      <c r="Q673">
        <v>5.2</v>
      </c>
      <c r="R673" s="1">
        <v>44664</v>
      </c>
      <c r="S673">
        <v>5.26</v>
      </c>
      <c r="T673" s="1">
        <v>44635</v>
      </c>
      <c r="U673">
        <v>5.63</v>
      </c>
      <c r="V673" s="1">
        <v>44664</v>
      </c>
      <c r="W673">
        <v>5.31</v>
      </c>
      <c r="X673" s="1">
        <v>44664</v>
      </c>
      <c r="Y673">
        <f>NETWORKDAYS(X673,$Z$1,FERIADO!$A$2:$A$408)</f>
        <v>2200</v>
      </c>
      <c r="Z673">
        <v>11.85</v>
      </c>
      <c r="AA673" s="6">
        <f t="shared" si="92"/>
        <v>37618.381026388328</v>
      </c>
      <c r="AB673" s="2">
        <f t="shared" si="93"/>
        <v>-4.853232153507751E-4</v>
      </c>
      <c r="AJ673" s="1">
        <v>44664</v>
      </c>
      <c r="AK673">
        <f>NETWORKDAYS(AJ673,$AJ$1,FERIADO!$A$2:$A$408)</f>
        <v>1187</v>
      </c>
      <c r="AL673">
        <v>11.72</v>
      </c>
      <c r="AM673" s="6">
        <f t="shared" si="94"/>
        <v>59331.872397307299</v>
      </c>
      <c r="AN673" s="2">
        <f t="shared" si="95"/>
        <v>-8.3913727429358795E-5</v>
      </c>
      <c r="AP673" s="11">
        <f t="shared" si="96"/>
        <v>-2.4266160767538755E-4</v>
      </c>
      <c r="AQ673" s="11">
        <f t="shared" si="97"/>
        <v>-2.5174118228807637E-5</v>
      </c>
      <c r="AR673" s="11">
        <f t="shared" si="98"/>
        <v>-2.6783572590419517E-4</v>
      </c>
    </row>
    <row r="674" spans="2:44" x14ac:dyDescent="0.35">
      <c r="B674" s="1">
        <v>44663</v>
      </c>
      <c r="C674">
        <v>4798.78</v>
      </c>
      <c r="D674" s="1">
        <v>44663</v>
      </c>
      <c r="E674">
        <v>4.6477000000000004</v>
      </c>
      <c r="F674" s="1">
        <v>44659</v>
      </c>
      <c r="G674">
        <v>120.125</v>
      </c>
      <c r="H674" s="4">
        <f t="shared" si="90"/>
        <v>558304.96250000014</v>
      </c>
      <c r="I674" s="5">
        <v>44663</v>
      </c>
      <c r="J674" s="4">
        <v>5494.19</v>
      </c>
      <c r="K674" s="4">
        <f t="shared" si="91"/>
        <v>54941.899999999994</v>
      </c>
      <c r="L674" s="1">
        <v>44663</v>
      </c>
      <c r="M674">
        <v>5.17</v>
      </c>
      <c r="N674" s="1">
        <v>44663</v>
      </c>
      <c r="O674">
        <v>5.25</v>
      </c>
      <c r="P674" s="1">
        <v>44663</v>
      </c>
      <c r="Q674">
        <v>5.26</v>
      </c>
      <c r="R674" s="1">
        <v>44663</v>
      </c>
      <c r="S674">
        <v>5.28</v>
      </c>
      <c r="T674" s="1">
        <v>44634</v>
      </c>
      <c r="U674">
        <v>5.64</v>
      </c>
      <c r="V674" s="1">
        <v>44663</v>
      </c>
      <c r="W674">
        <v>5.31</v>
      </c>
      <c r="X674" s="1">
        <v>44663</v>
      </c>
      <c r="Y674">
        <f>NETWORKDAYS(X674,$Z$1,FERIADO!$A$2:$A$408)</f>
        <v>2201</v>
      </c>
      <c r="Z674">
        <v>11.83</v>
      </c>
      <c r="AA674" s="6">
        <f t="shared" si="92"/>
        <v>37660.442989687013</v>
      </c>
      <c r="AB674" s="2">
        <f t="shared" si="93"/>
        <v>-3.5419515229047982E-3</v>
      </c>
      <c r="AJ674" s="1">
        <v>44663</v>
      </c>
      <c r="AK674">
        <f>NETWORKDAYS(AJ674,$AJ$1,FERIADO!$A$2:$A$408)</f>
        <v>1188</v>
      </c>
      <c r="AL674">
        <v>11.705</v>
      </c>
      <c r="AM674" s="6">
        <f t="shared" si="94"/>
        <v>59343.337520169342</v>
      </c>
      <c r="AN674" s="2">
        <f t="shared" si="95"/>
        <v>-1.0019398815179546E-3</v>
      </c>
      <c r="AP674" s="11">
        <f t="shared" si="96"/>
        <v>-1.7709757614523991E-3</v>
      </c>
      <c r="AQ674" s="11">
        <f t="shared" si="97"/>
        <v>-3.0058196445538639E-4</v>
      </c>
      <c r="AR674" s="11">
        <f t="shared" si="98"/>
        <v>-2.0715577259077856E-3</v>
      </c>
    </row>
    <row r="675" spans="2:44" x14ac:dyDescent="0.35">
      <c r="B675" s="1">
        <v>44662</v>
      </c>
      <c r="C675">
        <v>4811.95</v>
      </c>
      <c r="D675" s="1">
        <v>44662</v>
      </c>
      <c r="E675">
        <v>4.7019000000000002</v>
      </c>
      <c r="F675" s="1">
        <v>44658</v>
      </c>
      <c r="G675">
        <v>120.53</v>
      </c>
      <c r="H675" s="4">
        <f t="shared" si="90"/>
        <v>566720.00699999998</v>
      </c>
      <c r="I675" s="5">
        <v>44662</v>
      </c>
      <c r="J675" s="4">
        <v>5514.07</v>
      </c>
      <c r="K675" s="4">
        <f t="shared" si="91"/>
        <v>55140.7</v>
      </c>
      <c r="L675" s="1">
        <v>44662</v>
      </c>
      <c r="M675">
        <v>5.17</v>
      </c>
      <c r="N675" s="1">
        <v>44662</v>
      </c>
      <c r="O675">
        <v>5.24</v>
      </c>
      <c r="P675" s="1">
        <v>44662</v>
      </c>
      <c r="Q675">
        <v>5.27</v>
      </c>
      <c r="R675" s="1">
        <v>44662</v>
      </c>
      <c r="S675">
        <v>5.26</v>
      </c>
      <c r="T675" s="1">
        <v>44631</v>
      </c>
      <c r="U675">
        <v>5.55</v>
      </c>
      <c r="V675" s="1">
        <v>44662</v>
      </c>
      <c r="W675">
        <v>5.31</v>
      </c>
      <c r="X675" s="1">
        <v>44662</v>
      </c>
      <c r="Y675">
        <f>NETWORKDAYS(X675,$Z$1,FERIADO!$A$2:$A$408)</f>
        <v>2202</v>
      </c>
      <c r="Z675">
        <v>11.72</v>
      </c>
      <c r="AA675" s="6">
        <f t="shared" si="92"/>
        <v>37968.844080289862</v>
      </c>
      <c r="AB675" s="2">
        <f t="shared" si="93"/>
        <v>-2.528653324725909E-3</v>
      </c>
      <c r="AJ675" s="1">
        <v>44662</v>
      </c>
      <c r="AK675">
        <f>NETWORKDAYS(AJ675,$AJ$1,FERIADO!$A$2:$A$408)</f>
        <v>1189</v>
      </c>
      <c r="AL675">
        <v>11.64</v>
      </c>
      <c r="AM675" s="6">
        <f t="shared" si="94"/>
        <v>59480.403724530399</v>
      </c>
      <c r="AN675" s="2">
        <f t="shared" si="95"/>
        <v>-2.3836630426827127E-3</v>
      </c>
      <c r="AP675" s="11">
        <f t="shared" si="96"/>
        <v>-1.2643266623629545E-3</v>
      </c>
      <c r="AQ675" s="11">
        <f t="shared" si="97"/>
        <v>-7.1509891280481378E-4</v>
      </c>
      <c r="AR675" s="11">
        <f t="shared" si="98"/>
        <v>-1.9794255751677684E-3</v>
      </c>
    </row>
    <row r="676" spans="2:44" x14ac:dyDescent="0.35">
      <c r="B676" s="1">
        <v>44659</v>
      </c>
      <c r="C676">
        <v>4903.7</v>
      </c>
      <c r="D676" s="1">
        <v>44659</v>
      </c>
      <c r="E676">
        <v>4.7507000000000001</v>
      </c>
      <c r="F676" s="1">
        <v>44657</v>
      </c>
      <c r="G676">
        <v>120.809</v>
      </c>
      <c r="H676" s="4">
        <f t="shared" si="90"/>
        <v>573927.31630000006</v>
      </c>
      <c r="I676" s="5">
        <v>44659</v>
      </c>
      <c r="J676" s="4">
        <v>5524.01</v>
      </c>
      <c r="K676" s="4">
        <f t="shared" si="91"/>
        <v>55240.100000000006</v>
      </c>
      <c r="L676" s="1">
        <v>44659</v>
      </c>
      <c r="M676">
        <v>5.0199999999999996</v>
      </c>
      <c r="N676" s="1">
        <v>44659</v>
      </c>
      <c r="O676">
        <v>5.08</v>
      </c>
      <c r="P676" s="1">
        <v>44659</v>
      </c>
      <c r="Q676">
        <v>5.08</v>
      </c>
      <c r="R676" s="1">
        <v>44659</v>
      </c>
      <c r="S676">
        <v>5.08</v>
      </c>
      <c r="T676" s="1">
        <v>44630</v>
      </c>
      <c r="U676">
        <v>5.57</v>
      </c>
      <c r="V676" s="1">
        <v>44659</v>
      </c>
      <c r="W676">
        <v>5.2</v>
      </c>
      <c r="X676" s="1">
        <v>44659</v>
      </c>
      <c r="Y676">
        <f>NETWORKDAYS(X676,$Z$1,FERIADO!$A$2:$A$408)</f>
        <v>2203</v>
      </c>
      <c r="Z676">
        <v>11.64</v>
      </c>
      <c r="AA676" s="6">
        <f t="shared" si="92"/>
        <v>38190.560213985969</v>
      </c>
      <c r="AB676" s="2">
        <f t="shared" si="93"/>
        <v>-5.5985960046122663E-3</v>
      </c>
      <c r="AJ676" s="1">
        <v>44659</v>
      </c>
      <c r="AK676">
        <f>NETWORKDAYS(AJ676,$AJ$1,FERIADO!$A$2:$A$408)</f>
        <v>1190</v>
      </c>
      <c r="AL676">
        <v>11.5</v>
      </c>
      <c r="AM676" s="6">
        <f t="shared" si="94"/>
        <v>59807.764647151176</v>
      </c>
      <c r="AN676" s="2">
        <f t="shared" si="95"/>
        <v>-3.4974264465714145E-3</v>
      </c>
      <c r="AP676" s="11">
        <f t="shared" si="96"/>
        <v>-2.7992980023061331E-3</v>
      </c>
      <c r="AQ676" s="11">
        <f t="shared" si="97"/>
        <v>-1.0492279339714243E-3</v>
      </c>
      <c r="AR676" s="11">
        <f t="shared" si="98"/>
        <v>-3.8485259362775574E-3</v>
      </c>
    </row>
    <row r="677" spans="2:44" x14ac:dyDescent="0.35">
      <c r="B677" s="1">
        <v>44658</v>
      </c>
      <c r="C677">
        <v>4904.45</v>
      </c>
      <c r="D677" s="1">
        <v>44658</v>
      </c>
      <c r="E677">
        <v>4.7416</v>
      </c>
      <c r="F677" s="1">
        <v>44656</v>
      </c>
      <c r="G677">
        <v>120.896</v>
      </c>
      <c r="H677" s="4">
        <f t="shared" si="90"/>
        <v>573240.47360000003</v>
      </c>
      <c r="I677" s="5">
        <v>44658</v>
      </c>
      <c r="J677" s="4">
        <v>5593.01</v>
      </c>
      <c r="K677" s="4">
        <f t="shared" si="91"/>
        <v>55930.100000000006</v>
      </c>
      <c r="L677" s="1">
        <v>44658</v>
      </c>
      <c r="M677">
        <v>4.95</v>
      </c>
      <c r="N677" s="1">
        <v>44658</v>
      </c>
      <c r="O677">
        <v>5.0199999999999996</v>
      </c>
      <c r="P677" s="1">
        <v>44658</v>
      </c>
      <c r="Q677">
        <v>5.0199999999999996</v>
      </c>
      <c r="R677" s="1">
        <v>44658</v>
      </c>
      <c r="S677">
        <v>5.04</v>
      </c>
      <c r="T677" s="1">
        <v>44629</v>
      </c>
      <c r="U677">
        <v>5.65</v>
      </c>
      <c r="V677" s="1">
        <v>44658</v>
      </c>
      <c r="W677">
        <v>5.1100000000000003</v>
      </c>
      <c r="X677" s="1">
        <v>44658</v>
      </c>
      <c r="Y677">
        <f>NETWORKDAYS(X677,$Z$1,FERIADO!$A$2:$A$408)</f>
        <v>2204</v>
      </c>
      <c r="Z677">
        <v>11.47</v>
      </c>
      <c r="AA677" s="6">
        <f t="shared" si="92"/>
        <v>38686.071046111989</v>
      </c>
      <c r="AB677" s="2">
        <f t="shared" si="93"/>
        <v>-2.5410904216545778E-3</v>
      </c>
      <c r="AJ677" s="1">
        <v>44658</v>
      </c>
      <c r="AK677">
        <f>NETWORKDAYS(AJ677,$AJ$1,FERIADO!$A$2:$A$408)</f>
        <v>1191</v>
      </c>
      <c r="AL677">
        <v>11.3</v>
      </c>
      <c r="AM677" s="6">
        <f t="shared" si="94"/>
        <v>60291.348438543348</v>
      </c>
      <c r="AN677" s="2">
        <f t="shared" si="95"/>
        <v>-1.5696742626765501E-3</v>
      </c>
      <c r="AP677" s="11">
        <f t="shared" si="96"/>
        <v>-1.2705452108272889E-3</v>
      </c>
      <c r="AQ677" s="11">
        <f t="shared" si="97"/>
        <v>-4.7090227880296502E-4</v>
      </c>
      <c r="AR677" s="11">
        <f t="shared" si="98"/>
        <v>-1.741447489630254E-3</v>
      </c>
    </row>
    <row r="678" spans="2:44" x14ac:dyDescent="0.35">
      <c r="B678" s="1">
        <v>44657</v>
      </c>
      <c r="C678">
        <v>4882.67</v>
      </c>
      <c r="D678" s="1">
        <v>44657</v>
      </c>
      <c r="E678">
        <v>4.6961000000000004</v>
      </c>
      <c r="F678" s="1">
        <v>44655</v>
      </c>
      <c r="G678">
        <v>122.131</v>
      </c>
      <c r="H678" s="4">
        <f t="shared" si="90"/>
        <v>573539.38910000003</v>
      </c>
      <c r="I678" s="5">
        <v>44657</v>
      </c>
      <c r="J678" s="4">
        <v>5555.58</v>
      </c>
      <c r="K678" s="4">
        <f t="shared" si="91"/>
        <v>55555.8</v>
      </c>
      <c r="L678" s="1">
        <v>44657</v>
      </c>
      <c r="M678">
        <v>4.97</v>
      </c>
      <c r="N678" s="1">
        <v>44657</v>
      </c>
      <c r="O678">
        <v>4.99</v>
      </c>
      <c r="P678" s="1">
        <v>44657</v>
      </c>
      <c r="Q678">
        <v>5.03</v>
      </c>
      <c r="R678" s="1">
        <v>44657</v>
      </c>
      <c r="S678">
        <v>5.05</v>
      </c>
      <c r="T678" s="1">
        <v>44628</v>
      </c>
      <c r="U678">
        <v>5.65</v>
      </c>
      <c r="V678" s="1">
        <v>44657</v>
      </c>
      <c r="W678">
        <v>5.09</v>
      </c>
      <c r="X678" s="1">
        <v>44657</v>
      </c>
      <c r="Y678">
        <f>NETWORKDAYS(X678,$Z$1,FERIADO!$A$2:$A$408)</f>
        <v>2205</v>
      </c>
      <c r="Z678">
        <v>11.39</v>
      </c>
      <c r="AA678" s="6">
        <f t="shared" si="92"/>
        <v>38913.089727941529</v>
      </c>
      <c r="AB678" s="2">
        <f t="shared" si="93"/>
        <v>-3.5703160073578262E-3</v>
      </c>
      <c r="AJ678" s="1">
        <v>44657</v>
      </c>
      <c r="AK678">
        <f>NETWORKDAYS(AJ678,$AJ$1,FERIADO!$A$2:$A$408)</f>
        <v>1192</v>
      </c>
      <c r="AL678">
        <v>11.205</v>
      </c>
      <c r="AM678" s="6">
        <f t="shared" si="94"/>
        <v>60509.65424981674</v>
      </c>
      <c r="AN678" s="2">
        <f t="shared" si="95"/>
        <v>-2.0367758241163375E-3</v>
      </c>
      <c r="AP678" s="11">
        <f t="shared" si="96"/>
        <v>-1.7851580036789131E-3</v>
      </c>
      <c r="AQ678" s="11">
        <f t="shared" si="97"/>
        <v>-6.1103274723490119E-4</v>
      </c>
      <c r="AR678" s="11">
        <f t="shared" si="98"/>
        <v>-2.3961907509138141E-3</v>
      </c>
    </row>
    <row r="679" spans="2:44" x14ac:dyDescent="0.35">
      <c r="B679" s="1">
        <v>44656</v>
      </c>
      <c r="C679">
        <v>4932.54</v>
      </c>
      <c r="D679" s="1">
        <v>44656</v>
      </c>
      <c r="E679">
        <v>4.6394000000000002</v>
      </c>
      <c r="F679" s="1">
        <v>44652</v>
      </c>
      <c r="G679">
        <v>122.169</v>
      </c>
      <c r="H679" s="4">
        <f t="shared" si="90"/>
        <v>566790.85860000004</v>
      </c>
      <c r="I679" s="5">
        <v>44656</v>
      </c>
      <c r="J679" s="4">
        <v>5478.4</v>
      </c>
      <c r="K679" s="4">
        <f t="shared" si="91"/>
        <v>54784</v>
      </c>
      <c r="L679" s="1">
        <v>44656</v>
      </c>
      <c r="M679">
        <v>4.93</v>
      </c>
      <c r="N679" s="1">
        <v>44656</v>
      </c>
      <c r="O679">
        <v>4.9800000000000004</v>
      </c>
      <c r="P679" s="1">
        <v>44656</v>
      </c>
      <c r="Q679">
        <v>5.01</v>
      </c>
      <c r="R679" s="1">
        <v>44656</v>
      </c>
      <c r="S679">
        <v>5.0599999999999996</v>
      </c>
      <c r="T679" s="1">
        <v>44617</v>
      </c>
      <c r="U679">
        <v>5.46</v>
      </c>
      <c r="V679" s="1">
        <v>44656</v>
      </c>
      <c r="W679">
        <v>5.12</v>
      </c>
      <c r="X679" s="1">
        <v>44656</v>
      </c>
      <c r="Y679">
        <f>NETWORKDAYS(X679,$Z$1,FERIADO!$A$2:$A$408)</f>
        <v>2206</v>
      </c>
      <c r="Z679">
        <v>11.28</v>
      </c>
      <c r="AA679" s="6">
        <f t="shared" si="92"/>
        <v>39234.311106958099</v>
      </c>
      <c r="AB679" s="2">
        <f t="shared" si="93"/>
        <v>-5.9731427943934042E-3</v>
      </c>
      <c r="AJ679" s="1">
        <v>44656</v>
      </c>
      <c r="AK679">
        <f>NETWORKDAYS(AJ679,$AJ$1,FERIADO!$A$2:$A$408)</f>
        <v>1193</v>
      </c>
      <c r="AL679">
        <v>11.085000000000001</v>
      </c>
      <c r="AM679" s="6">
        <f t="shared" si="94"/>
        <v>60794.10191768143</v>
      </c>
      <c r="AN679" s="2">
        <f t="shared" si="95"/>
        <v>-4.0837439057888015E-3</v>
      </c>
      <c r="AP679" s="11">
        <f t="shared" si="96"/>
        <v>-2.9865713971967021E-3</v>
      </c>
      <c r="AQ679" s="11">
        <f t="shared" si="97"/>
        <v>-1.2251231717366404E-3</v>
      </c>
      <c r="AR679" s="11">
        <f t="shared" si="98"/>
        <v>-4.2116945689333425E-3</v>
      </c>
    </row>
    <row r="680" spans="2:44" x14ac:dyDescent="0.35">
      <c r="B680" s="1">
        <v>44655</v>
      </c>
      <c r="C680">
        <v>4993.74</v>
      </c>
      <c r="D680" s="1">
        <v>44655</v>
      </c>
      <c r="E680">
        <v>4.6169000000000002</v>
      </c>
      <c r="F680" s="1">
        <v>44651</v>
      </c>
      <c r="G680">
        <v>122.63800000000001</v>
      </c>
      <c r="H680" s="4">
        <f t="shared" si="90"/>
        <v>566207.38220000011</v>
      </c>
      <c r="I680" s="5">
        <v>44655</v>
      </c>
      <c r="J680" s="4">
        <v>5409.99</v>
      </c>
      <c r="K680" s="4">
        <f t="shared" si="91"/>
        <v>54099.899999999994</v>
      </c>
      <c r="L680" s="1">
        <v>44655</v>
      </c>
      <c r="M680">
        <v>4.84</v>
      </c>
      <c r="N680" s="1">
        <v>44655</v>
      </c>
      <c r="O680">
        <v>4.8600000000000003</v>
      </c>
      <c r="P680" s="1">
        <v>44655</v>
      </c>
      <c r="Q680">
        <v>4.93</v>
      </c>
      <c r="R680" s="1">
        <v>44655</v>
      </c>
      <c r="S680">
        <v>4.99</v>
      </c>
      <c r="T680" s="1">
        <v>44616</v>
      </c>
      <c r="U680">
        <v>5.47</v>
      </c>
      <c r="V680" s="1">
        <v>44655</v>
      </c>
      <c r="W680">
        <v>5.05</v>
      </c>
      <c r="X680" s="1">
        <v>44655</v>
      </c>
      <c r="Y680">
        <f>NETWORKDAYS(X680,$Z$1,FERIADO!$A$2:$A$408)</f>
        <v>2207</v>
      </c>
      <c r="Z680">
        <v>11.1</v>
      </c>
      <c r="AA680" s="6">
        <f t="shared" si="92"/>
        <v>39777.654776817741</v>
      </c>
      <c r="AB680" s="2">
        <f t="shared" si="93"/>
        <v>4.6313861225332599E-3</v>
      </c>
      <c r="AJ680" s="1">
        <v>44655</v>
      </c>
      <c r="AK680">
        <f>NETWORKDAYS(AJ680,$AJ$1,FERIADO!$A$2:$A$408)</f>
        <v>1194</v>
      </c>
      <c r="AL680">
        <v>10.855</v>
      </c>
      <c r="AM680" s="6">
        <f t="shared" si="94"/>
        <v>61368.455199917851</v>
      </c>
      <c r="AN680" s="2">
        <f t="shared" si="95"/>
        <v>2.4985283130105262E-3</v>
      </c>
      <c r="AP680" s="11">
        <f t="shared" si="96"/>
        <v>2.31569306126663E-3</v>
      </c>
      <c r="AQ680" s="11">
        <f t="shared" si="97"/>
        <v>7.4955849390315784E-4</v>
      </c>
      <c r="AR680" s="11">
        <f t="shared" si="98"/>
        <v>3.0652515551697879E-3</v>
      </c>
    </row>
    <row r="681" spans="2:44" x14ac:dyDescent="0.35">
      <c r="B681" s="1">
        <v>44652</v>
      </c>
      <c r="C681">
        <v>4952.3599999999997</v>
      </c>
      <c r="D681" s="1">
        <v>44652</v>
      </c>
      <c r="E681">
        <v>4.6978</v>
      </c>
      <c r="F681" s="1">
        <v>44650</v>
      </c>
      <c r="G681">
        <v>122.7</v>
      </c>
      <c r="H681" s="4">
        <f t="shared" si="90"/>
        <v>576420.06000000006</v>
      </c>
      <c r="I681" s="5">
        <v>44652</v>
      </c>
      <c r="J681" s="4">
        <v>5487.76</v>
      </c>
      <c r="K681" s="4">
        <f t="shared" si="91"/>
        <v>54877.600000000006</v>
      </c>
      <c r="L681" s="1">
        <v>44652</v>
      </c>
      <c r="M681">
        <v>4.87</v>
      </c>
      <c r="N681" s="1">
        <v>44652</v>
      </c>
      <c r="O681">
        <v>4.88</v>
      </c>
      <c r="P681" s="1">
        <v>44652</v>
      </c>
      <c r="Q681">
        <v>4.96</v>
      </c>
      <c r="R681" s="1">
        <v>44652</v>
      </c>
      <c r="S681">
        <v>5.01</v>
      </c>
      <c r="T681" s="1">
        <v>44615</v>
      </c>
      <c r="U681">
        <v>5.42</v>
      </c>
      <c r="V681" s="1">
        <v>44652</v>
      </c>
      <c r="W681">
        <v>5.07</v>
      </c>
      <c r="X681" s="1">
        <v>44652</v>
      </c>
      <c r="Y681">
        <f>NETWORKDAYS(X681,$Z$1,FERIADO!$A$2:$A$408)</f>
        <v>2208</v>
      </c>
      <c r="Z681">
        <v>11.23</v>
      </c>
      <c r="AA681" s="6">
        <f t="shared" si="92"/>
        <v>39355.713300755779</v>
      </c>
      <c r="AB681" s="2">
        <f t="shared" si="93"/>
        <v>1.0096075873283396E-2</v>
      </c>
      <c r="AJ681" s="1">
        <v>44652</v>
      </c>
      <c r="AK681">
        <f>NETWORKDAYS(AJ681,$AJ$1,FERIADO!$A$2:$A$408)</f>
        <v>1195</v>
      </c>
      <c r="AL681">
        <v>10.98</v>
      </c>
      <c r="AM681" s="6">
        <f t="shared" si="94"/>
        <v>61016.411570468263</v>
      </c>
      <c r="AN681" s="2">
        <f t="shared" si="95"/>
        <v>4.6321283917010788E-3</v>
      </c>
      <c r="AP681" s="11">
        <f t="shared" si="96"/>
        <v>5.0480379366416982E-3</v>
      </c>
      <c r="AQ681" s="11">
        <f t="shared" si="97"/>
        <v>1.3896385175103236E-3</v>
      </c>
      <c r="AR681" s="11">
        <f t="shared" si="98"/>
        <v>6.4376764541520214E-3</v>
      </c>
    </row>
    <row r="682" spans="2:44" x14ac:dyDescent="0.35">
      <c r="B682" s="1">
        <v>44651</v>
      </c>
      <c r="C682">
        <v>4955.1000000000004</v>
      </c>
      <c r="D682" s="1">
        <v>44651</v>
      </c>
      <c r="E682">
        <v>4.7371999999999996</v>
      </c>
      <c r="F682" s="1">
        <v>44649</v>
      </c>
      <c r="G682">
        <v>122.265</v>
      </c>
      <c r="H682" s="4">
        <f t="shared" si="90"/>
        <v>579193.75800000003</v>
      </c>
      <c r="I682" s="5">
        <v>44651</v>
      </c>
      <c r="J682" s="4">
        <v>5591.25</v>
      </c>
      <c r="K682" s="4">
        <f t="shared" si="91"/>
        <v>55912.5</v>
      </c>
      <c r="L682" s="1">
        <v>44651</v>
      </c>
      <c r="M682">
        <v>5</v>
      </c>
      <c r="N682" s="1">
        <v>44651</v>
      </c>
      <c r="O682">
        <v>5.0599999999999996</v>
      </c>
      <c r="P682" s="1">
        <v>44651</v>
      </c>
      <c r="Q682">
        <v>5.08</v>
      </c>
      <c r="R682" s="1">
        <v>44651</v>
      </c>
      <c r="S682">
        <v>5.13</v>
      </c>
      <c r="T682" s="1">
        <v>44614</v>
      </c>
      <c r="U682">
        <v>5.52</v>
      </c>
      <c r="V682" s="1">
        <v>44651</v>
      </c>
      <c r="W682">
        <v>5.15</v>
      </c>
      <c r="X682" s="1">
        <v>44651</v>
      </c>
      <c r="Y682">
        <f>NETWORKDAYS(X682,$Z$1,FERIADO!$A$2:$A$408)</f>
        <v>2209</v>
      </c>
      <c r="Z682">
        <v>11.52</v>
      </c>
      <c r="AA682" s="6">
        <f t="shared" si="92"/>
        <v>38451.360633304641</v>
      </c>
      <c r="AB682" s="2">
        <f t="shared" si="93"/>
        <v>3.6016336261011062E-3</v>
      </c>
      <c r="AJ682" s="1">
        <v>44651</v>
      </c>
      <c r="AK682">
        <f>NETWORKDAYS(AJ682,$AJ$1,FERIADO!$A$2:$A$408)</f>
        <v>1196</v>
      </c>
      <c r="AL682">
        <v>11.22</v>
      </c>
      <c r="AM682" s="6">
        <f t="shared" si="94"/>
        <v>60369.07680094026</v>
      </c>
      <c r="AN682" s="2">
        <f t="shared" si="95"/>
        <v>2.2225274953767164E-3</v>
      </c>
      <c r="AP682" s="11">
        <f t="shared" si="96"/>
        <v>1.8008168130505531E-3</v>
      </c>
      <c r="AQ682" s="11">
        <f t="shared" si="97"/>
        <v>6.6675824861301487E-4</v>
      </c>
      <c r="AR682" s="11">
        <f t="shared" si="98"/>
        <v>2.467575061663568E-3</v>
      </c>
    </row>
    <row r="683" spans="2:44" x14ac:dyDescent="0.35">
      <c r="B683" s="1">
        <v>44650</v>
      </c>
      <c r="C683">
        <v>5020.1000000000004</v>
      </c>
      <c r="D683" s="1">
        <v>44650</v>
      </c>
      <c r="E683">
        <v>4.7491000000000003</v>
      </c>
      <c r="F683" s="1">
        <v>44648</v>
      </c>
      <c r="G683">
        <v>121.82</v>
      </c>
      <c r="H683" s="4">
        <f t="shared" si="90"/>
        <v>578535.36199999996</v>
      </c>
      <c r="I683" s="5">
        <v>44650</v>
      </c>
      <c r="J683" s="4">
        <v>5631.02</v>
      </c>
      <c r="K683" s="4">
        <f t="shared" si="91"/>
        <v>56310.200000000004</v>
      </c>
      <c r="L683" s="1">
        <v>44650</v>
      </c>
      <c r="M683">
        <v>5</v>
      </c>
      <c r="N683" s="1">
        <v>44650</v>
      </c>
      <c r="O683">
        <v>5.03</v>
      </c>
      <c r="P683" s="1">
        <v>44650</v>
      </c>
      <c r="Q683">
        <v>5.07</v>
      </c>
      <c r="R683" s="1">
        <v>44650</v>
      </c>
      <c r="S683">
        <v>5.14</v>
      </c>
      <c r="T683" s="1">
        <v>44613</v>
      </c>
      <c r="U683">
        <v>5.38</v>
      </c>
      <c r="V683" s="1">
        <v>44650</v>
      </c>
      <c r="W683">
        <v>5.22</v>
      </c>
      <c r="X683" s="1">
        <v>44650</v>
      </c>
      <c r="Y683">
        <f>NETWORKDAYS(X683,$Z$1,FERIADO!$A$2:$A$408)</f>
        <v>2210</v>
      </c>
      <c r="Z683">
        <v>11.62</v>
      </c>
      <c r="AA683" s="6">
        <f t="shared" si="92"/>
        <v>38133.799486900534</v>
      </c>
      <c r="AB683" s="2">
        <f t="shared" si="93"/>
        <v>-3.5675135372798044E-3</v>
      </c>
      <c r="AJ683" s="1">
        <v>44650</v>
      </c>
      <c r="AK683">
        <f>NETWORKDAYS(AJ683,$AJ$1,FERIADO!$A$2:$A$408)</f>
        <v>1197</v>
      </c>
      <c r="AL683">
        <v>11.33</v>
      </c>
      <c r="AM683" s="6">
        <f t="shared" si="94"/>
        <v>60060.923676354083</v>
      </c>
      <c r="AN683" s="2">
        <f t="shared" si="95"/>
        <v>-2.0416390371285069E-3</v>
      </c>
      <c r="AP683" s="11">
        <f t="shared" si="96"/>
        <v>-1.7837567686399022E-3</v>
      </c>
      <c r="AQ683" s="11">
        <f t="shared" si="97"/>
        <v>-6.1249171113855207E-4</v>
      </c>
      <c r="AR683" s="11">
        <f t="shared" si="98"/>
        <v>-2.3962484797784541E-3</v>
      </c>
    </row>
    <row r="684" spans="2:44" x14ac:dyDescent="0.35">
      <c r="B684" s="1">
        <v>44649</v>
      </c>
      <c r="C684">
        <v>5041.03</v>
      </c>
      <c r="D684" s="1">
        <v>44649</v>
      </c>
      <c r="E684">
        <v>4.7480000000000002</v>
      </c>
      <c r="F684" s="1">
        <v>44645</v>
      </c>
      <c r="G684">
        <v>121.608</v>
      </c>
      <c r="H684" s="4">
        <f t="shared" si="90"/>
        <v>577394.7840000001</v>
      </c>
      <c r="I684" s="5">
        <v>44649</v>
      </c>
      <c r="J684" s="4">
        <v>5617.45</v>
      </c>
      <c r="K684" s="4">
        <f t="shared" si="91"/>
        <v>56174.5</v>
      </c>
      <c r="L684" s="1">
        <v>44649</v>
      </c>
      <c r="M684">
        <v>4.91</v>
      </c>
      <c r="N684" s="1">
        <v>44649</v>
      </c>
      <c r="O684">
        <v>4.95</v>
      </c>
      <c r="P684" s="1">
        <v>44649</v>
      </c>
      <c r="Q684">
        <v>5.03</v>
      </c>
      <c r="R684" s="1">
        <v>44649</v>
      </c>
      <c r="S684">
        <v>5.12</v>
      </c>
      <c r="T684" s="1">
        <v>44610</v>
      </c>
      <c r="U684">
        <v>5.38</v>
      </c>
      <c r="V684" s="1">
        <v>44649</v>
      </c>
      <c r="W684">
        <v>5.17</v>
      </c>
      <c r="X684" s="1">
        <v>44649</v>
      </c>
      <c r="Y684">
        <f>NETWORKDAYS(X684,$Z$1,FERIADO!$A$2:$A$408)</f>
        <v>2211</v>
      </c>
      <c r="Z684">
        <v>11.51</v>
      </c>
      <c r="AA684" s="6">
        <f t="shared" si="92"/>
        <v>38448.339843588692</v>
      </c>
      <c r="AB684" s="2">
        <f t="shared" si="93"/>
        <v>2.2383936591944503E-3</v>
      </c>
      <c r="AJ684" s="1">
        <v>44649</v>
      </c>
      <c r="AK684">
        <f>NETWORKDAYS(AJ684,$AJ$1,FERIADO!$A$2:$A$408)</f>
        <v>1198</v>
      </c>
      <c r="AL684">
        <v>11.21</v>
      </c>
      <c r="AM684" s="6">
        <f t="shared" si="94"/>
        <v>60343.937648051637</v>
      </c>
      <c r="AN684" s="2">
        <f t="shared" si="95"/>
        <v>1.2047893976994037E-3</v>
      </c>
      <c r="AP684" s="11">
        <f t="shared" si="96"/>
        <v>1.1191968295972252E-3</v>
      </c>
      <c r="AQ684" s="11">
        <f t="shared" si="97"/>
        <v>3.6143681930982113E-4</v>
      </c>
      <c r="AR684" s="11">
        <f t="shared" si="98"/>
        <v>1.4806336489070462E-3</v>
      </c>
    </row>
    <row r="685" spans="2:44" x14ac:dyDescent="0.35">
      <c r="B685" s="1">
        <v>44648</v>
      </c>
      <c r="C685">
        <v>4983.82</v>
      </c>
      <c r="D685" s="1">
        <v>44648</v>
      </c>
      <c r="E685">
        <v>4.7899000000000003</v>
      </c>
      <c r="F685" s="1">
        <v>44644</v>
      </c>
      <c r="G685">
        <v>122.65</v>
      </c>
      <c r="H685" s="4">
        <f t="shared" si="90"/>
        <v>587481.2350000001</v>
      </c>
      <c r="I685" s="5">
        <v>44648</v>
      </c>
      <c r="J685" s="4">
        <v>5628.66</v>
      </c>
      <c r="K685" s="4">
        <f t="shared" si="91"/>
        <v>56286.6</v>
      </c>
      <c r="L685" s="1">
        <v>44648</v>
      </c>
      <c r="M685">
        <v>4.8499999999999996</v>
      </c>
      <c r="N685" s="1">
        <v>44648</v>
      </c>
      <c r="O685">
        <v>4.92</v>
      </c>
      <c r="P685" s="1">
        <v>44648</v>
      </c>
      <c r="Q685">
        <v>4.96</v>
      </c>
      <c r="R685" s="1">
        <v>44648</v>
      </c>
      <c r="S685">
        <v>5.07</v>
      </c>
      <c r="T685" s="1">
        <v>44609</v>
      </c>
      <c r="U685">
        <v>5.34</v>
      </c>
      <c r="V685" s="1">
        <v>44648</v>
      </c>
      <c r="W685">
        <v>5.1100000000000003</v>
      </c>
      <c r="X685" s="1">
        <v>44648</v>
      </c>
      <c r="Y685">
        <f>NETWORKDAYS(X685,$Z$1,FERIADO!$A$2:$A$408)</f>
        <v>2212</v>
      </c>
      <c r="Z685">
        <v>11.57</v>
      </c>
      <c r="AA685" s="6">
        <f t="shared" si="92"/>
        <v>38250.683375067463</v>
      </c>
      <c r="AB685" s="2">
        <f t="shared" si="93"/>
        <v>3.9470234630017385E-3</v>
      </c>
      <c r="AJ685" s="1">
        <v>44648</v>
      </c>
      <c r="AK685">
        <f>NETWORKDAYS(AJ685,$AJ$1,FERIADO!$A$2:$A$408)</f>
        <v>1199</v>
      </c>
      <c r="AL685">
        <v>11.265000000000001</v>
      </c>
      <c r="AM685" s="6">
        <f t="shared" si="94"/>
        <v>60176.7676966332</v>
      </c>
      <c r="AN685" s="2">
        <f t="shared" si="95"/>
        <v>2.2275091592233796E-3</v>
      </c>
      <c r="AP685" s="11">
        <f t="shared" si="96"/>
        <v>1.9735117315008693E-3</v>
      </c>
      <c r="AQ685" s="11">
        <f t="shared" si="97"/>
        <v>6.6825274776701382E-4</v>
      </c>
      <c r="AR685" s="11">
        <f t="shared" si="98"/>
        <v>2.6417644792678832E-3</v>
      </c>
    </row>
    <row r="686" spans="2:44" x14ac:dyDescent="0.35">
      <c r="B686" s="1">
        <v>44645</v>
      </c>
      <c r="C686">
        <v>4952.83</v>
      </c>
      <c r="D686" s="1">
        <v>44645</v>
      </c>
      <c r="E686">
        <v>4.7775999999999996</v>
      </c>
      <c r="F686" s="1">
        <v>44643</v>
      </c>
      <c r="G686">
        <v>123.304</v>
      </c>
      <c r="H686" s="4">
        <f t="shared" si="90"/>
        <v>589097.19039999996</v>
      </c>
      <c r="I686" s="5">
        <v>44645</v>
      </c>
      <c r="J686" s="4">
        <v>5604.48</v>
      </c>
      <c r="K686" s="4">
        <f t="shared" si="91"/>
        <v>56044.799999999996</v>
      </c>
      <c r="L686" s="1">
        <v>44645</v>
      </c>
      <c r="M686">
        <v>4.8099999999999996</v>
      </c>
      <c r="N686" s="1">
        <v>44645</v>
      </c>
      <c r="O686">
        <v>4.8499999999999996</v>
      </c>
      <c r="P686" s="1">
        <v>44645</v>
      </c>
      <c r="Q686">
        <v>4.9400000000000004</v>
      </c>
      <c r="R686" s="1">
        <v>44645</v>
      </c>
      <c r="S686">
        <v>5</v>
      </c>
      <c r="T686" s="1">
        <v>44608</v>
      </c>
      <c r="U686">
        <v>5.37</v>
      </c>
      <c r="V686" s="1">
        <v>44645</v>
      </c>
      <c r="W686">
        <v>5.07</v>
      </c>
      <c r="X686" s="1">
        <v>44645</v>
      </c>
      <c r="Y686">
        <f>NETWORKDAYS(X686,$Z$1,FERIADO!$A$2:$A$408)</f>
        <v>2213</v>
      </c>
      <c r="Z686">
        <v>11.68</v>
      </c>
      <c r="AA686" s="6">
        <f t="shared" si="92"/>
        <v>37904.622438966042</v>
      </c>
      <c r="AB686" s="2">
        <f t="shared" si="93"/>
        <v>4.2880205475341717E-3</v>
      </c>
      <c r="AJ686" s="1">
        <v>44645</v>
      </c>
      <c r="AK686">
        <f>NETWORKDAYS(AJ686,$AJ$1,FERIADO!$A$2:$A$408)</f>
        <v>1200</v>
      </c>
      <c r="AL686">
        <v>11.375</v>
      </c>
      <c r="AM686" s="6">
        <f t="shared" si="94"/>
        <v>59868.909468699901</v>
      </c>
      <c r="AN686" s="2">
        <f t="shared" si="95"/>
        <v>3.5280842794597595E-3</v>
      </c>
      <c r="AP686" s="11">
        <f t="shared" si="96"/>
        <v>2.1440102737670858E-3</v>
      </c>
      <c r="AQ686" s="11">
        <f t="shared" si="97"/>
        <v>1.0584252838379278E-3</v>
      </c>
      <c r="AR686" s="11">
        <f t="shared" si="98"/>
        <v>3.2024355576050134E-3</v>
      </c>
    </row>
    <row r="687" spans="2:44" x14ac:dyDescent="0.35">
      <c r="B687" s="1">
        <v>44644</v>
      </c>
      <c r="C687">
        <v>4930.76</v>
      </c>
      <c r="D687" s="1">
        <v>44644</v>
      </c>
      <c r="E687">
        <v>4.8060999999999998</v>
      </c>
      <c r="F687" s="1">
        <v>44642</v>
      </c>
      <c r="G687">
        <v>122.651</v>
      </c>
      <c r="H687" s="4">
        <f t="shared" si="90"/>
        <v>589472.97109999997</v>
      </c>
      <c r="I687" s="5">
        <v>44644</v>
      </c>
      <c r="J687" s="4">
        <v>5707.09</v>
      </c>
      <c r="K687" s="4">
        <f t="shared" si="91"/>
        <v>57070.9</v>
      </c>
      <c r="L687" s="1">
        <v>44644</v>
      </c>
      <c r="M687">
        <v>4.92</v>
      </c>
      <c r="N687" s="1">
        <v>44644</v>
      </c>
      <c r="O687">
        <v>5.01</v>
      </c>
      <c r="P687" s="1">
        <v>44644</v>
      </c>
      <c r="Q687">
        <v>5.07</v>
      </c>
      <c r="R687" s="1">
        <v>44644</v>
      </c>
      <c r="S687">
        <v>5.12</v>
      </c>
      <c r="T687" s="1">
        <v>44607</v>
      </c>
      <c r="U687">
        <v>5.3</v>
      </c>
      <c r="V687" s="1">
        <v>44644</v>
      </c>
      <c r="W687">
        <v>5.15</v>
      </c>
      <c r="X687" s="1">
        <v>44644</v>
      </c>
      <c r="Y687">
        <f>NETWORKDAYS(X687,$Z$1,FERIADO!$A$2:$A$408)</f>
        <v>2214</v>
      </c>
      <c r="Z687">
        <v>11.8</v>
      </c>
      <c r="AA687" s="6">
        <f t="shared" si="92"/>
        <v>37532.211460431528</v>
      </c>
      <c r="AB687" s="2">
        <f t="shared" si="93"/>
        <v>9.7406261291673873E-3</v>
      </c>
      <c r="AJ687" s="1">
        <v>44644</v>
      </c>
      <c r="AK687">
        <f>NETWORKDAYS(AJ687,$AJ$1,FERIADO!$A$2:$A$408)</f>
        <v>1201</v>
      </c>
      <c r="AL687">
        <v>11.555</v>
      </c>
      <c r="AM687" s="6">
        <f t="shared" si="94"/>
        <v>59384.521732296809</v>
      </c>
      <c r="AN687" s="2">
        <f t="shared" si="95"/>
        <v>5.7518082839314111E-3</v>
      </c>
      <c r="AP687" s="11">
        <f t="shared" si="96"/>
        <v>4.8703130645836937E-3</v>
      </c>
      <c r="AQ687" s="11">
        <f t="shared" si="97"/>
        <v>1.7255424851794234E-3</v>
      </c>
      <c r="AR687" s="11">
        <f t="shared" si="98"/>
        <v>6.5958555497631173E-3</v>
      </c>
    </row>
    <row r="688" spans="2:44" x14ac:dyDescent="0.35">
      <c r="B688" s="1">
        <v>44643</v>
      </c>
      <c r="C688">
        <v>4854.16</v>
      </c>
      <c r="D688" s="1">
        <v>44643</v>
      </c>
      <c r="E688">
        <v>4.8697999999999997</v>
      </c>
      <c r="F688" s="1">
        <v>44641</v>
      </c>
      <c r="G688">
        <v>123.29900000000001</v>
      </c>
      <c r="H688" s="4">
        <f t="shared" si="90"/>
        <v>600441.47019999998</v>
      </c>
      <c r="I688" s="5">
        <v>44643</v>
      </c>
      <c r="J688" s="4">
        <v>5710.04</v>
      </c>
      <c r="K688" s="4">
        <f t="shared" si="91"/>
        <v>57100.4</v>
      </c>
      <c r="L688" s="1">
        <v>44643</v>
      </c>
      <c r="M688">
        <v>5.18</v>
      </c>
      <c r="N688" s="1">
        <v>44643</v>
      </c>
      <c r="O688">
        <v>5.23</v>
      </c>
      <c r="P688" s="1">
        <v>44643</v>
      </c>
      <c r="Q688">
        <v>5.3</v>
      </c>
      <c r="R688" s="1">
        <v>44643</v>
      </c>
      <c r="S688">
        <v>5.34</v>
      </c>
      <c r="T688" s="1">
        <v>44601</v>
      </c>
      <c r="U688">
        <v>5.27</v>
      </c>
      <c r="V688" s="1">
        <v>44643</v>
      </c>
      <c r="W688">
        <v>5.35</v>
      </c>
      <c r="X688" s="1">
        <v>44643</v>
      </c>
      <c r="Y688">
        <f>NETWORKDAYS(X688,$Z$1,FERIADO!$A$2:$A$408)</f>
        <v>2215</v>
      </c>
      <c r="Z688">
        <v>12.08</v>
      </c>
      <c r="AA688" s="6">
        <f t="shared" si="92"/>
        <v>36699.785708114592</v>
      </c>
      <c r="AB688" s="2">
        <f t="shared" si="93"/>
        <v>1.2186287635834127E-3</v>
      </c>
      <c r="AJ688" s="1">
        <v>44643</v>
      </c>
      <c r="AK688">
        <f>NETWORKDAYS(AJ688,$AJ$1,FERIADO!$A$2:$A$408)</f>
        <v>1202</v>
      </c>
      <c r="AL688">
        <v>11.855</v>
      </c>
      <c r="AM688" s="6">
        <f t="shared" si="94"/>
        <v>58603.216696187483</v>
      </c>
      <c r="AN688" s="2">
        <f t="shared" si="95"/>
        <v>4.7108425204149562E-4</v>
      </c>
      <c r="AP688" s="11">
        <f t="shared" si="96"/>
        <v>6.0931438179170634E-4</v>
      </c>
      <c r="AQ688" s="11">
        <f t="shared" si="97"/>
        <v>1.4132527561244867E-4</v>
      </c>
      <c r="AR688" s="11">
        <f t="shared" si="98"/>
        <v>7.5063965740415498E-4</v>
      </c>
    </row>
    <row r="689" spans="2:44" x14ac:dyDescent="0.35">
      <c r="B689" s="1">
        <v>44642</v>
      </c>
      <c r="C689">
        <v>4919.53</v>
      </c>
      <c r="D689" s="1">
        <v>44642</v>
      </c>
      <c r="E689">
        <v>4.9202000000000004</v>
      </c>
      <c r="F689" s="1">
        <v>44638</v>
      </c>
      <c r="G689">
        <v>124.684</v>
      </c>
      <c r="H689" s="4">
        <f t="shared" si="90"/>
        <v>613470.21680000005</v>
      </c>
      <c r="I689" s="5">
        <v>44642</v>
      </c>
      <c r="J689" s="4">
        <v>5810.3</v>
      </c>
      <c r="K689" s="4">
        <f t="shared" si="91"/>
        <v>58103</v>
      </c>
      <c r="L689" s="1">
        <v>44642</v>
      </c>
      <c r="M689">
        <v>5.23</v>
      </c>
      <c r="N689" s="1">
        <v>44642</v>
      </c>
      <c r="O689">
        <v>5.28</v>
      </c>
      <c r="P689" s="1">
        <v>44642</v>
      </c>
      <c r="Q689">
        <v>5.33</v>
      </c>
      <c r="R689" s="1">
        <v>44642</v>
      </c>
      <c r="S689">
        <v>5.38</v>
      </c>
      <c r="T689" s="1">
        <v>44600</v>
      </c>
      <c r="U689">
        <v>5.2</v>
      </c>
      <c r="V689" s="1">
        <v>44642</v>
      </c>
      <c r="W689">
        <v>5.47</v>
      </c>
      <c r="X689" s="1">
        <v>44642</v>
      </c>
      <c r="Y689">
        <f>NETWORKDAYS(X689,$Z$1,FERIADO!$A$2:$A$408)</f>
        <v>2216</v>
      </c>
      <c r="Z689">
        <v>12.11</v>
      </c>
      <c r="AA689" s="6">
        <f t="shared" si="92"/>
        <v>36596.950585589017</v>
      </c>
      <c r="AB689" s="2">
        <f t="shared" si="93"/>
        <v>2.2412804239191229E-3</v>
      </c>
      <c r="AJ689" s="1">
        <v>44642</v>
      </c>
      <c r="AK689">
        <f>NETWORKDAYS(AJ689,$AJ$1,FERIADO!$A$2:$A$408)</f>
        <v>1203</v>
      </c>
      <c r="AL689">
        <v>11.87</v>
      </c>
      <c r="AM689" s="6">
        <f t="shared" si="94"/>
        <v>58539.683572415845</v>
      </c>
      <c r="AN689" s="2">
        <f t="shared" si="95"/>
        <v>2.2325834602670899E-3</v>
      </c>
      <c r="AP689" s="11">
        <f t="shared" si="96"/>
        <v>1.1206402119595615E-3</v>
      </c>
      <c r="AQ689" s="11">
        <f t="shared" si="97"/>
        <v>6.6977503808012689E-4</v>
      </c>
      <c r="AR689" s="11">
        <f t="shared" si="98"/>
        <v>1.7904152500396882E-3</v>
      </c>
    </row>
    <row r="690" spans="2:44" x14ac:dyDescent="0.35">
      <c r="B690" s="1">
        <v>44641</v>
      </c>
      <c r="C690">
        <v>4867.9799999999996</v>
      </c>
      <c r="D690" s="1">
        <v>44641</v>
      </c>
      <c r="E690">
        <v>4.9660000000000002</v>
      </c>
      <c r="F690" s="1">
        <v>44637</v>
      </c>
      <c r="G690">
        <v>124.446</v>
      </c>
      <c r="H690" s="4">
        <f t="shared" si="90"/>
        <v>617998.83600000001</v>
      </c>
      <c r="I690" s="5">
        <v>44641</v>
      </c>
      <c r="J690" s="4">
        <v>5844.51</v>
      </c>
      <c r="K690" s="4">
        <f t="shared" si="91"/>
        <v>58445.100000000006</v>
      </c>
      <c r="L690" s="1">
        <v>44641</v>
      </c>
      <c r="M690">
        <v>5.33</v>
      </c>
      <c r="N690" s="1">
        <v>44641</v>
      </c>
      <c r="O690">
        <v>5.37</v>
      </c>
      <c r="P690" s="1">
        <v>44641</v>
      </c>
      <c r="Q690">
        <v>5.45</v>
      </c>
      <c r="R690" s="1">
        <v>44641</v>
      </c>
      <c r="S690">
        <v>5.45</v>
      </c>
      <c r="T690" s="1">
        <v>44596</v>
      </c>
      <c r="U690">
        <v>5.17</v>
      </c>
      <c r="V690" s="1">
        <v>44641</v>
      </c>
      <c r="W690">
        <v>5.47</v>
      </c>
      <c r="X690" s="1">
        <v>44641</v>
      </c>
      <c r="Y690">
        <f>NETWORKDAYS(X690,$Z$1,FERIADO!$A$2:$A$408)</f>
        <v>2217</v>
      </c>
      <c r="Z690">
        <v>12.17</v>
      </c>
      <c r="AA690" s="6">
        <f t="shared" si="92"/>
        <v>36408.569789473964</v>
      </c>
      <c r="AB690" s="2">
        <f t="shared" si="93"/>
        <v>-4.8368863525528622E-4</v>
      </c>
      <c r="AJ690" s="1">
        <v>44641</v>
      </c>
      <c r="AK690">
        <f>NETWORKDAYS(AJ690,$AJ$1,FERIADO!$A$2:$A$408)</f>
        <v>1204</v>
      </c>
      <c r="AL690">
        <v>11.98</v>
      </c>
      <c r="AM690" s="6">
        <f t="shared" si="94"/>
        <v>58239.520025383346</v>
      </c>
      <c r="AN690" s="2">
        <f t="shared" si="95"/>
        <v>-1.0107829120307842E-3</v>
      </c>
      <c r="AP690" s="11">
        <f t="shared" si="96"/>
        <v>-2.4184431762764311E-4</v>
      </c>
      <c r="AQ690" s="11">
        <f t="shared" si="97"/>
        <v>-3.0323487360923524E-4</v>
      </c>
      <c r="AR690" s="11">
        <f t="shared" si="98"/>
        <v>-5.4507919123687829E-4</v>
      </c>
    </row>
    <row r="691" spans="2:44" x14ac:dyDescent="0.35">
      <c r="B691" s="1">
        <v>44638</v>
      </c>
      <c r="C691">
        <v>4903.07</v>
      </c>
      <c r="D691" s="1">
        <v>44638</v>
      </c>
      <c r="E691">
        <v>5.0404999999999998</v>
      </c>
      <c r="F691" s="1">
        <v>44636</v>
      </c>
      <c r="G691">
        <v>124.21</v>
      </c>
      <c r="H691" s="4">
        <f t="shared" si="90"/>
        <v>626080.50499999989</v>
      </c>
      <c r="I691" s="5">
        <v>44638</v>
      </c>
      <c r="J691" s="4">
        <v>5949.49</v>
      </c>
      <c r="K691" s="4">
        <f t="shared" si="91"/>
        <v>59494.899999999994</v>
      </c>
      <c r="L691" s="1">
        <v>44638</v>
      </c>
      <c r="M691">
        <v>5.34</v>
      </c>
      <c r="N691" s="1">
        <v>44638</v>
      </c>
      <c r="O691">
        <v>5.37</v>
      </c>
      <c r="P691" s="1">
        <v>44638</v>
      </c>
      <c r="Q691">
        <v>5.44</v>
      </c>
      <c r="R691" s="1">
        <v>44638</v>
      </c>
      <c r="S691">
        <v>5.45</v>
      </c>
      <c r="T691" s="1">
        <v>44595</v>
      </c>
      <c r="U691">
        <v>5.09</v>
      </c>
      <c r="V691" s="1">
        <v>44638</v>
      </c>
      <c r="W691">
        <v>5.46</v>
      </c>
      <c r="X691" s="1">
        <v>44638</v>
      </c>
      <c r="Y691">
        <f>NETWORKDAYS(X691,$Z$1,FERIADO!$A$2:$A$408)</f>
        <v>2218</v>
      </c>
      <c r="Z691">
        <v>12.15</v>
      </c>
      <c r="AA691" s="6">
        <f t="shared" si="92"/>
        <v>36449.141849373598</v>
      </c>
      <c r="AB691" s="2">
        <f t="shared" si="93"/>
        <v>7.6920504472751975E-3</v>
      </c>
      <c r="AJ691" s="1">
        <v>44638</v>
      </c>
      <c r="AK691">
        <f>NETWORKDAYS(AJ691,$AJ$1,FERIADO!$A$2:$A$408)</f>
        <v>1205</v>
      </c>
      <c r="AL691">
        <v>11.914999999999999</v>
      </c>
      <c r="AM691" s="6">
        <f t="shared" si="94"/>
        <v>58375.225340106299</v>
      </c>
      <c r="AN691" s="2">
        <f t="shared" si="95"/>
        <v>4.4610217021146849E-3</v>
      </c>
      <c r="AP691" s="11">
        <f t="shared" si="96"/>
        <v>3.8460252236375988E-3</v>
      </c>
      <c r="AQ691" s="11">
        <f t="shared" si="97"/>
        <v>1.3383065106344055E-3</v>
      </c>
      <c r="AR691" s="11">
        <f t="shared" si="98"/>
        <v>5.1843317342720047E-3</v>
      </c>
    </row>
    <row r="692" spans="2:44" x14ac:dyDescent="0.35">
      <c r="B692" s="1">
        <v>44637</v>
      </c>
      <c r="C692">
        <v>4789.96</v>
      </c>
      <c r="D692" s="1">
        <v>44637</v>
      </c>
      <c r="E692">
        <v>5.0758000000000001</v>
      </c>
      <c r="F692" s="1">
        <v>44635</v>
      </c>
      <c r="G692">
        <v>124.699</v>
      </c>
      <c r="H692" s="4">
        <f t="shared" si="90"/>
        <v>632947.18420000002</v>
      </c>
      <c r="I692" s="5">
        <v>44637</v>
      </c>
      <c r="J692" s="4">
        <v>5968.95</v>
      </c>
      <c r="K692" s="4">
        <f t="shared" si="91"/>
        <v>59689.5</v>
      </c>
      <c r="L692" s="1">
        <v>44637</v>
      </c>
      <c r="M692">
        <v>5.42</v>
      </c>
      <c r="N692" s="1">
        <v>44637</v>
      </c>
      <c r="O692">
        <v>5.52</v>
      </c>
      <c r="P692" s="1">
        <v>44637</v>
      </c>
      <c r="Q692">
        <v>5.5</v>
      </c>
      <c r="R692" s="1">
        <v>44637</v>
      </c>
      <c r="S692">
        <v>5.52</v>
      </c>
      <c r="T692" s="1">
        <v>44594</v>
      </c>
      <c r="U692">
        <v>5.21</v>
      </c>
      <c r="V692" s="1">
        <v>44637</v>
      </c>
      <c r="W692">
        <v>5.53</v>
      </c>
      <c r="X692" s="1">
        <v>44637</v>
      </c>
      <c r="Y692">
        <f>NETWORKDAYS(X692,$Z$1,FERIADO!$A$2:$A$408)</f>
        <v>2219</v>
      </c>
      <c r="Z692">
        <v>12.37</v>
      </c>
      <c r="AA692" s="6">
        <f t="shared" si="92"/>
        <v>35809.252661895633</v>
      </c>
      <c r="AB692" s="2">
        <f t="shared" si="93"/>
        <v>3.2640501106635908E-3</v>
      </c>
      <c r="AJ692" s="1">
        <v>44637</v>
      </c>
      <c r="AK692">
        <f>NETWORKDAYS(AJ692,$AJ$1,FERIADO!$A$2:$A$408)</f>
        <v>1206</v>
      </c>
      <c r="AL692">
        <v>12.145</v>
      </c>
      <c r="AM692" s="6">
        <f t="shared" si="94"/>
        <v>57778.671022626862</v>
      </c>
      <c r="AN692" s="2">
        <f t="shared" si="95"/>
        <v>2.1442311097839527E-3</v>
      </c>
      <c r="AP692" s="11">
        <f t="shared" si="96"/>
        <v>1.6320250553317954E-3</v>
      </c>
      <c r="AQ692" s="11">
        <f t="shared" si="97"/>
        <v>6.4326933293518574E-4</v>
      </c>
      <c r="AR692" s="11">
        <f t="shared" si="98"/>
        <v>2.2752943882669813E-3</v>
      </c>
    </row>
    <row r="693" spans="2:44" x14ac:dyDescent="0.35">
      <c r="B693" s="1">
        <v>44636</v>
      </c>
      <c r="C693">
        <v>4768.76</v>
      </c>
      <c r="D693" s="1">
        <v>44636</v>
      </c>
      <c r="E693">
        <v>5.1280999999999999</v>
      </c>
      <c r="F693" s="1">
        <v>44634</v>
      </c>
      <c r="G693">
        <v>124.761</v>
      </c>
      <c r="H693" s="4">
        <f t="shared" si="90"/>
        <v>639786.88409999991</v>
      </c>
      <c r="I693" s="5">
        <v>44636</v>
      </c>
      <c r="J693" s="4">
        <v>6013.77</v>
      </c>
      <c r="K693" s="4">
        <f t="shared" si="91"/>
        <v>60137.700000000004</v>
      </c>
      <c r="L693" s="1">
        <v>44636</v>
      </c>
      <c r="M693">
        <v>5.55</v>
      </c>
      <c r="N693" s="1">
        <v>44636</v>
      </c>
      <c r="O693">
        <v>5.49</v>
      </c>
      <c r="P693" s="1">
        <v>44636</v>
      </c>
      <c r="Q693">
        <v>5.57</v>
      </c>
      <c r="R693" s="1">
        <v>44636</v>
      </c>
      <c r="S693">
        <v>5.58</v>
      </c>
      <c r="T693" s="1">
        <v>44593</v>
      </c>
      <c r="U693">
        <v>5.22</v>
      </c>
      <c r="V693" s="1">
        <v>44636</v>
      </c>
      <c r="W693">
        <v>5.61</v>
      </c>
      <c r="X693" s="1">
        <v>44636</v>
      </c>
      <c r="Y693">
        <f>NETWORKDAYS(X693,$Z$1,FERIADO!$A$2:$A$408)</f>
        <v>2220</v>
      </c>
      <c r="Z693">
        <v>12.46</v>
      </c>
      <c r="AA693" s="6">
        <f t="shared" si="92"/>
        <v>35541.128000703917</v>
      </c>
      <c r="AB693" s="2">
        <f t="shared" si="93"/>
        <v>-8.1883285755243317E-4</v>
      </c>
      <c r="AJ693" s="1">
        <v>44636</v>
      </c>
      <c r="AK693">
        <f>NETWORKDAYS(AJ693,$AJ$1,FERIADO!$A$2:$A$408)</f>
        <v>1207</v>
      </c>
      <c r="AL693">
        <v>12.25</v>
      </c>
      <c r="AM693" s="6">
        <f t="shared" si="94"/>
        <v>57494.104926923166</v>
      </c>
      <c r="AN693" s="2">
        <f t="shared" si="95"/>
        <v>1.9915218125150555E-4</v>
      </c>
      <c r="AP693" s="11">
        <f t="shared" si="96"/>
        <v>-4.0941642877621658E-4</v>
      </c>
      <c r="AQ693" s="11">
        <f t="shared" si="97"/>
        <v>5.9745654375451664E-5</v>
      </c>
      <c r="AR693" s="11">
        <f t="shared" si="98"/>
        <v>-3.4967077440076493E-4</v>
      </c>
    </row>
    <row r="694" spans="2:44" x14ac:dyDescent="0.35">
      <c r="B694" s="1">
        <v>44635</v>
      </c>
      <c r="C694">
        <v>4645.13</v>
      </c>
      <c r="D694" s="1">
        <v>44635</v>
      </c>
      <c r="E694">
        <v>5.1307999999999998</v>
      </c>
      <c r="F694" s="1">
        <v>44631</v>
      </c>
      <c r="G694">
        <v>125.979</v>
      </c>
      <c r="H694" s="4">
        <f t="shared" si="90"/>
        <v>646373.05319999997</v>
      </c>
      <c r="I694" s="5">
        <v>44635</v>
      </c>
      <c r="J694" s="4">
        <v>6118.16</v>
      </c>
      <c r="K694" s="4">
        <f t="shared" si="91"/>
        <v>61181.599999999999</v>
      </c>
      <c r="L694" s="1">
        <v>44635</v>
      </c>
      <c r="M694">
        <v>5.46</v>
      </c>
      <c r="N694" s="1">
        <v>44635</v>
      </c>
      <c r="O694">
        <v>5.49</v>
      </c>
      <c r="P694" s="1">
        <v>44635</v>
      </c>
      <c r="Q694">
        <v>5.55</v>
      </c>
      <c r="R694" s="1">
        <v>44635</v>
      </c>
      <c r="S694">
        <v>5.58</v>
      </c>
      <c r="T694" s="1">
        <v>44587</v>
      </c>
      <c r="U694">
        <v>5.19</v>
      </c>
      <c r="V694" s="1">
        <v>44635</v>
      </c>
      <c r="W694">
        <v>5.61</v>
      </c>
      <c r="X694" s="1">
        <v>44635</v>
      </c>
      <c r="Y694">
        <f>NETWORKDAYS(X694,$Z$1,FERIADO!$A$2:$A$408)</f>
        <v>2221</v>
      </c>
      <c r="Z694">
        <v>12.43</v>
      </c>
      <c r="AA694" s="6">
        <f t="shared" si="92"/>
        <v>35608.201604033195</v>
      </c>
      <c r="AB694" s="2">
        <f t="shared" si="93"/>
        <v>7.687808572128885E-3</v>
      </c>
      <c r="AJ694" s="1">
        <v>44635</v>
      </c>
      <c r="AK694">
        <f>NETWORKDAYS(AJ694,$AJ$1,FERIADO!$A$2:$A$408)</f>
        <v>1208</v>
      </c>
      <c r="AL694">
        <v>12.25</v>
      </c>
      <c r="AM694" s="6">
        <f t="shared" si="94"/>
        <v>57467.746195734304</v>
      </c>
      <c r="AN694" s="2">
        <f t="shared" si="95"/>
        <v>4.8344810755877729E-3</v>
      </c>
      <c r="AP694" s="11">
        <f t="shared" si="96"/>
        <v>3.8439042860644425E-3</v>
      </c>
      <c r="AQ694" s="11">
        <f t="shared" si="97"/>
        <v>1.4503443226763317E-3</v>
      </c>
      <c r="AR694" s="11">
        <f t="shared" si="98"/>
        <v>5.2942486087407745E-3</v>
      </c>
    </row>
    <row r="695" spans="2:44" x14ac:dyDescent="0.35">
      <c r="B695" s="1">
        <v>44634</v>
      </c>
      <c r="C695">
        <v>4563.3900000000003</v>
      </c>
      <c r="D695" s="1">
        <v>44634</v>
      </c>
      <c r="E695">
        <v>5.0640999999999998</v>
      </c>
      <c r="F695" s="1">
        <v>44630</v>
      </c>
      <c r="G695">
        <v>126.187</v>
      </c>
      <c r="H695" s="4">
        <f t="shared" si="90"/>
        <v>639023.58669999999</v>
      </c>
      <c r="I695" s="5">
        <v>44634</v>
      </c>
      <c r="J695" s="4">
        <v>6075.69</v>
      </c>
      <c r="K695" s="4">
        <f t="shared" si="91"/>
        <v>60756.899999999994</v>
      </c>
      <c r="L695" s="1">
        <v>44634</v>
      </c>
      <c r="M695">
        <v>5.56</v>
      </c>
      <c r="N695" s="1">
        <v>44634</v>
      </c>
      <c r="O695">
        <v>5.55</v>
      </c>
      <c r="P695" s="1">
        <v>44634</v>
      </c>
      <c r="Q695">
        <v>5.63</v>
      </c>
      <c r="R695" s="1">
        <v>44634</v>
      </c>
      <c r="S695">
        <v>5.62</v>
      </c>
      <c r="T695" s="1">
        <v>44586</v>
      </c>
      <c r="U695">
        <v>5.18</v>
      </c>
      <c r="V695" s="1">
        <v>44634</v>
      </c>
      <c r="W695">
        <v>5.61</v>
      </c>
      <c r="X695" s="1">
        <v>44634</v>
      </c>
      <c r="Y695">
        <f>NETWORKDAYS(X695,$Z$1,FERIADO!$A$2:$A$408)</f>
        <v>2222</v>
      </c>
      <c r="Z695">
        <v>12.65</v>
      </c>
      <c r="AA695" s="6">
        <f t="shared" si="92"/>
        <v>34983.417378980841</v>
      </c>
      <c r="AB695" s="2">
        <f t="shared" si="93"/>
        <v>-1.0010984199573881E-2</v>
      </c>
      <c r="AJ695" s="1">
        <v>44634</v>
      </c>
      <c r="AK695">
        <f>NETWORKDAYS(AJ695,$AJ$1,FERIADO!$A$2:$A$408)</f>
        <v>1209</v>
      </c>
      <c r="AL695">
        <v>12.5</v>
      </c>
      <c r="AM695" s="6">
        <f t="shared" si="94"/>
        <v>56831.573947263045</v>
      </c>
      <c r="AN695" s="2">
        <f t="shared" si="95"/>
        <v>-5.1794014806267122E-3</v>
      </c>
      <c r="AP695" s="11">
        <f t="shared" si="96"/>
        <v>-5.0054920997869403E-3</v>
      </c>
      <c r="AQ695" s="11">
        <f t="shared" si="97"/>
        <v>-1.5538204441880137E-3</v>
      </c>
      <c r="AR695" s="11">
        <f t="shared" si="98"/>
        <v>-6.5593125439749539E-3</v>
      </c>
    </row>
    <row r="696" spans="2:44" x14ac:dyDescent="0.35">
      <c r="B696" s="1">
        <v>44631</v>
      </c>
      <c r="C696">
        <v>4591.8100000000004</v>
      </c>
      <c r="D696" s="1">
        <v>44631</v>
      </c>
      <c r="E696">
        <v>5.0248999999999997</v>
      </c>
      <c r="F696" s="1">
        <v>44629</v>
      </c>
      <c r="G696">
        <v>126.556</v>
      </c>
      <c r="H696" s="4">
        <f t="shared" si="90"/>
        <v>635931.24439999997</v>
      </c>
      <c r="I696" s="5">
        <v>44631</v>
      </c>
      <c r="J696" s="4">
        <v>6020.85</v>
      </c>
      <c r="K696" s="4">
        <f t="shared" si="91"/>
        <v>60208.5</v>
      </c>
      <c r="L696" s="1">
        <v>44631</v>
      </c>
      <c r="M696">
        <v>5.44</v>
      </c>
      <c r="N696" s="1">
        <v>44631</v>
      </c>
      <c r="O696">
        <v>5.51</v>
      </c>
      <c r="P696" s="1">
        <v>44631</v>
      </c>
      <c r="Q696">
        <v>5.51</v>
      </c>
      <c r="R696" s="1">
        <v>44631</v>
      </c>
      <c r="S696">
        <v>5.55</v>
      </c>
      <c r="T696" s="1">
        <v>44581</v>
      </c>
      <c r="U696">
        <v>5.19</v>
      </c>
      <c r="V696" s="1">
        <v>44630</v>
      </c>
      <c r="W696">
        <v>5.59</v>
      </c>
      <c r="X696" s="1">
        <v>44631</v>
      </c>
      <c r="Y696">
        <f>NETWORKDAYS(X696,$Z$1,FERIADO!$A$2:$A$408)</f>
        <v>2223</v>
      </c>
      <c r="Z696">
        <v>12.35</v>
      </c>
      <c r="AA696" s="6">
        <f t="shared" si="92"/>
        <v>35799.191273579694</v>
      </c>
      <c r="AB696" s="2">
        <f t="shared" si="93"/>
        <v>-1.1641564821922637E-3</v>
      </c>
      <c r="AJ696" s="1">
        <v>44631</v>
      </c>
      <c r="AK696">
        <f>NETWORKDAYS(AJ696,$AJ$1,FERIADO!$A$2:$A$408)</f>
        <v>1210</v>
      </c>
      <c r="AL696">
        <v>12.21</v>
      </c>
      <c r="AM696" s="6">
        <f t="shared" si="94"/>
        <v>57513.405702189484</v>
      </c>
      <c r="AN696" s="2">
        <f t="shared" si="95"/>
        <v>-1.0107661544015102E-3</v>
      </c>
      <c r="AP696" s="11">
        <f t="shared" si="96"/>
        <v>-5.8207824109613186E-4</v>
      </c>
      <c r="AQ696" s="11">
        <f t="shared" si="97"/>
        <v>-3.0322984632045303E-4</v>
      </c>
      <c r="AR696" s="11">
        <f t="shared" si="98"/>
        <v>-8.8530808741658484E-4</v>
      </c>
    </row>
    <row r="697" spans="2:44" x14ac:dyDescent="0.35">
      <c r="B697" s="1">
        <v>44630</v>
      </c>
      <c r="C697">
        <v>4639.5200000000004</v>
      </c>
      <c r="D697" s="1">
        <v>44630</v>
      </c>
      <c r="E697">
        <v>5.0507</v>
      </c>
      <c r="F697" s="1">
        <v>44628</v>
      </c>
      <c r="G697">
        <v>127.223</v>
      </c>
      <c r="H697" s="4">
        <f t="shared" si="90"/>
        <v>642565.20609999995</v>
      </c>
      <c r="I697" s="5">
        <v>44630</v>
      </c>
      <c r="J697" s="4">
        <v>5948.31</v>
      </c>
      <c r="K697" s="4">
        <f t="shared" si="91"/>
        <v>59483.100000000006</v>
      </c>
      <c r="L697" s="1">
        <v>44630</v>
      </c>
      <c r="M697">
        <v>5.48</v>
      </c>
      <c r="N697" s="1">
        <v>44630</v>
      </c>
      <c r="O697">
        <v>5.47</v>
      </c>
      <c r="P697" s="1">
        <v>44630</v>
      </c>
      <c r="Q697">
        <v>5.53</v>
      </c>
      <c r="R697" s="1">
        <v>44630</v>
      </c>
      <c r="S697">
        <v>5.56</v>
      </c>
      <c r="T697" s="1">
        <v>44580</v>
      </c>
      <c r="U697">
        <v>5.28</v>
      </c>
      <c r="V697" s="1">
        <v>44629</v>
      </c>
      <c r="W697">
        <v>5.61</v>
      </c>
      <c r="X697" s="1">
        <v>44630</v>
      </c>
      <c r="Y697">
        <f>NETWORKDAYS(X697,$Z$1,FERIADO!$A$2:$A$408)</f>
        <v>2224</v>
      </c>
      <c r="Z697">
        <v>12.31</v>
      </c>
      <c r="AA697" s="6">
        <f t="shared" si="92"/>
        <v>35895.282220571324</v>
      </c>
      <c r="AB697" s="2">
        <f t="shared" si="93"/>
        <v>-2.5323004004986879E-3</v>
      </c>
      <c r="AJ697" s="1">
        <v>44630</v>
      </c>
      <c r="AK697">
        <f>NETWORKDAYS(AJ697,$AJ$1,FERIADO!$A$2:$A$408)</f>
        <v>1211</v>
      </c>
      <c r="AL697">
        <v>12.145</v>
      </c>
      <c r="AM697" s="6">
        <f t="shared" si="94"/>
        <v>57647.416855983924</v>
      </c>
      <c r="AN697" s="2">
        <f t="shared" si="95"/>
        <v>-1.8522642048985798E-3</v>
      </c>
      <c r="AP697" s="11">
        <f t="shared" si="96"/>
        <v>-1.266150200249344E-3</v>
      </c>
      <c r="AQ697" s="11">
        <f t="shared" si="97"/>
        <v>-5.5567926146957397E-4</v>
      </c>
      <c r="AR697" s="11">
        <f t="shared" si="98"/>
        <v>-1.8218294617189179E-3</v>
      </c>
    </row>
    <row r="698" spans="2:44" x14ac:dyDescent="0.35">
      <c r="B698" s="1">
        <v>44629</v>
      </c>
      <c r="C698">
        <v>4668.6400000000003</v>
      </c>
      <c r="D698" s="1">
        <v>44629</v>
      </c>
      <c r="E698">
        <v>5.0087999999999999</v>
      </c>
      <c r="F698" s="1">
        <v>44627</v>
      </c>
      <c r="G698">
        <v>127.96899999999999</v>
      </c>
      <c r="H698" s="4">
        <f t="shared" si="90"/>
        <v>640971.12719999999</v>
      </c>
      <c r="I698" s="5">
        <v>44629</v>
      </c>
      <c r="J698" s="4">
        <v>5950.08</v>
      </c>
      <c r="K698" s="4">
        <f t="shared" si="91"/>
        <v>59500.800000000003</v>
      </c>
      <c r="L698" s="1">
        <v>44629</v>
      </c>
      <c r="M698">
        <v>5.46</v>
      </c>
      <c r="N698" s="1">
        <v>44629</v>
      </c>
      <c r="O698">
        <v>5.48</v>
      </c>
      <c r="P698" s="1">
        <v>44629</v>
      </c>
      <c r="Q698">
        <v>5.54</v>
      </c>
      <c r="R698" s="1">
        <v>44629</v>
      </c>
      <c r="S698">
        <v>5.56</v>
      </c>
      <c r="T698" s="1">
        <v>44575</v>
      </c>
      <c r="U698">
        <v>5.2</v>
      </c>
      <c r="V698" s="1">
        <v>44628</v>
      </c>
      <c r="W698">
        <v>5.7</v>
      </c>
      <c r="X698" s="1">
        <v>44629</v>
      </c>
      <c r="Y698">
        <f>NETWORKDAYS(X698,$Z$1,FERIADO!$A$2:$A$408)</f>
        <v>2225</v>
      </c>
      <c r="Z698">
        <v>12.23</v>
      </c>
      <c r="AA698" s="6">
        <f t="shared" si="92"/>
        <v>36105.193149263643</v>
      </c>
      <c r="AB698" s="2">
        <f t="shared" si="93"/>
        <v>6.3467116686812836E-3</v>
      </c>
      <c r="AJ698" s="1">
        <v>44629</v>
      </c>
      <c r="AK698">
        <f>NETWORKDAYS(AJ698,$AJ$1,FERIADO!$A$2:$A$408)</f>
        <v>1212</v>
      </c>
      <c r="AL698">
        <v>12.035</v>
      </c>
      <c r="AM698" s="6">
        <f t="shared" si="94"/>
        <v>57893.807910132105</v>
      </c>
      <c r="AN698" s="2">
        <f t="shared" si="95"/>
        <v>4.3899370541640847E-3</v>
      </c>
      <c r="AP698" s="11">
        <f t="shared" si="96"/>
        <v>3.1733558343406418E-3</v>
      </c>
      <c r="AQ698" s="11">
        <f t="shared" si="97"/>
        <v>1.3169811162492254E-3</v>
      </c>
      <c r="AR698" s="11">
        <f t="shared" si="98"/>
        <v>4.4903369505898674E-3</v>
      </c>
    </row>
    <row r="699" spans="2:44" x14ac:dyDescent="0.35">
      <c r="B699" s="1">
        <v>44628</v>
      </c>
      <c r="C699">
        <v>4542.3100000000004</v>
      </c>
      <c r="D699" s="1">
        <v>44628</v>
      </c>
      <c r="E699">
        <v>5.0896999999999997</v>
      </c>
      <c r="F699" s="1">
        <v>44624</v>
      </c>
      <c r="G699">
        <v>128.45400000000001</v>
      </c>
      <c r="H699" s="4">
        <f t="shared" si="90"/>
        <v>653792.32380000001</v>
      </c>
      <c r="I699" s="5">
        <v>44628</v>
      </c>
      <c r="J699" s="4">
        <v>6007.28</v>
      </c>
      <c r="K699" s="4">
        <f t="shared" si="91"/>
        <v>60072.799999999996</v>
      </c>
      <c r="L699" s="1">
        <v>44628</v>
      </c>
      <c r="M699">
        <v>5.57</v>
      </c>
      <c r="N699" s="1">
        <v>44628</v>
      </c>
      <c r="O699">
        <v>5.57</v>
      </c>
      <c r="P699" s="1">
        <v>44628</v>
      </c>
      <c r="Q699">
        <v>5.65</v>
      </c>
      <c r="R699" s="1">
        <v>44628</v>
      </c>
      <c r="S699">
        <v>5.58</v>
      </c>
      <c r="T699" s="1">
        <v>44573</v>
      </c>
      <c r="U699">
        <v>5.29</v>
      </c>
      <c r="V699" s="1">
        <v>44627</v>
      </c>
      <c r="W699">
        <v>5.61</v>
      </c>
      <c r="X699" s="1">
        <v>44628</v>
      </c>
      <c r="Y699">
        <f>NETWORKDAYS(X699,$Z$1,FERIADO!$A$2:$A$408)</f>
        <v>2226</v>
      </c>
      <c r="Z699">
        <v>12.41</v>
      </c>
      <c r="AA699" s="6">
        <f t="shared" si="92"/>
        <v>35581.394180779913</v>
      </c>
      <c r="AB699" s="2">
        <f t="shared" si="93"/>
        <v>-6.2910122479268521E-3</v>
      </c>
      <c r="AJ699" s="1">
        <v>44628</v>
      </c>
      <c r="AK699">
        <f>NETWORKDAYS(AJ699,$AJ$1,FERIADO!$A$2:$A$408)</f>
        <v>1213</v>
      </c>
      <c r="AL699">
        <v>12.26</v>
      </c>
      <c r="AM699" s="6">
        <f t="shared" si="94"/>
        <v>57311.553243483439</v>
      </c>
      <c r="AN699" s="2">
        <f t="shared" si="95"/>
        <v>-3.1580575703249497E-3</v>
      </c>
      <c r="AP699" s="11">
        <f t="shared" si="96"/>
        <v>-3.1455061239634261E-3</v>
      </c>
      <c r="AQ699" s="11">
        <f t="shared" si="97"/>
        <v>-9.4741727109748483E-4</v>
      </c>
      <c r="AR699" s="11">
        <f t="shared" si="98"/>
        <v>-4.0929233950609111E-3</v>
      </c>
    </row>
    <row r="700" spans="2:44" x14ac:dyDescent="0.35">
      <c r="B700" s="1">
        <v>44627</v>
      </c>
      <c r="C700">
        <v>4579.1400000000003</v>
      </c>
      <c r="D700" s="1">
        <v>44627</v>
      </c>
      <c r="E700">
        <v>5.0572999999999997</v>
      </c>
      <c r="F700" s="1">
        <v>44623</v>
      </c>
      <c r="G700">
        <v>127.486</v>
      </c>
      <c r="H700" s="4">
        <f t="shared" si="90"/>
        <v>644734.94779999997</v>
      </c>
      <c r="I700" s="5">
        <v>44627</v>
      </c>
      <c r="J700" s="4">
        <v>6076.87</v>
      </c>
      <c r="K700" s="4">
        <f t="shared" si="91"/>
        <v>60768.7</v>
      </c>
      <c r="L700" s="1">
        <v>44627</v>
      </c>
      <c r="M700">
        <v>5.48</v>
      </c>
      <c r="N700" s="1">
        <v>44627</v>
      </c>
      <c r="O700">
        <v>5.49</v>
      </c>
      <c r="P700" s="1">
        <v>44627</v>
      </c>
      <c r="Q700">
        <v>5.57</v>
      </c>
      <c r="R700" s="1">
        <v>44627</v>
      </c>
      <c r="S700">
        <v>5.6</v>
      </c>
      <c r="V700" s="1">
        <v>44624</v>
      </c>
      <c r="W700">
        <v>5.48</v>
      </c>
      <c r="X700" s="1">
        <v>44627</v>
      </c>
      <c r="Y700">
        <f>NETWORKDAYS(X700,$Z$1,FERIADO!$A$2:$A$408)</f>
        <v>2227</v>
      </c>
      <c r="Z700">
        <v>12.22</v>
      </c>
      <c r="AA700" s="6">
        <f t="shared" si="92"/>
        <v>36100.562859279671</v>
      </c>
      <c r="AB700" s="2">
        <f t="shared" si="93"/>
        <v>-1.2138852950786394E-2</v>
      </c>
      <c r="AJ700" s="1">
        <v>44627</v>
      </c>
      <c r="AK700">
        <f>NETWORKDAYS(AJ700,$AJ$1,FERIADO!$A$2:$A$408)</f>
        <v>1214</v>
      </c>
      <c r="AL700">
        <v>12.08</v>
      </c>
      <c r="AM700" s="6">
        <f t="shared" si="94"/>
        <v>57729.824379486214</v>
      </c>
      <c r="AN700" s="2">
        <f t="shared" si="95"/>
        <v>-6.7273710044349067E-3</v>
      </c>
      <c r="AP700" s="11">
        <f t="shared" si="96"/>
        <v>-6.0694264753931972E-3</v>
      </c>
      <c r="AQ700" s="11">
        <f t="shared" si="97"/>
        <v>-2.0182113013304721E-3</v>
      </c>
      <c r="AR700" s="11">
        <f t="shared" si="98"/>
        <v>-8.0876377767236697E-3</v>
      </c>
    </row>
    <row r="701" spans="2:44" x14ac:dyDescent="0.35">
      <c r="B701" s="1">
        <v>44624</v>
      </c>
      <c r="C701">
        <v>4719.78</v>
      </c>
      <c r="D701" s="1">
        <v>44624</v>
      </c>
      <c r="E701">
        <v>5.0751999999999997</v>
      </c>
      <c r="F701" s="1">
        <v>44622</v>
      </c>
      <c r="G701">
        <v>127.32299999999999</v>
      </c>
      <c r="H701" s="4">
        <f t="shared" si="90"/>
        <v>646189.68959999993</v>
      </c>
      <c r="I701" s="5">
        <v>44624</v>
      </c>
      <c r="J701" s="4">
        <v>6014.95</v>
      </c>
      <c r="K701" s="4">
        <f t="shared" si="91"/>
        <v>60149.5</v>
      </c>
      <c r="L701" s="1">
        <v>44624</v>
      </c>
      <c r="M701">
        <v>5.44</v>
      </c>
      <c r="N701" s="1">
        <v>44624</v>
      </c>
      <c r="O701">
        <v>5.46</v>
      </c>
      <c r="P701" s="1">
        <v>44624</v>
      </c>
      <c r="Q701">
        <v>5.53</v>
      </c>
      <c r="R701" s="1">
        <v>44624</v>
      </c>
      <c r="S701">
        <v>5.54</v>
      </c>
      <c r="V701" s="1">
        <v>44623</v>
      </c>
      <c r="W701">
        <v>5.47</v>
      </c>
      <c r="X701" s="1">
        <v>44624</v>
      </c>
      <c r="Y701">
        <f>NETWORKDAYS(X701,$Z$1,FERIADO!$A$2:$A$408)</f>
        <v>2228</v>
      </c>
      <c r="Z701">
        <v>11.86</v>
      </c>
      <c r="AA701" s="6">
        <f t="shared" si="92"/>
        <v>37123.834353247301</v>
      </c>
      <c r="AB701" s="2">
        <f t="shared" si="93"/>
        <v>-4.6176645044395488E-3</v>
      </c>
      <c r="AJ701" s="1">
        <v>44624</v>
      </c>
      <c r="AK701">
        <f>NETWORKDAYS(AJ701,$AJ$1,FERIADO!$A$2:$A$408)</f>
        <v>1215</v>
      </c>
      <c r="AL701">
        <v>11.71</v>
      </c>
      <c r="AM701" s="6">
        <f t="shared" si="94"/>
        <v>58631.041288632012</v>
      </c>
      <c r="AN701" s="2">
        <f t="shared" si="95"/>
        <v>-3.7523976701191661E-3</v>
      </c>
      <c r="AP701" s="11">
        <f t="shared" si="96"/>
        <v>-2.3088322522197744E-3</v>
      </c>
      <c r="AQ701" s="11">
        <f t="shared" si="97"/>
        <v>-1.1257193010357498E-3</v>
      </c>
      <c r="AR701" s="11">
        <f t="shared" si="98"/>
        <v>-3.434551553255524E-3</v>
      </c>
    </row>
    <row r="702" spans="2:44" x14ac:dyDescent="0.35">
      <c r="B702" s="1">
        <v>44623</v>
      </c>
      <c r="C702">
        <v>4751.1400000000003</v>
      </c>
      <c r="D702" s="1">
        <v>44623</v>
      </c>
      <c r="E702">
        <v>5.0472999999999999</v>
      </c>
      <c r="F702" s="1">
        <v>44617</v>
      </c>
      <c r="G702">
        <v>126.15900000000001</v>
      </c>
      <c r="H702" s="4">
        <f t="shared" si="90"/>
        <v>636762.32070000004</v>
      </c>
      <c r="I702" s="5">
        <v>44623</v>
      </c>
      <c r="J702" s="4">
        <v>5986.05</v>
      </c>
      <c r="K702" s="4">
        <f t="shared" si="91"/>
        <v>59860.5</v>
      </c>
      <c r="L702" s="1">
        <v>44623</v>
      </c>
      <c r="M702">
        <v>5.35</v>
      </c>
      <c r="N702" s="1">
        <v>44623</v>
      </c>
      <c r="O702">
        <v>5.29</v>
      </c>
      <c r="P702" s="1">
        <v>44623</v>
      </c>
      <c r="Q702">
        <v>5.41</v>
      </c>
      <c r="R702" s="1">
        <v>44623</v>
      </c>
      <c r="S702">
        <v>5.48</v>
      </c>
      <c r="V702" s="1">
        <v>44622</v>
      </c>
      <c r="W702">
        <v>5.46</v>
      </c>
      <c r="X702" s="1">
        <v>44623</v>
      </c>
      <c r="Y702">
        <f>NETWORKDAYS(X702,$Z$1,FERIADO!$A$2:$A$408)</f>
        <v>2229</v>
      </c>
      <c r="Z702">
        <v>11.72</v>
      </c>
      <c r="AA702" s="6">
        <f t="shared" si="92"/>
        <v>37520.661860587046</v>
      </c>
      <c r="AB702" s="2">
        <f t="shared" si="93"/>
        <v>-2.2177548767451771E-3</v>
      </c>
      <c r="AJ702" s="1">
        <v>44623</v>
      </c>
      <c r="AK702">
        <f>NETWORKDAYS(AJ702,$AJ$1,FERIADO!$A$2:$A$408)</f>
        <v>1216</v>
      </c>
      <c r="AL702">
        <v>11.5</v>
      </c>
      <c r="AM702" s="6">
        <f t="shared" si="94"/>
        <v>59139.820904866836</v>
      </c>
      <c r="AN702" s="2">
        <f t="shared" si="95"/>
        <v>-1.5060265921019635E-3</v>
      </c>
      <c r="AP702" s="11">
        <f t="shared" si="96"/>
        <v>-1.1088774383725885E-3</v>
      </c>
      <c r="AQ702" s="11">
        <f t="shared" si="97"/>
        <v>-4.5180797763058904E-4</v>
      </c>
      <c r="AR702" s="11">
        <f t="shared" si="98"/>
        <v>-1.5606854160031777E-3</v>
      </c>
    </row>
    <row r="703" spans="2:44" x14ac:dyDescent="0.35">
      <c r="B703" s="1">
        <v>44622</v>
      </c>
      <c r="C703">
        <v>4781.6899999999996</v>
      </c>
      <c r="D703" s="1">
        <v>44622</v>
      </c>
      <c r="E703">
        <v>5.1341000000000001</v>
      </c>
      <c r="F703" s="1">
        <v>44616</v>
      </c>
      <c r="G703">
        <v>126.315</v>
      </c>
      <c r="H703" s="4">
        <f t="shared" si="90"/>
        <v>648513.84149999998</v>
      </c>
      <c r="I703" s="5">
        <v>44622</v>
      </c>
      <c r="J703" s="4">
        <v>6068.03</v>
      </c>
      <c r="K703" s="4">
        <f t="shared" si="91"/>
        <v>60680.299999999996</v>
      </c>
      <c r="L703" s="1">
        <v>44622</v>
      </c>
      <c r="M703">
        <v>5.33</v>
      </c>
      <c r="N703" s="1">
        <v>44617</v>
      </c>
      <c r="O703">
        <v>5.28</v>
      </c>
      <c r="P703" s="1">
        <v>44622</v>
      </c>
      <c r="Q703">
        <v>5.43</v>
      </c>
      <c r="R703" s="1">
        <v>44622</v>
      </c>
      <c r="S703">
        <v>5.46</v>
      </c>
      <c r="V703" s="1">
        <v>44617</v>
      </c>
      <c r="W703">
        <v>5.46</v>
      </c>
      <c r="X703" s="1">
        <v>44622</v>
      </c>
      <c r="Y703">
        <f>NETWORKDAYS(X703,$Z$1,FERIADO!$A$2:$A$408)</f>
        <v>2230</v>
      </c>
      <c r="Z703">
        <v>11.65</v>
      </c>
      <c r="AA703" s="6">
        <f t="shared" si="92"/>
        <v>37712.753769168012</v>
      </c>
      <c r="AB703" s="2">
        <f t="shared" si="93"/>
        <v>-1.8768564828153219E-3</v>
      </c>
      <c r="AJ703" s="1">
        <v>44622</v>
      </c>
      <c r="AK703">
        <f>NETWORKDAYS(AJ703,$AJ$1,FERIADO!$A$2:$A$408)</f>
        <v>1217</v>
      </c>
      <c r="AL703">
        <v>11.41</v>
      </c>
      <c r="AM703" s="6">
        <f t="shared" si="94"/>
        <v>59345.259276914658</v>
      </c>
      <c r="AN703" s="2">
        <f t="shared" si="95"/>
        <v>-1.6044636223340686E-3</v>
      </c>
      <c r="AP703" s="11">
        <f t="shared" si="96"/>
        <v>-9.3842824140766095E-4</v>
      </c>
      <c r="AQ703" s="11">
        <f t="shared" si="97"/>
        <v>-4.8133908670022058E-4</v>
      </c>
      <c r="AR703" s="11">
        <f t="shared" si="98"/>
        <v>-1.4197673281078815E-3</v>
      </c>
    </row>
    <row r="704" spans="2:44" x14ac:dyDescent="0.35">
      <c r="B704" s="1">
        <v>44617</v>
      </c>
      <c r="C704">
        <v>4771.1000000000004</v>
      </c>
      <c r="D704" s="1">
        <v>44617</v>
      </c>
      <c r="E704">
        <v>5.1387999999999998</v>
      </c>
      <c r="F704" s="1">
        <v>44615</v>
      </c>
      <c r="G704">
        <v>126.318</v>
      </c>
      <c r="H704" s="4">
        <f t="shared" si="90"/>
        <v>649122.93839999998</v>
      </c>
      <c r="I704" s="5">
        <v>44617</v>
      </c>
      <c r="J704" s="4">
        <v>6150.59</v>
      </c>
      <c r="K704" s="4">
        <f t="shared" si="91"/>
        <v>61505.9</v>
      </c>
      <c r="L704" s="1">
        <v>44617</v>
      </c>
      <c r="M704">
        <v>5.29</v>
      </c>
      <c r="N704" s="1">
        <v>44616</v>
      </c>
      <c r="O704">
        <v>5.29</v>
      </c>
      <c r="P704" s="1">
        <v>44617</v>
      </c>
      <c r="Q704">
        <v>5.37</v>
      </c>
      <c r="R704" s="1">
        <v>44617</v>
      </c>
      <c r="S704">
        <v>5.43</v>
      </c>
      <c r="V704" s="1">
        <v>44616</v>
      </c>
      <c r="W704">
        <v>5.5</v>
      </c>
      <c r="X704" s="1">
        <v>44617</v>
      </c>
      <c r="Y704">
        <f>NETWORKDAYS(X704,$Z$1,FERIADO!$A$2:$A$408)</f>
        <v>2231</v>
      </c>
      <c r="Z704">
        <v>11.59</v>
      </c>
      <c r="AA704" s="6">
        <f t="shared" si="92"/>
        <v>37876.086703825538</v>
      </c>
      <c r="AB704" s="2">
        <f t="shared" si="93"/>
        <v>-8.4527698065034647E-4</v>
      </c>
      <c r="AJ704" s="1">
        <v>44617</v>
      </c>
      <c r="AK704">
        <f>NETWORKDAYS(AJ704,$AJ$1,FERIADO!$A$2:$A$408)</f>
        <v>1218</v>
      </c>
      <c r="AL704">
        <v>11.315</v>
      </c>
      <c r="AM704" s="6">
        <f t="shared" si="94"/>
        <v>59564.910726618684</v>
      </c>
      <c r="AN704" s="2">
        <f t="shared" si="95"/>
        <v>-2.8713334990053429E-4</v>
      </c>
      <c r="AP704" s="11">
        <f t="shared" si="96"/>
        <v>-4.2263849032517323E-4</v>
      </c>
      <c r="AQ704" s="11">
        <f t="shared" si="97"/>
        <v>-8.6140004970160282E-5</v>
      </c>
      <c r="AR704" s="11">
        <f t="shared" si="98"/>
        <v>-5.0877849529533349E-4</v>
      </c>
    </row>
    <row r="705" spans="2:44" x14ac:dyDescent="0.35">
      <c r="B705" s="1">
        <v>44616</v>
      </c>
      <c r="C705">
        <v>4668.0200000000004</v>
      </c>
      <c r="D705" s="1">
        <v>44616</v>
      </c>
      <c r="E705">
        <v>5.1167999999999996</v>
      </c>
      <c r="F705" s="1">
        <v>44614</v>
      </c>
      <c r="G705">
        <v>126.57599999999999</v>
      </c>
      <c r="H705" s="4">
        <f t="shared" si="90"/>
        <v>647664.07679999981</v>
      </c>
      <c r="I705" s="5">
        <v>44616</v>
      </c>
      <c r="J705" s="4">
        <v>6083.36</v>
      </c>
      <c r="K705" s="4">
        <f t="shared" si="91"/>
        <v>60833.599999999999</v>
      </c>
      <c r="L705" s="1">
        <v>44616</v>
      </c>
      <c r="M705">
        <v>5.29</v>
      </c>
      <c r="N705" s="1">
        <v>44615</v>
      </c>
      <c r="O705">
        <v>5.22</v>
      </c>
      <c r="P705" s="1">
        <v>44616</v>
      </c>
      <c r="Q705">
        <v>5.37</v>
      </c>
      <c r="R705" s="1">
        <v>44616</v>
      </c>
      <c r="S705">
        <v>5.44</v>
      </c>
      <c r="V705" s="1">
        <v>44615</v>
      </c>
      <c r="W705">
        <v>5.45</v>
      </c>
      <c r="X705" s="1">
        <v>44616</v>
      </c>
      <c r="Y705">
        <f>NETWORKDAYS(X705,$Z$1,FERIADO!$A$2:$A$408)</f>
        <v>2232</v>
      </c>
      <c r="Z705">
        <v>11.56</v>
      </c>
      <c r="AA705" s="6">
        <f t="shared" si="92"/>
        <v>37949.877558376982</v>
      </c>
      <c r="AB705" s="2">
        <f t="shared" si="93"/>
        <v>-3.9531768179156468E-3</v>
      </c>
      <c r="AJ705" s="1">
        <v>44616</v>
      </c>
      <c r="AK705">
        <f>NETWORKDAYS(AJ705,$AJ$1,FERIADO!$A$2:$A$408)</f>
        <v>1219</v>
      </c>
      <c r="AL705">
        <v>11.29</v>
      </c>
      <c r="AM705" s="6">
        <f t="shared" si="94"/>
        <v>59604.305027379873</v>
      </c>
      <c r="AN705" s="2">
        <f t="shared" si="95"/>
        <v>-2.0839630736872411E-3</v>
      </c>
      <c r="AP705" s="11">
        <f t="shared" si="96"/>
        <v>-1.9765884089578234E-3</v>
      </c>
      <c r="AQ705" s="11">
        <f t="shared" si="97"/>
        <v>-6.2518892210617228E-4</v>
      </c>
      <c r="AR705" s="11">
        <f t="shared" si="98"/>
        <v>-2.6017773310639957E-3</v>
      </c>
    </row>
    <row r="706" spans="2:44" x14ac:dyDescent="0.35">
      <c r="B706" s="1">
        <v>44615</v>
      </c>
      <c r="C706">
        <v>4605.5200000000004</v>
      </c>
      <c r="D706" s="1">
        <v>44615</v>
      </c>
      <c r="E706">
        <v>5.0137</v>
      </c>
      <c r="F706" s="1">
        <v>44613</v>
      </c>
      <c r="G706">
        <v>126.9</v>
      </c>
      <c r="H706" s="4">
        <f t="shared" si="90"/>
        <v>636238.53</v>
      </c>
      <c r="I706" s="5">
        <v>44615</v>
      </c>
      <c r="J706" s="4">
        <v>5949.23</v>
      </c>
      <c r="K706" s="4">
        <f t="shared" si="91"/>
        <v>59492.299999999996</v>
      </c>
      <c r="L706" s="1">
        <v>44615</v>
      </c>
      <c r="M706">
        <v>5.23</v>
      </c>
      <c r="N706" s="1">
        <v>44614</v>
      </c>
      <c r="O706">
        <v>5.23</v>
      </c>
      <c r="P706" s="1">
        <v>44615</v>
      </c>
      <c r="Q706">
        <v>5.3</v>
      </c>
      <c r="R706" s="1">
        <v>44615</v>
      </c>
      <c r="S706">
        <v>5.39</v>
      </c>
      <c r="V706" s="1">
        <v>44614</v>
      </c>
      <c r="W706">
        <v>5.44</v>
      </c>
      <c r="X706" s="1">
        <v>44615</v>
      </c>
      <c r="Y706">
        <f>NETWORKDAYS(X706,$Z$1,FERIADO!$A$2:$A$408)</f>
        <v>2233</v>
      </c>
      <c r="Z706">
        <v>11.44</v>
      </c>
      <c r="AA706" s="6">
        <f t="shared" si="92"/>
        <v>38296.894274273138</v>
      </c>
      <c r="AB706" s="2">
        <f t="shared" si="93"/>
        <v>2.6042881105435831E-3</v>
      </c>
      <c r="AJ706" s="1">
        <v>44615</v>
      </c>
      <c r="AK706">
        <f>NETWORKDAYS(AJ706,$AJ$1,FERIADO!$A$2:$A$408)</f>
        <v>1220</v>
      </c>
      <c r="AL706">
        <v>11.17</v>
      </c>
      <c r="AM706" s="6">
        <f t="shared" si="94"/>
        <v>59891.003734696402</v>
      </c>
      <c r="AN706" s="2">
        <f t="shared" si="95"/>
        <v>1.8853491551260883E-3</v>
      </c>
      <c r="AP706" s="11">
        <f t="shared" si="96"/>
        <v>1.3021440552717916E-3</v>
      </c>
      <c r="AQ706" s="11">
        <f t="shared" si="97"/>
        <v>5.656047465378265E-4</v>
      </c>
      <c r="AR706" s="11">
        <f t="shared" si="98"/>
        <v>1.8677488018096181E-3</v>
      </c>
    </row>
    <row r="707" spans="2:44" x14ac:dyDescent="0.35">
      <c r="B707" s="1">
        <v>44614</v>
      </c>
      <c r="C707">
        <v>4703.87</v>
      </c>
      <c r="D707" s="1">
        <v>44614</v>
      </c>
      <c r="E707">
        <v>5.0605000000000002</v>
      </c>
      <c r="F707" s="1">
        <v>44610</v>
      </c>
      <c r="G707">
        <v>126.65</v>
      </c>
      <c r="H707" s="4">
        <f t="shared" si="90"/>
        <v>640912.32499999995</v>
      </c>
      <c r="I707" s="5">
        <v>44614</v>
      </c>
      <c r="J707" s="4">
        <v>6013.33</v>
      </c>
      <c r="K707" s="4">
        <f t="shared" si="91"/>
        <v>60133.3</v>
      </c>
      <c r="L707" s="1">
        <v>44614</v>
      </c>
      <c r="M707">
        <v>5.27</v>
      </c>
      <c r="N707" s="1">
        <v>44613</v>
      </c>
      <c r="O707">
        <v>5.18</v>
      </c>
      <c r="P707" s="1">
        <v>44614</v>
      </c>
      <c r="Q707">
        <v>5.38</v>
      </c>
      <c r="R707" s="1">
        <v>44614</v>
      </c>
      <c r="S707">
        <v>5.44</v>
      </c>
      <c r="V707" s="1">
        <v>44613</v>
      </c>
      <c r="W707">
        <v>5.4</v>
      </c>
      <c r="X707" s="1">
        <v>44614</v>
      </c>
      <c r="Y707">
        <f>NETWORKDAYS(X707,$Z$1,FERIADO!$A$2:$A$408)</f>
        <v>2234</v>
      </c>
      <c r="Z707">
        <v>11.51</v>
      </c>
      <c r="AA707" s="6">
        <f t="shared" si="92"/>
        <v>38067.930497900161</v>
      </c>
      <c r="AB707" s="2">
        <f t="shared" si="93"/>
        <v>-1.1941746420906056E-3</v>
      </c>
      <c r="AJ707" s="1">
        <v>44614</v>
      </c>
      <c r="AK707">
        <f>NETWORKDAYS(AJ707,$AJ$1,FERIADO!$A$2:$A$408)</f>
        <v>1221</v>
      </c>
      <c r="AL707">
        <v>11.26</v>
      </c>
      <c r="AM707" s="6">
        <f t="shared" si="94"/>
        <v>59631.569826855717</v>
      </c>
      <c r="AN707" s="2">
        <f t="shared" si="95"/>
        <v>-7.6275197586386063E-4</v>
      </c>
      <c r="AP707" s="11">
        <f t="shared" si="96"/>
        <v>-5.9708732104530281E-4</v>
      </c>
      <c r="AQ707" s="11">
        <f t="shared" si="97"/>
        <v>-2.2882559275915818E-4</v>
      </c>
      <c r="AR707" s="11">
        <f t="shared" si="98"/>
        <v>-8.2591291380446096E-4</v>
      </c>
    </row>
    <row r="708" spans="2:44" x14ac:dyDescent="0.35">
      <c r="B708" s="1">
        <v>44613</v>
      </c>
      <c r="C708">
        <v>4675.75</v>
      </c>
      <c r="D708" s="1">
        <v>44613</v>
      </c>
      <c r="E708">
        <v>5.0991</v>
      </c>
      <c r="F708" s="1">
        <v>44609</v>
      </c>
      <c r="G708">
        <v>126.435</v>
      </c>
      <c r="H708" s="4">
        <f t="shared" ref="H708:H771" si="99">G708*E708*1000</f>
        <v>644704.70850000007</v>
      </c>
      <c r="I708" s="5">
        <v>44613</v>
      </c>
      <c r="J708" s="4">
        <v>6068.52</v>
      </c>
      <c r="K708" s="4">
        <f t="shared" si="91"/>
        <v>60685.200000000004</v>
      </c>
      <c r="L708" s="1">
        <v>44613</v>
      </c>
      <c r="M708">
        <v>5.22</v>
      </c>
      <c r="N708" s="1">
        <v>44610</v>
      </c>
      <c r="O708">
        <v>5.17</v>
      </c>
      <c r="P708" s="1">
        <v>44613</v>
      </c>
      <c r="Q708">
        <v>5.25</v>
      </c>
      <c r="R708" s="1">
        <v>44613</v>
      </c>
      <c r="S708">
        <v>5.34</v>
      </c>
      <c r="V708" s="1">
        <v>44610</v>
      </c>
      <c r="W708">
        <v>5.38</v>
      </c>
      <c r="X708" s="1">
        <v>44613</v>
      </c>
      <c r="Y708">
        <f>NETWORKDAYS(X708,$Z$1,FERIADO!$A$2:$A$408)</f>
        <v>2235</v>
      </c>
      <c r="Z708">
        <v>11.47</v>
      </c>
      <c r="AA708" s="6">
        <f t="shared" si="92"/>
        <v>38172.749501111393</v>
      </c>
      <c r="AB708" s="2">
        <f t="shared" si="93"/>
        <v>3.6425708018141528E-3</v>
      </c>
      <c r="AJ708" s="1">
        <v>44613</v>
      </c>
      <c r="AK708">
        <f>NETWORKDAYS(AJ708,$AJ$1,FERIADO!$A$2:$A$408)</f>
        <v>1222</v>
      </c>
      <c r="AL708">
        <v>11.21</v>
      </c>
      <c r="AM708" s="6">
        <f t="shared" si="94"/>
        <v>59736.39285567715</v>
      </c>
      <c r="AN708" s="2">
        <f t="shared" si="95"/>
        <v>2.0775083685769351E-3</v>
      </c>
      <c r="AP708" s="11">
        <f t="shared" si="96"/>
        <v>1.8212854009070764E-3</v>
      </c>
      <c r="AQ708" s="11">
        <f t="shared" si="97"/>
        <v>6.2325251057308048E-4</v>
      </c>
      <c r="AR708" s="11">
        <f t="shared" si="98"/>
        <v>2.4445379114801571E-3</v>
      </c>
    </row>
    <row r="709" spans="2:44" x14ac:dyDescent="0.35">
      <c r="B709" s="1">
        <v>44610</v>
      </c>
      <c r="C709">
        <v>4743.21</v>
      </c>
      <c r="D709" s="1">
        <v>44610</v>
      </c>
      <c r="E709">
        <v>5.1333000000000002</v>
      </c>
      <c r="F709" s="1">
        <v>44608</v>
      </c>
      <c r="G709">
        <v>125.92100000000001</v>
      </c>
      <c r="H709" s="4">
        <f t="shared" si="99"/>
        <v>646390.26930000016</v>
      </c>
      <c r="I709" s="5">
        <v>44610</v>
      </c>
      <c r="J709" s="4">
        <v>6108.88</v>
      </c>
      <c r="K709" s="4">
        <f t="shared" ref="K709:K772" si="100">J709*10</f>
        <v>61088.800000000003</v>
      </c>
      <c r="L709" s="1">
        <v>44610</v>
      </c>
      <c r="M709">
        <v>5.19</v>
      </c>
      <c r="N709" s="1">
        <v>44609</v>
      </c>
      <c r="O709">
        <v>5.15</v>
      </c>
      <c r="P709" s="1">
        <v>44610</v>
      </c>
      <c r="Q709">
        <v>5.28</v>
      </c>
      <c r="R709" s="1">
        <v>44610</v>
      </c>
      <c r="S709">
        <v>5.32</v>
      </c>
      <c r="V709" s="1">
        <v>44609</v>
      </c>
      <c r="W709">
        <v>5.36</v>
      </c>
      <c r="X709" s="1">
        <v>44610</v>
      </c>
      <c r="Y709">
        <f>NETWORKDAYS(X709,$Z$1,FERIADO!$A$2:$A$408)</f>
        <v>2236</v>
      </c>
      <c r="Z709">
        <v>11.57</v>
      </c>
      <c r="AA709" s="6">
        <f t="shared" ref="AA709:AA772" si="101">$Z$2/(1+Z709/100)^(Y709/252)</f>
        <v>37853.921012300481</v>
      </c>
      <c r="AB709" s="2">
        <f t="shared" ref="AB709:AB772" si="102">LOG(AA709/AA710)</f>
        <v>5.3420798211848959E-4</v>
      </c>
      <c r="AJ709" s="1">
        <v>44610</v>
      </c>
      <c r="AK709">
        <f>NETWORKDAYS(AJ709,$AJ$1,FERIADO!$A$2:$A$408)</f>
        <v>1223</v>
      </c>
      <c r="AL709">
        <v>11.31</v>
      </c>
      <c r="AM709" s="6">
        <f t="shared" ref="AM709:AM772" si="103">$Z$2/(1+AL709/100)^(AK709/252)</f>
        <v>59451.317860965362</v>
      </c>
      <c r="AN709" s="2">
        <f t="shared" ref="AN709:AN772" si="104">LOG(AM709/AM710)</f>
        <v>5.6364442595865417E-4</v>
      </c>
      <c r="AP709" s="11">
        <f t="shared" ref="AP709:AP772" si="105">AB709*$AF$4</f>
        <v>2.671039910592448E-4</v>
      </c>
      <c r="AQ709" s="11">
        <f t="shared" ref="AQ709:AQ772" si="106">AN709*$AF$7</f>
        <v>1.6909332778759624E-4</v>
      </c>
      <c r="AR709" s="11">
        <f t="shared" ref="AR709:AR772" si="107">AQ709+AP709</f>
        <v>4.36197318846841E-4</v>
      </c>
    </row>
    <row r="710" spans="2:44" x14ac:dyDescent="0.35">
      <c r="B710" s="1">
        <v>44609</v>
      </c>
      <c r="C710">
        <v>4770.24</v>
      </c>
      <c r="D710" s="1">
        <v>44609</v>
      </c>
      <c r="E710">
        <v>5.1558999999999999</v>
      </c>
      <c r="F710" s="1">
        <v>44607</v>
      </c>
      <c r="G710">
        <v>125.688</v>
      </c>
      <c r="H710" s="4">
        <f t="shared" si="99"/>
        <v>648034.75920000009</v>
      </c>
      <c r="I710" s="5">
        <v>44609</v>
      </c>
      <c r="J710" s="4">
        <v>6152.21</v>
      </c>
      <c r="K710" s="4">
        <f t="shared" si="100"/>
        <v>61522.1</v>
      </c>
      <c r="L710" s="1">
        <v>44609</v>
      </c>
      <c r="M710">
        <v>5.14</v>
      </c>
      <c r="N710" s="1">
        <v>44608</v>
      </c>
      <c r="O710">
        <v>5.05</v>
      </c>
      <c r="P710" s="1">
        <v>44609</v>
      </c>
      <c r="Q710">
        <v>5.22</v>
      </c>
      <c r="R710" s="1">
        <v>44609</v>
      </c>
      <c r="S710">
        <v>5.31</v>
      </c>
      <c r="V710" s="1">
        <v>44608</v>
      </c>
      <c r="W710">
        <v>5.3</v>
      </c>
      <c r="X710" s="1">
        <v>44609</v>
      </c>
      <c r="Y710">
        <f>NETWORKDAYS(X710,$Z$1,FERIADO!$A$2:$A$408)</f>
        <v>2237</v>
      </c>
      <c r="Z710">
        <v>11.58</v>
      </c>
      <c r="AA710" s="6">
        <f t="shared" si="101"/>
        <v>37807.387068971169</v>
      </c>
      <c r="AB710" s="2">
        <f t="shared" si="102"/>
        <v>-3.6153740085955563E-3</v>
      </c>
      <c r="AJ710" s="1">
        <v>44609</v>
      </c>
      <c r="AK710">
        <f>NETWORKDAYS(AJ710,$AJ$1,FERIADO!$A$2:$A$408)</f>
        <v>1224</v>
      </c>
      <c r="AL710">
        <v>11.33</v>
      </c>
      <c r="AM710" s="6">
        <f t="shared" si="103"/>
        <v>59374.20965485675</v>
      </c>
      <c r="AN710" s="2">
        <f t="shared" si="104"/>
        <v>-1.9019950087198257E-3</v>
      </c>
      <c r="AP710" s="11">
        <f t="shared" si="105"/>
        <v>-1.8076870042977782E-3</v>
      </c>
      <c r="AQ710" s="11">
        <f t="shared" si="106"/>
        <v>-5.7059850261594774E-4</v>
      </c>
      <c r="AR710" s="11">
        <f t="shared" si="107"/>
        <v>-2.3782855069137258E-3</v>
      </c>
    </row>
    <row r="711" spans="2:44" x14ac:dyDescent="0.35">
      <c r="B711" s="1">
        <v>44608</v>
      </c>
      <c r="C711">
        <v>4888.24</v>
      </c>
      <c r="D711" s="1">
        <v>44608</v>
      </c>
      <c r="E711">
        <v>5.1623999999999999</v>
      </c>
      <c r="F711" s="1">
        <v>44606</v>
      </c>
      <c r="G711">
        <v>125.986</v>
      </c>
      <c r="H711" s="4">
        <f t="shared" si="99"/>
        <v>650390.12639999995</v>
      </c>
      <c r="I711" s="5">
        <v>44608</v>
      </c>
      <c r="J711" s="4">
        <v>6114.82</v>
      </c>
      <c r="K711" s="4">
        <f t="shared" si="100"/>
        <v>61148.2</v>
      </c>
      <c r="L711" s="1">
        <v>44608</v>
      </c>
      <c r="M711">
        <v>5.0999999999999996</v>
      </c>
      <c r="N711" s="1">
        <v>44607</v>
      </c>
      <c r="O711">
        <v>5.08</v>
      </c>
      <c r="P711" s="1">
        <v>44608</v>
      </c>
      <c r="Q711">
        <v>5.18</v>
      </c>
      <c r="R711" s="1">
        <v>44608</v>
      </c>
      <c r="S711">
        <v>5.25</v>
      </c>
      <c r="V711" s="1">
        <v>44607</v>
      </c>
      <c r="W711">
        <v>5.28</v>
      </c>
      <c r="X711" s="1">
        <v>44608</v>
      </c>
      <c r="Y711">
        <f>NETWORKDAYS(X711,$Z$1,FERIADO!$A$2:$A$408)</f>
        <v>2238</v>
      </c>
      <c r="Z711">
        <v>11.47</v>
      </c>
      <c r="AA711" s="6">
        <f t="shared" si="101"/>
        <v>38123.436144872852</v>
      </c>
      <c r="AB711" s="2">
        <f t="shared" si="102"/>
        <v>2.2635504033221392E-3</v>
      </c>
      <c r="AJ711" s="1">
        <v>44608</v>
      </c>
      <c r="AK711">
        <f>NETWORKDAYS(AJ711,$AJ$1,FERIADO!$A$2:$A$408)</f>
        <v>1225</v>
      </c>
      <c r="AL711">
        <v>11.22</v>
      </c>
      <c r="AM711" s="6">
        <f t="shared" si="103"/>
        <v>59634.809556737273</v>
      </c>
      <c r="AN711" s="2">
        <f t="shared" si="104"/>
        <v>2.7824968825673665E-4</v>
      </c>
      <c r="AP711" s="11">
        <f t="shared" si="105"/>
        <v>1.1317752016610696E-3</v>
      </c>
      <c r="AQ711" s="11">
        <f t="shared" si="106"/>
        <v>8.3474906477020989E-5</v>
      </c>
      <c r="AR711" s="11">
        <f t="shared" si="107"/>
        <v>1.2152501081380907E-3</v>
      </c>
    </row>
    <row r="712" spans="2:44" x14ac:dyDescent="0.35">
      <c r="B712" s="1">
        <v>44607</v>
      </c>
      <c r="C712">
        <v>4871.28</v>
      </c>
      <c r="D712" s="1">
        <v>44607</v>
      </c>
      <c r="E712">
        <v>5.1875</v>
      </c>
      <c r="F712" s="1">
        <v>44603</v>
      </c>
      <c r="G712">
        <v>126.547</v>
      </c>
      <c r="H712" s="4">
        <f t="shared" si="99"/>
        <v>656462.5625</v>
      </c>
      <c r="I712" s="5">
        <v>44607</v>
      </c>
      <c r="J712" s="4">
        <v>6142.12</v>
      </c>
      <c r="K712" s="4">
        <f t="shared" si="100"/>
        <v>61421.2</v>
      </c>
      <c r="L712" s="1">
        <v>44607</v>
      </c>
      <c r="M712">
        <v>5.05</v>
      </c>
      <c r="N712" s="1">
        <v>44606</v>
      </c>
      <c r="O712">
        <v>5.15</v>
      </c>
      <c r="P712" s="1">
        <v>44607</v>
      </c>
      <c r="Q712">
        <v>5.16</v>
      </c>
      <c r="R712" s="1">
        <v>44607</v>
      </c>
      <c r="S712">
        <v>5.24</v>
      </c>
      <c r="V712" s="1">
        <v>44606</v>
      </c>
      <c r="W712">
        <v>5.31</v>
      </c>
      <c r="X712" s="1">
        <v>44607</v>
      </c>
      <c r="Y712">
        <f>NETWORKDAYS(X712,$Z$1,FERIADO!$A$2:$A$408)</f>
        <v>2239</v>
      </c>
      <c r="Z712">
        <v>11.53</v>
      </c>
      <c r="AA712" s="6">
        <f t="shared" si="101"/>
        <v>37925.253047247708</v>
      </c>
      <c r="AB712" s="2">
        <f t="shared" si="102"/>
        <v>3.6478182281247163E-3</v>
      </c>
      <c r="AJ712" s="1">
        <v>44607</v>
      </c>
      <c r="AK712">
        <f>NETWORKDAYS(AJ712,$AJ$1,FERIADO!$A$2:$A$408)</f>
        <v>1226</v>
      </c>
      <c r="AL712">
        <v>11.225</v>
      </c>
      <c r="AM712" s="6">
        <f t="shared" si="103"/>
        <v>59596.614153934039</v>
      </c>
      <c r="AN712" s="2">
        <f t="shared" si="104"/>
        <v>2.8433376209383923E-3</v>
      </c>
      <c r="AP712" s="11">
        <f t="shared" si="105"/>
        <v>1.8239091140623582E-3</v>
      </c>
      <c r="AQ712" s="11">
        <f t="shared" si="106"/>
        <v>8.5300128628151763E-4</v>
      </c>
      <c r="AR712" s="11">
        <f t="shared" si="107"/>
        <v>2.6769104003438759E-3</v>
      </c>
    </row>
    <row r="713" spans="2:44" x14ac:dyDescent="0.35">
      <c r="B713" s="1">
        <v>44606</v>
      </c>
      <c r="C713">
        <v>4802.22</v>
      </c>
      <c r="D713" s="1">
        <v>44606</v>
      </c>
      <c r="E713">
        <v>5.21</v>
      </c>
      <c r="F713" s="1">
        <v>44602</v>
      </c>
      <c r="G713">
        <v>125.613</v>
      </c>
      <c r="H713" s="4">
        <f t="shared" si="99"/>
        <v>654443.73</v>
      </c>
      <c r="I713" s="5">
        <v>44606</v>
      </c>
      <c r="J713" s="4">
        <v>6205.03</v>
      </c>
      <c r="K713" s="4">
        <f t="shared" si="100"/>
        <v>62050.299999999996</v>
      </c>
      <c r="L713" s="1">
        <v>44606</v>
      </c>
      <c r="M713">
        <v>5.13</v>
      </c>
      <c r="N713" s="1">
        <v>44603</v>
      </c>
      <c r="O713">
        <v>5.19</v>
      </c>
      <c r="P713" s="1">
        <v>44606</v>
      </c>
      <c r="Q713">
        <v>5.19</v>
      </c>
      <c r="R713" s="1">
        <v>44606</v>
      </c>
      <c r="S713">
        <v>5.3</v>
      </c>
      <c r="V713" s="1">
        <v>44603</v>
      </c>
      <c r="W713">
        <v>5.39</v>
      </c>
      <c r="X713" s="1">
        <v>44606</v>
      </c>
      <c r="Y713">
        <f>NETWORKDAYS(X713,$Z$1,FERIADO!$A$2:$A$408)</f>
        <v>2240</v>
      </c>
      <c r="Z713">
        <v>11.63</v>
      </c>
      <c r="AA713" s="6">
        <f t="shared" si="101"/>
        <v>37608.037304281235</v>
      </c>
      <c r="AB713" s="2">
        <f t="shared" si="102"/>
        <v>-5.0240512422272589E-4</v>
      </c>
      <c r="AJ713" s="1">
        <v>44606</v>
      </c>
      <c r="AK713">
        <f>NETWORKDAYS(AJ713,$AJ$1,FERIADO!$A$2:$A$408)</f>
        <v>1227</v>
      </c>
      <c r="AL713">
        <v>11.365</v>
      </c>
      <c r="AM713" s="6">
        <f t="shared" si="103"/>
        <v>59207.708001331222</v>
      </c>
      <c r="AN713" s="2">
        <f t="shared" si="104"/>
        <v>-4.5326549277502327E-6</v>
      </c>
      <c r="AP713" s="11">
        <f t="shared" si="105"/>
        <v>-2.5120256211136295E-4</v>
      </c>
      <c r="AQ713" s="11">
        <f t="shared" si="106"/>
        <v>-1.3597964783250697E-6</v>
      </c>
      <c r="AR713" s="11">
        <f t="shared" si="107"/>
        <v>-2.5256235858968801E-4</v>
      </c>
    </row>
    <row r="714" spans="2:44" x14ac:dyDescent="0.35">
      <c r="B714" s="1">
        <v>44603</v>
      </c>
      <c r="C714">
        <v>4812.08</v>
      </c>
      <c r="D714" s="1">
        <v>44603</v>
      </c>
      <c r="E714">
        <v>5.1981000000000002</v>
      </c>
      <c r="F714" s="1">
        <v>44601</v>
      </c>
      <c r="G714">
        <v>126.67700000000001</v>
      </c>
      <c r="H714" s="4">
        <f t="shared" si="99"/>
        <v>658479.71370000008</v>
      </c>
      <c r="I714" s="5">
        <v>44603</v>
      </c>
      <c r="J714" s="4">
        <v>6258.44</v>
      </c>
      <c r="K714" s="4">
        <f t="shared" si="100"/>
        <v>62584.399999999994</v>
      </c>
      <c r="L714" s="1">
        <v>44603</v>
      </c>
      <c r="M714">
        <v>5.16</v>
      </c>
      <c r="N714" s="1">
        <v>44602</v>
      </c>
      <c r="O714">
        <v>5.17</v>
      </c>
      <c r="P714" s="1">
        <v>44603</v>
      </c>
      <c r="Q714">
        <v>5.25</v>
      </c>
      <c r="R714" s="1">
        <v>44603</v>
      </c>
      <c r="S714">
        <v>5.3</v>
      </c>
      <c r="V714" s="1">
        <v>44602</v>
      </c>
      <c r="W714">
        <v>5.34</v>
      </c>
      <c r="X714" s="1">
        <v>44603</v>
      </c>
      <c r="Y714">
        <f>NETWORKDAYS(X714,$Z$1,FERIADO!$A$2:$A$408)</f>
        <v>2241</v>
      </c>
      <c r="Z714">
        <v>11.61</v>
      </c>
      <c r="AA714" s="6">
        <f t="shared" si="101"/>
        <v>37651.56860506293</v>
      </c>
      <c r="AB714" s="2">
        <f t="shared" si="102"/>
        <v>-8.4941574715344617E-4</v>
      </c>
      <c r="AJ714" s="1">
        <v>44603</v>
      </c>
      <c r="AK714">
        <f>NETWORKDAYS(AJ714,$AJ$1,FERIADO!$A$2:$A$408)</f>
        <v>1228</v>
      </c>
      <c r="AL714">
        <v>11.355</v>
      </c>
      <c r="AM714" s="6">
        <f t="shared" si="103"/>
        <v>59208.325944964119</v>
      </c>
      <c r="AN714" s="2">
        <f t="shared" si="104"/>
        <v>-8.6103953610617472E-4</v>
      </c>
      <c r="AP714" s="11">
        <f t="shared" si="105"/>
        <v>-4.2470787357672308E-4</v>
      </c>
      <c r="AQ714" s="11">
        <f t="shared" si="106"/>
        <v>-2.5831186083185242E-4</v>
      </c>
      <c r="AR714" s="11">
        <f t="shared" si="107"/>
        <v>-6.830197344085755E-4</v>
      </c>
    </row>
    <row r="715" spans="2:44" x14ac:dyDescent="0.35">
      <c r="B715" s="1">
        <v>44602</v>
      </c>
      <c r="C715">
        <v>4908.17</v>
      </c>
      <c r="D715" s="1">
        <v>44602</v>
      </c>
      <c r="E715">
        <v>5.2095000000000002</v>
      </c>
      <c r="F715" s="1">
        <v>44600</v>
      </c>
      <c r="G715">
        <v>126.54</v>
      </c>
      <c r="H715" s="4">
        <f t="shared" si="99"/>
        <v>659210.13</v>
      </c>
      <c r="I715" s="5">
        <v>44602</v>
      </c>
      <c r="J715" s="4">
        <v>6253.69</v>
      </c>
      <c r="K715" s="4">
        <f t="shared" si="100"/>
        <v>62536.899999999994</v>
      </c>
      <c r="L715" s="1">
        <v>44602</v>
      </c>
      <c r="M715">
        <v>5.0999999999999996</v>
      </c>
      <c r="N715" s="1">
        <v>44601</v>
      </c>
      <c r="O715">
        <v>5.12</v>
      </c>
      <c r="P715" s="1">
        <v>44602</v>
      </c>
      <c r="Q715">
        <v>5.18</v>
      </c>
      <c r="R715" s="1">
        <v>44602</v>
      </c>
      <c r="S715">
        <v>5.26</v>
      </c>
      <c r="V715" s="1">
        <v>44601</v>
      </c>
      <c r="W715">
        <v>5.32</v>
      </c>
      <c r="X715" s="1">
        <v>44602</v>
      </c>
      <c r="Y715">
        <f>NETWORKDAYS(X715,$Z$1,FERIADO!$A$2:$A$408)</f>
        <v>2242</v>
      </c>
      <c r="Z715">
        <v>11.58</v>
      </c>
      <c r="AA715" s="6">
        <f t="shared" si="101"/>
        <v>37725.281564543817</v>
      </c>
      <c r="AB715" s="2">
        <f t="shared" si="102"/>
        <v>-2.5836707062653745E-3</v>
      </c>
      <c r="AJ715" s="1">
        <v>44602</v>
      </c>
      <c r="AK715">
        <f>NETWORKDAYS(AJ715,$AJ$1,FERIADO!$A$2:$A$408)</f>
        <v>1229</v>
      </c>
      <c r="AL715">
        <v>11.3</v>
      </c>
      <c r="AM715" s="6">
        <f t="shared" si="103"/>
        <v>59325.829810780415</v>
      </c>
      <c r="AN715" s="2">
        <f t="shared" si="104"/>
        <v>-1.8162229330402797E-3</v>
      </c>
      <c r="AP715" s="11">
        <f t="shared" si="105"/>
        <v>-1.2918353531326872E-3</v>
      </c>
      <c r="AQ715" s="11">
        <f t="shared" si="106"/>
        <v>-5.4486687991208392E-4</v>
      </c>
      <c r="AR715" s="11">
        <f t="shared" si="107"/>
        <v>-1.8367022330447712E-3</v>
      </c>
    </row>
    <row r="716" spans="2:44" x14ac:dyDescent="0.35">
      <c r="B716" s="1">
        <v>44601</v>
      </c>
      <c r="C716">
        <v>4991.96</v>
      </c>
      <c r="D716" s="1">
        <v>44601</v>
      </c>
      <c r="E716">
        <v>5.2728999999999999</v>
      </c>
      <c r="F716" s="1">
        <v>44599</v>
      </c>
      <c r="G716">
        <v>126.893</v>
      </c>
      <c r="H716" s="4">
        <f t="shared" si="99"/>
        <v>669094.09970000002</v>
      </c>
      <c r="I716" s="5">
        <v>44601</v>
      </c>
      <c r="J716" s="4">
        <v>6247.17</v>
      </c>
      <c r="K716" s="4">
        <f t="shared" si="100"/>
        <v>62471.7</v>
      </c>
      <c r="L716" s="1">
        <v>44601</v>
      </c>
      <c r="M716">
        <v>5.05</v>
      </c>
      <c r="N716" s="1">
        <v>44600</v>
      </c>
      <c r="O716">
        <v>5</v>
      </c>
      <c r="P716" s="1">
        <v>44601</v>
      </c>
      <c r="Q716">
        <v>5.16</v>
      </c>
      <c r="R716" s="1">
        <v>44601</v>
      </c>
      <c r="S716">
        <v>5.27</v>
      </c>
      <c r="V716" s="1">
        <v>44600</v>
      </c>
      <c r="W716">
        <v>5.26</v>
      </c>
      <c r="X716" s="1">
        <v>44601</v>
      </c>
      <c r="Y716">
        <f>NETWORKDAYS(X716,$Z$1,FERIADO!$A$2:$A$408)</f>
        <v>2243</v>
      </c>
      <c r="Z716">
        <v>11.5</v>
      </c>
      <c r="AA716" s="6">
        <f t="shared" si="101"/>
        <v>37950.382767302799</v>
      </c>
      <c r="AB716" s="2">
        <f t="shared" si="102"/>
        <v>3.307918058761055E-3</v>
      </c>
      <c r="AJ716" s="1">
        <v>44601</v>
      </c>
      <c r="AK716">
        <f>NETWORKDAYS(AJ716,$AJ$1,FERIADO!$A$2:$A$408)</f>
        <v>1230</v>
      </c>
      <c r="AL716">
        <v>11.195</v>
      </c>
      <c r="AM716" s="6">
        <f t="shared" si="103"/>
        <v>59574.450401109163</v>
      </c>
      <c r="AN716" s="2">
        <f t="shared" si="104"/>
        <v>1.327311796953003E-3</v>
      </c>
      <c r="AP716" s="11">
        <f t="shared" si="105"/>
        <v>1.6539590293805275E-3</v>
      </c>
      <c r="AQ716" s="11">
        <f t="shared" si="106"/>
        <v>3.9819353908590089E-4</v>
      </c>
      <c r="AR716" s="11">
        <f t="shared" si="107"/>
        <v>2.0521525684664282E-3</v>
      </c>
    </row>
    <row r="717" spans="2:44" x14ac:dyDescent="0.35">
      <c r="B717" s="1">
        <v>44600</v>
      </c>
      <c r="C717">
        <v>4927.1499999999996</v>
      </c>
      <c r="D717" s="1">
        <v>44600</v>
      </c>
      <c r="E717">
        <v>5.2693000000000003</v>
      </c>
      <c r="F717" s="1">
        <v>44596</v>
      </c>
      <c r="G717">
        <v>126.77800000000001</v>
      </c>
      <c r="H717" s="4">
        <f t="shared" si="99"/>
        <v>668031.31540000008</v>
      </c>
      <c r="I717" s="5">
        <v>44600</v>
      </c>
      <c r="J717" s="4">
        <v>6272.09</v>
      </c>
      <c r="K717" s="4">
        <f t="shared" si="100"/>
        <v>62720.9</v>
      </c>
      <c r="L717" s="1">
        <v>44600</v>
      </c>
      <c r="M717">
        <v>4.9400000000000004</v>
      </c>
      <c r="N717" s="1">
        <v>44599</v>
      </c>
      <c r="O717">
        <v>4.9800000000000004</v>
      </c>
      <c r="P717" s="1">
        <v>44600</v>
      </c>
      <c r="Q717">
        <v>5.09</v>
      </c>
      <c r="R717" s="1">
        <v>44600</v>
      </c>
      <c r="S717">
        <v>5.17</v>
      </c>
      <c r="V717" s="1">
        <v>44599</v>
      </c>
      <c r="W717">
        <v>5.22</v>
      </c>
      <c r="X717" s="1">
        <v>44600</v>
      </c>
      <c r="Y717">
        <f>NETWORKDAYS(X717,$Z$1,FERIADO!$A$2:$A$408)</f>
        <v>2244</v>
      </c>
      <c r="Z717">
        <v>11.59</v>
      </c>
      <c r="AA717" s="6">
        <f t="shared" si="101"/>
        <v>37662.421760694546</v>
      </c>
      <c r="AB717" s="2">
        <f t="shared" si="102"/>
        <v>-4.6680929405809816E-3</v>
      </c>
      <c r="AJ717" s="1">
        <v>44600</v>
      </c>
      <c r="AK717">
        <f>NETWORKDAYS(AJ717,$AJ$1,FERIADO!$A$2:$A$408)</f>
        <v>1231</v>
      </c>
      <c r="AL717">
        <v>11.255000000000001</v>
      </c>
      <c r="AM717" s="6">
        <f t="shared" si="103"/>
        <v>59392.654033859086</v>
      </c>
      <c r="AN717" s="2">
        <f t="shared" si="104"/>
        <v>-2.4896688093730629E-3</v>
      </c>
      <c r="AP717" s="11">
        <f t="shared" si="105"/>
        <v>-2.3340464702904908E-3</v>
      </c>
      <c r="AQ717" s="11">
        <f t="shared" si="106"/>
        <v>-7.4690064281191881E-4</v>
      </c>
      <c r="AR717" s="11">
        <f t="shared" si="107"/>
        <v>-3.0809471131024095E-3</v>
      </c>
    </row>
    <row r="718" spans="2:44" x14ac:dyDescent="0.35">
      <c r="B718" s="1">
        <v>44599</v>
      </c>
      <c r="C718">
        <v>4877.53</v>
      </c>
      <c r="D718" s="1">
        <v>44599</v>
      </c>
      <c r="E718">
        <v>5.2907000000000002</v>
      </c>
      <c r="F718" s="1">
        <v>44595</v>
      </c>
      <c r="G718">
        <v>127.614</v>
      </c>
      <c r="H718" s="4">
        <f t="shared" si="99"/>
        <v>675167.3898</v>
      </c>
      <c r="I718" s="5">
        <v>44599</v>
      </c>
      <c r="J718" s="4">
        <v>6278.03</v>
      </c>
      <c r="K718" s="4">
        <f t="shared" si="100"/>
        <v>62780.299999999996</v>
      </c>
      <c r="L718" s="1">
        <v>44599</v>
      </c>
      <c r="M718">
        <v>4.8899999999999997</v>
      </c>
      <c r="N718" s="1">
        <v>44596</v>
      </c>
      <c r="O718">
        <v>5</v>
      </c>
      <c r="P718" s="1">
        <v>44599</v>
      </c>
      <c r="Q718">
        <v>5.07</v>
      </c>
      <c r="R718" s="1">
        <v>44599</v>
      </c>
      <c r="S718">
        <v>5.0999999999999996</v>
      </c>
      <c r="V718" s="1">
        <v>44596</v>
      </c>
      <c r="W718">
        <v>5.26</v>
      </c>
      <c r="X718" s="1">
        <v>44599</v>
      </c>
      <c r="Y718">
        <f>NETWORKDAYS(X718,$Z$1,FERIADO!$A$2:$A$408)</f>
        <v>2245</v>
      </c>
      <c r="Z718">
        <v>11.45</v>
      </c>
      <c r="AA718" s="6">
        <f t="shared" si="101"/>
        <v>38069.426590097057</v>
      </c>
      <c r="AB718" s="2">
        <f t="shared" si="102"/>
        <v>2.617211035080275E-3</v>
      </c>
      <c r="AJ718" s="1">
        <v>44599</v>
      </c>
      <c r="AK718">
        <f>NETWORKDAYS(AJ718,$AJ$1,FERIADO!$A$2:$A$408)</f>
        <v>1232</v>
      </c>
      <c r="AL718">
        <v>11.115</v>
      </c>
      <c r="AM718" s="6">
        <f t="shared" si="103"/>
        <v>59734.110568899814</v>
      </c>
      <c r="AN718" s="2">
        <f t="shared" si="104"/>
        <v>2.5707688721659694E-3</v>
      </c>
      <c r="AP718" s="11">
        <f t="shared" si="105"/>
        <v>1.3086055175401375E-3</v>
      </c>
      <c r="AQ718" s="11">
        <f t="shared" si="106"/>
        <v>7.7123066164979076E-4</v>
      </c>
      <c r="AR718" s="11">
        <f t="shared" si="107"/>
        <v>2.0798361791899284E-3</v>
      </c>
    </row>
    <row r="719" spans="2:44" x14ac:dyDescent="0.35">
      <c r="B719" s="1">
        <v>44596</v>
      </c>
      <c r="C719">
        <v>4910.5</v>
      </c>
      <c r="D719" s="1">
        <v>44596</v>
      </c>
      <c r="E719">
        <v>5.3277999999999999</v>
      </c>
      <c r="F719" s="1">
        <v>44594</v>
      </c>
      <c r="G719">
        <v>128.10499999999999</v>
      </c>
      <c r="H719" s="4">
        <f t="shared" si="99"/>
        <v>682517.8189999999</v>
      </c>
      <c r="I719" s="5">
        <v>44596</v>
      </c>
      <c r="J719" s="4">
        <v>6361.12</v>
      </c>
      <c r="K719" s="4">
        <f t="shared" si="100"/>
        <v>63611.199999999997</v>
      </c>
      <c r="L719" s="1">
        <v>44596</v>
      </c>
      <c r="M719">
        <v>4.91</v>
      </c>
      <c r="N719" s="1">
        <v>44595</v>
      </c>
      <c r="O719">
        <v>4.9000000000000004</v>
      </c>
      <c r="P719" s="1">
        <v>44596</v>
      </c>
      <c r="Q719">
        <v>5.07</v>
      </c>
      <c r="R719" s="1">
        <v>44596</v>
      </c>
      <c r="S719">
        <v>5.13</v>
      </c>
      <c r="V719" s="1">
        <v>44595</v>
      </c>
      <c r="W719">
        <v>5.14</v>
      </c>
      <c r="X719" s="1">
        <v>44596</v>
      </c>
      <c r="Y719">
        <f>NETWORKDAYS(X719,$Z$1,FERIADO!$A$2:$A$408)</f>
        <v>2246</v>
      </c>
      <c r="Z719">
        <v>11.52</v>
      </c>
      <c r="AA719" s="6">
        <f t="shared" si="101"/>
        <v>37840.696754114433</v>
      </c>
      <c r="AB719" s="2">
        <f t="shared" si="102"/>
        <v>-1.0939855997965212E-2</v>
      </c>
      <c r="AJ719" s="1">
        <v>44596</v>
      </c>
      <c r="AK719">
        <f>NETWORKDAYS(AJ719,$AJ$1,FERIADO!$A$2:$A$408)</f>
        <v>1233</v>
      </c>
      <c r="AL719">
        <v>11.24</v>
      </c>
      <c r="AM719" s="6">
        <f t="shared" si="103"/>
        <v>59381.56409728148</v>
      </c>
      <c r="AN719" s="2">
        <f t="shared" si="104"/>
        <v>-5.0803293371516067E-3</v>
      </c>
      <c r="AP719" s="11">
        <f t="shared" si="105"/>
        <v>-5.4699279989826061E-3</v>
      </c>
      <c r="AQ719" s="11">
        <f t="shared" si="106"/>
        <v>-1.524098801145482E-3</v>
      </c>
      <c r="AR719" s="11">
        <f t="shared" si="107"/>
        <v>-6.9940268001280883E-3</v>
      </c>
    </row>
    <row r="720" spans="2:44" x14ac:dyDescent="0.35">
      <c r="B720" s="1">
        <v>44595</v>
      </c>
      <c r="C720">
        <v>4884.76</v>
      </c>
      <c r="D720" s="1">
        <v>44595</v>
      </c>
      <c r="E720">
        <v>5.3018999999999998</v>
      </c>
      <c r="F720" s="1">
        <v>44593</v>
      </c>
      <c r="G720">
        <v>127.836</v>
      </c>
      <c r="H720" s="4">
        <f t="shared" si="99"/>
        <v>677773.68839999998</v>
      </c>
      <c r="I720" s="5">
        <v>44595</v>
      </c>
      <c r="J720" s="4">
        <v>6312.45</v>
      </c>
      <c r="K720" s="4">
        <f t="shared" si="100"/>
        <v>63124.5</v>
      </c>
      <c r="L720" s="1">
        <v>44595</v>
      </c>
      <c r="M720">
        <v>4.8499999999999996</v>
      </c>
      <c r="N720" s="1">
        <v>44594</v>
      </c>
      <c r="O720">
        <v>5.0599999999999996</v>
      </c>
      <c r="P720" s="1">
        <v>44595</v>
      </c>
      <c r="Q720">
        <v>4.97</v>
      </c>
      <c r="R720" s="1">
        <v>44595</v>
      </c>
      <c r="S720">
        <v>5.01</v>
      </c>
      <c r="V720" s="1">
        <v>44594</v>
      </c>
      <c r="W720">
        <v>5.2</v>
      </c>
      <c r="X720" s="1">
        <v>44595</v>
      </c>
      <c r="Y720">
        <f>NETWORKDAYS(X720,$Z$1,FERIADO!$A$2:$A$408)</f>
        <v>2247</v>
      </c>
      <c r="Z720">
        <v>11.2</v>
      </c>
      <c r="AA720" s="6">
        <f t="shared" si="101"/>
        <v>38806.009028961773</v>
      </c>
      <c r="AB720" s="2">
        <f t="shared" si="102"/>
        <v>-1.5594247902693036E-3</v>
      </c>
      <c r="AJ720" s="1">
        <v>44595</v>
      </c>
      <c r="AK720">
        <f>NETWORKDAYS(AJ720,$AJ$1,FERIADO!$A$2:$A$408)</f>
        <v>1234</v>
      </c>
      <c r="AL720">
        <v>10.965</v>
      </c>
      <c r="AM720" s="6">
        <f t="shared" si="103"/>
        <v>60080.281932367936</v>
      </c>
      <c r="AN720" s="2">
        <f t="shared" si="104"/>
        <v>4.6700081979145322E-4</v>
      </c>
      <c r="AP720" s="11">
        <f t="shared" si="105"/>
        <v>-7.7971239513465178E-4</v>
      </c>
      <c r="AQ720" s="11">
        <f t="shared" si="106"/>
        <v>1.4010024593743596E-4</v>
      </c>
      <c r="AR720" s="11">
        <f t="shared" si="107"/>
        <v>-6.3961214919721579E-4</v>
      </c>
    </row>
    <row r="721" spans="2:44" x14ac:dyDescent="0.35">
      <c r="B721" s="1">
        <v>44594</v>
      </c>
      <c r="C721">
        <v>4997.91</v>
      </c>
      <c r="D721" s="1">
        <v>44594</v>
      </c>
      <c r="E721">
        <v>5.2949999999999999</v>
      </c>
      <c r="F721" s="1">
        <v>44592</v>
      </c>
      <c r="G721">
        <v>127.959</v>
      </c>
      <c r="H721" s="4">
        <f t="shared" si="99"/>
        <v>677542.90500000003</v>
      </c>
      <c r="I721" s="5">
        <v>44594</v>
      </c>
      <c r="J721" s="4">
        <v>6286.34</v>
      </c>
      <c r="K721" s="4">
        <f t="shared" si="100"/>
        <v>62863.4</v>
      </c>
      <c r="L721" s="1">
        <v>44594</v>
      </c>
      <c r="M721">
        <v>5.0199999999999996</v>
      </c>
      <c r="N721" s="1">
        <v>44593</v>
      </c>
      <c r="O721">
        <v>5.1100000000000003</v>
      </c>
      <c r="P721" s="1">
        <v>44594</v>
      </c>
      <c r="Q721">
        <v>5.08</v>
      </c>
      <c r="R721" s="1">
        <v>44594</v>
      </c>
      <c r="S721">
        <v>5.1100000000000003</v>
      </c>
      <c r="V721" s="1">
        <v>44593</v>
      </c>
      <c r="W721">
        <v>5.27</v>
      </c>
      <c r="X721" s="1">
        <v>44594</v>
      </c>
      <c r="Y721">
        <f>NETWORKDAYS(X721,$Z$1,FERIADO!$A$2:$A$408)</f>
        <v>2248</v>
      </c>
      <c r="Z721">
        <v>11.15</v>
      </c>
      <c r="AA721" s="6">
        <f t="shared" si="101"/>
        <v>38945.600552968353</v>
      </c>
      <c r="AB721" s="2">
        <f t="shared" si="102"/>
        <v>4.7127547710016093E-3</v>
      </c>
      <c r="AJ721" s="1">
        <v>44594</v>
      </c>
      <c r="AK721">
        <f>NETWORKDAYS(AJ721,$AJ$1,FERIADO!$A$2:$A$408)</f>
        <v>1235</v>
      </c>
      <c r="AL721">
        <v>10.98</v>
      </c>
      <c r="AM721" s="6">
        <f t="shared" si="103"/>
        <v>60015.711779568446</v>
      </c>
      <c r="AN721" s="2">
        <f t="shared" si="104"/>
        <v>2.4815359539714621E-3</v>
      </c>
      <c r="AP721" s="11">
        <f t="shared" si="105"/>
        <v>2.3563773855008047E-3</v>
      </c>
      <c r="AQ721" s="11">
        <f t="shared" si="106"/>
        <v>7.4446078619143862E-4</v>
      </c>
      <c r="AR721" s="11">
        <f t="shared" si="107"/>
        <v>3.1008381716922432E-3</v>
      </c>
    </row>
    <row r="722" spans="2:44" x14ac:dyDescent="0.35">
      <c r="B722" s="1">
        <v>44593</v>
      </c>
      <c r="C722">
        <v>4956.25</v>
      </c>
      <c r="D722" s="1">
        <v>44593</v>
      </c>
      <c r="E722">
        <v>5.2804000000000002</v>
      </c>
      <c r="F722" s="1">
        <v>44589</v>
      </c>
      <c r="G722">
        <v>127.96</v>
      </c>
      <c r="H722" s="4">
        <f t="shared" si="99"/>
        <v>675679.98399999994</v>
      </c>
      <c r="I722" s="5">
        <v>44593</v>
      </c>
      <c r="J722" s="4">
        <v>6292.87</v>
      </c>
      <c r="K722" s="4">
        <f t="shared" si="100"/>
        <v>62928.7</v>
      </c>
      <c r="L722" s="1">
        <v>44593</v>
      </c>
      <c r="M722">
        <v>5.07</v>
      </c>
      <c r="N722" s="1">
        <v>44589</v>
      </c>
      <c r="O722">
        <v>5.19</v>
      </c>
      <c r="P722" s="1">
        <v>44593</v>
      </c>
      <c r="Q722">
        <v>5.16</v>
      </c>
      <c r="R722" s="1">
        <v>44593</v>
      </c>
      <c r="S722">
        <v>5.16</v>
      </c>
      <c r="V722" s="1">
        <v>44592</v>
      </c>
      <c r="W722">
        <v>5.3</v>
      </c>
      <c r="X722" s="1">
        <v>44593</v>
      </c>
      <c r="Y722">
        <f>NETWORKDAYS(X722,$Z$1,FERIADO!$A$2:$A$408)</f>
        <v>2249</v>
      </c>
      <c r="Z722">
        <v>11.28</v>
      </c>
      <c r="AA722" s="6">
        <f t="shared" si="101"/>
        <v>38525.266389937649</v>
      </c>
      <c r="AB722" s="2">
        <f t="shared" si="102"/>
        <v>2.6226269271216905E-3</v>
      </c>
      <c r="AJ722" s="1">
        <v>44593</v>
      </c>
      <c r="AK722">
        <f>NETWORKDAYS(AJ722,$AJ$1,FERIADO!$A$2:$A$408)</f>
        <v>1236</v>
      </c>
      <c r="AL722">
        <v>11.1</v>
      </c>
      <c r="AM722" s="6">
        <f t="shared" si="103"/>
        <v>59673.763010613584</v>
      </c>
      <c r="AN722" s="2">
        <f t="shared" si="104"/>
        <v>2.4827737918972693E-3</v>
      </c>
      <c r="AP722" s="11">
        <f t="shared" si="105"/>
        <v>1.3113134635608452E-3</v>
      </c>
      <c r="AQ722" s="11">
        <f t="shared" si="106"/>
        <v>7.4483213756918072E-4</v>
      </c>
      <c r="AR722" s="11">
        <f t="shared" si="107"/>
        <v>2.0561456011300261E-3</v>
      </c>
    </row>
    <row r="723" spans="2:44" x14ac:dyDescent="0.35">
      <c r="B723" s="1">
        <v>44592</v>
      </c>
      <c r="C723">
        <v>4913.42</v>
      </c>
      <c r="D723" s="1">
        <v>44592</v>
      </c>
      <c r="E723">
        <v>5.3567999999999998</v>
      </c>
      <c r="F723" s="1">
        <v>44588</v>
      </c>
      <c r="G723">
        <v>127.617</v>
      </c>
      <c r="H723" s="4">
        <f t="shared" si="99"/>
        <v>683618.74560000002</v>
      </c>
      <c r="I723" s="5">
        <v>44592</v>
      </c>
      <c r="J723" s="4">
        <v>6344.5</v>
      </c>
      <c r="K723" s="4">
        <f t="shared" si="100"/>
        <v>63445</v>
      </c>
      <c r="L723" s="1">
        <v>44592</v>
      </c>
      <c r="M723">
        <v>5.13</v>
      </c>
      <c r="N723" s="1">
        <v>44588</v>
      </c>
      <c r="O723">
        <v>5.09</v>
      </c>
      <c r="P723" s="1">
        <v>44592</v>
      </c>
      <c r="Q723">
        <v>5.17</v>
      </c>
      <c r="R723" s="1">
        <v>44592</v>
      </c>
      <c r="S723">
        <v>5.21</v>
      </c>
      <c r="V723" s="1">
        <v>44589</v>
      </c>
      <c r="W723">
        <v>5.26</v>
      </c>
      <c r="X723" s="1">
        <v>44592</v>
      </c>
      <c r="Y723">
        <f>NETWORKDAYS(X723,$Z$1,FERIADO!$A$2:$A$408)</f>
        <v>2250</v>
      </c>
      <c r="Z723">
        <v>11.35</v>
      </c>
      <c r="AA723" s="6">
        <f t="shared" si="101"/>
        <v>38293.320222183393</v>
      </c>
      <c r="AB723" s="2">
        <f t="shared" si="102"/>
        <v>4.0157066527785326E-3</v>
      </c>
      <c r="AJ723" s="1">
        <v>44592</v>
      </c>
      <c r="AK723">
        <f>NETWORKDAYS(AJ723,$AJ$1,FERIADO!$A$2:$A$408)</f>
        <v>1237</v>
      </c>
      <c r="AL723">
        <v>11.22</v>
      </c>
      <c r="AM723" s="6">
        <f t="shared" si="103"/>
        <v>59333.593433019116</v>
      </c>
      <c r="AN723" s="2">
        <f t="shared" si="104"/>
        <v>2.1965534205003394E-3</v>
      </c>
      <c r="AP723" s="11">
        <f t="shared" si="105"/>
        <v>2.0078533263892663E-3</v>
      </c>
      <c r="AQ723" s="11">
        <f t="shared" si="106"/>
        <v>6.5896602615010181E-4</v>
      </c>
      <c r="AR723" s="11">
        <f t="shared" si="107"/>
        <v>2.6668193525393683E-3</v>
      </c>
    </row>
    <row r="724" spans="2:44" x14ac:dyDescent="0.35">
      <c r="B724" s="1">
        <v>44589</v>
      </c>
      <c r="C724">
        <v>4820.62</v>
      </c>
      <c r="D724" s="1">
        <v>44589</v>
      </c>
      <c r="E724">
        <v>5.3948</v>
      </c>
      <c r="F724" s="1">
        <v>44587</v>
      </c>
      <c r="G724">
        <v>127.4</v>
      </c>
      <c r="H724" s="4">
        <f t="shared" si="99"/>
        <v>687297.52</v>
      </c>
      <c r="I724" s="5">
        <v>44589</v>
      </c>
      <c r="J724" s="4">
        <v>6427.59</v>
      </c>
      <c r="K724" s="4">
        <f t="shared" si="100"/>
        <v>64275.9</v>
      </c>
      <c r="L724" s="1">
        <v>44589</v>
      </c>
      <c r="M724">
        <v>5.1100000000000003</v>
      </c>
      <c r="N724" s="1">
        <v>44587</v>
      </c>
      <c r="O724">
        <v>5.12</v>
      </c>
      <c r="P724" s="1">
        <v>44589</v>
      </c>
      <c r="Q724">
        <v>5.15</v>
      </c>
      <c r="R724" s="1">
        <v>44589</v>
      </c>
      <c r="S724">
        <v>5.17</v>
      </c>
      <c r="V724" s="1">
        <v>44588</v>
      </c>
      <c r="W724">
        <v>5.37</v>
      </c>
      <c r="X724" s="1">
        <v>44589</v>
      </c>
      <c r="Y724">
        <f>NETWORKDAYS(X724,$Z$1,FERIADO!$A$2:$A$408)</f>
        <v>2251</v>
      </c>
      <c r="Z724">
        <v>11.46</v>
      </c>
      <c r="AA724" s="6">
        <f t="shared" si="101"/>
        <v>37940.872761351624</v>
      </c>
      <c r="AB724" s="2">
        <f t="shared" si="102"/>
        <v>1.2314502225140248E-3</v>
      </c>
      <c r="AJ724" s="1">
        <v>44589</v>
      </c>
      <c r="AK724">
        <f>NETWORKDAYS(AJ724,$AJ$1,FERIADO!$A$2:$A$408)</f>
        <v>1238</v>
      </c>
      <c r="AL724">
        <v>11.324999999999999</v>
      </c>
      <c r="AM724" s="6">
        <f t="shared" si="103"/>
        <v>59034.256505840116</v>
      </c>
      <c r="AN724" s="2">
        <f t="shared" si="104"/>
        <v>1.8489168175896603E-4</v>
      </c>
      <c r="AP724" s="11">
        <f t="shared" si="105"/>
        <v>6.1572511125701241E-4</v>
      </c>
      <c r="AQ724" s="11">
        <f t="shared" si="106"/>
        <v>5.5467504527689805E-5</v>
      </c>
      <c r="AR724" s="11">
        <f t="shared" si="107"/>
        <v>6.7119261578470223E-4</v>
      </c>
    </row>
    <row r="725" spans="2:44" x14ac:dyDescent="0.35">
      <c r="B725" s="1">
        <v>44588</v>
      </c>
      <c r="C725">
        <v>4714.8</v>
      </c>
      <c r="D725" s="1">
        <v>44588</v>
      </c>
      <c r="E725">
        <v>5.3806000000000003</v>
      </c>
      <c r="F725" s="1">
        <v>44586</v>
      </c>
      <c r="G725">
        <v>128.10900000000001</v>
      </c>
      <c r="H725" s="4">
        <f t="shared" si="99"/>
        <v>689303.28540000005</v>
      </c>
      <c r="I725" s="5">
        <v>44588</v>
      </c>
      <c r="J725" s="4">
        <v>6476.66</v>
      </c>
      <c r="K725" s="4">
        <f t="shared" si="100"/>
        <v>64766.6</v>
      </c>
      <c r="L725" s="1">
        <v>44588</v>
      </c>
      <c r="M725">
        <v>5.13</v>
      </c>
      <c r="N725" s="1">
        <v>44586</v>
      </c>
      <c r="O725">
        <v>5.04</v>
      </c>
      <c r="P725" s="1">
        <v>44588</v>
      </c>
      <c r="Q725">
        <v>5.23</v>
      </c>
      <c r="R725" s="1">
        <v>44588</v>
      </c>
      <c r="S725">
        <v>5.23</v>
      </c>
      <c r="V725" s="1">
        <v>44587</v>
      </c>
      <c r="W725">
        <v>5.33</v>
      </c>
      <c r="X725" s="1">
        <v>44588</v>
      </c>
      <c r="Y725">
        <f>NETWORKDAYS(X725,$Z$1,FERIADO!$A$2:$A$408)</f>
        <v>2252</v>
      </c>
      <c r="Z725">
        <v>11.49</v>
      </c>
      <c r="AA725" s="6">
        <f t="shared" si="101"/>
        <v>37833.443080027682</v>
      </c>
      <c r="AB725" s="2">
        <f t="shared" si="102"/>
        <v>-5.3887880317228945E-3</v>
      </c>
      <c r="AJ725" s="1">
        <v>44588</v>
      </c>
      <c r="AK725">
        <f>NETWORKDAYS(AJ725,$AJ$1,FERIADO!$A$2:$A$408)</f>
        <v>1239</v>
      </c>
      <c r="AL725">
        <v>11.324999999999999</v>
      </c>
      <c r="AM725" s="6">
        <f t="shared" si="103"/>
        <v>59009.129269947873</v>
      </c>
      <c r="AN725" s="2">
        <f t="shared" si="104"/>
        <v>-4.3309572164667836E-3</v>
      </c>
      <c r="AP725" s="11">
        <f t="shared" si="105"/>
        <v>-2.6943940158614473E-3</v>
      </c>
      <c r="AQ725" s="11">
        <f t="shared" si="106"/>
        <v>-1.299287164940035E-3</v>
      </c>
      <c r="AR725" s="11">
        <f t="shared" si="107"/>
        <v>-3.9936811808014821E-3</v>
      </c>
    </row>
    <row r="726" spans="2:44" x14ac:dyDescent="0.35">
      <c r="B726" s="1">
        <v>44587</v>
      </c>
      <c r="C726">
        <v>4737.5</v>
      </c>
      <c r="D726" s="1">
        <v>44587</v>
      </c>
      <c r="E726">
        <v>5.4318</v>
      </c>
      <c r="F726" s="1">
        <v>44585</v>
      </c>
      <c r="G726">
        <v>128.32599999999999</v>
      </c>
      <c r="H726" s="4">
        <f t="shared" si="99"/>
        <v>697041.16679999989</v>
      </c>
      <c r="I726" s="5">
        <v>44587</v>
      </c>
      <c r="J726" s="4">
        <v>6509.57</v>
      </c>
      <c r="K726" s="4">
        <f t="shared" si="100"/>
        <v>65095.7</v>
      </c>
      <c r="L726" s="1">
        <v>44587</v>
      </c>
      <c r="M726">
        <v>5.0599999999999996</v>
      </c>
      <c r="P726" s="1">
        <v>44587</v>
      </c>
      <c r="Q726">
        <v>5.14</v>
      </c>
      <c r="R726" s="1">
        <v>44587</v>
      </c>
      <c r="S726">
        <v>5.22</v>
      </c>
      <c r="V726" s="1">
        <v>44586</v>
      </c>
      <c r="W726">
        <v>5.27</v>
      </c>
      <c r="X726" s="1">
        <v>44587</v>
      </c>
      <c r="Y726">
        <f>NETWORKDAYS(X726,$Z$1,FERIADO!$A$2:$A$408)</f>
        <v>2253</v>
      </c>
      <c r="Z726">
        <v>11.33</v>
      </c>
      <c r="AA726" s="6">
        <f t="shared" si="101"/>
        <v>38305.810391649393</v>
      </c>
      <c r="AB726" s="2">
        <f t="shared" si="102"/>
        <v>3.6725998313637581E-3</v>
      </c>
      <c r="AJ726" s="1">
        <v>44587</v>
      </c>
      <c r="AK726">
        <f>NETWORKDAYS(AJ726,$AJ$1,FERIADO!$A$2:$A$408)</f>
        <v>1240</v>
      </c>
      <c r="AL726">
        <v>11.09</v>
      </c>
      <c r="AM726" s="6">
        <f t="shared" si="103"/>
        <v>59600.535733601486</v>
      </c>
      <c r="AN726" s="2">
        <f t="shared" si="104"/>
        <v>1.7208723475013264E-3</v>
      </c>
      <c r="AP726" s="11">
        <f t="shared" si="105"/>
        <v>1.8362999156818791E-3</v>
      </c>
      <c r="AQ726" s="11">
        <f t="shared" si="106"/>
        <v>5.1626170425039786E-4</v>
      </c>
      <c r="AR726" s="11">
        <f t="shared" si="107"/>
        <v>2.3525616199322769E-3</v>
      </c>
    </row>
    <row r="727" spans="2:44" x14ac:dyDescent="0.35">
      <c r="B727" s="1">
        <v>44586</v>
      </c>
      <c r="C727">
        <v>4749.21</v>
      </c>
      <c r="D727" s="1">
        <v>44586</v>
      </c>
      <c r="E727">
        <v>5.4965000000000002</v>
      </c>
      <c r="F727" s="1">
        <v>44582</v>
      </c>
      <c r="G727">
        <v>128.25700000000001</v>
      </c>
      <c r="H727" s="4">
        <f t="shared" si="99"/>
        <v>704964.60050000006</v>
      </c>
      <c r="I727" s="5">
        <v>44586</v>
      </c>
      <c r="J727" s="4">
        <v>6524.53</v>
      </c>
      <c r="K727" s="4">
        <f t="shared" si="100"/>
        <v>65245.299999999996</v>
      </c>
      <c r="L727" s="1">
        <v>44586</v>
      </c>
      <c r="M727">
        <v>5.01</v>
      </c>
      <c r="P727" s="1">
        <v>44586</v>
      </c>
      <c r="Q727">
        <v>5.12</v>
      </c>
      <c r="R727" s="1">
        <v>44586</v>
      </c>
      <c r="S727">
        <v>5.15</v>
      </c>
      <c r="V727" s="1">
        <v>44585</v>
      </c>
      <c r="W727">
        <v>5.26</v>
      </c>
      <c r="X727" s="1">
        <v>44586</v>
      </c>
      <c r="Y727">
        <f>NETWORKDAYS(X727,$Z$1,FERIADO!$A$2:$A$408)</f>
        <v>2254</v>
      </c>
      <c r="Z727">
        <v>11.43</v>
      </c>
      <c r="AA727" s="6">
        <f t="shared" si="101"/>
        <v>37983.244125255711</v>
      </c>
      <c r="AB727" s="2">
        <f t="shared" si="102"/>
        <v>1.8651639094645581E-4</v>
      </c>
      <c r="AJ727" s="1">
        <v>44586</v>
      </c>
      <c r="AK727">
        <f>NETWORKDAYS(AJ727,$AJ$1,FERIADO!$A$2:$A$408)</f>
        <v>1241</v>
      </c>
      <c r="AL727">
        <v>11.17</v>
      </c>
      <c r="AM727" s="6">
        <f t="shared" si="103"/>
        <v>59364.838570023603</v>
      </c>
      <c r="AN727" s="2">
        <f t="shared" si="104"/>
        <v>7.6002831079168681E-4</v>
      </c>
      <c r="AP727" s="11">
        <f t="shared" si="105"/>
        <v>9.3258195473227903E-5</v>
      </c>
      <c r="AQ727" s="11">
        <f t="shared" si="106"/>
        <v>2.2800849323750604E-4</v>
      </c>
      <c r="AR727" s="11">
        <f t="shared" si="107"/>
        <v>3.2126668871073396E-4</v>
      </c>
    </row>
    <row r="728" spans="2:44" x14ac:dyDescent="0.35">
      <c r="B728" s="1">
        <v>44585</v>
      </c>
      <c r="C728">
        <v>4807.9399999999996</v>
      </c>
      <c r="D728" s="1">
        <v>44585</v>
      </c>
      <c r="E728">
        <v>5.4904000000000002</v>
      </c>
      <c r="F728" s="1">
        <v>44581</v>
      </c>
      <c r="G728">
        <v>127.758</v>
      </c>
      <c r="H728" s="4">
        <f t="shared" si="99"/>
        <v>701442.52319999994</v>
      </c>
      <c r="I728" s="5">
        <v>44585</v>
      </c>
      <c r="J728" s="4">
        <v>6578.99</v>
      </c>
      <c r="K728" s="4">
        <f t="shared" si="100"/>
        <v>65789.899999999994</v>
      </c>
      <c r="L728" s="1">
        <v>44585</v>
      </c>
      <c r="M728">
        <v>4.97</v>
      </c>
      <c r="P728" s="1">
        <v>44585</v>
      </c>
      <c r="Q728">
        <v>5.07</v>
      </c>
      <c r="R728" s="1">
        <v>44585</v>
      </c>
      <c r="S728">
        <v>5.13</v>
      </c>
      <c r="V728" s="1">
        <v>44582</v>
      </c>
      <c r="W728">
        <v>5.25</v>
      </c>
      <c r="X728" s="1">
        <v>44585</v>
      </c>
      <c r="Y728">
        <f>NETWORKDAYS(X728,$Z$1,FERIADO!$A$2:$A$408)</f>
        <v>2255</v>
      </c>
      <c r="Z728">
        <v>11.43</v>
      </c>
      <c r="AA728" s="6">
        <f t="shared" si="101"/>
        <v>37966.934969062211</v>
      </c>
      <c r="AB728" s="2">
        <f t="shared" si="102"/>
        <v>3.3254918319271473E-3</v>
      </c>
      <c r="AJ728" s="1">
        <v>44585</v>
      </c>
      <c r="AK728">
        <f>NETWORKDAYS(AJ728,$AJ$1,FERIADO!$A$2:$A$408)</f>
        <v>1242</v>
      </c>
      <c r="AL728">
        <v>11.2</v>
      </c>
      <c r="AM728" s="6">
        <f t="shared" si="103"/>
        <v>59261.039182475331</v>
      </c>
      <c r="AN728" s="2">
        <f t="shared" si="104"/>
        <v>2.1085059859617629E-3</v>
      </c>
      <c r="AP728" s="11">
        <f t="shared" si="105"/>
        <v>1.6627459159635736E-3</v>
      </c>
      <c r="AQ728" s="11">
        <f t="shared" si="106"/>
        <v>6.3255179578852879E-4</v>
      </c>
      <c r="AR728" s="11">
        <f t="shared" si="107"/>
        <v>2.2952977117521025E-3</v>
      </c>
    </row>
    <row r="729" spans="2:44" x14ac:dyDescent="0.35">
      <c r="B729" s="1">
        <v>44582</v>
      </c>
      <c r="C729">
        <v>4811.13</v>
      </c>
      <c r="D729" s="1">
        <v>44582</v>
      </c>
      <c r="E729">
        <v>5.4394999999999998</v>
      </c>
      <c r="F729" s="1">
        <v>44580</v>
      </c>
      <c r="G729">
        <v>127.578</v>
      </c>
      <c r="H729" s="4">
        <f t="shared" si="99"/>
        <v>693960.53099999996</v>
      </c>
      <c r="I729" s="5">
        <v>44582</v>
      </c>
      <c r="J729" s="4">
        <v>6546.08</v>
      </c>
      <c r="K729" s="4">
        <f t="shared" si="100"/>
        <v>65460.800000000003</v>
      </c>
      <c r="L729" s="1">
        <v>44582</v>
      </c>
      <c r="M729">
        <v>4.99</v>
      </c>
      <c r="P729" s="1">
        <v>44582</v>
      </c>
      <c r="Q729">
        <v>5.08</v>
      </c>
      <c r="R729" s="1">
        <v>44582</v>
      </c>
      <c r="S729">
        <v>5.14</v>
      </c>
      <c r="V729" s="1">
        <v>44581</v>
      </c>
      <c r="W729">
        <v>5.24</v>
      </c>
      <c r="X729" s="1">
        <v>44582</v>
      </c>
      <c r="Y729">
        <f>NETWORKDAYS(X729,$Z$1,FERIADO!$A$2:$A$408)</f>
        <v>2256</v>
      </c>
      <c r="Z729">
        <v>11.52</v>
      </c>
      <c r="AA729" s="6">
        <f t="shared" si="101"/>
        <v>37677.32371935578</v>
      </c>
      <c r="AB729" s="2">
        <f t="shared" si="102"/>
        <v>-8.541601333032986E-3</v>
      </c>
      <c r="AJ729" s="1">
        <v>44582</v>
      </c>
      <c r="AK729">
        <f>NETWORKDAYS(AJ729,$AJ$1,FERIADO!$A$2:$A$408)</f>
        <v>1243</v>
      </c>
      <c r="AL729">
        <v>11.3</v>
      </c>
      <c r="AM729" s="6">
        <f t="shared" si="103"/>
        <v>58974.023277775173</v>
      </c>
      <c r="AN729" s="2">
        <f t="shared" si="104"/>
        <v>-3.7679155923219035E-3</v>
      </c>
      <c r="AP729" s="11">
        <f t="shared" si="105"/>
        <v>-4.270800666516493E-3</v>
      </c>
      <c r="AQ729" s="11">
        <f t="shared" si="106"/>
        <v>-1.1303746776965709E-3</v>
      </c>
      <c r="AR729" s="11">
        <f t="shared" si="107"/>
        <v>-5.4011753442130637E-3</v>
      </c>
    </row>
    <row r="730" spans="2:44" x14ac:dyDescent="0.35">
      <c r="B730" s="1">
        <v>44581</v>
      </c>
      <c r="C730">
        <v>4887.08</v>
      </c>
      <c r="D730" s="1">
        <v>44581</v>
      </c>
      <c r="E730">
        <v>5.4160000000000004</v>
      </c>
      <c r="F730" s="1">
        <v>44579</v>
      </c>
      <c r="G730">
        <v>127.36799999999999</v>
      </c>
      <c r="H730" s="4">
        <f t="shared" si="99"/>
        <v>689825.08800000011</v>
      </c>
      <c r="I730" s="5">
        <v>44581</v>
      </c>
      <c r="J730" s="4">
        <v>6499.4</v>
      </c>
      <c r="K730" s="4">
        <f t="shared" si="100"/>
        <v>64994</v>
      </c>
      <c r="L730" s="1">
        <v>44581</v>
      </c>
      <c r="M730">
        <v>4.97</v>
      </c>
      <c r="P730" s="1">
        <v>44581</v>
      </c>
      <c r="Q730">
        <v>5.07</v>
      </c>
      <c r="R730" s="1">
        <v>44581</v>
      </c>
      <c r="S730">
        <v>5.13</v>
      </c>
      <c r="V730" s="1">
        <v>44580</v>
      </c>
      <c r="W730">
        <v>5.32</v>
      </c>
      <c r="X730" s="1">
        <v>44581</v>
      </c>
      <c r="Y730">
        <f>NETWORKDAYS(X730,$Z$1,FERIADO!$A$2:$A$408)</f>
        <v>2257</v>
      </c>
      <c r="Z730">
        <v>11.27</v>
      </c>
      <c r="AA730" s="6">
        <f t="shared" si="101"/>
        <v>38425.687625537656</v>
      </c>
      <c r="AB730" s="2">
        <f t="shared" si="102"/>
        <v>3.6797431318321256E-3</v>
      </c>
      <c r="AJ730" s="1">
        <v>44581</v>
      </c>
      <c r="AK730">
        <f>NETWORKDAYS(AJ730,$AJ$1,FERIADO!$A$2:$A$408)</f>
        <v>1244</v>
      </c>
      <c r="AL730">
        <v>11.095000000000001</v>
      </c>
      <c r="AM730" s="6">
        <f t="shared" si="103"/>
        <v>59487.904715795717</v>
      </c>
      <c r="AN730" s="2">
        <f t="shared" si="104"/>
        <v>2.9799436524384115E-3</v>
      </c>
      <c r="AP730" s="11">
        <f t="shared" si="105"/>
        <v>1.8398715659160628E-3</v>
      </c>
      <c r="AQ730" s="11">
        <f t="shared" si="106"/>
        <v>8.939830957315234E-4</v>
      </c>
      <c r="AR730" s="11">
        <f t="shared" si="107"/>
        <v>2.7338546616475861E-3</v>
      </c>
    </row>
    <row r="731" spans="2:44" x14ac:dyDescent="0.35">
      <c r="B731" s="1">
        <v>44580</v>
      </c>
      <c r="C731">
        <v>4941.04</v>
      </c>
      <c r="D731" s="1">
        <v>44580</v>
      </c>
      <c r="E731">
        <v>5.4972000000000003</v>
      </c>
      <c r="F731" s="1">
        <v>44578</v>
      </c>
      <c r="G731">
        <v>128</v>
      </c>
      <c r="H731" s="4">
        <f t="shared" si="99"/>
        <v>703641.60000000009</v>
      </c>
      <c r="I731" s="5">
        <v>44580</v>
      </c>
      <c r="J731" s="4">
        <v>6527.53</v>
      </c>
      <c r="K731" s="4">
        <f t="shared" si="100"/>
        <v>65275.299999999996</v>
      </c>
      <c r="L731" s="1">
        <v>44580</v>
      </c>
      <c r="M731">
        <v>5.0999999999999996</v>
      </c>
      <c r="P731" s="1">
        <v>44580</v>
      </c>
      <c r="Q731">
        <v>5.17</v>
      </c>
      <c r="R731" s="1">
        <v>44580</v>
      </c>
      <c r="S731">
        <v>5.22</v>
      </c>
      <c r="V731" s="1">
        <v>44579</v>
      </c>
      <c r="W731">
        <v>5.37</v>
      </c>
      <c r="X731" s="1">
        <v>44580</v>
      </c>
      <c r="Y731">
        <f>NETWORKDAYS(X731,$Z$1,FERIADO!$A$2:$A$408)</f>
        <v>2258</v>
      </c>
      <c r="Z731">
        <v>11.37</v>
      </c>
      <c r="AA731" s="6">
        <f t="shared" si="101"/>
        <v>38101.48519418684</v>
      </c>
      <c r="AB731" s="2">
        <f t="shared" si="102"/>
        <v>7.1706798827917287E-3</v>
      </c>
      <c r="AJ731" s="1">
        <v>44580</v>
      </c>
      <c r="AK731">
        <f>NETWORKDAYS(AJ731,$AJ$1,FERIADO!$A$2:$A$408)</f>
        <v>1245</v>
      </c>
      <c r="AL731">
        <v>11.24</v>
      </c>
      <c r="AM731" s="6">
        <f t="shared" si="103"/>
        <v>59081.121248855765</v>
      </c>
      <c r="AN731" s="2">
        <f t="shared" si="104"/>
        <v>4.2335332931106012E-3</v>
      </c>
      <c r="AP731" s="11">
        <f t="shared" si="105"/>
        <v>3.5853399413958644E-3</v>
      </c>
      <c r="AQ731" s="11">
        <f t="shared" si="106"/>
        <v>1.2700599879331804E-3</v>
      </c>
      <c r="AR731" s="11">
        <f t="shared" si="107"/>
        <v>4.855399929329045E-3</v>
      </c>
    </row>
    <row r="732" spans="2:44" x14ac:dyDescent="0.35">
      <c r="B732" s="1">
        <v>44579</v>
      </c>
      <c r="C732">
        <v>4983.75</v>
      </c>
      <c r="D732" s="1">
        <v>44579</v>
      </c>
      <c r="E732">
        <v>5.5206999999999997</v>
      </c>
      <c r="F732" s="1">
        <v>44575</v>
      </c>
      <c r="G732">
        <v>128.13800000000001</v>
      </c>
      <c r="H732" s="4">
        <f t="shared" si="99"/>
        <v>707411.45659999992</v>
      </c>
      <c r="I732" s="5">
        <v>44579</v>
      </c>
      <c r="J732" s="4">
        <v>6683.11</v>
      </c>
      <c r="K732" s="4">
        <f t="shared" si="100"/>
        <v>66831.099999999991</v>
      </c>
      <c r="L732" s="1">
        <v>44579</v>
      </c>
      <c r="M732">
        <v>5.19</v>
      </c>
      <c r="P732" s="1">
        <v>44579</v>
      </c>
      <c r="Q732">
        <v>5.28</v>
      </c>
      <c r="R732" s="1">
        <v>44579</v>
      </c>
      <c r="S732">
        <v>5.31</v>
      </c>
      <c r="V732" s="1">
        <v>44578</v>
      </c>
      <c r="W732">
        <v>5.4</v>
      </c>
      <c r="X732" s="1">
        <v>44579</v>
      </c>
      <c r="Y732">
        <f>NETWORKDAYS(X732,$Z$1,FERIADO!$A$2:$A$408)</f>
        <v>2259</v>
      </c>
      <c r="Z732">
        <v>11.57</v>
      </c>
      <c r="AA732" s="6">
        <f t="shared" si="101"/>
        <v>37477.552818522214</v>
      </c>
      <c r="AB732" s="2">
        <f t="shared" si="102"/>
        <v>-1.5571905585126228E-3</v>
      </c>
      <c r="AJ732" s="1">
        <v>44579</v>
      </c>
      <c r="AK732">
        <f>NETWORKDAYS(AJ732,$AJ$1,FERIADO!$A$2:$A$408)</f>
        <v>1246</v>
      </c>
      <c r="AL732">
        <v>11.45</v>
      </c>
      <c r="AM732" s="6">
        <f t="shared" si="103"/>
        <v>58507.992293981675</v>
      </c>
      <c r="AN732" s="2">
        <f t="shared" si="104"/>
        <v>-5.8462485794468302E-4</v>
      </c>
      <c r="AP732" s="11">
        <f t="shared" si="105"/>
        <v>-7.7859527925631142E-4</v>
      </c>
      <c r="AQ732" s="11">
        <f t="shared" si="106"/>
        <v>-1.7538745738340491E-4</v>
      </c>
      <c r="AR732" s="11">
        <f t="shared" si="107"/>
        <v>-9.5398273663971638E-4</v>
      </c>
    </row>
    <row r="733" spans="2:44" x14ac:dyDescent="0.35">
      <c r="B733" s="1">
        <v>44578</v>
      </c>
      <c r="C733">
        <v>5088.88</v>
      </c>
      <c r="D733" s="1">
        <v>44578</v>
      </c>
      <c r="E733">
        <v>5.5052000000000003</v>
      </c>
      <c r="F733" s="1">
        <v>44574</v>
      </c>
      <c r="G733">
        <v>128.82499999999999</v>
      </c>
      <c r="H733" s="4">
        <f t="shared" si="99"/>
        <v>709207.39</v>
      </c>
      <c r="I733" s="5">
        <v>44578</v>
      </c>
      <c r="J733" s="4">
        <v>6621.48</v>
      </c>
      <c r="K733" s="4">
        <f t="shared" si="100"/>
        <v>66214.799999999988</v>
      </c>
      <c r="L733" s="1">
        <v>44578</v>
      </c>
      <c r="M733">
        <v>5.19</v>
      </c>
      <c r="P733" s="1">
        <v>44578</v>
      </c>
      <c r="Q733">
        <v>5.24</v>
      </c>
      <c r="R733" s="1">
        <v>44578</v>
      </c>
      <c r="S733">
        <v>5.28</v>
      </c>
      <c r="V733" s="1">
        <v>44575</v>
      </c>
      <c r="W733">
        <v>5.24</v>
      </c>
      <c r="X733" s="1">
        <v>44578</v>
      </c>
      <c r="Y733">
        <f>NETWORKDAYS(X733,$Z$1,FERIADO!$A$2:$A$408)</f>
        <v>2260</v>
      </c>
      <c r="Z733">
        <v>11.52</v>
      </c>
      <c r="AA733" s="6">
        <f t="shared" si="101"/>
        <v>37612.17217289799</v>
      </c>
      <c r="AB733" s="2">
        <f t="shared" si="102"/>
        <v>-9.6077900377126782E-3</v>
      </c>
      <c r="AJ733" s="1">
        <v>44578</v>
      </c>
      <c r="AK733">
        <f>NETWORKDAYS(AJ733,$AJ$1,FERIADO!$A$2:$A$408)</f>
        <v>1247</v>
      </c>
      <c r="AL733">
        <v>11.41</v>
      </c>
      <c r="AM733" s="6">
        <f t="shared" si="103"/>
        <v>58586.805774467575</v>
      </c>
      <c r="AN733" s="2">
        <f t="shared" si="104"/>
        <v>-5.1292844242668825E-3</v>
      </c>
      <c r="AP733" s="11">
        <f t="shared" si="105"/>
        <v>-4.8038950188563391E-3</v>
      </c>
      <c r="AQ733" s="11">
        <f t="shared" si="106"/>
        <v>-1.5387853272800648E-3</v>
      </c>
      <c r="AR733" s="11">
        <f t="shared" si="107"/>
        <v>-6.3426803461364041E-3</v>
      </c>
    </row>
    <row r="734" spans="2:44" x14ac:dyDescent="0.35">
      <c r="B734" s="1">
        <v>44575</v>
      </c>
      <c r="C734">
        <v>5087.96</v>
      </c>
      <c r="D734" s="1">
        <v>44575</v>
      </c>
      <c r="E734">
        <v>5.5343</v>
      </c>
      <c r="F734" s="1">
        <v>44573</v>
      </c>
      <c r="G734">
        <v>128.535</v>
      </c>
      <c r="H734" s="4">
        <f t="shared" si="99"/>
        <v>711351.25049999997</v>
      </c>
      <c r="I734" s="5">
        <v>44575</v>
      </c>
      <c r="J734" s="4">
        <v>6646.61</v>
      </c>
      <c r="K734" s="4">
        <f t="shared" si="100"/>
        <v>66466.099999999991</v>
      </c>
      <c r="L734" s="1">
        <v>44575</v>
      </c>
      <c r="M734">
        <v>5.08</v>
      </c>
      <c r="P734" s="1">
        <v>44575</v>
      </c>
      <c r="Q734">
        <v>5.13</v>
      </c>
      <c r="R734" s="1">
        <v>44575</v>
      </c>
      <c r="S734">
        <v>5.13</v>
      </c>
      <c r="V734" s="1">
        <v>44574</v>
      </c>
      <c r="W734">
        <v>5.32</v>
      </c>
      <c r="X734" s="1">
        <v>44575</v>
      </c>
      <c r="Y734">
        <f>NETWORKDAYS(X734,$Z$1,FERIADO!$A$2:$A$408)</f>
        <v>2261</v>
      </c>
      <c r="Z734">
        <v>11.24</v>
      </c>
      <c r="AA734" s="6">
        <f t="shared" si="101"/>
        <v>38453.529263516619</v>
      </c>
      <c r="AB734" s="2">
        <f t="shared" si="102"/>
        <v>1.5850889023718111E-3</v>
      </c>
      <c r="AJ734" s="1">
        <v>44575</v>
      </c>
      <c r="AK734">
        <f>NETWORKDAYS(AJ734,$AJ$1,FERIADO!$A$2:$A$408)</f>
        <v>1248</v>
      </c>
      <c r="AL734">
        <v>11.135</v>
      </c>
      <c r="AM734" s="6">
        <f t="shared" si="103"/>
        <v>59282.85420296013</v>
      </c>
      <c r="AN734" s="2">
        <f t="shared" si="104"/>
        <v>1.8194783269086907E-4</v>
      </c>
      <c r="AP734" s="11">
        <f t="shared" si="105"/>
        <v>7.9254445118590554E-4</v>
      </c>
      <c r="AQ734" s="11">
        <f t="shared" si="106"/>
        <v>5.4584349807260718E-5</v>
      </c>
      <c r="AR734" s="11">
        <f t="shared" si="107"/>
        <v>8.4712880099316627E-4</v>
      </c>
    </row>
    <row r="735" spans="2:44" x14ac:dyDescent="0.35">
      <c r="B735" s="1">
        <v>44574</v>
      </c>
      <c r="C735">
        <v>5077.07</v>
      </c>
      <c r="D735" s="1">
        <v>44574</v>
      </c>
      <c r="E735">
        <v>5.524</v>
      </c>
      <c r="F735" s="1">
        <v>44572</v>
      </c>
      <c r="G735">
        <v>128.36000000000001</v>
      </c>
      <c r="H735" s="4">
        <f t="shared" si="99"/>
        <v>709060.64</v>
      </c>
      <c r="I735" s="5">
        <v>44574</v>
      </c>
      <c r="J735" s="4">
        <v>6640.63</v>
      </c>
      <c r="K735" s="4">
        <f t="shared" si="100"/>
        <v>66406.3</v>
      </c>
      <c r="L735" s="1">
        <v>44574</v>
      </c>
      <c r="M735">
        <v>5.0999999999999996</v>
      </c>
      <c r="P735" s="1">
        <v>44574</v>
      </c>
      <c r="Q735">
        <v>5.2</v>
      </c>
      <c r="R735" s="1">
        <v>44574</v>
      </c>
      <c r="S735">
        <v>5.22</v>
      </c>
      <c r="V735" s="1">
        <v>44573</v>
      </c>
      <c r="W735">
        <v>5.36</v>
      </c>
      <c r="X735" s="1">
        <v>44574</v>
      </c>
      <c r="Y735">
        <f>NETWORKDAYS(X735,$Z$1,FERIADO!$A$2:$A$408)</f>
        <v>2262</v>
      </c>
      <c r="Z735">
        <v>11.28</v>
      </c>
      <c r="AA735" s="6">
        <f t="shared" si="101"/>
        <v>38313.437301997299</v>
      </c>
      <c r="AB735" s="2">
        <f t="shared" si="102"/>
        <v>1.8419490866666011E-4</v>
      </c>
      <c r="AJ735" s="1">
        <v>44574</v>
      </c>
      <c r="AK735">
        <f>NETWORKDAYS(AJ735,$AJ$1,FERIADO!$A$2:$A$408)</f>
        <v>1249</v>
      </c>
      <c r="AL735">
        <v>11.135</v>
      </c>
      <c r="AM735" s="6">
        <f t="shared" si="103"/>
        <v>59258.022831339113</v>
      </c>
      <c r="AN735" s="2">
        <f t="shared" si="104"/>
        <v>1.2478029546944868E-3</v>
      </c>
      <c r="AP735" s="11">
        <f t="shared" si="105"/>
        <v>9.2097454333330055E-5</v>
      </c>
      <c r="AQ735" s="11">
        <f t="shared" si="106"/>
        <v>3.74340886408346E-4</v>
      </c>
      <c r="AR735" s="11">
        <f t="shared" si="107"/>
        <v>4.6643834074167604E-4</v>
      </c>
    </row>
    <row r="736" spans="2:44" x14ac:dyDescent="0.35">
      <c r="B736" s="1">
        <v>44573</v>
      </c>
      <c r="C736">
        <v>5157.16</v>
      </c>
      <c r="D736" s="1">
        <v>44573</v>
      </c>
      <c r="E736">
        <v>5.5605000000000002</v>
      </c>
      <c r="F736" s="1">
        <v>44571</v>
      </c>
      <c r="G736">
        <v>128.22200000000001</v>
      </c>
      <c r="H736" s="4">
        <f t="shared" si="99"/>
        <v>712978.4310000001</v>
      </c>
      <c r="I736" s="5">
        <v>44573</v>
      </c>
      <c r="J736" s="4">
        <v>6654.39</v>
      </c>
      <c r="K736" s="4">
        <f t="shared" si="100"/>
        <v>66543.900000000009</v>
      </c>
      <c r="L736" s="1">
        <v>44573</v>
      </c>
      <c r="M736">
        <v>5.07</v>
      </c>
      <c r="P736" s="1">
        <v>44573</v>
      </c>
      <c r="Q736">
        <v>5.22</v>
      </c>
      <c r="R736" s="1">
        <v>44573</v>
      </c>
      <c r="S736">
        <v>5.25</v>
      </c>
      <c r="V736" s="1">
        <v>44572</v>
      </c>
      <c r="W736">
        <v>5.42</v>
      </c>
      <c r="X736" s="1">
        <v>44573</v>
      </c>
      <c r="Y736">
        <f>NETWORKDAYS(X736,$Z$1,FERIADO!$A$2:$A$408)</f>
        <v>2263</v>
      </c>
      <c r="Z736">
        <v>11.28</v>
      </c>
      <c r="AA736" s="6">
        <f t="shared" si="101"/>
        <v>38297.191081892575</v>
      </c>
      <c r="AB736" s="2">
        <f t="shared" si="102"/>
        <v>8.2402510764674596E-3</v>
      </c>
      <c r="AJ736" s="1">
        <v>44573</v>
      </c>
      <c r="AK736">
        <f>NETWORKDAYS(AJ736,$AJ$1,FERIADO!$A$2:$A$408)</f>
        <v>1250</v>
      </c>
      <c r="AL736">
        <v>11.19</v>
      </c>
      <c r="AM736" s="6">
        <f t="shared" si="103"/>
        <v>59088.008667739829</v>
      </c>
      <c r="AN736" s="2">
        <f t="shared" si="104"/>
        <v>5.2182869237202122E-3</v>
      </c>
      <c r="AP736" s="11">
        <f t="shared" si="105"/>
        <v>4.1201255382337298E-3</v>
      </c>
      <c r="AQ736" s="11">
        <f t="shared" si="106"/>
        <v>1.5654860771160636E-3</v>
      </c>
      <c r="AR736" s="11">
        <f t="shared" si="107"/>
        <v>5.6856116153497938E-3</v>
      </c>
    </row>
    <row r="737" spans="2:44" x14ac:dyDescent="0.35">
      <c r="B737" s="1">
        <v>44572</v>
      </c>
      <c r="C737">
        <v>5138.54</v>
      </c>
      <c r="D737" s="1">
        <v>44572</v>
      </c>
      <c r="E737">
        <v>5.6345000000000001</v>
      </c>
      <c r="F737" s="1">
        <v>44568</v>
      </c>
      <c r="G737">
        <v>128.31</v>
      </c>
      <c r="H737" s="4">
        <f t="shared" si="99"/>
        <v>722962.69500000007</v>
      </c>
      <c r="I737" s="5">
        <v>44572</v>
      </c>
      <c r="J737" s="4">
        <v>6699.27</v>
      </c>
      <c r="K737" s="4">
        <f t="shared" si="100"/>
        <v>66992.700000000012</v>
      </c>
      <c r="L737" s="1">
        <v>44572</v>
      </c>
      <c r="M737">
        <v>5.21</v>
      </c>
      <c r="P737" s="1">
        <v>44572</v>
      </c>
      <c r="Q737">
        <v>5.32</v>
      </c>
      <c r="R737" s="1">
        <v>44572</v>
      </c>
      <c r="S737">
        <v>5.33</v>
      </c>
      <c r="V737" s="1">
        <v>44571</v>
      </c>
      <c r="W737">
        <v>5.31</v>
      </c>
      <c r="X737" s="1">
        <v>44572</v>
      </c>
      <c r="Y737">
        <f>NETWORKDAYS(X737,$Z$1,FERIADO!$A$2:$A$408)</f>
        <v>2264</v>
      </c>
      <c r="Z737">
        <v>11.51</v>
      </c>
      <c r="AA737" s="6">
        <f t="shared" si="101"/>
        <v>37577.395056796639</v>
      </c>
      <c r="AB737" s="2">
        <f t="shared" si="102"/>
        <v>-1.5629218445566606E-3</v>
      </c>
      <c r="AJ737" s="1">
        <v>44572</v>
      </c>
      <c r="AK737">
        <f>NETWORKDAYS(AJ737,$AJ$1,FERIADO!$A$2:$A$408)</f>
        <v>1251</v>
      </c>
      <c r="AL737">
        <v>11.45</v>
      </c>
      <c r="AM737" s="6">
        <f t="shared" si="103"/>
        <v>58382.282100982746</v>
      </c>
      <c r="AN737" s="2">
        <f t="shared" si="104"/>
        <v>-9.7509425781187626E-4</v>
      </c>
      <c r="AP737" s="11">
        <f t="shared" si="105"/>
        <v>-7.814609222783303E-4</v>
      </c>
      <c r="AQ737" s="11">
        <f t="shared" si="106"/>
        <v>-2.9252827734356284E-4</v>
      </c>
      <c r="AR737" s="11">
        <f t="shared" si="107"/>
        <v>-1.0739891996218933E-3</v>
      </c>
    </row>
    <row r="738" spans="2:44" x14ac:dyDescent="0.35">
      <c r="B738" s="1">
        <v>44571</v>
      </c>
      <c r="C738">
        <v>5079.49</v>
      </c>
      <c r="D738" s="1">
        <v>44571</v>
      </c>
      <c r="E738">
        <v>5.673</v>
      </c>
      <c r="F738" s="1">
        <v>44567</v>
      </c>
      <c r="G738">
        <v>128.578</v>
      </c>
      <c r="H738" s="4">
        <f t="shared" si="99"/>
        <v>729422.99400000006</v>
      </c>
      <c r="I738" s="5">
        <v>44571</v>
      </c>
      <c r="J738" s="4">
        <v>6810.58</v>
      </c>
      <c r="K738" s="4">
        <f t="shared" si="100"/>
        <v>68105.8</v>
      </c>
      <c r="L738" s="1">
        <v>44571</v>
      </c>
      <c r="M738">
        <v>5.13</v>
      </c>
      <c r="P738" s="1">
        <v>44571</v>
      </c>
      <c r="Q738">
        <v>5.19</v>
      </c>
      <c r="R738" s="1">
        <v>44571</v>
      </c>
      <c r="S738">
        <v>5.19</v>
      </c>
      <c r="V738" s="1">
        <v>44568</v>
      </c>
      <c r="W738">
        <v>5.27</v>
      </c>
      <c r="X738" s="1">
        <v>44571</v>
      </c>
      <c r="Y738">
        <f>NETWORKDAYS(X738,$Z$1,FERIADO!$A$2:$A$408)</f>
        <v>2265</v>
      </c>
      <c r="Z738">
        <v>11.46</v>
      </c>
      <c r="AA738" s="6">
        <f t="shared" si="101"/>
        <v>37712.870729392176</v>
      </c>
      <c r="AB738" s="2">
        <f t="shared" si="102"/>
        <v>-3.318273989490765E-3</v>
      </c>
      <c r="AJ738" s="1">
        <v>44571</v>
      </c>
      <c r="AK738">
        <f>NETWORKDAYS(AJ738,$AJ$1,FERIADO!$A$2:$A$408)</f>
        <v>1252</v>
      </c>
      <c r="AL738">
        <v>11.39</v>
      </c>
      <c r="AM738" s="6">
        <f t="shared" si="103"/>
        <v>58513.5114556318</v>
      </c>
      <c r="AN738" s="2">
        <f t="shared" si="104"/>
        <v>-1.2685435019165402E-3</v>
      </c>
      <c r="AP738" s="11">
        <f t="shared" si="105"/>
        <v>-1.6591369947453825E-3</v>
      </c>
      <c r="AQ738" s="11">
        <f t="shared" si="106"/>
        <v>-3.8056305057496207E-4</v>
      </c>
      <c r="AR738" s="11">
        <f t="shared" si="107"/>
        <v>-2.0397000453203445E-3</v>
      </c>
    </row>
    <row r="739" spans="2:44" x14ac:dyDescent="0.35">
      <c r="B739" s="1">
        <v>44568</v>
      </c>
      <c r="C739">
        <v>5104.46</v>
      </c>
      <c r="D739" s="1">
        <v>44568</v>
      </c>
      <c r="E739">
        <v>5.6746999999999996</v>
      </c>
      <c r="F739" s="1">
        <v>44566</v>
      </c>
      <c r="G739">
        <v>128.91</v>
      </c>
      <c r="H739" s="4">
        <f t="shared" si="99"/>
        <v>731525.57699999993</v>
      </c>
      <c r="I739" s="5">
        <v>44568</v>
      </c>
      <c r="J739" s="4">
        <v>6781.25</v>
      </c>
      <c r="K739" s="4">
        <f t="shared" si="100"/>
        <v>67812.5</v>
      </c>
      <c r="L739" s="1">
        <v>44568</v>
      </c>
      <c r="M739">
        <v>5.2</v>
      </c>
      <c r="P739" s="1">
        <v>44568</v>
      </c>
      <c r="Q739">
        <v>5.19</v>
      </c>
      <c r="R739" s="1">
        <v>44568</v>
      </c>
      <c r="S739">
        <v>5.19</v>
      </c>
      <c r="V739" s="1">
        <v>44567</v>
      </c>
      <c r="W739">
        <v>5.2</v>
      </c>
      <c r="X739" s="1">
        <v>44568</v>
      </c>
      <c r="Y739">
        <f>NETWORKDAYS(X739,$Z$1,FERIADO!$A$2:$A$408)</f>
        <v>2266</v>
      </c>
      <c r="Z739">
        <v>11.36</v>
      </c>
      <c r="AA739" s="6">
        <f t="shared" si="101"/>
        <v>38002.123626432171</v>
      </c>
      <c r="AB739" s="2">
        <f t="shared" si="102"/>
        <v>-2.2712016131490758E-3</v>
      </c>
      <c r="AJ739" s="1">
        <v>44568</v>
      </c>
      <c r="AK739">
        <f>NETWORKDAYS(AJ739,$AJ$1,FERIADO!$A$2:$A$408)</f>
        <v>1253</v>
      </c>
      <c r="AL739">
        <v>11.315</v>
      </c>
      <c r="AM739" s="6">
        <f t="shared" si="103"/>
        <v>58684.675145871821</v>
      </c>
      <c r="AN739" s="2">
        <f t="shared" si="104"/>
        <v>-1.5632805353273486E-3</v>
      </c>
      <c r="AP739" s="11">
        <f t="shared" si="105"/>
        <v>-1.1356008065745379E-3</v>
      </c>
      <c r="AQ739" s="11">
        <f t="shared" si="106"/>
        <v>-4.6898416059820458E-4</v>
      </c>
      <c r="AR739" s="11">
        <f t="shared" si="107"/>
        <v>-1.6045849671727425E-3</v>
      </c>
    </row>
    <row r="740" spans="2:44" x14ac:dyDescent="0.35">
      <c r="B740" s="1">
        <v>44567</v>
      </c>
      <c r="C740">
        <v>5119.58</v>
      </c>
      <c r="D740" s="1">
        <v>44567</v>
      </c>
      <c r="E740">
        <v>5.7035999999999998</v>
      </c>
      <c r="F740" s="1">
        <v>44565</v>
      </c>
      <c r="G740">
        <v>129.24799999999999</v>
      </c>
      <c r="H740" s="4">
        <f t="shared" si="99"/>
        <v>737178.89279999991</v>
      </c>
      <c r="I740" s="5">
        <v>44567</v>
      </c>
      <c r="J740" s="4">
        <v>6840.5</v>
      </c>
      <c r="K740" s="4">
        <f t="shared" si="100"/>
        <v>68405</v>
      </c>
      <c r="L740" s="1">
        <v>44567</v>
      </c>
      <c r="M740">
        <v>5.0999999999999996</v>
      </c>
      <c r="P740" s="1">
        <v>44567</v>
      </c>
      <c r="Q740">
        <v>5.15</v>
      </c>
      <c r="R740" s="1">
        <v>44567</v>
      </c>
      <c r="S740">
        <v>5.14</v>
      </c>
      <c r="V740" s="1">
        <v>44566</v>
      </c>
      <c r="W740">
        <v>5.0999999999999996</v>
      </c>
      <c r="X740" s="1">
        <v>44567</v>
      </c>
      <c r="Y740">
        <f>NETWORKDAYS(X740,$Z$1,FERIADO!$A$2:$A$408)</f>
        <v>2267</v>
      </c>
      <c r="Z740">
        <v>11.29</v>
      </c>
      <c r="AA740" s="6">
        <f t="shared" si="101"/>
        <v>38201.381430036192</v>
      </c>
      <c r="AB740" s="2">
        <f t="shared" si="102"/>
        <v>-1.6687908593784352E-4</v>
      </c>
      <c r="AJ740" s="1">
        <v>44567</v>
      </c>
      <c r="AK740">
        <f>NETWORKDAYS(AJ740,$AJ$1,FERIADO!$A$2:$A$408)</f>
        <v>1254</v>
      </c>
      <c r="AL740">
        <v>11.225</v>
      </c>
      <c r="AM740" s="6">
        <f t="shared" si="103"/>
        <v>58896.296353667771</v>
      </c>
      <c r="AN740" s="2">
        <f t="shared" si="104"/>
        <v>-1.0836326390516463E-4</v>
      </c>
      <c r="AP740" s="11">
        <f t="shared" si="105"/>
        <v>-8.3439542968921762E-5</v>
      </c>
      <c r="AQ740" s="11">
        <f t="shared" si="106"/>
        <v>-3.2508979171549385E-5</v>
      </c>
      <c r="AR740" s="11">
        <f t="shared" si="107"/>
        <v>-1.1594852214047115E-4</v>
      </c>
    </row>
    <row r="741" spans="2:44" x14ac:dyDescent="0.35">
      <c r="B741" s="1">
        <v>44566</v>
      </c>
      <c r="C741">
        <v>5134.95</v>
      </c>
      <c r="D741" s="1">
        <v>44566</v>
      </c>
      <c r="E741">
        <v>5.6622000000000003</v>
      </c>
      <c r="F741" s="1">
        <v>44564</v>
      </c>
      <c r="G741">
        <v>129.422</v>
      </c>
      <c r="H741" s="4">
        <f t="shared" si="99"/>
        <v>732813.24840000004</v>
      </c>
      <c r="I741" s="5">
        <v>44566</v>
      </c>
      <c r="J741" s="4">
        <v>6854.26</v>
      </c>
      <c r="K741" s="4">
        <f t="shared" si="100"/>
        <v>68542.600000000006</v>
      </c>
      <c r="L741" s="1">
        <v>44566</v>
      </c>
      <c r="M741">
        <v>5.01</v>
      </c>
      <c r="P741" s="1">
        <v>44566</v>
      </c>
      <c r="Q741">
        <v>5.1100000000000003</v>
      </c>
      <c r="R741" s="1">
        <v>44566</v>
      </c>
      <c r="S741">
        <v>5.05</v>
      </c>
      <c r="V741" s="1">
        <v>44565</v>
      </c>
      <c r="W741">
        <v>5.0599999999999996</v>
      </c>
      <c r="X741" s="1">
        <v>44566</v>
      </c>
      <c r="Y741">
        <f>NETWORKDAYS(X741,$Z$1,FERIADO!$A$2:$A$408)</f>
        <v>2268</v>
      </c>
      <c r="Z741">
        <v>11.28</v>
      </c>
      <c r="AA741" s="6">
        <f t="shared" si="101"/>
        <v>38216.063257337264</v>
      </c>
      <c r="AB741" s="2">
        <f t="shared" si="102"/>
        <v>-2.2763756337110881E-3</v>
      </c>
      <c r="AJ741" s="1">
        <v>44566</v>
      </c>
      <c r="AK741">
        <f>NETWORKDAYS(AJ741,$AJ$1,FERIADO!$A$2:$A$408)</f>
        <v>1255</v>
      </c>
      <c r="AL741">
        <v>11.21</v>
      </c>
      <c r="AM741" s="6">
        <f t="shared" si="103"/>
        <v>58910.993734053023</v>
      </c>
      <c r="AN741" s="2">
        <f t="shared" si="104"/>
        <v>-1.6667489870685545E-3</v>
      </c>
      <c r="AP741" s="11">
        <f t="shared" si="105"/>
        <v>-1.1381878168555441E-3</v>
      </c>
      <c r="AQ741" s="11">
        <f t="shared" si="106"/>
        <v>-5.0002469612056631E-4</v>
      </c>
      <c r="AR741" s="11">
        <f t="shared" si="107"/>
        <v>-1.6382125129761104E-3</v>
      </c>
    </row>
    <row r="742" spans="2:44" x14ac:dyDescent="0.35">
      <c r="B742" s="1">
        <v>44565</v>
      </c>
      <c r="C742">
        <v>5232.96</v>
      </c>
      <c r="D742" s="1">
        <v>44565</v>
      </c>
      <c r="E742">
        <v>5.6769999999999996</v>
      </c>
      <c r="F742" s="1">
        <v>44560</v>
      </c>
      <c r="G742">
        <v>130.41</v>
      </c>
      <c r="H742" s="4">
        <f t="shared" si="99"/>
        <v>740337.57</v>
      </c>
      <c r="I742" s="5">
        <v>44565</v>
      </c>
      <c r="J742" s="4">
        <v>6836.91</v>
      </c>
      <c r="K742" s="4">
        <f t="shared" si="100"/>
        <v>68369.100000000006</v>
      </c>
      <c r="L742" s="1">
        <v>44565</v>
      </c>
      <c r="M742">
        <v>4.9400000000000004</v>
      </c>
      <c r="P742" s="1">
        <v>44565</v>
      </c>
      <c r="Q742">
        <v>4.99</v>
      </c>
      <c r="R742" s="1">
        <v>44565</v>
      </c>
      <c r="S742">
        <v>4.99</v>
      </c>
      <c r="V742" s="1">
        <v>44564</v>
      </c>
      <c r="W742">
        <v>4.93</v>
      </c>
      <c r="X742" s="1">
        <v>44565</v>
      </c>
      <c r="Y742">
        <f>NETWORKDAYS(X742,$Z$1,FERIADO!$A$2:$A$408)</f>
        <v>2269</v>
      </c>
      <c r="Z742">
        <v>11.21</v>
      </c>
      <c r="AA742" s="6">
        <f t="shared" si="101"/>
        <v>38416.900499479241</v>
      </c>
      <c r="AB742" s="2">
        <f t="shared" si="102"/>
        <v>-8.9737648832246483E-3</v>
      </c>
      <c r="AJ742" s="1">
        <v>44565</v>
      </c>
      <c r="AK742">
        <f>NETWORKDAYS(AJ742,$AJ$1,FERIADO!$A$2:$A$408)</f>
        <v>1256</v>
      </c>
      <c r="AL742">
        <v>11.115</v>
      </c>
      <c r="AM742" s="6">
        <f t="shared" si="103"/>
        <v>59137.51859800041</v>
      </c>
      <c r="AN742" s="2">
        <f t="shared" si="104"/>
        <v>-5.3818711083760754E-3</v>
      </c>
      <c r="AP742" s="11">
        <f t="shared" si="105"/>
        <v>-4.4868824416123242E-3</v>
      </c>
      <c r="AQ742" s="11">
        <f t="shared" si="106"/>
        <v>-1.6145613325128226E-3</v>
      </c>
      <c r="AR742" s="11">
        <f t="shared" si="107"/>
        <v>-6.1014437741251466E-3</v>
      </c>
    </row>
    <row r="743" spans="2:44" x14ac:dyDescent="0.35">
      <c r="B743" s="1">
        <v>44564</v>
      </c>
      <c r="C743">
        <v>5218.5200000000004</v>
      </c>
      <c r="D743" s="1">
        <v>44564</v>
      </c>
      <c r="E743">
        <v>5.6303000000000001</v>
      </c>
      <c r="F743" s="1">
        <v>44559</v>
      </c>
      <c r="G743">
        <v>130.24299999999999</v>
      </c>
      <c r="H743" s="4">
        <f t="shared" si="99"/>
        <v>733307.1629</v>
      </c>
      <c r="I743" s="5">
        <v>44564</v>
      </c>
      <c r="J743" s="4">
        <v>6854.26</v>
      </c>
      <c r="K743" s="4">
        <f t="shared" si="100"/>
        <v>68542.600000000006</v>
      </c>
      <c r="L743" s="1">
        <v>44564</v>
      </c>
      <c r="M743">
        <v>4.87</v>
      </c>
      <c r="P743" s="1">
        <v>44564</v>
      </c>
      <c r="Q743">
        <v>4.9000000000000004</v>
      </c>
      <c r="R743" s="1">
        <v>44564</v>
      </c>
      <c r="S743">
        <v>4.9000000000000004</v>
      </c>
      <c r="V743" s="1">
        <v>44560</v>
      </c>
      <c r="W743">
        <v>4.8600000000000003</v>
      </c>
      <c r="X743" s="1">
        <v>44564</v>
      </c>
      <c r="Y743">
        <f>NETWORKDAYS(X743,$Z$1,FERIADO!$A$2:$A$408)</f>
        <v>2270</v>
      </c>
      <c r="Z743">
        <v>10.95</v>
      </c>
      <c r="AA743" s="6">
        <f t="shared" si="101"/>
        <v>39218.961327919322</v>
      </c>
      <c r="AB743" s="2">
        <f t="shared" si="102"/>
        <v>-7.4135892929183631E-3</v>
      </c>
      <c r="AJ743" s="1">
        <v>44564</v>
      </c>
      <c r="AK743">
        <f>NETWORKDAYS(AJ743,$AJ$1,FERIADO!$A$2:$A$408)</f>
        <v>1257</v>
      </c>
      <c r="AL743">
        <v>10.83</v>
      </c>
      <c r="AM743" s="6">
        <f t="shared" si="103"/>
        <v>59874.923114569654</v>
      </c>
      <c r="AN743" s="2">
        <f t="shared" si="104"/>
        <v>-3.9568568971071498E-3</v>
      </c>
      <c r="AP743" s="11">
        <f t="shared" si="105"/>
        <v>-3.7067946464591816E-3</v>
      </c>
      <c r="AQ743" s="11">
        <f t="shared" si="106"/>
        <v>-1.1870570691321449E-3</v>
      </c>
      <c r="AR743" s="11">
        <f t="shared" si="107"/>
        <v>-4.8938517155913269E-3</v>
      </c>
    </row>
    <row r="744" spans="2:44" x14ac:dyDescent="0.35">
      <c r="B744" s="1">
        <v>44560</v>
      </c>
      <c r="C744">
        <v>5232.99</v>
      </c>
      <c r="D744" s="1">
        <v>44561</v>
      </c>
      <c r="E744">
        <v>5.5799000000000003</v>
      </c>
      <c r="F744" s="1">
        <v>44558</v>
      </c>
      <c r="G744">
        <v>130.595</v>
      </c>
      <c r="H744" s="4">
        <f t="shared" si="99"/>
        <v>728707.04050000012</v>
      </c>
      <c r="I744" s="5">
        <v>44560</v>
      </c>
      <c r="J744" s="4">
        <v>6715.43</v>
      </c>
      <c r="K744" s="4">
        <f t="shared" si="100"/>
        <v>67154.3</v>
      </c>
      <c r="L744" s="1">
        <v>44560</v>
      </c>
      <c r="M744">
        <v>4.74</v>
      </c>
      <c r="P744" s="1">
        <v>44560</v>
      </c>
      <c r="Q744">
        <v>4.83</v>
      </c>
      <c r="R744" s="1">
        <v>44560</v>
      </c>
      <c r="S744">
        <v>4.83</v>
      </c>
      <c r="V744" s="1">
        <v>44559</v>
      </c>
      <c r="W744">
        <v>4.87</v>
      </c>
      <c r="X744" s="1">
        <v>44560</v>
      </c>
      <c r="Y744">
        <f>NETWORKDAYS(X744,$Z$1,FERIADO!$A$2:$A$408)</f>
        <v>2272</v>
      </c>
      <c r="Z744">
        <v>10.73</v>
      </c>
      <c r="AA744" s="6">
        <f t="shared" si="101"/>
        <v>39894.192318893256</v>
      </c>
      <c r="AB744" s="2">
        <f t="shared" si="102"/>
        <v>5.2940745733213654E-4</v>
      </c>
      <c r="AJ744" s="1">
        <v>44560</v>
      </c>
      <c r="AK744">
        <f>NETWORKDAYS(AJ744,$AJ$1,FERIADO!$A$2:$A$408)</f>
        <v>1259</v>
      </c>
      <c r="AL744">
        <v>10.61</v>
      </c>
      <c r="AM744" s="6">
        <f t="shared" si="103"/>
        <v>60422.936204145997</v>
      </c>
      <c r="AN744" s="2">
        <f t="shared" si="104"/>
        <v>-2.1888405172906743E-4</v>
      </c>
      <c r="AP744" s="11">
        <f t="shared" si="105"/>
        <v>2.6470372866606827E-4</v>
      </c>
      <c r="AQ744" s="11">
        <f t="shared" si="106"/>
        <v>-6.5665215518720223E-5</v>
      </c>
      <c r="AR744" s="11">
        <f t="shared" si="107"/>
        <v>1.9903851314734803E-4</v>
      </c>
    </row>
    <row r="745" spans="2:44" x14ac:dyDescent="0.35">
      <c r="B745" s="1">
        <v>44559</v>
      </c>
      <c r="C745">
        <v>5242.2299999999996</v>
      </c>
      <c r="D745" s="1">
        <v>44560</v>
      </c>
      <c r="E745">
        <v>5.5799000000000003</v>
      </c>
      <c r="F745" s="1">
        <v>44557</v>
      </c>
      <c r="G745">
        <v>130.577</v>
      </c>
      <c r="H745" s="4">
        <f t="shared" si="99"/>
        <v>728606.60230000003</v>
      </c>
      <c r="I745" s="5">
        <v>44559</v>
      </c>
      <c r="J745" s="4">
        <v>6872.81</v>
      </c>
      <c r="K745" s="4">
        <f t="shared" si="100"/>
        <v>68728.100000000006</v>
      </c>
      <c r="L745" s="1">
        <v>44559</v>
      </c>
      <c r="M745">
        <v>4.8</v>
      </c>
      <c r="P745" s="1">
        <v>44559</v>
      </c>
      <c r="Q745">
        <v>4.82</v>
      </c>
      <c r="R745" s="1">
        <v>44559</v>
      </c>
      <c r="S745">
        <v>4.78</v>
      </c>
      <c r="V745" s="1">
        <v>44558</v>
      </c>
      <c r="W745">
        <v>4.83</v>
      </c>
      <c r="X745" s="1">
        <v>44559</v>
      </c>
      <c r="Y745">
        <f>NETWORKDAYS(X745,$Z$1,FERIADO!$A$2:$A$408)</f>
        <v>2273</v>
      </c>
      <c r="Z745">
        <v>10.74</v>
      </c>
      <c r="AA745" s="6">
        <f t="shared" si="101"/>
        <v>39845.590699131397</v>
      </c>
      <c r="AB745" s="2">
        <f t="shared" si="102"/>
        <v>-4.0731848733252512E-3</v>
      </c>
      <c r="AJ745" s="1">
        <v>44559</v>
      </c>
      <c r="AK745">
        <f>NETWORKDAYS(AJ745,$AJ$1,FERIADO!$A$2:$A$408)</f>
        <v>1260</v>
      </c>
      <c r="AL745">
        <v>10.59</v>
      </c>
      <c r="AM745" s="6">
        <f t="shared" si="103"/>
        <v>60453.396988371627</v>
      </c>
      <c r="AN745" s="2">
        <f t="shared" si="104"/>
        <v>-1.5958276685544618E-3</v>
      </c>
      <c r="AP745" s="11">
        <f t="shared" si="105"/>
        <v>-2.0365924366626256E-3</v>
      </c>
      <c r="AQ745" s="11">
        <f t="shared" si="106"/>
        <v>-4.7874830056633851E-4</v>
      </c>
      <c r="AR745" s="11">
        <f t="shared" si="107"/>
        <v>-2.5153407372289641E-3</v>
      </c>
    </row>
    <row r="746" spans="2:44" x14ac:dyDescent="0.35">
      <c r="B746" s="1">
        <v>44558</v>
      </c>
      <c r="C746">
        <v>5234.3999999999996</v>
      </c>
      <c r="D746" s="1">
        <v>44559</v>
      </c>
      <c r="E746">
        <v>5.6612999999999998</v>
      </c>
      <c r="F746" s="1">
        <v>44553</v>
      </c>
      <c r="G746">
        <v>130.51</v>
      </c>
      <c r="H746" s="4">
        <f t="shared" si="99"/>
        <v>738856.26299999992</v>
      </c>
      <c r="I746" s="5">
        <v>44558</v>
      </c>
      <c r="J746" s="4">
        <v>6786.04</v>
      </c>
      <c r="K746" s="4">
        <f t="shared" si="100"/>
        <v>67860.399999999994</v>
      </c>
      <c r="L746" s="1">
        <v>44558</v>
      </c>
      <c r="M746">
        <v>4.76</v>
      </c>
      <c r="P746" s="1">
        <v>44558</v>
      </c>
      <c r="Q746">
        <v>4.76</v>
      </c>
      <c r="R746" s="1">
        <v>44557</v>
      </c>
      <c r="S746">
        <v>4.75</v>
      </c>
      <c r="V746" s="1">
        <v>44557</v>
      </c>
      <c r="W746">
        <v>4.83</v>
      </c>
      <c r="X746" s="1">
        <v>44558</v>
      </c>
      <c r="Y746">
        <f>NETWORKDAYS(X746,$Z$1,FERIADO!$A$2:$A$408)</f>
        <v>2274</v>
      </c>
      <c r="Z746">
        <v>10.62</v>
      </c>
      <c r="AA746" s="6">
        <f t="shared" si="101"/>
        <v>40221.054666308177</v>
      </c>
      <c r="AB746" s="2">
        <f t="shared" si="102"/>
        <v>1.2370914689636004E-3</v>
      </c>
      <c r="AJ746" s="1">
        <v>44558</v>
      </c>
      <c r="AK746">
        <f>NETWORKDAYS(AJ746,$AJ$1,FERIADO!$A$2:$A$408)</f>
        <v>1261</v>
      </c>
      <c r="AL746">
        <v>10.5</v>
      </c>
      <c r="AM746" s="6">
        <f t="shared" si="103"/>
        <v>60675.943374961244</v>
      </c>
      <c r="AN746" s="2">
        <f t="shared" si="104"/>
        <v>7.6246818974254533E-4</v>
      </c>
      <c r="AP746" s="11">
        <f t="shared" si="105"/>
        <v>6.1854573448180022E-4</v>
      </c>
      <c r="AQ746" s="11">
        <f t="shared" si="106"/>
        <v>2.2874045692276358E-4</v>
      </c>
      <c r="AR746" s="11">
        <f t="shared" si="107"/>
        <v>8.4728619140456379E-4</v>
      </c>
    </row>
    <row r="747" spans="2:44" x14ac:dyDescent="0.35">
      <c r="B747" s="1">
        <v>44557</v>
      </c>
      <c r="C747">
        <v>5237.3999999999996</v>
      </c>
      <c r="D747" s="1">
        <v>44558</v>
      </c>
      <c r="E747">
        <v>5.6432000000000002</v>
      </c>
      <c r="F747" s="1">
        <v>44552</v>
      </c>
      <c r="G747">
        <v>130.739</v>
      </c>
      <c r="H747" s="4">
        <f t="shared" si="99"/>
        <v>737786.32480000006</v>
      </c>
      <c r="I747" s="5">
        <v>44557</v>
      </c>
      <c r="J747" s="4">
        <v>6782.43</v>
      </c>
      <c r="K747" s="4">
        <f t="shared" si="100"/>
        <v>67824.3</v>
      </c>
      <c r="L747" s="1">
        <v>44557</v>
      </c>
      <c r="M747">
        <v>4.72</v>
      </c>
      <c r="P747" s="1">
        <v>44557</v>
      </c>
      <c r="Q747">
        <v>4.74</v>
      </c>
      <c r="R747" s="1">
        <v>44553</v>
      </c>
      <c r="S747">
        <v>4.78</v>
      </c>
      <c r="V747" s="1">
        <v>44553</v>
      </c>
      <c r="W747">
        <v>4.82</v>
      </c>
      <c r="X747" s="1">
        <v>44557</v>
      </c>
      <c r="Y747">
        <f>NETWORKDAYS(X747,$Z$1,FERIADO!$A$2:$A$408)</f>
        <v>2275</v>
      </c>
      <c r="Z747">
        <v>10.65</v>
      </c>
      <c r="AA747" s="6">
        <f t="shared" si="101"/>
        <v>40106.647677227076</v>
      </c>
      <c r="AB747" s="2">
        <f t="shared" si="102"/>
        <v>-3.6053584793926746E-4</v>
      </c>
      <c r="AJ747" s="1">
        <v>44557</v>
      </c>
      <c r="AK747">
        <f>NETWORKDAYS(AJ747,$AJ$1,FERIADO!$A$2:$A$408)</f>
        <v>1262</v>
      </c>
      <c r="AL747">
        <v>10.53</v>
      </c>
      <c r="AM747" s="6">
        <f t="shared" si="103"/>
        <v>60569.511239163039</v>
      </c>
      <c r="AN747" s="2">
        <f t="shared" si="104"/>
        <v>3.4508071446471959E-4</v>
      </c>
      <c r="AP747" s="11">
        <f t="shared" si="105"/>
        <v>-1.8026792396963373E-4</v>
      </c>
      <c r="AQ747" s="11">
        <f t="shared" si="106"/>
        <v>1.0352421433941588E-4</v>
      </c>
      <c r="AR747" s="11">
        <f t="shared" si="107"/>
        <v>-7.6743709630217849E-5</v>
      </c>
    </row>
    <row r="748" spans="2:44" x14ac:dyDescent="0.35">
      <c r="B748" s="1">
        <v>44553</v>
      </c>
      <c r="C748">
        <v>5176.67</v>
      </c>
      <c r="D748" s="1">
        <v>44557</v>
      </c>
      <c r="E748">
        <v>5.6643999999999997</v>
      </c>
      <c r="F748" s="1">
        <v>44551</v>
      </c>
      <c r="G748">
        <v>130.58600000000001</v>
      </c>
      <c r="H748" s="4">
        <f t="shared" si="99"/>
        <v>739691.33840000001</v>
      </c>
      <c r="I748" s="5">
        <v>44553</v>
      </c>
      <c r="J748" s="4">
        <v>6834.25</v>
      </c>
      <c r="K748" s="4">
        <f t="shared" si="100"/>
        <v>68342.5</v>
      </c>
      <c r="L748" s="1">
        <v>44553</v>
      </c>
      <c r="M748">
        <v>4.72</v>
      </c>
      <c r="P748" s="1">
        <v>44553</v>
      </c>
      <c r="Q748">
        <v>4.7699999999999996</v>
      </c>
      <c r="R748" s="1">
        <v>44552</v>
      </c>
      <c r="S748">
        <v>4.7300000000000004</v>
      </c>
      <c r="V748" s="1">
        <v>44552</v>
      </c>
      <c r="W748">
        <v>4.8</v>
      </c>
      <c r="X748" s="1">
        <v>44553</v>
      </c>
      <c r="Y748">
        <f>NETWORKDAYS(X748,$Z$1,FERIADO!$A$2:$A$408)</f>
        <v>2277</v>
      </c>
      <c r="Z748">
        <v>10.63</v>
      </c>
      <c r="AA748" s="6">
        <f t="shared" si="101"/>
        <v>40139.956615133007</v>
      </c>
      <c r="AB748" s="2">
        <f t="shared" si="102"/>
        <v>-3.3761674758044256E-3</v>
      </c>
      <c r="AJ748" s="1">
        <v>44553</v>
      </c>
      <c r="AK748">
        <f>NETWORKDAYS(AJ748,$AJ$1,FERIADO!$A$2:$A$408)</f>
        <v>1264</v>
      </c>
      <c r="AL748">
        <v>10.53</v>
      </c>
      <c r="AM748" s="6">
        <f t="shared" si="103"/>
        <v>60521.403171017388</v>
      </c>
      <c r="AN748" s="2">
        <f t="shared" si="104"/>
        <v>-2.7880630992455136E-3</v>
      </c>
      <c r="AP748" s="11">
        <f t="shared" si="105"/>
        <v>-1.6880837379022128E-3</v>
      </c>
      <c r="AQ748" s="11">
        <f t="shared" si="106"/>
        <v>-8.3641892977365402E-4</v>
      </c>
      <c r="AR748" s="11">
        <f t="shared" si="107"/>
        <v>-2.5245026676758669E-3</v>
      </c>
    </row>
    <row r="749" spans="2:44" x14ac:dyDescent="0.35">
      <c r="B749" s="1">
        <v>44552</v>
      </c>
      <c r="C749">
        <v>5131.42</v>
      </c>
      <c r="D749" s="1">
        <v>44554</v>
      </c>
      <c r="E749">
        <v>5.6540999999999997</v>
      </c>
      <c r="F749" s="1">
        <v>44550</v>
      </c>
      <c r="G749">
        <v>131.154</v>
      </c>
      <c r="H749" s="4">
        <f t="shared" si="99"/>
        <v>741557.83139999991</v>
      </c>
      <c r="I749" s="5">
        <v>44552</v>
      </c>
      <c r="J749" s="4">
        <v>6825.21</v>
      </c>
      <c r="K749" s="4">
        <f t="shared" si="100"/>
        <v>68252.100000000006</v>
      </c>
      <c r="L749" s="1">
        <v>44552</v>
      </c>
      <c r="M749">
        <v>4.6900000000000004</v>
      </c>
      <c r="P749" s="1">
        <v>44552</v>
      </c>
      <c r="Q749">
        <v>4.74</v>
      </c>
      <c r="R749" s="1">
        <v>44551</v>
      </c>
      <c r="S749">
        <v>4.7699999999999996</v>
      </c>
      <c r="V749" s="1">
        <v>44551</v>
      </c>
      <c r="W749">
        <v>4.82</v>
      </c>
      <c r="X749" s="1">
        <v>44552</v>
      </c>
      <c r="Y749">
        <f>NETWORKDAYS(X749,$Z$1,FERIADO!$A$2:$A$408)</f>
        <v>2278</v>
      </c>
      <c r="Z749">
        <v>10.53</v>
      </c>
      <c r="AA749" s="6">
        <f t="shared" si="101"/>
        <v>40453.217194323923</v>
      </c>
      <c r="AB749" s="2">
        <f t="shared" si="102"/>
        <v>-2.3156495491979644E-3</v>
      </c>
      <c r="AJ749" s="1">
        <v>44552</v>
      </c>
      <c r="AK749">
        <f>NETWORKDAYS(AJ749,$AJ$1,FERIADO!$A$2:$A$408)</f>
        <v>1265</v>
      </c>
      <c r="AL749">
        <v>10.38</v>
      </c>
      <c r="AM749" s="6">
        <f t="shared" si="103"/>
        <v>60911.185416279746</v>
      </c>
      <c r="AN749" s="2">
        <f t="shared" si="104"/>
        <v>-4.2287196603019113E-4</v>
      </c>
      <c r="AP749" s="11">
        <f t="shared" si="105"/>
        <v>-1.1578247745989822E-3</v>
      </c>
      <c r="AQ749" s="11">
        <f t="shared" si="106"/>
        <v>-1.2686158980905734E-4</v>
      </c>
      <c r="AR749" s="11">
        <f t="shared" si="107"/>
        <v>-1.2846863644080395E-3</v>
      </c>
    </row>
    <row r="750" spans="2:44" x14ac:dyDescent="0.35">
      <c r="B750" s="1">
        <v>44551</v>
      </c>
      <c r="C750">
        <v>5075.6899999999996</v>
      </c>
      <c r="D750" s="1">
        <v>44553</v>
      </c>
      <c r="E750">
        <v>5.6904000000000003</v>
      </c>
      <c r="F750" s="1">
        <v>44547</v>
      </c>
      <c r="G750">
        <v>131.15</v>
      </c>
      <c r="H750" s="4">
        <f t="shared" si="99"/>
        <v>746295.96000000008</v>
      </c>
      <c r="I750" s="5">
        <v>44551</v>
      </c>
      <c r="J750" s="4">
        <v>6937.89</v>
      </c>
      <c r="K750" s="4">
        <f t="shared" si="100"/>
        <v>69378.900000000009</v>
      </c>
      <c r="L750" s="1">
        <v>44551</v>
      </c>
      <c r="M750">
        <v>4.75</v>
      </c>
      <c r="P750" s="1">
        <v>44551</v>
      </c>
      <c r="Q750">
        <v>4.7699999999999996</v>
      </c>
      <c r="R750" s="1">
        <v>44550</v>
      </c>
      <c r="S750">
        <v>4.8099999999999996</v>
      </c>
      <c r="V750" s="1">
        <v>44550</v>
      </c>
      <c r="W750">
        <v>4.88</v>
      </c>
      <c r="X750" s="1">
        <v>44551</v>
      </c>
      <c r="Y750">
        <f>NETWORKDAYS(X750,$Z$1,FERIADO!$A$2:$A$408)</f>
        <v>2279</v>
      </c>
      <c r="Z750">
        <v>10.46</v>
      </c>
      <c r="AA750" s="6">
        <f t="shared" si="101"/>
        <v>40669.489010833546</v>
      </c>
      <c r="AB750" s="2">
        <f t="shared" si="102"/>
        <v>3.7270827131247876E-3</v>
      </c>
      <c r="AJ750" s="1">
        <v>44551</v>
      </c>
      <c r="AK750">
        <f>NETWORKDAYS(AJ750,$AJ$1,FERIADO!$A$2:$A$408)</f>
        <v>1266</v>
      </c>
      <c r="AL750">
        <v>10.35</v>
      </c>
      <c r="AM750" s="6">
        <f t="shared" si="103"/>
        <v>60970.523441425539</v>
      </c>
      <c r="AN750" s="2">
        <f t="shared" si="104"/>
        <v>2.3452579309845051E-3</v>
      </c>
      <c r="AP750" s="11">
        <f t="shared" si="105"/>
        <v>1.8635413565623938E-3</v>
      </c>
      <c r="AQ750" s="11">
        <f t="shared" si="106"/>
        <v>7.0357737929535146E-4</v>
      </c>
      <c r="AR750" s="11">
        <f t="shared" si="107"/>
        <v>2.5671187358577451E-3</v>
      </c>
    </row>
    <row r="751" spans="2:44" x14ac:dyDescent="0.35">
      <c r="B751" s="1">
        <v>44550</v>
      </c>
      <c r="C751">
        <v>4974.92</v>
      </c>
      <c r="D751" s="1">
        <v>44552</v>
      </c>
      <c r="E751">
        <v>5.7195</v>
      </c>
      <c r="F751" s="1">
        <v>44546</v>
      </c>
      <c r="G751">
        <v>130.96100000000001</v>
      </c>
      <c r="H751" s="4">
        <f t="shared" si="99"/>
        <v>749031.43949999998</v>
      </c>
      <c r="I751" s="5">
        <v>44550</v>
      </c>
      <c r="J751" s="4">
        <v>6938.49</v>
      </c>
      <c r="K751" s="4">
        <f t="shared" si="100"/>
        <v>69384.899999999994</v>
      </c>
      <c r="L751" s="1">
        <v>44550</v>
      </c>
      <c r="M751">
        <v>4.82</v>
      </c>
      <c r="P751" s="1">
        <v>44550</v>
      </c>
      <c r="Q751">
        <v>4.83</v>
      </c>
      <c r="R751" s="1">
        <v>44547</v>
      </c>
      <c r="S751">
        <v>4.84</v>
      </c>
      <c r="V751" s="1">
        <v>44547</v>
      </c>
      <c r="W751">
        <v>4.9000000000000004</v>
      </c>
      <c r="X751" s="1">
        <v>44550</v>
      </c>
      <c r="Y751">
        <f>NETWORKDAYS(X751,$Z$1,FERIADO!$A$2:$A$408)</f>
        <v>2280</v>
      </c>
      <c r="Z751">
        <v>10.56</v>
      </c>
      <c r="AA751" s="6">
        <f t="shared" si="101"/>
        <v>40321.959869935454</v>
      </c>
      <c r="AB751" s="2">
        <f t="shared" si="102"/>
        <v>5.1476776019281547E-3</v>
      </c>
      <c r="AJ751" s="1">
        <v>44550</v>
      </c>
      <c r="AK751">
        <f>NETWORKDAYS(AJ751,$AJ$1,FERIADO!$A$2:$A$408)</f>
        <v>1267</v>
      </c>
      <c r="AL751">
        <v>10.46</v>
      </c>
      <c r="AM751" s="6">
        <f t="shared" si="103"/>
        <v>60642.160509907982</v>
      </c>
      <c r="AN751" s="2">
        <f t="shared" si="104"/>
        <v>3.3344808339960982E-3</v>
      </c>
      <c r="AP751" s="11">
        <f t="shared" si="105"/>
        <v>2.5738388009640773E-3</v>
      </c>
      <c r="AQ751" s="11">
        <f t="shared" si="106"/>
        <v>1.0003442501988293E-3</v>
      </c>
      <c r="AR751" s="11">
        <f t="shared" si="107"/>
        <v>3.5741830511629067E-3</v>
      </c>
    </row>
    <row r="752" spans="2:44" x14ac:dyDescent="0.35">
      <c r="B752" s="1">
        <v>44547</v>
      </c>
      <c r="C752">
        <v>5057.5600000000004</v>
      </c>
      <c r="D752" s="1">
        <v>44551</v>
      </c>
      <c r="E752">
        <v>5.7366999999999999</v>
      </c>
      <c r="F752" s="1">
        <v>44545</v>
      </c>
      <c r="G752">
        <v>130.405</v>
      </c>
      <c r="H752" s="4">
        <f t="shared" si="99"/>
        <v>748094.36349999998</v>
      </c>
      <c r="I752" s="5">
        <v>44547</v>
      </c>
      <c r="J752" s="4">
        <v>6880.04</v>
      </c>
      <c r="K752" s="4">
        <f t="shared" si="100"/>
        <v>68800.399999999994</v>
      </c>
      <c r="L752" s="1">
        <v>44547</v>
      </c>
      <c r="M752">
        <v>4.83</v>
      </c>
      <c r="P752" s="1">
        <v>44547</v>
      </c>
      <c r="Q752">
        <v>4.8499999999999996</v>
      </c>
      <c r="R752" s="1">
        <v>44546</v>
      </c>
      <c r="S752">
        <v>4.79</v>
      </c>
      <c r="V752" s="1">
        <v>44546</v>
      </c>
      <c r="W752">
        <v>4.83</v>
      </c>
      <c r="X752" s="1">
        <v>44547</v>
      </c>
      <c r="Y752">
        <f>NETWORKDAYS(X752,$Z$1,FERIADO!$A$2:$A$408)</f>
        <v>2281</v>
      </c>
      <c r="Z752">
        <v>10.7</v>
      </c>
      <c r="AA752" s="6">
        <f t="shared" si="101"/>
        <v>39846.846376708265</v>
      </c>
      <c r="AB752" s="2">
        <f t="shared" si="102"/>
        <v>-5.157391924391702E-3</v>
      </c>
      <c r="AJ752" s="1">
        <v>44547</v>
      </c>
      <c r="AK752">
        <f>NETWORKDAYS(AJ752,$AJ$1,FERIADO!$A$2:$A$408)</f>
        <v>1268</v>
      </c>
      <c r="AL752">
        <v>10.62</v>
      </c>
      <c r="AM752" s="6">
        <f t="shared" si="103"/>
        <v>60178.337375816001</v>
      </c>
      <c r="AN752" s="2">
        <f t="shared" si="104"/>
        <v>-2.3976983122776961E-3</v>
      </c>
      <c r="AP752" s="11">
        <f t="shared" si="105"/>
        <v>-2.578695962195851E-3</v>
      </c>
      <c r="AQ752" s="11">
        <f t="shared" si="106"/>
        <v>-7.1930949368330876E-4</v>
      </c>
      <c r="AR752" s="11">
        <f t="shared" si="107"/>
        <v>-3.2980054558791596E-3</v>
      </c>
    </row>
    <row r="753" spans="2:44" x14ac:dyDescent="0.35">
      <c r="B753" s="1">
        <v>44546</v>
      </c>
      <c r="C753">
        <v>5103.1000000000004</v>
      </c>
      <c r="D753" s="1">
        <v>44550</v>
      </c>
      <c r="E753">
        <v>5.7049000000000003</v>
      </c>
      <c r="F753" s="1">
        <v>44544</v>
      </c>
      <c r="G753">
        <v>130.59700000000001</v>
      </c>
      <c r="H753" s="4">
        <f t="shared" si="99"/>
        <v>745042.82530000014</v>
      </c>
      <c r="I753" s="5">
        <v>44546</v>
      </c>
      <c r="J753" s="4">
        <v>6877.03</v>
      </c>
      <c r="K753" s="4">
        <f t="shared" si="100"/>
        <v>68770.3</v>
      </c>
      <c r="L753" s="1">
        <v>44546</v>
      </c>
      <c r="M753">
        <v>4.7699999999999996</v>
      </c>
      <c r="P753" s="1">
        <v>44546</v>
      </c>
      <c r="Q753">
        <v>4.8</v>
      </c>
      <c r="R753" s="1">
        <v>44545</v>
      </c>
      <c r="S753">
        <v>4.7300000000000004</v>
      </c>
      <c r="V753" s="1">
        <v>44545</v>
      </c>
      <c r="W753">
        <v>4.78</v>
      </c>
      <c r="X753" s="1">
        <v>44546</v>
      </c>
      <c r="Y753">
        <f>NETWORKDAYS(X753,$Z$1,FERIADO!$A$2:$A$408)</f>
        <v>2282</v>
      </c>
      <c r="Z753">
        <v>10.55</v>
      </c>
      <c r="AA753" s="6">
        <f t="shared" si="101"/>
        <v>40322.861803802181</v>
      </c>
      <c r="AB753" s="2">
        <f t="shared" si="102"/>
        <v>-3.3877826420757508E-3</v>
      </c>
      <c r="AJ753" s="1">
        <v>44546</v>
      </c>
      <c r="AK753">
        <f>NETWORKDAYS(AJ753,$AJ$1,FERIADO!$A$2:$A$408)</f>
        <v>1269</v>
      </c>
      <c r="AL753">
        <v>10.49</v>
      </c>
      <c r="AM753" s="6">
        <f t="shared" si="103"/>
        <v>60511.495042479852</v>
      </c>
      <c r="AN753" s="2">
        <f t="shared" si="104"/>
        <v>-1.809889366362345E-3</v>
      </c>
      <c r="AP753" s="11">
        <f t="shared" si="105"/>
        <v>-1.6938913210378754E-3</v>
      </c>
      <c r="AQ753" s="11">
        <f t="shared" si="106"/>
        <v>-5.4296680990870345E-4</v>
      </c>
      <c r="AR753" s="11">
        <f t="shared" si="107"/>
        <v>-2.2368581309465787E-3</v>
      </c>
    </row>
    <row r="754" spans="2:44" x14ac:dyDescent="0.35">
      <c r="B754" s="1">
        <v>44545</v>
      </c>
      <c r="C754">
        <v>5141.5</v>
      </c>
      <c r="D754" s="1">
        <v>44547</v>
      </c>
      <c r="E754">
        <v>5.6952999999999996</v>
      </c>
      <c r="F754" s="1">
        <v>44543</v>
      </c>
      <c r="G754">
        <v>130.869</v>
      </c>
      <c r="H754" s="4">
        <f t="shared" si="99"/>
        <v>745338.21569999994</v>
      </c>
      <c r="I754" s="5">
        <v>44545</v>
      </c>
      <c r="J754" s="4">
        <v>6873.41</v>
      </c>
      <c r="K754" s="4">
        <f t="shared" si="100"/>
        <v>68734.100000000006</v>
      </c>
      <c r="L754" s="1">
        <v>44545</v>
      </c>
      <c r="M754">
        <v>4.7</v>
      </c>
      <c r="P754" s="1">
        <v>44545</v>
      </c>
      <c r="Q754">
        <v>4.72</v>
      </c>
      <c r="R754" s="1">
        <v>44544</v>
      </c>
      <c r="S754">
        <v>4.7300000000000004</v>
      </c>
      <c r="V754" s="1">
        <v>44544</v>
      </c>
      <c r="W754">
        <v>4.76</v>
      </c>
      <c r="X754" s="1">
        <v>44545</v>
      </c>
      <c r="Y754">
        <f>NETWORKDAYS(X754,$Z$1,FERIADO!$A$2:$A$408)</f>
        <v>2283</v>
      </c>
      <c r="Z754">
        <v>10.45</v>
      </c>
      <c r="AA754" s="6">
        <f t="shared" si="101"/>
        <v>40638.636675263049</v>
      </c>
      <c r="AB754" s="2">
        <f t="shared" si="102"/>
        <v>1.712925405057675E-4</v>
      </c>
      <c r="AJ754" s="1">
        <v>44545</v>
      </c>
      <c r="AK754">
        <f>NETWORKDAYS(AJ754,$AJ$1,FERIADO!$A$2:$A$408)</f>
        <v>1270</v>
      </c>
      <c r="AL754">
        <v>10.39</v>
      </c>
      <c r="AM754" s="6">
        <f t="shared" si="103"/>
        <v>60764.198310967739</v>
      </c>
      <c r="AN754" s="2">
        <f t="shared" si="104"/>
        <v>-4.2500420209510534E-4</v>
      </c>
      <c r="AP754" s="11">
        <f t="shared" si="105"/>
        <v>8.5646270252883751E-5</v>
      </c>
      <c r="AQ754" s="11">
        <f t="shared" si="106"/>
        <v>-1.2750126062853159E-4</v>
      </c>
      <c r="AR754" s="11">
        <f t="shared" si="107"/>
        <v>-4.1854990375647834E-5</v>
      </c>
    </row>
    <row r="755" spans="2:44" x14ac:dyDescent="0.35">
      <c r="B755" s="1">
        <v>44544</v>
      </c>
      <c r="C755">
        <v>5054.26</v>
      </c>
      <c r="D755" s="1">
        <v>44546</v>
      </c>
      <c r="E755">
        <v>5.6957000000000004</v>
      </c>
      <c r="F755" s="1">
        <v>44540</v>
      </c>
      <c r="G755">
        <v>130.42099999999999</v>
      </c>
      <c r="H755" s="4">
        <f t="shared" si="99"/>
        <v>742838.88969999994</v>
      </c>
      <c r="I755" s="5">
        <v>44544</v>
      </c>
      <c r="J755" s="4">
        <v>6872.81</v>
      </c>
      <c r="K755" s="4">
        <f t="shared" si="100"/>
        <v>68728.100000000006</v>
      </c>
      <c r="L755" s="1">
        <v>44544</v>
      </c>
      <c r="M755">
        <v>4.6900000000000004</v>
      </c>
      <c r="P755" s="1">
        <v>44544</v>
      </c>
      <c r="Q755">
        <v>4.6900000000000004</v>
      </c>
      <c r="R755" s="1">
        <v>44543</v>
      </c>
      <c r="S755">
        <v>4.74</v>
      </c>
      <c r="V755" s="1">
        <v>44543</v>
      </c>
      <c r="W755">
        <v>4.76</v>
      </c>
      <c r="X755" s="1">
        <v>44544</v>
      </c>
      <c r="Y755">
        <f>NETWORKDAYS(X755,$Z$1,FERIADO!$A$2:$A$408)</f>
        <v>2284</v>
      </c>
      <c r="Z755">
        <v>10.45</v>
      </c>
      <c r="AA755" s="6">
        <f t="shared" si="101"/>
        <v>40622.611321483986</v>
      </c>
      <c r="AB755" s="2">
        <f t="shared" si="102"/>
        <v>2.3099319743605513E-3</v>
      </c>
      <c r="AJ755" s="1">
        <v>44544</v>
      </c>
      <c r="AK755">
        <f>NETWORKDAYS(AJ755,$AJ$1,FERIADO!$A$2:$A$408)</f>
        <v>1271</v>
      </c>
      <c r="AL755">
        <v>10.36</v>
      </c>
      <c r="AM755" s="6">
        <f t="shared" si="103"/>
        <v>60823.69176786927</v>
      </c>
      <c r="AN755" s="2">
        <f t="shared" si="104"/>
        <v>2.7506432538690973E-3</v>
      </c>
      <c r="AP755" s="11">
        <f t="shared" si="105"/>
        <v>1.1549659871802757E-3</v>
      </c>
      <c r="AQ755" s="11">
        <f t="shared" si="106"/>
        <v>8.2519297616072916E-4</v>
      </c>
      <c r="AR755" s="11">
        <f t="shared" si="107"/>
        <v>1.9801589633410047E-3</v>
      </c>
    </row>
    <row r="756" spans="2:44" x14ac:dyDescent="0.35">
      <c r="B756" s="1">
        <v>44543</v>
      </c>
      <c r="C756">
        <v>5102.57</v>
      </c>
      <c r="D756" s="1">
        <v>44545</v>
      </c>
      <c r="E756">
        <v>5.7121000000000004</v>
      </c>
      <c r="F756" s="1">
        <v>44539</v>
      </c>
      <c r="G756">
        <v>130.346</v>
      </c>
      <c r="H756" s="4">
        <f t="shared" si="99"/>
        <v>744549.38660000009</v>
      </c>
      <c r="I756" s="5">
        <v>44543</v>
      </c>
      <c r="J756" s="4">
        <v>6874.62</v>
      </c>
      <c r="K756" s="4">
        <f t="shared" si="100"/>
        <v>68746.2</v>
      </c>
      <c r="L756" s="1">
        <v>44543</v>
      </c>
      <c r="M756">
        <v>4.71</v>
      </c>
      <c r="P756" s="1">
        <v>44543</v>
      </c>
      <c r="Q756">
        <v>4.7</v>
      </c>
      <c r="R756" s="1">
        <v>44540</v>
      </c>
      <c r="S756">
        <v>4.6500000000000004</v>
      </c>
      <c r="V756" s="1">
        <v>44540</v>
      </c>
      <c r="W756">
        <v>4.6900000000000004</v>
      </c>
      <c r="X756" s="1">
        <v>44543</v>
      </c>
      <c r="Y756">
        <f>NETWORKDAYS(X756,$Z$1,FERIADO!$A$2:$A$408)</f>
        <v>2285</v>
      </c>
      <c r="Z756">
        <v>10.51</v>
      </c>
      <c r="AA756" s="6">
        <f t="shared" si="101"/>
        <v>40407.12075512782</v>
      </c>
      <c r="AB756" s="2">
        <f t="shared" si="102"/>
        <v>-1.6106702943502235E-3</v>
      </c>
      <c r="AJ756" s="1">
        <v>44543</v>
      </c>
      <c r="AK756">
        <f>NETWORKDAYS(AJ756,$AJ$1,FERIADO!$A$2:$A$408)</f>
        <v>1272</v>
      </c>
      <c r="AL756">
        <v>10.49</v>
      </c>
      <c r="AM756" s="6">
        <f t="shared" si="103"/>
        <v>60439.676813026374</v>
      </c>
      <c r="AN756" s="2">
        <f t="shared" si="104"/>
        <v>-2.8084893984483194E-3</v>
      </c>
      <c r="AP756" s="11">
        <f t="shared" si="105"/>
        <v>-8.0533514717511174E-4</v>
      </c>
      <c r="AQ756" s="11">
        <f t="shared" si="106"/>
        <v>-8.4254681953449583E-4</v>
      </c>
      <c r="AR756" s="11">
        <f t="shared" si="107"/>
        <v>-1.6478819667096077E-3</v>
      </c>
    </row>
    <row r="757" spans="2:44" x14ac:dyDescent="0.35">
      <c r="B757" s="1">
        <v>44540</v>
      </c>
      <c r="C757">
        <v>5138.8100000000004</v>
      </c>
      <c r="D757" s="1">
        <v>44544</v>
      </c>
      <c r="E757">
        <v>5.6455000000000002</v>
      </c>
      <c r="F757" s="1">
        <v>44538</v>
      </c>
      <c r="G757">
        <v>130.08600000000001</v>
      </c>
      <c r="H757" s="4">
        <f t="shared" si="99"/>
        <v>734400.51300000004</v>
      </c>
      <c r="I757" s="5">
        <v>44540</v>
      </c>
      <c r="J757" s="4">
        <v>6795.08</v>
      </c>
      <c r="K757" s="4">
        <f t="shared" si="100"/>
        <v>67950.8</v>
      </c>
      <c r="L757" s="1">
        <v>44540</v>
      </c>
      <c r="M757">
        <v>4.62</v>
      </c>
      <c r="P757" s="1">
        <v>44540</v>
      </c>
      <c r="Q757">
        <v>4.62</v>
      </c>
      <c r="R757" s="1">
        <v>44539</v>
      </c>
      <c r="S757">
        <v>4.7699999999999996</v>
      </c>
      <c r="V757" s="1">
        <v>44539</v>
      </c>
      <c r="W757">
        <v>4.8</v>
      </c>
      <c r="X757" s="1">
        <v>44540</v>
      </c>
      <c r="Y757">
        <f>NETWORKDAYS(X757,$Z$1,FERIADO!$A$2:$A$408)</f>
        <v>2286</v>
      </c>
      <c r="Z757">
        <v>10.46</v>
      </c>
      <c r="AA757" s="6">
        <f t="shared" si="101"/>
        <v>40557.257096097172</v>
      </c>
      <c r="AB757" s="2">
        <f t="shared" si="102"/>
        <v>7.3013252623200945E-3</v>
      </c>
      <c r="AJ757" s="1">
        <v>44540</v>
      </c>
      <c r="AK757">
        <f>NETWORKDAYS(AJ757,$AJ$1,FERIADO!$A$2:$A$408)</f>
        <v>1273</v>
      </c>
      <c r="AL757">
        <v>10.34</v>
      </c>
      <c r="AM757" s="6">
        <f t="shared" si="103"/>
        <v>60831.793759821194</v>
      </c>
      <c r="AN757" s="2">
        <f t="shared" si="104"/>
        <v>5.3370980144712542E-3</v>
      </c>
      <c r="AP757" s="11">
        <f t="shared" si="105"/>
        <v>3.6506626311600472E-3</v>
      </c>
      <c r="AQ757" s="11">
        <f t="shared" si="106"/>
        <v>1.6011294043413763E-3</v>
      </c>
      <c r="AR757" s="11">
        <f t="shared" si="107"/>
        <v>5.2517920355014238E-3</v>
      </c>
    </row>
    <row r="758" spans="2:44" x14ac:dyDescent="0.35">
      <c r="B758" s="1">
        <v>44539</v>
      </c>
      <c r="C758">
        <v>5095.07</v>
      </c>
      <c r="D758" s="1">
        <v>44543</v>
      </c>
      <c r="E758">
        <v>5.6351000000000004</v>
      </c>
      <c r="F758" s="1">
        <v>44537</v>
      </c>
      <c r="G758">
        <v>130.39099999999999</v>
      </c>
      <c r="H758" s="4">
        <f t="shared" si="99"/>
        <v>734766.32409999997</v>
      </c>
      <c r="I758" s="5">
        <v>44539</v>
      </c>
      <c r="J758" s="4">
        <v>6746.88</v>
      </c>
      <c r="K758" s="4">
        <f t="shared" si="100"/>
        <v>67468.800000000003</v>
      </c>
      <c r="L758" s="1">
        <v>44539</v>
      </c>
      <c r="M758">
        <v>4.74</v>
      </c>
      <c r="P758" s="1">
        <v>44539</v>
      </c>
      <c r="Q758">
        <v>4.76</v>
      </c>
      <c r="R758" s="1">
        <v>44538</v>
      </c>
      <c r="S758">
        <v>4.74</v>
      </c>
      <c r="V758" s="1">
        <v>44538</v>
      </c>
      <c r="W758">
        <v>4.79</v>
      </c>
      <c r="X758" s="1">
        <v>44539</v>
      </c>
      <c r="Y758">
        <f>NETWORKDAYS(X758,$Z$1,FERIADO!$A$2:$A$408)</f>
        <v>2287</v>
      </c>
      <c r="Z758">
        <v>10.66</v>
      </c>
      <c r="AA758" s="6">
        <f t="shared" si="101"/>
        <v>39881.111206220769</v>
      </c>
      <c r="AB758" s="2">
        <f t="shared" si="102"/>
        <v>4.8041025426003459E-3</v>
      </c>
      <c r="AJ758" s="1">
        <v>44539</v>
      </c>
      <c r="AK758">
        <f>NETWORKDAYS(AJ758,$AJ$1,FERIADO!$A$2:$A$408)</f>
        <v>1274</v>
      </c>
      <c r="AL758">
        <v>10.6</v>
      </c>
      <c r="AM758" s="6">
        <f t="shared" si="103"/>
        <v>60088.799131535307</v>
      </c>
      <c r="AN758" s="2">
        <f t="shared" si="104"/>
        <v>1.7624408324132827E-3</v>
      </c>
      <c r="AP758" s="11">
        <f t="shared" si="105"/>
        <v>2.402051271300173E-3</v>
      </c>
      <c r="AQ758" s="11">
        <f t="shared" si="106"/>
        <v>5.2873224972398484E-4</v>
      </c>
      <c r="AR758" s="11">
        <f t="shared" si="107"/>
        <v>2.930783521024158E-3</v>
      </c>
    </row>
    <row r="759" spans="2:44" x14ac:dyDescent="0.35">
      <c r="B759" s="1">
        <v>44538</v>
      </c>
      <c r="C759">
        <v>5133.6400000000003</v>
      </c>
      <c r="D759" s="1">
        <v>44540</v>
      </c>
      <c r="E759">
        <v>5.5925000000000002</v>
      </c>
      <c r="F759" s="1">
        <v>44536</v>
      </c>
      <c r="G759">
        <v>130.703</v>
      </c>
      <c r="H759" s="4">
        <f t="shared" si="99"/>
        <v>730956.52749999997</v>
      </c>
      <c r="I759" s="5">
        <v>44538</v>
      </c>
      <c r="J759" s="4">
        <v>6700.48</v>
      </c>
      <c r="K759" s="4">
        <f t="shared" si="100"/>
        <v>67004.799999999988</v>
      </c>
      <c r="L759" s="1">
        <v>44538</v>
      </c>
      <c r="M759">
        <v>4.66</v>
      </c>
      <c r="P759" s="1">
        <v>44538</v>
      </c>
      <c r="Q759">
        <v>4.72</v>
      </c>
      <c r="R759" s="1">
        <v>44537</v>
      </c>
      <c r="S759">
        <v>4.8099999999999996</v>
      </c>
      <c r="V759" s="1">
        <v>44537</v>
      </c>
      <c r="W759">
        <v>4.8600000000000003</v>
      </c>
      <c r="X759" s="1">
        <v>44538</v>
      </c>
      <c r="Y759">
        <f>NETWORKDAYS(X759,$Z$1,FERIADO!$A$2:$A$408)</f>
        <v>2288</v>
      </c>
      <c r="Z759">
        <v>10.79</v>
      </c>
      <c r="AA759" s="6">
        <f t="shared" si="101"/>
        <v>39442.383187380619</v>
      </c>
      <c r="AB759" s="2">
        <f t="shared" si="102"/>
        <v>5.8695159928060896E-3</v>
      </c>
      <c r="AJ759" s="1">
        <v>44538</v>
      </c>
      <c r="AK759">
        <f>NETWORKDAYS(AJ759,$AJ$1,FERIADO!$A$2:$A$408)</f>
        <v>1275</v>
      </c>
      <c r="AL759">
        <v>10.68</v>
      </c>
      <c r="AM759" s="6">
        <f t="shared" si="103"/>
        <v>59845.442695159203</v>
      </c>
      <c r="AN759" s="2">
        <f t="shared" si="104"/>
        <v>3.549932932464746E-3</v>
      </c>
      <c r="AP759" s="11">
        <f t="shared" si="105"/>
        <v>2.9347579964030448E-3</v>
      </c>
      <c r="AQ759" s="11">
        <f t="shared" si="106"/>
        <v>1.0649798797394239E-3</v>
      </c>
      <c r="AR759" s="11">
        <f t="shared" si="107"/>
        <v>3.9997378761424691E-3</v>
      </c>
    </row>
    <row r="760" spans="2:44" x14ac:dyDescent="0.35">
      <c r="B760" s="1">
        <v>44537</v>
      </c>
      <c r="C760">
        <v>5109.6400000000003</v>
      </c>
      <c r="D760" s="1">
        <v>44539</v>
      </c>
      <c r="E760">
        <v>5.5557999999999996</v>
      </c>
      <c r="F760" s="1">
        <v>44533</v>
      </c>
      <c r="G760">
        <v>131.4</v>
      </c>
      <c r="H760" s="4">
        <f t="shared" si="99"/>
        <v>730032.12</v>
      </c>
      <c r="I760" s="5">
        <v>44537</v>
      </c>
      <c r="J760" s="4">
        <v>6810.15</v>
      </c>
      <c r="K760" s="4">
        <f t="shared" si="100"/>
        <v>68101.5</v>
      </c>
      <c r="L760" s="1">
        <v>44537</v>
      </c>
      <c r="M760">
        <v>4.71</v>
      </c>
      <c r="P760" s="1">
        <v>44537</v>
      </c>
      <c r="Q760">
        <v>4.76</v>
      </c>
      <c r="R760" s="1">
        <v>44536</v>
      </c>
      <c r="S760">
        <v>4.84</v>
      </c>
      <c r="V760" s="1">
        <v>44536</v>
      </c>
      <c r="W760">
        <v>4.8899999999999997</v>
      </c>
      <c r="X760" s="1">
        <v>44537</v>
      </c>
      <c r="Y760">
        <f>NETWORKDAYS(X760,$Z$1,FERIADO!$A$2:$A$408)</f>
        <v>2289</v>
      </c>
      <c r="Z760">
        <v>10.95</v>
      </c>
      <c r="AA760" s="6">
        <f t="shared" si="101"/>
        <v>38912.903048289161</v>
      </c>
      <c r="AB760" s="2">
        <f t="shared" si="102"/>
        <v>2.3127394521929258E-3</v>
      </c>
      <c r="AJ760" s="1">
        <v>44537</v>
      </c>
      <c r="AK760">
        <f>NETWORKDAYS(AJ760,$AJ$1,FERIADO!$A$2:$A$408)</f>
        <v>1276</v>
      </c>
      <c r="AL760">
        <v>10.85</v>
      </c>
      <c r="AM760" s="6">
        <f t="shared" si="103"/>
        <v>59358.258530765634</v>
      </c>
      <c r="AN760" s="2">
        <f t="shared" si="104"/>
        <v>1.9636204100394756E-3</v>
      </c>
      <c r="AP760" s="11">
        <f t="shared" si="105"/>
        <v>1.1563697260964629E-3</v>
      </c>
      <c r="AQ760" s="11">
        <f t="shared" si="106"/>
        <v>5.8908612301184263E-4</v>
      </c>
      <c r="AR760" s="11">
        <f t="shared" si="107"/>
        <v>1.7454558491083055E-3</v>
      </c>
    </row>
    <row r="761" spans="2:44" x14ac:dyDescent="0.35">
      <c r="B761" s="1">
        <v>44536</v>
      </c>
      <c r="C761">
        <v>5020.88</v>
      </c>
      <c r="D761" s="1">
        <v>44538</v>
      </c>
      <c r="E761">
        <v>5.5773000000000001</v>
      </c>
      <c r="F761" s="1">
        <v>44532</v>
      </c>
      <c r="G761">
        <v>130.59399999999999</v>
      </c>
      <c r="H761" s="4">
        <f t="shared" si="99"/>
        <v>728361.91619999998</v>
      </c>
      <c r="I761" s="5">
        <v>44536</v>
      </c>
      <c r="J761" s="4">
        <v>6898.12</v>
      </c>
      <c r="K761" s="4">
        <f t="shared" si="100"/>
        <v>68981.2</v>
      </c>
      <c r="L761" s="1">
        <v>44536</v>
      </c>
      <c r="M761">
        <v>4.7</v>
      </c>
      <c r="P761" s="1">
        <v>44536</v>
      </c>
      <c r="Q761">
        <v>4.7699999999999996</v>
      </c>
      <c r="R761" s="1">
        <v>44533</v>
      </c>
      <c r="S761">
        <v>4.7300000000000004</v>
      </c>
      <c r="V761" s="1">
        <v>44533</v>
      </c>
      <c r="W761">
        <v>4.82</v>
      </c>
      <c r="X761" s="1">
        <v>44536</v>
      </c>
      <c r="Y761">
        <f>NETWORKDAYS(X761,$Z$1,FERIADO!$A$2:$A$408)</f>
        <v>2290</v>
      </c>
      <c r="Z761">
        <v>11.01</v>
      </c>
      <c r="AA761" s="6">
        <f t="shared" si="101"/>
        <v>38706.231747431368</v>
      </c>
      <c r="AB761" s="2">
        <f t="shared" si="102"/>
        <v>1.8000834386243126E-4</v>
      </c>
      <c r="AJ761" s="1">
        <v>44536</v>
      </c>
      <c r="AK761">
        <f>NETWORKDAYS(AJ761,$AJ$1,FERIADO!$A$2:$A$408)</f>
        <v>1277</v>
      </c>
      <c r="AL761">
        <v>10.94</v>
      </c>
      <c r="AM761" s="6">
        <f t="shared" si="103"/>
        <v>59090.481737148853</v>
      </c>
      <c r="AN761" s="2">
        <f t="shared" si="104"/>
        <v>5.759457824803634E-4</v>
      </c>
      <c r="AP761" s="11">
        <f t="shared" si="105"/>
        <v>9.000417193121563E-5</v>
      </c>
      <c r="AQ761" s="11">
        <f t="shared" si="106"/>
        <v>1.7278373474410901E-4</v>
      </c>
      <c r="AR761" s="11">
        <f t="shared" si="107"/>
        <v>2.6278790667532467E-4</v>
      </c>
    </row>
    <row r="762" spans="2:44" x14ac:dyDescent="0.35">
      <c r="B762" s="1">
        <v>44533</v>
      </c>
      <c r="C762">
        <v>4947.8500000000004</v>
      </c>
      <c r="D762" s="1">
        <v>44537</v>
      </c>
      <c r="E762">
        <v>5.6405000000000003</v>
      </c>
      <c r="F762" s="1">
        <v>44531</v>
      </c>
      <c r="G762">
        <v>130.91999999999999</v>
      </c>
      <c r="H762" s="4">
        <f t="shared" si="99"/>
        <v>738454.26</v>
      </c>
      <c r="I762" s="5">
        <v>44533</v>
      </c>
      <c r="J762" s="4">
        <v>6851.72</v>
      </c>
      <c r="K762" s="4">
        <f t="shared" si="100"/>
        <v>68517.2</v>
      </c>
      <c r="L762" s="1">
        <v>44533</v>
      </c>
      <c r="M762">
        <v>4.5999999999999996</v>
      </c>
      <c r="P762" s="1">
        <v>44533</v>
      </c>
      <c r="Q762">
        <v>4.71</v>
      </c>
      <c r="R762" s="1">
        <v>44532</v>
      </c>
      <c r="S762">
        <v>4.87</v>
      </c>
      <c r="V762" s="1">
        <v>44532</v>
      </c>
      <c r="W762">
        <v>4.8899999999999997</v>
      </c>
      <c r="X762" s="1">
        <v>44533</v>
      </c>
      <c r="Y762">
        <f>NETWORKDAYS(X762,$Z$1,FERIADO!$A$2:$A$408)</f>
        <v>2291</v>
      </c>
      <c r="Z762">
        <v>11.01</v>
      </c>
      <c r="AA762" s="6">
        <f t="shared" si="101"/>
        <v>38690.191937544885</v>
      </c>
      <c r="AB762" s="2">
        <f t="shared" si="102"/>
        <v>1.0130560439843164E-2</v>
      </c>
      <c r="AJ762" s="1">
        <v>44533</v>
      </c>
      <c r="AK762">
        <f>NETWORKDAYS(AJ762,$AJ$1,FERIADO!$A$2:$A$408)</f>
        <v>1278</v>
      </c>
      <c r="AL762">
        <v>10.96</v>
      </c>
      <c r="AM762" s="6">
        <f t="shared" si="103"/>
        <v>59012.169995887227</v>
      </c>
      <c r="AN762" s="2">
        <f t="shared" si="104"/>
        <v>6.3287856602330913E-3</v>
      </c>
      <c r="AP762" s="11">
        <f t="shared" si="105"/>
        <v>5.0652802199215819E-3</v>
      </c>
      <c r="AQ762" s="11">
        <f t="shared" si="106"/>
        <v>1.8986356980699272E-3</v>
      </c>
      <c r="AR762" s="11">
        <f t="shared" si="107"/>
        <v>6.9639159179915094E-3</v>
      </c>
    </row>
    <row r="763" spans="2:44" x14ac:dyDescent="0.35">
      <c r="B763" s="1">
        <v>44532</v>
      </c>
      <c r="C763">
        <v>5004.45</v>
      </c>
      <c r="D763" s="1">
        <v>44536</v>
      </c>
      <c r="E763">
        <v>5.6871</v>
      </c>
      <c r="F763" s="1">
        <v>44530</v>
      </c>
      <c r="G763">
        <v>130.87100000000001</v>
      </c>
      <c r="H763" s="4">
        <f t="shared" si="99"/>
        <v>744276.4641000001</v>
      </c>
      <c r="I763" s="5">
        <v>44532</v>
      </c>
      <c r="J763" s="4">
        <v>6843.89</v>
      </c>
      <c r="K763" s="4">
        <f t="shared" si="100"/>
        <v>68438.900000000009</v>
      </c>
      <c r="L763" s="1">
        <v>44532</v>
      </c>
      <c r="M763">
        <v>4.79</v>
      </c>
      <c r="P763" s="1">
        <v>44532</v>
      </c>
      <c r="Q763">
        <v>4.88</v>
      </c>
      <c r="R763" s="1">
        <v>44531</v>
      </c>
      <c r="S763">
        <v>4.88</v>
      </c>
      <c r="V763" s="1">
        <v>44531</v>
      </c>
      <c r="W763">
        <v>4.92</v>
      </c>
      <c r="X763" s="1">
        <v>44532</v>
      </c>
      <c r="Y763">
        <f>NETWORKDAYS(X763,$Z$1,FERIADO!$A$2:$A$408)</f>
        <v>2292</v>
      </c>
      <c r="Z763">
        <v>11.29</v>
      </c>
      <c r="AA763" s="6">
        <f t="shared" si="101"/>
        <v>37798.130818468766</v>
      </c>
      <c r="AB763" s="2">
        <f t="shared" si="102"/>
        <v>4.443067856387841E-3</v>
      </c>
      <c r="AJ763" s="1">
        <v>44532</v>
      </c>
      <c r="AK763">
        <f>NETWORKDAYS(AJ763,$AJ$1,FERIADO!$A$2:$A$408)</f>
        <v>1279</v>
      </c>
      <c r="AL763">
        <v>11.27</v>
      </c>
      <c r="AM763" s="6">
        <f t="shared" si="103"/>
        <v>58158.44674209955</v>
      </c>
      <c r="AN763" s="2">
        <f t="shared" si="104"/>
        <v>3.1558042231832383E-3</v>
      </c>
      <c r="AP763" s="11">
        <f t="shared" si="105"/>
        <v>2.2215339281939205E-3</v>
      </c>
      <c r="AQ763" s="11">
        <f t="shared" si="106"/>
        <v>9.4674126695497144E-4</v>
      </c>
      <c r="AR763" s="11">
        <f t="shared" si="107"/>
        <v>3.1682751951488917E-3</v>
      </c>
    </row>
    <row r="764" spans="2:44" x14ac:dyDescent="0.35">
      <c r="B764" s="1">
        <v>44531</v>
      </c>
      <c r="C764">
        <v>4908.75</v>
      </c>
      <c r="D764" s="1">
        <v>44533</v>
      </c>
      <c r="E764">
        <v>5.6425999999999998</v>
      </c>
      <c r="F764" s="1">
        <v>44529</v>
      </c>
      <c r="G764">
        <v>130.32900000000001</v>
      </c>
      <c r="H764" s="4">
        <f t="shared" si="99"/>
        <v>735394.41540000006</v>
      </c>
      <c r="I764" s="5">
        <v>44531</v>
      </c>
      <c r="J764" s="4">
        <v>6905.35</v>
      </c>
      <c r="K764" s="4">
        <f t="shared" si="100"/>
        <v>69053.5</v>
      </c>
      <c r="L764" s="1">
        <v>44531</v>
      </c>
      <c r="M764">
        <v>4.8600000000000003</v>
      </c>
      <c r="P764" s="1">
        <v>44531</v>
      </c>
      <c r="Q764">
        <v>4.88</v>
      </c>
      <c r="R764" s="1">
        <v>44530</v>
      </c>
      <c r="S764">
        <v>4.82</v>
      </c>
      <c r="V764" s="1">
        <v>44530</v>
      </c>
      <c r="W764">
        <v>4.83</v>
      </c>
      <c r="X764" s="1">
        <v>44531</v>
      </c>
      <c r="Y764">
        <f>NETWORKDAYS(X764,$Z$1,FERIADO!$A$2:$A$408)</f>
        <v>2293</v>
      </c>
      <c r="Z764">
        <v>11.41</v>
      </c>
      <c r="AA764" s="6">
        <f t="shared" si="101"/>
        <v>37413.406783884522</v>
      </c>
      <c r="AB764" s="2">
        <f t="shared" si="102"/>
        <v>-8.7850641742111052E-4</v>
      </c>
      <c r="AJ764" s="1">
        <v>44531</v>
      </c>
      <c r="AK764">
        <f>NETWORKDAYS(AJ764,$AJ$1,FERIADO!$A$2:$A$408)</f>
        <v>1280</v>
      </c>
      <c r="AL764">
        <v>11.42</v>
      </c>
      <c r="AM764" s="6">
        <f t="shared" si="103"/>
        <v>57737.369670215041</v>
      </c>
      <c r="AN764" s="2">
        <f t="shared" si="104"/>
        <v>-6.0633617318089938E-4</v>
      </c>
      <c r="AP764" s="11">
        <f t="shared" si="105"/>
        <v>-4.3925320871055526E-4</v>
      </c>
      <c r="AQ764" s="11">
        <f t="shared" si="106"/>
        <v>-1.819008519542698E-4</v>
      </c>
      <c r="AR764" s="11">
        <f t="shared" si="107"/>
        <v>-6.2115406066482501E-4</v>
      </c>
    </row>
    <row r="765" spans="2:44" x14ac:dyDescent="0.35">
      <c r="B765" s="1">
        <v>44530</v>
      </c>
      <c r="C765">
        <v>4988.95</v>
      </c>
      <c r="D765" s="1">
        <v>44532</v>
      </c>
      <c r="E765">
        <v>5.6338999999999997</v>
      </c>
      <c r="F765" s="1">
        <v>44526</v>
      </c>
      <c r="G765">
        <v>131.28</v>
      </c>
      <c r="H765" s="4">
        <f t="shared" si="99"/>
        <v>739618.39199999999</v>
      </c>
      <c r="I765" s="5">
        <v>44530</v>
      </c>
      <c r="J765" s="4">
        <v>6796.29</v>
      </c>
      <c r="K765" s="4">
        <f t="shared" si="100"/>
        <v>67962.899999999994</v>
      </c>
      <c r="L765" s="1">
        <v>44530</v>
      </c>
      <c r="M765">
        <v>4.78</v>
      </c>
      <c r="P765" s="1">
        <v>44530</v>
      </c>
      <c r="Q765">
        <v>4.84</v>
      </c>
      <c r="R765" s="1">
        <v>44529</v>
      </c>
      <c r="S765">
        <v>4.9000000000000004</v>
      </c>
      <c r="V765" s="1">
        <v>44529</v>
      </c>
      <c r="W765">
        <v>4.87</v>
      </c>
      <c r="X765" s="1">
        <v>44530</v>
      </c>
      <c r="Y765">
        <f>NETWORKDAYS(X765,$Z$1,FERIADO!$A$2:$A$408)</f>
        <v>2294</v>
      </c>
      <c r="Z765">
        <v>11.38</v>
      </c>
      <c r="AA765" s="6">
        <f t="shared" si="101"/>
        <v>37489.164558746881</v>
      </c>
      <c r="AB765" s="2">
        <f t="shared" si="102"/>
        <v>6.9270278697905361E-3</v>
      </c>
      <c r="AJ765" s="1">
        <v>44530</v>
      </c>
      <c r="AK765">
        <f>NETWORKDAYS(AJ765,$AJ$1,FERIADO!$A$2:$A$408)</f>
        <v>1281</v>
      </c>
      <c r="AL765">
        <v>11.38</v>
      </c>
      <c r="AM765" s="6">
        <f t="shared" si="103"/>
        <v>57818.035455382473</v>
      </c>
      <c r="AN765" s="2">
        <f t="shared" si="104"/>
        <v>3.9514628748763313E-3</v>
      </c>
      <c r="AP765" s="11">
        <f t="shared" si="105"/>
        <v>3.4635139348952681E-3</v>
      </c>
      <c r="AQ765" s="11">
        <f t="shared" si="106"/>
        <v>1.1854388624628993E-3</v>
      </c>
      <c r="AR765" s="11">
        <f t="shared" si="107"/>
        <v>4.6489527973581669E-3</v>
      </c>
    </row>
    <row r="766" spans="2:44" x14ac:dyDescent="0.35">
      <c r="B766" s="1">
        <v>44529</v>
      </c>
      <c r="C766">
        <v>5087.0200000000004</v>
      </c>
      <c r="D766" s="1">
        <v>44531</v>
      </c>
      <c r="E766">
        <v>5.6162000000000001</v>
      </c>
      <c r="F766" s="1">
        <v>44525</v>
      </c>
      <c r="G766">
        <v>130.09899999999999</v>
      </c>
      <c r="H766" s="4">
        <f t="shared" si="99"/>
        <v>730662.00379999995</v>
      </c>
      <c r="I766" s="5">
        <v>44529</v>
      </c>
      <c r="J766" s="4">
        <v>6795.68</v>
      </c>
      <c r="K766" s="4">
        <f t="shared" si="100"/>
        <v>67956.800000000003</v>
      </c>
      <c r="L766" s="1">
        <v>44529</v>
      </c>
      <c r="M766">
        <v>4.8499999999999996</v>
      </c>
      <c r="P766" s="1">
        <v>44529</v>
      </c>
      <c r="Q766">
        <v>4.8600000000000003</v>
      </c>
      <c r="R766" s="1">
        <v>44526</v>
      </c>
      <c r="S766">
        <v>4.93</v>
      </c>
      <c r="V766" s="1">
        <v>44526</v>
      </c>
      <c r="W766">
        <v>4.95</v>
      </c>
      <c r="X766" s="1">
        <v>44529</v>
      </c>
      <c r="Y766">
        <f>NETWORKDAYS(X766,$Z$1,FERIADO!$A$2:$A$408)</f>
        <v>2295</v>
      </c>
      <c r="Z766">
        <v>11.57</v>
      </c>
      <c r="AA766" s="6">
        <f t="shared" si="101"/>
        <v>36895.953176246665</v>
      </c>
      <c r="AB766" s="2">
        <f t="shared" si="102"/>
        <v>4.4422741202630248E-3</v>
      </c>
      <c r="AJ766" s="1">
        <v>44529</v>
      </c>
      <c r="AK766">
        <f>NETWORKDAYS(AJ766,$AJ$1,FERIADO!$A$2:$A$408)</f>
        <v>1282</v>
      </c>
      <c r="AL766">
        <v>11.57</v>
      </c>
      <c r="AM766" s="6">
        <f t="shared" si="103"/>
        <v>57294.359429258511</v>
      </c>
      <c r="AN766" s="2">
        <f t="shared" si="104"/>
        <v>2.9614812240616253E-3</v>
      </c>
      <c r="AP766" s="11">
        <f t="shared" si="105"/>
        <v>2.2211370601315124E-3</v>
      </c>
      <c r="AQ766" s="11">
        <f t="shared" si="106"/>
        <v>8.8844436721848756E-4</v>
      </c>
      <c r="AR766" s="11">
        <f t="shared" si="107"/>
        <v>3.1095814273500002E-3</v>
      </c>
    </row>
    <row r="767" spans="2:44" x14ac:dyDescent="0.35">
      <c r="B767" s="1">
        <v>44526</v>
      </c>
      <c r="C767">
        <v>4996.04</v>
      </c>
      <c r="D767" s="1">
        <v>44530</v>
      </c>
      <c r="E767">
        <v>5.6193</v>
      </c>
      <c r="F767" s="1">
        <v>44524</v>
      </c>
      <c r="G767">
        <v>129.82300000000001</v>
      </c>
      <c r="H767" s="4">
        <f t="shared" si="99"/>
        <v>729514.38390000002</v>
      </c>
      <c r="I767" s="5">
        <v>44526</v>
      </c>
      <c r="J767" s="4">
        <v>6808.42</v>
      </c>
      <c r="K767" s="4">
        <f t="shared" si="100"/>
        <v>68084.2</v>
      </c>
      <c r="L767" s="1">
        <v>44526</v>
      </c>
      <c r="M767">
        <v>4.93</v>
      </c>
      <c r="P767" s="1">
        <v>44526</v>
      </c>
      <c r="Q767">
        <v>4.9400000000000004</v>
      </c>
      <c r="R767" s="1">
        <v>44525</v>
      </c>
      <c r="S767">
        <v>4.91</v>
      </c>
      <c r="V767" s="1">
        <v>44525</v>
      </c>
      <c r="W767">
        <v>4.92</v>
      </c>
      <c r="X767" s="1">
        <v>44526</v>
      </c>
      <c r="Y767">
        <f>NETWORKDAYS(X767,$Z$1,FERIADO!$A$2:$A$408)</f>
        <v>2296</v>
      </c>
      <c r="Z767">
        <v>11.69</v>
      </c>
      <c r="AA767" s="6">
        <f t="shared" si="101"/>
        <v>36520.478602001262</v>
      </c>
      <c r="AB767" s="2">
        <f t="shared" si="102"/>
        <v>3.0249579176336401E-3</v>
      </c>
      <c r="AJ767" s="1">
        <v>44526</v>
      </c>
      <c r="AK767">
        <f>NETWORKDAYS(AJ767,$AJ$1,FERIADO!$A$2:$A$408)</f>
        <v>1283</v>
      </c>
      <c r="AL767">
        <v>11.71</v>
      </c>
      <c r="AM767" s="6">
        <f t="shared" si="103"/>
        <v>56904.994670375519</v>
      </c>
      <c r="AN767" s="2">
        <f t="shared" si="104"/>
        <v>2.1708288916791572E-3</v>
      </c>
      <c r="AP767" s="11">
        <f t="shared" si="105"/>
        <v>1.51247895881682E-3</v>
      </c>
      <c r="AQ767" s="11">
        <f t="shared" si="106"/>
        <v>6.5124866750374715E-4</v>
      </c>
      <c r="AR767" s="11">
        <f t="shared" si="107"/>
        <v>2.1637276263205673E-3</v>
      </c>
    </row>
    <row r="768" spans="2:44" x14ac:dyDescent="0.35">
      <c r="B768" s="1">
        <v>44525</v>
      </c>
      <c r="C768">
        <v>5148.04</v>
      </c>
      <c r="D768" s="1">
        <v>44529</v>
      </c>
      <c r="E768">
        <v>5.6112000000000002</v>
      </c>
      <c r="F768" s="1">
        <v>44523</v>
      </c>
      <c r="G768">
        <v>129.81200000000001</v>
      </c>
      <c r="H768" s="4">
        <f t="shared" si="99"/>
        <v>728401.09440000018</v>
      </c>
      <c r="I768" s="5">
        <v>44525</v>
      </c>
      <c r="J768" s="4">
        <v>6758.09</v>
      </c>
      <c r="K768" s="4">
        <f t="shared" si="100"/>
        <v>67580.899999999994</v>
      </c>
      <c r="L768" s="1">
        <v>44525</v>
      </c>
      <c r="M768">
        <v>4.93</v>
      </c>
      <c r="P768" s="1">
        <v>44525</v>
      </c>
      <c r="Q768">
        <v>4.93</v>
      </c>
      <c r="R768" s="1">
        <v>44524</v>
      </c>
      <c r="S768">
        <v>4.9000000000000004</v>
      </c>
      <c r="V768" s="1">
        <v>44524</v>
      </c>
      <c r="W768">
        <v>4.91</v>
      </c>
      <c r="X768" s="1">
        <v>44525</v>
      </c>
      <c r="Y768">
        <f>NETWORKDAYS(X768,$Z$1,FERIADO!$A$2:$A$408)</f>
        <v>2297</v>
      </c>
      <c r="Z768">
        <v>11.77</v>
      </c>
      <c r="AA768" s="6">
        <f t="shared" si="101"/>
        <v>36266.989154265204</v>
      </c>
      <c r="AB768" s="2">
        <f t="shared" si="102"/>
        <v>-4.0624833598475393E-3</v>
      </c>
      <c r="AJ768" s="1">
        <v>44525</v>
      </c>
      <c r="AK768">
        <f>NETWORKDAYS(AJ768,$AJ$1,FERIADO!$A$2:$A$408)</f>
        <v>1284</v>
      </c>
      <c r="AL768">
        <v>11.81</v>
      </c>
      <c r="AM768" s="6">
        <f t="shared" si="103"/>
        <v>56621.263724171338</v>
      </c>
      <c r="AN768" s="2">
        <f t="shared" si="104"/>
        <v>-1.3926981811274207E-3</v>
      </c>
      <c r="AP768" s="11">
        <f t="shared" si="105"/>
        <v>-2.0312416799237697E-3</v>
      </c>
      <c r="AQ768" s="11">
        <f t="shared" si="106"/>
        <v>-4.1780945433822622E-4</v>
      </c>
      <c r="AR768" s="11">
        <f t="shared" si="107"/>
        <v>-2.4490511342619959E-3</v>
      </c>
    </row>
    <row r="769" spans="2:44" x14ac:dyDescent="0.35">
      <c r="B769" s="1">
        <v>44524</v>
      </c>
      <c r="C769">
        <v>5137.4399999999996</v>
      </c>
      <c r="D769" s="1">
        <v>44526</v>
      </c>
      <c r="E769">
        <v>5.5858999999999996</v>
      </c>
      <c r="F769" s="1">
        <v>44522</v>
      </c>
      <c r="G769">
        <v>129.96</v>
      </c>
      <c r="H769" s="4">
        <f t="shared" si="99"/>
        <v>725943.56400000001</v>
      </c>
      <c r="I769" s="5">
        <v>44524</v>
      </c>
      <c r="J769" s="4">
        <v>6806.6</v>
      </c>
      <c r="K769" s="4">
        <f t="shared" si="100"/>
        <v>68066</v>
      </c>
      <c r="L769" s="1">
        <v>44524</v>
      </c>
      <c r="M769">
        <v>4.9000000000000004</v>
      </c>
      <c r="P769" s="1">
        <v>44524</v>
      </c>
      <c r="Q769">
        <v>4.92</v>
      </c>
      <c r="R769" s="1">
        <v>44523</v>
      </c>
      <c r="S769">
        <v>4.9000000000000004</v>
      </c>
      <c r="V769" s="1">
        <v>44523</v>
      </c>
      <c r="W769">
        <v>4.9000000000000004</v>
      </c>
      <c r="X769" s="1">
        <v>44524</v>
      </c>
      <c r="Y769">
        <f>NETWORKDAYS(X769,$Z$1,FERIADO!$A$2:$A$408)</f>
        <v>2298</v>
      </c>
      <c r="Z769">
        <v>11.65</v>
      </c>
      <c r="AA769" s="6">
        <f t="shared" si="101"/>
        <v>36607.829981972784</v>
      </c>
      <c r="AB769" s="2">
        <f t="shared" si="102"/>
        <v>1.2543696598522787E-3</v>
      </c>
      <c r="AJ769" s="1">
        <v>44524</v>
      </c>
      <c r="AK769">
        <f>NETWORKDAYS(AJ769,$AJ$1,FERIADO!$A$2:$A$408)</f>
        <v>1285</v>
      </c>
      <c r="AL769">
        <v>11.73</v>
      </c>
      <c r="AM769" s="6">
        <f t="shared" si="103"/>
        <v>56803.128583239159</v>
      </c>
      <c r="AN769" s="2">
        <f t="shared" si="104"/>
        <v>7.8615127041555878E-4</v>
      </c>
      <c r="AP769" s="11">
        <f t="shared" si="105"/>
        <v>6.2718482992613935E-4</v>
      </c>
      <c r="AQ769" s="11">
        <f t="shared" si="106"/>
        <v>2.3584538112466762E-4</v>
      </c>
      <c r="AR769" s="11">
        <f t="shared" si="107"/>
        <v>8.6303021105080691E-4</v>
      </c>
    </row>
    <row r="770" spans="2:44" x14ac:dyDescent="0.35">
      <c r="B770" s="1">
        <v>44523</v>
      </c>
      <c r="C770">
        <v>5119.04</v>
      </c>
      <c r="D770" s="1">
        <v>44525</v>
      </c>
      <c r="E770">
        <v>5.5734000000000004</v>
      </c>
      <c r="F770" s="1">
        <v>44519</v>
      </c>
      <c r="G770">
        <v>130.80000000000001</v>
      </c>
      <c r="H770" s="4">
        <f t="shared" si="99"/>
        <v>729000.72000000009</v>
      </c>
      <c r="I770" s="5">
        <v>44523</v>
      </c>
      <c r="J770" s="4">
        <v>6762.94</v>
      </c>
      <c r="K770" s="4">
        <f t="shared" si="100"/>
        <v>67629.399999999994</v>
      </c>
      <c r="L770" s="1">
        <v>44523</v>
      </c>
      <c r="M770">
        <v>4.92</v>
      </c>
      <c r="P770" s="1">
        <v>44523</v>
      </c>
      <c r="Q770">
        <v>4.9400000000000004</v>
      </c>
      <c r="R770" s="1">
        <v>44522</v>
      </c>
      <c r="S770">
        <v>4.97</v>
      </c>
      <c r="V770" s="1">
        <v>44522</v>
      </c>
      <c r="W770">
        <v>5.03</v>
      </c>
      <c r="X770" s="1">
        <v>44523</v>
      </c>
      <c r="Y770">
        <f>NETWORKDAYS(X770,$Z$1,FERIADO!$A$2:$A$408)</f>
        <v>2299</v>
      </c>
      <c r="Z770">
        <v>11.68</v>
      </c>
      <c r="AA770" s="6">
        <f t="shared" si="101"/>
        <v>36502.248395958428</v>
      </c>
      <c r="AB770" s="2">
        <f t="shared" si="102"/>
        <v>7.6367980743010872E-3</v>
      </c>
      <c r="AJ770" s="1">
        <v>44523</v>
      </c>
      <c r="AK770">
        <f>NETWORKDAYS(AJ770,$AJ$1,FERIADO!$A$2:$A$408)</f>
        <v>1286</v>
      </c>
      <c r="AL770">
        <v>11.76</v>
      </c>
      <c r="AM770" s="6">
        <f t="shared" si="103"/>
        <v>56700.397693564402</v>
      </c>
      <c r="AN770" s="2">
        <f t="shared" si="104"/>
        <v>5.1476051722187397E-3</v>
      </c>
      <c r="AP770" s="11">
        <f t="shared" si="105"/>
        <v>3.8183990371505436E-3</v>
      </c>
      <c r="AQ770" s="11">
        <f t="shared" si="106"/>
        <v>1.5442815516656218E-3</v>
      </c>
      <c r="AR770" s="11">
        <f t="shared" si="107"/>
        <v>5.3626805888161658E-3</v>
      </c>
    </row>
    <row r="771" spans="2:44" x14ac:dyDescent="0.35">
      <c r="B771" s="1">
        <v>44522</v>
      </c>
      <c r="C771">
        <v>5129.72</v>
      </c>
      <c r="D771" s="1">
        <v>44524</v>
      </c>
      <c r="E771">
        <v>5.6021000000000001</v>
      </c>
      <c r="F771" s="1">
        <v>44518</v>
      </c>
      <c r="G771">
        <v>130.65100000000001</v>
      </c>
      <c r="H771" s="4">
        <f t="shared" si="99"/>
        <v>731919.96710000013</v>
      </c>
      <c r="I771" s="5">
        <v>44522</v>
      </c>
      <c r="J771" s="4">
        <v>6782.95</v>
      </c>
      <c r="K771" s="4">
        <f t="shared" si="100"/>
        <v>67829.5</v>
      </c>
      <c r="L771" s="1">
        <v>44522</v>
      </c>
      <c r="M771">
        <v>5.0199999999999996</v>
      </c>
      <c r="P771" s="1">
        <v>44522</v>
      </c>
      <c r="Q771">
        <v>5.05</v>
      </c>
      <c r="R771" s="1">
        <v>44519</v>
      </c>
      <c r="S771">
        <v>4.92</v>
      </c>
      <c r="V771" s="1">
        <v>44519</v>
      </c>
      <c r="W771">
        <v>4.9000000000000004</v>
      </c>
      <c r="X771" s="1">
        <v>44522</v>
      </c>
      <c r="Y771">
        <f>NETWORKDAYS(X771,$Z$1,FERIADO!$A$2:$A$408)</f>
        <v>2300</v>
      </c>
      <c r="Z771">
        <v>11.89</v>
      </c>
      <c r="AA771" s="6">
        <f t="shared" si="101"/>
        <v>35865.98958631554</v>
      </c>
      <c r="AB771" s="2">
        <f t="shared" si="102"/>
        <v>-4.4164258497922911E-3</v>
      </c>
      <c r="AJ771" s="1">
        <v>44522</v>
      </c>
      <c r="AK771">
        <f>NETWORKDAYS(AJ771,$AJ$1,FERIADO!$A$2:$A$408)</f>
        <v>1287</v>
      </c>
      <c r="AL771">
        <v>12.01</v>
      </c>
      <c r="AM771" s="6">
        <f t="shared" si="103"/>
        <v>56032.306477238672</v>
      </c>
      <c r="AN771" s="2">
        <f t="shared" si="104"/>
        <v>-3.176023875427249E-3</v>
      </c>
      <c r="AP771" s="11">
        <f t="shared" si="105"/>
        <v>-2.2082129248961455E-3</v>
      </c>
      <c r="AQ771" s="11">
        <f t="shared" si="106"/>
        <v>-9.5280716262817467E-4</v>
      </c>
      <c r="AR771" s="11">
        <f t="shared" si="107"/>
        <v>-3.1610200875243203E-3</v>
      </c>
    </row>
    <row r="772" spans="2:44" x14ac:dyDescent="0.35">
      <c r="B772" s="1">
        <v>44519</v>
      </c>
      <c r="C772">
        <v>5127.47</v>
      </c>
      <c r="D772" s="1">
        <v>44523</v>
      </c>
      <c r="E772">
        <v>5.6449999999999996</v>
      </c>
      <c r="F772" s="1">
        <v>44517</v>
      </c>
      <c r="G772">
        <v>130.40899999999999</v>
      </c>
      <c r="H772" s="4">
        <f t="shared" ref="H772:H835" si="108">G772*E772*1000</f>
        <v>736158.80499999993</v>
      </c>
      <c r="I772" s="5">
        <v>44519</v>
      </c>
      <c r="J772" s="4">
        <v>6820.55</v>
      </c>
      <c r="K772" s="4">
        <f t="shared" si="100"/>
        <v>68205.5</v>
      </c>
      <c r="L772" s="1">
        <v>44519</v>
      </c>
      <c r="M772">
        <v>4.9400000000000004</v>
      </c>
      <c r="P772" s="1">
        <v>44519</v>
      </c>
      <c r="Q772">
        <v>4.95</v>
      </c>
      <c r="R772" s="1">
        <v>44518</v>
      </c>
      <c r="S772">
        <v>4.97</v>
      </c>
      <c r="V772" s="1">
        <v>44518</v>
      </c>
      <c r="W772">
        <v>4.9800000000000004</v>
      </c>
      <c r="X772" s="1">
        <v>44519</v>
      </c>
      <c r="Y772">
        <f>NETWORKDAYS(X772,$Z$1,FERIADO!$A$2:$A$408)</f>
        <v>2301</v>
      </c>
      <c r="Z772">
        <v>11.76</v>
      </c>
      <c r="AA772" s="6">
        <f t="shared" si="101"/>
        <v>36232.578674899029</v>
      </c>
      <c r="AB772" s="2">
        <f t="shared" si="102"/>
        <v>2.675688012342377E-3</v>
      </c>
      <c r="AJ772" s="1">
        <v>44519</v>
      </c>
      <c r="AK772">
        <f>NETWORKDAYS(AJ772,$AJ$1,FERIADO!$A$2:$A$408)</f>
        <v>1288</v>
      </c>
      <c r="AL772">
        <v>11.84</v>
      </c>
      <c r="AM772" s="6">
        <f t="shared" si="103"/>
        <v>56443.576378409445</v>
      </c>
      <c r="AN772" s="2">
        <f t="shared" si="104"/>
        <v>2.5750989022142691E-3</v>
      </c>
      <c r="AP772" s="11">
        <f t="shared" si="105"/>
        <v>1.3378440061711885E-3</v>
      </c>
      <c r="AQ772" s="11">
        <f t="shared" si="106"/>
        <v>7.7252967066428072E-4</v>
      </c>
      <c r="AR772" s="11">
        <f t="shared" si="107"/>
        <v>2.1103736768354692E-3</v>
      </c>
    </row>
    <row r="773" spans="2:44" x14ac:dyDescent="0.35">
      <c r="B773" s="1">
        <v>44518</v>
      </c>
      <c r="C773">
        <v>5136.3500000000004</v>
      </c>
      <c r="D773" s="1">
        <v>44522</v>
      </c>
      <c r="E773">
        <v>5.5834999999999999</v>
      </c>
      <c r="F773" s="1">
        <v>44516</v>
      </c>
      <c r="G773">
        <v>130.14099999999999</v>
      </c>
      <c r="H773" s="4">
        <f t="shared" si="108"/>
        <v>726642.27350000001</v>
      </c>
      <c r="I773" s="5">
        <v>44518</v>
      </c>
      <c r="J773" s="4">
        <v>6757.48</v>
      </c>
      <c r="K773" s="4">
        <f t="shared" ref="K773:K836" si="109">J773*10</f>
        <v>67574.799999999988</v>
      </c>
      <c r="L773" s="1">
        <v>44518</v>
      </c>
      <c r="M773">
        <v>5.01</v>
      </c>
      <c r="P773" s="1">
        <v>44518</v>
      </c>
      <c r="Q773">
        <v>4.99</v>
      </c>
      <c r="R773" s="1">
        <v>44517</v>
      </c>
      <c r="S773">
        <v>4.97</v>
      </c>
      <c r="V773" s="1">
        <v>44517</v>
      </c>
      <c r="W773">
        <v>4.96</v>
      </c>
      <c r="X773" s="1">
        <v>44518</v>
      </c>
      <c r="Y773">
        <f>NETWORKDAYS(X773,$Z$1,FERIADO!$A$2:$A$408)</f>
        <v>2302</v>
      </c>
      <c r="Z773">
        <v>11.83</v>
      </c>
      <c r="AA773" s="6">
        <f t="shared" ref="AA773:AA836" si="110">$Z$2/(1+Z773/100)^(Y773/252)</f>
        <v>36010.036028418057</v>
      </c>
      <c r="AB773" s="2">
        <f t="shared" ref="AB773:AB836" si="111">LOG(AA773/AA774)</f>
        <v>-8.7218388779090363E-4</v>
      </c>
      <c r="AJ773" s="1">
        <v>44518</v>
      </c>
      <c r="AK773">
        <f>NETWORKDAYS(AJ773,$AJ$1,FERIADO!$A$2:$A$408)</f>
        <v>1289</v>
      </c>
      <c r="AL773">
        <v>11.96</v>
      </c>
      <c r="AM773" s="6">
        <f t="shared" ref="AM773:AM836" si="112">$Z$2/(1+AL773/100)^(AK773/252)</f>
        <v>56109.890972385103</v>
      </c>
      <c r="AN773" s="2">
        <f t="shared" ref="AN773:AN836" si="113">LOG(AM773/AM774)</f>
        <v>-9.9703699625100116E-4</v>
      </c>
      <c r="AP773" s="11">
        <f t="shared" ref="AP773:AP836" si="114">AB773*$AF$4</f>
        <v>-4.3609194389545181E-4</v>
      </c>
      <c r="AQ773" s="11">
        <f t="shared" ref="AQ773:AQ836" si="115">AN773*$AF$7</f>
        <v>-2.9911109887530033E-4</v>
      </c>
      <c r="AR773" s="11">
        <f t="shared" ref="AR773:AR836" si="116">AQ773+AP773</f>
        <v>-7.3520304277075214E-4</v>
      </c>
    </row>
    <row r="774" spans="2:44" x14ac:dyDescent="0.35">
      <c r="B774" s="1">
        <v>44517</v>
      </c>
      <c r="C774">
        <v>5121.9399999999996</v>
      </c>
      <c r="D774" s="1">
        <v>44519</v>
      </c>
      <c r="E774">
        <v>5.5578000000000003</v>
      </c>
      <c r="F774" s="1">
        <v>44512</v>
      </c>
      <c r="G774">
        <v>130.47200000000001</v>
      </c>
      <c r="H774" s="4">
        <f t="shared" si="108"/>
        <v>725137.2816000001</v>
      </c>
      <c r="I774" s="5">
        <v>44517</v>
      </c>
      <c r="J774" s="4">
        <v>6720.49</v>
      </c>
      <c r="K774" s="4">
        <f t="shared" si="109"/>
        <v>67204.899999999994</v>
      </c>
      <c r="L774" s="1">
        <v>44517</v>
      </c>
      <c r="M774">
        <v>5.0199999999999996</v>
      </c>
      <c r="P774" s="1">
        <v>44517</v>
      </c>
      <c r="Q774">
        <v>5.0199999999999996</v>
      </c>
      <c r="R774" s="1">
        <v>44516</v>
      </c>
      <c r="S774">
        <v>5.01</v>
      </c>
      <c r="V774" s="1">
        <v>44516</v>
      </c>
      <c r="W774">
        <v>5.01</v>
      </c>
      <c r="X774" s="1">
        <v>44517</v>
      </c>
      <c r="Y774">
        <f>NETWORKDAYS(X774,$Z$1,FERIADO!$A$2:$A$408)</f>
        <v>2303</v>
      </c>
      <c r="Z774">
        <v>11.8</v>
      </c>
      <c r="AA774" s="6">
        <f t="shared" si="110"/>
        <v>36082.426843907713</v>
      </c>
      <c r="AB774" s="2">
        <f t="shared" si="111"/>
        <v>-3.0055007971269889E-3</v>
      </c>
      <c r="AJ774" s="1">
        <v>44517</v>
      </c>
      <c r="AK774">
        <f>NETWORKDAYS(AJ774,$AJ$1,FERIADO!$A$2:$A$408)</f>
        <v>1290</v>
      </c>
      <c r="AL774">
        <v>11.9</v>
      </c>
      <c r="AM774" s="6">
        <f t="shared" si="112"/>
        <v>56238.853934872554</v>
      </c>
      <c r="AN774" s="2">
        <f t="shared" si="113"/>
        <v>-2.5915798474745234E-3</v>
      </c>
      <c r="AP774" s="11">
        <f t="shared" si="114"/>
        <v>-1.5027503985634945E-3</v>
      </c>
      <c r="AQ774" s="11">
        <f t="shared" si="115"/>
        <v>-7.7747395424235699E-4</v>
      </c>
      <c r="AR774" s="11">
        <f t="shared" si="116"/>
        <v>-2.2802243528058513E-3</v>
      </c>
    </row>
    <row r="775" spans="2:44" x14ac:dyDescent="0.35">
      <c r="B775" s="1">
        <v>44516</v>
      </c>
      <c r="C775">
        <v>5134.1400000000003</v>
      </c>
      <c r="D775" s="1">
        <v>44518</v>
      </c>
      <c r="E775">
        <v>5.5464000000000002</v>
      </c>
      <c r="F775" s="1">
        <v>44511</v>
      </c>
      <c r="G775">
        <v>130.32</v>
      </c>
      <c r="H775" s="4">
        <f t="shared" si="108"/>
        <v>722806.848</v>
      </c>
      <c r="I775" s="5">
        <v>44516</v>
      </c>
      <c r="J775" s="4">
        <v>6691.99</v>
      </c>
      <c r="K775" s="4">
        <f t="shared" si="109"/>
        <v>66919.899999999994</v>
      </c>
      <c r="L775" s="1">
        <v>44516</v>
      </c>
      <c r="M775">
        <v>5.04</v>
      </c>
      <c r="P775" s="1">
        <v>44516</v>
      </c>
      <c r="Q775">
        <v>5.01</v>
      </c>
      <c r="R775" s="1">
        <v>44512</v>
      </c>
      <c r="S775">
        <v>4.91</v>
      </c>
      <c r="V775" s="1">
        <v>44512</v>
      </c>
      <c r="W775">
        <v>4.9000000000000004</v>
      </c>
      <c r="X775" s="1">
        <v>44516</v>
      </c>
      <c r="Y775">
        <f>NETWORKDAYS(X775,$Z$1,FERIADO!$A$2:$A$408)</f>
        <v>2304</v>
      </c>
      <c r="Z775">
        <v>11.71</v>
      </c>
      <c r="AA775" s="6">
        <f t="shared" si="110"/>
        <v>36332.998470945859</v>
      </c>
      <c r="AB775" s="2">
        <f t="shared" si="111"/>
        <v>-2.6549835208240198E-3</v>
      </c>
      <c r="AJ775" s="1">
        <v>44516</v>
      </c>
      <c r="AK775">
        <f>NETWORKDAYS(AJ775,$AJ$1,FERIADO!$A$2:$A$408)</f>
        <v>1291</v>
      </c>
      <c r="AL775">
        <v>11.76</v>
      </c>
      <c r="AM775" s="6">
        <f t="shared" si="112"/>
        <v>56575.453211995904</v>
      </c>
      <c r="AN775" s="2">
        <f t="shared" si="113"/>
        <v>-2.2004601625761678E-3</v>
      </c>
      <c r="AP775" s="11">
        <f t="shared" si="114"/>
        <v>-1.3274917604120099E-3</v>
      </c>
      <c r="AQ775" s="11">
        <f t="shared" si="115"/>
        <v>-6.6013804877285034E-4</v>
      </c>
      <c r="AR775" s="11">
        <f t="shared" si="116"/>
        <v>-1.98762980918486E-3</v>
      </c>
    </row>
    <row r="776" spans="2:44" x14ac:dyDescent="0.35">
      <c r="B776" s="1">
        <v>44512</v>
      </c>
      <c r="C776">
        <v>5111.55</v>
      </c>
      <c r="D776" s="1">
        <v>44517</v>
      </c>
      <c r="E776">
        <v>5.4987000000000004</v>
      </c>
      <c r="F776" s="1">
        <v>44510</v>
      </c>
      <c r="G776">
        <v>130.68600000000001</v>
      </c>
      <c r="H776" s="4">
        <f t="shared" si="108"/>
        <v>718603.10820000002</v>
      </c>
      <c r="I776" s="5">
        <v>44512</v>
      </c>
      <c r="J776" s="4">
        <v>6642.27</v>
      </c>
      <c r="K776" s="4">
        <f t="shared" si="109"/>
        <v>66422.700000000012</v>
      </c>
      <c r="L776" s="1">
        <v>44512</v>
      </c>
      <c r="M776">
        <v>4.9400000000000004</v>
      </c>
      <c r="P776" s="1">
        <v>44512</v>
      </c>
      <c r="Q776">
        <v>4.95</v>
      </c>
      <c r="R776" s="1">
        <v>44511</v>
      </c>
      <c r="S776">
        <v>5</v>
      </c>
      <c r="V776" s="1">
        <v>44511</v>
      </c>
      <c r="W776">
        <v>4.97</v>
      </c>
      <c r="X776" s="1">
        <v>44512</v>
      </c>
      <c r="Y776">
        <f>NETWORKDAYS(X776,$Z$1,FERIADO!$A$2:$A$408)</f>
        <v>2305</v>
      </c>
      <c r="Z776">
        <v>11.63</v>
      </c>
      <c r="AA776" s="6">
        <f t="shared" si="110"/>
        <v>36555.794233794033</v>
      </c>
      <c r="AB776" s="2">
        <f t="shared" si="111"/>
        <v>-1.5908417262148434E-3</v>
      </c>
      <c r="AJ776" s="1">
        <v>44512</v>
      </c>
      <c r="AK776">
        <f>NETWORKDAYS(AJ776,$AJ$1,FERIADO!$A$2:$A$408)</f>
        <v>1292</v>
      </c>
      <c r="AL776">
        <v>11.64</v>
      </c>
      <c r="AM776" s="6">
        <f t="shared" si="112"/>
        <v>56862.834135090343</v>
      </c>
      <c r="AN776" s="2">
        <f t="shared" si="113"/>
        <v>1.1875422375633236E-3</v>
      </c>
      <c r="AP776" s="11">
        <f t="shared" si="114"/>
        <v>-7.9542086310742171E-4</v>
      </c>
      <c r="AQ776" s="11">
        <f t="shared" si="115"/>
        <v>3.5626267126899708E-4</v>
      </c>
      <c r="AR776" s="11">
        <f t="shared" si="116"/>
        <v>-4.3915819183842463E-4</v>
      </c>
    </row>
    <row r="777" spans="2:44" x14ac:dyDescent="0.35">
      <c r="B777" s="1">
        <v>44511</v>
      </c>
      <c r="C777">
        <v>5076.1899999999996</v>
      </c>
      <c r="D777" s="1">
        <v>44516</v>
      </c>
      <c r="E777">
        <v>5.4766000000000004</v>
      </c>
      <c r="F777" s="1">
        <v>44509</v>
      </c>
      <c r="G777">
        <v>131.80000000000001</v>
      </c>
      <c r="H777" s="4">
        <f t="shared" si="108"/>
        <v>721815.88000000012</v>
      </c>
      <c r="I777" s="5">
        <v>44511</v>
      </c>
      <c r="J777" s="4">
        <v>6565.26</v>
      </c>
      <c r="K777" s="4">
        <f t="shared" si="109"/>
        <v>65652.600000000006</v>
      </c>
      <c r="L777" s="1">
        <v>44511</v>
      </c>
      <c r="M777">
        <v>5.04</v>
      </c>
      <c r="P777" s="1">
        <v>44511</v>
      </c>
      <c r="Q777">
        <v>5.04</v>
      </c>
      <c r="R777" s="1">
        <v>44510</v>
      </c>
      <c r="S777">
        <v>4.99</v>
      </c>
      <c r="V777" s="1">
        <v>44510</v>
      </c>
      <c r="W777">
        <v>4.99</v>
      </c>
      <c r="X777" s="1">
        <v>44511</v>
      </c>
      <c r="Y777">
        <f>NETWORKDAYS(X777,$Z$1,FERIADO!$A$2:$A$408)</f>
        <v>2306</v>
      </c>
      <c r="Z777">
        <v>11.58</v>
      </c>
      <c r="AA777" s="6">
        <f t="shared" si="110"/>
        <v>36689.945430147825</v>
      </c>
      <c r="AB777" s="2">
        <f t="shared" si="111"/>
        <v>9.0141877915489563E-4</v>
      </c>
      <c r="AJ777" s="1">
        <v>44511</v>
      </c>
      <c r="AK777">
        <f>NETWORKDAYS(AJ777,$AJ$1,FERIADO!$A$2:$A$408)</f>
        <v>1293</v>
      </c>
      <c r="AL777">
        <v>11.69</v>
      </c>
      <c r="AM777" s="6">
        <f t="shared" si="112"/>
        <v>56707.559820835937</v>
      </c>
      <c r="AN777" s="2">
        <f t="shared" si="113"/>
        <v>-2.0883452472379268E-4</v>
      </c>
      <c r="AP777" s="11">
        <f t="shared" si="114"/>
        <v>4.5070938957744781E-4</v>
      </c>
      <c r="AQ777" s="11">
        <f t="shared" si="115"/>
        <v>-6.2650357417137802E-5</v>
      </c>
      <c r="AR777" s="11">
        <f t="shared" si="116"/>
        <v>3.8805903216031001E-4</v>
      </c>
    </row>
    <row r="778" spans="2:44" x14ac:dyDescent="0.35">
      <c r="B778" s="1">
        <v>44510</v>
      </c>
      <c r="C778">
        <v>5072.8900000000003</v>
      </c>
      <c r="D778" s="1">
        <v>44512</v>
      </c>
      <c r="E778">
        <v>5.4192999999999998</v>
      </c>
      <c r="F778" s="1">
        <v>44508</v>
      </c>
      <c r="G778">
        <v>131.28299999999999</v>
      </c>
      <c r="H778" s="4">
        <f t="shared" si="108"/>
        <v>711461.96189999988</v>
      </c>
      <c r="I778" s="5">
        <v>44510</v>
      </c>
      <c r="J778" s="4">
        <v>6682.9</v>
      </c>
      <c r="K778" s="4">
        <f t="shared" si="109"/>
        <v>66829</v>
      </c>
      <c r="L778" s="1">
        <v>44510</v>
      </c>
      <c r="M778">
        <v>5.04</v>
      </c>
      <c r="P778" s="1">
        <v>44510</v>
      </c>
      <c r="Q778">
        <v>5.03</v>
      </c>
      <c r="R778" s="1">
        <v>44509</v>
      </c>
      <c r="S778">
        <v>4.95</v>
      </c>
      <c r="V778" s="1">
        <v>44509</v>
      </c>
      <c r="W778">
        <v>4.95</v>
      </c>
      <c r="X778" s="1">
        <v>44510</v>
      </c>
      <c r="Y778">
        <f>NETWORKDAYS(X778,$Z$1,FERIADO!$A$2:$A$408)</f>
        <v>2307</v>
      </c>
      <c r="Z778">
        <v>11.6</v>
      </c>
      <c r="AA778" s="6">
        <f t="shared" si="110"/>
        <v>36613.870997081838</v>
      </c>
      <c r="AB778" s="2">
        <f t="shared" si="111"/>
        <v>2.3270560534162472E-3</v>
      </c>
      <c r="AJ778" s="1">
        <v>44510</v>
      </c>
      <c r="AK778">
        <f>NETWORKDAYS(AJ778,$AJ$1,FERIADO!$A$2:$A$408)</f>
        <v>1294</v>
      </c>
      <c r="AL778">
        <v>11.67</v>
      </c>
      <c r="AM778" s="6">
        <f t="shared" si="112"/>
        <v>56734.834733459698</v>
      </c>
      <c r="AN778" s="2">
        <f t="shared" si="113"/>
        <v>1.1892802374544027E-3</v>
      </c>
      <c r="AP778" s="11">
        <f t="shared" si="114"/>
        <v>1.1635280267081236E-3</v>
      </c>
      <c r="AQ778" s="11">
        <f t="shared" si="115"/>
        <v>3.5678407123632079E-4</v>
      </c>
      <c r="AR778" s="11">
        <f t="shared" si="116"/>
        <v>1.5203120979444444E-3</v>
      </c>
    </row>
    <row r="779" spans="2:44" x14ac:dyDescent="0.35">
      <c r="B779" s="1">
        <v>44509</v>
      </c>
      <c r="C779">
        <v>5110.34</v>
      </c>
      <c r="D779" s="1">
        <v>44511</v>
      </c>
      <c r="E779">
        <v>5.4165000000000001</v>
      </c>
      <c r="F779" s="1">
        <v>44505</v>
      </c>
      <c r="G779">
        <v>131.83500000000001</v>
      </c>
      <c r="H779" s="4">
        <f t="shared" si="108"/>
        <v>714084.27750000008</v>
      </c>
      <c r="I779" s="5">
        <v>44509</v>
      </c>
      <c r="J779" s="4">
        <v>6669.56</v>
      </c>
      <c r="K779" s="4">
        <f t="shared" si="109"/>
        <v>66695.600000000006</v>
      </c>
      <c r="L779" s="1">
        <v>44509</v>
      </c>
      <c r="M779">
        <v>5.01</v>
      </c>
      <c r="P779" s="1">
        <v>44509</v>
      </c>
      <c r="Q779">
        <v>4.99</v>
      </c>
      <c r="R779" s="1">
        <v>44508</v>
      </c>
      <c r="S779">
        <v>5.0199999999999996</v>
      </c>
      <c r="V779" s="1">
        <v>44508</v>
      </c>
      <c r="W779">
        <v>5.03</v>
      </c>
      <c r="X779" s="1">
        <v>44509</v>
      </c>
      <c r="Y779">
        <f>NETWORKDAYS(X779,$Z$1,FERIADO!$A$2:$A$408)</f>
        <v>2308</v>
      </c>
      <c r="Z779">
        <v>11.66</v>
      </c>
      <c r="AA779" s="6">
        <f t="shared" si="110"/>
        <v>36418.209590258462</v>
      </c>
      <c r="AB779" s="2">
        <f t="shared" si="111"/>
        <v>8.7339473123034909E-3</v>
      </c>
      <c r="AJ779" s="1">
        <v>44509</v>
      </c>
      <c r="AK779">
        <f>NETWORKDAYS(AJ779,$AJ$1,FERIADO!$A$2:$A$408)</f>
        <v>1295</v>
      </c>
      <c r="AL779">
        <v>11.72</v>
      </c>
      <c r="AM779" s="6">
        <f t="shared" si="112"/>
        <v>56579.683518587561</v>
      </c>
      <c r="AN779" s="2">
        <f t="shared" si="113"/>
        <v>6.1805795900588597E-3</v>
      </c>
      <c r="AP779" s="11">
        <f t="shared" si="114"/>
        <v>4.3669736561517455E-3</v>
      </c>
      <c r="AQ779" s="11">
        <f t="shared" si="115"/>
        <v>1.8541738770176579E-3</v>
      </c>
      <c r="AR779" s="11">
        <f t="shared" si="116"/>
        <v>6.2211475331694034E-3</v>
      </c>
    </row>
    <row r="780" spans="2:44" x14ac:dyDescent="0.35">
      <c r="B780" s="1">
        <v>44508</v>
      </c>
      <c r="C780">
        <v>5127.5200000000004</v>
      </c>
      <c r="D780" s="1">
        <v>44510</v>
      </c>
      <c r="E780">
        <v>5.4584000000000001</v>
      </c>
      <c r="F780" s="1">
        <v>44504</v>
      </c>
      <c r="G780">
        <v>131.24199999999999</v>
      </c>
      <c r="H780" s="4">
        <f t="shared" si="108"/>
        <v>716371.33279999997</v>
      </c>
      <c r="I780" s="5">
        <v>44508</v>
      </c>
      <c r="J780" s="4">
        <v>6755.66</v>
      </c>
      <c r="K780" s="4">
        <f t="shared" si="109"/>
        <v>67556.600000000006</v>
      </c>
      <c r="L780" s="1">
        <v>44508</v>
      </c>
      <c r="M780">
        <v>5.0999999999999996</v>
      </c>
      <c r="P780" s="1">
        <v>44508</v>
      </c>
      <c r="Q780">
        <v>5.0599999999999996</v>
      </c>
      <c r="R780" s="1">
        <v>44505</v>
      </c>
      <c r="S780">
        <v>5.05</v>
      </c>
      <c r="V780" s="1">
        <v>44505</v>
      </c>
      <c r="W780">
        <v>5.08</v>
      </c>
      <c r="X780" s="1">
        <v>44508</v>
      </c>
      <c r="Y780">
        <f>NETWORKDAYS(X780,$Z$1,FERIADO!$A$2:$A$408)</f>
        <v>2309</v>
      </c>
      <c r="Z780">
        <v>11.9</v>
      </c>
      <c r="AA780" s="6">
        <f t="shared" si="110"/>
        <v>35693.13081539327</v>
      </c>
      <c r="AB780" s="2">
        <f t="shared" si="111"/>
        <v>3.7498514847593414E-3</v>
      </c>
      <c r="AJ780" s="1">
        <v>44508</v>
      </c>
      <c r="AK780">
        <f>NETWORKDAYS(AJ780,$AJ$1,FERIADO!$A$2:$A$408)</f>
        <v>1296</v>
      </c>
      <c r="AL780">
        <v>12.02</v>
      </c>
      <c r="AM780" s="6">
        <f t="shared" si="112"/>
        <v>55780.182942378939</v>
      </c>
      <c r="AN780" s="2">
        <f t="shared" si="113"/>
        <v>1.5919553466081341E-3</v>
      </c>
      <c r="AP780" s="11">
        <f t="shared" si="114"/>
        <v>1.8749257423796707E-3</v>
      </c>
      <c r="AQ780" s="11">
        <f t="shared" si="115"/>
        <v>4.7758660398244018E-4</v>
      </c>
      <c r="AR780" s="11">
        <f t="shared" si="116"/>
        <v>2.352512346362111E-3</v>
      </c>
    </row>
    <row r="781" spans="2:44" x14ac:dyDescent="0.35">
      <c r="B781" s="1">
        <v>44505</v>
      </c>
      <c r="C781">
        <v>5119.57</v>
      </c>
      <c r="D781" s="1">
        <v>44509</v>
      </c>
      <c r="E781">
        <v>5.4950999999999999</v>
      </c>
      <c r="F781" s="1">
        <v>44503</v>
      </c>
      <c r="G781">
        <v>130.68700000000001</v>
      </c>
      <c r="H781" s="4">
        <f t="shared" si="108"/>
        <v>718138.13370000001</v>
      </c>
      <c r="I781" s="5">
        <v>44505</v>
      </c>
      <c r="J781" s="4">
        <v>6749.6</v>
      </c>
      <c r="K781" s="4">
        <f t="shared" si="109"/>
        <v>67496</v>
      </c>
      <c r="L781" s="1">
        <v>44505</v>
      </c>
      <c r="M781">
        <v>5.08</v>
      </c>
      <c r="P781" s="1">
        <v>44505</v>
      </c>
      <c r="Q781">
        <v>5.09</v>
      </c>
      <c r="R781" s="1">
        <v>44504</v>
      </c>
      <c r="S781">
        <v>5.01</v>
      </c>
      <c r="V781" s="1">
        <v>44504</v>
      </c>
      <c r="W781">
        <v>5.0199999999999996</v>
      </c>
      <c r="X781" s="1">
        <v>44505</v>
      </c>
      <c r="Y781">
        <f>NETWORKDAYS(X781,$Z$1,FERIADO!$A$2:$A$408)</f>
        <v>2310</v>
      </c>
      <c r="Z781">
        <v>12</v>
      </c>
      <c r="AA781" s="6">
        <f t="shared" si="110"/>
        <v>35386.270432042096</v>
      </c>
      <c r="AB781" s="2">
        <f t="shared" si="111"/>
        <v>4.4602639477090127E-3</v>
      </c>
      <c r="AJ781" s="1">
        <v>44505</v>
      </c>
      <c r="AK781">
        <f>NETWORKDAYS(AJ781,$AJ$1,FERIADO!$A$2:$A$408)</f>
        <v>1297</v>
      </c>
      <c r="AL781">
        <v>12.09</v>
      </c>
      <c r="AM781" s="6">
        <f t="shared" si="112"/>
        <v>55576.088691939265</v>
      </c>
      <c r="AN781" s="2">
        <f t="shared" si="113"/>
        <v>2.1914874050127518E-3</v>
      </c>
      <c r="AP781" s="11">
        <f t="shared" si="114"/>
        <v>2.2301319738545064E-3</v>
      </c>
      <c r="AQ781" s="11">
        <f t="shared" si="115"/>
        <v>6.5744622150382549E-4</v>
      </c>
      <c r="AR781" s="11">
        <f t="shared" si="116"/>
        <v>2.887578195358332E-3</v>
      </c>
    </row>
    <row r="782" spans="2:44" x14ac:dyDescent="0.35">
      <c r="B782" s="1">
        <v>44504</v>
      </c>
      <c r="C782">
        <v>5101.17</v>
      </c>
      <c r="D782" s="1">
        <v>44508</v>
      </c>
      <c r="E782">
        <v>5.5621</v>
      </c>
      <c r="F782" s="1">
        <v>44501</v>
      </c>
      <c r="G782">
        <v>130.756</v>
      </c>
      <c r="H782" s="4">
        <f t="shared" si="108"/>
        <v>727277.94760000007</v>
      </c>
      <c r="I782" s="5">
        <v>44504</v>
      </c>
      <c r="J782" s="4">
        <v>6829.03</v>
      </c>
      <c r="K782" s="4">
        <f t="shared" si="109"/>
        <v>68290.3</v>
      </c>
      <c r="L782" s="1">
        <v>44504</v>
      </c>
      <c r="M782">
        <v>5.07</v>
      </c>
      <c r="P782" s="1">
        <v>44504</v>
      </c>
      <c r="Q782">
        <v>5.0599999999999996</v>
      </c>
      <c r="R782" s="1">
        <v>44503</v>
      </c>
      <c r="S782">
        <v>4.97</v>
      </c>
      <c r="V782" s="1">
        <v>44503</v>
      </c>
      <c r="W782">
        <v>4.97</v>
      </c>
      <c r="X782" s="1">
        <v>44504</v>
      </c>
      <c r="Y782">
        <f>NETWORKDAYS(X782,$Z$1,FERIADO!$A$2:$A$408)</f>
        <v>2311</v>
      </c>
      <c r="Z782">
        <v>12.12</v>
      </c>
      <c r="AA782" s="6">
        <f t="shared" si="110"/>
        <v>35024.708400833573</v>
      </c>
      <c r="AB782" s="2">
        <f t="shared" si="111"/>
        <v>-4.4254177042330626E-3</v>
      </c>
      <c r="AJ782" s="1">
        <v>44504</v>
      </c>
      <c r="AK782">
        <f>NETWORKDAYS(AJ782,$AJ$1,FERIADO!$A$2:$A$408)</f>
        <v>1298</v>
      </c>
      <c r="AL782">
        <v>12.19</v>
      </c>
      <c r="AM782" s="6">
        <f t="shared" si="112"/>
        <v>55296.353334002248</v>
      </c>
      <c r="AN782" s="2">
        <f t="shared" si="113"/>
        <v>-2.7969326816581026E-3</v>
      </c>
      <c r="AP782" s="11">
        <f t="shared" si="114"/>
        <v>-2.2127088521165313E-3</v>
      </c>
      <c r="AQ782" s="11">
        <f t="shared" si="115"/>
        <v>-8.3907980449743076E-4</v>
      </c>
      <c r="AR782" s="11">
        <f t="shared" si="116"/>
        <v>-3.0517886566139621E-3</v>
      </c>
    </row>
    <row r="783" spans="2:44" x14ac:dyDescent="0.35">
      <c r="B783" s="1">
        <v>44503</v>
      </c>
      <c r="C783">
        <v>5086.8100000000004</v>
      </c>
      <c r="D783" s="1">
        <v>44505</v>
      </c>
      <c r="E783">
        <v>5.5449000000000002</v>
      </c>
      <c r="F783" s="1">
        <v>44498</v>
      </c>
      <c r="G783">
        <v>130.67099999999999</v>
      </c>
      <c r="H783" s="4">
        <f t="shared" si="108"/>
        <v>724557.62789999996</v>
      </c>
      <c r="I783" s="5">
        <v>44503</v>
      </c>
      <c r="J783" s="4">
        <v>6770.22</v>
      </c>
      <c r="K783" s="4">
        <f t="shared" si="109"/>
        <v>67702.2</v>
      </c>
      <c r="L783" s="1">
        <v>44503</v>
      </c>
      <c r="M783">
        <v>5.01</v>
      </c>
      <c r="P783" s="1">
        <v>44503</v>
      </c>
      <c r="Q783">
        <v>5.12</v>
      </c>
      <c r="R783" s="1">
        <v>44501</v>
      </c>
      <c r="S783">
        <v>5.27</v>
      </c>
      <c r="V783" s="1">
        <v>44501</v>
      </c>
      <c r="W783">
        <v>5.26</v>
      </c>
      <c r="X783" s="1">
        <v>44503</v>
      </c>
      <c r="Y783">
        <f>NETWORKDAYS(X783,$Z$1,FERIADO!$A$2:$A$408)</f>
        <v>2312</v>
      </c>
      <c r="Z783">
        <v>11.99</v>
      </c>
      <c r="AA783" s="6">
        <f t="shared" si="110"/>
        <v>35383.431277553689</v>
      </c>
      <c r="AB783" s="2">
        <f t="shared" si="111"/>
        <v>1.5471385443960681E-2</v>
      </c>
      <c r="AJ783" s="1">
        <v>44503</v>
      </c>
      <c r="AK783">
        <f>NETWORKDAYS(AJ783,$AJ$1,FERIADO!$A$2:$A$408)</f>
        <v>1299</v>
      </c>
      <c r="AL783">
        <v>12.04</v>
      </c>
      <c r="AM783" s="6">
        <f t="shared" si="112"/>
        <v>55653.620751526236</v>
      </c>
      <c r="AN783" s="2">
        <f t="shared" si="113"/>
        <v>9.972846962946251E-3</v>
      </c>
      <c r="AP783" s="11">
        <f t="shared" si="114"/>
        <v>7.7356927219803407E-3</v>
      </c>
      <c r="AQ783" s="11">
        <f t="shared" si="115"/>
        <v>2.991854088883875E-3</v>
      </c>
      <c r="AR783" s="11">
        <f t="shared" si="116"/>
        <v>1.0727546810864215E-2</v>
      </c>
    </row>
    <row r="784" spans="2:44" x14ac:dyDescent="0.35">
      <c r="B784" s="1">
        <v>44501</v>
      </c>
      <c r="C784">
        <v>5028.88</v>
      </c>
      <c r="D784" s="1">
        <v>44504</v>
      </c>
      <c r="E784">
        <v>5.5936000000000003</v>
      </c>
      <c r="F784" s="1">
        <v>44497</v>
      </c>
      <c r="G784">
        <v>130.69499999999999</v>
      </c>
      <c r="H784" s="4">
        <f t="shared" si="108"/>
        <v>731055.55200000003</v>
      </c>
      <c r="I784" s="5">
        <v>44501</v>
      </c>
      <c r="J784" s="4">
        <v>6930.3</v>
      </c>
      <c r="K784" s="4">
        <f t="shared" si="109"/>
        <v>69303</v>
      </c>
      <c r="L784" s="1">
        <v>44501</v>
      </c>
      <c r="M784">
        <v>5.42</v>
      </c>
      <c r="P784" s="1">
        <v>44501</v>
      </c>
      <c r="Q784">
        <v>5.29</v>
      </c>
      <c r="R784" s="1">
        <v>44498</v>
      </c>
      <c r="S784">
        <v>5.21</v>
      </c>
      <c r="V784" s="1">
        <v>44498</v>
      </c>
      <c r="W784">
        <v>5.21</v>
      </c>
      <c r="X784" s="1">
        <v>44501</v>
      </c>
      <c r="Y784">
        <f>NETWORKDAYS(X784,$Z$1,FERIADO!$A$2:$A$408)</f>
        <v>2313</v>
      </c>
      <c r="Z784">
        <v>12.42</v>
      </c>
      <c r="AA784" s="6">
        <f t="shared" si="110"/>
        <v>34145.113486633454</v>
      </c>
      <c r="AB784" s="2">
        <f t="shared" si="111"/>
        <v>-3.3471643618028842E-3</v>
      </c>
      <c r="AJ784" s="1">
        <v>44501</v>
      </c>
      <c r="AK784">
        <f>NETWORKDAYS(AJ784,$AJ$1,FERIADO!$A$2:$A$408)</f>
        <v>1300</v>
      </c>
      <c r="AL784">
        <v>12.53</v>
      </c>
      <c r="AM784" s="6">
        <f t="shared" si="112"/>
        <v>54390.190166216133</v>
      </c>
      <c r="AN784" s="2">
        <f t="shared" si="113"/>
        <v>-5.1826993843946834E-3</v>
      </c>
      <c r="AP784" s="11">
        <f t="shared" si="114"/>
        <v>-1.6735821809014421E-3</v>
      </c>
      <c r="AQ784" s="11">
        <f t="shared" si="115"/>
        <v>-1.5548098153184049E-3</v>
      </c>
      <c r="AR784" s="11">
        <f t="shared" si="116"/>
        <v>-3.2283919962198468E-3</v>
      </c>
    </row>
    <row r="785" spans="2:44" x14ac:dyDescent="0.35">
      <c r="B785" s="1">
        <v>44498</v>
      </c>
      <c r="C785">
        <v>5026.4399999999996</v>
      </c>
      <c r="D785" s="1">
        <v>44503</v>
      </c>
      <c r="E785">
        <v>5.6665999999999999</v>
      </c>
      <c r="F785" s="1">
        <v>44496</v>
      </c>
      <c r="G785">
        <v>131.114</v>
      </c>
      <c r="H785" s="4">
        <f t="shared" si="108"/>
        <v>742970.59239999996</v>
      </c>
      <c r="I785" s="5">
        <v>44498</v>
      </c>
      <c r="J785" s="4">
        <v>6870.27</v>
      </c>
      <c r="K785" s="4">
        <f t="shared" si="109"/>
        <v>68702.700000000012</v>
      </c>
      <c r="L785" s="1">
        <v>44498</v>
      </c>
      <c r="M785">
        <v>5.2</v>
      </c>
      <c r="P785" s="1">
        <v>44498</v>
      </c>
      <c r="Q785">
        <v>5.2</v>
      </c>
      <c r="R785" s="1">
        <v>44497</v>
      </c>
      <c r="S785">
        <v>5.35</v>
      </c>
      <c r="V785" s="1">
        <v>44496</v>
      </c>
      <c r="W785">
        <v>5.21</v>
      </c>
      <c r="X785" s="1">
        <v>44498</v>
      </c>
      <c r="Y785">
        <f>NETWORKDAYS(X785,$Z$1,FERIADO!$A$2:$A$408)</f>
        <v>2314</v>
      </c>
      <c r="Z785">
        <v>12.32</v>
      </c>
      <c r="AA785" s="6">
        <f t="shared" si="110"/>
        <v>34409.291059075316</v>
      </c>
      <c r="AB785" s="2">
        <f t="shared" si="111"/>
        <v>1.6207890543921866E-3</v>
      </c>
      <c r="AJ785" s="1">
        <v>44498</v>
      </c>
      <c r="AK785">
        <f>NETWORKDAYS(AJ785,$AJ$1,FERIADO!$A$2:$A$408)</f>
        <v>1301</v>
      </c>
      <c r="AL785">
        <v>12.26</v>
      </c>
      <c r="AM785" s="6">
        <f t="shared" si="112"/>
        <v>55043.149616120514</v>
      </c>
      <c r="AN785" s="2">
        <f t="shared" si="113"/>
        <v>4.3928682032785488E-3</v>
      </c>
      <c r="AP785" s="11">
        <f t="shared" si="114"/>
        <v>8.1039452719609329E-4</v>
      </c>
      <c r="AQ785" s="11">
        <f t="shared" si="115"/>
        <v>1.3178604609835646E-3</v>
      </c>
      <c r="AR785" s="11">
        <f t="shared" si="116"/>
        <v>2.1282549881796579E-3</v>
      </c>
    </row>
    <row r="786" spans="2:44" x14ac:dyDescent="0.35">
      <c r="B786" s="1">
        <v>44497</v>
      </c>
      <c r="C786">
        <v>4999.88</v>
      </c>
      <c r="D786" s="1">
        <v>44501</v>
      </c>
      <c r="E786">
        <v>5.6688000000000001</v>
      </c>
      <c r="F786" s="1">
        <v>44495</v>
      </c>
      <c r="G786">
        <v>130.68</v>
      </c>
      <c r="H786" s="4">
        <f t="shared" si="108"/>
        <v>740798.7840000001</v>
      </c>
      <c r="I786" s="5">
        <v>44497</v>
      </c>
      <c r="J786" s="4">
        <v>6889.67</v>
      </c>
      <c r="K786" s="4">
        <f t="shared" si="109"/>
        <v>68896.7</v>
      </c>
      <c r="L786" s="1">
        <v>44497</v>
      </c>
      <c r="M786">
        <v>5.5</v>
      </c>
      <c r="P786" s="1">
        <v>44497</v>
      </c>
      <c r="Q786">
        <v>5.4</v>
      </c>
      <c r="R786" s="1">
        <v>44496</v>
      </c>
      <c r="S786">
        <v>5.19</v>
      </c>
      <c r="V786" s="1">
        <v>44495</v>
      </c>
      <c r="W786">
        <v>5.2</v>
      </c>
      <c r="X786" s="1">
        <v>44497</v>
      </c>
      <c r="Y786">
        <f>NETWORKDAYS(X786,$Z$1,FERIADO!$A$2:$A$408)</f>
        <v>2315</v>
      </c>
      <c r="Z786">
        <v>12.36</v>
      </c>
      <c r="AA786" s="6">
        <f t="shared" si="110"/>
        <v>34281.114748650652</v>
      </c>
      <c r="AB786" s="2">
        <f t="shared" si="111"/>
        <v>-1.2607998697402647E-2</v>
      </c>
      <c r="AJ786" s="1">
        <v>44497</v>
      </c>
      <c r="AK786">
        <f>NETWORKDAYS(AJ786,$AJ$1,FERIADO!$A$2:$A$408)</f>
        <v>1302</v>
      </c>
      <c r="AL786">
        <v>12.47</v>
      </c>
      <c r="AM786" s="6">
        <f t="shared" si="112"/>
        <v>54489.19707846961</v>
      </c>
      <c r="AN786" s="2">
        <f t="shared" si="113"/>
        <v>-1.1207040981822996E-2</v>
      </c>
      <c r="AP786" s="11">
        <f t="shared" si="114"/>
        <v>-6.3039993487013233E-3</v>
      </c>
      <c r="AQ786" s="11">
        <f t="shared" si="115"/>
        <v>-3.3621122945468986E-3</v>
      </c>
      <c r="AR786" s="11">
        <f t="shared" si="116"/>
        <v>-9.6661116432482218E-3</v>
      </c>
    </row>
    <row r="787" spans="2:44" x14ac:dyDescent="0.35">
      <c r="B787" s="1">
        <v>44496</v>
      </c>
      <c r="C787">
        <v>4973.45</v>
      </c>
      <c r="D787" s="1">
        <v>44498</v>
      </c>
      <c r="E787">
        <v>5.6424000000000003</v>
      </c>
      <c r="F787" s="1">
        <v>44494</v>
      </c>
      <c r="G787">
        <v>130.58500000000001</v>
      </c>
      <c r="H787" s="4">
        <f t="shared" si="108"/>
        <v>736812.804</v>
      </c>
      <c r="I787" s="5">
        <v>44496</v>
      </c>
      <c r="J787" s="4">
        <v>6760.33</v>
      </c>
      <c r="K787" s="4">
        <f t="shared" si="109"/>
        <v>67603.3</v>
      </c>
      <c r="L787" s="1">
        <v>44496</v>
      </c>
      <c r="M787">
        <v>5.15</v>
      </c>
      <c r="P787" s="1">
        <v>44496</v>
      </c>
      <c r="Q787">
        <v>5.19</v>
      </c>
      <c r="R787" s="1">
        <v>44495</v>
      </c>
      <c r="S787">
        <v>5.21</v>
      </c>
      <c r="V787" s="1">
        <v>44494</v>
      </c>
      <c r="W787">
        <v>5.14</v>
      </c>
      <c r="X787" s="1">
        <v>44496</v>
      </c>
      <c r="Y787">
        <f>NETWORKDAYS(X787,$Z$1,FERIADO!$A$2:$A$408)</f>
        <v>2316</v>
      </c>
      <c r="Z787">
        <v>12</v>
      </c>
      <c r="AA787" s="6">
        <f t="shared" si="110"/>
        <v>35290.916291651731</v>
      </c>
      <c r="AB787" s="2">
        <f t="shared" si="111"/>
        <v>1.6211609006180974E-3</v>
      </c>
      <c r="AJ787" s="1">
        <v>44496</v>
      </c>
      <c r="AK787">
        <f>NETWORKDAYS(AJ787,$AJ$1,FERIADO!$A$2:$A$408)</f>
        <v>1303</v>
      </c>
      <c r="AL787">
        <v>11.9</v>
      </c>
      <c r="AM787" s="6">
        <f t="shared" si="112"/>
        <v>55913.599251670646</v>
      </c>
      <c r="AN787" s="2">
        <f t="shared" si="113"/>
        <v>1.398434702772112E-3</v>
      </c>
      <c r="AP787" s="11">
        <f t="shared" si="114"/>
        <v>8.1058045030904871E-4</v>
      </c>
      <c r="AQ787" s="11">
        <f t="shared" si="115"/>
        <v>4.1953041083163362E-4</v>
      </c>
      <c r="AR787" s="11">
        <f t="shared" si="116"/>
        <v>1.2301108611406824E-3</v>
      </c>
    </row>
    <row r="788" spans="2:44" x14ac:dyDescent="0.35">
      <c r="B788" s="1">
        <v>44495</v>
      </c>
      <c r="C788">
        <v>4988.6899999999996</v>
      </c>
      <c r="D788" s="1">
        <v>44497</v>
      </c>
      <c r="E788">
        <v>5.6117999999999997</v>
      </c>
      <c r="F788" s="1">
        <v>44491</v>
      </c>
      <c r="G788">
        <v>130.44999999999999</v>
      </c>
      <c r="H788" s="4">
        <f t="shared" si="108"/>
        <v>732059.30999999982</v>
      </c>
      <c r="I788" s="5">
        <v>44495</v>
      </c>
      <c r="J788" s="4">
        <v>6797.55</v>
      </c>
      <c r="K788" s="4">
        <f t="shared" si="109"/>
        <v>67975.5</v>
      </c>
      <c r="L788" s="1">
        <v>44495</v>
      </c>
      <c r="M788">
        <v>5.24</v>
      </c>
      <c r="P788" s="1">
        <v>44495</v>
      </c>
      <c r="Q788">
        <v>5.22</v>
      </c>
      <c r="R788" s="1">
        <v>44494</v>
      </c>
      <c r="S788">
        <v>5.1100000000000003</v>
      </c>
      <c r="V788" s="1">
        <v>44491</v>
      </c>
      <c r="W788">
        <v>4.97</v>
      </c>
      <c r="X788" s="1">
        <v>44495</v>
      </c>
      <c r="Y788">
        <f>NETWORKDAYS(X788,$Z$1,FERIADO!$A$2:$A$408)</f>
        <v>2317</v>
      </c>
      <c r="Z788">
        <v>12.04</v>
      </c>
      <c r="AA788" s="6">
        <f t="shared" si="110"/>
        <v>35159.425779867655</v>
      </c>
      <c r="AB788" s="2">
        <f t="shared" si="111"/>
        <v>-1.5872379434329949E-3</v>
      </c>
      <c r="AJ788" s="1">
        <v>44495</v>
      </c>
      <c r="AK788">
        <f>NETWORKDAYS(AJ788,$AJ$1,FERIADO!$A$2:$A$408)</f>
        <v>1304</v>
      </c>
      <c r="AL788">
        <v>11.96</v>
      </c>
      <c r="AM788" s="6">
        <f t="shared" si="112"/>
        <v>55733.846188046104</v>
      </c>
      <c r="AN788" s="2">
        <f t="shared" si="113"/>
        <v>-3.0216454692887471E-3</v>
      </c>
      <c r="AP788" s="11">
        <f t="shared" si="114"/>
        <v>-7.9361897171649747E-4</v>
      </c>
      <c r="AQ788" s="11">
        <f t="shared" si="115"/>
        <v>-9.0649364078662403E-4</v>
      </c>
      <c r="AR788" s="11">
        <f t="shared" si="116"/>
        <v>-1.7001126125031215E-3</v>
      </c>
    </row>
    <row r="789" spans="2:44" x14ac:dyDescent="0.35">
      <c r="B789" s="1">
        <v>44494</v>
      </c>
      <c r="C789">
        <v>4989.43</v>
      </c>
      <c r="D789" s="1">
        <v>44496</v>
      </c>
      <c r="E789">
        <v>5.5660999999999996</v>
      </c>
      <c r="F789" s="1">
        <v>44490</v>
      </c>
      <c r="G789">
        <v>130</v>
      </c>
      <c r="H789" s="4">
        <f t="shared" si="108"/>
        <v>723593</v>
      </c>
      <c r="I789" s="5">
        <v>44494</v>
      </c>
      <c r="J789" s="4">
        <v>6787.79</v>
      </c>
      <c r="K789" s="4">
        <f t="shared" si="109"/>
        <v>67877.899999999994</v>
      </c>
      <c r="L789" s="1">
        <v>44494</v>
      </c>
      <c r="M789">
        <v>5</v>
      </c>
      <c r="P789" s="1">
        <v>44494</v>
      </c>
      <c r="Q789">
        <v>5.03</v>
      </c>
      <c r="R789" s="1">
        <v>44491</v>
      </c>
      <c r="S789">
        <v>4.97</v>
      </c>
      <c r="V789" s="1">
        <v>44490</v>
      </c>
      <c r="W789">
        <v>5</v>
      </c>
      <c r="X789" s="1">
        <v>44494</v>
      </c>
      <c r="Y789">
        <f>NETWORKDAYS(X789,$Z$1,FERIADO!$A$2:$A$408)</f>
        <v>2318</v>
      </c>
      <c r="Z789">
        <v>11.99</v>
      </c>
      <c r="AA789" s="6">
        <f t="shared" si="110"/>
        <v>35288.159808349206</v>
      </c>
      <c r="AB789" s="2">
        <f t="shared" si="111"/>
        <v>2.3357788519176277E-3</v>
      </c>
      <c r="AJ789" s="1">
        <v>44494</v>
      </c>
      <c r="AK789">
        <f>NETWORKDAYS(AJ789,$AJ$1,FERIADO!$A$2:$A$408)</f>
        <v>1305</v>
      </c>
      <c r="AL789">
        <v>11.8</v>
      </c>
      <c r="AM789" s="6">
        <f t="shared" si="112"/>
        <v>56122.971882892911</v>
      </c>
      <c r="AN789" s="2">
        <f t="shared" si="113"/>
        <v>3.9353955204713515E-4</v>
      </c>
      <c r="AP789" s="11">
        <f t="shared" si="114"/>
        <v>1.1678894259588139E-3</v>
      </c>
      <c r="AQ789" s="11">
        <f t="shared" si="115"/>
        <v>1.1806186561414054E-4</v>
      </c>
      <c r="AR789" s="11">
        <f t="shared" si="116"/>
        <v>1.2859512915729544E-3</v>
      </c>
    </row>
    <row r="790" spans="2:44" x14ac:dyDescent="0.35">
      <c r="B790" s="1">
        <v>44491</v>
      </c>
      <c r="C790">
        <v>4943.26</v>
      </c>
      <c r="D790" s="1">
        <v>44495</v>
      </c>
      <c r="E790">
        <v>5.5793999999999997</v>
      </c>
      <c r="F790" s="1">
        <v>44489</v>
      </c>
      <c r="G790">
        <v>130.48500000000001</v>
      </c>
      <c r="H790" s="4">
        <f t="shared" si="108"/>
        <v>728028.00899999996</v>
      </c>
      <c r="I790" s="5">
        <v>44491</v>
      </c>
      <c r="J790" s="4">
        <v>6903.09</v>
      </c>
      <c r="K790" s="4">
        <f t="shared" si="109"/>
        <v>69030.899999999994</v>
      </c>
      <c r="L790" s="1">
        <v>44491</v>
      </c>
      <c r="M790">
        <v>4.95</v>
      </c>
      <c r="P790" s="1">
        <v>44491</v>
      </c>
      <c r="Q790">
        <v>4.95</v>
      </c>
      <c r="R790" s="1">
        <v>44490</v>
      </c>
      <c r="S790">
        <v>4.97</v>
      </c>
      <c r="V790" s="1">
        <v>44489</v>
      </c>
      <c r="W790">
        <v>4.8899999999999997</v>
      </c>
      <c r="X790" s="1">
        <v>44491</v>
      </c>
      <c r="Y790">
        <f>NETWORKDAYS(X790,$Z$1,FERIADO!$A$2:$A$408)</f>
        <v>2319</v>
      </c>
      <c r="Z790">
        <v>12.05</v>
      </c>
      <c r="AA790" s="6">
        <f t="shared" si="110"/>
        <v>35098.877921613363</v>
      </c>
      <c r="AB790" s="2">
        <f t="shared" si="111"/>
        <v>3.4062489242418547E-3</v>
      </c>
      <c r="AJ790" s="1">
        <v>44491</v>
      </c>
      <c r="AK790">
        <f>NETWORKDAYS(AJ790,$AJ$1,FERIADO!$A$2:$A$408)</f>
        <v>1306</v>
      </c>
      <c r="AL790">
        <v>11.81</v>
      </c>
      <c r="AM790" s="6">
        <f t="shared" si="112"/>
        <v>56072.138620730897</v>
      </c>
      <c r="AN790" s="2">
        <f t="shared" si="113"/>
        <v>-9.080793710539326E-6</v>
      </c>
      <c r="AP790" s="11">
        <f t="shared" si="114"/>
        <v>1.7031244621209273E-3</v>
      </c>
      <c r="AQ790" s="11">
        <f t="shared" si="115"/>
        <v>-2.7242381131617979E-6</v>
      </c>
      <c r="AR790" s="11">
        <f t="shared" si="116"/>
        <v>1.7004002240077656E-3</v>
      </c>
    </row>
    <row r="791" spans="2:44" x14ac:dyDescent="0.35">
      <c r="B791" s="1">
        <v>44490</v>
      </c>
      <c r="C791">
        <v>4950.08</v>
      </c>
      <c r="D791" s="1">
        <v>44494</v>
      </c>
      <c r="E791">
        <v>5.5967000000000002</v>
      </c>
      <c r="F791" s="1">
        <v>44488</v>
      </c>
      <c r="G791">
        <v>130.501</v>
      </c>
      <c r="H791" s="4">
        <f t="shared" si="108"/>
        <v>730374.94669999997</v>
      </c>
      <c r="I791" s="5">
        <v>44490</v>
      </c>
      <c r="J791" s="4">
        <v>6914.69</v>
      </c>
      <c r="K791" s="4">
        <f t="shared" si="109"/>
        <v>69146.899999999994</v>
      </c>
      <c r="L791" s="1">
        <v>44490</v>
      </c>
      <c r="M791">
        <v>4.82</v>
      </c>
      <c r="P791" s="1">
        <v>44490</v>
      </c>
      <c r="Q791">
        <v>4.95</v>
      </c>
      <c r="R791" s="1">
        <v>44489</v>
      </c>
      <c r="S791">
        <v>5</v>
      </c>
      <c r="V791" s="1">
        <v>44488</v>
      </c>
      <c r="W791">
        <v>4.8499999999999996</v>
      </c>
      <c r="X791" s="1">
        <v>44490</v>
      </c>
      <c r="Y791">
        <f>NETWORKDAYS(X791,$Z$1,FERIADO!$A$2:$A$408)</f>
        <v>2320</v>
      </c>
      <c r="Z791">
        <v>12.14</v>
      </c>
      <c r="AA791" s="6">
        <f t="shared" si="110"/>
        <v>34824.667919220941</v>
      </c>
      <c r="AB791" s="2">
        <f t="shared" si="111"/>
        <v>-1.8393872586008924E-2</v>
      </c>
      <c r="AJ791" s="1">
        <v>44490</v>
      </c>
      <c r="AK791">
        <f>NETWORKDAYS(AJ791,$AJ$1,FERIADO!$A$2:$A$408)</f>
        <v>1307</v>
      </c>
      <c r="AL791">
        <v>11.8</v>
      </c>
      <c r="AM791" s="6">
        <f t="shared" si="112"/>
        <v>56073.311062169305</v>
      </c>
      <c r="AN791" s="2">
        <f t="shared" si="113"/>
        <v>-1.051943679856425E-2</v>
      </c>
      <c r="AP791" s="11">
        <f t="shared" si="114"/>
        <v>-9.196936293004462E-3</v>
      </c>
      <c r="AQ791" s="11">
        <f t="shared" si="115"/>
        <v>-3.1558310395692749E-3</v>
      </c>
      <c r="AR791" s="11">
        <f t="shared" si="116"/>
        <v>-1.2352767332573737E-2</v>
      </c>
    </row>
    <row r="792" spans="2:44" x14ac:dyDescent="0.35">
      <c r="B792" s="1">
        <v>44489</v>
      </c>
      <c r="C792">
        <v>4940.53</v>
      </c>
      <c r="D792" s="1">
        <v>44491</v>
      </c>
      <c r="E792">
        <v>5.7111000000000001</v>
      </c>
      <c r="F792" s="1">
        <v>44487</v>
      </c>
      <c r="G792">
        <v>130.64599999999999</v>
      </c>
      <c r="H792" s="4">
        <f t="shared" si="108"/>
        <v>746132.37059999991</v>
      </c>
      <c r="I792" s="5">
        <v>44489</v>
      </c>
      <c r="J792" s="4">
        <v>6840.87</v>
      </c>
      <c r="K792" s="4">
        <f t="shared" si="109"/>
        <v>68408.7</v>
      </c>
      <c r="L792" s="1">
        <v>44489</v>
      </c>
      <c r="M792">
        <v>4.75</v>
      </c>
      <c r="P792" s="1">
        <v>44489</v>
      </c>
      <c r="Q792">
        <v>4.84</v>
      </c>
      <c r="R792" s="1">
        <v>44488</v>
      </c>
      <c r="S792">
        <v>4.83</v>
      </c>
      <c r="V792" s="1">
        <v>44487</v>
      </c>
      <c r="W792">
        <v>4.7699999999999996</v>
      </c>
      <c r="X792" s="1">
        <v>44489</v>
      </c>
      <c r="Y792">
        <f>NETWORKDAYS(X792,$Z$1,FERIADO!$A$2:$A$408)</f>
        <v>2321</v>
      </c>
      <c r="Z792">
        <v>11.62</v>
      </c>
      <c r="AA792" s="6">
        <f t="shared" si="110"/>
        <v>36331.293171399833</v>
      </c>
      <c r="AB792" s="2">
        <f t="shared" si="111"/>
        <v>-3.0384590787289173E-3</v>
      </c>
      <c r="AJ792" s="1">
        <v>44489</v>
      </c>
      <c r="AK792">
        <f>NETWORKDAYS(AJ792,$AJ$1,FERIADO!$A$2:$A$408)</f>
        <v>1308</v>
      </c>
      <c r="AL792">
        <v>11.27</v>
      </c>
      <c r="AM792" s="6">
        <f t="shared" si="112"/>
        <v>57448.095837011468</v>
      </c>
      <c r="AN792" s="2">
        <f t="shared" si="113"/>
        <v>-1.4384852982956653E-3</v>
      </c>
      <c r="AP792" s="11">
        <f t="shared" si="114"/>
        <v>-1.5192295393644587E-3</v>
      </c>
      <c r="AQ792" s="11">
        <f t="shared" si="115"/>
        <v>-4.3154558948869958E-4</v>
      </c>
      <c r="AR792" s="11">
        <f t="shared" si="116"/>
        <v>-1.9507751288531583E-3</v>
      </c>
    </row>
    <row r="793" spans="2:44" x14ac:dyDescent="0.35">
      <c r="B793" s="1">
        <v>44488</v>
      </c>
      <c r="C793">
        <v>4931.2700000000004</v>
      </c>
      <c r="D793" s="1">
        <v>44490</v>
      </c>
      <c r="E793">
        <v>5.6417000000000002</v>
      </c>
      <c r="F793" s="1">
        <v>44484</v>
      </c>
      <c r="G793">
        <v>130.96199999999999</v>
      </c>
      <c r="H793" s="4">
        <f t="shared" si="108"/>
        <v>738848.31539999996</v>
      </c>
      <c r="I793" s="5">
        <v>44488</v>
      </c>
      <c r="J793" s="4">
        <v>6827.44</v>
      </c>
      <c r="K793" s="4">
        <f t="shared" si="109"/>
        <v>68274.399999999994</v>
      </c>
      <c r="L793" s="1">
        <v>44488</v>
      </c>
      <c r="M793">
        <v>4.75</v>
      </c>
      <c r="P793" s="1">
        <v>44488</v>
      </c>
      <c r="Q793">
        <v>4.84</v>
      </c>
      <c r="R793" s="1">
        <v>44487</v>
      </c>
      <c r="S793">
        <v>4.74</v>
      </c>
      <c r="V793" s="1">
        <v>44484</v>
      </c>
      <c r="W793">
        <v>4.75</v>
      </c>
      <c r="X793" s="1">
        <v>44488</v>
      </c>
      <c r="Y793">
        <f>NETWORKDAYS(X793,$Z$1,FERIADO!$A$2:$A$408)</f>
        <v>2322</v>
      </c>
      <c r="Z793">
        <v>11.53</v>
      </c>
      <c r="AA793" s="6">
        <f t="shared" si="110"/>
        <v>36586.369438141795</v>
      </c>
      <c r="AB793" s="2">
        <f t="shared" si="111"/>
        <v>-1.5997634899700738E-2</v>
      </c>
      <c r="AJ793" s="1">
        <v>44488</v>
      </c>
      <c r="AK793">
        <f>NETWORKDAYS(AJ793,$AJ$1,FERIADO!$A$2:$A$408)</f>
        <v>1309</v>
      </c>
      <c r="AL793">
        <v>11.19</v>
      </c>
      <c r="AM793" s="6">
        <f t="shared" si="112"/>
        <v>57638.692896341287</v>
      </c>
      <c r="AN793" s="2">
        <f t="shared" si="113"/>
        <v>-1.0604240363551405E-2</v>
      </c>
      <c r="AP793" s="11">
        <f t="shared" si="114"/>
        <v>-7.9988174498503688E-3</v>
      </c>
      <c r="AQ793" s="11">
        <f t="shared" si="115"/>
        <v>-3.1812721090654214E-3</v>
      </c>
      <c r="AR793" s="11">
        <f t="shared" si="116"/>
        <v>-1.1180089558915789E-2</v>
      </c>
    </row>
    <row r="794" spans="2:44" x14ac:dyDescent="0.35">
      <c r="B794" s="1">
        <v>44487</v>
      </c>
      <c r="C794">
        <v>4892.18</v>
      </c>
      <c r="D794" s="1">
        <v>44489</v>
      </c>
      <c r="E794">
        <v>5.5564999999999998</v>
      </c>
      <c r="F794" s="1">
        <v>44483</v>
      </c>
      <c r="G794">
        <v>131.476</v>
      </c>
      <c r="H794" s="4">
        <f t="shared" si="108"/>
        <v>730546.39399999997</v>
      </c>
      <c r="I794" s="5">
        <v>44487</v>
      </c>
      <c r="J794" s="4">
        <v>6740.2</v>
      </c>
      <c r="K794" s="4">
        <f t="shared" si="109"/>
        <v>67402</v>
      </c>
      <c r="L794" s="1">
        <v>44487</v>
      </c>
      <c r="M794">
        <v>4.5599999999999996</v>
      </c>
      <c r="P794" s="1">
        <v>44487</v>
      </c>
      <c r="Q794">
        <v>4.68</v>
      </c>
      <c r="R794" s="1">
        <v>44484</v>
      </c>
      <c r="S794">
        <v>4.71</v>
      </c>
      <c r="V794" s="1">
        <v>44483</v>
      </c>
      <c r="W794">
        <v>4.7</v>
      </c>
      <c r="X794" s="1">
        <v>44487</v>
      </c>
      <c r="Y794">
        <f>NETWORKDAYS(X794,$Z$1,FERIADO!$A$2:$A$408)</f>
        <v>2323</v>
      </c>
      <c r="Z794">
        <v>11.08</v>
      </c>
      <c r="AA794" s="6">
        <f t="shared" si="110"/>
        <v>37959.191203264978</v>
      </c>
      <c r="AB794" s="2">
        <f t="shared" si="111"/>
        <v>-3.0653090174995561E-3</v>
      </c>
      <c r="AJ794" s="1">
        <v>44487</v>
      </c>
      <c r="AK794">
        <f>NETWORKDAYS(AJ794,$AJ$1,FERIADO!$A$2:$A$408)</f>
        <v>1310</v>
      </c>
      <c r="AL794">
        <v>10.66</v>
      </c>
      <c r="AM794" s="6">
        <f t="shared" si="112"/>
        <v>59063.38915600875</v>
      </c>
      <c r="AN794" s="2">
        <f t="shared" si="113"/>
        <v>-1.4593991079070098E-3</v>
      </c>
      <c r="AP794" s="11">
        <f t="shared" si="114"/>
        <v>-1.532654508749778E-3</v>
      </c>
      <c r="AQ794" s="11">
        <f t="shared" si="115"/>
        <v>-4.3781973237210295E-4</v>
      </c>
      <c r="AR794" s="11">
        <f t="shared" si="116"/>
        <v>-1.970474241121881E-3</v>
      </c>
    </row>
    <row r="795" spans="2:44" x14ac:dyDescent="0.35">
      <c r="B795" s="1">
        <v>44484</v>
      </c>
      <c r="C795">
        <v>4887.05</v>
      </c>
      <c r="D795" s="1">
        <v>44488</v>
      </c>
      <c r="E795">
        <v>5.5514999999999999</v>
      </c>
      <c r="F795" s="1">
        <v>44482</v>
      </c>
      <c r="G795">
        <v>131.309</v>
      </c>
      <c r="H795" s="4">
        <f t="shared" si="108"/>
        <v>728961.91349999991</v>
      </c>
      <c r="I795" s="5">
        <v>44484</v>
      </c>
      <c r="J795" s="4">
        <v>6680.41</v>
      </c>
      <c r="K795" s="4">
        <f t="shared" si="109"/>
        <v>66804.100000000006</v>
      </c>
      <c r="L795" s="1">
        <v>44484</v>
      </c>
      <c r="M795">
        <v>4.51</v>
      </c>
      <c r="P795" s="1">
        <v>44484</v>
      </c>
      <c r="Q795">
        <v>4.6399999999999997</v>
      </c>
      <c r="R795" s="1">
        <v>44483</v>
      </c>
      <c r="S795">
        <v>4.67</v>
      </c>
      <c r="V795" s="1">
        <v>44482</v>
      </c>
      <c r="W795">
        <v>4.6500000000000004</v>
      </c>
      <c r="X795" s="1">
        <v>44484</v>
      </c>
      <c r="Y795">
        <f>NETWORKDAYS(X795,$Z$1,FERIADO!$A$2:$A$408)</f>
        <v>2324</v>
      </c>
      <c r="Z795">
        <v>10.99</v>
      </c>
      <c r="AA795" s="6">
        <f t="shared" si="110"/>
        <v>38228.060033579881</v>
      </c>
      <c r="AB795" s="2">
        <f t="shared" si="111"/>
        <v>-3.4320597793992152E-3</v>
      </c>
      <c r="AJ795" s="1">
        <v>44484</v>
      </c>
      <c r="AK795">
        <f>NETWORKDAYS(AJ795,$AJ$1,FERIADO!$A$2:$A$408)</f>
        <v>1311</v>
      </c>
      <c r="AL795">
        <v>10.58</v>
      </c>
      <c r="AM795" s="6">
        <f t="shared" si="112"/>
        <v>59262.199067938651</v>
      </c>
      <c r="AN795" s="2">
        <f t="shared" si="113"/>
        <v>-2.2817170815665369E-3</v>
      </c>
      <c r="AP795" s="11">
        <f t="shared" si="114"/>
        <v>-1.7160298896996076E-3</v>
      </c>
      <c r="AQ795" s="11">
        <f t="shared" si="115"/>
        <v>-6.8451512446996105E-4</v>
      </c>
      <c r="AR795" s="11">
        <f t="shared" si="116"/>
        <v>-2.4005450141695688E-3</v>
      </c>
    </row>
    <row r="796" spans="2:44" x14ac:dyDescent="0.35">
      <c r="B796" s="1">
        <v>44483</v>
      </c>
      <c r="C796">
        <v>4848.33</v>
      </c>
      <c r="D796" s="1">
        <v>44487</v>
      </c>
      <c r="E796">
        <v>5.5186999999999999</v>
      </c>
      <c r="F796" s="1">
        <v>44480</v>
      </c>
      <c r="G796">
        <v>130.84399999999999</v>
      </c>
      <c r="H796" s="4">
        <f t="shared" si="108"/>
        <v>722088.78280000004</v>
      </c>
      <c r="I796" s="5">
        <v>44483</v>
      </c>
      <c r="J796" s="4">
        <v>6744.47</v>
      </c>
      <c r="K796" s="4">
        <f t="shared" si="109"/>
        <v>67444.7</v>
      </c>
      <c r="L796" s="1">
        <v>44483</v>
      </c>
      <c r="M796">
        <v>4.47</v>
      </c>
      <c r="P796" s="1">
        <v>44483</v>
      </c>
      <c r="Q796">
        <v>4.6100000000000003</v>
      </c>
      <c r="R796" s="1">
        <v>44482</v>
      </c>
      <c r="S796">
        <v>4.5999999999999996</v>
      </c>
      <c r="V796" s="1">
        <v>44480</v>
      </c>
      <c r="W796">
        <v>4.66</v>
      </c>
      <c r="X796" s="1">
        <v>44483</v>
      </c>
      <c r="Y796">
        <f>NETWORKDAYS(X796,$Z$1,FERIADO!$A$2:$A$408)</f>
        <v>2325</v>
      </c>
      <c r="Z796">
        <v>10.89</v>
      </c>
      <c r="AA796" s="6">
        <f t="shared" si="110"/>
        <v>38531.358316620244</v>
      </c>
      <c r="AB796" s="2">
        <f t="shared" si="111"/>
        <v>-1.2680924920923523E-3</v>
      </c>
      <c r="AJ796" s="1">
        <v>44483</v>
      </c>
      <c r="AK796">
        <f>NETWORKDAYS(AJ796,$AJ$1,FERIADO!$A$2:$A$408)</f>
        <v>1312</v>
      </c>
      <c r="AL796">
        <v>10.46</v>
      </c>
      <c r="AM796" s="6">
        <f t="shared" si="112"/>
        <v>59574.372977505889</v>
      </c>
      <c r="AN796" s="2">
        <f t="shared" si="113"/>
        <v>-4.4319550086344622E-4</v>
      </c>
      <c r="AP796" s="11">
        <f t="shared" si="114"/>
        <v>-6.3404624604617614E-4</v>
      </c>
      <c r="AQ796" s="11">
        <f t="shared" si="115"/>
        <v>-1.3295865025903387E-4</v>
      </c>
      <c r="AR796" s="11">
        <f t="shared" si="116"/>
        <v>-7.6700489630521001E-4</v>
      </c>
    </row>
    <row r="797" spans="2:44" x14ac:dyDescent="0.35">
      <c r="B797" s="1">
        <v>44482</v>
      </c>
      <c r="C797">
        <v>4757.8100000000004</v>
      </c>
      <c r="D797" s="1">
        <v>44484</v>
      </c>
      <c r="E797">
        <v>5.4504000000000001</v>
      </c>
      <c r="F797" s="1">
        <v>44477</v>
      </c>
      <c r="G797">
        <v>131.15600000000001</v>
      </c>
      <c r="H797" s="4">
        <f t="shared" si="108"/>
        <v>714852.66240000015</v>
      </c>
      <c r="I797" s="5">
        <v>44482</v>
      </c>
      <c r="J797" s="4">
        <v>6748.13</v>
      </c>
      <c r="K797" s="4">
        <f t="shared" si="109"/>
        <v>67481.3</v>
      </c>
      <c r="L797" s="1">
        <v>44482</v>
      </c>
      <c r="M797">
        <v>4.4000000000000004</v>
      </c>
      <c r="P797" s="1">
        <v>44482</v>
      </c>
      <c r="Q797">
        <v>4.57</v>
      </c>
      <c r="R797" s="1">
        <v>44480</v>
      </c>
      <c r="S797">
        <v>4.6399999999999997</v>
      </c>
      <c r="V797" s="1">
        <v>44477</v>
      </c>
      <c r="W797">
        <v>4.58</v>
      </c>
      <c r="X797" s="1">
        <v>44482</v>
      </c>
      <c r="Y797">
        <f>NETWORKDAYS(X797,$Z$1,FERIADO!$A$2:$A$408)</f>
        <v>2326</v>
      </c>
      <c r="Z797">
        <v>10.85</v>
      </c>
      <c r="AA797" s="6">
        <f t="shared" si="110"/>
        <v>38644.030092526307</v>
      </c>
      <c r="AB797" s="2">
        <f t="shared" si="111"/>
        <v>3.4322207946630855E-3</v>
      </c>
      <c r="AJ797" s="1">
        <v>44482</v>
      </c>
      <c r="AK797">
        <f>NETWORKDAYS(AJ797,$AJ$1,FERIADO!$A$2:$A$408)</f>
        <v>1313</v>
      </c>
      <c r="AL797">
        <v>10.43</v>
      </c>
      <c r="AM797" s="6">
        <f t="shared" si="112"/>
        <v>59635.199379572863</v>
      </c>
      <c r="AN797" s="2">
        <f t="shared" si="113"/>
        <v>1.8109084702680807E-3</v>
      </c>
      <c r="AP797" s="11">
        <f t="shared" si="114"/>
        <v>1.7161103973315427E-3</v>
      </c>
      <c r="AQ797" s="11">
        <f t="shared" si="115"/>
        <v>5.432725410804242E-4</v>
      </c>
      <c r="AR797" s="11">
        <f t="shared" si="116"/>
        <v>2.2593829384119669E-3</v>
      </c>
    </row>
    <row r="798" spans="2:44" x14ac:dyDescent="0.35">
      <c r="B798" s="1">
        <v>44480</v>
      </c>
      <c r="C798">
        <v>4751.4399999999996</v>
      </c>
      <c r="D798" s="1">
        <v>44483</v>
      </c>
      <c r="E798">
        <v>5.4981999999999998</v>
      </c>
      <c r="F798" s="1">
        <v>44476</v>
      </c>
      <c r="G798">
        <v>131.30799999999999</v>
      </c>
      <c r="H798" s="4">
        <f t="shared" si="108"/>
        <v>721957.64559999993</v>
      </c>
      <c r="I798" s="5">
        <v>44480</v>
      </c>
      <c r="J798" s="4">
        <v>6777.42</v>
      </c>
      <c r="K798" s="4">
        <f t="shared" si="109"/>
        <v>67774.2</v>
      </c>
      <c r="L798" s="1">
        <v>44480</v>
      </c>
      <c r="M798">
        <v>4.4000000000000004</v>
      </c>
      <c r="P798" s="1">
        <v>44480</v>
      </c>
      <c r="Q798">
        <v>4.5599999999999996</v>
      </c>
      <c r="R798" s="1">
        <v>44477</v>
      </c>
      <c r="S798">
        <v>4.55</v>
      </c>
      <c r="V798" s="1">
        <v>44475</v>
      </c>
      <c r="W798">
        <v>4.6100000000000003</v>
      </c>
      <c r="X798" s="1">
        <v>44480</v>
      </c>
      <c r="Y798">
        <f>NETWORKDAYS(X798,$Z$1,FERIADO!$A$2:$A$408)</f>
        <v>2327</v>
      </c>
      <c r="Z798">
        <v>10.94</v>
      </c>
      <c r="AA798" s="6">
        <f t="shared" si="110"/>
        <v>38339.830702868363</v>
      </c>
      <c r="AB798" s="2">
        <f t="shared" si="111"/>
        <v>-3.8011116641506865E-3</v>
      </c>
      <c r="AJ798" s="1">
        <v>44480</v>
      </c>
      <c r="AK798">
        <f>NETWORKDAYS(AJ798,$AJ$1,FERIADO!$A$2:$A$408)</f>
        <v>1314</v>
      </c>
      <c r="AL798">
        <v>10.51</v>
      </c>
      <c r="AM798" s="6">
        <f t="shared" si="112"/>
        <v>59387.051982097073</v>
      </c>
      <c r="AN798" s="2">
        <f t="shared" si="113"/>
        <v>-1.4689475800590667E-3</v>
      </c>
      <c r="AP798" s="11">
        <f t="shared" si="114"/>
        <v>-1.9005558320753433E-3</v>
      </c>
      <c r="AQ798" s="11">
        <f t="shared" si="115"/>
        <v>-4.4068427401771997E-4</v>
      </c>
      <c r="AR798" s="11">
        <f t="shared" si="116"/>
        <v>-2.3412401060930632E-3</v>
      </c>
    </row>
    <row r="799" spans="2:44" x14ac:dyDescent="0.35">
      <c r="B799" s="1">
        <v>44477</v>
      </c>
      <c r="C799">
        <v>4789.0200000000004</v>
      </c>
      <c r="D799" s="1">
        <v>44482</v>
      </c>
      <c r="E799">
        <v>5.5464000000000002</v>
      </c>
      <c r="F799" s="1">
        <v>44475</v>
      </c>
      <c r="G799">
        <v>131.66800000000001</v>
      </c>
      <c r="H799" s="4">
        <f t="shared" si="108"/>
        <v>730283.39520000014</v>
      </c>
      <c r="I799" s="5">
        <v>44477</v>
      </c>
      <c r="J799" s="4">
        <v>6746.91</v>
      </c>
      <c r="K799" s="4">
        <f t="shared" si="109"/>
        <v>67469.100000000006</v>
      </c>
      <c r="L799" s="1">
        <v>44477</v>
      </c>
      <c r="M799">
        <v>4.3600000000000003</v>
      </c>
      <c r="P799" s="1">
        <v>44477</v>
      </c>
      <c r="Q799">
        <v>4.5</v>
      </c>
      <c r="R799" s="1">
        <v>44476</v>
      </c>
      <c r="S799">
        <v>4.62</v>
      </c>
      <c r="V799" s="1">
        <v>44474</v>
      </c>
      <c r="W799">
        <v>4.6900000000000004</v>
      </c>
      <c r="X799" s="1">
        <v>44477</v>
      </c>
      <c r="Y799">
        <f>NETWORKDAYS(X799,$Z$1,FERIADO!$A$2:$A$408)</f>
        <v>2328</v>
      </c>
      <c r="Z799">
        <v>10.83</v>
      </c>
      <c r="AA799" s="6">
        <f t="shared" si="110"/>
        <v>38676.868377307394</v>
      </c>
      <c r="AB799" s="2">
        <f t="shared" si="111"/>
        <v>7.0522880418543632E-3</v>
      </c>
      <c r="AJ799" s="1">
        <v>44477</v>
      </c>
      <c r="AK799">
        <f>NETWORKDAYS(AJ799,$AJ$1,FERIADO!$A$2:$A$408)</f>
        <v>1315</v>
      </c>
      <c r="AL799">
        <v>10.43</v>
      </c>
      <c r="AM799" s="6">
        <f t="shared" si="112"/>
        <v>59588.261460263464</v>
      </c>
      <c r="AN799" s="2">
        <f t="shared" si="113"/>
        <v>4.0697973829300505E-3</v>
      </c>
      <c r="AP799" s="11">
        <f t="shared" si="114"/>
        <v>3.5261440209271816E-3</v>
      </c>
      <c r="AQ799" s="11">
        <f t="shared" si="115"/>
        <v>1.2209392148790151E-3</v>
      </c>
      <c r="AR799" s="11">
        <f t="shared" si="116"/>
        <v>4.7470832358061966E-3</v>
      </c>
    </row>
    <row r="800" spans="2:44" x14ac:dyDescent="0.35">
      <c r="B800" s="1">
        <v>44476</v>
      </c>
      <c r="C800">
        <v>4798.38</v>
      </c>
      <c r="D800" s="1">
        <v>44480</v>
      </c>
      <c r="E800">
        <v>5.5155000000000003</v>
      </c>
      <c r="F800" s="1">
        <v>44474</v>
      </c>
      <c r="G800">
        <v>131.667</v>
      </c>
      <c r="H800" s="4">
        <f t="shared" si="108"/>
        <v>726209.33850000007</v>
      </c>
      <c r="I800" s="5">
        <v>44476</v>
      </c>
      <c r="J800" s="4">
        <v>6757.89</v>
      </c>
      <c r="K800" s="4">
        <f t="shared" si="109"/>
        <v>67578.900000000009</v>
      </c>
      <c r="L800" s="1">
        <v>44476</v>
      </c>
      <c r="M800">
        <v>4.38</v>
      </c>
      <c r="P800" s="1">
        <v>44476</v>
      </c>
      <c r="Q800">
        <v>4.5599999999999996</v>
      </c>
      <c r="R800" s="1">
        <v>44475</v>
      </c>
      <c r="S800">
        <v>4.5599999999999996</v>
      </c>
      <c r="V800" s="1">
        <v>44473</v>
      </c>
      <c r="W800">
        <v>4.57</v>
      </c>
      <c r="X800" s="1">
        <v>44476</v>
      </c>
      <c r="Y800">
        <f>NETWORKDAYS(X800,$Z$1,FERIADO!$A$2:$A$408)</f>
        <v>2329</v>
      </c>
      <c r="Z800">
        <v>11.02</v>
      </c>
      <c r="AA800" s="6">
        <f t="shared" si="110"/>
        <v>38053.886144450888</v>
      </c>
      <c r="AB800" s="2">
        <f t="shared" si="111"/>
        <v>-2.7144125498130556E-3</v>
      </c>
      <c r="AJ800" s="1">
        <v>44476</v>
      </c>
      <c r="AK800">
        <f>NETWORKDAYS(AJ800,$AJ$1,FERIADO!$A$2:$A$408)</f>
        <v>1316</v>
      </c>
      <c r="AL800">
        <v>10.62</v>
      </c>
      <c r="AM800" s="6">
        <f t="shared" si="112"/>
        <v>59032.464865066198</v>
      </c>
      <c r="AN800" s="2">
        <f t="shared" si="113"/>
        <v>-2.2895582753715647E-3</v>
      </c>
      <c r="AP800" s="11">
        <f t="shared" si="114"/>
        <v>-1.3572062749065278E-3</v>
      </c>
      <c r="AQ800" s="11">
        <f t="shared" si="115"/>
        <v>-6.8686748261146942E-4</v>
      </c>
      <c r="AR800" s="11">
        <f t="shared" si="116"/>
        <v>-2.0440737575179971E-3</v>
      </c>
    </row>
    <row r="801" spans="2:44" x14ac:dyDescent="0.35">
      <c r="B801" s="1">
        <v>44475</v>
      </c>
      <c r="C801">
        <v>4758.5600000000004</v>
      </c>
      <c r="D801" s="1">
        <v>44477</v>
      </c>
      <c r="E801">
        <v>5.5077999999999996</v>
      </c>
      <c r="F801" s="1">
        <v>44473</v>
      </c>
      <c r="G801">
        <v>132.02699999999999</v>
      </c>
      <c r="H801" s="4">
        <f t="shared" si="108"/>
        <v>727178.31059999997</v>
      </c>
      <c r="I801" s="5">
        <v>44475</v>
      </c>
      <c r="J801" s="4">
        <v>6726.17</v>
      </c>
      <c r="K801" s="4">
        <f t="shared" si="109"/>
        <v>67261.7</v>
      </c>
      <c r="L801" s="1">
        <v>44475</v>
      </c>
      <c r="M801">
        <v>4.3600000000000003</v>
      </c>
      <c r="P801" s="1">
        <v>44475</v>
      </c>
      <c r="Q801">
        <v>4.51</v>
      </c>
      <c r="R801" s="1">
        <v>44474</v>
      </c>
      <c r="S801">
        <v>4.62</v>
      </c>
      <c r="V801" s="1">
        <v>44470</v>
      </c>
      <c r="W801">
        <v>4.57</v>
      </c>
      <c r="X801" s="1">
        <v>44475</v>
      </c>
      <c r="Y801">
        <f>NETWORKDAYS(X801,$Z$1,FERIADO!$A$2:$A$408)</f>
        <v>2330</v>
      </c>
      <c r="Z801">
        <v>10.94</v>
      </c>
      <c r="AA801" s="6">
        <f t="shared" si="110"/>
        <v>38292.474075360187</v>
      </c>
      <c r="AB801" s="2">
        <f t="shared" si="111"/>
        <v>4.1601336864676127E-3</v>
      </c>
      <c r="AJ801" s="1">
        <v>44475</v>
      </c>
      <c r="AK801">
        <f>NETWORKDAYS(AJ801,$AJ$1,FERIADO!$A$2:$A$408)</f>
        <v>1317</v>
      </c>
      <c r="AL801">
        <v>10.5</v>
      </c>
      <c r="AM801" s="6">
        <f t="shared" si="112"/>
        <v>59344.500066107859</v>
      </c>
      <c r="AN801" s="2">
        <f t="shared" si="113"/>
        <v>3.253369512584215E-3</v>
      </c>
      <c r="AP801" s="11">
        <f t="shared" si="114"/>
        <v>2.0800668432338063E-3</v>
      </c>
      <c r="AQ801" s="11">
        <f t="shared" si="115"/>
        <v>9.7601085377526449E-4</v>
      </c>
      <c r="AR801" s="11">
        <f t="shared" si="116"/>
        <v>3.056077697009071E-3</v>
      </c>
    </row>
    <row r="802" spans="2:44" x14ac:dyDescent="0.35">
      <c r="B802" s="1">
        <v>44474</v>
      </c>
      <c r="C802">
        <v>4739.24</v>
      </c>
      <c r="D802" s="1">
        <v>44476</v>
      </c>
      <c r="E802">
        <v>5.5133999999999999</v>
      </c>
      <c r="F802" s="1">
        <v>44470</v>
      </c>
      <c r="G802">
        <v>132.16</v>
      </c>
      <c r="H802" s="4">
        <f t="shared" si="108"/>
        <v>728650.94400000002</v>
      </c>
      <c r="I802" s="5">
        <v>44474</v>
      </c>
      <c r="J802" s="4">
        <v>6712.14</v>
      </c>
      <c r="K802" s="4">
        <f t="shared" si="109"/>
        <v>67121.400000000009</v>
      </c>
      <c r="L802" s="1">
        <v>44474</v>
      </c>
      <c r="M802">
        <v>4.46</v>
      </c>
      <c r="P802" s="1">
        <v>44474</v>
      </c>
      <c r="Q802">
        <v>4.58</v>
      </c>
      <c r="R802" s="1">
        <v>44473</v>
      </c>
      <c r="S802">
        <v>4.58</v>
      </c>
      <c r="V802" s="1">
        <v>44469</v>
      </c>
      <c r="W802">
        <v>4.62</v>
      </c>
      <c r="X802" s="1">
        <v>44474</v>
      </c>
      <c r="Y802">
        <f>NETWORKDAYS(X802,$Z$1,FERIADO!$A$2:$A$408)</f>
        <v>2331</v>
      </c>
      <c r="Z802">
        <v>11.05</v>
      </c>
      <c r="AA802" s="6">
        <f t="shared" si="110"/>
        <v>37927.419331660807</v>
      </c>
      <c r="AB802" s="2">
        <f t="shared" si="111"/>
        <v>-1.2672487942276592E-3</v>
      </c>
      <c r="AJ802" s="1">
        <v>44474</v>
      </c>
      <c r="AK802">
        <f>NETWORKDAYS(AJ802,$AJ$1,FERIADO!$A$2:$A$408)</f>
        <v>1318</v>
      </c>
      <c r="AL802">
        <v>10.65</v>
      </c>
      <c r="AM802" s="6">
        <f t="shared" si="112"/>
        <v>58901.601894342595</v>
      </c>
      <c r="AN802" s="2">
        <f t="shared" si="113"/>
        <v>-6.4748330673126877E-4</v>
      </c>
      <c r="AP802" s="11">
        <f t="shared" si="114"/>
        <v>-6.3362439711382962E-4</v>
      </c>
      <c r="AQ802" s="11">
        <f t="shared" si="115"/>
        <v>-1.9424499201938061E-4</v>
      </c>
      <c r="AR802" s="11">
        <f t="shared" si="116"/>
        <v>-8.278693891332102E-4</v>
      </c>
    </row>
    <row r="803" spans="2:44" x14ac:dyDescent="0.35">
      <c r="B803" s="1">
        <v>44473</v>
      </c>
      <c r="C803">
        <v>4694.95</v>
      </c>
      <c r="D803" s="1">
        <v>44475</v>
      </c>
      <c r="E803">
        <v>5.5091000000000001</v>
      </c>
      <c r="F803" s="1">
        <v>44469</v>
      </c>
      <c r="G803">
        <v>131.922</v>
      </c>
      <c r="H803" s="4">
        <f t="shared" si="108"/>
        <v>726771.4902</v>
      </c>
      <c r="I803" s="5">
        <v>44473</v>
      </c>
      <c r="J803" s="4">
        <v>6687.73</v>
      </c>
      <c r="K803" s="4">
        <f t="shared" si="109"/>
        <v>66877.299999999988</v>
      </c>
      <c r="L803" s="1">
        <v>44473</v>
      </c>
      <c r="M803">
        <v>4.42</v>
      </c>
      <c r="P803" s="1">
        <v>44473</v>
      </c>
      <c r="Q803">
        <v>4.53</v>
      </c>
      <c r="R803" s="1">
        <v>44470</v>
      </c>
      <c r="S803">
        <v>4.54</v>
      </c>
      <c r="V803" s="1">
        <v>44468</v>
      </c>
      <c r="W803">
        <v>4.5599999999999996</v>
      </c>
      <c r="X803" s="1">
        <v>44473</v>
      </c>
      <c r="Y803">
        <f>NETWORKDAYS(X803,$Z$1,FERIADO!$A$2:$A$408)</f>
        <v>2332</v>
      </c>
      <c r="Z803">
        <v>11.01</v>
      </c>
      <c r="AA803" s="6">
        <f t="shared" si="110"/>
        <v>38038.251198156875</v>
      </c>
      <c r="AB803" s="2">
        <f t="shared" si="111"/>
        <v>-3.0810233901580161E-3</v>
      </c>
      <c r="AJ803" s="1">
        <v>44473</v>
      </c>
      <c r="AK803">
        <f>NETWORKDAYS(AJ803,$AJ$1,FERIADO!$A$2:$A$408)</f>
        <v>1319</v>
      </c>
      <c r="AL803">
        <v>10.61</v>
      </c>
      <c r="AM803" s="6">
        <f t="shared" si="112"/>
        <v>58989.482927231795</v>
      </c>
      <c r="AN803" s="2">
        <f t="shared" si="113"/>
        <v>-1.0605458343465662E-3</v>
      </c>
      <c r="AP803" s="11">
        <f t="shared" si="114"/>
        <v>-1.5405116950790081E-3</v>
      </c>
      <c r="AQ803" s="11">
        <f t="shared" si="115"/>
        <v>-3.1816375030396983E-4</v>
      </c>
      <c r="AR803" s="11">
        <f t="shared" si="116"/>
        <v>-1.8586754453829778E-3</v>
      </c>
    </row>
    <row r="804" spans="2:44" x14ac:dyDescent="0.35">
      <c r="B804" s="1">
        <v>44470</v>
      </c>
      <c r="C804">
        <v>4755.76</v>
      </c>
      <c r="D804" s="1">
        <v>44474</v>
      </c>
      <c r="E804">
        <v>5.4604999999999997</v>
      </c>
      <c r="F804" s="1">
        <v>44468</v>
      </c>
      <c r="G804">
        <v>131.59</v>
      </c>
      <c r="H804" s="4">
        <f t="shared" si="108"/>
        <v>718547.19499999995</v>
      </c>
      <c r="I804" s="5">
        <v>44470</v>
      </c>
      <c r="J804" s="4">
        <v>6573.04</v>
      </c>
      <c r="K804" s="4">
        <f t="shared" si="109"/>
        <v>65730.399999999994</v>
      </c>
      <c r="L804" s="1">
        <v>44470</v>
      </c>
      <c r="M804">
        <v>4.3499999999999996</v>
      </c>
      <c r="P804" s="1">
        <v>44470</v>
      </c>
      <c r="Q804">
        <v>4.46</v>
      </c>
      <c r="R804" s="1">
        <v>44469</v>
      </c>
      <c r="S804">
        <v>4.59</v>
      </c>
      <c r="V804" s="1">
        <v>44467</v>
      </c>
      <c r="W804">
        <v>4.57</v>
      </c>
      <c r="X804" s="1">
        <v>44470</v>
      </c>
      <c r="Y804">
        <f>NETWORKDAYS(X804,$Z$1,FERIADO!$A$2:$A$408)</f>
        <v>2333</v>
      </c>
      <c r="Z804">
        <v>10.92</v>
      </c>
      <c r="AA804" s="6">
        <f t="shared" si="110"/>
        <v>38309.066156416426</v>
      </c>
      <c r="AB804" s="2">
        <f t="shared" si="111"/>
        <v>5.6145239906410021E-3</v>
      </c>
      <c r="AJ804" s="1">
        <v>44470</v>
      </c>
      <c r="AK804">
        <f>NETWORKDAYS(AJ804,$AJ$1,FERIADO!$A$2:$A$408)</f>
        <v>1320</v>
      </c>
      <c r="AL804">
        <v>10.55</v>
      </c>
      <c r="AM804" s="6">
        <f t="shared" si="112"/>
        <v>59133.711099970002</v>
      </c>
      <c r="AN804" s="2">
        <f t="shared" si="113"/>
        <v>3.0541027336394174E-3</v>
      </c>
      <c r="AP804" s="11">
        <f t="shared" si="114"/>
        <v>2.8072619953205011E-3</v>
      </c>
      <c r="AQ804" s="11">
        <f t="shared" si="115"/>
        <v>9.1623082009182515E-4</v>
      </c>
      <c r="AR804" s="11">
        <f t="shared" si="116"/>
        <v>3.7234928154123263E-3</v>
      </c>
    </row>
    <row r="805" spans="2:44" x14ac:dyDescent="0.35">
      <c r="B805" s="1">
        <v>44469</v>
      </c>
      <c r="C805">
        <v>4696.5200000000004</v>
      </c>
      <c r="D805" s="1">
        <v>44473</v>
      </c>
      <c r="E805">
        <v>5.4198000000000004</v>
      </c>
      <c r="F805" s="1">
        <v>44467</v>
      </c>
      <c r="G805">
        <v>131.446</v>
      </c>
      <c r="H805" s="4">
        <f t="shared" si="108"/>
        <v>712411.03080000007</v>
      </c>
      <c r="I805" s="5">
        <v>44469</v>
      </c>
      <c r="J805" s="4">
        <v>6671.26</v>
      </c>
      <c r="K805" s="4">
        <f t="shared" si="109"/>
        <v>66712.600000000006</v>
      </c>
      <c r="L805" s="1">
        <v>44469</v>
      </c>
      <c r="M805">
        <v>4.3899999999999997</v>
      </c>
      <c r="P805" s="1">
        <v>44469</v>
      </c>
      <c r="Q805">
        <v>4.53</v>
      </c>
      <c r="R805" s="1">
        <v>44468</v>
      </c>
      <c r="S805">
        <v>4.53</v>
      </c>
      <c r="V805" s="1">
        <v>44466</v>
      </c>
      <c r="W805">
        <v>4.54</v>
      </c>
      <c r="X805" s="1">
        <v>44469</v>
      </c>
      <c r="Y805">
        <f>NETWORKDAYS(X805,$Z$1,FERIADO!$A$2:$A$408)</f>
        <v>2334</v>
      </c>
      <c r="Z805">
        <v>11.07</v>
      </c>
      <c r="AA805" s="6">
        <f t="shared" si="110"/>
        <v>37816.997209908637</v>
      </c>
      <c r="AB805" s="2">
        <f t="shared" si="111"/>
        <v>-2.7185417908229077E-3</v>
      </c>
      <c r="AJ805" s="1">
        <v>44469</v>
      </c>
      <c r="AK805">
        <f>NETWORKDAYS(AJ805,$AJ$1,FERIADO!$A$2:$A$408)</f>
        <v>1321</v>
      </c>
      <c r="AL805">
        <v>10.69</v>
      </c>
      <c r="AM805" s="6">
        <f t="shared" si="112"/>
        <v>58719.3220134617</v>
      </c>
      <c r="AN805" s="2">
        <f t="shared" si="113"/>
        <v>-2.296256091055843E-3</v>
      </c>
      <c r="AP805" s="11">
        <f t="shared" si="114"/>
        <v>-1.3592708954114538E-3</v>
      </c>
      <c r="AQ805" s="11">
        <f t="shared" si="115"/>
        <v>-6.8887682731675292E-4</v>
      </c>
      <c r="AR805" s="11">
        <f t="shared" si="116"/>
        <v>-2.0481477227282069E-3</v>
      </c>
    </row>
    <row r="806" spans="2:44" x14ac:dyDescent="0.35">
      <c r="B806" s="1">
        <v>44468</v>
      </c>
      <c r="C806">
        <v>4763.3999999999996</v>
      </c>
      <c r="D806" s="1">
        <v>44470</v>
      </c>
      <c r="E806">
        <v>5.3905000000000003</v>
      </c>
      <c r="F806" s="1">
        <v>44466</v>
      </c>
      <c r="G806">
        <v>131.70599999999999</v>
      </c>
      <c r="H806" s="4">
        <f t="shared" si="108"/>
        <v>709961.19299999997</v>
      </c>
      <c r="I806" s="5">
        <v>44468</v>
      </c>
      <c r="J806" s="4">
        <v>6633.44</v>
      </c>
      <c r="K806" s="4">
        <f t="shared" si="109"/>
        <v>66334.399999999994</v>
      </c>
      <c r="L806" s="1">
        <v>44468</v>
      </c>
      <c r="M806">
        <v>4.3499999999999996</v>
      </c>
      <c r="P806" s="1">
        <v>44468</v>
      </c>
      <c r="Q806">
        <v>4.47</v>
      </c>
      <c r="R806" s="1">
        <v>44467</v>
      </c>
      <c r="S806">
        <v>4.57</v>
      </c>
      <c r="V806" s="1">
        <v>44463</v>
      </c>
      <c r="W806">
        <v>4.51</v>
      </c>
      <c r="X806" s="1">
        <v>44468</v>
      </c>
      <c r="Y806">
        <f>NETWORKDAYS(X806,$Z$1,FERIADO!$A$2:$A$408)</f>
        <v>2335</v>
      </c>
      <c r="Z806">
        <v>10.99</v>
      </c>
      <c r="AA806" s="6">
        <f t="shared" si="110"/>
        <v>38054.461726438334</v>
      </c>
      <c r="AB806" s="2">
        <f t="shared" si="111"/>
        <v>2.3554360735455575E-3</v>
      </c>
      <c r="AJ806" s="1">
        <v>44468</v>
      </c>
      <c r="AK806">
        <f>NETWORKDAYS(AJ806,$AJ$1,FERIADO!$A$2:$A$408)</f>
        <v>1322</v>
      </c>
      <c r="AL806">
        <v>10.57</v>
      </c>
      <c r="AM806" s="6">
        <f t="shared" si="112"/>
        <v>59030.612376836507</v>
      </c>
      <c r="AN806" s="2">
        <f t="shared" si="113"/>
        <v>2.2343157849051944E-3</v>
      </c>
      <c r="AP806" s="11">
        <f t="shared" si="114"/>
        <v>1.1777180367727787E-3</v>
      </c>
      <c r="AQ806" s="11">
        <f t="shared" si="115"/>
        <v>6.7029473547155832E-4</v>
      </c>
      <c r="AR806" s="11">
        <f t="shared" si="116"/>
        <v>1.8480127722443371E-3</v>
      </c>
    </row>
    <row r="807" spans="2:44" x14ac:dyDescent="0.35">
      <c r="B807" s="1">
        <v>44467</v>
      </c>
      <c r="C807">
        <v>4750.17</v>
      </c>
      <c r="D807" s="1">
        <v>44469</v>
      </c>
      <c r="E807">
        <v>5.4387999999999996</v>
      </c>
      <c r="F807" s="1">
        <v>44463</v>
      </c>
      <c r="G807">
        <v>132.04400000000001</v>
      </c>
      <c r="H807" s="4">
        <f t="shared" si="108"/>
        <v>718160.90720000002</v>
      </c>
      <c r="I807" s="5">
        <v>44467</v>
      </c>
      <c r="J807" s="4">
        <v>6656.11</v>
      </c>
      <c r="K807" s="4">
        <f t="shared" si="109"/>
        <v>66561.099999999991</v>
      </c>
      <c r="L807" s="1">
        <v>44467</v>
      </c>
      <c r="M807">
        <v>4.41</v>
      </c>
      <c r="P807" s="1">
        <v>44467</v>
      </c>
      <c r="Q807">
        <v>4.5199999999999996</v>
      </c>
      <c r="R807" s="1">
        <v>44466</v>
      </c>
      <c r="S807">
        <v>4.5</v>
      </c>
      <c r="V807" s="1">
        <v>44462</v>
      </c>
      <c r="W807">
        <v>4.49</v>
      </c>
      <c r="X807" s="1">
        <v>44467</v>
      </c>
      <c r="Y807">
        <f>NETWORKDAYS(X807,$Z$1,FERIADO!$A$2:$A$408)</f>
        <v>2336</v>
      </c>
      <c r="Z807">
        <v>11.05</v>
      </c>
      <c r="AA807" s="6">
        <f t="shared" si="110"/>
        <v>37848.628534797215</v>
      </c>
      <c r="AB807" s="2">
        <f t="shared" si="111"/>
        <v>-2.7218584692385631E-3</v>
      </c>
      <c r="AJ807" s="1">
        <v>44467</v>
      </c>
      <c r="AK807">
        <f>NETWORKDAYS(AJ807,$AJ$1,FERIADO!$A$2:$A$408)</f>
        <v>1323</v>
      </c>
      <c r="AL807">
        <v>10.67</v>
      </c>
      <c r="AM807" s="6">
        <f t="shared" si="112"/>
        <v>58727.697326325644</v>
      </c>
      <c r="AN807" s="2">
        <f t="shared" si="113"/>
        <v>-2.094361505124201E-3</v>
      </c>
      <c r="AP807" s="11">
        <f t="shared" si="114"/>
        <v>-1.3609292346192816E-3</v>
      </c>
      <c r="AQ807" s="11">
        <f t="shared" si="115"/>
        <v>-6.2830845153726033E-4</v>
      </c>
      <c r="AR807" s="11">
        <f t="shared" si="116"/>
        <v>-1.9892376861565418E-3</v>
      </c>
    </row>
    <row r="808" spans="2:44" x14ac:dyDescent="0.35">
      <c r="B808" s="1">
        <v>44466</v>
      </c>
      <c r="C808">
        <v>4839.47</v>
      </c>
      <c r="D808" s="1">
        <v>44468</v>
      </c>
      <c r="E808">
        <v>5.4166999999999996</v>
      </c>
      <c r="F808" s="1">
        <v>44462</v>
      </c>
      <c r="G808">
        <v>132.19</v>
      </c>
      <c r="H808" s="4">
        <f t="shared" si="108"/>
        <v>716033.57299999997</v>
      </c>
      <c r="I808" s="5">
        <v>44466</v>
      </c>
      <c r="J808" s="4">
        <v>6612.6</v>
      </c>
      <c r="K808" s="4">
        <f t="shared" si="109"/>
        <v>66126</v>
      </c>
      <c r="L808" s="1">
        <v>44466</v>
      </c>
      <c r="M808">
        <v>4.37</v>
      </c>
      <c r="P808" s="1">
        <v>44466</v>
      </c>
      <c r="Q808">
        <v>4.46</v>
      </c>
      <c r="R808" s="1">
        <v>44463</v>
      </c>
      <c r="S808">
        <v>4.5</v>
      </c>
      <c r="V808" s="1">
        <v>44461</v>
      </c>
      <c r="W808">
        <v>4.41</v>
      </c>
      <c r="X808" s="1">
        <v>44466</v>
      </c>
      <c r="Y808">
        <f>NETWORKDAYS(X808,$Z$1,FERIADO!$A$2:$A$408)</f>
        <v>2337</v>
      </c>
      <c r="Z808">
        <v>10.97</v>
      </c>
      <c r="AA808" s="6">
        <f t="shared" si="110"/>
        <v>38086.582537728071</v>
      </c>
      <c r="AB808" s="2">
        <f t="shared" si="111"/>
        <v>-2.7264365114038924E-3</v>
      </c>
      <c r="AJ808" s="1">
        <v>44466</v>
      </c>
      <c r="AK808">
        <f>NETWORKDAYS(AJ808,$AJ$1,FERIADO!$A$2:$A$408)</f>
        <v>1324</v>
      </c>
      <c r="AL808">
        <v>10.56</v>
      </c>
      <c r="AM808" s="6">
        <f t="shared" si="112"/>
        <v>59011.592434949576</v>
      </c>
      <c r="AN808" s="2">
        <f t="shared" si="113"/>
        <v>-2.1000495436778815E-3</v>
      </c>
      <c r="AP808" s="11">
        <f t="shared" si="114"/>
        <v>-1.3632182557019462E-3</v>
      </c>
      <c r="AQ808" s="11">
        <f t="shared" si="115"/>
        <v>-6.3001486310336442E-4</v>
      </c>
      <c r="AR808" s="11">
        <f t="shared" si="116"/>
        <v>-1.9932331188053107E-3</v>
      </c>
    </row>
    <row r="809" spans="2:44" x14ac:dyDescent="0.35">
      <c r="B809" s="1">
        <v>44463</v>
      </c>
      <c r="C809">
        <v>4858.1899999999996</v>
      </c>
      <c r="D809" s="1">
        <v>44467</v>
      </c>
      <c r="E809">
        <v>5.42</v>
      </c>
      <c r="F809" s="1">
        <v>44461</v>
      </c>
      <c r="G809">
        <v>133.13999999999999</v>
      </c>
      <c r="H809" s="4">
        <f t="shared" si="108"/>
        <v>721618.79999999993</v>
      </c>
      <c r="I809" s="5">
        <v>44463</v>
      </c>
      <c r="J809" s="4">
        <v>6548.26</v>
      </c>
      <c r="K809" s="4">
        <f t="shared" si="109"/>
        <v>65482.600000000006</v>
      </c>
      <c r="L809" s="1">
        <v>44463</v>
      </c>
      <c r="M809">
        <v>4.34</v>
      </c>
      <c r="P809" s="1">
        <v>44463</v>
      </c>
      <c r="Q809">
        <v>4.4400000000000004</v>
      </c>
      <c r="R809" s="1">
        <v>44462</v>
      </c>
      <c r="S809">
        <v>4.45</v>
      </c>
      <c r="V809" s="1">
        <v>44460</v>
      </c>
      <c r="W809">
        <v>4.38</v>
      </c>
      <c r="X809" s="1">
        <v>44463</v>
      </c>
      <c r="Y809">
        <f>NETWORKDAYS(X809,$Z$1,FERIADO!$A$2:$A$408)</f>
        <v>2338</v>
      </c>
      <c r="Z809">
        <v>10.89</v>
      </c>
      <c r="AA809" s="6">
        <f t="shared" si="110"/>
        <v>38326.436564983371</v>
      </c>
      <c r="AB809" s="2">
        <f t="shared" si="111"/>
        <v>-3.0948135127140709E-3</v>
      </c>
      <c r="AJ809" s="1">
        <v>44463</v>
      </c>
      <c r="AK809">
        <f>NETWORKDAYS(AJ809,$AJ$1,FERIADO!$A$2:$A$408)</f>
        <v>1325</v>
      </c>
      <c r="AL809">
        <v>10.45</v>
      </c>
      <c r="AM809" s="6">
        <f t="shared" si="112"/>
        <v>59297.636546219699</v>
      </c>
      <c r="AN809" s="2">
        <f t="shared" si="113"/>
        <v>-1.8986498133363224E-3</v>
      </c>
      <c r="AP809" s="11">
        <f t="shared" si="114"/>
        <v>-1.5474067563570355E-3</v>
      </c>
      <c r="AQ809" s="11">
        <f t="shared" si="115"/>
        <v>-5.6959494400089675E-4</v>
      </c>
      <c r="AR809" s="11">
        <f t="shared" si="116"/>
        <v>-2.1170017003579321E-3</v>
      </c>
    </row>
    <row r="810" spans="2:44" x14ac:dyDescent="0.35">
      <c r="B810" s="1">
        <v>44462</v>
      </c>
      <c r="C810">
        <v>4853.3500000000004</v>
      </c>
      <c r="D810" s="1">
        <v>44466</v>
      </c>
      <c r="E810">
        <v>5.3472</v>
      </c>
      <c r="F810" s="1">
        <v>44460</v>
      </c>
      <c r="G810">
        <v>133.15</v>
      </c>
      <c r="H810" s="4">
        <f t="shared" si="108"/>
        <v>711979.68</v>
      </c>
      <c r="I810" s="5">
        <v>44462</v>
      </c>
      <c r="J810" s="4">
        <v>6509.65</v>
      </c>
      <c r="K810" s="4">
        <f t="shared" si="109"/>
        <v>65096.5</v>
      </c>
      <c r="L810" s="1">
        <v>44462</v>
      </c>
      <c r="M810">
        <v>4.32</v>
      </c>
      <c r="P810" s="1">
        <v>44462</v>
      </c>
      <c r="Q810">
        <v>4.42</v>
      </c>
      <c r="R810" s="1">
        <v>44461</v>
      </c>
      <c r="S810">
        <v>4.3899999999999997</v>
      </c>
      <c r="V810" s="1">
        <v>44459</v>
      </c>
      <c r="W810">
        <v>4.4400000000000004</v>
      </c>
      <c r="X810" s="1">
        <v>44462</v>
      </c>
      <c r="Y810">
        <f>NETWORKDAYS(X810,$Z$1,FERIADO!$A$2:$A$408)</f>
        <v>2339</v>
      </c>
      <c r="Z810">
        <v>10.8</v>
      </c>
      <c r="AA810" s="6">
        <f t="shared" si="110"/>
        <v>38600.528931760688</v>
      </c>
      <c r="AB810" s="2">
        <f t="shared" si="111"/>
        <v>-6.7445298235175935E-3</v>
      </c>
      <c r="AJ810" s="1">
        <v>44462</v>
      </c>
      <c r="AK810">
        <f>NETWORKDAYS(AJ810,$AJ$1,FERIADO!$A$2:$A$408)</f>
        <v>1326</v>
      </c>
      <c r="AL810">
        <v>10.35</v>
      </c>
      <c r="AM810" s="6">
        <f t="shared" si="112"/>
        <v>59557.441611609858</v>
      </c>
      <c r="AN810" s="2">
        <f t="shared" si="113"/>
        <v>-2.9410460297366109E-3</v>
      </c>
      <c r="AP810" s="11">
        <f t="shared" si="114"/>
        <v>-3.3722649117587968E-3</v>
      </c>
      <c r="AQ810" s="11">
        <f t="shared" si="115"/>
        <v>-8.8231380892098317E-4</v>
      </c>
      <c r="AR810" s="11">
        <f t="shared" si="116"/>
        <v>-4.2545787206797799E-3</v>
      </c>
    </row>
    <row r="811" spans="2:44" x14ac:dyDescent="0.35">
      <c r="B811" s="1">
        <v>44461</v>
      </c>
      <c r="C811">
        <v>4794.42</v>
      </c>
      <c r="D811" s="1">
        <v>44463</v>
      </c>
      <c r="E811">
        <v>5.3429000000000002</v>
      </c>
      <c r="F811" s="1">
        <v>44459</v>
      </c>
      <c r="G811">
        <v>133.26900000000001</v>
      </c>
      <c r="H811" s="4">
        <f t="shared" si="108"/>
        <v>712042.94010000001</v>
      </c>
      <c r="I811" s="5">
        <v>44461</v>
      </c>
      <c r="J811" s="4">
        <v>6493.72</v>
      </c>
      <c r="K811" s="4">
        <f t="shared" si="109"/>
        <v>64937.200000000004</v>
      </c>
      <c r="L811" s="1">
        <v>44461</v>
      </c>
      <c r="M811">
        <v>4.28</v>
      </c>
      <c r="P811" s="1">
        <v>44461</v>
      </c>
      <c r="Q811">
        <v>4.3499999999999996</v>
      </c>
      <c r="R811" s="1">
        <v>44460</v>
      </c>
      <c r="S811">
        <v>4.3600000000000003</v>
      </c>
      <c r="V811" s="1">
        <v>44456</v>
      </c>
      <c r="W811">
        <v>4.4400000000000004</v>
      </c>
      <c r="X811" s="1">
        <v>44461</v>
      </c>
      <c r="Y811">
        <f>NETWORKDAYS(X811,$Z$1,FERIADO!$A$2:$A$408)</f>
        <v>2340</v>
      </c>
      <c r="Z811">
        <v>10.61</v>
      </c>
      <c r="AA811" s="6">
        <f t="shared" si="110"/>
        <v>39204.668461192981</v>
      </c>
      <c r="AB811" s="2">
        <f t="shared" si="111"/>
        <v>4.1840018986787639E-3</v>
      </c>
      <c r="AJ811" s="1">
        <v>44461</v>
      </c>
      <c r="AK811">
        <f>NETWORKDAYS(AJ811,$AJ$1,FERIADO!$A$2:$A$408)</f>
        <v>1327</v>
      </c>
      <c r="AL811">
        <v>10.199999999999999</v>
      </c>
      <c r="AM811" s="6">
        <f t="shared" si="112"/>
        <v>59962.133870242207</v>
      </c>
      <c r="AN811" s="2">
        <f t="shared" si="113"/>
        <v>1.2055651084671259E-3</v>
      </c>
      <c r="AP811" s="11">
        <f t="shared" si="114"/>
        <v>2.092000949339382E-3</v>
      </c>
      <c r="AQ811" s="11">
        <f t="shared" si="115"/>
        <v>3.6166953254013776E-4</v>
      </c>
      <c r="AR811" s="11">
        <f t="shared" si="116"/>
        <v>2.4536704818795196E-3</v>
      </c>
    </row>
    <row r="812" spans="2:44" x14ac:dyDescent="0.35">
      <c r="B812" s="1">
        <v>44460</v>
      </c>
      <c r="C812">
        <v>4747.59</v>
      </c>
      <c r="D812" s="1">
        <v>44462</v>
      </c>
      <c r="E812">
        <v>5.2885</v>
      </c>
      <c r="F812" s="1">
        <v>44456</v>
      </c>
      <c r="G812">
        <v>132.81299999999999</v>
      </c>
      <c r="H812" s="4">
        <f t="shared" si="108"/>
        <v>702381.5504999999</v>
      </c>
      <c r="I812" s="5">
        <v>44460</v>
      </c>
      <c r="J812" s="4">
        <v>6467.98</v>
      </c>
      <c r="K812" s="4">
        <f t="shared" si="109"/>
        <v>64679.799999999996</v>
      </c>
      <c r="L812" s="1">
        <v>44460</v>
      </c>
      <c r="M812">
        <v>4.22</v>
      </c>
      <c r="P812" s="1">
        <v>44460</v>
      </c>
      <c r="Q812">
        <v>4.33</v>
      </c>
      <c r="R812" s="1">
        <v>44459</v>
      </c>
      <c r="S812">
        <v>4.4400000000000004</v>
      </c>
      <c r="V812" s="1">
        <v>44455</v>
      </c>
      <c r="W812">
        <v>4.43</v>
      </c>
      <c r="X812" s="1">
        <v>44460</v>
      </c>
      <c r="Y812">
        <f>NETWORKDAYS(X812,$Z$1,FERIADO!$A$2:$A$408)</f>
        <v>2341</v>
      </c>
      <c r="Z812">
        <v>10.72</v>
      </c>
      <c r="AA812" s="6">
        <f t="shared" si="110"/>
        <v>38828.783434721008</v>
      </c>
      <c r="AB812" s="2">
        <f t="shared" si="111"/>
        <v>9.6424160278983945E-3</v>
      </c>
      <c r="AJ812" s="1">
        <v>44460</v>
      </c>
      <c r="AK812">
        <f>NETWORKDAYS(AJ812,$AJ$1,FERIADO!$A$2:$A$408)</f>
        <v>1328</v>
      </c>
      <c r="AL812">
        <v>10.25</v>
      </c>
      <c r="AM812" s="6">
        <f t="shared" si="112"/>
        <v>59795.914820420454</v>
      </c>
      <c r="AN812" s="2">
        <f t="shared" si="113"/>
        <v>6.1848584795817464E-3</v>
      </c>
      <c r="AP812" s="11">
        <f t="shared" si="114"/>
        <v>4.8212080139491973E-3</v>
      </c>
      <c r="AQ812" s="11">
        <f t="shared" si="115"/>
        <v>1.8554575438745238E-3</v>
      </c>
      <c r="AR812" s="11">
        <f t="shared" si="116"/>
        <v>6.6766655578237213E-3</v>
      </c>
    </row>
    <row r="813" spans="2:44" x14ac:dyDescent="0.35">
      <c r="B813" s="1">
        <v>44459</v>
      </c>
      <c r="C813">
        <v>4743.74</v>
      </c>
      <c r="D813" s="1">
        <v>44461</v>
      </c>
      <c r="E813">
        <v>5.2777000000000003</v>
      </c>
      <c r="F813" s="1">
        <v>44455</v>
      </c>
      <c r="G813">
        <v>133.10300000000001</v>
      </c>
      <c r="H813" s="4">
        <f t="shared" si="108"/>
        <v>702477.70310000004</v>
      </c>
      <c r="I813" s="5">
        <v>44459</v>
      </c>
      <c r="J813" s="4">
        <v>6539.68</v>
      </c>
      <c r="K813" s="4">
        <f t="shared" si="109"/>
        <v>65396.800000000003</v>
      </c>
      <c r="L813" s="1">
        <v>44459</v>
      </c>
      <c r="M813">
        <v>4.28</v>
      </c>
      <c r="P813" s="1">
        <v>44459</v>
      </c>
      <c r="Q813">
        <v>4.3499999999999996</v>
      </c>
      <c r="R813" s="1">
        <v>44456</v>
      </c>
      <c r="S813">
        <v>4.43</v>
      </c>
      <c r="V813" s="1">
        <v>44454</v>
      </c>
      <c r="W813">
        <v>4.38</v>
      </c>
      <c r="X813" s="1">
        <v>44459</v>
      </c>
      <c r="Y813">
        <f>NETWORKDAYS(X813,$Z$1,FERIADO!$A$2:$A$408)</f>
        <v>2342</v>
      </c>
      <c r="Z813">
        <v>10.98</v>
      </c>
      <c r="AA813" s="6">
        <f t="shared" si="110"/>
        <v>37976.18790749328</v>
      </c>
      <c r="AB813" s="2">
        <f t="shared" si="111"/>
        <v>2.3619971378435341E-3</v>
      </c>
      <c r="AJ813" s="1">
        <v>44459</v>
      </c>
      <c r="AK813">
        <f>NETWORKDAYS(AJ813,$AJ$1,FERIADO!$A$2:$A$408)</f>
        <v>1329</v>
      </c>
      <c r="AL813">
        <v>10.54</v>
      </c>
      <c r="AM813" s="6">
        <f t="shared" si="112"/>
        <v>58950.386398623166</v>
      </c>
      <c r="AN813" s="2">
        <f t="shared" si="113"/>
        <v>2.0381381507327606E-3</v>
      </c>
      <c r="AP813" s="11">
        <f t="shared" si="114"/>
        <v>1.1809985689217671E-3</v>
      </c>
      <c r="AQ813" s="11">
        <f t="shared" si="115"/>
        <v>6.1144144521982813E-4</v>
      </c>
      <c r="AR813" s="11">
        <f t="shared" si="116"/>
        <v>1.7924400141415952E-3</v>
      </c>
    </row>
    <row r="814" spans="2:44" x14ac:dyDescent="0.35">
      <c r="B814" s="1">
        <v>44456</v>
      </c>
      <c r="C814">
        <v>4823.53</v>
      </c>
      <c r="D814" s="1">
        <v>44460</v>
      </c>
      <c r="E814">
        <v>5.3037999999999998</v>
      </c>
      <c r="F814" s="1">
        <v>44454</v>
      </c>
      <c r="G814">
        <v>133.40299999999999</v>
      </c>
      <c r="H814" s="4">
        <f t="shared" si="108"/>
        <v>707542.83139999991</v>
      </c>
      <c r="I814" s="5">
        <v>44456</v>
      </c>
      <c r="J814" s="4">
        <v>6492.5</v>
      </c>
      <c r="K814" s="4">
        <f t="shared" si="109"/>
        <v>64925</v>
      </c>
      <c r="L814" s="1">
        <v>44456</v>
      </c>
      <c r="M814">
        <v>4.3</v>
      </c>
      <c r="P814" s="1">
        <v>44456</v>
      </c>
      <c r="Q814">
        <v>4.38</v>
      </c>
      <c r="R814" s="1">
        <v>44455</v>
      </c>
      <c r="S814">
        <v>4.4000000000000004</v>
      </c>
      <c r="V814" s="1">
        <v>44453</v>
      </c>
      <c r="W814">
        <v>4.3899999999999997</v>
      </c>
      <c r="X814" s="1">
        <v>44456</v>
      </c>
      <c r="Y814">
        <f>NETWORKDAYS(X814,$Z$1,FERIADO!$A$2:$A$408)</f>
        <v>2343</v>
      </c>
      <c r="Z814">
        <v>11.04</v>
      </c>
      <c r="AA814" s="6">
        <f t="shared" si="110"/>
        <v>37770.207477685377</v>
      </c>
      <c r="AB814" s="2">
        <f t="shared" si="111"/>
        <v>-9.1107150440240478E-4</v>
      </c>
      <c r="AJ814" s="1">
        <v>44456</v>
      </c>
      <c r="AK814">
        <f>NETWORKDAYS(AJ814,$AJ$1,FERIADO!$A$2:$A$408)</f>
        <v>1330</v>
      </c>
      <c r="AL814">
        <v>10.63</v>
      </c>
      <c r="AM814" s="6">
        <f t="shared" si="112"/>
        <v>58674.38118065711</v>
      </c>
      <c r="AN814" s="2">
        <f t="shared" si="113"/>
        <v>-1.4852434011332738E-3</v>
      </c>
      <c r="AP814" s="11">
        <f t="shared" si="114"/>
        <v>-4.5553575220120239E-4</v>
      </c>
      <c r="AQ814" s="11">
        <f t="shared" si="115"/>
        <v>-4.4557302033998208E-4</v>
      </c>
      <c r="AR814" s="11">
        <f t="shared" si="116"/>
        <v>-9.0110877254118453E-4</v>
      </c>
    </row>
    <row r="815" spans="2:44" x14ac:dyDescent="0.35">
      <c r="B815" s="1">
        <v>44455</v>
      </c>
      <c r="C815">
        <v>4876.97</v>
      </c>
      <c r="D815" s="1">
        <v>44459</v>
      </c>
      <c r="E815">
        <v>5.3326000000000002</v>
      </c>
      <c r="F815" s="1">
        <v>44453</v>
      </c>
      <c r="G815">
        <v>133.54</v>
      </c>
      <c r="H815" s="4">
        <f t="shared" si="108"/>
        <v>712115.40399999998</v>
      </c>
      <c r="I815" s="5">
        <v>44455</v>
      </c>
      <c r="J815" s="4">
        <v>6452.66</v>
      </c>
      <c r="K815" s="4">
        <f t="shared" si="109"/>
        <v>64526.6</v>
      </c>
      <c r="L815" s="1">
        <v>44455</v>
      </c>
      <c r="M815">
        <v>4.25</v>
      </c>
      <c r="P815" s="1">
        <v>44455</v>
      </c>
      <c r="Q815">
        <v>4.3499999999999996</v>
      </c>
      <c r="R815" s="1">
        <v>44454</v>
      </c>
      <c r="S815">
        <v>4.3600000000000003</v>
      </c>
      <c r="V815" s="1">
        <v>44452</v>
      </c>
      <c r="W815">
        <v>4.3899999999999997</v>
      </c>
      <c r="X815" s="1">
        <v>44455</v>
      </c>
      <c r="Y815">
        <f>NETWORKDAYS(X815,$Z$1,FERIADO!$A$2:$A$408)</f>
        <v>2344</v>
      </c>
      <c r="Z815">
        <v>11.01</v>
      </c>
      <c r="AA815" s="6">
        <f t="shared" si="110"/>
        <v>37849.525730277506</v>
      </c>
      <c r="AB815" s="2">
        <f t="shared" si="111"/>
        <v>-1.8406097117332435E-4</v>
      </c>
      <c r="AJ815" s="1">
        <v>44455</v>
      </c>
      <c r="AK815">
        <f>NETWORKDAYS(AJ815,$AJ$1,FERIADO!$A$2:$A$408)</f>
        <v>1331</v>
      </c>
      <c r="AL815">
        <v>10.55</v>
      </c>
      <c r="AM815" s="6">
        <f t="shared" si="112"/>
        <v>58875.385167451386</v>
      </c>
      <c r="AN815" s="2">
        <f t="shared" si="113"/>
        <v>1.7285217029653312E-4</v>
      </c>
      <c r="AP815" s="11">
        <f t="shared" si="114"/>
        <v>-9.2030485586662173E-5</v>
      </c>
      <c r="AQ815" s="11">
        <f t="shared" si="115"/>
        <v>5.1855651088959932E-5</v>
      </c>
      <c r="AR815" s="11">
        <f t="shared" si="116"/>
        <v>-4.0174834497702242E-5</v>
      </c>
    </row>
    <row r="816" spans="2:44" x14ac:dyDescent="0.35">
      <c r="B816" s="1">
        <v>44454</v>
      </c>
      <c r="C816">
        <v>4892.25</v>
      </c>
      <c r="D816" s="1">
        <v>44456</v>
      </c>
      <c r="E816">
        <v>5.3097000000000003</v>
      </c>
      <c r="F816" s="1">
        <v>44452</v>
      </c>
      <c r="G816">
        <v>133.28899999999999</v>
      </c>
      <c r="H816" s="4">
        <f t="shared" si="108"/>
        <v>707724.60329999996</v>
      </c>
      <c r="I816" s="5">
        <v>44454</v>
      </c>
      <c r="J816" s="4">
        <v>6423.86</v>
      </c>
      <c r="K816" s="4">
        <f t="shared" si="109"/>
        <v>64238.6</v>
      </c>
      <c r="L816" s="1">
        <v>44454</v>
      </c>
      <c r="M816">
        <v>4.22</v>
      </c>
      <c r="P816" s="1">
        <v>44454</v>
      </c>
      <c r="Q816">
        <v>4.3099999999999996</v>
      </c>
      <c r="R816" s="1">
        <v>44453</v>
      </c>
      <c r="S816">
        <v>4.3600000000000003</v>
      </c>
      <c r="V816" s="1">
        <v>44449</v>
      </c>
      <c r="W816">
        <v>4.3499999999999996</v>
      </c>
      <c r="X816" s="1">
        <v>44454</v>
      </c>
      <c r="Y816">
        <f>NETWORKDAYS(X816,$Z$1,FERIADO!$A$2:$A$408)</f>
        <v>2345</v>
      </c>
      <c r="Z816">
        <v>11</v>
      </c>
      <c r="AA816" s="6">
        <f t="shared" si="110"/>
        <v>37865.570366454289</v>
      </c>
      <c r="AB816" s="2">
        <f t="shared" si="111"/>
        <v>-3.8287842216812485E-3</v>
      </c>
      <c r="AJ816" s="1">
        <v>44454</v>
      </c>
      <c r="AK816">
        <f>NETWORKDAYS(AJ816,$AJ$1,FERIADO!$A$2:$A$408)</f>
        <v>1332</v>
      </c>
      <c r="AL816">
        <v>10.55</v>
      </c>
      <c r="AM816" s="6">
        <f t="shared" si="112"/>
        <v>58851.957024589276</v>
      </c>
      <c r="AN816" s="2">
        <f t="shared" si="113"/>
        <v>-1.4901864964876061E-3</v>
      </c>
      <c r="AP816" s="11">
        <f t="shared" si="114"/>
        <v>-1.9143921108406242E-3</v>
      </c>
      <c r="AQ816" s="11">
        <f t="shared" si="115"/>
        <v>-4.4705594894628182E-4</v>
      </c>
      <c r="AR816" s="11">
        <f t="shared" si="116"/>
        <v>-2.3614480597869058E-3</v>
      </c>
    </row>
    <row r="817" spans="2:44" x14ac:dyDescent="0.35">
      <c r="B817" s="1">
        <v>44453</v>
      </c>
      <c r="C817">
        <v>4847.29</v>
      </c>
      <c r="D817" s="1">
        <v>44455</v>
      </c>
      <c r="E817">
        <v>5.2587999999999999</v>
      </c>
      <c r="F817" s="1">
        <v>44449</v>
      </c>
      <c r="G817">
        <v>133.155</v>
      </c>
      <c r="H817" s="4">
        <f t="shared" si="108"/>
        <v>700235.51399999997</v>
      </c>
      <c r="I817" s="5">
        <v>44453</v>
      </c>
      <c r="J817" s="4">
        <v>6450.21</v>
      </c>
      <c r="K817" s="4">
        <f t="shared" si="109"/>
        <v>64502.1</v>
      </c>
      <c r="L817" s="1">
        <v>44453</v>
      </c>
      <c r="M817">
        <v>4.25</v>
      </c>
      <c r="P817" s="1">
        <v>44453</v>
      </c>
      <c r="Q817">
        <v>4.32</v>
      </c>
      <c r="R817" s="1">
        <v>44452</v>
      </c>
      <c r="S817">
        <v>4.37</v>
      </c>
      <c r="V817" s="1">
        <v>44448</v>
      </c>
      <c r="W817">
        <v>4.3600000000000003</v>
      </c>
      <c r="X817" s="1">
        <v>44453</v>
      </c>
      <c r="Y817">
        <f>NETWORKDAYS(X817,$Z$1,FERIADO!$A$2:$A$408)</f>
        <v>2346</v>
      </c>
      <c r="Z817">
        <v>10.89</v>
      </c>
      <c r="AA817" s="6">
        <f t="shared" si="110"/>
        <v>38200.872936140309</v>
      </c>
      <c r="AB817" s="2">
        <f t="shared" si="111"/>
        <v>-5.5143682989802572E-4</v>
      </c>
      <c r="AJ817" s="1">
        <v>44453</v>
      </c>
      <c r="AK817">
        <f>NETWORKDAYS(AJ817,$AJ$1,FERIADO!$A$2:$A$408)</f>
        <v>1333</v>
      </c>
      <c r="AL817">
        <v>10.47</v>
      </c>
      <c r="AM817" s="6">
        <f t="shared" si="112"/>
        <v>59054.241488022068</v>
      </c>
      <c r="AN817" s="2">
        <f t="shared" si="113"/>
        <v>5.8778910783528011E-4</v>
      </c>
      <c r="AP817" s="11">
        <f t="shared" si="114"/>
        <v>-2.7571841494901286E-4</v>
      </c>
      <c r="AQ817" s="11">
        <f t="shared" si="115"/>
        <v>1.7633673235058404E-4</v>
      </c>
      <c r="AR817" s="11">
        <f t="shared" si="116"/>
        <v>-9.938168259842882E-5</v>
      </c>
    </row>
    <row r="818" spans="2:44" x14ac:dyDescent="0.35">
      <c r="B818" s="1">
        <v>44452</v>
      </c>
      <c r="C818">
        <v>4878.66</v>
      </c>
      <c r="D818" s="1">
        <v>44454</v>
      </c>
      <c r="E818">
        <v>5.2569999999999997</v>
      </c>
      <c r="F818" s="1">
        <v>44448</v>
      </c>
      <c r="G818">
        <v>133.50800000000001</v>
      </c>
      <c r="H818" s="4">
        <f t="shared" si="108"/>
        <v>701851.55599999998</v>
      </c>
      <c r="I818" s="5">
        <v>44452</v>
      </c>
      <c r="J818" s="4">
        <v>6414.06</v>
      </c>
      <c r="K818" s="4">
        <f t="shared" si="109"/>
        <v>64140.600000000006</v>
      </c>
      <c r="L818" s="1">
        <v>44452</v>
      </c>
      <c r="M818">
        <v>4.2699999999999996</v>
      </c>
      <c r="P818" s="1">
        <v>44452</v>
      </c>
      <c r="Q818">
        <v>4.3</v>
      </c>
      <c r="R818" s="1">
        <v>44449</v>
      </c>
      <c r="S818">
        <v>4.3499999999999996</v>
      </c>
      <c r="V818" s="1">
        <v>44447</v>
      </c>
      <c r="W818">
        <v>4.49</v>
      </c>
      <c r="X818" s="1">
        <v>44452</v>
      </c>
      <c r="Y818">
        <f>NETWORKDAYS(X818,$Z$1,FERIADO!$A$2:$A$408)</f>
        <v>2347</v>
      </c>
      <c r="Z818">
        <v>10.87</v>
      </c>
      <c r="AA818" s="6">
        <f t="shared" si="110"/>
        <v>38249.408546144768</v>
      </c>
      <c r="AB818" s="2">
        <f t="shared" si="111"/>
        <v>5.284315398202513E-3</v>
      </c>
      <c r="AJ818" s="1">
        <v>44452</v>
      </c>
      <c r="AK818">
        <f>NETWORKDAYS(AJ818,$AJ$1,FERIADO!$A$2:$A$408)</f>
        <v>1334</v>
      </c>
      <c r="AL818">
        <v>10.49</v>
      </c>
      <c r="AM818" s="6">
        <f t="shared" si="112"/>
        <v>58974.369506847528</v>
      </c>
      <c r="AN818" s="2">
        <f t="shared" si="113"/>
        <v>2.0452183775561813E-3</v>
      </c>
      <c r="AP818" s="11">
        <f t="shared" si="114"/>
        <v>2.6421576991012565E-3</v>
      </c>
      <c r="AQ818" s="11">
        <f t="shared" si="115"/>
        <v>6.1356551326685442E-4</v>
      </c>
      <c r="AR818" s="11">
        <f t="shared" si="116"/>
        <v>3.2557232123681108E-3</v>
      </c>
    </row>
    <row r="819" spans="2:44" x14ac:dyDescent="0.35">
      <c r="B819" s="1">
        <v>44449</v>
      </c>
      <c r="C819">
        <v>4869.8500000000004</v>
      </c>
      <c r="D819" s="1">
        <v>44453</v>
      </c>
      <c r="E819">
        <v>5.2253999999999996</v>
      </c>
      <c r="F819" s="1">
        <v>44447</v>
      </c>
      <c r="G819">
        <v>133.18899999999999</v>
      </c>
      <c r="H819" s="4">
        <f t="shared" si="108"/>
        <v>695965.80059999996</v>
      </c>
      <c r="I819" s="5">
        <v>44449</v>
      </c>
      <c r="J819" s="4">
        <v>6456.34</v>
      </c>
      <c r="K819" s="4">
        <f t="shared" si="109"/>
        <v>64563.4</v>
      </c>
      <c r="L819" s="1">
        <v>44449</v>
      </c>
      <c r="M819">
        <v>4.3</v>
      </c>
      <c r="P819" s="1">
        <v>44449</v>
      </c>
      <c r="Q819">
        <v>4.3</v>
      </c>
      <c r="R819" s="1">
        <v>44448</v>
      </c>
      <c r="S819">
        <v>4.3600000000000003</v>
      </c>
      <c r="V819" s="1">
        <v>44445</v>
      </c>
      <c r="W819">
        <v>4.38</v>
      </c>
      <c r="X819" s="1">
        <v>44449</v>
      </c>
      <c r="Y819">
        <f>NETWORKDAYS(X819,$Z$1,FERIADO!$A$2:$A$408)</f>
        <v>2348</v>
      </c>
      <c r="Z819">
        <v>11.01</v>
      </c>
      <c r="AA819" s="6">
        <f t="shared" si="110"/>
        <v>37786.825549739573</v>
      </c>
      <c r="AB819" s="2">
        <f t="shared" si="111"/>
        <v>2.3674606622295503E-3</v>
      </c>
      <c r="AJ819" s="1">
        <v>44449</v>
      </c>
      <c r="AK819">
        <f>NETWORKDAYS(AJ819,$AJ$1,FERIADO!$A$2:$A$408)</f>
        <v>1335</v>
      </c>
      <c r="AL819">
        <v>10.58</v>
      </c>
      <c r="AM819" s="6">
        <f t="shared" si="112"/>
        <v>58697.295060654193</v>
      </c>
      <c r="AN819" s="2">
        <f t="shared" si="113"/>
        <v>3.0864969956991514E-3</v>
      </c>
      <c r="AP819" s="11">
        <f t="shared" si="114"/>
        <v>1.1837303311147752E-3</v>
      </c>
      <c r="AQ819" s="11">
        <f t="shared" si="115"/>
        <v>9.2594909870974537E-4</v>
      </c>
      <c r="AR819" s="11">
        <f t="shared" si="116"/>
        <v>2.1096794298245203E-3</v>
      </c>
    </row>
    <row r="820" spans="2:44" x14ac:dyDescent="0.35">
      <c r="B820" s="1">
        <v>44448</v>
      </c>
      <c r="C820">
        <v>4899.5</v>
      </c>
      <c r="D820" s="1">
        <v>44452</v>
      </c>
      <c r="E820">
        <v>5.2183999999999999</v>
      </c>
      <c r="F820" s="1">
        <v>44445</v>
      </c>
      <c r="G820">
        <v>133.38999999999999</v>
      </c>
      <c r="H820" s="4">
        <f t="shared" si="108"/>
        <v>696082.37599999993</v>
      </c>
      <c r="I820" s="5">
        <v>44448</v>
      </c>
      <c r="J820" s="4">
        <v>6405.48</v>
      </c>
      <c r="K820" s="4">
        <f t="shared" si="109"/>
        <v>64054.799999999996</v>
      </c>
      <c r="L820" s="1">
        <v>44448</v>
      </c>
      <c r="M820">
        <v>4.26</v>
      </c>
      <c r="P820" s="1">
        <v>44448</v>
      </c>
      <c r="Q820">
        <v>4.3</v>
      </c>
      <c r="R820" s="1">
        <v>44447</v>
      </c>
      <c r="S820">
        <v>4.47</v>
      </c>
      <c r="V820" s="1">
        <v>44442</v>
      </c>
      <c r="W820">
        <v>4.3899999999999997</v>
      </c>
      <c r="X820" s="1">
        <v>44448</v>
      </c>
      <c r="Y820">
        <f>NETWORKDAYS(X820,$Z$1,FERIADO!$A$2:$A$408)</f>
        <v>2349</v>
      </c>
      <c r="Z820">
        <v>11.07</v>
      </c>
      <c r="AA820" s="6">
        <f t="shared" si="110"/>
        <v>37581.399423710995</v>
      </c>
      <c r="AB820" s="2">
        <f t="shared" si="111"/>
        <v>-2.0074439745045719E-3</v>
      </c>
      <c r="AJ820" s="1">
        <v>44448</v>
      </c>
      <c r="AK820">
        <f>NETWORKDAYS(AJ820,$AJ$1,FERIADO!$A$2:$A$408)</f>
        <v>1336</v>
      </c>
      <c r="AL820">
        <v>10.72</v>
      </c>
      <c r="AM820" s="6">
        <f t="shared" si="112"/>
        <v>58281.616810742242</v>
      </c>
      <c r="AN820" s="2">
        <f t="shared" si="113"/>
        <v>-3.5734947379672168E-3</v>
      </c>
      <c r="AP820" s="11">
        <f t="shared" si="114"/>
        <v>-1.003721987252286E-3</v>
      </c>
      <c r="AQ820" s="11">
        <f t="shared" si="115"/>
        <v>-1.0720484213901651E-3</v>
      </c>
      <c r="AR820" s="11">
        <f t="shared" si="116"/>
        <v>-2.0757704086424508E-3</v>
      </c>
    </row>
    <row r="821" spans="2:44" x14ac:dyDescent="0.35">
      <c r="B821" s="1">
        <v>44447</v>
      </c>
      <c r="C821">
        <v>4916.88</v>
      </c>
      <c r="D821" s="1">
        <v>44449</v>
      </c>
      <c r="E821">
        <v>5.2152000000000003</v>
      </c>
      <c r="F821" s="1">
        <v>44442</v>
      </c>
      <c r="G821">
        <v>133.39099999999999</v>
      </c>
      <c r="H821" s="4">
        <f t="shared" si="108"/>
        <v>695660.74319999991</v>
      </c>
      <c r="I821" s="5">
        <v>44447</v>
      </c>
      <c r="J821" s="4">
        <v>6538.46</v>
      </c>
      <c r="K821" s="4">
        <f t="shared" si="109"/>
        <v>65384.6</v>
      </c>
      <c r="L821" s="1">
        <v>44447</v>
      </c>
      <c r="M821">
        <v>4.3899999999999997</v>
      </c>
      <c r="P821" s="1">
        <v>44447</v>
      </c>
      <c r="Q821">
        <v>4.43</v>
      </c>
      <c r="R821" s="1">
        <v>44445</v>
      </c>
      <c r="S821">
        <v>4.37</v>
      </c>
      <c r="V821" s="1">
        <v>44441</v>
      </c>
      <c r="W821">
        <v>4.34</v>
      </c>
      <c r="X821" s="1">
        <v>44447</v>
      </c>
      <c r="Y821">
        <f>NETWORKDAYS(X821,$Z$1,FERIADO!$A$2:$A$408)</f>
        <v>2350</v>
      </c>
      <c r="Z821">
        <v>11.01</v>
      </c>
      <c r="AA821" s="6">
        <f t="shared" si="110"/>
        <v>37755.514420316053</v>
      </c>
      <c r="AB821" s="2">
        <f t="shared" si="111"/>
        <v>-8.9548915296920675E-3</v>
      </c>
      <c r="AJ821" s="1">
        <v>44447</v>
      </c>
      <c r="AK821">
        <f>NETWORKDAYS(AJ821,$AJ$1,FERIADO!$A$2:$A$408)</f>
        <v>1337</v>
      </c>
      <c r="AL821">
        <v>10.54</v>
      </c>
      <c r="AM821" s="6">
        <f t="shared" si="112"/>
        <v>58763.152409887807</v>
      </c>
      <c r="AN821" s="2">
        <f t="shared" si="113"/>
        <v>-5.4664728894237647E-3</v>
      </c>
      <c r="AP821" s="11">
        <f t="shared" si="114"/>
        <v>-4.4774457648460338E-3</v>
      </c>
      <c r="AQ821" s="11">
        <f t="shared" si="115"/>
        <v>-1.6399418668271294E-3</v>
      </c>
      <c r="AR821" s="11">
        <f t="shared" si="116"/>
        <v>-6.1173876316731636E-3</v>
      </c>
    </row>
    <row r="822" spans="2:44" x14ac:dyDescent="0.35">
      <c r="B822" s="1">
        <v>44445</v>
      </c>
      <c r="C822">
        <v>4957.8500000000004</v>
      </c>
      <c r="D822" s="1">
        <v>44448</v>
      </c>
      <c r="E822">
        <v>5.2819000000000003</v>
      </c>
      <c r="F822" s="1">
        <v>44441</v>
      </c>
      <c r="G822">
        <v>133.547</v>
      </c>
      <c r="H822" s="4">
        <f t="shared" si="108"/>
        <v>705381.89929999993</v>
      </c>
      <c r="I822" s="5">
        <v>44445</v>
      </c>
      <c r="J822" s="4">
        <v>6359.52</v>
      </c>
      <c r="K822" s="4">
        <f t="shared" si="109"/>
        <v>63595.200000000004</v>
      </c>
      <c r="L822" s="1">
        <v>44445</v>
      </c>
      <c r="M822">
        <v>4.28</v>
      </c>
      <c r="P822" s="1">
        <v>44445</v>
      </c>
      <c r="Q822">
        <v>4.3099999999999996</v>
      </c>
      <c r="R822" s="1">
        <v>44442</v>
      </c>
      <c r="S822">
        <v>4.3600000000000003</v>
      </c>
      <c r="V822" s="1">
        <v>44440</v>
      </c>
      <c r="W822">
        <v>4.24</v>
      </c>
      <c r="X822" s="1">
        <v>44445</v>
      </c>
      <c r="Y822">
        <f>NETWORKDAYS(X822,$Z$1,FERIADO!$A$2:$A$408)</f>
        <v>2351</v>
      </c>
      <c r="Z822">
        <v>10.76</v>
      </c>
      <c r="AA822" s="6">
        <f t="shared" si="110"/>
        <v>38542.09197504499</v>
      </c>
      <c r="AB822" s="2">
        <f t="shared" si="111"/>
        <v>5.4207009670491455E-4</v>
      </c>
      <c r="AJ822" s="1">
        <v>44445</v>
      </c>
      <c r="AK822">
        <f>NETWORKDAYS(AJ822,$AJ$1,FERIADO!$A$2:$A$408)</f>
        <v>1338</v>
      </c>
      <c r="AL822">
        <v>10.27</v>
      </c>
      <c r="AM822" s="6">
        <f t="shared" si="112"/>
        <v>59507.479930141977</v>
      </c>
      <c r="AN822" s="2">
        <f t="shared" si="113"/>
        <v>7.9620625783259126E-4</v>
      </c>
      <c r="AP822" s="11">
        <f t="shared" si="114"/>
        <v>2.7103504835245727E-4</v>
      </c>
      <c r="AQ822" s="11">
        <f t="shared" si="115"/>
        <v>2.3886187734977737E-4</v>
      </c>
      <c r="AR822" s="11">
        <f t="shared" si="116"/>
        <v>5.0989692570223462E-4</v>
      </c>
    </row>
    <row r="823" spans="2:44" x14ac:dyDescent="0.35">
      <c r="B823" s="1">
        <v>44442</v>
      </c>
      <c r="C823">
        <v>4951.53</v>
      </c>
      <c r="D823" s="1">
        <v>44447</v>
      </c>
      <c r="E823">
        <v>5.2518000000000002</v>
      </c>
      <c r="F823" s="1">
        <v>44440</v>
      </c>
      <c r="G823">
        <v>133.44999999999999</v>
      </c>
      <c r="H823" s="4">
        <f t="shared" si="108"/>
        <v>700852.71</v>
      </c>
      <c r="I823" s="5">
        <v>44442</v>
      </c>
      <c r="J823" s="4">
        <v>6393.84</v>
      </c>
      <c r="K823" s="4">
        <f t="shared" si="109"/>
        <v>63938.400000000001</v>
      </c>
      <c r="L823" s="1">
        <v>44442</v>
      </c>
      <c r="M823">
        <v>4.26</v>
      </c>
      <c r="P823" s="1">
        <v>44442</v>
      </c>
      <c r="Q823">
        <v>4.32</v>
      </c>
      <c r="R823" s="1">
        <v>44441</v>
      </c>
      <c r="S823">
        <v>4.32</v>
      </c>
      <c r="V823" s="1">
        <v>44439</v>
      </c>
      <c r="W823">
        <v>4.3099999999999996</v>
      </c>
      <c r="X823" s="1">
        <v>44442</v>
      </c>
      <c r="Y823">
        <f>NETWORKDAYS(X823,$Z$1,FERIADO!$A$2:$A$408)</f>
        <v>2352</v>
      </c>
      <c r="Z823">
        <v>10.77</v>
      </c>
      <c r="AA823" s="6">
        <f t="shared" si="110"/>
        <v>38494.015190306098</v>
      </c>
      <c r="AB823" s="2">
        <f t="shared" si="111"/>
        <v>-4.5856390674748684E-3</v>
      </c>
      <c r="AJ823" s="1">
        <v>44442</v>
      </c>
      <c r="AK823">
        <f>NETWORKDAYS(AJ823,$AJ$1,FERIADO!$A$2:$A$408)</f>
        <v>1339</v>
      </c>
      <c r="AL823">
        <v>10.3</v>
      </c>
      <c r="AM823" s="6">
        <f t="shared" si="112"/>
        <v>59398.482868123916</v>
      </c>
      <c r="AN823" s="2">
        <f t="shared" si="113"/>
        <v>-1.925692485271405E-3</v>
      </c>
      <c r="AP823" s="11">
        <f t="shared" si="114"/>
        <v>-2.2928195337374342E-3</v>
      </c>
      <c r="AQ823" s="11">
        <f t="shared" si="115"/>
        <v>-5.7770774558142148E-4</v>
      </c>
      <c r="AR823" s="11">
        <f t="shared" si="116"/>
        <v>-2.8705272793188557E-3</v>
      </c>
    </row>
    <row r="824" spans="2:44" x14ac:dyDescent="0.35">
      <c r="B824" s="1">
        <v>44441</v>
      </c>
      <c r="C824">
        <v>4950.2299999999996</v>
      </c>
      <c r="D824" s="1">
        <v>44445</v>
      </c>
      <c r="E824">
        <v>5.1767000000000003</v>
      </c>
      <c r="F824" s="1">
        <v>44439</v>
      </c>
      <c r="G824">
        <v>133.37</v>
      </c>
      <c r="H824" s="4">
        <f t="shared" si="108"/>
        <v>690416.47900000005</v>
      </c>
      <c r="I824" s="5">
        <v>44441</v>
      </c>
      <c r="J824" s="4">
        <v>6375.45</v>
      </c>
      <c r="K824" s="4">
        <f t="shared" si="109"/>
        <v>63754.5</v>
      </c>
      <c r="L824" s="1">
        <v>44441</v>
      </c>
      <c r="M824">
        <v>4.2300000000000004</v>
      </c>
      <c r="P824" s="1">
        <v>44441</v>
      </c>
      <c r="Q824">
        <v>4.2699999999999996</v>
      </c>
      <c r="R824" s="1">
        <v>44440</v>
      </c>
      <c r="S824">
        <v>4.24</v>
      </c>
      <c r="V824" s="1">
        <v>44438</v>
      </c>
      <c r="W824">
        <v>4.24</v>
      </c>
      <c r="X824" s="1">
        <v>44441</v>
      </c>
      <c r="Y824">
        <f>NETWORKDAYS(X824,$Z$1,FERIADO!$A$2:$A$408)</f>
        <v>2353</v>
      </c>
      <c r="Z824">
        <v>10.64</v>
      </c>
      <c r="AA824" s="6">
        <f t="shared" si="110"/>
        <v>38902.620125458714</v>
      </c>
      <c r="AB824" s="2">
        <f t="shared" si="111"/>
        <v>-7.5331798004456248E-3</v>
      </c>
      <c r="AJ824" s="1">
        <v>44441</v>
      </c>
      <c r="AK824">
        <f>NETWORKDAYS(AJ824,$AJ$1,FERIADO!$A$2:$A$408)</f>
        <v>1340</v>
      </c>
      <c r="AL824">
        <v>10.199999999999999</v>
      </c>
      <c r="AM824" s="6">
        <f t="shared" si="112"/>
        <v>59662.444727492992</v>
      </c>
      <c r="AN824" s="2">
        <f t="shared" si="113"/>
        <v>-4.6611144976357998E-3</v>
      </c>
      <c r="AP824" s="11">
        <f t="shared" si="114"/>
        <v>-3.7665899002228124E-3</v>
      </c>
      <c r="AQ824" s="11">
        <f t="shared" si="115"/>
        <v>-1.39833434929074E-3</v>
      </c>
      <c r="AR824" s="11">
        <f t="shared" si="116"/>
        <v>-5.1649242495135526E-3</v>
      </c>
    </row>
    <row r="825" spans="2:44" x14ac:dyDescent="0.35">
      <c r="B825" s="1">
        <v>44440</v>
      </c>
      <c r="C825">
        <v>4931.62</v>
      </c>
      <c r="D825" s="1">
        <v>44442</v>
      </c>
      <c r="E825">
        <v>5.1679000000000004</v>
      </c>
      <c r="F825" s="1">
        <v>44438</v>
      </c>
      <c r="G825">
        <v>133.53100000000001</v>
      </c>
      <c r="H825" s="4">
        <f t="shared" si="108"/>
        <v>690074.85490000015</v>
      </c>
      <c r="I825" s="5">
        <v>44440</v>
      </c>
      <c r="J825" s="4">
        <v>6382.19</v>
      </c>
      <c r="K825" s="4">
        <f t="shared" si="109"/>
        <v>63821.899999999994</v>
      </c>
      <c r="L825" s="1">
        <v>44440</v>
      </c>
      <c r="M825">
        <v>4.13</v>
      </c>
      <c r="P825" s="1">
        <v>44440</v>
      </c>
      <c r="Q825">
        <v>4.1900000000000004</v>
      </c>
      <c r="R825" s="1">
        <v>44439</v>
      </c>
      <c r="S825">
        <v>4.2699999999999996</v>
      </c>
      <c r="V825" s="1">
        <v>44435</v>
      </c>
      <c r="W825">
        <v>4.26</v>
      </c>
      <c r="X825" s="1">
        <v>44440</v>
      </c>
      <c r="Y825">
        <f>NETWORKDAYS(X825,$Z$1,FERIADO!$A$2:$A$408)</f>
        <v>2354</v>
      </c>
      <c r="Z825">
        <v>10.43</v>
      </c>
      <c r="AA825" s="6">
        <f t="shared" si="110"/>
        <v>39583.303132491994</v>
      </c>
      <c r="AB825" s="2">
        <f t="shared" si="111"/>
        <v>1.7098044510451932E-4</v>
      </c>
      <c r="AJ825" s="1">
        <v>44440</v>
      </c>
      <c r="AK825">
        <f>NETWORKDAYS(AJ825,$AJ$1,FERIADO!$A$2:$A$408)</f>
        <v>1341</v>
      </c>
      <c r="AL825">
        <v>9.9700000000000006</v>
      </c>
      <c r="AM825" s="6">
        <f t="shared" si="112"/>
        <v>60306.227197274231</v>
      </c>
      <c r="AN825" s="2">
        <f t="shared" si="113"/>
        <v>-2.5687371668527083E-4</v>
      </c>
      <c r="AP825" s="11">
        <f t="shared" si="114"/>
        <v>8.5490222552259658E-5</v>
      </c>
      <c r="AQ825" s="11">
        <f t="shared" si="115"/>
        <v>-7.7062115005581245E-5</v>
      </c>
      <c r="AR825" s="11">
        <f t="shared" si="116"/>
        <v>8.4281075466784123E-6</v>
      </c>
    </row>
    <row r="826" spans="2:44" x14ac:dyDescent="0.35">
      <c r="B826" s="1">
        <v>44439</v>
      </c>
      <c r="C826">
        <v>4942.28</v>
      </c>
      <c r="D826" s="1">
        <v>44441</v>
      </c>
      <c r="E826">
        <v>5.1729000000000003</v>
      </c>
      <c r="F826" s="1">
        <v>44435</v>
      </c>
      <c r="G826">
        <v>133.93799999999999</v>
      </c>
      <c r="H826" s="4">
        <f t="shared" si="108"/>
        <v>692847.88020000001</v>
      </c>
      <c r="I826" s="5">
        <v>44439</v>
      </c>
      <c r="J826" s="4">
        <v>6338.69</v>
      </c>
      <c r="K826" s="4">
        <f t="shared" si="109"/>
        <v>63386.899999999994</v>
      </c>
      <c r="L826" s="1">
        <v>44439</v>
      </c>
      <c r="M826">
        <v>4.16</v>
      </c>
      <c r="P826" s="1">
        <v>44439</v>
      </c>
      <c r="Q826">
        <v>4.24</v>
      </c>
      <c r="R826" s="1">
        <v>44438</v>
      </c>
      <c r="S826">
        <v>4.21</v>
      </c>
      <c r="V826" s="1">
        <v>44434</v>
      </c>
      <c r="W826">
        <v>4.32</v>
      </c>
      <c r="X826" s="1">
        <v>44439</v>
      </c>
      <c r="Y826">
        <f>NETWORKDAYS(X826,$Z$1,FERIADO!$A$2:$A$408)</f>
        <v>2355</v>
      </c>
      <c r="Z826">
        <v>10.43</v>
      </c>
      <c r="AA826" s="6">
        <f t="shared" si="110"/>
        <v>39567.722371095981</v>
      </c>
      <c r="AB826" s="2">
        <f t="shared" si="111"/>
        <v>-1.0137180352525421E-2</v>
      </c>
      <c r="AJ826" s="1">
        <v>44439</v>
      </c>
      <c r="AK826">
        <f>NETWORKDAYS(AJ826,$AJ$1,FERIADO!$A$2:$A$408)</f>
        <v>1342</v>
      </c>
      <c r="AL826">
        <v>9.9499999999999993</v>
      </c>
      <c r="AM826" s="6">
        <f t="shared" si="112"/>
        <v>60341.90728889926</v>
      </c>
      <c r="AN826" s="2">
        <f t="shared" si="113"/>
        <v>-4.6832367253230303E-3</v>
      </c>
      <c r="AP826" s="11">
        <f t="shared" si="114"/>
        <v>-5.0685901762627106E-3</v>
      </c>
      <c r="AQ826" s="11">
        <f t="shared" si="115"/>
        <v>-1.404971017596909E-3</v>
      </c>
      <c r="AR826" s="11">
        <f t="shared" si="116"/>
        <v>-6.4735611938596194E-3</v>
      </c>
    </row>
    <row r="827" spans="2:44" x14ac:dyDescent="0.35">
      <c r="B827" s="1">
        <v>44438</v>
      </c>
      <c r="C827">
        <v>4943.34</v>
      </c>
      <c r="D827" s="1">
        <v>44440</v>
      </c>
      <c r="E827">
        <v>5.157</v>
      </c>
      <c r="F827" s="1">
        <v>44434</v>
      </c>
      <c r="G827">
        <v>133.58699999999999</v>
      </c>
      <c r="H827" s="4">
        <f t="shared" si="108"/>
        <v>688908.15899999999</v>
      </c>
      <c r="I827" s="5">
        <v>44438</v>
      </c>
      <c r="J827" s="4">
        <v>6383.42</v>
      </c>
      <c r="K827" s="4">
        <f t="shared" si="109"/>
        <v>63834.2</v>
      </c>
      <c r="L827" s="1">
        <v>44438</v>
      </c>
      <c r="M827">
        <v>4.0999999999999996</v>
      </c>
      <c r="P827" s="1">
        <v>44438</v>
      </c>
      <c r="Q827">
        <v>4.1399999999999997</v>
      </c>
      <c r="R827" s="1">
        <v>44435</v>
      </c>
      <c r="S827">
        <v>4.22</v>
      </c>
      <c r="V827" s="1">
        <v>44433</v>
      </c>
      <c r="W827">
        <v>4.3</v>
      </c>
      <c r="X827" s="1">
        <v>44438</v>
      </c>
      <c r="Y827">
        <f>NETWORKDAYS(X827,$Z$1,FERIADO!$A$2:$A$408)</f>
        <v>2356</v>
      </c>
      <c r="Z827">
        <v>10.15</v>
      </c>
      <c r="AA827" s="6">
        <f t="shared" si="110"/>
        <v>40502.164398320048</v>
      </c>
      <c r="AB827" s="2">
        <f t="shared" si="111"/>
        <v>-2.0218435111967156E-4</v>
      </c>
      <c r="AJ827" s="1">
        <v>44438</v>
      </c>
      <c r="AK827">
        <f>NETWORKDAYS(AJ827,$AJ$1,FERIADO!$A$2:$A$408)</f>
        <v>1343</v>
      </c>
      <c r="AL827">
        <v>9.7200000000000006</v>
      </c>
      <c r="AM827" s="6">
        <f t="shared" si="112"/>
        <v>60996.128401580616</v>
      </c>
      <c r="AN827" s="2">
        <f t="shared" si="113"/>
        <v>-5.1249717375326104E-5</v>
      </c>
      <c r="AP827" s="11">
        <f t="shared" si="114"/>
        <v>-1.0109217555983578E-4</v>
      </c>
      <c r="AQ827" s="11">
        <f t="shared" si="115"/>
        <v>-1.5374915212597831E-5</v>
      </c>
      <c r="AR827" s="11">
        <f t="shared" si="116"/>
        <v>-1.164670907724336E-4</v>
      </c>
    </row>
    <row r="828" spans="2:44" x14ac:dyDescent="0.35">
      <c r="B828" s="1">
        <v>44435</v>
      </c>
      <c r="C828">
        <v>4917.3900000000003</v>
      </c>
      <c r="D828" s="1">
        <v>44439</v>
      </c>
      <c r="E828">
        <v>5.1426999999999996</v>
      </c>
      <c r="F828" s="1">
        <v>44433</v>
      </c>
      <c r="G828">
        <v>133.57599999999999</v>
      </c>
      <c r="H828" s="4">
        <f t="shared" si="108"/>
        <v>686941.29519999993</v>
      </c>
      <c r="I828" s="5">
        <v>44435</v>
      </c>
      <c r="J828" s="4">
        <v>6409.27</v>
      </c>
      <c r="K828" s="4">
        <f t="shared" si="109"/>
        <v>64092.700000000004</v>
      </c>
      <c r="L828" s="1">
        <v>44435</v>
      </c>
      <c r="M828">
        <v>4.09</v>
      </c>
      <c r="P828" s="1">
        <v>44435</v>
      </c>
      <c r="Q828">
        <v>4.1500000000000004</v>
      </c>
      <c r="R828" s="1">
        <v>44434</v>
      </c>
      <c r="S828">
        <v>4.28</v>
      </c>
      <c r="V828" s="1">
        <v>44432</v>
      </c>
      <c r="W828">
        <v>4.41</v>
      </c>
      <c r="X828" s="1">
        <v>44435</v>
      </c>
      <c r="Y828">
        <f>NETWORKDAYS(X828,$Z$1,FERIADO!$A$2:$A$408)</f>
        <v>2357</v>
      </c>
      <c r="Z828">
        <v>10.14</v>
      </c>
      <c r="AA828" s="6">
        <f t="shared" si="110"/>
        <v>40521.024435975196</v>
      </c>
      <c r="AB828" s="2">
        <f t="shared" si="111"/>
        <v>3.4857572815159476E-3</v>
      </c>
      <c r="AJ828" s="1">
        <v>44435</v>
      </c>
      <c r="AK828">
        <f>NETWORKDAYS(AJ828,$AJ$1,FERIADO!$A$2:$A$408)</f>
        <v>1344</v>
      </c>
      <c r="AL828">
        <v>9.7100000000000009</v>
      </c>
      <c r="AM828" s="6">
        <f t="shared" si="112"/>
        <v>61003.326786376652</v>
      </c>
      <c r="AN828" s="2">
        <f t="shared" si="113"/>
        <v>2.0604540312320102E-3</v>
      </c>
      <c r="AP828" s="11">
        <f t="shared" si="114"/>
        <v>1.7428786407579738E-3</v>
      </c>
      <c r="AQ828" s="11">
        <f t="shared" si="115"/>
        <v>6.1813620936960307E-4</v>
      </c>
      <c r="AR828" s="11">
        <f t="shared" si="116"/>
        <v>2.3610148501275767E-3</v>
      </c>
    </row>
    <row r="829" spans="2:44" x14ac:dyDescent="0.35">
      <c r="B829" s="1">
        <v>44434</v>
      </c>
      <c r="C829">
        <v>4877.1499999999996</v>
      </c>
      <c r="D829" s="1">
        <v>44438</v>
      </c>
      <c r="E829">
        <v>5.1946000000000003</v>
      </c>
      <c r="F829" s="1">
        <v>44432</v>
      </c>
      <c r="G829">
        <v>133.91999999999999</v>
      </c>
      <c r="H829" s="4">
        <f t="shared" si="108"/>
        <v>695660.83200000005</v>
      </c>
      <c r="I829" s="5">
        <v>44434</v>
      </c>
      <c r="J829" s="4">
        <v>6484.37</v>
      </c>
      <c r="K829" s="4">
        <f t="shared" si="109"/>
        <v>64843.7</v>
      </c>
      <c r="L829" s="1">
        <v>44434</v>
      </c>
      <c r="M829">
        <v>4.18</v>
      </c>
      <c r="P829" s="1">
        <v>44434</v>
      </c>
      <c r="Q829">
        <v>4.25</v>
      </c>
      <c r="R829" s="1">
        <v>44433</v>
      </c>
      <c r="S829">
        <v>4.2699999999999996</v>
      </c>
      <c r="V829" s="1">
        <v>44431</v>
      </c>
      <c r="W829">
        <v>4.53</v>
      </c>
      <c r="X829" s="1">
        <v>44434</v>
      </c>
      <c r="Y829">
        <f>NETWORKDAYS(X829,$Z$1,FERIADO!$A$2:$A$408)</f>
        <v>2358</v>
      </c>
      <c r="Z829">
        <v>10.23</v>
      </c>
      <c r="AA829" s="6">
        <f t="shared" si="110"/>
        <v>40197.094164094407</v>
      </c>
      <c r="AB829" s="2">
        <f t="shared" si="111"/>
        <v>-2.0097817821971745E-4</v>
      </c>
      <c r="AJ829" s="1">
        <v>44434</v>
      </c>
      <c r="AK829">
        <f>NETWORKDAYS(AJ829,$AJ$1,FERIADO!$A$2:$A$408)</f>
        <v>1345</v>
      </c>
      <c r="AL829">
        <v>9.8000000000000007</v>
      </c>
      <c r="AM829" s="6">
        <f t="shared" si="112"/>
        <v>60714.589866999624</v>
      </c>
      <c r="AN829" s="2">
        <f t="shared" si="113"/>
        <v>-5.0153706280680071E-5</v>
      </c>
      <c r="AP829" s="11">
        <f t="shared" si="114"/>
        <v>-1.0048908910985873E-4</v>
      </c>
      <c r="AQ829" s="11">
        <f t="shared" si="115"/>
        <v>-1.5046111884204021E-5</v>
      </c>
      <c r="AR829" s="11">
        <f t="shared" si="116"/>
        <v>-1.1553520099406275E-4</v>
      </c>
    </row>
    <row r="830" spans="2:44" x14ac:dyDescent="0.35">
      <c r="B830" s="1">
        <v>44433</v>
      </c>
      <c r="C830">
        <v>4899.5600000000004</v>
      </c>
      <c r="D830" s="1">
        <v>44435</v>
      </c>
      <c r="E830">
        <v>5.2194000000000003</v>
      </c>
      <c r="F830" s="1">
        <v>44431</v>
      </c>
      <c r="G830">
        <v>134.22999999999999</v>
      </c>
      <c r="H830" s="4">
        <f t="shared" si="108"/>
        <v>700600.06200000003</v>
      </c>
      <c r="I830" s="5">
        <v>44433</v>
      </c>
      <c r="J830" s="4">
        <v>6424.05</v>
      </c>
      <c r="K830" s="4">
        <f t="shared" si="109"/>
        <v>64240.5</v>
      </c>
      <c r="L830" s="1">
        <v>44433</v>
      </c>
      <c r="M830">
        <v>4.1399999999999997</v>
      </c>
      <c r="P830" s="1">
        <v>44433</v>
      </c>
      <c r="Q830">
        <v>4.22</v>
      </c>
      <c r="R830" s="1">
        <v>44432</v>
      </c>
      <c r="S830">
        <v>4.42</v>
      </c>
      <c r="V830" s="1">
        <v>44428</v>
      </c>
      <c r="W830">
        <v>4.4800000000000004</v>
      </c>
      <c r="X830" s="1">
        <v>44433</v>
      </c>
      <c r="Y830">
        <f>NETWORKDAYS(X830,$Z$1,FERIADO!$A$2:$A$408)</f>
        <v>2359</v>
      </c>
      <c r="Z830">
        <v>10.220000000000001</v>
      </c>
      <c r="AA830" s="6">
        <f t="shared" si="110"/>
        <v>40215.700452399447</v>
      </c>
      <c r="AB830" s="2">
        <f t="shared" si="111"/>
        <v>9.0142555335573828E-3</v>
      </c>
      <c r="AJ830" s="1">
        <v>44433</v>
      </c>
      <c r="AK830">
        <f>NETWORKDAYS(AJ830,$AJ$1,FERIADO!$A$2:$A$408)</f>
        <v>1346</v>
      </c>
      <c r="AL830">
        <v>9.7899999999999991</v>
      </c>
      <c r="AM830" s="6">
        <f t="shared" si="112"/>
        <v>60721.601785565254</v>
      </c>
      <c r="AN830" s="2">
        <f t="shared" si="113"/>
        <v>4.5969769392203534E-3</v>
      </c>
      <c r="AP830" s="11">
        <f t="shared" si="114"/>
        <v>4.5071277667786914E-3</v>
      </c>
      <c r="AQ830" s="11">
        <f t="shared" si="115"/>
        <v>1.3790930817661059E-3</v>
      </c>
      <c r="AR830" s="11">
        <f t="shared" si="116"/>
        <v>5.8862208485447971E-3</v>
      </c>
    </row>
    <row r="831" spans="2:44" x14ac:dyDescent="0.35">
      <c r="B831" s="1">
        <v>44432</v>
      </c>
      <c r="C831">
        <v>4892.2700000000004</v>
      </c>
      <c r="D831" s="1">
        <v>44434</v>
      </c>
      <c r="E831">
        <v>5.2423000000000002</v>
      </c>
      <c r="F831" s="1">
        <v>44428</v>
      </c>
      <c r="G831">
        <v>134.15199999999999</v>
      </c>
      <c r="H831" s="4">
        <f t="shared" si="108"/>
        <v>703265.02959999989</v>
      </c>
      <c r="I831" s="5">
        <v>44432</v>
      </c>
      <c r="J831" s="4">
        <v>6471.45</v>
      </c>
      <c r="K831" s="4">
        <f t="shared" si="109"/>
        <v>64714.5</v>
      </c>
      <c r="L831" s="1">
        <v>44432</v>
      </c>
      <c r="M831">
        <v>4.29</v>
      </c>
      <c r="P831" s="1">
        <v>44432</v>
      </c>
      <c r="Q831">
        <v>4.3499999999999996</v>
      </c>
      <c r="R831" s="1">
        <v>44431</v>
      </c>
      <c r="S831">
        <v>4.53</v>
      </c>
      <c r="V831" s="1">
        <v>44427</v>
      </c>
      <c r="W831">
        <v>4.58</v>
      </c>
      <c r="X831" s="1">
        <v>44432</v>
      </c>
      <c r="Y831">
        <f>NETWORKDAYS(X831,$Z$1,FERIADO!$A$2:$A$408)</f>
        <v>2360</v>
      </c>
      <c r="Z831">
        <v>10.46</v>
      </c>
      <c r="AA831" s="6">
        <f t="shared" si="110"/>
        <v>39389.582881623384</v>
      </c>
      <c r="AB831" s="2">
        <f t="shared" si="111"/>
        <v>7.5320252515866633E-3</v>
      </c>
      <c r="AJ831" s="1">
        <v>44432</v>
      </c>
      <c r="AK831">
        <f>NETWORKDAYS(AJ831,$AJ$1,FERIADO!$A$2:$A$408)</f>
        <v>1347</v>
      </c>
      <c r="AL831">
        <v>10</v>
      </c>
      <c r="AM831" s="6">
        <f t="shared" si="112"/>
        <v>60082.257523067237</v>
      </c>
      <c r="AN831" s="2">
        <f t="shared" si="113"/>
        <v>4.1734756485389919E-3</v>
      </c>
      <c r="AP831" s="11">
        <f t="shared" si="114"/>
        <v>3.7660126257933317E-3</v>
      </c>
      <c r="AQ831" s="11">
        <f t="shared" si="115"/>
        <v>1.2520426945616975E-3</v>
      </c>
      <c r="AR831" s="11">
        <f t="shared" si="116"/>
        <v>5.0180553203550294E-3</v>
      </c>
    </row>
    <row r="832" spans="2:44" x14ac:dyDescent="0.35">
      <c r="B832" s="1">
        <v>44431</v>
      </c>
      <c r="C832">
        <v>4889.63</v>
      </c>
      <c r="D832" s="1">
        <v>44433</v>
      </c>
      <c r="E832">
        <v>5.2458999999999998</v>
      </c>
      <c r="F832" s="1">
        <v>44427</v>
      </c>
      <c r="G832">
        <v>134.328</v>
      </c>
      <c r="H832" s="4">
        <f t="shared" si="108"/>
        <v>704671.25520000001</v>
      </c>
      <c r="I832" s="5">
        <v>44431</v>
      </c>
      <c r="J832" s="4">
        <v>6632.11</v>
      </c>
      <c r="K832" s="4">
        <f t="shared" si="109"/>
        <v>66321.099999999991</v>
      </c>
      <c r="L832" s="1">
        <v>44431</v>
      </c>
      <c r="M832">
        <v>4.43</v>
      </c>
      <c r="P832" s="1">
        <v>44431</v>
      </c>
      <c r="Q832">
        <v>4.47</v>
      </c>
      <c r="R832" s="1">
        <v>44428</v>
      </c>
      <c r="S832">
        <v>4.47</v>
      </c>
      <c r="V832" s="1">
        <v>44426</v>
      </c>
      <c r="W832">
        <v>4.6399999999999997</v>
      </c>
      <c r="X832" s="1">
        <v>44431</v>
      </c>
      <c r="Y832">
        <f>NETWORKDAYS(X832,$Z$1,FERIADO!$A$2:$A$408)</f>
        <v>2361</v>
      </c>
      <c r="Z832">
        <v>10.66</v>
      </c>
      <c r="AA832" s="6">
        <f t="shared" si="110"/>
        <v>38712.334044303178</v>
      </c>
      <c r="AB832" s="2">
        <f t="shared" si="111"/>
        <v>-7.1891281175576211E-3</v>
      </c>
      <c r="AJ832" s="1">
        <v>44431</v>
      </c>
      <c r="AK832">
        <f>NETWORKDAYS(AJ832,$AJ$1,FERIADO!$A$2:$A$408)</f>
        <v>1348</v>
      </c>
      <c r="AL832">
        <v>10.19</v>
      </c>
      <c r="AM832" s="6">
        <f t="shared" si="112"/>
        <v>59507.645447912728</v>
      </c>
      <c r="AN832" s="2">
        <f t="shared" si="113"/>
        <v>-3.8449622742674195E-3</v>
      </c>
      <c r="AP832" s="11">
        <f t="shared" si="114"/>
        <v>-3.5945640587788106E-3</v>
      </c>
      <c r="AQ832" s="11">
        <f t="shared" si="115"/>
        <v>-1.1534886822802258E-3</v>
      </c>
      <c r="AR832" s="11">
        <f t="shared" si="116"/>
        <v>-4.7480527410590362E-3</v>
      </c>
    </row>
    <row r="833" spans="2:44" x14ac:dyDescent="0.35">
      <c r="B833" s="1">
        <v>44428</v>
      </c>
      <c r="C833">
        <v>4846.3999999999996</v>
      </c>
      <c r="D833" s="1">
        <v>44432</v>
      </c>
      <c r="E833">
        <v>5.3010999999999999</v>
      </c>
      <c r="F833" s="1">
        <v>44426</v>
      </c>
      <c r="G833">
        <v>134.26599999999999</v>
      </c>
      <c r="H833" s="4">
        <f t="shared" si="108"/>
        <v>711757.4926</v>
      </c>
      <c r="I833" s="5">
        <v>44428</v>
      </c>
      <c r="J833" s="4">
        <v>6627.8</v>
      </c>
      <c r="K833" s="4">
        <f t="shared" si="109"/>
        <v>66278</v>
      </c>
      <c r="L833" s="1">
        <v>44428</v>
      </c>
      <c r="M833">
        <v>4.3600000000000003</v>
      </c>
      <c r="P833" s="1">
        <v>44428</v>
      </c>
      <c r="Q833">
        <v>4.43</v>
      </c>
      <c r="R833" s="1">
        <v>44427</v>
      </c>
      <c r="S833">
        <v>4.58</v>
      </c>
      <c r="V833" s="1">
        <v>44425</v>
      </c>
      <c r="W833">
        <v>4.4400000000000004</v>
      </c>
      <c r="X833" s="1">
        <v>44428</v>
      </c>
      <c r="Y833">
        <f>NETWORKDAYS(X833,$Z$1,FERIADO!$A$2:$A$408)</f>
        <v>2362</v>
      </c>
      <c r="Z833">
        <v>10.46</v>
      </c>
      <c r="AA833" s="6">
        <f t="shared" si="110"/>
        <v>39358.49511746956</v>
      </c>
      <c r="AB833" s="2">
        <f t="shared" si="111"/>
        <v>7.5382603864316772E-3</v>
      </c>
      <c r="AJ833" s="1">
        <v>44428</v>
      </c>
      <c r="AK833">
        <f>NETWORKDAYS(AJ833,$AJ$1,FERIADO!$A$2:$A$408)</f>
        <v>1349</v>
      </c>
      <c r="AL833">
        <v>10</v>
      </c>
      <c r="AM833" s="6">
        <f t="shared" si="112"/>
        <v>60036.826685892665</v>
      </c>
      <c r="AN833" s="2">
        <f t="shared" si="113"/>
        <v>3.7571010117660912E-3</v>
      </c>
      <c r="AP833" s="11">
        <f t="shared" si="114"/>
        <v>3.7691301932158386E-3</v>
      </c>
      <c r="AQ833" s="11">
        <f t="shared" si="115"/>
        <v>1.1271303035298274E-3</v>
      </c>
      <c r="AR833" s="11">
        <f t="shared" si="116"/>
        <v>4.8962604967456658E-3</v>
      </c>
    </row>
    <row r="834" spans="2:44" x14ac:dyDescent="0.35">
      <c r="B834" s="1">
        <v>44427</v>
      </c>
      <c r="C834">
        <v>4800.3599999999997</v>
      </c>
      <c r="D834" s="1">
        <v>44431</v>
      </c>
      <c r="E834">
        <v>5.3680000000000003</v>
      </c>
      <c r="F834" s="1">
        <v>44425</v>
      </c>
      <c r="G834">
        <v>134.18100000000001</v>
      </c>
      <c r="H834" s="4">
        <f t="shared" si="108"/>
        <v>720283.60800000012</v>
      </c>
      <c r="I834" s="5">
        <v>44427</v>
      </c>
      <c r="J834" s="4">
        <v>6674.58</v>
      </c>
      <c r="K834" s="4">
        <f t="shared" si="109"/>
        <v>66745.8</v>
      </c>
      <c r="L834" s="1">
        <v>44427</v>
      </c>
      <c r="M834">
        <v>4.4400000000000004</v>
      </c>
      <c r="P834" s="1">
        <v>44427</v>
      </c>
      <c r="Q834">
        <v>4.5</v>
      </c>
      <c r="R834" s="1">
        <v>44426</v>
      </c>
      <c r="S834">
        <v>4.5999999999999996</v>
      </c>
      <c r="V834" s="1">
        <v>44424</v>
      </c>
      <c r="W834">
        <v>4.5</v>
      </c>
      <c r="X834" s="1">
        <v>44427</v>
      </c>
      <c r="Y834">
        <f>NETWORKDAYS(X834,$Z$1,FERIADO!$A$2:$A$408)</f>
        <v>2363</v>
      </c>
      <c r="Z834">
        <v>10.66</v>
      </c>
      <c r="AA834" s="6">
        <f t="shared" si="110"/>
        <v>38681.225443237716</v>
      </c>
      <c r="AB834" s="2">
        <f t="shared" si="111"/>
        <v>6.0609256255338053E-3</v>
      </c>
      <c r="AJ834" s="1">
        <v>44427</v>
      </c>
      <c r="AK834">
        <f>NETWORKDAYS(AJ834,$AJ$1,FERIADO!$A$2:$A$408)</f>
        <v>1350</v>
      </c>
      <c r="AL834">
        <v>10.17</v>
      </c>
      <c r="AM834" s="6">
        <f t="shared" si="112"/>
        <v>59519.685540491504</v>
      </c>
      <c r="AN834" s="2">
        <f t="shared" si="113"/>
        <v>3.334818636024181E-3</v>
      </c>
      <c r="AP834" s="11">
        <f t="shared" si="114"/>
        <v>3.0304628127669027E-3</v>
      </c>
      <c r="AQ834" s="11">
        <f t="shared" si="115"/>
        <v>1.0004455908072542E-3</v>
      </c>
      <c r="AR834" s="11">
        <f t="shared" si="116"/>
        <v>4.0309084035741564E-3</v>
      </c>
    </row>
    <row r="835" spans="2:44" x14ac:dyDescent="0.35">
      <c r="B835" s="1">
        <v>44426</v>
      </c>
      <c r="C835">
        <v>4784.8900000000003</v>
      </c>
      <c r="D835" s="1">
        <v>44428</v>
      </c>
      <c r="E835">
        <v>5.4268000000000001</v>
      </c>
      <c r="F835" s="1">
        <v>44424</v>
      </c>
      <c r="G835">
        <v>134.25800000000001</v>
      </c>
      <c r="H835" s="4">
        <f t="shared" si="108"/>
        <v>728591.31440000015</v>
      </c>
      <c r="I835" s="5">
        <v>44426</v>
      </c>
      <c r="J835" s="4">
        <v>6647.5</v>
      </c>
      <c r="K835" s="4">
        <f t="shared" si="109"/>
        <v>66475</v>
      </c>
      <c r="L835" s="1">
        <v>44426</v>
      </c>
      <c r="M835">
        <v>4.4800000000000004</v>
      </c>
      <c r="P835" s="1">
        <v>44426</v>
      </c>
      <c r="Q835">
        <v>4.54</v>
      </c>
      <c r="R835" s="1">
        <v>44425</v>
      </c>
      <c r="S835">
        <v>4.4400000000000004</v>
      </c>
      <c r="V835" s="1">
        <v>44421</v>
      </c>
      <c r="W835">
        <v>4.34</v>
      </c>
      <c r="X835" s="1">
        <v>44426</v>
      </c>
      <c r="Y835">
        <f>NETWORKDAYS(X835,$Z$1,FERIADO!$A$2:$A$408)</f>
        <v>2364</v>
      </c>
      <c r="Z835">
        <v>10.82</v>
      </c>
      <c r="AA835" s="6">
        <f t="shared" si="110"/>
        <v>38145.147511531759</v>
      </c>
      <c r="AB835" s="2">
        <f t="shared" si="111"/>
        <v>-1.0871525434460008E-2</v>
      </c>
      <c r="AJ835" s="1">
        <v>44426</v>
      </c>
      <c r="AK835">
        <f>NETWORKDAYS(AJ835,$AJ$1,FERIADO!$A$2:$A$408)</f>
        <v>1351</v>
      </c>
      <c r="AL835">
        <v>10.32</v>
      </c>
      <c r="AM835" s="6">
        <f t="shared" si="112"/>
        <v>59064.401743885355</v>
      </c>
      <c r="AN835" s="2">
        <f t="shared" si="113"/>
        <v>-5.9637750344585785E-3</v>
      </c>
      <c r="AP835" s="11">
        <f t="shared" si="114"/>
        <v>-5.4357627172300039E-3</v>
      </c>
      <c r="AQ835" s="11">
        <f t="shared" si="115"/>
        <v>-1.7891325103375736E-3</v>
      </c>
      <c r="AR835" s="11">
        <f t="shared" si="116"/>
        <v>-7.2248952275675779E-3</v>
      </c>
    </row>
    <row r="836" spans="2:44" x14ac:dyDescent="0.35">
      <c r="B836" s="1">
        <v>44425</v>
      </c>
      <c r="C836">
        <v>4843.0600000000004</v>
      </c>
      <c r="D836" s="1">
        <v>44427</v>
      </c>
      <c r="E836">
        <v>5.4173999999999998</v>
      </c>
      <c r="F836" s="1">
        <v>44421</v>
      </c>
      <c r="G836">
        <v>133.97300000000001</v>
      </c>
      <c r="H836" s="4">
        <f t="shared" ref="H836:H899" si="117">G836*E836*1000</f>
        <v>725785.33020000008</v>
      </c>
      <c r="I836" s="5">
        <v>44425</v>
      </c>
      <c r="J836" s="4">
        <v>6533.62</v>
      </c>
      <c r="K836" s="4">
        <f t="shared" si="109"/>
        <v>65336.2</v>
      </c>
      <c r="L836" s="1">
        <v>44425</v>
      </c>
      <c r="M836">
        <v>4.25</v>
      </c>
      <c r="P836" s="1">
        <v>44425</v>
      </c>
      <c r="Q836">
        <v>4.37</v>
      </c>
      <c r="R836" s="1">
        <v>44424</v>
      </c>
      <c r="S836">
        <v>4.46</v>
      </c>
      <c r="V836" s="1">
        <v>44420</v>
      </c>
      <c r="W836">
        <v>4.26</v>
      </c>
      <c r="X836" s="1">
        <v>44425</v>
      </c>
      <c r="Y836">
        <f>NETWORKDAYS(X836,$Z$1,FERIADO!$A$2:$A$408)</f>
        <v>2365</v>
      </c>
      <c r="Z836">
        <v>10.52</v>
      </c>
      <c r="AA836" s="6">
        <f t="shared" si="110"/>
        <v>39112.072036084035</v>
      </c>
      <c r="AB836" s="2">
        <f t="shared" si="111"/>
        <v>-5.6556555630159092E-4</v>
      </c>
      <c r="AJ836" s="1">
        <v>44425</v>
      </c>
      <c r="AK836">
        <f>NETWORKDAYS(AJ836,$AJ$1,FERIADO!$A$2:$A$408)</f>
        <v>1352</v>
      </c>
      <c r="AL836">
        <v>10.029999999999999</v>
      </c>
      <c r="AM836" s="6">
        <f t="shared" si="112"/>
        <v>59881.074467302904</v>
      </c>
      <c r="AN836" s="2">
        <f t="shared" si="113"/>
        <v>-4.7202264306663266E-5</v>
      </c>
      <c r="AP836" s="11">
        <f t="shared" si="114"/>
        <v>-2.8278277815079546E-4</v>
      </c>
      <c r="AQ836" s="11">
        <f t="shared" si="115"/>
        <v>-1.416067929199898E-5</v>
      </c>
      <c r="AR836" s="11">
        <f t="shared" si="116"/>
        <v>-2.9694345744279445E-4</v>
      </c>
    </row>
    <row r="837" spans="2:44" x14ac:dyDescent="0.35">
      <c r="B837" s="1">
        <v>44424</v>
      </c>
      <c r="C837">
        <v>4880.75</v>
      </c>
      <c r="D837" s="1">
        <v>44426</v>
      </c>
      <c r="E837">
        <v>5.3018999999999998</v>
      </c>
      <c r="F837" s="1">
        <v>44420</v>
      </c>
      <c r="G837">
        <v>133.517</v>
      </c>
      <c r="H837" s="4">
        <f t="shared" si="117"/>
        <v>707893.78229999996</v>
      </c>
      <c r="I837" s="5">
        <v>44424</v>
      </c>
      <c r="J837" s="4">
        <v>6489.3</v>
      </c>
      <c r="K837" s="4">
        <f t="shared" ref="K837:K900" si="118">J837*10</f>
        <v>64893</v>
      </c>
      <c r="L837" s="1">
        <v>44424</v>
      </c>
      <c r="M837">
        <v>4.25</v>
      </c>
      <c r="P837" s="1">
        <v>44424</v>
      </c>
      <c r="Q837">
        <v>4.38</v>
      </c>
      <c r="R837" s="1">
        <v>44421</v>
      </c>
      <c r="S837">
        <v>4.3600000000000003</v>
      </c>
      <c r="V837" s="1">
        <v>44419</v>
      </c>
      <c r="W837">
        <v>4.1900000000000004</v>
      </c>
      <c r="X837" s="1">
        <v>44424</v>
      </c>
      <c r="Y837">
        <f>NETWORKDAYS(X837,$Z$1,FERIADO!$A$2:$A$408)</f>
        <v>2366</v>
      </c>
      <c r="Z837">
        <v>10.5</v>
      </c>
      <c r="AA837" s="6">
        <f t="shared" ref="AA837:AA900" si="119">$Z$2/(1+Z837/100)^(Y837/252)</f>
        <v>39163.039412529419</v>
      </c>
      <c r="AB837" s="2">
        <f t="shared" ref="AB837:AB900" si="120">LOG(AA837/AA838)</f>
        <v>-7.9576386997581815E-3</v>
      </c>
      <c r="AJ837" s="1">
        <v>44424</v>
      </c>
      <c r="AK837">
        <f>NETWORKDAYS(AJ837,$AJ$1,FERIADO!$A$2:$A$408)</f>
        <v>1353</v>
      </c>
      <c r="AL837">
        <v>10.02</v>
      </c>
      <c r="AM837" s="6">
        <f t="shared" ref="AM837:AM900" si="121">$Z$2/(1+AL837/100)^(AK837/252)</f>
        <v>59887.583129122853</v>
      </c>
      <c r="AN837" s="2">
        <f t="shared" ref="AN837:AN900" si="122">LOG(AM837/AM838)</f>
        <v>-4.0811938050522474E-3</v>
      </c>
      <c r="AP837" s="11">
        <f t="shared" ref="AP837:AP900" si="123">AB837*$AF$4</f>
        <v>-3.9788193498790907E-3</v>
      </c>
      <c r="AQ837" s="11">
        <f t="shared" ref="AQ837:AQ900" si="124">AN837*$AF$7</f>
        <v>-1.2243581415156742E-3</v>
      </c>
      <c r="AR837" s="11">
        <f t="shared" ref="AR837:AR900" si="125">AQ837+AP837</f>
        <v>-5.203177491394765E-3</v>
      </c>
    </row>
    <row r="838" spans="2:44" x14ac:dyDescent="0.35">
      <c r="B838" s="1">
        <v>44421</v>
      </c>
      <c r="C838">
        <v>4870.33</v>
      </c>
      <c r="D838" s="1">
        <v>44425</v>
      </c>
      <c r="E838">
        <v>5.2579000000000002</v>
      </c>
      <c r="F838" s="1">
        <v>44419</v>
      </c>
      <c r="G838">
        <v>133.66300000000001</v>
      </c>
      <c r="H838" s="4">
        <f t="shared" si="117"/>
        <v>702786.68770000013</v>
      </c>
      <c r="I838" s="5">
        <v>44421</v>
      </c>
      <c r="J838" s="4">
        <v>6478.22</v>
      </c>
      <c r="K838" s="4">
        <f t="shared" si="118"/>
        <v>64782.200000000004</v>
      </c>
      <c r="L838" s="1">
        <v>44421</v>
      </c>
      <c r="M838">
        <v>4.17</v>
      </c>
      <c r="P838" s="1">
        <v>44421</v>
      </c>
      <c r="Q838">
        <v>4.32</v>
      </c>
      <c r="R838" s="1">
        <v>44420</v>
      </c>
      <c r="S838">
        <v>4.25</v>
      </c>
      <c r="V838" s="1">
        <v>44418</v>
      </c>
      <c r="W838">
        <v>4.16</v>
      </c>
      <c r="X838" s="1">
        <v>44421</v>
      </c>
      <c r="Y838">
        <f>NETWORKDAYS(X838,$Z$1,FERIADO!$A$2:$A$408)</f>
        <v>2367</v>
      </c>
      <c r="Z838">
        <v>10.28</v>
      </c>
      <c r="AA838" s="6">
        <f t="shared" si="119"/>
        <v>39887.243864225093</v>
      </c>
      <c r="AB838" s="2">
        <f t="shared" si="120"/>
        <v>-6.8685103371387019E-3</v>
      </c>
      <c r="AJ838" s="1">
        <v>44421</v>
      </c>
      <c r="AK838">
        <f>NETWORKDAYS(AJ838,$AJ$1,FERIADO!$A$2:$A$408)</f>
        <v>1354</v>
      </c>
      <c r="AL838">
        <v>9.82</v>
      </c>
      <c r="AM838" s="6">
        <f t="shared" si="121"/>
        <v>60453.017089612673</v>
      </c>
      <c r="AN838" s="2">
        <f t="shared" si="122"/>
        <v>-3.8821936286802337E-3</v>
      </c>
      <c r="AP838" s="11">
        <f t="shared" si="123"/>
        <v>-3.434255168569351E-3</v>
      </c>
      <c r="AQ838" s="11">
        <f t="shared" si="124"/>
        <v>-1.1646580886040701E-3</v>
      </c>
      <c r="AR838" s="11">
        <f t="shared" si="125"/>
        <v>-4.5989132571734211E-3</v>
      </c>
    </row>
    <row r="839" spans="2:44" x14ac:dyDescent="0.35">
      <c r="B839" s="1">
        <v>44420</v>
      </c>
      <c r="C839">
        <v>4862.3</v>
      </c>
      <c r="D839" s="1">
        <v>44424</v>
      </c>
      <c r="E839">
        <v>5.2488999999999999</v>
      </c>
      <c r="F839" s="1">
        <v>44418</v>
      </c>
      <c r="G839">
        <v>133.46899999999999</v>
      </c>
      <c r="H839" s="4">
        <f t="shared" si="117"/>
        <v>700565.43409999995</v>
      </c>
      <c r="I839" s="5">
        <v>44420</v>
      </c>
      <c r="J839" s="4">
        <v>6484.37</v>
      </c>
      <c r="K839" s="4">
        <f t="shared" si="118"/>
        <v>64843.7</v>
      </c>
      <c r="L839" s="1">
        <v>44420</v>
      </c>
      <c r="M839">
        <v>4.09</v>
      </c>
      <c r="P839" s="1">
        <v>44420</v>
      </c>
      <c r="Q839">
        <v>4.2</v>
      </c>
      <c r="R839" s="1">
        <v>44419</v>
      </c>
      <c r="S839">
        <v>4.1900000000000004</v>
      </c>
      <c r="V839" s="1">
        <v>44417</v>
      </c>
      <c r="W839">
        <v>4.16</v>
      </c>
      <c r="X839" s="1">
        <v>44420</v>
      </c>
      <c r="Y839">
        <f>NETWORKDAYS(X839,$Z$1,FERIADO!$A$2:$A$408)</f>
        <v>2368</v>
      </c>
      <c r="Z839">
        <v>10.09</v>
      </c>
      <c r="AA839" s="6">
        <f t="shared" si="119"/>
        <v>40523.088562716977</v>
      </c>
      <c r="AB839" s="2">
        <f t="shared" si="120"/>
        <v>-4.6582622840268565E-3</v>
      </c>
      <c r="AJ839" s="1">
        <v>44420</v>
      </c>
      <c r="AK839">
        <f>NETWORKDAYS(AJ839,$AJ$1,FERIADO!$A$2:$A$408)</f>
        <v>1355</v>
      </c>
      <c r="AL839">
        <v>9.6300000000000008</v>
      </c>
      <c r="AM839" s="6">
        <f t="shared" si="121"/>
        <v>60995.834044639363</v>
      </c>
      <c r="AN839" s="2">
        <f t="shared" si="122"/>
        <v>-3.0412007470424578E-3</v>
      </c>
      <c r="AP839" s="11">
        <f t="shared" si="123"/>
        <v>-2.3291311420134283E-3</v>
      </c>
      <c r="AQ839" s="11">
        <f t="shared" si="124"/>
        <v>-9.1236022411273735E-4</v>
      </c>
      <c r="AR839" s="11">
        <f t="shared" si="125"/>
        <v>-3.2414913661261658E-3</v>
      </c>
    </row>
    <row r="840" spans="2:44" x14ac:dyDescent="0.35">
      <c r="B840" s="1">
        <v>44419</v>
      </c>
      <c r="C840">
        <v>4849.6400000000003</v>
      </c>
      <c r="D840" s="1">
        <v>44421</v>
      </c>
      <c r="E840">
        <v>5.2468000000000004</v>
      </c>
      <c r="F840" s="1">
        <v>44417</v>
      </c>
      <c r="G840">
        <v>133.65</v>
      </c>
      <c r="H840" s="4">
        <f t="shared" si="117"/>
        <v>701234.82000000018</v>
      </c>
      <c r="I840" s="5">
        <v>44419</v>
      </c>
      <c r="J840" s="4">
        <v>6454.21</v>
      </c>
      <c r="K840" s="4">
        <f t="shared" si="118"/>
        <v>64542.1</v>
      </c>
      <c r="L840" s="1">
        <v>44419</v>
      </c>
      <c r="M840">
        <v>3.99</v>
      </c>
      <c r="P840" s="1">
        <v>44419</v>
      </c>
      <c r="Q840">
        <v>4.12</v>
      </c>
      <c r="R840" s="1">
        <v>44418</v>
      </c>
      <c r="S840">
        <v>4.16</v>
      </c>
      <c r="V840" s="1">
        <v>44414</v>
      </c>
      <c r="W840">
        <v>4.07</v>
      </c>
      <c r="X840" s="1">
        <v>44419</v>
      </c>
      <c r="Y840">
        <f>NETWORKDAYS(X840,$Z$1,FERIADO!$A$2:$A$408)</f>
        <v>2369</v>
      </c>
      <c r="Z840">
        <v>9.9600000000000009</v>
      </c>
      <c r="AA840" s="6">
        <f t="shared" si="119"/>
        <v>40960.080453940616</v>
      </c>
      <c r="AB840" s="2">
        <f t="shared" si="120"/>
        <v>-1.3224302358865135E-3</v>
      </c>
      <c r="AJ840" s="1">
        <v>44419</v>
      </c>
      <c r="AK840">
        <f>NETWORKDAYS(AJ840,$AJ$1,FERIADO!$A$2:$A$408)</f>
        <v>1356</v>
      </c>
      <c r="AL840">
        <v>9.48</v>
      </c>
      <c r="AM840" s="6">
        <f t="shared" si="121"/>
        <v>61424.463921098417</v>
      </c>
      <c r="AN840" s="2">
        <f t="shared" si="122"/>
        <v>-9.1222136691024259E-4</v>
      </c>
      <c r="AP840" s="11">
        <f t="shared" si="123"/>
        <v>-6.6121511794325677E-4</v>
      </c>
      <c r="AQ840" s="11">
        <f t="shared" si="124"/>
        <v>-2.7366641007307277E-4</v>
      </c>
      <c r="AR840" s="11">
        <f t="shared" si="125"/>
        <v>-9.3488152801632948E-4</v>
      </c>
    </row>
    <row r="841" spans="2:44" x14ac:dyDescent="0.35">
      <c r="B841" s="1">
        <v>44418</v>
      </c>
      <c r="C841">
        <v>4834.66</v>
      </c>
      <c r="D841" s="1">
        <v>44420</v>
      </c>
      <c r="E841">
        <v>5.2344999999999997</v>
      </c>
      <c r="F841" s="1">
        <v>44414</v>
      </c>
      <c r="G841">
        <v>133.90600000000001</v>
      </c>
      <c r="H841" s="4">
        <f t="shared" si="117"/>
        <v>700930.95700000005</v>
      </c>
      <c r="I841" s="5">
        <v>44418</v>
      </c>
      <c r="J841" s="4">
        <v>6408.04</v>
      </c>
      <c r="K841" s="4">
        <f t="shared" si="118"/>
        <v>64080.4</v>
      </c>
      <c r="L841" s="1">
        <v>44418</v>
      </c>
      <c r="M841">
        <v>3.93</v>
      </c>
      <c r="P841" s="1">
        <v>44418</v>
      </c>
      <c r="Q841">
        <v>4.0599999999999996</v>
      </c>
      <c r="R841" s="1">
        <v>44417</v>
      </c>
      <c r="S841">
        <v>4.1500000000000004</v>
      </c>
      <c r="V841" s="1">
        <v>44413</v>
      </c>
      <c r="W841">
        <v>4.13</v>
      </c>
      <c r="X841" s="1">
        <v>44418</v>
      </c>
      <c r="Y841">
        <f>NETWORKDAYS(X841,$Z$1,FERIADO!$A$2:$A$408)</f>
        <v>2370</v>
      </c>
      <c r="Z841">
        <v>9.92</v>
      </c>
      <c r="AA841" s="6">
        <f t="shared" si="119"/>
        <v>41084.994318001736</v>
      </c>
      <c r="AB841" s="2">
        <f t="shared" si="120"/>
        <v>2.0212772932674205E-3</v>
      </c>
      <c r="AJ841" s="1">
        <v>44418</v>
      </c>
      <c r="AK841">
        <f>NETWORKDAYS(AJ841,$AJ$1,FERIADO!$A$2:$A$408)</f>
        <v>1357</v>
      </c>
      <c r="AL841">
        <v>9.43</v>
      </c>
      <c r="AM841" s="6">
        <f t="shared" si="121"/>
        <v>61553.619596423894</v>
      </c>
      <c r="AN841" s="2">
        <f t="shared" si="122"/>
        <v>1.8656273240269597E-3</v>
      </c>
      <c r="AP841" s="11">
        <f t="shared" si="123"/>
        <v>1.0106386466337102E-3</v>
      </c>
      <c r="AQ841" s="11">
        <f t="shared" si="124"/>
        <v>5.5968819720808788E-4</v>
      </c>
      <c r="AR841" s="11">
        <f t="shared" si="125"/>
        <v>1.570326843841798E-3</v>
      </c>
    </row>
    <row r="842" spans="2:44" x14ac:dyDescent="0.35">
      <c r="B842" s="1">
        <v>44417</v>
      </c>
      <c r="C842">
        <v>4822.5600000000004</v>
      </c>
      <c r="D842" s="1">
        <v>44419</v>
      </c>
      <c r="E842">
        <v>5.2007000000000003</v>
      </c>
      <c r="F842" s="1">
        <v>44413</v>
      </c>
      <c r="G842">
        <v>134.39599999999999</v>
      </c>
      <c r="H842" s="4">
        <f t="shared" si="117"/>
        <v>698953.27720000001</v>
      </c>
      <c r="I842" s="5">
        <v>44417</v>
      </c>
      <c r="J842" s="4">
        <v>6463.44</v>
      </c>
      <c r="K842" s="4">
        <f t="shared" si="118"/>
        <v>64634.399999999994</v>
      </c>
      <c r="L842" s="1">
        <v>44417</v>
      </c>
      <c r="M842">
        <v>3.97</v>
      </c>
      <c r="P842" s="1">
        <v>44417</v>
      </c>
      <c r="Q842">
        <v>4.07</v>
      </c>
      <c r="R842" s="1">
        <v>44414</v>
      </c>
      <c r="S842">
        <v>4.07</v>
      </c>
      <c r="V842" s="1">
        <v>44412</v>
      </c>
      <c r="W842">
        <v>4</v>
      </c>
      <c r="X842" s="1">
        <v>44417</v>
      </c>
      <c r="Y842">
        <f>NETWORKDAYS(X842,$Z$1,FERIADO!$A$2:$A$408)</f>
        <v>2371</v>
      </c>
      <c r="Z842">
        <v>9.9700000000000006</v>
      </c>
      <c r="AA842" s="6">
        <f t="shared" si="119"/>
        <v>40894.222345346796</v>
      </c>
      <c r="AB842" s="2">
        <f t="shared" si="120"/>
        <v>-5.0437083394784116E-3</v>
      </c>
      <c r="AJ842" s="1">
        <v>44417</v>
      </c>
      <c r="AK842">
        <f>NETWORKDAYS(AJ842,$AJ$1,FERIADO!$A$2:$A$408)</f>
        <v>1358</v>
      </c>
      <c r="AL842">
        <v>9.51</v>
      </c>
      <c r="AM842" s="6">
        <f t="shared" si="121"/>
        <v>61289.766801422797</v>
      </c>
      <c r="AN842" s="2">
        <f t="shared" si="122"/>
        <v>-2.1971874426791669E-3</v>
      </c>
      <c r="AP842" s="11">
        <f t="shared" si="123"/>
        <v>-2.5218541697392058E-3</v>
      </c>
      <c r="AQ842" s="11">
        <f t="shared" si="124"/>
        <v>-6.5915623280375006E-4</v>
      </c>
      <c r="AR842" s="11">
        <f t="shared" si="125"/>
        <v>-3.1810104025429557E-3</v>
      </c>
    </row>
    <row r="843" spans="2:44" x14ac:dyDescent="0.35">
      <c r="B843" s="1">
        <v>44414</v>
      </c>
      <c r="C843">
        <v>4836.58</v>
      </c>
      <c r="D843" s="1">
        <v>44418</v>
      </c>
      <c r="E843">
        <v>5.2210999999999999</v>
      </c>
      <c r="F843" s="1">
        <v>44412</v>
      </c>
      <c r="G843">
        <v>134.86099999999999</v>
      </c>
      <c r="H843" s="4">
        <f t="shared" si="117"/>
        <v>704122.76709999994</v>
      </c>
      <c r="I843" s="5">
        <v>44414</v>
      </c>
      <c r="J843" s="4">
        <v>6461.6</v>
      </c>
      <c r="K843" s="4">
        <f t="shared" si="118"/>
        <v>64616</v>
      </c>
      <c r="L843" s="1">
        <v>44414</v>
      </c>
      <c r="M843">
        <v>3.87</v>
      </c>
      <c r="P843" s="1">
        <v>44414</v>
      </c>
      <c r="Q843">
        <v>4.01</v>
      </c>
      <c r="R843" s="1">
        <v>44413</v>
      </c>
      <c r="S843">
        <v>3.96</v>
      </c>
      <c r="V843" s="1">
        <v>44411</v>
      </c>
      <c r="W843">
        <v>3.99</v>
      </c>
      <c r="X843" s="1">
        <v>44414</v>
      </c>
      <c r="Y843">
        <f>NETWORKDAYS(X843,$Z$1,FERIADO!$A$2:$A$408)</f>
        <v>2372</v>
      </c>
      <c r="Z843">
        <v>9.83</v>
      </c>
      <c r="AA843" s="6">
        <f t="shared" si="119"/>
        <v>41371.91867268143</v>
      </c>
      <c r="AB843" s="2">
        <f t="shared" si="120"/>
        <v>-2.073166430764255E-3</v>
      </c>
      <c r="AJ843" s="1">
        <v>44414</v>
      </c>
      <c r="AK843">
        <f>NETWORKDAYS(AJ843,$AJ$1,FERIADO!$A$2:$A$408)</f>
        <v>1359</v>
      </c>
      <c r="AL843">
        <v>9.4</v>
      </c>
      <c r="AM843" s="6">
        <f t="shared" si="121"/>
        <v>61600.630366130055</v>
      </c>
      <c r="AN843" s="2">
        <f t="shared" si="122"/>
        <v>-5.9421515960005236E-5</v>
      </c>
      <c r="AP843" s="11">
        <f t="shared" si="123"/>
        <v>-1.0365832153821275E-3</v>
      </c>
      <c r="AQ843" s="11">
        <f t="shared" si="124"/>
        <v>-1.7826454788001571E-5</v>
      </c>
      <c r="AR843" s="11">
        <f t="shared" si="125"/>
        <v>-1.0544096701701291E-3</v>
      </c>
    </row>
    <row r="844" spans="2:44" x14ac:dyDescent="0.35">
      <c r="B844" s="1">
        <v>44413</v>
      </c>
      <c r="C844">
        <v>4825.3599999999997</v>
      </c>
      <c r="D844" s="1">
        <v>44417</v>
      </c>
      <c r="E844">
        <v>5.2767999999999997</v>
      </c>
      <c r="F844" s="1">
        <v>44411</v>
      </c>
      <c r="G844">
        <v>135.03200000000001</v>
      </c>
      <c r="H844" s="4">
        <f t="shared" si="117"/>
        <v>712536.85759999999</v>
      </c>
      <c r="I844" s="5">
        <v>44413</v>
      </c>
      <c r="J844" s="4">
        <v>6486.83</v>
      </c>
      <c r="K844" s="4">
        <f t="shared" si="118"/>
        <v>64868.3</v>
      </c>
      <c r="L844" s="1">
        <v>44413</v>
      </c>
      <c r="M844">
        <v>3.96</v>
      </c>
      <c r="P844" s="1">
        <v>44413</v>
      </c>
      <c r="Q844">
        <v>4.0599999999999996</v>
      </c>
      <c r="R844" s="1">
        <v>44412</v>
      </c>
      <c r="S844">
        <v>3.96</v>
      </c>
      <c r="V844" s="1">
        <v>44410</v>
      </c>
      <c r="W844">
        <v>4.0199999999999996</v>
      </c>
      <c r="X844" s="1">
        <v>44413</v>
      </c>
      <c r="Y844">
        <f>NETWORKDAYS(X844,$Z$1,FERIADO!$A$2:$A$408)</f>
        <v>2373</v>
      </c>
      <c r="Z844">
        <v>9.77</v>
      </c>
      <c r="AA844" s="6">
        <f t="shared" si="119"/>
        <v>41569.885541750649</v>
      </c>
      <c r="AB844" s="2">
        <f t="shared" si="120"/>
        <v>-1.0662486893897694E-2</v>
      </c>
      <c r="AJ844" s="1">
        <v>44413</v>
      </c>
      <c r="AK844">
        <f>NETWORKDAYS(AJ844,$AJ$1,FERIADO!$A$2:$A$408)</f>
        <v>1360</v>
      </c>
      <c r="AL844">
        <v>9.39</v>
      </c>
      <c r="AM844" s="6">
        <f t="shared" si="121"/>
        <v>61609.059331770266</v>
      </c>
      <c r="AN844" s="2">
        <f t="shared" si="122"/>
        <v>-6.0717492925702306E-3</v>
      </c>
      <c r="AP844" s="11">
        <f t="shared" si="123"/>
        <v>-5.3312434469488471E-3</v>
      </c>
      <c r="AQ844" s="11">
        <f t="shared" si="124"/>
        <v>-1.821524787771069E-3</v>
      </c>
      <c r="AR844" s="11">
        <f t="shared" si="125"/>
        <v>-7.1527682347199157E-3</v>
      </c>
    </row>
    <row r="845" spans="2:44" x14ac:dyDescent="0.35">
      <c r="B845" s="1">
        <v>44412</v>
      </c>
      <c r="C845">
        <v>4802.17</v>
      </c>
      <c r="D845" s="1">
        <v>44414</v>
      </c>
      <c r="E845">
        <v>5.2404000000000002</v>
      </c>
      <c r="F845" s="1">
        <v>44410</v>
      </c>
      <c r="G845">
        <v>134.98500000000001</v>
      </c>
      <c r="H845" s="4">
        <f t="shared" si="117"/>
        <v>707375.39400000009</v>
      </c>
      <c r="I845" s="5">
        <v>44412</v>
      </c>
      <c r="J845" s="4">
        <v>6387.73</v>
      </c>
      <c r="K845" s="4">
        <f t="shared" si="118"/>
        <v>63877.299999999996</v>
      </c>
      <c r="L845" s="1">
        <v>44412</v>
      </c>
      <c r="M845">
        <v>3.77</v>
      </c>
      <c r="P845" s="1">
        <v>44412</v>
      </c>
      <c r="Q845">
        <v>3.9</v>
      </c>
      <c r="R845" s="1">
        <v>44411</v>
      </c>
      <c r="S845">
        <v>3.97</v>
      </c>
      <c r="V845" s="1">
        <v>44407</v>
      </c>
      <c r="W845">
        <v>4.08</v>
      </c>
      <c r="X845" s="1">
        <v>44412</v>
      </c>
      <c r="Y845">
        <f>NETWORKDAYS(X845,$Z$1,FERIADO!$A$2:$A$408)</f>
        <v>2374</v>
      </c>
      <c r="Z845">
        <v>9.48</v>
      </c>
      <c r="AA845" s="6">
        <f t="shared" si="119"/>
        <v>42603.111190569565</v>
      </c>
      <c r="AB845" s="2">
        <f t="shared" si="120"/>
        <v>1.6512696820474241E-3</v>
      </c>
      <c r="AJ845" s="1">
        <v>44412</v>
      </c>
      <c r="AK845">
        <f>NETWORKDAYS(AJ845,$AJ$1,FERIADO!$A$2:$A$408)</f>
        <v>1361</v>
      </c>
      <c r="AL845">
        <v>9.1</v>
      </c>
      <c r="AM845" s="6">
        <f t="shared" si="121"/>
        <v>62476.447530583115</v>
      </c>
      <c r="AN845" s="2">
        <f t="shared" si="122"/>
        <v>3.6523576970067982E-4</v>
      </c>
      <c r="AP845" s="11">
        <f t="shared" si="123"/>
        <v>8.2563484102371205E-4</v>
      </c>
      <c r="AQ845" s="11">
        <f t="shared" si="124"/>
        <v>1.0957073091020394E-4</v>
      </c>
      <c r="AR845" s="11">
        <f t="shared" si="125"/>
        <v>9.3520557193391596E-4</v>
      </c>
    </row>
    <row r="846" spans="2:44" x14ac:dyDescent="0.35">
      <c r="B846" s="1">
        <v>44411</v>
      </c>
      <c r="C846">
        <v>4814.47</v>
      </c>
      <c r="D846" s="1">
        <v>44413</v>
      </c>
      <c r="E846">
        <v>5.1459000000000001</v>
      </c>
      <c r="F846" s="1">
        <v>44407</v>
      </c>
      <c r="G846">
        <v>134.44</v>
      </c>
      <c r="H846" s="4">
        <f t="shared" si="117"/>
        <v>691814.79599999997</v>
      </c>
      <c r="I846" s="5">
        <v>44411</v>
      </c>
      <c r="J846" s="4">
        <v>6425.28</v>
      </c>
      <c r="K846" s="4">
        <f t="shared" si="118"/>
        <v>64252.799999999996</v>
      </c>
      <c r="L846" s="1">
        <v>44411</v>
      </c>
      <c r="M846">
        <v>3.71</v>
      </c>
      <c r="P846" s="1">
        <v>44411</v>
      </c>
      <c r="Q846">
        <v>3.89</v>
      </c>
      <c r="R846" s="1">
        <v>44410</v>
      </c>
      <c r="S846">
        <v>4</v>
      </c>
      <c r="V846" s="1">
        <v>44406</v>
      </c>
      <c r="W846">
        <v>3.94</v>
      </c>
      <c r="X846" s="1">
        <v>44411</v>
      </c>
      <c r="Y846">
        <f>NETWORKDAYS(X846,$Z$1,FERIADO!$A$2:$A$408)</f>
        <v>2375</v>
      </c>
      <c r="Z846">
        <v>9.52</v>
      </c>
      <c r="AA846" s="6">
        <f t="shared" si="119"/>
        <v>42441.433670793936</v>
      </c>
      <c r="AB846" s="2">
        <f t="shared" si="120"/>
        <v>-1.7131264117853672E-3</v>
      </c>
      <c r="AJ846" s="1">
        <v>44411</v>
      </c>
      <c r="AK846">
        <f>NETWORKDAYS(AJ846,$AJ$1,FERIADO!$A$2:$A$408)</f>
        <v>1362</v>
      </c>
      <c r="AL846">
        <v>9.11</v>
      </c>
      <c r="AM846" s="6">
        <f t="shared" si="121"/>
        <v>62423.927772766649</v>
      </c>
      <c r="AN846" s="2">
        <f t="shared" si="122"/>
        <v>-4.9568956445867544E-4</v>
      </c>
      <c r="AP846" s="11">
        <f t="shared" si="123"/>
        <v>-8.5656320589268362E-4</v>
      </c>
      <c r="AQ846" s="11">
        <f t="shared" si="124"/>
        <v>-1.4870686933760263E-4</v>
      </c>
      <c r="AR846" s="11">
        <f t="shared" si="125"/>
        <v>-1.0052700752302864E-3</v>
      </c>
    </row>
    <row r="847" spans="2:44" x14ac:dyDescent="0.35">
      <c r="B847" s="1">
        <v>44410</v>
      </c>
      <c r="C847">
        <v>4789.91</v>
      </c>
      <c r="D847" s="1">
        <v>44412</v>
      </c>
      <c r="E847">
        <v>5.2084999999999999</v>
      </c>
      <c r="F847" s="1">
        <v>44406</v>
      </c>
      <c r="G847">
        <v>134.15700000000001</v>
      </c>
      <c r="H847" s="4">
        <f t="shared" si="117"/>
        <v>698756.73450000002</v>
      </c>
      <c r="I847" s="5">
        <v>44410</v>
      </c>
      <c r="J847" s="4">
        <v>6390.19</v>
      </c>
      <c r="K847" s="4">
        <f t="shared" si="118"/>
        <v>63901.899999999994</v>
      </c>
      <c r="L847" s="1">
        <v>44410</v>
      </c>
      <c r="M847">
        <v>3.8</v>
      </c>
      <c r="P847" s="1">
        <v>44410</v>
      </c>
      <c r="Q847">
        <v>3.95</v>
      </c>
      <c r="R847" s="1">
        <v>44407</v>
      </c>
      <c r="S847">
        <v>4.05</v>
      </c>
      <c r="V847" s="1">
        <v>44404</v>
      </c>
      <c r="W847">
        <v>3.92</v>
      </c>
      <c r="X847" s="1">
        <v>44410</v>
      </c>
      <c r="Y847">
        <f>NETWORKDAYS(X847,$Z$1,FERIADO!$A$2:$A$408)</f>
        <v>2376</v>
      </c>
      <c r="Z847">
        <v>9.4700000000000006</v>
      </c>
      <c r="AA847" s="6">
        <f t="shared" si="119"/>
        <v>42609.179600200034</v>
      </c>
      <c r="AB847" s="2">
        <f t="shared" si="120"/>
        <v>1.5593300827103967E-4</v>
      </c>
      <c r="AJ847" s="1">
        <v>44410</v>
      </c>
      <c r="AK847">
        <f>NETWORKDAYS(AJ847,$AJ$1,FERIADO!$A$2:$A$408)</f>
        <v>1363</v>
      </c>
      <c r="AL847">
        <v>9.08</v>
      </c>
      <c r="AM847" s="6">
        <f t="shared" si="121"/>
        <v>62495.217084932839</v>
      </c>
      <c r="AN847" s="2">
        <f t="shared" si="122"/>
        <v>-7.1238721804942453E-4</v>
      </c>
      <c r="AP847" s="11">
        <f t="shared" si="123"/>
        <v>7.7966504135519834E-5</v>
      </c>
      <c r="AQ847" s="11">
        <f t="shared" si="124"/>
        <v>-2.1371616541482734E-4</v>
      </c>
      <c r="AR847" s="11">
        <f t="shared" si="125"/>
        <v>-1.3574966127930752E-4</v>
      </c>
    </row>
    <row r="848" spans="2:44" x14ac:dyDescent="0.35">
      <c r="B848" s="1">
        <v>44407</v>
      </c>
      <c r="C848">
        <v>4795.96</v>
      </c>
      <c r="D848" s="1">
        <v>44411</v>
      </c>
      <c r="E848">
        <v>5.2458</v>
      </c>
      <c r="F848" s="1">
        <v>44405</v>
      </c>
      <c r="G848">
        <v>134.51499999999999</v>
      </c>
      <c r="H848" s="4">
        <f t="shared" si="117"/>
        <v>705638.78700000001</v>
      </c>
      <c r="I848" s="5">
        <v>44407</v>
      </c>
      <c r="J848" s="4">
        <v>6443.75</v>
      </c>
      <c r="K848" s="4">
        <f t="shared" si="118"/>
        <v>64437.5</v>
      </c>
      <c r="L848" s="1">
        <v>44407</v>
      </c>
      <c r="M848">
        <v>3.77</v>
      </c>
      <c r="P848" s="1">
        <v>44407</v>
      </c>
      <c r="Q848">
        <v>3.96</v>
      </c>
      <c r="R848" s="1">
        <v>44406</v>
      </c>
      <c r="S848">
        <v>3.88</v>
      </c>
      <c r="V848" s="1">
        <v>44403</v>
      </c>
      <c r="W848">
        <v>3.9</v>
      </c>
      <c r="X848" s="1">
        <v>44407</v>
      </c>
      <c r="Y848">
        <f>NETWORKDAYS(X848,$Z$1,FERIADO!$A$2:$A$408)</f>
        <v>2377</v>
      </c>
      <c r="Z848">
        <v>9.4700000000000006</v>
      </c>
      <c r="AA848" s="6">
        <f t="shared" si="119"/>
        <v>42593.883562184696</v>
      </c>
      <c r="AB848" s="2">
        <f t="shared" si="120"/>
        <v>-9.964530339659057E-3</v>
      </c>
      <c r="AJ848" s="1">
        <v>44407</v>
      </c>
      <c r="AK848">
        <f>NETWORKDAYS(AJ848,$AJ$1,FERIADO!$A$2:$A$408)</f>
        <v>1364</v>
      </c>
      <c r="AL848">
        <v>9.0399999999999991</v>
      </c>
      <c r="AM848" s="6">
        <f t="shared" si="121"/>
        <v>62597.814124767028</v>
      </c>
      <c r="AN848" s="2">
        <f t="shared" si="122"/>
        <v>-6.7646783001908762E-3</v>
      </c>
      <c r="AP848" s="11">
        <f t="shared" si="123"/>
        <v>-4.9822651698295285E-3</v>
      </c>
      <c r="AQ848" s="11">
        <f t="shared" si="124"/>
        <v>-2.0294034900572629E-3</v>
      </c>
      <c r="AR848" s="11">
        <f t="shared" si="125"/>
        <v>-7.0116686598867915E-3</v>
      </c>
    </row>
    <row r="849" spans="2:44" x14ac:dyDescent="0.35">
      <c r="B849" s="1">
        <v>44406</v>
      </c>
      <c r="C849">
        <v>4800.13</v>
      </c>
      <c r="D849" s="1">
        <v>44410</v>
      </c>
      <c r="E849">
        <v>5.1372999999999998</v>
      </c>
      <c r="F849" s="1">
        <v>44404</v>
      </c>
      <c r="G849">
        <v>134.453</v>
      </c>
      <c r="H849" s="4">
        <f t="shared" si="117"/>
        <v>690725.39689999993</v>
      </c>
      <c r="I849" s="5">
        <v>44406</v>
      </c>
      <c r="J849" s="4">
        <v>6280</v>
      </c>
      <c r="K849" s="4">
        <f t="shared" si="118"/>
        <v>62800</v>
      </c>
      <c r="L849" s="1">
        <v>44406</v>
      </c>
      <c r="M849">
        <v>3.64</v>
      </c>
      <c r="P849" s="1">
        <v>44406</v>
      </c>
      <c r="Q849">
        <v>3.8</v>
      </c>
      <c r="R849" s="1">
        <v>44405</v>
      </c>
      <c r="S849">
        <v>3.91</v>
      </c>
      <c r="V849" s="1">
        <v>44400</v>
      </c>
      <c r="W849">
        <v>3.84</v>
      </c>
      <c r="X849" s="1">
        <v>44406</v>
      </c>
      <c r="Y849">
        <f>NETWORKDAYS(X849,$Z$1,FERIADO!$A$2:$A$408)</f>
        <v>2378</v>
      </c>
      <c r="Z849">
        <v>9.1999999999999993</v>
      </c>
      <c r="AA849" s="6">
        <f t="shared" si="119"/>
        <v>43582.462954805625</v>
      </c>
      <c r="AB849" s="2">
        <f t="shared" si="120"/>
        <v>1.5167713638376855E-4</v>
      </c>
      <c r="AJ849" s="1">
        <v>44406</v>
      </c>
      <c r="AK849">
        <f>NETWORKDAYS(AJ849,$AJ$1,FERIADO!$A$2:$A$408)</f>
        <v>1365</v>
      </c>
      <c r="AL849">
        <v>8.7200000000000006</v>
      </c>
      <c r="AM849" s="6">
        <f t="shared" si="121"/>
        <v>63580.486471003358</v>
      </c>
      <c r="AN849" s="2">
        <f t="shared" si="122"/>
        <v>1.0100596613651896E-3</v>
      </c>
      <c r="AP849" s="11">
        <f t="shared" si="123"/>
        <v>7.5838568191884277E-5</v>
      </c>
      <c r="AQ849" s="11">
        <f t="shared" si="124"/>
        <v>3.0301789840955686E-4</v>
      </c>
      <c r="AR849" s="11">
        <f t="shared" si="125"/>
        <v>3.7885646660144114E-4</v>
      </c>
    </row>
    <row r="850" spans="2:44" x14ac:dyDescent="0.35">
      <c r="B850" s="1">
        <v>44405</v>
      </c>
      <c r="C850">
        <v>4795.6899999999996</v>
      </c>
      <c r="D850" s="1">
        <v>44407</v>
      </c>
      <c r="E850">
        <v>5.1210000000000004</v>
      </c>
      <c r="F850" s="1">
        <v>44403</v>
      </c>
      <c r="G850">
        <v>134.06899999999999</v>
      </c>
      <c r="H850" s="4">
        <f t="shared" si="117"/>
        <v>686567.34900000005</v>
      </c>
      <c r="I850" s="5">
        <v>44405</v>
      </c>
      <c r="J850" s="4">
        <v>6330.07</v>
      </c>
      <c r="K850" s="4">
        <f t="shared" si="118"/>
        <v>63300.7</v>
      </c>
      <c r="L850" s="1">
        <v>44405</v>
      </c>
      <c r="M850">
        <v>3.65</v>
      </c>
      <c r="P850" s="1">
        <v>44405</v>
      </c>
      <c r="Q850">
        <v>3.83</v>
      </c>
      <c r="R850" s="1">
        <v>44404</v>
      </c>
      <c r="S850">
        <v>3.89</v>
      </c>
      <c r="V850" s="1">
        <v>44399</v>
      </c>
      <c r="W850">
        <v>3.83</v>
      </c>
      <c r="X850" s="1">
        <v>44405</v>
      </c>
      <c r="Y850">
        <f>NETWORKDAYS(X850,$Z$1,FERIADO!$A$2:$A$408)</f>
        <v>2379</v>
      </c>
      <c r="Z850">
        <v>9.1999999999999993</v>
      </c>
      <c r="AA850" s="6">
        <f t="shared" si="119"/>
        <v>43567.244458516143</v>
      </c>
      <c r="AB850" s="2">
        <f t="shared" si="120"/>
        <v>5.2727075478310498E-4</v>
      </c>
      <c r="AJ850" s="1">
        <v>44405</v>
      </c>
      <c r="AK850">
        <f>NETWORKDAYS(AJ850,$AJ$1,FERIADO!$A$2:$A$408)</f>
        <v>1366</v>
      </c>
      <c r="AL850">
        <v>8.76</v>
      </c>
      <c r="AM850" s="6">
        <f t="shared" si="121"/>
        <v>63432.786084993015</v>
      </c>
      <c r="AN850" s="2">
        <f t="shared" si="122"/>
        <v>1.4471904331537542E-4</v>
      </c>
      <c r="AP850" s="11">
        <f t="shared" si="123"/>
        <v>2.6363537739155249E-4</v>
      </c>
      <c r="AQ850" s="11">
        <f t="shared" si="124"/>
        <v>4.3415712994612627E-5</v>
      </c>
      <c r="AR850" s="11">
        <f t="shared" si="125"/>
        <v>3.070510903861651E-4</v>
      </c>
    </row>
    <row r="851" spans="2:44" x14ac:dyDescent="0.35">
      <c r="B851" s="1">
        <v>44404</v>
      </c>
      <c r="C851">
        <v>4792.16</v>
      </c>
      <c r="D851" s="1">
        <v>44406</v>
      </c>
      <c r="E851">
        <v>5.0675999999999997</v>
      </c>
      <c r="F851" s="1">
        <v>44400</v>
      </c>
      <c r="G851">
        <v>134.16200000000001</v>
      </c>
      <c r="H851" s="4">
        <f t="shared" si="117"/>
        <v>679879.35119999992</v>
      </c>
      <c r="I851" s="5">
        <v>44404</v>
      </c>
      <c r="J851" s="4">
        <v>6393.74</v>
      </c>
      <c r="K851" s="4">
        <f t="shared" si="118"/>
        <v>63937.399999999994</v>
      </c>
      <c r="L851" s="1">
        <v>44404</v>
      </c>
      <c r="M851">
        <v>3.62</v>
      </c>
      <c r="P851" s="1">
        <v>44404</v>
      </c>
      <c r="Q851">
        <v>3.78</v>
      </c>
      <c r="R851" s="1">
        <v>44403</v>
      </c>
      <c r="S851">
        <v>3.8</v>
      </c>
      <c r="V851" s="1">
        <v>44398</v>
      </c>
      <c r="W851">
        <v>3.69</v>
      </c>
      <c r="X851" s="1">
        <v>44404</v>
      </c>
      <c r="Y851">
        <f>NETWORKDAYS(X851,$Z$1,FERIADO!$A$2:$A$408)</f>
        <v>2380</v>
      </c>
      <c r="Z851">
        <v>9.2100000000000009</v>
      </c>
      <c r="AA851" s="6">
        <f t="shared" si="119"/>
        <v>43514.382182710033</v>
      </c>
      <c r="AB851" s="2">
        <f t="shared" si="120"/>
        <v>-2.4791479197491229E-3</v>
      </c>
      <c r="AJ851" s="1">
        <v>44404</v>
      </c>
      <c r="AK851">
        <f>NETWORKDAYS(AJ851,$AJ$1,FERIADO!$A$2:$A$408)</f>
        <v>1367</v>
      </c>
      <c r="AL851">
        <v>8.76</v>
      </c>
      <c r="AM851" s="6">
        <f t="shared" si="121"/>
        <v>63411.652031569407</v>
      </c>
      <c r="AN851" s="2">
        <f t="shared" si="122"/>
        <v>-1.1562643150250182E-3</v>
      </c>
      <c r="AP851" s="11">
        <f t="shared" si="123"/>
        <v>-1.2395739598745615E-3</v>
      </c>
      <c r="AQ851" s="11">
        <f t="shared" si="124"/>
        <v>-3.4687929450750543E-4</v>
      </c>
      <c r="AR851" s="11">
        <f t="shared" si="125"/>
        <v>-1.5864532543820669E-3</v>
      </c>
    </row>
    <row r="852" spans="2:44" x14ac:dyDescent="0.35">
      <c r="B852" s="1">
        <v>44403</v>
      </c>
      <c r="C852">
        <v>4818.71</v>
      </c>
      <c r="D852" s="1">
        <v>44405</v>
      </c>
      <c r="E852">
        <v>5.1520999999999999</v>
      </c>
      <c r="F852" s="1">
        <v>44399</v>
      </c>
      <c r="G852">
        <v>134.08699999999999</v>
      </c>
      <c r="H852" s="4">
        <f t="shared" si="117"/>
        <v>690829.63269999996</v>
      </c>
      <c r="I852" s="5">
        <v>44403</v>
      </c>
      <c r="J852" s="4">
        <v>6403.63</v>
      </c>
      <c r="K852" s="4">
        <f t="shared" si="118"/>
        <v>64036.3</v>
      </c>
      <c r="L852" s="1">
        <v>44403</v>
      </c>
      <c r="M852">
        <v>3.49</v>
      </c>
      <c r="P852" s="1">
        <v>44403</v>
      </c>
      <c r="Q852">
        <v>3.69</v>
      </c>
      <c r="R852" s="1">
        <v>44400</v>
      </c>
      <c r="S852">
        <v>3.8</v>
      </c>
      <c r="V852" s="1">
        <v>44397</v>
      </c>
      <c r="W852">
        <v>3.83</v>
      </c>
      <c r="X852" s="1">
        <v>44403</v>
      </c>
      <c r="Y852">
        <f>NETWORKDAYS(X852,$Z$1,FERIADO!$A$2:$A$408)</f>
        <v>2381</v>
      </c>
      <c r="Z852">
        <v>9.14</v>
      </c>
      <c r="AA852" s="6">
        <f t="shared" si="119"/>
        <v>43763.492155379237</v>
      </c>
      <c r="AB852" s="2">
        <f t="shared" si="120"/>
        <v>1.6549868047349449E-3</v>
      </c>
      <c r="AJ852" s="1">
        <v>44403</v>
      </c>
      <c r="AK852">
        <f>NETWORKDAYS(AJ852,$AJ$1,FERIADO!$A$2:$A$408)</f>
        <v>1368</v>
      </c>
      <c r="AL852">
        <v>8.6999999999999993</v>
      </c>
      <c r="AM852" s="6">
        <f t="shared" si="121"/>
        <v>63580.703963957778</v>
      </c>
      <c r="AN852" s="2">
        <f t="shared" si="122"/>
        <v>7.9482502196625952E-4</v>
      </c>
      <c r="AP852" s="11">
        <f t="shared" si="123"/>
        <v>8.2749340236747246E-4</v>
      </c>
      <c r="AQ852" s="11">
        <f t="shared" si="124"/>
        <v>2.3844750658987785E-4</v>
      </c>
      <c r="AR852" s="11">
        <f t="shared" si="125"/>
        <v>1.0659409089573504E-3</v>
      </c>
    </row>
    <row r="853" spans="2:44" x14ac:dyDescent="0.35">
      <c r="B853" s="1">
        <v>44400</v>
      </c>
      <c r="C853">
        <v>4802.8599999999997</v>
      </c>
      <c r="D853" s="1">
        <v>44404</v>
      </c>
      <c r="E853">
        <v>5.1662999999999997</v>
      </c>
      <c r="F853" s="1">
        <v>44398</v>
      </c>
      <c r="G853">
        <v>134.042</v>
      </c>
      <c r="H853" s="4">
        <f t="shared" si="117"/>
        <v>692501.18460000004</v>
      </c>
      <c r="I853" s="5">
        <v>44400</v>
      </c>
      <c r="J853" s="4">
        <v>6434.53</v>
      </c>
      <c r="K853" s="4">
        <f t="shared" si="118"/>
        <v>64345.299999999996</v>
      </c>
      <c r="L853" s="1">
        <v>44400</v>
      </c>
      <c r="M853">
        <v>3.47</v>
      </c>
      <c r="P853" s="1">
        <v>44400</v>
      </c>
      <c r="Q853">
        <v>3.69</v>
      </c>
      <c r="R853" s="1">
        <v>44399</v>
      </c>
      <c r="S853">
        <v>3.68</v>
      </c>
      <c r="V853" s="1">
        <v>44396</v>
      </c>
      <c r="W853">
        <v>3.74</v>
      </c>
      <c r="X853" s="1">
        <v>44400</v>
      </c>
      <c r="Y853">
        <f>NETWORKDAYS(X853,$Z$1,FERIADO!$A$2:$A$408)</f>
        <v>2382</v>
      </c>
      <c r="Z853">
        <v>9.18</v>
      </c>
      <c r="AA853" s="6">
        <f t="shared" si="119"/>
        <v>43597.037876637121</v>
      </c>
      <c r="AB853" s="2">
        <f t="shared" si="120"/>
        <v>-3.6118938847802037E-3</v>
      </c>
      <c r="AJ853" s="1">
        <v>44400</v>
      </c>
      <c r="AK853">
        <f>NETWORKDAYS(AJ853,$AJ$1,FERIADO!$A$2:$A$408)</f>
        <v>1369</v>
      </c>
      <c r="AL853">
        <v>8.73</v>
      </c>
      <c r="AM853" s="6">
        <f t="shared" si="121"/>
        <v>63464.448011220884</v>
      </c>
      <c r="AN853" s="2">
        <f t="shared" si="122"/>
        <v>-3.7676513598619704E-3</v>
      </c>
      <c r="AP853" s="11">
        <f t="shared" si="123"/>
        <v>-1.8059469423901018E-3</v>
      </c>
      <c r="AQ853" s="11">
        <f t="shared" si="124"/>
        <v>-1.1302954079585911E-3</v>
      </c>
      <c r="AR853" s="11">
        <f t="shared" si="125"/>
        <v>-2.9362423503486931E-3</v>
      </c>
    </row>
    <row r="854" spans="2:44" x14ac:dyDescent="0.35">
      <c r="B854" s="1">
        <v>44399</v>
      </c>
      <c r="C854">
        <v>4771.12</v>
      </c>
      <c r="D854" s="1">
        <v>44403</v>
      </c>
      <c r="E854">
        <v>5.1856999999999998</v>
      </c>
      <c r="F854" s="1">
        <v>44397</v>
      </c>
      <c r="G854">
        <v>134.49199999999999</v>
      </c>
      <c r="H854" s="4">
        <f t="shared" si="117"/>
        <v>697435.16440000001</v>
      </c>
      <c r="I854" s="5">
        <v>44399</v>
      </c>
      <c r="J854" s="4">
        <v>6438.86</v>
      </c>
      <c r="K854" s="4">
        <f t="shared" si="118"/>
        <v>64388.6</v>
      </c>
      <c r="L854" s="1">
        <v>44399</v>
      </c>
      <c r="M854">
        <v>3.33</v>
      </c>
      <c r="P854" s="1">
        <v>44399</v>
      </c>
      <c r="Q854">
        <v>3.58</v>
      </c>
      <c r="R854" s="1">
        <v>44398</v>
      </c>
      <c r="S854">
        <v>3.68</v>
      </c>
      <c r="V854" s="1">
        <v>44393</v>
      </c>
      <c r="W854">
        <v>3.89</v>
      </c>
      <c r="X854" s="1">
        <v>44399</v>
      </c>
      <c r="Y854">
        <f>NETWORKDAYS(X854,$Z$1,FERIADO!$A$2:$A$408)</f>
        <v>2383</v>
      </c>
      <c r="Z854">
        <v>9.08</v>
      </c>
      <c r="AA854" s="6">
        <f t="shared" si="119"/>
        <v>43961.132992117986</v>
      </c>
      <c r="AB854" s="2">
        <f t="shared" si="120"/>
        <v>1.6561300925871326E-3</v>
      </c>
      <c r="AJ854" s="1">
        <v>44399</v>
      </c>
      <c r="AK854">
        <f>NETWORKDAYS(AJ854,$AJ$1,FERIADO!$A$2:$A$408)</f>
        <v>1370</v>
      </c>
      <c r="AL854">
        <v>8.5500000000000007</v>
      </c>
      <c r="AM854" s="6">
        <f t="shared" si="121"/>
        <v>64017.418675170105</v>
      </c>
      <c r="AN854" s="2">
        <f t="shared" si="122"/>
        <v>5.7668090911648239E-4</v>
      </c>
      <c r="AP854" s="11">
        <f t="shared" si="123"/>
        <v>8.2806504629356632E-4</v>
      </c>
      <c r="AQ854" s="11">
        <f t="shared" si="124"/>
        <v>1.7300427273494472E-4</v>
      </c>
      <c r="AR854" s="11">
        <f t="shared" si="125"/>
        <v>1.0010693190285111E-3</v>
      </c>
    </row>
    <row r="855" spans="2:44" x14ac:dyDescent="0.35">
      <c r="B855" s="1">
        <v>44398</v>
      </c>
      <c r="C855">
        <v>4752.78</v>
      </c>
      <c r="D855" s="1">
        <v>44400</v>
      </c>
      <c r="E855">
        <v>5.1695000000000002</v>
      </c>
      <c r="F855" s="1">
        <v>44396</v>
      </c>
      <c r="G855">
        <v>134.48699999999999</v>
      </c>
      <c r="H855" s="4">
        <f t="shared" si="117"/>
        <v>695230.54649999994</v>
      </c>
      <c r="I855" s="5">
        <v>44398</v>
      </c>
      <c r="J855" s="4">
        <v>6419.7</v>
      </c>
      <c r="K855" s="4">
        <f t="shared" si="118"/>
        <v>64197</v>
      </c>
      <c r="L855" s="1">
        <v>44398</v>
      </c>
      <c r="M855">
        <v>3.32</v>
      </c>
      <c r="P855" s="1">
        <v>44398</v>
      </c>
      <c r="Q855">
        <v>3.52</v>
      </c>
      <c r="R855" s="1">
        <v>44397</v>
      </c>
      <c r="S855">
        <v>3.69</v>
      </c>
      <c r="V855" s="1">
        <v>44392</v>
      </c>
      <c r="W855">
        <v>3.9</v>
      </c>
      <c r="X855" s="1">
        <v>44398</v>
      </c>
      <c r="Y855">
        <f>NETWORKDAYS(X855,$Z$1,FERIADO!$A$2:$A$408)</f>
        <v>2384</v>
      </c>
      <c r="Z855">
        <v>9.1199999999999992</v>
      </c>
      <c r="AA855" s="6">
        <f t="shared" si="119"/>
        <v>43793.811699062186</v>
      </c>
      <c r="AB855" s="2">
        <f t="shared" si="120"/>
        <v>-1.3565655745745456E-3</v>
      </c>
      <c r="AJ855" s="1">
        <v>44398</v>
      </c>
      <c r="AK855">
        <f>NETWORKDAYS(AJ855,$AJ$1,FERIADO!$A$2:$A$408)</f>
        <v>1371</v>
      </c>
      <c r="AL855">
        <v>8.57</v>
      </c>
      <c r="AM855" s="6">
        <f t="shared" si="121"/>
        <v>63932.469119226422</v>
      </c>
      <c r="AN855" s="2">
        <f t="shared" si="122"/>
        <v>-7.6089364653731374E-5</v>
      </c>
      <c r="AP855" s="11">
        <f t="shared" si="123"/>
        <v>-6.782827872872728E-4</v>
      </c>
      <c r="AQ855" s="11">
        <f t="shared" si="124"/>
        <v>-2.2826809396119411E-5</v>
      </c>
      <c r="AR855" s="11">
        <f t="shared" si="125"/>
        <v>-7.0110959668339226E-4</v>
      </c>
    </row>
    <row r="856" spans="2:44" x14ac:dyDescent="0.35">
      <c r="B856" s="1">
        <v>44397</v>
      </c>
      <c r="C856">
        <v>4711.83</v>
      </c>
      <c r="D856" s="1">
        <v>44399</v>
      </c>
      <c r="E856">
        <v>5.1971999999999996</v>
      </c>
      <c r="F856" s="1">
        <v>44393</v>
      </c>
      <c r="G856">
        <v>133.75399999999999</v>
      </c>
      <c r="H856" s="4">
        <f t="shared" si="117"/>
        <v>695146.28879999986</v>
      </c>
      <c r="I856" s="5">
        <v>44397</v>
      </c>
      <c r="J856" s="4">
        <v>6463.58</v>
      </c>
      <c r="K856" s="4">
        <f t="shared" si="118"/>
        <v>64635.8</v>
      </c>
      <c r="L856" s="1">
        <v>44397</v>
      </c>
      <c r="M856">
        <v>3.33</v>
      </c>
      <c r="P856" s="1">
        <v>44397</v>
      </c>
      <c r="Q856">
        <v>3.55</v>
      </c>
      <c r="R856" s="1">
        <v>44396</v>
      </c>
      <c r="S856">
        <v>3.74</v>
      </c>
      <c r="V856" s="1">
        <v>44391</v>
      </c>
      <c r="W856">
        <v>3.94</v>
      </c>
      <c r="X856" s="1">
        <v>44397</v>
      </c>
      <c r="Y856">
        <f>NETWORKDAYS(X856,$Z$1,FERIADO!$A$2:$A$408)</f>
        <v>2385</v>
      </c>
      <c r="Z856">
        <v>9.08</v>
      </c>
      <c r="AA856" s="6">
        <f t="shared" si="119"/>
        <v>43930.820254258499</v>
      </c>
      <c r="AB856" s="2">
        <f t="shared" si="120"/>
        <v>1.657393807212703E-3</v>
      </c>
      <c r="AJ856" s="1">
        <v>44397</v>
      </c>
      <c r="AK856">
        <f>NETWORKDAYS(AJ856,$AJ$1,FERIADO!$A$2:$A$408)</f>
        <v>1372</v>
      </c>
      <c r="AL856">
        <v>8.56</v>
      </c>
      <c r="AM856" s="6">
        <f t="shared" si="121"/>
        <v>63943.671212106638</v>
      </c>
      <c r="AN856" s="2">
        <f t="shared" si="122"/>
        <v>1.0132417858225269E-3</v>
      </c>
      <c r="AP856" s="11">
        <f t="shared" si="123"/>
        <v>8.286969036063515E-4</v>
      </c>
      <c r="AQ856" s="11">
        <f t="shared" si="124"/>
        <v>3.0397253574675806E-4</v>
      </c>
      <c r="AR856" s="11">
        <f t="shared" si="125"/>
        <v>1.1326694393531097E-3</v>
      </c>
    </row>
    <row r="857" spans="2:44" x14ac:dyDescent="0.35">
      <c r="B857" s="1">
        <v>44396</v>
      </c>
      <c r="C857">
        <v>4651.1400000000003</v>
      </c>
      <c r="D857" s="1">
        <v>44398</v>
      </c>
      <c r="E857">
        <v>5.2510000000000003</v>
      </c>
      <c r="F857" s="1">
        <v>44392</v>
      </c>
      <c r="G857">
        <v>133.714</v>
      </c>
      <c r="H857" s="4">
        <f t="shared" si="117"/>
        <v>702132.21400000004</v>
      </c>
      <c r="I857" s="5">
        <v>44396</v>
      </c>
      <c r="J857" s="4">
        <v>6500.05</v>
      </c>
      <c r="K857" s="4">
        <f t="shared" si="118"/>
        <v>65000.5</v>
      </c>
      <c r="L857" s="1">
        <v>44396</v>
      </c>
      <c r="M857">
        <v>3.4</v>
      </c>
      <c r="P857" s="1">
        <v>44396</v>
      </c>
      <c r="Q857">
        <v>3.61</v>
      </c>
      <c r="R857" s="1">
        <v>44393</v>
      </c>
      <c r="S857">
        <v>3.73</v>
      </c>
      <c r="V857" s="1">
        <v>44390</v>
      </c>
      <c r="W857">
        <v>3.96</v>
      </c>
      <c r="X857" s="1">
        <v>44396</v>
      </c>
      <c r="Y857">
        <f>NETWORKDAYS(X857,$Z$1,FERIADO!$A$2:$A$408)</f>
        <v>2386</v>
      </c>
      <c r="Z857">
        <v>9.1199999999999992</v>
      </c>
      <c r="AA857" s="6">
        <f t="shared" si="119"/>
        <v>43763.486991445548</v>
      </c>
      <c r="AB857" s="2">
        <f t="shared" si="120"/>
        <v>-2.2659489668118324E-4</v>
      </c>
      <c r="AJ857" s="1">
        <v>44396</v>
      </c>
      <c r="AK857">
        <f>NETWORKDAYS(AJ857,$AJ$1,FERIADO!$A$2:$A$408)</f>
        <v>1373</v>
      </c>
      <c r="AL857">
        <v>8.6</v>
      </c>
      <c r="AM857" s="6">
        <f t="shared" si="121"/>
        <v>63794.659698935546</v>
      </c>
      <c r="AN857" s="2">
        <f t="shared" si="122"/>
        <v>1.4218184624144523E-4</v>
      </c>
      <c r="AP857" s="11">
        <f t="shared" si="123"/>
        <v>-1.1329744834059162E-4</v>
      </c>
      <c r="AQ857" s="11">
        <f t="shared" si="124"/>
        <v>4.2654553872433569E-5</v>
      </c>
      <c r="AR857" s="11">
        <f t="shared" si="125"/>
        <v>-7.0642894468158049E-5</v>
      </c>
    </row>
    <row r="858" spans="2:44" x14ac:dyDescent="0.35">
      <c r="B858" s="1">
        <v>44393</v>
      </c>
      <c r="C858">
        <v>4718.87</v>
      </c>
      <c r="D858" s="1">
        <v>44397</v>
      </c>
      <c r="E858">
        <v>5.2458999999999998</v>
      </c>
      <c r="F858" s="1">
        <v>44391</v>
      </c>
      <c r="G858">
        <v>133.49600000000001</v>
      </c>
      <c r="H858" s="4">
        <f t="shared" si="117"/>
        <v>700306.66639999999</v>
      </c>
      <c r="I858" s="5">
        <v>44393</v>
      </c>
      <c r="J858" s="4">
        <v>6333.16</v>
      </c>
      <c r="K858" s="4">
        <f t="shared" si="118"/>
        <v>63331.6</v>
      </c>
      <c r="L858" s="1">
        <v>44393</v>
      </c>
      <c r="M858">
        <v>3.4</v>
      </c>
      <c r="P858" s="1">
        <v>44393</v>
      </c>
      <c r="Q858">
        <v>3.6</v>
      </c>
      <c r="R858" s="1">
        <v>44392</v>
      </c>
      <c r="S858">
        <v>3.78</v>
      </c>
      <c r="V858" s="1">
        <v>44389</v>
      </c>
      <c r="W858">
        <v>3.96</v>
      </c>
      <c r="X858" s="1">
        <v>44393</v>
      </c>
      <c r="Y858">
        <f>NETWORKDAYS(X858,$Z$1,FERIADO!$A$2:$A$408)</f>
        <v>2387</v>
      </c>
      <c r="Z858">
        <v>9.11</v>
      </c>
      <c r="AA858" s="6">
        <f t="shared" si="119"/>
        <v>43786.326725048151</v>
      </c>
      <c r="AB858" s="2">
        <f t="shared" si="120"/>
        <v>2.0357453867282087E-3</v>
      </c>
      <c r="AJ858" s="1">
        <v>44393</v>
      </c>
      <c r="AK858">
        <f>NETWORKDAYS(AJ858,$AJ$1,FERIADO!$A$2:$A$408)</f>
        <v>1374</v>
      </c>
      <c r="AL858">
        <v>8.6</v>
      </c>
      <c r="AM858" s="6">
        <f t="shared" si="121"/>
        <v>63773.777651686003</v>
      </c>
      <c r="AN858" s="2">
        <f t="shared" si="122"/>
        <v>1.6690964718695587E-3</v>
      </c>
      <c r="AP858" s="11">
        <f t="shared" si="123"/>
        <v>1.0178726933641044E-3</v>
      </c>
      <c r="AQ858" s="11">
        <f t="shared" si="124"/>
        <v>5.0072894156086756E-4</v>
      </c>
      <c r="AR858" s="11">
        <f t="shared" si="125"/>
        <v>1.518601634924972E-3</v>
      </c>
    </row>
    <row r="859" spans="2:44" x14ac:dyDescent="0.35">
      <c r="B859" s="1">
        <v>44392</v>
      </c>
      <c r="C859">
        <v>4734.91</v>
      </c>
      <c r="D859" s="1">
        <v>44396</v>
      </c>
      <c r="E859">
        <v>5.1971999999999996</v>
      </c>
      <c r="F859" s="1">
        <v>44390</v>
      </c>
      <c r="G859">
        <v>133.01</v>
      </c>
      <c r="H859" s="4">
        <f t="shared" si="117"/>
        <v>691279.57199999993</v>
      </c>
      <c r="I859" s="5">
        <v>44392</v>
      </c>
      <c r="J859" s="4">
        <v>6333.16</v>
      </c>
      <c r="K859" s="4">
        <f t="shared" si="118"/>
        <v>63331.6</v>
      </c>
      <c r="L859" s="1">
        <v>44392</v>
      </c>
      <c r="M859">
        <v>3.44</v>
      </c>
      <c r="P859" s="1">
        <v>44392</v>
      </c>
      <c r="Q859">
        <v>3.65</v>
      </c>
      <c r="R859" s="1">
        <v>44391</v>
      </c>
      <c r="S859">
        <v>3.83</v>
      </c>
      <c r="V859" s="1">
        <v>44385</v>
      </c>
      <c r="W859">
        <v>3.86</v>
      </c>
      <c r="X859" s="1">
        <v>44392</v>
      </c>
      <c r="Y859">
        <f>NETWORKDAYS(X859,$Z$1,FERIADO!$A$2:$A$408)</f>
        <v>2388</v>
      </c>
      <c r="Z859">
        <v>9.16</v>
      </c>
      <c r="AA859" s="6">
        <f t="shared" si="119"/>
        <v>43581.559621936001</v>
      </c>
      <c r="AB859" s="2">
        <f t="shared" si="120"/>
        <v>-6.0336207023888836E-4</v>
      </c>
      <c r="AJ859" s="1">
        <v>44392</v>
      </c>
      <c r="AK859">
        <f>NETWORKDAYS(AJ859,$AJ$1,FERIADO!$A$2:$A$408)</f>
        <v>1375</v>
      </c>
      <c r="AL859">
        <v>8.67</v>
      </c>
      <c r="AM859" s="6">
        <f t="shared" si="121"/>
        <v>63529.150313275706</v>
      </c>
      <c r="AN859" s="2">
        <f t="shared" si="122"/>
        <v>-7.4936699440625415E-5</v>
      </c>
      <c r="AP859" s="11">
        <f t="shared" si="123"/>
        <v>-3.0168103511944418E-4</v>
      </c>
      <c r="AQ859" s="11">
        <f t="shared" si="124"/>
        <v>-2.2481009832187623E-5</v>
      </c>
      <c r="AR859" s="11">
        <f t="shared" si="125"/>
        <v>-3.2416204495163179E-4</v>
      </c>
    </row>
    <row r="860" spans="2:44" x14ac:dyDescent="0.35">
      <c r="B860" s="1">
        <v>44391</v>
      </c>
      <c r="C860">
        <v>4774.24</v>
      </c>
      <c r="D860" s="1">
        <v>44393</v>
      </c>
      <c r="E860">
        <v>5.0934999999999997</v>
      </c>
      <c r="F860" s="1">
        <v>44389</v>
      </c>
      <c r="G860">
        <v>133.316</v>
      </c>
      <c r="H860" s="4">
        <f t="shared" si="117"/>
        <v>679045.04599999997</v>
      </c>
      <c r="I860" s="5">
        <v>44391</v>
      </c>
      <c r="J860" s="4">
        <v>6282.48</v>
      </c>
      <c r="K860" s="4">
        <f t="shared" si="118"/>
        <v>62824.799999999996</v>
      </c>
      <c r="L860" s="1">
        <v>44391</v>
      </c>
      <c r="M860">
        <v>3.45</v>
      </c>
      <c r="P860" s="1">
        <v>44391</v>
      </c>
      <c r="Q860">
        <v>3.68</v>
      </c>
      <c r="R860" s="1">
        <v>44390</v>
      </c>
      <c r="S860">
        <v>3.87</v>
      </c>
      <c r="V860" s="1">
        <v>44384</v>
      </c>
      <c r="W860">
        <v>3.86</v>
      </c>
      <c r="X860" s="1">
        <v>44391</v>
      </c>
      <c r="Y860">
        <f>NETWORKDAYS(X860,$Z$1,FERIADO!$A$2:$A$408)</f>
        <v>2389</v>
      </c>
      <c r="Z860">
        <v>9.14</v>
      </c>
      <c r="AA860" s="6">
        <f t="shared" si="119"/>
        <v>43642.149234834447</v>
      </c>
      <c r="AB860" s="2">
        <f t="shared" si="120"/>
        <v>8.4450932486250484E-3</v>
      </c>
      <c r="AJ860" s="1">
        <v>44391</v>
      </c>
      <c r="AK860">
        <f>NETWORKDAYS(AJ860,$AJ$1,FERIADO!$A$2:$A$408)</f>
        <v>1376</v>
      </c>
      <c r="AL860">
        <v>8.66</v>
      </c>
      <c r="AM860" s="6">
        <f t="shared" si="121"/>
        <v>63540.11309495187</v>
      </c>
      <c r="AN860" s="2">
        <f t="shared" si="122"/>
        <v>4.2890658739952901E-3</v>
      </c>
      <c r="AP860" s="11">
        <f t="shared" si="123"/>
        <v>4.2225466243125242E-3</v>
      </c>
      <c r="AQ860" s="11">
        <f t="shared" si="124"/>
        <v>1.286719762198587E-3</v>
      </c>
      <c r="AR860" s="11">
        <f t="shared" si="125"/>
        <v>5.509266386511111E-3</v>
      </c>
    </row>
    <row r="861" spans="2:44" x14ac:dyDescent="0.35">
      <c r="B861" s="1">
        <v>44390</v>
      </c>
      <c r="C861">
        <v>4763.41</v>
      </c>
      <c r="D861" s="1">
        <v>44392</v>
      </c>
      <c r="E861">
        <v>5.0994000000000002</v>
      </c>
      <c r="F861" s="1">
        <v>44385</v>
      </c>
      <c r="G861">
        <v>133.852</v>
      </c>
      <c r="H861" s="4">
        <f t="shared" si="117"/>
        <v>682564.88880000007</v>
      </c>
      <c r="I861" s="5">
        <v>44390</v>
      </c>
      <c r="J861" s="4">
        <v>6396.21</v>
      </c>
      <c r="K861" s="4">
        <f t="shared" si="118"/>
        <v>63962.1</v>
      </c>
      <c r="L861" s="1">
        <v>44390</v>
      </c>
      <c r="M861">
        <v>3.52</v>
      </c>
      <c r="P861" s="1">
        <v>44390</v>
      </c>
      <c r="Q861">
        <v>3.74</v>
      </c>
      <c r="R861" s="1">
        <v>44389</v>
      </c>
      <c r="S861">
        <v>3.87</v>
      </c>
      <c r="V861" s="1">
        <v>44382</v>
      </c>
      <c r="W861">
        <v>3.83</v>
      </c>
      <c r="X861" s="1">
        <v>44390</v>
      </c>
      <c r="Y861">
        <f>NETWORKDAYS(X861,$Z$1,FERIADO!$A$2:$A$408)</f>
        <v>2390</v>
      </c>
      <c r="Z861">
        <v>9.36</v>
      </c>
      <c r="AA861" s="6">
        <f t="shared" si="119"/>
        <v>42801.701784745906</v>
      </c>
      <c r="AB861" s="2">
        <f t="shared" si="120"/>
        <v>-3.9926277647610387E-3</v>
      </c>
      <c r="AJ861" s="1">
        <v>44390</v>
      </c>
      <c r="AK861">
        <f>NETWORKDAYS(AJ861,$AJ$1,FERIADO!$A$2:$A$408)</f>
        <v>1377</v>
      </c>
      <c r="AL861">
        <v>8.85</v>
      </c>
      <c r="AM861" s="6">
        <f t="shared" si="121"/>
        <v>62915.683295414427</v>
      </c>
      <c r="AN861" s="2">
        <f t="shared" si="122"/>
        <v>-1.5998954054882008E-3</v>
      </c>
      <c r="AP861" s="11">
        <f t="shared" si="123"/>
        <v>-1.9963138823805193E-3</v>
      </c>
      <c r="AQ861" s="11">
        <f t="shared" si="124"/>
        <v>-4.7996862164646022E-4</v>
      </c>
      <c r="AR861" s="11">
        <f t="shared" si="125"/>
        <v>-2.4762825040269797E-3</v>
      </c>
    </row>
    <row r="862" spans="2:44" x14ac:dyDescent="0.35">
      <c r="B862" s="1">
        <v>44389</v>
      </c>
      <c r="C862">
        <v>4781.24</v>
      </c>
      <c r="D862" s="1">
        <v>44391</v>
      </c>
      <c r="E862">
        <v>5.0873999999999997</v>
      </c>
      <c r="F862" s="1">
        <v>44384</v>
      </c>
      <c r="G862">
        <v>133.51</v>
      </c>
      <c r="H862" s="4">
        <f t="shared" si="117"/>
        <v>679218.77399999998</v>
      </c>
      <c r="I862" s="5">
        <v>44389</v>
      </c>
      <c r="J862" s="4">
        <v>6407.34</v>
      </c>
      <c r="K862" s="4">
        <f t="shared" si="118"/>
        <v>64073.4</v>
      </c>
      <c r="L862" s="1">
        <v>44389</v>
      </c>
      <c r="M862">
        <v>3.51</v>
      </c>
      <c r="P862" s="1">
        <v>44389</v>
      </c>
      <c r="Q862">
        <v>3.73</v>
      </c>
      <c r="R862" s="1">
        <v>44385</v>
      </c>
      <c r="S862">
        <v>3.85</v>
      </c>
      <c r="V862" s="1">
        <v>44378</v>
      </c>
      <c r="W862">
        <v>3.85</v>
      </c>
      <c r="X862" s="1">
        <v>44389</v>
      </c>
      <c r="Y862">
        <f>NETWORKDAYS(X862,$Z$1,FERIADO!$A$2:$A$408)</f>
        <v>2391</v>
      </c>
      <c r="Z862">
        <v>9.25</v>
      </c>
      <c r="AA862" s="6">
        <f t="shared" si="119"/>
        <v>43197.007771223041</v>
      </c>
      <c r="AB862" s="2">
        <f t="shared" si="120"/>
        <v>-1.5829480745130095E-3</v>
      </c>
      <c r="AJ862" s="1">
        <v>44389</v>
      </c>
      <c r="AK862">
        <f>NETWORKDAYS(AJ862,$AJ$1,FERIADO!$A$2:$A$408)</f>
        <v>1378</v>
      </c>
      <c r="AL862">
        <v>8.77</v>
      </c>
      <c r="AM862" s="6">
        <f t="shared" si="121"/>
        <v>63147.88552785114</v>
      </c>
      <c r="AN862" s="2">
        <f t="shared" si="122"/>
        <v>-1.2413026945053644E-3</v>
      </c>
      <c r="AP862" s="11">
        <f t="shared" si="123"/>
        <v>-7.9147403725650476E-4</v>
      </c>
      <c r="AQ862" s="11">
        <f t="shared" si="124"/>
        <v>-3.7239080835160929E-4</v>
      </c>
      <c r="AR862" s="11">
        <f t="shared" si="125"/>
        <v>-1.163864845608114E-3</v>
      </c>
    </row>
    <row r="863" spans="2:44" x14ac:dyDescent="0.35">
      <c r="B863" s="1">
        <v>44385</v>
      </c>
      <c r="C863">
        <v>4710.0200000000004</v>
      </c>
      <c r="D863" s="1">
        <v>44390</v>
      </c>
      <c r="E863">
        <v>5.1764000000000001</v>
      </c>
      <c r="F863" s="1">
        <v>44383</v>
      </c>
      <c r="G863">
        <v>133.32499999999999</v>
      </c>
      <c r="H863" s="4">
        <f t="shared" si="117"/>
        <v>690143.52999999991</v>
      </c>
      <c r="I863" s="5">
        <v>44385</v>
      </c>
      <c r="J863" s="4">
        <v>6517.36</v>
      </c>
      <c r="K863" s="4">
        <f t="shared" si="118"/>
        <v>65173.599999999999</v>
      </c>
      <c r="L863" s="1">
        <v>44385</v>
      </c>
      <c r="M863">
        <v>3.47</v>
      </c>
      <c r="P863" s="1">
        <v>44385</v>
      </c>
      <c r="Q863">
        <v>3.67</v>
      </c>
      <c r="R863" s="1">
        <v>44384</v>
      </c>
      <c r="S863">
        <v>3.79</v>
      </c>
      <c r="V863" s="1">
        <v>44376</v>
      </c>
      <c r="W863">
        <v>3.8</v>
      </c>
      <c r="X863" s="1">
        <v>44385</v>
      </c>
      <c r="Y863">
        <f>NETWORKDAYS(X863,$Z$1,FERIADO!$A$2:$A$408)</f>
        <v>2393</v>
      </c>
      <c r="Z863">
        <v>9.1999999999999993</v>
      </c>
      <c r="AA863" s="6">
        <f t="shared" si="119"/>
        <v>43354.74265009573</v>
      </c>
      <c r="AB863" s="2">
        <f t="shared" si="120"/>
        <v>-2.2616045516926915E-4</v>
      </c>
      <c r="AJ863" s="1">
        <v>44385</v>
      </c>
      <c r="AK863">
        <f>NETWORKDAYS(AJ863,$AJ$1,FERIADO!$A$2:$A$408)</f>
        <v>1380</v>
      </c>
      <c r="AL863">
        <v>8.6999999999999993</v>
      </c>
      <c r="AM863" s="6">
        <f t="shared" si="121"/>
        <v>63328.633319153174</v>
      </c>
      <c r="AN863" s="2">
        <f t="shared" si="122"/>
        <v>-5.1317709692825088E-4</v>
      </c>
      <c r="AP863" s="11">
        <f t="shared" si="123"/>
        <v>-1.1308022758463458E-4</v>
      </c>
      <c r="AQ863" s="11">
        <f t="shared" si="124"/>
        <v>-1.5395312907847525E-4</v>
      </c>
      <c r="AR863" s="11">
        <f t="shared" si="125"/>
        <v>-2.6703335666310982E-4</v>
      </c>
    </row>
    <row r="864" spans="2:44" x14ac:dyDescent="0.35">
      <c r="B864" s="1">
        <v>44384</v>
      </c>
      <c r="C864">
        <v>4748.58</v>
      </c>
      <c r="D864" s="1">
        <v>44389</v>
      </c>
      <c r="E864">
        <v>5.2233000000000001</v>
      </c>
      <c r="F864" s="1">
        <v>44382</v>
      </c>
      <c r="G864">
        <v>132.65</v>
      </c>
      <c r="H864" s="4">
        <f t="shared" si="117"/>
        <v>692870.74500000011</v>
      </c>
      <c r="I864" s="5">
        <v>44384</v>
      </c>
      <c r="J864" s="4">
        <v>6485.84</v>
      </c>
      <c r="K864" s="4">
        <f t="shared" si="118"/>
        <v>64858.400000000001</v>
      </c>
      <c r="L864" s="1">
        <v>44384</v>
      </c>
      <c r="M864">
        <v>3.47</v>
      </c>
      <c r="P864" s="1">
        <v>44384</v>
      </c>
      <c r="Q864">
        <v>3.65</v>
      </c>
      <c r="R864" s="1">
        <v>44383</v>
      </c>
      <c r="S864">
        <v>3.83</v>
      </c>
      <c r="V864" s="1">
        <v>44375</v>
      </c>
      <c r="W864">
        <v>3.79</v>
      </c>
      <c r="X864" s="1">
        <v>44384</v>
      </c>
      <c r="Y864">
        <f>NETWORKDAYS(X864,$Z$1,FERIADO!$A$2:$A$408)</f>
        <v>2394</v>
      </c>
      <c r="Z864">
        <v>9.19</v>
      </c>
      <c r="AA864" s="6">
        <f t="shared" si="119"/>
        <v>43377.325672012397</v>
      </c>
      <c r="AB864" s="2">
        <f t="shared" si="120"/>
        <v>2.7967605794418865E-3</v>
      </c>
      <c r="AJ864" s="1">
        <v>44384</v>
      </c>
      <c r="AK864">
        <f>NETWORKDAYS(AJ864,$AJ$1,FERIADO!$A$2:$A$408)</f>
        <v>1381</v>
      </c>
      <c r="AL864">
        <v>8.67</v>
      </c>
      <c r="AM864" s="6">
        <f t="shared" si="121"/>
        <v>63403.508810240681</v>
      </c>
      <c r="AN864" s="2">
        <f t="shared" si="122"/>
        <v>2.3339897681436341E-3</v>
      </c>
      <c r="AP864" s="11">
        <f t="shared" si="123"/>
        <v>1.3983802897209433E-3</v>
      </c>
      <c r="AQ864" s="11">
        <f t="shared" si="124"/>
        <v>7.0019693044309024E-4</v>
      </c>
      <c r="AR864" s="11">
        <f t="shared" si="125"/>
        <v>2.0985772201640336E-3</v>
      </c>
    </row>
    <row r="865" spans="2:44" x14ac:dyDescent="0.35">
      <c r="B865" s="1">
        <v>44383</v>
      </c>
      <c r="C865">
        <v>4726.91</v>
      </c>
      <c r="D865" s="1">
        <v>44386</v>
      </c>
      <c r="E865">
        <v>5.2370000000000001</v>
      </c>
      <c r="F865" s="1">
        <v>44379</v>
      </c>
      <c r="G865">
        <v>132.71100000000001</v>
      </c>
      <c r="H865" s="4">
        <f t="shared" si="117"/>
        <v>695007.50699999998</v>
      </c>
      <c r="I865" s="5">
        <v>44383</v>
      </c>
      <c r="J865" s="4">
        <v>6443.8</v>
      </c>
      <c r="K865" s="4">
        <f t="shared" si="118"/>
        <v>64438</v>
      </c>
      <c r="L865" s="1">
        <v>44383</v>
      </c>
      <c r="M865">
        <v>3.52</v>
      </c>
      <c r="P865" s="1">
        <v>44383</v>
      </c>
      <c r="Q865">
        <v>3.71</v>
      </c>
      <c r="R865" s="1">
        <v>44382</v>
      </c>
      <c r="S865">
        <v>3.78</v>
      </c>
      <c r="V865" s="1">
        <v>44368</v>
      </c>
      <c r="W865">
        <v>3.85</v>
      </c>
      <c r="X865" s="1">
        <v>44383</v>
      </c>
      <c r="Y865">
        <f>NETWORKDAYS(X865,$Z$1,FERIADO!$A$2:$A$408)</f>
        <v>2395</v>
      </c>
      <c r="Z865">
        <v>9.26</v>
      </c>
      <c r="AA865" s="6">
        <f t="shared" si="119"/>
        <v>43098.882789192772</v>
      </c>
      <c r="AB865" s="2">
        <f t="shared" si="120"/>
        <v>-3.6283895269448039E-3</v>
      </c>
      <c r="AJ865" s="1">
        <v>44383</v>
      </c>
      <c r="AK865">
        <f>NETWORKDAYS(AJ865,$AJ$1,FERIADO!$A$2:$A$408)</f>
        <v>1382</v>
      </c>
      <c r="AL865">
        <v>8.77</v>
      </c>
      <c r="AM865" s="6">
        <f t="shared" si="121"/>
        <v>63063.679012430788</v>
      </c>
      <c r="AN865" s="2">
        <f t="shared" si="122"/>
        <v>-2.0474051089326472E-3</v>
      </c>
      <c r="AP865" s="11">
        <f t="shared" si="123"/>
        <v>-1.8141947634724019E-3</v>
      </c>
      <c r="AQ865" s="11">
        <f t="shared" si="124"/>
        <v>-6.1422153267979413E-4</v>
      </c>
      <c r="AR865" s="11">
        <f t="shared" si="125"/>
        <v>-2.4284162961521962E-3</v>
      </c>
    </row>
    <row r="866" spans="2:44" x14ac:dyDescent="0.35">
      <c r="B866" s="1">
        <v>44382</v>
      </c>
      <c r="C866">
        <v>4735.74</v>
      </c>
      <c r="D866" s="1">
        <v>44385</v>
      </c>
      <c r="E866">
        <v>5.2580999999999998</v>
      </c>
      <c r="F866" s="1">
        <v>44378</v>
      </c>
      <c r="G866">
        <v>132.35</v>
      </c>
      <c r="H866" s="4">
        <f t="shared" si="117"/>
        <v>695909.53499999992</v>
      </c>
      <c r="I866" s="5">
        <v>44382</v>
      </c>
      <c r="J866" s="4">
        <v>6312.76</v>
      </c>
      <c r="K866" s="4">
        <f t="shared" si="118"/>
        <v>63127.600000000006</v>
      </c>
      <c r="L866" s="1">
        <v>44382</v>
      </c>
      <c r="M866">
        <v>3.46</v>
      </c>
      <c r="P866" s="1">
        <v>44382</v>
      </c>
      <c r="Q866">
        <v>3.67</v>
      </c>
      <c r="R866" s="1">
        <v>44379</v>
      </c>
      <c r="S866">
        <v>3.76</v>
      </c>
      <c r="V866" s="1">
        <v>44365</v>
      </c>
      <c r="W866">
        <v>3.9</v>
      </c>
      <c r="X866" s="1">
        <v>44382</v>
      </c>
      <c r="Y866">
        <f>NETWORKDAYS(X866,$Z$1,FERIADO!$A$2:$A$408)</f>
        <v>2396</v>
      </c>
      <c r="Z866">
        <v>9.16</v>
      </c>
      <c r="AA866" s="6">
        <f t="shared" si="119"/>
        <v>43460.468336928876</v>
      </c>
      <c r="AB866" s="2">
        <f t="shared" si="120"/>
        <v>-2.4988305690507185E-3</v>
      </c>
      <c r="AJ866" s="1">
        <v>44382</v>
      </c>
      <c r="AK866">
        <f>NETWORKDAYS(AJ866,$AJ$1,FERIADO!$A$2:$A$408)</f>
        <v>1383</v>
      </c>
      <c r="AL866">
        <v>8.67</v>
      </c>
      <c r="AM866" s="6">
        <f t="shared" si="121"/>
        <v>63361.683551518399</v>
      </c>
      <c r="AN866" s="2">
        <f t="shared" si="122"/>
        <v>-1.3936166462996074E-3</v>
      </c>
      <c r="AP866" s="11">
        <f t="shared" si="123"/>
        <v>-1.2494152845253593E-3</v>
      </c>
      <c r="AQ866" s="11">
        <f t="shared" si="124"/>
        <v>-4.1808499388988222E-4</v>
      </c>
      <c r="AR866" s="11">
        <f t="shared" si="125"/>
        <v>-1.6675002784152415E-3</v>
      </c>
    </row>
    <row r="867" spans="2:44" x14ac:dyDescent="0.35">
      <c r="B867" s="1">
        <v>44379</v>
      </c>
      <c r="C867">
        <v>4739.63</v>
      </c>
      <c r="D867" s="1">
        <v>44384</v>
      </c>
      <c r="E867">
        <v>5.2321999999999997</v>
      </c>
      <c r="F867" s="1">
        <v>44377</v>
      </c>
      <c r="G867">
        <v>132.33500000000001</v>
      </c>
      <c r="H867" s="4">
        <f t="shared" si="117"/>
        <v>692403.18700000003</v>
      </c>
      <c r="I867" s="5">
        <v>44379</v>
      </c>
      <c r="J867" s="4">
        <v>6273.21</v>
      </c>
      <c r="K867" s="4">
        <f t="shared" si="118"/>
        <v>62732.1</v>
      </c>
      <c r="L867" s="1">
        <v>44379</v>
      </c>
      <c r="M867">
        <v>3.45</v>
      </c>
      <c r="P867" s="1">
        <v>44379</v>
      </c>
      <c r="Q867">
        <v>3.64</v>
      </c>
      <c r="R867" s="1">
        <v>44378</v>
      </c>
      <c r="S867">
        <v>3.81</v>
      </c>
      <c r="V867" s="1">
        <v>44364</v>
      </c>
      <c r="W867">
        <v>3.82</v>
      </c>
      <c r="X867" s="1">
        <v>44379</v>
      </c>
      <c r="Y867">
        <f>NETWORKDAYS(X867,$Z$1,FERIADO!$A$2:$A$408)</f>
        <v>2397</v>
      </c>
      <c r="Z867">
        <v>9.09</v>
      </c>
      <c r="AA867" s="6">
        <f t="shared" si="119"/>
        <v>43711.250656656099</v>
      </c>
      <c r="AB867" s="2">
        <f t="shared" si="120"/>
        <v>1.4994024505414182E-4</v>
      </c>
      <c r="AJ867" s="1">
        <v>44379</v>
      </c>
      <c r="AK867">
        <f>NETWORKDAYS(AJ867,$AJ$1,FERIADO!$A$2:$A$408)</f>
        <v>1384</v>
      </c>
      <c r="AL867">
        <v>8.6</v>
      </c>
      <c r="AM867" s="6">
        <f t="shared" si="121"/>
        <v>63565.332755427931</v>
      </c>
      <c r="AN867" s="2">
        <f t="shared" si="122"/>
        <v>3.6195959692993113E-4</v>
      </c>
      <c r="AP867" s="11">
        <f t="shared" si="123"/>
        <v>7.4970122527070909E-5</v>
      </c>
      <c r="AQ867" s="11">
        <f t="shared" si="124"/>
        <v>1.0858787907897934E-4</v>
      </c>
      <c r="AR867" s="11">
        <f t="shared" si="125"/>
        <v>1.8355800160605026E-4</v>
      </c>
    </row>
    <row r="868" spans="2:44" x14ac:dyDescent="0.35">
      <c r="B868" s="1">
        <v>44378</v>
      </c>
      <c r="C868">
        <v>4705.21</v>
      </c>
      <c r="D868" s="1">
        <v>44383</v>
      </c>
      <c r="E868">
        <v>5.1638999999999999</v>
      </c>
      <c r="F868" s="1">
        <v>44376</v>
      </c>
      <c r="G868">
        <v>132.227</v>
      </c>
      <c r="H868" s="4">
        <f t="shared" si="117"/>
        <v>682807.00529999996</v>
      </c>
      <c r="I868" s="5">
        <v>44378</v>
      </c>
      <c r="J868" s="4">
        <v>6257.13</v>
      </c>
      <c r="K868" s="4">
        <f t="shared" si="118"/>
        <v>62571.3</v>
      </c>
      <c r="L868" s="1">
        <v>44378</v>
      </c>
      <c r="M868">
        <v>3.5</v>
      </c>
      <c r="P868" s="1">
        <v>44378</v>
      </c>
      <c r="Q868">
        <v>3.68</v>
      </c>
      <c r="R868" s="1">
        <v>44377</v>
      </c>
      <c r="S868">
        <v>3.82</v>
      </c>
      <c r="V868" s="1">
        <v>44363</v>
      </c>
      <c r="W868">
        <v>3.74</v>
      </c>
      <c r="X868" s="1">
        <v>44378</v>
      </c>
      <c r="Y868">
        <f>NETWORKDAYS(X868,$Z$1,FERIADO!$A$2:$A$408)</f>
        <v>2398</v>
      </c>
      <c r="Z868">
        <v>9.09</v>
      </c>
      <c r="AA868" s="6">
        <f t="shared" si="119"/>
        <v>43696.161944640502</v>
      </c>
      <c r="AB868" s="2">
        <f t="shared" si="120"/>
        <v>-3.2623879589941916E-3</v>
      </c>
      <c r="AJ868" s="1">
        <v>44378</v>
      </c>
      <c r="AK868">
        <f>NETWORKDAYS(AJ868,$AJ$1,FERIADO!$A$2:$A$408)</f>
        <v>1385</v>
      </c>
      <c r="AL868">
        <v>8.61</v>
      </c>
      <c r="AM868" s="6">
        <f t="shared" si="121"/>
        <v>63512.376759244682</v>
      </c>
      <c r="AN868" s="2">
        <f t="shared" si="122"/>
        <v>-2.4982342022785839E-3</v>
      </c>
      <c r="AP868" s="11">
        <f t="shared" si="123"/>
        <v>-1.6311939794970958E-3</v>
      </c>
      <c r="AQ868" s="11">
        <f t="shared" si="124"/>
        <v>-7.4947026068357511E-4</v>
      </c>
      <c r="AR868" s="11">
        <f t="shared" si="125"/>
        <v>-2.3806642401806707E-3</v>
      </c>
    </row>
    <row r="869" spans="2:44" x14ac:dyDescent="0.35">
      <c r="B869" s="1">
        <v>44377</v>
      </c>
      <c r="C869">
        <v>4688.95</v>
      </c>
      <c r="D869" s="1">
        <v>44382</v>
      </c>
      <c r="E869">
        <v>5.0743</v>
      </c>
      <c r="F869" s="1">
        <v>44375</v>
      </c>
      <c r="G869">
        <v>132.172</v>
      </c>
      <c r="H869" s="4">
        <f t="shared" si="117"/>
        <v>670680.37959999999</v>
      </c>
      <c r="I869" s="5">
        <v>44377</v>
      </c>
      <c r="J869" s="4">
        <v>6165.04</v>
      </c>
      <c r="K869" s="4">
        <f t="shared" si="118"/>
        <v>61650.400000000001</v>
      </c>
      <c r="L869" s="1">
        <v>44377</v>
      </c>
      <c r="M869">
        <v>3.46</v>
      </c>
      <c r="P869" s="1">
        <v>44377</v>
      </c>
      <c r="Q869">
        <v>3.67</v>
      </c>
      <c r="R869" s="1">
        <v>44376</v>
      </c>
      <c r="S869">
        <v>3.76</v>
      </c>
      <c r="V869" s="1">
        <v>44361</v>
      </c>
      <c r="W869">
        <v>3.81</v>
      </c>
      <c r="X869" s="1">
        <v>44377</v>
      </c>
      <c r="Y869">
        <f>NETWORKDAYS(X869,$Z$1,FERIADO!$A$2:$A$408)</f>
        <v>2399</v>
      </c>
      <c r="Z869">
        <v>9</v>
      </c>
      <c r="AA869" s="6">
        <f t="shared" si="119"/>
        <v>44025.640233392864</v>
      </c>
      <c r="AB869" s="2">
        <f t="shared" si="120"/>
        <v>-3.2680526087998634E-3</v>
      </c>
      <c r="AJ869" s="1">
        <v>44377</v>
      </c>
      <c r="AK869">
        <f>NETWORKDAYS(AJ869,$AJ$1,FERIADO!$A$2:$A$408)</f>
        <v>1386</v>
      </c>
      <c r="AL869">
        <v>8.49</v>
      </c>
      <c r="AM869" s="6">
        <f t="shared" si="121"/>
        <v>63878.777986445777</v>
      </c>
      <c r="AN869" s="2">
        <f t="shared" si="122"/>
        <v>-1.8433433915940193E-3</v>
      </c>
      <c r="AP869" s="11">
        <f t="shared" si="123"/>
        <v>-1.6340263043999317E-3</v>
      </c>
      <c r="AQ869" s="11">
        <f t="shared" si="124"/>
        <v>-5.5300301747820578E-4</v>
      </c>
      <c r="AR869" s="11">
        <f t="shared" si="125"/>
        <v>-2.1870293218781375E-3</v>
      </c>
    </row>
    <row r="870" spans="2:44" x14ac:dyDescent="0.35">
      <c r="B870" s="1">
        <v>44376</v>
      </c>
      <c r="C870">
        <v>4676.75</v>
      </c>
      <c r="D870" s="1">
        <v>44379</v>
      </c>
      <c r="E870">
        <v>5.0286999999999997</v>
      </c>
      <c r="F870" s="1">
        <v>44372</v>
      </c>
      <c r="G870">
        <v>131.947</v>
      </c>
      <c r="H870" s="4">
        <f t="shared" si="117"/>
        <v>663521.87889999989</v>
      </c>
      <c r="I870" s="5">
        <v>44376</v>
      </c>
      <c r="J870" s="4">
        <v>6144.02</v>
      </c>
      <c r="K870" s="4">
        <f t="shared" si="118"/>
        <v>61440.200000000004</v>
      </c>
      <c r="L870" s="1">
        <v>44376</v>
      </c>
      <c r="M870">
        <v>3.46</v>
      </c>
      <c r="P870" s="1">
        <v>44376</v>
      </c>
      <c r="Q870">
        <v>3.63</v>
      </c>
      <c r="R870" s="1">
        <v>44375</v>
      </c>
      <c r="S870">
        <v>3.79</v>
      </c>
      <c r="V870" s="1">
        <v>44358</v>
      </c>
      <c r="W870">
        <v>3.8</v>
      </c>
      <c r="X870" s="1">
        <v>44376</v>
      </c>
      <c r="Y870">
        <f>NETWORKDAYS(X870,$Z$1,FERIADO!$A$2:$A$408)</f>
        <v>2400</v>
      </c>
      <c r="Z870">
        <v>8.91</v>
      </c>
      <c r="AA870" s="6">
        <f t="shared" si="119"/>
        <v>44358.181433010213</v>
      </c>
      <c r="AB870" s="2">
        <f t="shared" si="120"/>
        <v>2.8057780351016257E-3</v>
      </c>
      <c r="AJ870" s="1">
        <v>44376</v>
      </c>
      <c r="AK870">
        <f>NETWORKDAYS(AJ870,$AJ$1,FERIADO!$A$2:$A$408)</f>
        <v>1387</v>
      </c>
      <c r="AL870">
        <v>8.4</v>
      </c>
      <c r="AM870" s="6">
        <f t="shared" si="121"/>
        <v>64150.484801775354</v>
      </c>
      <c r="AN870" s="2">
        <f t="shared" si="122"/>
        <v>1.0215236120679797E-3</v>
      </c>
      <c r="AP870" s="11">
        <f t="shared" si="123"/>
        <v>1.4028890175508128E-3</v>
      </c>
      <c r="AQ870" s="11">
        <f t="shared" si="124"/>
        <v>3.0645708362039392E-4</v>
      </c>
      <c r="AR870" s="11">
        <f t="shared" si="125"/>
        <v>1.7093461011712069E-3</v>
      </c>
    </row>
    <row r="871" spans="2:44" x14ac:dyDescent="0.35">
      <c r="B871" s="1">
        <v>44375</v>
      </c>
      <c r="C871">
        <v>4678.63</v>
      </c>
      <c r="D871" s="1">
        <v>44378</v>
      </c>
      <c r="E871">
        <v>5.0049000000000001</v>
      </c>
      <c r="F871" s="1">
        <v>44371</v>
      </c>
      <c r="G871">
        <v>132.15</v>
      </c>
      <c r="H871" s="4">
        <f t="shared" si="117"/>
        <v>661397.53500000003</v>
      </c>
      <c r="I871" s="5">
        <v>44375</v>
      </c>
      <c r="J871" s="4">
        <v>6109.93</v>
      </c>
      <c r="K871" s="4">
        <f t="shared" si="118"/>
        <v>61099.3</v>
      </c>
      <c r="L871" s="1">
        <v>44375</v>
      </c>
      <c r="M871">
        <v>3.41</v>
      </c>
      <c r="P871" s="1">
        <v>44375</v>
      </c>
      <c r="Q871">
        <v>3.63</v>
      </c>
      <c r="R871" s="1">
        <v>44372</v>
      </c>
      <c r="S871">
        <v>3.81</v>
      </c>
      <c r="V871" s="1">
        <v>44357</v>
      </c>
      <c r="W871">
        <v>3.83</v>
      </c>
      <c r="X871" s="1">
        <v>44375</v>
      </c>
      <c r="Y871">
        <f>NETWORKDAYS(X871,$Z$1,FERIADO!$A$2:$A$408)</f>
        <v>2401</v>
      </c>
      <c r="Z871">
        <v>8.98</v>
      </c>
      <c r="AA871" s="6">
        <f t="shared" si="119"/>
        <v>44072.527242859367</v>
      </c>
      <c r="AB871" s="2">
        <f t="shared" si="120"/>
        <v>3.5654237483163029E-3</v>
      </c>
      <c r="AJ871" s="1">
        <v>44375</v>
      </c>
      <c r="AK871">
        <f>NETWORKDAYS(AJ871,$AJ$1,FERIADO!$A$2:$A$408)</f>
        <v>1388</v>
      </c>
      <c r="AL871">
        <v>8.44</v>
      </c>
      <c r="AM871" s="6">
        <f t="shared" si="121"/>
        <v>63999.770877044393</v>
      </c>
      <c r="AN871" s="2">
        <f t="shared" si="122"/>
        <v>2.78715065975644E-3</v>
      </c>
      <c r="AP871" s="11">
        <f t="shared" si="123"/>
        <v>1.7827118741581514E-3</v>
      </c>
      <c r="AQ871" s="11">
        <f t="shared" si="124"/>
        <v>8.3614519792693195E-4</v>
      </c>
      <c r="AR871" s="11">
        <f t="shared" si="125"/>
        <v>2.6188570720850832E-3</v>
      </c>
    </row>
    <row r="872" spans="2:44" x14ac:dyDescent="0.35">
      <c r="B872" s="1">
        <v>44372</v>
      </c>
      <c r="C872">
        <v>4665.3900000000003</v>
      </c>
      <c r="D872" s="1">
        <v>44377</v>
      </c>
      <c r="E872">
        <v>5.0015999999999998</v>
      </c>
      <c r="F872" s="1">
        <v>44370</v>
      </c>
      <c r="G872">
        <v>132.172</v>
      </c>
      <c r="H872" s="4">
        <f t="shared" si="117"/>
        <v>661071.47519999999</v>
      </c>
      <c r="I872" s="5">
        <v>44372</v>
      </c>
      <c r="J872" s="4">
        <v>6119.23</v>
      </c>
      <c r="K872" s="4">
        <f t="shared" si="118"/>
        <v>61192.299999999996</v>
      </c>
      <c r="L872" s="1">
        <v>44372</v>
      </c>
      <c r="M872">
        <v>3.51</v>
      </c>
      <c r="P872" s="1">
        <v>44372</v>
      </c>
      <c r="Q872">
        <v>3.66</v>
      </c>
      <c r="R872" s="1">
        <v>44371</v>
      </c>
      <c r="S872">
        <v>3.8</v>
      </c>
      <c r="V872" s="1">
        <v>44355</v>
      </c>
      <c r="W872">
        <v>3.72</v>
      </c>
      <c r="X872" s="1">
        <v>44372</v>
      </c>
      <c r="Y872">
        <f>NETWORKDAYS(X872,$Z$1,FERIADO!$A$2:$A$408)</f>
        <v>2402</v>
      </c>
      <c r="Z872">
        <v>9.07</v>
      </c>
      <c r="AA872" s="6">
        <f t="shared" si="119"/>
        <v>43712.186554189233</v>
      </c>
      <c r="AB872" s="2">
        <f t="shared" si="120"/>
        <v>-9.8961047301160073E-4</v>
      </c>
      <c r="AJ872" s="1">
        <v>44372</v>
      </c>
      <c r="AK872">
        <f>NETWORKDAYS(AJ872,$AJ$1,FERIADO!$A$2:$A$408)</f>
        <v>1389</v>
      </c>
      <c r="AL872">
        <v>8.56</v>
      </c>
      <c r="AM872" s="6">
        <f t="shared" si="121"/>
        <v>63590.357788022855</v>
      </c>
      <c r="AN872" s="2">
        <f t="shared" si="122"/>
        <v>-5.2053233017906257E-4</v>
      </c>
      <c r="AP872" s="11">
        <f t="shared" si="123"/>
        <v>-4.9480523650580037E-4</v>
      </c>
      <c r="AQ872" s="11">
        <f t="shared" si="124"/>
        <v>-1.5615969905371875E-4</v>
      </c>
      <c r="AR872" s="11">
        <f t="shared" si="125"/>
        <v>-6.5096493555951915E-4</v>
      </c>
    </row>
    <row r="873" spans="2:44" x14ac:dyDescent="0.35">
      <c r="B873" s="1">
        <v>44371</v>
      </c>
      <c r="C873">
        <v>4656.3999999999996</v>
      </c>
      <c r="D873" s="1">
        <v>44376</v>
      </c>
      <c r="E873">
        <v>4.9443999999999999</v>
      </c>
      <c r="F873" s="1">
        <v>44369</v>
      </c>
      <c r="G873">
        <v>132.38499999999999</v>
      </c>
      <c r="H873" s="4">
        <f t="shared" si="117"/>
        <v>654564.39399999997</v>
      </c>
      <c r="I873" s="5">
        <v>44371</v>
      </c>
      <c r="J873" s="4">
        <v>6096.92</v>
      </c>
      <c r="K873" s="4">
        <f t="shared" si="118"/>
        <v>60969.2</v>
      </c>
      <c r="L873" s="1">
        <v>44371</v>
      </c>
      <c r="M873">
        <v>3.5</v>
      </c>
      <c r="P873" s="1">
        <v>44371</v>
      </c>
      <c r="Q873">
        <v>3.67</v>
      </c>
      <c r="R873" s="1">
        <v>44370</v>
      </c>
      <c r="S873">
        <v>3.87</v>
      </c>
      <c r="V873" s="1">
        <v>44348</v>
      </c>
      <c r="W873">
        <v>3.82</v>
      </c>
      <c r="X873" s="1">
        <v>44371</v>
      </c>
      <c r="Y873">
        <f>NETWORKDAYS(X873,$Z$1,FERIADO!$A$2:$A$408)</f>
        <v>2403</v>
      </c>
      <c r="Z873">
        <v>9.0399999999999991</v>
      </c>
      <c r="AA873" s="6">
        <f t="shared" si="119"/>
        <v>43811.905436429792</v>
      </c>
      <c r="AB873" s="2">
        <f t="shared" si="120"/>
        <v>3.5673364916179494E-3</v>
      </c>
      <c r="AJ873" s="1">
        <v>44371</v>
      </c>
      <c r="AK873">
        <f>NETWORKDAYS(AJ873,$AJ$1,FERIADO!$A$2:$A$408)</f>
        <v>1390</v>
      </c>
      <c r="AL873">
        <v>8.5299999999999994</v>
      </c>
      <c r="AM873" s="6">
        <f t="shared" si="121"/>
        <v>63666.620976386956</v>
      </c>
      <c r="AN873" s="2">
        <f t="shared" si="122"/>
        <v>2.3488775854540902E-3</v>
      </c>
      <c r="AP873" s="11">
        <f t="shared" si="123"/>
        <v>1.7836682458089747E-3</v>
      </c>
      <c r="AQ873" s="11">
        <f t="shared" si="124"/>
        <v>7.0466327563622707E-4</v>
      </c>
      <c r="AR873" s="11">
        <f t="shared" si="125"/>
        <v>2.488331521445202E-3</v>
      </c>
    </row>
    <row r="874" spans="2:44" x14ac:dyDescent="0.35">
      <c r="B874" s="1">
        <v>44370</v>
      </c>
      <c r="C874">
        <v>4626.5200000000004</v>
      </c>
      <c r="D874" s="1">
        <v>44375</v>
      </c>
      <c r="E874">
        <v>4.9413999999999998</v>
      </c>
      <c r="F874" s="1">
        <v>44368</v>
      </c>
      <c r="G874">
        <v>132.11099999999999</v>
      </c>
      <c r="H874" s="4">
        <f t="shared" si="117"/>
        <v>652813.29539999994</v>
      </c>
      <c r="I874" s="5">
        <v>44370</v>
      </c>
      <c r="J874" s="4">
        <v>6160.75</v>
      </c>
      <c r="K874" s="4">
        <f t="shared" si="118"/>
        <v>61607.5</v>
      </c>
      <c r="L874" s="1">
        <v>44370</v>
      </c>
      <c r="M874">
        <v>3.57</v>
      </c>
      <c r="P874" s="1">
        <v>44370</v>
      </c>
      <c r="Q874">
        <v>3.74</v>
      </c>
      <c r="R874" s="1">
        <v>44369</v>
      </c>
      <c r="S874">
        <v>3.93</v>
      </c>
      <c r="V874" s="1">
        <v>44347</v>
      </c>
      <c r="W874">
        <v>3.85</v>
      </c>
      <c r="X874" s="1">
        <v>44370</v>
      </c>
      <c r="Y874">
        <f>NETWORKDAYS(X874,$Z$1,FERIADO!$A$2:$A$408)</f>
        <v>2404</v>
      </c>
      <c r="Z874">
        <v>9.1300000000000008</v>
      </c>
      <c r="AA874" s="6">
        <f t="shared" si="119"/>
        <v>43453.504232863437</v>
      </c>
      <c r="AB874" s="2">
        <f t="shared" si="120"/>
        <v>1.6694927676011134E-3</v>
      </c>
      <c r="AJ874" s="1">
        <v>44370</v>
      </c>
      <c r="AK874">
        <f>NETWORKDAYS(AJ874,$AJ$1,FERIADO!$A$2:$A$408)</f>
        <v>1391</v>
      </c>
      <c r="AL874">
        <v>8.6300000000000008</v>
      </c>
      <c r="AM874" s="6">
        <f t="shared" si="121"/>
        <v>63323.210164979333</v>
      </c>
      <c r="AN874" s="2">
        <f t="shared" si="122"/>
        <v>1.0258460825920683E-3</v>
      </c>
      <c r="AP874" s="11">
        <f t="shared" si="123"/>
        <v>8.3474638380055669E-4</v>
      </c>
      <c r="AQ874" s="11">
        <f t="shared" si="124"/>
        <v>3.0775382477762051E-4</v>
      </c>
      <c r="AR874" s="11">
        <f t="shared" si="125"/>
        <v>1.1425002085781772E-3</v>
      </c>
    </row>
    <row r="875" spans="2:44" x14ac:dyDescent="0.35">
      <c r="B875" s="1">
        <v>44369</v>
      </c>
      <c r="C875">
        <v>4634.68</v>
      </c>
      <c r="D875" s="1">
        <v>44372</v>
      </c>
      <c r="E875">
        <v>4.92</v>
      </c>
      <c r="F875" s="1">
        <v>44365</v>
      </c>
      <c r="G875">
        <v>132.34899999999999</v>
      </c>
      <c r="H875" s="4">
        <f t="shared" si="117"/>
        <v>651157.07999999996</v>
      </c>
      <c r="I875" s="5">
        <v>44369</v>
      </c>
      <c r="J875" s="4">
        <v>6149.6</v>
      </c>
      <c r="K875" s="4">
        <f t="shared" si="118"/>
        <v>61496</v>
      </c>
      <c r="L875" s="1">
        <v>44369</v>
      </c>
      <c r="M875">
        <v>3.64</v>
      </c>
      <c r="P875" s="1">
        <v>44369</v>
      </c>
      <c r="Q875">
        <v>3.8</v>
      </c>
      <c r="R875" s="1">
        <v>44368</v>
      </c>
      <c r="S875">
        <v>3.85</v>
      </c>
      <c r="V875" s="1">
        <v>44343</v>
      </c>
      <c r="W875">
        <v>3.9</v>
      </c>
      <c r="X875" s="1">
        <v>44369</v>
      </c>
      <c r="Y875">
        <f>NETWORKDAYS(X875,$Z$1,FERIADO!$A$2:$A$408)</f>
        <v>2405</v>
      </c>
      <c r="Z875">
        <v>9.17</v>
      </c>
      <c r="AA875" s="6">
        <f t="shared" si="119"/>
        <v>43286.783136778111</v>
      </c>
      <c r="AB875" s="2">
        <f t="shared" si="120"/>
        <v>1.5120361232487021E-4</v>
      </c>
      <c r="AJ875" s="1">
        <v>44369</v>
      </c>
      <c r="AK875">
        <f>NETWORKDAYS(AJ875,$AJ$1,FERIADO!$A$2:$A$408)</f>
        <v>1392</v>
      </c>
      <c r="AL875">
        <v>8.67</v>
      </c>
      <c r="AM875" s="6">
        <f t="shared" si="121"/>
        <v>63173.811060506479</v>
      </c>
      <c r="AN875" s="2">
        <f t="shared" si="122"/>
        <v>-5.1954419001907029E-4</v>
      </c>
      <c r="AP875" s="11">
        <f t="shared" si="123"/>
        <v>7.5601806162435103E-5</v>
      </c>
      <c r="AQ875" s="11">
        <f t="shared" si="124"/>
        <v>-1.5586325700572108E-4</v>
      </c>
      <c r="AR875" s="11">
        <f t="shared" si="125"/>
        <v>-8.0261450843285972E-5</v>
      </c>
    </row>
    <row r="876" spans="2:44" x14ac:dyDescent="0.35">
      <c r="B876" s="1">
        <v>44368</v>
      </c>
      <c r="C876">
        <v>4607.42</v>
      </c>
      <c r="D876" s="1">
        <v>44371</v>
      </c>
      <c r="E876">
        <v>4.9271000000000003</v>
      </c>
      <c r="F876" s="1">
        <v>44364</v>
      </c>
      <c r="G876">
        <v>132.02000000000001</v>
      </c>
      <c r="H876" s="4">
        <f t="shared" si="117"/>
        <v>650475.74200000009</v>
      </c>
      <c r="I876" s="5">
        <v>44368</v>
      </c>
      <c r="J876" s="4">
        <v>6221.49</v>
      </c>
      <c r="K876" s="4">
        <f t="shared" si="118"/>
        <v>62214.899999999994</v>
      </c>
      <c r="L876" s="1">
        <v>44368</v>
      </c>
      <c r="M876">
        <v>3.55</v>
      </c>
      <c r="P876" s="1">
        <v>44368</v>
      </c>
      <c r="Q876">
        <v>3.75</v>
      </c>
      <c r="R876" s="1">
        <v>44365</v>
      </c>
      <c r="S876">
        <v>3.89</v>
      </c>
      <c r="V876" s="1">
        <v>44342</v>
      </c>
      <c r="W876">
        <v>3.88</v>
      </c>
      <c r="X876" s="1">
        <v>44368</v>
      </c>
      <c r="Y876">
        <f>NETWORKDAYS(X876,$Z$1,FERIADO!$A$2:$A$408)</f>
        <v>2406</v>
      </c>
      <c r="Z876">
        <v>9.17</v>
      </c>
      <c r="AA876" s="6">
        <f t="shared" si="119"/>
        <v>43271.715068889527</v>
      </c>
      <c r="AB876" s="2">
        <f t="shared" si="120"/>
        <v>6.985145287299566E-3</v>
      </c>
      <c r="AJ876" s="1">
        <v>44368</v>
      </c>
      <c r="AK876">
        <f>NETWORKDAYS(AJ876,$AJ$1,FERIADO!$A$2:$A$408)</f>
        <v>1393</v>
      </c>
      <c r="AL876">
        <v>8.64</v>
      </c>
      <c r="AM876" s="6">
        <f t="shared" si="121"/>
        <v>63249.430779020935</v>
      </c>
      <c r="AN876" s="2">
        <f t="shared" si="122"/>
        <v>4.1199462538836565E-3</v>
      </c>
      <c r="AP876" s="11">
        <f t="shared" si="123"/>
        <v>3.492572643649783E-3</v>
      </c>
      <c r="AQ876" s="11">
        <f t="shared" si="124"/>
        <v>1.2359838761650968E-3</v>
      </c>
      <c r="AR876" s="11">
        <f t="shared" si="125"/>
        <v>4.7285565198148796E-3</v>
      </c>
    </row>
    <row r="877" spans="2:44" x14ac:dyDescent="0.35">
      <c r="B877" s="1">
        <v>44365</v>
      </c>
      <c r="C877">
        <v>4522.3</v>
      </c>
      <c r="D877" s="1">
        <v>44370</v>
      </c>
      <c r="E877">
        <v>4.9512999999999998</v>
      </c>
      <c r="F877" s="1">
        <v>44363</v>
      </c>
      <c r="G877">
        <v>131.58500000000001</v>
      </c>
      <c r="H877" s="4">
        <f t="shared" si="117"/>
        <v>651516.81050000002</v>
      </c>
      <c r="I877" s="5">
        <v>44365</v>
      </c>
      <c r="J877" s="4">
        <v>6316.32</v>
      </c>
      <c r="K877" s="4">
        <f t="shared" si="118"/>
        <v>63163.199999999997</v>
      </c>
      <c r="L877" s="1">
        <v>44365</v>
      </c>
      <c r="M877">
        <v>3.6</v>
      </c>
      <c r="P877" s="1">
        <v>44365</v>
      </c>
      <c r="Q877">
        <v>3.8</v>
      </c>
      <c r="R877" s="1">
        <v>44364</v>
      </c>
      <c r="S877">
        <v>3.86</v>
      </c>
      <c r="V877" s="1">
        <v>44336</v>
      </c>
      <c r="W877">
        <v>3.88</v>
      </c>
      <c r="X877" s="1">
        <v>44365</v>
      </c>
      <c r="Y877">
        <f>NETWORKDAYS(X877,$Z$1,FERIADO!$A$2:$A$408)</f>
        <v>2407</v>
      </c>
      <c r="Z877">
        <v>9.35</v>
      </c>
      <c r="AA877" s="6">
        <f t="shared" si="119"/>
        <v>42581.304629374521</v>
      </c>
      <c r="AB877" s="2">
        <f t="shared" si="120"/>
        <v>-1.0105356854013529E-2</v>
      </c>
      <c r="AJ877" s="1">
        <v>44365</v>
      </c>
      <c r="AK877">
        <f>NETWORKDAYS(AJ877,$AJ$1,FERIADO!$A$2:$A$408)</f>
        <v>1394</v>
      </c>
      <c r="AL877">
        <v>8.82</v>
      </c>
      <c r="AM877" s="6">
        <f t="shared" si="121"/>
        <v>62652.250419380245</v>
      </c>
      <c r="AN877" s="2">
        <f t="shared" si="122"/>
        <v>-5.605311624310709E-3</v>
      </c>
      <c r="AP877" s="11">
        <f t="shared" si="123"/>
        <v>-5.0526784270067647E-3</v>
      </c>
      <c r="AQ877" s="11">
        <f t="shared" si="124"/>
        <v>-1.6815934872932126E-3</v>
      </c>
      <c r="AR877" s="11">
        <f t="shared" si="125"/>
        <v>-6.7342719142999777E-3</v>
      </c>
    </row>
    <row r="878" spans="2:44" x14ac:dyDescent="0.35">
      <c r="B878" s="1">
        <v>44364</v>
      </c>
      <c r="C878">
        <v>4607.22</v>
      </c>
      <c r="D878" s="1">
        <v>44369</v>
      </c>
      <c r="E878">
        <v>5.0171999999999999</v>
      </c>
      <c r="F878" s="1">
        <v>44362</v>
      </c>
      <c r="G878">
        <v>132.56299999999999</v>
      </c>
      <c r="H878" s="4">
        <f t="shared" si="117"/>
        <v>665095.0835999999</v>
      </c>
      <c r="I878" s="5">
        <v>44364</v>
      </c>
      <c r="J878" s="4">
        <v>6214.68</v>
      </c>
      <c r="K878" s="4">
        <f t="shared" si="118"/>
        <v>62146.8</v>
      </c>
      <c r="L878" s="1">
        <v>44364</v>
      </c>
      <c r="M878">
        <v>3.5</v>
      </c>
      <c r="P878" s="1">
        <v>44364</v>
      </c>
      <c r="Q878">
        <v>3.72</v>
      </c>
      <c r="R878" s="1">
        <v>44363</v>
      </c>
      <c r="S878">
        <v>3.73</v>
      </c>
      <c r="V878" s="1">
        <v>44335</v>
      </c>
      <c r="W878">
        <v>3.9</v>
      </c>
      <c r="X878" s="1">
        <v>44364</v>
      </c>
      <c r="Y878">
        <f>NETWORKDAYS(X878,$Z$1,FERIADO!$A$2:$A$408)</f>
        <v>2408</v>
      </c>
      <c r="Z878">
        <v>9.08</v>
      </c>
      <c r="AA878" s="6">
        <f t="shared" si="119"/>
        <v>43583.722458310236</v>
      </c>
      <c r="AB878" s="2">
        <f t="shared" si="120"/>
        <v>-2.8961815167291905E-3</v>
      </c>
      <c r="AJ878" s="1">
        <v>44364</v>
      </c>
      <c r="AK878">
        <f>NETWORKDAYS(AJ878,$AJ$1,FERIADO!$A$2:$A$408)</f>
        <v>1395</v>
      </c>
      <c r="AL878">
        <v>8.56</v>
      </c>
      <c r="AM878" s="6">
        <f t="shared" si="121"/>
        <v>63466.125583678164</v>
      </c>
      <c r="AN878" s="2">
        <f t="shared" si="122"/>
        <v>-2.7411757434139847E-3</v>
      </c>
      <c r="AP878" s="11">
        <f t="shared" si="123"/>
        <v>-1.4480907583645953E-3</v>
      </c>
      <c r="AQ878" s="11">
        <f t="shared" si="124"/>
        <v>-8.2235272302419535E-4</v>
      </c>
      <c r="AR878" s="11">
        <f t="shared" si="125"/>
        <v>-2.2704434813887904E-3</v>
      </c>
    </row>
    <row r="879" spans="2:44" x14ac:dyDescent="0.35">
      <c r="B879" s="1">
        <v>44363</v>
      </c>
      <c r="C879">
        <v>4602.4399999999996</v>
      </c>
      <c r="D879" s="1">
        <v>44368</v>
      </c>
      <c r="E879">
        <v>5.0366999999999997</v>
      </c>
      <c r="F879" s="1">
        <v>44361</v>
      </c>
      <c r="G879">
        <v>132.47999999999999</v>
      </c>
      <c r="H879" s="4">
        <f t="shared" si="117"/>
        <v>667262.01599999995</v>
      </c>
      <c r="I879" s="5">
        <v>44363</v>
      </c>
      <c r="J879" s="4">
        <v>6276.04</v>
      </c>
      <c r="K879" s="4">
        <f t="shared" si="118"/>
        <v>62760.4</v>
      </c>
      <c r="L879" s="1">
        <v>44363</v>
      </c>
      <c r="M879">
        <v>3.27</v>
      </c>
      <c r="P879" s="1">
        <v>44363</v>
      </c>
      <c r="Q879">
        <v>3.59</v>
      </c>
      <c r="R879" s="1">
        <v>44362</v>
      </c>
      <c r="S879">
        <v>3.69</v>
      </c>
      <c r="V879" s="1">
        <v>44333</v>
      </c>
      <c r="W879">
        <v>3.82</v>
      </c>
      <c r="X879" s="1">
        <v>44363</v>
      </c>
      <c r="Y879">
        <f>NETWORKDAYS(X879,$Z$1,FERIADO!$A$2:$A$408)</f>
        <v>2409</v>
      </c>
      <c r="Z879">
        <v>9</v>
      </c>
      <c r="AA879" s="6">
        <f t="shared" si="119"/>
        <v>43875.340696656458</v>
      </c>
      <c r="AB879" s="2">
        <f t="shared" si="120"/>
        <v>1.4851784897076972E-4</v>
      </c>
      <c r="AJ879" s="1">
        <v>44363</v>
      </c>
      <c r="AK879">
        <f>NETWORKDAYS(AJ879,$AJ$1,FERIADO!$A$2:$A$408)</f>
        <v>1396</v>
      </c>
      <c r="AL879">
        <v>8.43</v>
      </c>
      <c r="AM879" s="6">
        <f t="shared" si="121"/>
        <v>63867.977334027739</v>
      </c>
      <c r="AN879" s="2">
        <f t="shared" si="122"/>
        <v>-5.2672942478512123E-4</v>
      </c>
      <c r="AP879" s="11">
        <f t="shared" si="123"/>
        <v>7.4258924485384858E-5</v>
      </c>
      <c r="AQ879" s="11">
        <f t="shared" si="124"/>
        <v>-1.5801882743553635E-4</v>
      </c>
      <c r="AR879" s="11">
        <f t="shared" si="125"/>
        <v>-8.3759902950151493E-5</v>
      </c>
    </row>
    <row r="880" spans="2:44" x14ac:dyDescent="0.35">
      <c r="B880" s="1">
        <v>44362</v>
      </c>
      <c r="C880">
        <v>4631.68</v>
      </c>
      <c r="D880" s="1">
        <v>44365</v>
      </c>
      <c r="E880">
        <v>5.0308000000000002</v>
      </c>
      <c r="F880" s="1">
        <v>44358</v>
      </c>
      <c r="G880">
        <v>132.90899999999999</v>
      </c>
      <c r="H880" s="4">
        <f t="shared" si="117"/>
        <v>668638.59719999996</v>
      </c>
      <c r="I880" s="5">
        <v>44362</v>
      </c>
      <c r="J880" s="4">
        <v>6261.16</v>
      </c>
      <c r="K880" s="4">
        <f t="shared" si="118"/>
        <v>62611.6</v>
      </c>
      <c r="L880" s="1">
        <v>44362</v>
      </c>
      <c r="M880">
        <v>3.25</v>
      </c>
      <c r="P880" s="1">
        <v>44362</v>
      </c>
      <c r="Q880">
        <v>3.51</v>
      </c>
      <c r="R880" s="1">
        <v>44361</v>
      </c>
      <c r="S880">
        <v>3.66</v>
      </c>
      <c r="V880" s="1">
        <v>44328</v>
      </c>
      <c r="W880">
        <v>3.85</v>
      </c>
      <c r="X880" s="1">
        <v>44362</v>
      </c>
      <c r="Y880">
        <f>NETWORKDAYS(X880,$Z$1,FERIADO!$A$2:$A$408)</f>
        <v>2410</v>
      </c>
      <c r="Z880">
        <v>9</v>
      </c>
      <c r="AA880" s="6">
        <f t="shared" si="119"/>
        <v>43860.338992926088</v>
      </c>
      <c r="AB880" s="2">
        <f t="shared" si="120"/>
        <v>3.5779148060197897E-3</v>
      </c>
      <c r="AJ880" s="1">
        <v>44362</v>
      </c>
      <c r="AK880">
        <f>NETWORKDAYS(AJ880,$AJ$1,FERIADO!$A$2:$A$408)</f>
        <v>1397</v>
      </c>
      <c r="AL880">
        <v>8.4</v>
      </c>
      <c r="AM880" s="6">
        <f t="shared" si="121"/>
        <v>63945.485921556639</v>
      </c>
      <c r="AN880" s="2">
        <f t="shared" si="122"/>
        <v>1.9164307239250035E-3</v>
      </c>
      <c r="AP880" s="11">
        <f t="shared" si="123"/>
        <v>1.7889574030098949E-3</v>
      </c>
      <c r="AQ880" s="11">
        <f t="shared" si="124"/>
        <v>5.7492921717750098E-4</v>
      </c>
      <c r="AR880" s="11">
        <f t="shared" si="125"/>
        <v>2.3638866201873957E-3</v>
      </c>
    </row>
    <row r="881" spans="2:44" x14ac:dyDescent="0.35">
      <c r="B881" s="1">
        <v>44361</v>
      </c>
      <c r="C881">
        <v>4641.18</v>
      </c>
      <c r="D881" s="1">
        <v>44364</v>
      </c>
      <c r="E881">
        <v>5.0353000000000003</v>
      </c>
      <c r="F881" s="1">
        <v>44357</v>
      </c>
      <c r="G881">
        <v>133.054</v>
      </c>
      <c r="H881" s="4">
        <f t="shared" si="117"/>
        <v>669966.80620000011</v>
      </c>
      <c r="I881" s="5">
        <v>44361</v>
      </c>
      <c r="J881" s="4">
        <v>6284.71</v>
      </c>
      <c r="K881" s="4">
        <f t="shared" si="118"/>
        <v>62847.1</v>
      </c>
      <c r="L881" s="1">
        <v>44361</v>
      </c>
      <c r="M881">
        <v>3.22</v>
      </c>
      <c r="P881" s="1">
        <v>44361</v>
      </c>
      <c r="Q881">
        <v>3.5</v>
      </c>
      <c r="R881" s="1">
        <v>44358</v>
      </c>
      <c r="S881">
        <v>3.67</v>
      </c>
      <c r="V881" s="1">
        <v>44327</v>
      </c>
      <c r="W881">
        <v>3.85</v>
      </c>
      <c r="X881" s="1">
        <v>44361</v>
      </c>
      <c r="Y881">
        <f>NETWORKDAYS(X881,$Z$1,FERIADO!$A$2:$A$408)</f>
        <v>2411</v>
      </c>
      <c r="Z881">
        <v>9.09</v>
      </c>
      <c r="AA881" s="6">
        <f t="shared" si="119"/>
        <v>43500.482006411636</v>
      </c>
      <c r="AB881" s="2">
        <f t="shared" si="120"/>
        <v>2.0547281684551882E-3</v>
      </c>
      <c r="AJ881" s="1">
        <v>44361</v>
      </c>
      <c r="AK881">
        <f>NETWORKDAYS(AJ881,$AJ$1,FERIADO!$A$2:$A$408)</f>
        <v>1398</v>
      </c>
      <c r="AL881">
        <v>8.48</v>
      </c>
      <c r="AM881" s="6">
        <f t="shared" si="121"/>
        <v>63663.932478629744</v>
      </c>
      <c r="AN881" s="2">
        <f t="shared" si="122"/>
        <v>1.2512961584617459E-3</v>
      </c>
      <c r="AP881" s="11">
        <f t="shared" si="123"/>
        <v>1.0273640842275941E-3</v>
      </c>
      <c r="AQ881" s="11">
        <f t="shared" si="124"/>
        <v>3.7538884753852378E-4</v>
      </c>
      <c r="AR881" s="11">
        <f t="shared" si="125"/>
        <v>1.402752931766118E-3</v>
      </c>
    </row>
    <row r="882" spans="2:44" x14ac:dyDescent="0.35">
      <c r="B882" s="1">
        <v>44358</v>
      </c>
      <c r="C882">
        <v>4629.66</v>
      </c>
      <c r="D882" s="1">
        <v>44363</v>
      </c>
      <c r="E882">
        <v>5.0201000000000002</v>
      </c>
      <c r="F882" s="1">
        <v>44356</v>
      </c>
      <c r="G882">
        <v>132.69499999999999</v>
      </c>
      <c r="H882" s="4">
        <f t="shared" si="117"/>
        <v>666142.16950000008</v>
      </c>
      <c r="I882" s="5">
        <v>44358</v>
      </c>
      <c r="J882" s="4">
        <v>6357.85</v>
      </c>
      <c r="K882" s="4">
        <f t="shared" si="118"/>
        <v>63578.5</v>
      </c>
      <c r="L882" s="1">
        <v>44358</v>
      </c>
      <c r="M882">
        <v>3.21</v>
      </c>
      <c r="P882" s="1">
        <v>44358</v>
      </c>
      <c r="Q882">
        <v>3.49</v>
      </c>
      <c r="R882" s="1">
        <v>44357</v>
      </c>
      <c r="S882">
        <v>3.65</v>
      </c>
      <c r="V882" s="1">
        <v>44326</v>
      </c>
      <c r="W882">
        <v>3.85</v>
      </c>
      <c r="X882" s="1">
        <v>44358</v>
      </c>
      <c r="Y882">
        <f>NETWORKDAYS(X882,$Z$1,FERIADO!$A$2:$A$408)</f>
        <v>2412</v>
      </c>
      <c r="Z882">
        <v>9.14</v>
      </c>
      <c r="AA882" s="6">
        <f t="shared" si="119"/>
        <v>43295.159208554986</v>
      </c>
      <c r="AB882" s="2">
        <f t="shared" si="120"/>
        <v>-3.279938739101468E-3</v>
      </c>
      <c r="AJ882" s="1">
        <v>44358</v>
      </c>
      <c r="AK882">
        <f>NETWORKDAYS(AJ882,$AJ$1,FERIADO!$A$2:$A$408)</f>
        <v>1399</v>
      </c>
      <c r="AL882">
        <v>8.5299999999999994</v>
      </c>
      <c r="AM882" s="6">
        <f t="shared" si="121"/>
        <v>63480.766941738111</v>
      </c>
      <c r="AN882" s="2">
        <f t="shared" si="122"/>
        <v>-2.3055963835875663E-3</v>
      </c>
      <c r="AP882" s="11">
        <f t="shared" si="123"/>
        <v>-1.639969369550734E-3</v>
      </c>
      <c r="AQ882" s="11">
        <f t="shared" si="124"/>
        <v>-6.916789150762699E-4</v>
      </c>
      <c r="AR882" s="11">
        <f t="shared" si="125"/>
        <v>-2.3316482846270038E-3</v>
      </c>
    </row>
    <row r="883" spans="2:44" x14ac:dyDescent="0.35">
      <c r="B883" s="1">
        <v>44357</v>
      </c>
      <c r="C883">
        <v>4623.49</v>
      </c>
      <c r="D883" s="1">
        <v>44362</v>
      </c>
      <c r="E883">
        <v>5.0868000000000002</v>
      </c>
      <c r="F883" s="1">
        <v>44355</v>
      </c>
      <c r="G883">
        <v>132.39599999999999</v>
      </c>
      <c r="H883" s="4">
        <f t="shared" si="117"/>
        <v>673471.97279999999</v>
      </c>
      <c r="I883" s="5">
        <v>44357</v>
      </c>
      <c r="J883" s="4">
        <v>6280.37</v>
      </c>
      <c r="K883" s="4">
        <f t="shared" si="118"/>
        <v>62803.7</v>
      </c>
      <c r="L883" s="1">
        <v>44357</v>
      </c>
      <c r="M883">
        <v>3.15</v>
      </c>
      <c r="P883" s="1">
        <v>44357</v>
      </c>
      <c r="Q883">
        <v>3.43</v>
      </c>
      <c r="R883" s="1">
        <v>44356</v>
      </c>
      <c r="S883">
        <v>3.54</v>
      </c>
      <c r="V883" s="1">
        <v>44323</v>
      </c>
      <c r="W883">
        <v>3.81</v>
      </c>
      <c r="X883" s="1">
        <v>44357</v>
      </c>
      <c r="Y883">
        <f>NETWORKDAYS(X883,$Z$1,FERIADO!$A$2:$A$408)</f>
        <v>2413</v>
      </c>
      <c r="Z883">
        <v>9.0500000000000007</v>
      </c>
      <c r="AA883" s="6">
        <f t="shared" si="119"/>
        <v>43623.376731455843</v>
      </c>
      <c r="AB883" s="2">
        <f t="shared" si="120"/>
        <v>-5.5771419594304265E-3</v>
      </c>
      <c r="AJ883" s="1">
        <v>44357</v>
      </c>
      <c r="AK883">
        <f>NETWORKDAYS(AJ883,$AJ$1,FERIADO!$A$2:$A$408)</f>
        <v>1400</v>
      </c>
      <c r="AL883">
        <v>8.42</v>
      </c>
      <c r="AM883" s="6">
        <f t="shared" si="121"/>
        <v>63818.671806425002</v>
      </c>
      <c r="AN883" s="2">
        <f t="shared" si="122"/>
        <v>-1.8657737070419986E-3</v>
      </c>
      <c r="AP883" s="11">
        <f t="shared" si="123"/>
        <v>-2.7885709797152132E-3</v>
      </c>
      <c r="AQ883" s="11">
        <f t="shared" si="124"/>
        <v>-5.5973211211259955E-4</v>
      </c>
      <c r="AR883" s="11">
        <f t="shared" si="125"/>
        <v>-3.3483030918278127E-3</v>
      </c>
    </row>
    <row r="884" spans="2:44" x14ac:dyDescent="0.35">
      <c r="B884" s="1">
        <v>44356</v>
      </c>
      <c r="C884">
        <v>4604.74</v>
      </c>
      <c r="D884" s="1">
        <v>44361</v>
      </c>
      <c r="E884">
        <v>5.0701000000000001</v>
      </c>
      <c r="F884" s="1">
        <v>44354</v>
      </c>
      <c r="G884">
        <v>132.1</v>
      </c>
      <c r="H884" s="4">
        <f t="shared" si="117"/>
        <v>669760.21000000008</v>
      </c>
      <c r="I884" s="5">
        <v>44356</v>
      </c>
      <c r="J884" s="4">
        <v>6290.29</v>
      </c>
      <c r="K884" s="4">
        <f t="shared" si="118"/>
        <v>62902.9</v>
      </c>
      <c r="L884" s="1">
        <v>44356</v>
      </c>
      <c r="M884">
        <v>3.06</v>
      </c>
      <c r="P884" s="1">
        <v>44356</v>
      </c>
      <c r="Q884">
        <v>3.34</v>
      </c>
      <c r="R884" s="1">
        <v>44355</v>
      </c>
      <c r="S884">
        <v>3.5</v>
      </c>
      <c r="V884" s="1">
        <v>44322</v>
      </c>
      <c r="W884">
        <v>3.78</v>
      </c>
      <c r="X884" s="1">
        <v>44356</v>
      </c>
      <c r="Y884">
        <f>NETWORKDAYS(X884,$Z$1,FERIADO!$A$2:$A$408)</f>
        <v>2414</v>
      </c>
      <c r="Z884">
        <v>8.9</v>
      </c>
      <c r="AA884" s="6">
        <f t="shared" si="119"/>
        <v>44187.193804516079</v>
      </c>
      <c r="AB884" s="2">
        <f t="shared" si="120"/>
        <v>-9.9977530996821088E-4</v>
      </c>
      <c r="AJ884" s="1">
        <v>44356</v>
      </c>
      <c r="AK884">
        <f>NETWORKDAYS(AJ884,$AJ$1,FERIADO!$A$2:$A$408)</f>
        <v>1401</v>
      </c>
      <c r="AL884">
        <v>8.33</v>
      </c>
      <c r="AM884" s="6">
        <f t="shared" si="121"/>
        <v>64093.433155156788</v>
      </c>
      <c r="AN884" s="2">
        <f t="shared" si="122"/>
        <v>-5.3132126798415057E-4</v>
      </c>
      <c r="AP884" s="11">
        <f t="shared" si="123"/>
        <v>-4.9988765498410544E-4</v>
      </c>
      <c r="AQ884" s="11">
        <f t="shared" si="124"/>
        <v>-1.5939638039524516E-4</v>
      </c>
      <c r="AR884" s="11">
        <f t="shared" si="125"/>
        <v>-6.592840353793506E-4</v>
      </c>
    </row>
    <row r="885" spans="2:44" x14ac:dyDescent="0.35">
      <c r="B885" s="1">
        <v>44355</v>
      </c>
      <c r="C885">
        <v>4609.42</v>
      </c>
      <c r="D885" s="1">
        <v>44358</v>
      </c>
      <c r="E885">
        <v>5.1184000000000003</v>
      </c>
      <c r="F885" s="1">
        <v>44351</v>
      </c>
      <c r="G885">
        <v>132.19900000000001</v>
      </c>
      <c r="H885" s="4">
        <f t="shared" si="117"/>
        <v>676647.36160000006</v>
      </c>
      <c r="I885" s="5">
        <v>44355</v>
      </c>
      <c r="J885" s="4">
        <v>6256.82</v>
      </c>
      <c r="K885" s="4">
        <f t="shared" si="118"/>
        <v>62568.2</v>
      </c>
      <c r="L885" s="1">
        <v>44355</v>
      </c>
      <c r="M885">
        <v>3.06</v>
      </c>
      <c r="P885" s="1">
        <v>44355</v>
      </c>
      <c r="Q885">
        <v>3.34</v>
      </c>
      <c r="R885" s="1">
        <v>44354</v>
      </c>
      <c r="S885">
        <v>3.53</v>
      </c>
      <c r="V885" s="1">
        <v>44321</v>
      </c>
      <c r="W885">
        <v>3.81</v>
      </c>
      <c r="X885" s="1">
        <v>44355</v>
      </c>
      <c r="Y885">
        <f>NETWORKDAYS(X885,$Z$1,FERIADO!$A$2:$A$408)</f>
        <v>2415</v>
      </c>
      <c r="Z885">
        <v>8.8699999999999992</v>
      </c>
      <c r="AA885" s="6">
        <f t="shared" si="119"/>
        <v>44289.032892499126</v>
      </c>
      <c r="AB885" s="2">
        <f t="shared" si="120"/>
        <v>9.1128709982592551E-4</v>
      </c>
      <c r="AJ885" s="1">
        <v>44355</v>
      </c>
      <c r="AK885">
        <f>NETWORKDAYS(AJ885,$AJ$1,FERIADO!$A$2:$A$408)</f>
        <v>1402</v>
      </c>
      <c r="AL885">
        <v>8.3000000000000007</v>
      </c>
      <c r="AM885" s="6">
        <f t="shared" si="121"/>
        <v>64171.893843144629</v>
      </c>
      <c r="AN885" s="2">
        <f t="shared" si="122"/>
        <v>5.838954080189786E-4</v>
      </c>
      <c r="AP885" s="11">
        <f t="shared" si="123"/>
        <v>4.5564354991296276E-4</v>
      </c>
      <c r="AQ885" s="11">
        <f t="shared" si="124"/>
        <v>1.7516862240569357E-4</v>
      </c>
      <c r="AR885" s="11">
        <f t="shared" si="125"/>
        <v>6.3081217231865632E-4</v>
      </c>
    </row>
    <row r="886" spans="2:44" x14ac:dyDescent="0.35">
      <c r="B886" s="1">
        <v>44354</v>
      </c>
      <c r="C886">
        <v>4616.7700000000004</v>
      </c>
      <c r="D886" s="1">
        <v>44357</v>
      </c>
      <c r="E886">
        <v>5.0629</v>
      </c>
      <c r="F886" s="1">
        <v>44349</v>
      </c>
      <c r="G886">
        <v>131.89099999999999</v>
      </c>
      <c r="H886" s="4">
        <f t="shared" si="117"/>
        <v>667750.94389999995</v>
      </c>
      <c r="I886" s="5">
        <v>44354</v>
      </c>
      <c r="J886" s="4">
        <v>6282.23</v>
      </c>
      <c r="K886" s="4">
        <f t="shared" si="118"/>
        <v>62822.299999999996</v>
      </c>
      <c r="L886" s="1">
        <v>44354</v>
      </c>
      <c r="M886">
        <v>3.05</v>
      </c>
      <c r="P886" s="1">
        <v>44354</v>
      </c>
      <c r="Q886">
        <v>3.37</v>
      </c>
      <c r="R886" s="1">
        <v>44351</v>
      </c>
      <c r="S886">
        <v>3.51</v>
      </c>
      <c r="V886" s="1">
        <v>44320</v>
      </c>
      <c r="W886">
        <v>3.94</v>
      </c>
      <c r="X886" s="1">
        <v>44354</v>
      </c>
      <c r="Y886">
        <f>NETWORKDAYS(X886,$Z$1,FERIADO!$A$2:$A$408)</f>
        <v>2416</v>
      </c>
      <c r="Z886">
        <v>8.89</v>
      </c>
      <c r="AA886" s="6">
        <f t="shared" si="119"/>
        <v>44196.197934709002</v>
      </c>
      <c r="AB886" s="2">
        <f t="shared" si="120"/>
        <v>-2.5318359804401892E-3</v>
      </c>
      <c r="AJ886" s="1">
        <v>44354</v>
      </c>
      <c r="AK886">
        <f>NETWORKDAYS(AJ886,$AJ$1,FERIADO!$A$2:$A$408)</f>
        <v>1403</v>
      </c>
      <c r="AL886">
        <v>8.32</v>
      </c>
      <c r="AM886" s="6">
        <f t="shared" si="121"/>
        <v>64085.674702495489</v>
      </c>
      <c r="AN886" s="2">
        <f t="shared" si="122"/>
        <v>-1.6499590149541337E-3</v>
      </c>
      <c r="AP886" s="11">
        <f t="shared" si="123"/>
        <v>-1.2659179902200946E-3</v>
      </c>
      <c r="AQ886" s="11">
        <f t="shared" si="124"/>
        <v>-4.9498770448624008E-4</v>
      </c>
      <c r="AR886" s="11">
        <f t="shared" si="125"/>
        <v>-1.7609056947063347E-3</v>
      </c>
    </row>
    <row r="887" spans="2:44" x14ac:dyDescent="0.35">
      <c r="B887" s="1">
        <v>44351</v>
      </c>
      <c r="C887">
        <v>4612.22</v>
      </c>
      <c r="D887" s="1">
        <v>44356</v>
      </c>
      <c r="E887">
        <v>5.0526999999999997</v>
      </c>
      <c r="F887" s="1">
        <v>44348</v>
      </c>
      <c r="G887">
        <v>131.78100000000001</v>
      </c>
      <c r="H887" s="4">
        <f t="shared" si="117"/>
        <v>665849.85869999998</v>
      </c>
      <c r="I887" s="5">
        <v>44351</v>
      </c>
      <c r="J887" s="4">
        <v>6272.32</v>
      </c>
      <c r="K887" s="4">
        <f t="shared" si="118"/>
        <v>62723.199999999997</v>
      </c>
      <c r="L887" s="1">
        <v>44351</v>
      </c>
      <c r="M887">
        <v>3</v>
      </c>
      <c r="P887" s="1">
        <v>44351</v>
      </c>
      <c r="Q887">
        <v>3.32</v>
      </c>
      <c r="R887" s="1">
        <v>44349</v>
      </c>
      <c r="S887">
        <v>3.57</v>
      </c>
      <c r="V887" s="1">
        <v>44315</v>
      </c>
      <c r="W887">
        <v>3.62</v>
      </c>
      <c r="X887" s="1">
        <v>44351</v>
      </c>
      <c r="Y887">
        <f>NETWORKDAYS(X887,$Z$1,FERIADO!$A$2:$A$408)</f>
        <v>2417</v>
      </c>
      <c r="Z887">
        <v>8.82</v>
      </c>
      <c r="AA887" s="6">
        <f t="shared" si="119"/>
        <v>44454.603997530779</v>
      </c>
      <c r="AB887" s="2">
        <f t="shared" si="120"/>
        <v>3.5907099702013633E-3</v>
      </c>
      <c r="AJ887" s="1">
        <v>44351</v>
      </c>
      <c r="AK887">
        <f>NETWORKDAYS(AJ887,$AJ$1,FERIADO!$A$2:$A$408)</f>
        <v>1404</v>
      </c>
      <c r="AL887">
        <v>8.24</v>
      </c>
      <c r="AM887" s="6">
        <f t="shared" si="121"/>
        <v>64329.610224360527</v>
      </c>
      <c r="AN887" s="2">
        <f t="shared" si="122"/>
        <v>2.37245931810268E-3</v>
      </c>
      <c r="AP887" s="11">
        <f t="shared" si="123"/>
        <v>1.7953549851006817E-3</v>
      </c>
      <c r="AQ887" s="11">
        <f t="shared" si="124"/>
        <v>7.1173779543080395E-4</v>
      </c>
      <c r="AR887" s="11">
        <f t="shared" si="125"/>
        <v>2.5070927805314856E-3</v>
      </c>
    </row>
    <row r="888" spans="2:44" x14ac:dyDescent="0.35">
      <c r="B888" s="1">
        <v>44349</v>
      </c>
      <c r="C888">
        <v>4594.62</v>
      </c>
      <c r="D888" s="1">
        <v>44355</v>
      </c>
      <c r="E888">
        <v>5.0483000000000002</v>
      </c>
      <c r="F888" s="1">
        <v>44347</v>
      </c>
      <c r="G888">
        <v>131.75200000000001</v>
      </c>
      <c r="H888" s="4">
        <f t="shared" si="117"/>
        <v>665123.62160000007</v>
      </c>
      <c r="I888" s="5">
        <v>44349</v>
      </c>
      <c r="J888" s="4">
        <v>6307.65</v>
      </c>
      <c r="K888" s="4">
        <f t="shared" si="118"/>
        <v>63076.5</v>
      </c>
      <c r="L888" s="1">
        <v>44349</v>
      </c>
      <c r="M888">
        <v>3.04</v>
      </c>
      <c r="P888" s="1">
        <v>44349</v>
      </c>
      <c r="Q888">
        <v>3.4</v>
      </c>
      <c r="R888" s="1">
        <v>44348</v>
      </c>
      <c r="S888">
        <v>3.61</v>
      </c>
      <c r="V888" s="1">
        <v>44308</v>
      </c>
      <c r="W888">
        <v>3.92</v>
      </c>
      <c r="X888" s="1">
        <v>44349</v>
      </c>
      <c r="Y888">
        <f>NETWORKDAYS(X888,$Z$1,FERIADO!$A$2:$A$408)</f>
        <v>2418</v>
      </c>
      <c r="Z888">
        <v>8.91</v>
      </c>
      <c r="AA888" s="6">
        <f t="shared" si="119"/>
        <v>44088.572343634522</v>
      </c>
      <c r="AB888" s="2">
        <f t="shared" si="120"/>
        <v>3.5907125851746065E-3</v>
      </c>
      <c r="AJ888" s="1">
        <v>44349</v>
      </c>
      <c r="AK888">
        <f>NETWORKDAYS(AJ888,$AJ$1,FERIADO!$A$2:$A$408)</f>
        <v>1405</v>
      </c>
      <c r="AL888">
        <v>8.34</v>
      </c>
      <c r="AM888" s="6">
        <f t="shared" si="121"/>
        <v>63979.149226548929</v>
      </c>
      <c r="AN888" s="2">
        <f t="shared" si="122"/>
        <v>2.3735778466845124E-3</v>
      </c>
      <c r="AP888" s="11">
        <f t="shared" si="123"/>
        <v>1.7953562925873032E-3</v>
      </c>
      <c r="AQ888" s="11">
        <f t="shared" si="124"/>
        <v>7.120733540053537E-4</v>
      </c>
      <c r="AR888" s="11">
        <f t="shared" si="125"/>
        <v>2.5074296465926568E-3</v>
      </c>
    </row>
    <row r="889" spans="2:44" x14ac:dyDescent="0.35">
      <c r="B889" s="1">
        <v>44348</v>
      </c>
      <c r="C889">
        <v>4579.79</v>
      </c>
      <c r="D889" s="1">
        <v>44354</v>
      </c>
      <c r="E889">
        <v>5.0491999999999999</v>
      </c>
      <c r="F889" s="1">
        <v>44344</v>
      </c>
      <c r="G889">
        <v>131.75299999999999</v>
      </c>
      <c r="H889" s="4">
        <f t="shared" si="117"/>
        <v>665247.24759999989</v>
      </c>
      <c r="I889" s="5">
        <v>44348</v>
      </c>
      <c r="J889" s="4">
        <v>6401.85</v>
      </c>
      <c r="K889" s="4">
        <f t="shared" si="118"/>
        <v>64018.5</v>
      </c>
      <c r="L889" s="1">
        <v>44348</v>
      </c>
      <c r="M889">
        <v>3.1</v>
      </c>
      <c r="P889" s="1">
        <v>44348</v>
      </c>
      <c r="Q889">
        <v>3.42</v>
      </c>
      <c r="R889" s="1">
        <v>44347</v>
      </c>
      <c r="S889">
        <v>3.7</v>
      </c>
      <c r="V889" s="1">
        <v>44306</v>
      </c>
      <c r="W889">
        <v>3.96</v>
      </c>
      <c r="X889" s="1">
        <v>44348</v>
      </c>
      <c r="Y889">
        <f>NETWORKDAYS(X889,$Z$1,FERIADO!$A$2:$A$408)</f>
        <v>2419</v>
      </c>
      <c r="Z889">
        <v>9</v>
      </c>
      <c r="AA889" s="6">
        <f t="shared" si="119"/>
        <v>43725.554268886168</v>
      </c>
      <c r="AB889" s="2">
        <f t="shared" si="120"/>
        <v>2.4436325022751393E-3</v>
      </c>
      <c r="AJ889" s="1">
        <v>44348</v>
      </c>
      <c r="AK889">
        <f>NETWORKDAYS(AJ889,$AJ$1,FERIADO!$A$2:$A$408)</f>
        <v>1406</v>
      </c>
      <c r="AL889">
        <v>8.44</v>
      </c>
      <c r="AM889" s="6">
        <f t="shared" si="121"/>
        <v>63630.433622797245</v>
      </c>
      <c r="AN889" s="2">
        <f t="shared" si="122"/>
        <v>8.1037371167350146E-4</v>
      </c>
      <c r="AP889" s="11">
        <f t="shared" si="123"/>
        <v>1.2218162511375696E-3</v>
      </c>
      <c r="AQ889" s="11">
        <f t="shared" si="124"/>
        <v>2.4311211350205042E-4</v>
      </c>
      <c r="AR889" s="11">
        <f t="shared" si="125"/>
        <v>1.46492836463962E-3</v>
      </c>
    </row>
    <row r="890" spans="2:44" x14ac:dyDescent="0.35">
      <c r="B890" s="1">
        <v>44347</v>
      </c>
      <c r="C890">
        <v>4575.1400000000003</v>
      </c>
      <c r="D890" s="1">
        <v>44351</v>
      </c>
      <c r="E890">
        <v>5.0660999999999996</v>
      </c>
      <c r="F890" s="1">
        <v>44343</v>
      </c>
      <c r="G890">
        <v>131.82300000000001</v>
      </c>
      <c r="H890" s="4">
        <f t="shared" si="117"/>
        <v>667828.50029999996</v>
      </c>
      <c r="I890" s="5">
        <v>44347</v>
      </c>
      <c r="J890" s="4">
        <v>6486.15</v>
      </c>
      <c r="K890" s="4">
        <f t="shared" si="118"/>
        <v>64861.5</v>
      </c>
      <c r="L890" s="1">
        <v>44347</v>
      </c>
      <c r="M890">
        <v>3.12</v>
      </c>
      <c r="P890" s="1">
        <v>44347</v>
      </c>
      <c r="Q890">
        <v>3.5</v>
      </c>
      <c r="R890" s="1">
        <v>44344</v>
      </c>
      <c r="S890">
        <v>3.66</v>
      </c>
      <c r="V890" s="1">
        <v>44302</v>
      </c>
      <c r="W890">
        <v>3.98</v>
      </c>
      <c r="X890" s="1">
        <v>44347</v>
      </c>
      <c r="Y890">
        <f>NETWORKDAYS(X890,$Z$1,FERIADO!$A$2:$A$408)</f>
        <v>2420</v>
      </c>
      <c r="Z890">
        <v>9.06</v>
      </c>
      <c r="AA890" s="6">
        <f t="shared" si="119"/>
        <v>43480.215793753909</v>
      </c>
      <c r="AB890" s="2">
        <f t="shared" si="120"/>
        <v>-9.9840733791792952E-4</v>
      </c>
      <c r="AJ890" s="1">
        <v>44347</v>
      </c>
      <c r="AK890">
        <f>NETWORKDAYS(AJ890,$AJ$1,FERIADO!$A$2:$A$408)</f>
        <v>1407</v>
      </c>
      <c r="AL890">
        <v>8.4700000000000006</v>
      </c>
      <c r="AM890" s="6">
        <f t="shared" si="121"/>
        <v>63511.812838313817</v>
      </c>
      <c r="AN890" s="2">
        <f t="shared" si="122"/>
        <v>-7.5486966501529037E-4</v>
      </c>
      <c r="AP890" s="11">
        <f t="shared" si="123"/>
        <v>-4.9920366895896476E-4</v>
      </c>
      <c r="AQ890" s="11">
        <f t="shared" si="124"/>
        <v>-2.264608995045871E-4</v>
      </c>
      <c r="AR890" s="11">
        <f t="shared" si="125"/>
        <v>-7.2566456846355184E-4</v>
      </c>
    </row>
    <row r="891" spans="2:44" x14ac:dyDescent="0.35">
      <c r="B891" s="1">
        <v>44344</v>
      </c>
      <c r="C891">
        <v>4584.7700000000004</v>
      </c>
      <c r="D891" s="1">
        <v>44349</v>
      </c>
      <c r="E891">
        <v>5.1139999999999999</v>
      </c>
      <c r="F891" s="1">
        <v>44342</v>
      </c>
      <c r="G891">
        <v>132.83500000000001</v>
      </c>
      <c r="H891" s="4">
        <f t="shared" si="117"/>
        <v>679318.19000000006</v>
      </c>
      <c r="I891" s="5">
        <v>44344</v>
      </c>
      <c r="J891" s="4">
        <v>6501.64</v>
      </c>
      <c r="K891" s="4">
        <f t="shared" si="118"/>
        <v>65016.4</v>
      </c>
      <c r="L891" s="1">
        <v>44344</v>
      </c>
      <c r="M891">
        <v>3.09</v>
      </c>
      <c r="P891" s="1">
        <v>44344</v>
      </c>
      <c r="Q891">
        <v>3.45</v>
      </c>
      <c r="R891" s="1">
        <v>44343</v>
      </c>
      <c r="S891">
        <v>3.73</v>
      </c>
      <c r="V891" s="1">
        <v>44299</v>
      </c>
      <c r="W891">
        <v>3.81</v>
      </c>
      <c r="X891" s="1">
        <v>44344</v>
      </c>
      <c r="Y891">
        <f>NETWORKDAYS(X891,$Z$1,FERIADO!$A$2:$A$408)</f>
        <v>2421</v>
      </c>
      <c r="Z891">
        <v>9.0299999999999994</v>
      </c>
      <c r="AA891" s="6">
        <f t="shared" si="119"/>
        <v>43580.288223169111</v>
      </c>
      <c r="AB891" s="2">
        <f t="shared" si="120"/>
        <v>3.5930879002183998E-3</v>
      </c>
      <c r="AJ891" s="1">
        <v>44344</v>
      </c>
      <c r="AK891">
        <f>NETWORKDAYS(AJ891,$AJ$1,FERIADO!$A$2:$A$408)</f>
        <v>1408</v>
      </c>
      <c r="AL891">
        <v>8.43</v>
      </c>
      <c r="AM891" s="6">
        <f t="shared" si="121"/>
        <v>63622.301995457005</v>
      </c>
      <c r="AN891" s="2">
        <f t="shared" si="122"/>
        <v>2.154169230762725E-3</v>
      </c>
      <c r="AP891" s="11">
        <f t="shared" si="123"/>
        <v>1.7965439501091999E-3</v>
      </c>
      <c r="AQ891" s="11">
        <f t="shared" si="124"/>
        <v>6.4625076922881749E-4</v>
      </c>
      <c r="AR891" s="11">
        <f t="shared" si="125"/>
        <v>2.4427947193380174E-3</v>
      </c>
    </row>
    <row r="892" spans="2:44" x14ac:dyDescent="0.35">
      <c r="B892" s="1">
        <v>44343</v>
      </c>
      <c r="C892">
        <v>4594.51</v>
      </c>
      <c r="D892" s="1">
        <v>44348</v>
      </c>
      <c r="E892">
        <v>5.1630000000000003</v>
      </c>
      <c r="F892" s="1">
        <v>44341</v>
      </c>
      <c r="G892">
        <v>132.99799999999999</v>
      </c>
      <c r="H892" s="4">
        <f t="shared" si="117"/>
        <v>686668.674</v>
      </c>
      <c r="I892" s="5">
        <v>44343</v>
      </c>
      <c r="J892" s="4">
        <v>6515.32</v>
      </c>
      <c r="K892" s="4">
        <f t="shared" si="118"/>
        <v>65153.2</v>
      </c>
      <c r="L892" s="1">
        <v>44343</v>
      </c>
      <c r="M892">
        <v>3.16</v>
      </c>
      <c r="P892" s="1">
        <v>44343</v>
      </c>
      <c r="Q892">
        <v>3.52</v>
      </c>
      <c r="R892" s="1">
        <v>44342</v>
      </c>
      <c r="S892">
        <v>3.79</v>
      </c>
      <c r="V892" s="1">
        <v>44293</v>
      </c>
      <c r="W892">
        <v>3.91</v>
      </c>
      <c r="X892" s="1">
        <v>44343</v>
      </c>
      <c r="Y892">
        <f>NETWORKDAYS(X892,$Z$1,FERIADO!$A$2:$A$408)</f>
        <v>2422</v>
      </c>
      <c r="Z892">
        <v>9.1199999999999992</v>
      </c>
      <c r="AA892" s="6">
        <f t="shared" si="119"/>
        <v>43221.218883248199</v>
      </c>
      <c r="AB892" s="2">
        <f t="shared" si="120"/>
        <v>4.7400199031150982E-3</v>
      </c>
      <c r="AJ892" s="1">
        <v>44343</v>
      </c>
      <c r="AK892">
        <f>NETWORKDAYS(AJ892,$AJ$1,FERIADO!$A$2:$A$408)</f>
        <v>1409</v>
      </c>
      <c r="AL892">
        <v>8.52</v>
      </c>
      <c r="AM892" s="6">
        <f t="shared" si="121"/>
        <v>63307.506690505332</v>
      </c>
      <c r="AN892" s="2">
        <f t="shared" si="122"/>
        <v>3.720995041527985E-3</v>
      </c>
      <c r="AP892" s="11">
        <f t="shared" si="123"/>
        <v>2.3700099515575491E-3</v>
      </c>
      <c r="AQ892" s="11">
        <f t="shared" si="124"/>
        <v>1.1162985124583955E-3</v>
      </c>
      <c r="AR892" s="11">
        <f t="shared" si="125"/>
        <v>3.4863084640159446E-3</v>
      </c>
    </row>
    <row r="893" spans="2:44" x14ac:dyDescent="0.35">
      <c r="B893" s="1">
        <v>44342</v>
      </c>
      <c r="C893">
        <v>4578.22</v>
      </c>
      <c r="D893" s="1">
        <v>44347</v>
      </c>
      <c r="E893">
        <v>5.2316000000000003</v>
      </c>
      <c r="F893" s="1">
        <v>44340</v>
      </c>
      <c r="G893">
        <v>132.65700000000001</v>
      </c>
      <c r="H893" s="4">
        <f t="shared" si="117"/>
        <v>694008.36120000004</v>
      </c>
      <c r="I893" s="5">
        <v>44342</v>
      </c>
      <c r="J893" s="4">
        <v>6610.48</v>
      </c>
      <c r="K893" s="4">
        <f t="shared" si="118"/>
        <v>66104.799999999988</v>
      </c>
      <c r="L893" s="1">
        <v>44342</v>
      </c>
      <c r="M893">
        <v>3.26</v>
      </c>
      <c r="P893" s="1">
        <v>44342</v>
      </c>
      <c r="Q893">
        <v>3.59</v>
      </c>
      <c r="R893" s="1">
        <v>44341</v>
      </c>
      <c r="S893">
        <v>3.78</v>
      </c>
      <c r="V893" s="1">
        <v>44291</v>
      </c>
      <c r="W893">
        <v>4.1900000000000004</v>
      </c>
      <c r="X893" s="1">
        <v>44342</v>
      </c>
      <c r="Y893">
        <f>NETWORKDAYS(X893,$Z$1,FERIADO!$A$2:$A$408)</f>
        <v>2423</v>
      </c>
      <c r="Z893">
        <v>9.24</v>
      </c>
      <c r="AA893" s="6">
        <f t="shared" si="119"/>
        <v>42752.05452726462</v>
      </c>
      <c r="AB893" s="2">
        <f t="shared" si="120"/>
        <v>2.0639448596790622E-3</v>
      </c>
      <c r="AJ893" s="1">
        <v>44342</v>
      </c>
      <c r="AK893">
        <f>NETWORKDAYS(AJ893,$AJ$1,FERIADO!$A$2:$A$408)</f>
        <v>1410</v>
      </c>
      <c r="AL893">
        <v>8.68</v>
      </c>
      <c r="AM893" s="6">
        <f t="shared" si="121"/>
        <v>62767.410865177982</v>
      </c>
      <c r="AN893" s="2">
        <f t="shared" si="122"/>
        <v>1.9327846351770474E-3</v>
      </c>
      <c r="AP893" s="11">
        <f t="shared" si="123"/>
        <v>1.0319724298395311E-3</v>
      </c>
      <c r="AQ893" s="11">
        <f t="shared" si="124"/>
        <v>5.7983539055311416E-4</v>
      </c>
      <c r="AR893" s="11">
        <f t="shared" si="125"/>
        <v>1.6118078203926451E-3</v>
      </c>
    </row>
    <row r="894" spans="2:44" x14ac:dyDescent="0.35">
      <c r="B894" s="1">
        <v>44341</v>
      </c>
      <c r="C894">
        <v>4570.21</v>
      </c>
      <c r="D894" s="1">
        <v>44344</v>
      </c>
      <c r="E894">
        <v>5.2274000000000003</v>
      </c>
      <c r="F894" s="1">
        <v>44337</v>
      </c>
      <c r="G894">
        <v>132.477</v>
      </c>
      <c r="H894" s="4">
        <f t="shared" si="117"/>
        <v>692510.26980000001</v>
      </c>
      <c r="I894" s="5">
        <v>44341</v>
      </c>
      <c r="J894" s="4">
        <v>6634.11</v>
      </c>
      <c r="K894" s="4">
        <f t="shared" si="118"/>
        <v>66341.099999999991</v>
      </c>
      <c r="L894" s="1">
        <v>44341</v>
      </c>
      <c r="M894">
        <v>3.25</v>
      </c>
      <c r="P894" s="1">
        <v>44341</v>
      </c>
      <c r="Q894">
        <v>3.6</v>
      </c>
      <c r="R894" s="1">
        <v>44340</v>
      </c>
      <c r="S894">
        <v>3.8</v>
      </c>
      <c r="V894" s="1">
        <v>44284</v>
      </c>
      <c r="W894">
        <v>4.18</v>
      </c>
      <c r="X894" s="1">
        <v>44341</v>
      </c>
      <c r="Y894">
        <f>NETWORKDAYS(X894,$Z$1,FERIADO!$A$2:$A$408)</f>
        <v>2424</v>
      </c>
      <c r="Z894">
        <v>9.2899999999999991</v>
      </c>
      <c r="AA894" s="6">
        <f t="shared" si="119"/>
        <v>42549.361314793518</v>
      </c>
      <c r="AB894" s="2">
        <f t="shared" si="120"/>
        <v>3.593258483284025E-3</v>
      </c>
      <c r="AJ894" s="1">
        <v>44341</v>
      </c>
      <c r="AK894">
        <f>NETWORKDAYS(AJ894,$AJ$1,FERIADO!$A$2:$A$408)</f>
        <v>1411</v>
      </c>
      <c r="AL894">
        <v>8.76</v>
      </c>
      <c r="AM894" s="6">
        <f t="shared" si="121"/>
        <v>62488.69137829644</v>
      </c>
      <c r="AN894" s="2">
        <f t="shared" si="122"/>
        <v>2.3811200933811466E-3</v>
      </c>
      <c r="AP894" s="11">
        <f t="shared" si="123"/>
        <v>1.7966292416420125E-3</v>
      </c>
      <c r="AQ894" s="11">
        <f t="shared" si="124"/>
        <v>7.1433602801434398E-4</v>
      </c>
      <c r="AR894" s="11">
        <f t="shared" si="125"/>
        <v>2.5109652696563567E-3</v>
      </c>
    </row>
    <row r="895" spans="2:44" x14ac:dyDescent="0.35">
      <c r="B895" s="1">
        <v>44340</v>
      </c>
      <c r="C895">
        <v>4582.68</v>
      </c>
      <c r="D895" s="1">
        <v>44343</v>
      </c>
      <c r="E895">
        <v>5.2832999999999997</v>
      </c>
      <c r="F895" s="1">
        <v>44336</v>
      </c>
      <c r="G895">
        <v>132.499</v>
      </c>
      <c r="H895" s="4">
        <f t="shared" si="117"/>
        <v>700031.96669999987</v>
      </c>
      <c r="I895" s="5">
        <v>44340</v>
      </c>
      <c r="J895" s="4">
        <v>6617.94</v>
      </c>
      <c r="K895" s="4">
        <f t="shared" si="118"/>
        <v>66179.399999999994</v>
      </c>
      <c r="L895" s="1">
        <v>44340</v>
      </c>
      <c r="M895">
        <v>3.19</v>
      </c>
      <c r="P895" s="1">
        <v>44340</v>
      </c>
      <c r="Q895">
        <v>3.56</v>
      </c>
      <c r="R895" s="1">
        <v>44337</v>
      </c>
      <c r="S895">
        <v>3.72</v>
      </c>
      <c r="V895" s="1">
        <v>44281</v>
      </c>
      <c r="W895">
        <v>3.94</v>
      </c>
      <c r="X895" s="1">
        <v>44340</v>
      </c>
      <c r="Y895">
        <f>NETWORKDAYS(X895,$Z$1,FERIADO!$A$2:$A$408)</f>
        <v>2425</v>
      </c>
      <c r="Z895">
        <v>9.3800000000000008</v>
      </c>
      <c r="AA895" s="6">
        <f t="shared" si="119"/>
        <v>42198.76947513043</v>
      </c>
      <c r="AB895" s="2">
        <f t="shared" si="120"/>
        <v>-1.3747259004661576E-3</v>
      </c>
      <c r="AJ895" s="1">
        <v>44340</v>
      </c>
      <c r="AK895">
        <f>NETWORKDAYS(AJ895,$AJ$1,FERIADO!$A$2:$A$408)</f>
        <v>1412</v>
      </c>
      <c r="AL895">
        <v>8.86</v>
      </c>
      <c r="AM895" s="6">
        <f t="shared" si="121"/>
        <v>62147.020155163547</v>
      </c>
      <c r="AN895" s="2">
        <f t="shared" si="122"/>
        <v>-2.0916820067505711E-3</v>
      </c>
      <c r="AP895" s="11">
        <f t="shared" si="123"/>
        <v>-6.8736295023307881E-4</v>
      </c>
      <c r="AQ895" s="11">
        <f t="shared" si="124"/>
        <v>-6.2750460202517133E-4</v>
      </c>
      <c r="AR895" s="11">
        <f t="shared" si="125"/>
        <v>-1.3148675522582501E-3</v>
      </c>
    </row>
    <row r="896" spans="2:44" x14ac:dyDescent="0.35">
      <c r="B896" s="1">
        <v>44337</v>
      </c>
      <c r="C896">
        <v>4535.25</v>
      </c>
      <c r="D896" s="1">
        <v>44342</v>
      </c>
      <c r="E896">
        <v>5.3158000000000003</v>
      </c>
      <c r="F896" s="1">
        <v>44335</v>
      </c>
      <c r="G896">
        <v>132</v>
      </c>
      <c r="H896" s="4">
        <f t="shared" si="117"/>
        <v>701685.6</v>
      </c>
      <c r="I896" s="5">
        <v>44337</v>
      </c>
      <c r="J896" s="4">
        <v>6676.4</v>
      </c>
      <c r="K896" s="4">
        <f t="shared" si="118"/>
        <v>66764</v>
      </c>
      <c r="L896" s="1">
        <v>44337</v>
      </c>
      <c r="M896">
        <v>3.15</v>
      </c>
      <c r="P896" s="1">
        <v>44337</v>
      </c>
      <c r="Q896">
        <v>3.5</v>
      </c>
      <c r="R896" s="1">
        <v>44336</v>
      </c>
      <c r="S896">
        <v>3.73</v>
      </c>
      <c r="V896" s="1">
        <v>44280</v>
      </c>
      <c r="W896">
        <v>4.24</v>
      </c>
      <c r="X896" s="1">
        <v>44337</v>
      </c>
      <c r="Y896">
        <f>NETWORKDAYS(X896,$Z$1,FERIADO!$A$2:$A$408)</f>
        <v>2426</v>
      </c>
      <c r="Z896">
        <v>9.34</v>
      </c>
      <c r="AA896" s="6">
        <f t="shared" si="119"/>
        <v>42332.558083097138</v>
      </c>
      <c r="AB896" s="2">
        <f t="shared" si="120"/>
        <v>1.3013415088668045E-3</v>
      </c>
      <c r="AJ896" s="1">
        <v>44337</v>
      </c>
      <c r="AK896">
        <f>NETWORKDAYS(AJ896,$AJ$1,FERIADO!$A$2:$A$408)</f>
        <v>1413</v>
      </c>
      <c r="AL896">
        <v>8.76</v>
      </c>
      <c r="AM896" s="6">
        <f t="shared" si="121"/>
        <v>62447.05930052825</v>
      </c>
      <c r="AN896" s="2">
        <f t="shared" si="122"/>
        <v>1.4887072709127169E-3</v>
      </c>
      <c r="AP896" s="11">
        <f t="shared" si="123"/>
        <v>6.5067075443340225E-4</v>
      </c>
      <c r="AQ896" s="11">
        <f t="shared" si="124"/>
        <v>4.4661218127381506E-4</v>
      </c>
      <c r="AR896" s="11">
        <f t="shared" si="125"/>
        <v>1.0972829357072172E-3</v>
      </c>
    </row>
    <row r="897" spans="2:44" x14ac:dyDescent="0.35">
      <c r="B897" s="1">
        <v>44336</v>
      </c>
      <c r="C897">
        <v>4533.0200000000004</v>
      </c>
      <c r="D897" s="1">
        <v>44341</v>
      </c>
      <c r="E897">
        <v>5.3136999999999999</v>
      </c>
      <c r="F897" s="1">
        <v>44334</v>
      </c>
      <c r="G897">
        <v>132.411</v>
      </c>
      <c r="H897" s="4">
        <f t="shared" si="117"/>
        <v>703592.33069999993</v>
      </c>
      <c r="I897" s="5">
        <v>44336</v>
      </c>
      <c r="J897" s="4">
        <v>6579.38</v>
      </c>
      <c r="K897" s="4">
        <f t="shared" si="118"/>
        <v>65793.8</v>
      </c>
      <c r="L897" s="1">
        <v>44336</v>
      </c>
      <c r="M897">
        <v>3.16</v>
      </c>
      <c r="P897" s="1">
        <v>44336</v>
      </c>
      <c r="Q897">
        <v>3.53</v>
      </c>
      <c r="R897" s="1">
        <v>44335</v>
      </c>
      <c r="S897">
        <v>3.78</v>
      </c>
      <c r="V897" s="1">
        <v>44278</v>
      </c>
      <c r="W897">
        <v>3.99</v>
      </c>
      <c r="X897" s="1">
        <v>44336</v>
      </c>
      <c r="Y897">
        <f>NETWORKDAYS(X897,$Z$1,FERIADO!$A$2:$A$408)</f>
        <v>2427</v>
      </c>
      <c r="Z897">
        <v>9.3699999999999992</v>
      </c>
      <c r="AA897" s="6">
        <f t="shared" si="119"/>
        <v>42205.900564290372</v>
      </c>
      <c r="AB897" s="2">
        <f t="shared" si="120"/>
        <v>3.2139635429421958E-3</v>
      </c>
      <c r="AJ897" s="1">
        <v>44336</v>
      </c>
      <c r="AK897">
        <f>NETWORKDAYS(AJ897,$AJ$1,FERIADO!$A$2:$A$408)</f>
        <v>1414</v>
      </c>
      <c r="AL897">
        <v>8.82</v>
      </c>
      <c r="AM897" s="6">
        <f t="shared" si="121"/>
        <v>62233.365044388098</v>
      </c>
      <c r="AN897" s="2">
        <f t="shared" si="122"/>
        <v>2.3855870051512412E-3</v>
      </c>
      <c r="AP897" s="11">
        <f t="shared" si="123"/>
        <v>1.6069817714710979E-3</v>
      </c>
      <c r="AQ897" s="11">
        <f t="shared" si="124"/>
        <v>7.1567610154537231E-4</v>
      </c>
      <c r="AR897" s="11">
        <f t="shared" si="125"/>
        <v>2.3226578730164704E-3</v>
      </c>
    </row>
    <row r="898" spans="2:44" x14ac:dyDescent="0.35">
      <c r="B898" s="1">
        <v>44335</v>
      </c>
      <c r="C898">
        <v>4478.0200000000004</v>
      </c>
      <c r="D898" s="1">
        <v>44340</v>
      </c>
      <c r="E898">
        <v>5.3192000000000004</v>
      </c>
      <c r="F898" s="1">
        <v>44333</v>
      </c>
      <c r="G898">
        <v>132.18700000000001</v>
      </c>
      <c r="H898" s="4">
        <f t="shared" si="117"/>
        <v>703129.0904000001</v>
      </c>
      <c r="I898" s="5">
        <v>44335</v>
      </c>
      <c r="J898" s="4">
        <v>6614.83</v>
      </c>
      <c r="K898" s="4">
        <f t="shared" si="118"/>
        <v>66148.3</v>
      </c>
      <c r="L898" s="1">
        <v>44335</v>
      </c>
      <c r="M898">
        <v>3.22</v>
      </c>
      <c r="P898" s="1">
        <v>44335</v>
      </c>
      <c r="Q898">
        <v>3.56</v>
      </c>
      <c r="R898" s="1">
        <v>44334</v>
      </c>
      <c r="S898">
        <v>3.8</v>
      </c>
      <c r="V898" s="1">
        <v>44277</v>
      </c>
      <c r="W898">
        <v>4.04</v>
      </c>
      <c r="X898" s="1">
        <v>44335</v>
      </c>
      <c r="Y898">
        <f>NETWORKDAYS(X898,$Z$1,FERIADO!$A$2:$A$408)</f>
        <v>2428</v>
      </c>
      <c r="Z898">
        <v>9.4499999999999993</v>
      </c>
      <c r="AA898" s="6">
        <f t="shared" si="119"/>
        <v>41894.711866336278</v>
      </c>
      <c r="AB898" s="2">
        <f t="shared" si="120"/>
        <v>-2.9052475737793046E-3</v>
      </c>
      <c r="AJ898" s="1">
        <v>44335</v>
      </c>
      <c r="AK898">
        <f>NETWORKDAYS(AJ898,$AJ$1,FERIADO!$A$2:$A$408)</f>
        <v>1415</v>
      </c>
      <c r="AL898">
        <v>8.92</v>
      </c>
      <c r="AM898" s="6">
        <f t="shared" si="121"/>
        <v>61892.453281763286</v>
      </c>
      <c r="AN898" s="2">
        <f t="shared" si="122"/>
        <v>-1.1974006823126133E-3</v>
      </c>
      <c r="AP898" s="11">
        <f t="shared" si="123"/>
        <v>-1.4526237868896523E-3</v>
      </c>
      <c r="AQ898" s="11">
        <f t="shared" si="124"/>
        <v>-3.5922020469378394E-4</v>
      </c>
      <c r="AR898" s="11">
        <f t="shared" si="125"/>
        <v>-1.8118439915834363E-3</v>
      </c>
    </row>
    <row r="899" spans="2:44" x14ac:dyDescent="0.35">
      <c r="B899" s="1">
        <v>44334</v>
      </c>
      <c r="C899">
        <v>4490.09</v>
      </c>
      <c r="D899" s="1">
        <v>44337</v>
      </c>
      <c r="E899">
        <v>5.3021000000000003</v>
      </c>
      <c r="F899" s="1">
        <v>44330</v>
      </c>
      <c r="G899">
        <v>132.41</v>
      </c>
      <c r="H899" s="4">
        <f t="shared" si="117"/>
        <v>702051.06099999999</v>
      </c>
      <c r="I899" s="5">
        <v>44334</v>
      </c>
      <c r="J899" s="4">
        <v>6551.4</v>
      </c>
      <c r="K899" s="4">
        <f t="shared" si="118"/>
        <v>65514</v>
      </c>
      <c r="L899" s="1">
        <v>44334</v>
      </c>
      <c r="M899">
        <v>3.2</v>
      </c>
      <c r="P899" s="1">
        <v>44334</v>
      </c>
      <c r="Q899">
        <v>3.57</v>
      </c>
      <c r="R899" s="1">
        <v>44333</v>
      </c>
      <c r="S899">
        <v>3.7</v>
      </c>
      <c r="V899" s="1">
        <v>44239</v>
      </c>
      <c r="W899">
        <v>3.68</v>
      </c>
      <c r="X899" s="1">
        <v>44334</v>
      </c>
      <c r="Y899">
        <f>NETWORKDAYS(X899,$Z$1,FERIADO!$A$2:$A$408)</f>
        <v>2429</v>
      </c>
      <c r="Z899">
        <v>9.3699999999999992</v>
      </c>
      <c r="AA899" s="6">
        <f t="shared" si="119"/>
        <v>42175.909380628793</v>
      </c>
      <c r="AB899" s="2">
        <f t="shared" si="120"/>
        <v>-3.2932120086433922E-3</v>
      </c>
      <c r="AJ899" s="1">
        <v>44334</v>
      </c>
      <c r="AK899">
        <f>NETWORKDAYS(AJ899,$AJ$1,FERIADO!$A$2:$A$408)</f>
        <v>1416</v>
      </c>
      <c r="AL899">
        <v>8.86</v>
      </c>
      <c r="AM899" s="6">
        <f t="shared" si="121"/>
        <v>62063.333474581959</v>
      </c>
      <c r="AN899" s="2">
        <f t="shared" si="122"/>
        <v>-1.873492548791995E-3</v>
      </c>
      <c r="AP899" s="11">
        <f t="shared" si="123"/>
        <v>-1.6466060043216961E-3</v>
      </c>
      <c r="AQ899" s="11">
        <f t="shared" si="124"/>
        <v>-5.6204776463759844E-4</v>
      </c>
      <c r="AR899" s="11">
        <f t="shared" si="125"/>
        <v>-2.2086537689592943E-3</v>
      </c>
    </row>
    <row r="900" spans="2:44" x14ac:dyDescent="0.35">
      <c r="B900" s="1">
        <v>44333</v>
      </c>
      <c r="C900">
        <v>4546.4399999999996</v>
      </c>
      <c r="D900" s="1">
        <v>44336</v>
      </c>
      <c r="E900">
        <v>5.2899000000000003</v>
      </c>
      <c r="F900" s="1">
        <v>44329</v>
      </c>
      <c r="G900">
        <v>132.238</v>
      </c>
      <c r="H900" s="4">
        <f t="shared" ref="H900:H963" si="126">G900*E900*1000</f>
        <v>699525.7962000001</v>
      </c>
      <c r="I900" s="5">
        <v>44333</v>
      </c>
      <c r="J900" s="4">
        <v>6571.92</v>
      </c>
      <c r="K900" s="4">
        <f t="shared" si="118"/>
        <v>65719.199999999997</v>
      </c>
      <c r="L900" s="1">
        <v>44333</v>
      </c>
      <c r="M900">
        <v>3.09</v>
      </c>
      <c r="P900" s="1">
        <v>44333</v>
      </c>
      <c r="Q900">
        <v>3.46</v>
      </c>
      <c r="R900" s="1">
        <v>44330</v>
      </c>
      <c r="S900">
        <v>3.74</v>
      </c>
      <c r="V900" s="1">
        <v>44228</v>
      </c>
      <c r="W900">
        <v>3.69</v>
      </c>
      <c r="X900" s="1">
        <v>44333</v>
      </c>
      <c r="Y900">
        <f>NETWORKDAYS(X900,$Z$1,FERIADO!$A$2:$A$408)</f>
        <v>2430</v>
      </c>
      <c r="Z900">
        <v>9.2799999999999994</v>
      </c>
      <c r="AA900" s="6">
        <f t="shared" si="119"/>
        <v>42496.94075722072</v>
      </c>
      <c r="AB900" s="2">
        <f t="shared" si="120"/>
        <v>2.4525805138585145E-3</v>
      </c>
      <c r="AJ900" s="1">
        <v>44333</v>
      </c>
      <c r="AK900">
        <f>NETWORKDAYS(AJ900,$AJ$1,FERIADO!$A$2:$A$408)</f>
        <v>1417</v>
      </c>
      <c r="AL900">
        <v>8.77</v>
      </c>
      <c r="AM900" s="6">
        <f t="shared" si="121"/>
        <v>62331.645316161979</v>
      </c>
      <c r="AN900" s="2">
        <f t="shared" si="122"/>
        <v>1.9416007851912865E-3</v>
      </c>
      <c r="AP900" s="11">
        <f t="shared" si="123"/>
        <v>1.2262902569292573E-3</v>
      </c>
      <c r="AQ900" s="11">
        <f t="shared" si="124"/>
        <v>5.824802355573859E-4</v>
      </c>
      <c r="AR900" s="11">
        <f t="shared" si="125"/>
        <v>1.8087704924866432E-3</v>
      </c>
    </row>
    <row r="901" spans="2:44" x14ac:dyDescent="0.35">
      <c r="B901" s="1">
        <v>44330</v>
      </c>
      <c r="C901">
        <v>4552.09</v>
      </c>
      <c r="D901" s="1">
        <v>44335</v>
      </c>
      <c r="E901">
        <v>5.2816000000000001</v>
      </c>
      <c r="F901" s="1">
        <v>44328</v>
      </c>
      <c r="G901">
        <v>131.83000000000001</v>
      </c>
      <c r="H901" s="4">
        <f t="shared" si="126"/>
        <v>696273.3280000001</v>
      </c>
      <c r="I901" s="5">
        <v>44330</v>
      </c>
      <c r="J901" s="4">
        <v>6567.57</v>
      </c>
      <c r="K901" s="4">
        <f t="shared" ref="K901:K964" si="127">J901*10</f>
        <v>65675.7</v>
      </c>
      <c r="L901" s="1">
        <v>44330</v>
      </c>
      <c r="M901">
        <v>3.14</v>
      </c>
      <c r="P901" s="1">
        <v>44330</v>
      </c>
      <c r="Q901">
        <v>3.54</v>
      </c>
      <c r="R901" s="1">
        <v>44329</v>
      </c>
      <c r="S901">
        <v>3.75</v>
      </c>
      <c r="V901" s="1">
        <v>44225</v>
      </c>
      <c r="W901">
        <v>3.64</v>
      </c>
      <c r="X901" s="1">
        <v>44330</v>
      </c>
      <c r="Y901">
        <f>NETWORKDAYS(X901,$Z$1,FERIADO!$A$2:$A$408)</f>
        <v>2431</v>
      </c>
      <c r="Z901">
        <v>9.34</v>
      </c>
      <c r="AA901" s="6">
        <f t="shared" ref="AA901:AA964" si="128">$Z$2/(1+Z901/100)^(Y901/252)</f>
        <v>42257.62520846977</v>
      </c>
      <c r="AB901" s="2">
        <f t="shared" ref="AB901:AB964" si="129">LOG(AA901/AA902)</f>
        <v>-2.2945832842968494E-4</v>
      </c>
      <c r="AJ901" s="1">
        <v>44330</v>
      </c>
      <c r="AK901">
        <f>NETWORKDAYS(AJ901,$AJ$1,FERIADO!$A$2:$A$408)</f>
        <v>1418</v>
      </c>
      <c r="AL901">
        <v>8.85</v>
      </c>
      <c r="AM901" s="6">
        <f t="shared" ref="AM901:AM964" si="130">$Z$2/(1+AL901/100)^(AK901/252)</f>
        <v>62053.601154854427</v>
      </c>
      <c r="AN901" s="2">
        <f t="shared" ref="AN901:AN964" si="131">LOG(AM901/AM902)</f>
        <v>-3.0322910075987453E-4</v>
      </c>
      <c r="AP901" s="11">
        <f t="shared" ref="AP901:AP964" si="132">AB901*$AF$4</f>
        <v>-1.1472916421484247E-4</v>
      </c>
      <c r="AQ901" s="11">
        <f t="shared" ref="AQ901:AQ964" si="133">AN901*$AF$7</f>
        <v>-9.0968730227962354E-5</v>
      </c>
      <c r="AR901" s="11">
        <f t="shared" ref="AR901:AR964" si="134">AQ901+AP901</f>
        <v>-2.0569789444280483E-4</v>
      </c>
    </row>
    <row r="902" spans="2:44" x14ac:dyDescent="0.35">
      <c r="B902" s="1">
        <v>44329</v>
      </c>
      <c r="C902">
        <v>4482.4799999999996</v>
      </c>
      <c r="D902" s="1">
        <v>44334</v>
      </c>
      <c r="E902">
        <v>5.2582000000000004</v>
      </c>
      <c r="F902" s="1">
        <v>44327</v>
      </c>
      <c r="G902">
        <v>132.364</v>
      </c>
      <c r="H902" s="4">
        <f t="shared" si="126"/>
        <v>695996.38480000012</v>
      </c>
      <c r="I902" s="5">
        <v>44329</v>
      </c>
      <c r="J902" s="4">
        <v>6610.48</v>
      </c>
      <c r="K902" s="4">
        <f t="shared" si="127"/>
        <v>66104.799999999988</v>
      </c>
      <c r="L902" s="1">
        <v>44329</v>
      </c>
      <c r="M902">
        <v>3.17</v>
      </c>
      <c r="P902" s="1">
        <v>44329</v>
      </c>
      <c r="Q902">
        <v>3.57</v>
      </c>
      <c r="R902" s="1">
        <v>44328</v>
      </c>
      <c r="S902">
        <v>3.77</v>
      </c>
      <c r="V902" s="1">
        <v>44216</v>
      </c>
      <c r="W902">
        <v>3.59</v>
      </c>
      <c r="X902" s="1">
        <v>44329</v>
      </c>
      <c r="Y902">
        <f>NETWORKDAYS(X902,$Z$1,FERIADO!$A$2:$A$408)</f>
        <v>2432</v>
      </c>
      <c r="Z902">
        <v>9.33</v>
      </c>
      <c r="AA902" s="6">
        <f t="shared" si="128"/>
        <v>42279.957810939028</v>
      </c>
      <c r="AB902" s="2">
        <f t="shared" si="129"/>
        <v>9.206947990288547E-4</v>
      </c>
      <c r="AJ902" s="1">
        <v>44329</v>
      </c>
      <c r="AK902">
        <f>NETWORKDAYS(AJ902,$AJ$1,FERIADO!$A$2:$A$408)</f>
        <v>1419</v>
      </c>
      <c r="AL902">
        <v>8.83</v>
      </c>
      <c r="AM902" s="6">
        <f t="shared" si="130"/>
        <v>62096.942778839053</v>
      </c>
      <c r="AN902" s="2">
        <f t="shared" si="131"/>
        <v>8.2033245136154916E-4</v>
      </c>
      <c r="AP902" s="11">
        <f t="shared" si="132"/>
        <v>4.6034739951442735E-4</v>
      </c>
      <c r="AQ902" s="11">
        <f t="shared" si="133"/>
        <v>2.4609973540846476E-4</v>
      </c>
      <c r="AR902" s="11">
        <f t="shared" si="134"/>
        <v>7.0644713492289211E-4</v>
      </c>
    </row>
    <row r="903" spans="2:44" x14ac:dyDescent="0.35">
      <c r="B903" s="1">
        <v>44328</v>
      </c>
      <c r="C903">
        <v>4420.9799999999996</v>
      </c>
      <c r="D903" s="1">
        <v>44333</v>
      </c>
      <c r="E903">
        <v>5.2748999999999997</v>
      </c>
      <c r="F903" s="1">
        <v>44326</v>
      </c>
      <c r="G903">
        <v>132.54400000000001</v>
      </c>
      <c r="H903" s="4">
        <f t="shared" si="126"/>
        <v>699156.3456</v>
      </c>
      <c r="I903" s="5">
        <v>44328</v>
      </c>
      <c r="J903" s="4">
        <v>6612.34</v>
      </c>
      <c r="K903" s="4">
        <f t="shared" si="127"/>
        <v>66123.399999999994</v>
      </c>
      <c r="L903" s="1">
        <v>44328</v>
      </c>
      <c r="M903">
        <v>3.19</v>
      </c>
      <c r="P903" s="1">
        <v>44328</v>
      </c>
      <c r="Q903">
        <v>3.57</v>
      </c>
      <c r="R903" s="1">
        <v>44327</v>
      </c>
      <c r="S903">
        <v>3.66</v>
      </c>
      <c r="V903" s="1">
        <v>44201</v>
      </c>
      <c r="W903">
        <v>3.49</v>
      </c>
      <c r="X903" s="1">
        <v>44328</v>
      </c>
      <c r="Y903">
        <f>NETWORKDAYS(X903,$Z$1,FERIADO!$A$2:$A$408)</f>
        <v>2433</v>
      </c>
      <c r="Z903">
        <v>9.35</v>
      </c>
      <c r="AA903" s="6">
        <f t="shared" si="128"/>
        <v>42190.420167945093</v>
      </c>
      <c r="AB903" s="2">
        <f t="shared" si="129"/>
        <v>-7.1408133623657001E-3</v>
      </c>
      <c r="AJ903" s="1">
        <v>44328</v>
      </c>
      <c r="AK903">
        <f>NETWORKDAYS(AJ903,$AJ$1,FERIADO!$A$2:$A$408)</f>
        <v>1420</v>
      </c>
      <c r="AL903">
        <v>8.86</v>
      </c>
      <c r="AM903" s="6">
        <f t="shared" si="130"/>
        <v>61979.759485815499</v>
      </c>
      <c r="AN903" s="2">
        <f t="shared" si="131"/>
        <v>-4.357078895489897E-3</v>
      </c>
      <c r="AP903" s="11">
        <f t="shared" si="132"/>
        <v>-3.5704066811828501E-3</v>
      </c>
      <c r="AQ903" s="11">
        <f t="shared" si="133"/>
        <v>-1.3071236686469691E-3</v>
      </c>
      <c r="AR903" s="11">
        <f t="shared" si="134"/>
        <v>-4.8775303498298193E-3</v>
      </c>
    </row>
    <row r="904" spans="2:44" x14ac:dyDescent="0.35">
      <c r="B904" s="1">
        <v>44327</v>
      </c>
      <c r="C904">
        <v>4521.1499999999996</v>
      </c>
      <c r="D904" s="1">
        <v>44330</v>
      </c>
      <c r="E904">
        <v>5.2694999999999999</v>
      </c>
      <c r="F904" s="1">
        <v>44323</v>
      </c>
      <c r="G904">
        <v>132.697</v>
      </c>
      <c r="H904" s="4">
        <f t="shared" si="126"/>
        <v>699246.84149999998</v>
      </c>
      <c r="I904" s="5">
        <v>44327</v>
      </c>
      <c r="J904" s="4">
        <v>6507.24</v>
      </c>
      <c r="K904" s="4">
        <f t="shared" si="127"/>
        <v>65072.399999999994</v>
      </c>
      <c r="L904" s="1">
        <v>44327</v>
      </c>
      <c r="M904">
        <v>3.06</v>
      </c>
      <c r="P904" s="1">
        <v>44327</v>
      </c>
      <c r="Q904">
        <v>3.46</v>
      </c>
      <c r="R904" s="1">
        <v>44326</v>
      </c>
      <c r="S904">
        <v>3.74</v>
      </c>
      <c r="V904" s="1">
        <v>44174</v>
      </c>
      <c r="W904">
        <v>3.88</v>
      </c>
      <c r="X904" s="1">
        <v>44327</v>
      </c>
      <c r="Y904">
        <f>NETWORKDAYS(X904,$Z$1,FERIADO!$A$2:$A$408)</f>
        <v>2434</v>
      </c>
      <c r="Z904">
        <v>9.16</v>
      </c>
      <c r="AA904" s="6">
        <f t="shared" si="128"/>
        <v>42889.863477239305</v>
      </c>
      <c r="AB904" s="2">
        <f t="shared" si="129"/>
        <v>9.1983874611684027E-4</v>
      </c>
      <c r="AJ904" s="1">
        <v>44327</v>
      </c>
      <c r="AK904">
        <f>NETWORKDAYS(AJ904,$AJ$1,FERIADO!$A$2:$A$408)</f>
        <v>1421</v>
      </c>
      <c r="AL904">
        <v>8.66</v>
      </c>
      <c r="AM904" s="6">
        <f t="shared" si="130"/>
        <v>62604.703856017884</v>
      </c>
      <c r="AN904" s="2">
        <f t="shared" si="131"/>
        <v>1.2705486303523513E-3</v>
      </c>
      <c r="AP904" s="11">
        <f t="shared" si="132"/>
        <v>4.5991937305842013E-4</v>
      </c>
      <c r="AQ904" s="11">
        <f t="shared" si="133"/>
        <v>3.8116458910570538E-4</v>
      </c>
      <c r="AR904" s="11">
        <f t="shared" si="134"/>
        <v>8.4108396216412556E-4</v>
      </c>
    </row>
    <row r="905" spans="2:44" x14ac:dyDescent="0.35">
      <c r="B905" s="1">
        <v>44326</v>
      </c>
      <c r="C905">
        <v>4560.13</v>
      </c>
      <c r="D905" s="1">
        <v>44329</v>
      </c>
      <c r="E905">
        <v>5.2808999999999999</v>
      </c>
      <c r="F905" s="1">
        <v>44322</v>
      </c>
      <c r="G905">
        <v>132.535</v>
      </c>
      <c r="H905" s="4">
        <f t="shared" si="126"/>
        <v>699904.08149999997</v>
      </c>
      <c r="I905" s="5">
        <v>44326</v>
      </c>
      <c r="J905" s="4">
        <v>6510.35</v>
      </c>
      <c r="K905" s="4">
        <f t="shared" si="127"/>
        <v>65103.5</v>
      </c>
      <c r="L905" s="1">
        <v>44326</v>
      </c>
      <c r="M905">
        <v>3.14</v>
      </c>
      <c r="P905" s="1">
        <v>44326</v>
      </c>
      <c r="Q905">
        <v>3.56</v>
      </c>
      <c r="R905" s="1">
        <v>44323</v>
      </c>
      <c r="S905">
        <v>3.73</v>
      </c>
      <c r="V905" s="1">
        <v>44168</v>
      </c>
      <c r="W905">
        <v>3.9</v>
      </c>
      <c r="X905" s="1">
        <v>44326</v>
      </c>
      <c r="Y905">
        <f>NETWORKDAYS(X905,$Z$1,FERIADO!$A$2:$A$408)</f>
        <v>2435</v>
      </c>
      <c r="Z905">
        <v>9.18</v>
      </c>
      <c r="AA905" s="6">
        <f t="shared" si="128"/>
        <v>42799.118579905116</v>
      </c>
      <c r="AB905" s="2">
        <f t="shared" si="129"/>
        <v>-2.5411357556907634E-3</v>
      </c>
      <c r="AJ905" s="1">
        <v>44326</v>
      </c>
      <c r="AK905">
        <f>NETWORKDAYS(AJ905,$AJ$1,FERIADO!$A$2:$A$408)</f>
        <v>1422</v>
      </c>
      <c r="AL905">
        <v>8.7100000000000009</v>
      </c>
      <c r="AM905" s="6">
        <f t="shared" si="130"/>
        <v>62421.818544191883</v>
      </c>
      <c r="AN905" s="2">
        <f t="shared" si="131"/>
        <v>-1.4357096259861968E-3</v>
      </c>
      <c r="AP905" s="11">
        <f t="shared" si="132"/>
        <v>-1.2705678778453817E-3</v>
      </c>
      <c r="AQ905" s="11">
        <f t="shared" si="133"/>
        <v>-4.30712887795859E-4</v>
      </c>
      <c r="AR905" s="11">
        <f t="shared" si="134"/>
        <v>-1.7012807656412406E-3</v>
      </c>
    </row>
    <row r="906" spans="2:44" x14ac:dyDescent="0.35">
      <c r="B906" s="1">
        <v>44323</v>
      </c>
      <c r="C906">
        <v>4613.74</v>
      </c>
      <c r="D906" s="1">
        <v>44328</v>
      </c>
      <c r="E906">
        <v>5.2347000000000001</v>
      </c>
      <c r="F906" s="1">
        <v>44321</v>
      </c>
      <c r="G906">
        <v>132.63999999999999</v>
      </c>
      <c r="H906" s="4">
        <f t="shared" si="126"/>
        <v>694330.60800000001</v>
      </c>
      <c r="I906" s="5">
        <v>44323</v>
      </c>
      <c r="J906" s="4">
        <v>6529.63</v>
      </c>
      <c r="K906" s="4">
        <f t="shared" si="127"/>
        <v>65296.3</v>
      </c>
      <c r="L906" s="1">
        <v>44323</v>
      </c>
      <c r="M906">
        <v>3.14</v>
      </c>
      <c r="P906" s="1">
        <v>44323</v>
      </c>
      <c r="Q906">
        <v>3.49</v>
      </c>
      <c r="R906" s="1">
        <v>44322</v>
      </c>
      <c r="S906">
        <v>3.77</v>
      </c>
      <c r="V906" s="1">
        <v>44146</v>
      </c>
      <c r="W906">
        <v>4.09</v>
      </c>
      <c r="X906" s="1">
        <v>44323</v>
      </c>
      <c r="Y906">
        <f>NETWORKDAYS(X906,$Z$1,FERIADO!$A$2:$A$408)</f>
        <v>2436</v>
      </c>
      <c r="Z906">
        <v>9.11</v>
      </c>
      <c r="AA906" s="6">
        <f t="shared" si="128"/>
        <v>43050.278055889925</v>
      </c>
      <c r="AB906" s="2">
        <f t="shared" si="129"/>
        <v>2.8438586919601761E-3</v>
      </c>
      <c r="AJ906" s="1">
        <v>44323</v>
      </c>
      <c r="AK906">
        <f>NETWORKDAYS(AJ906,$AJ$1,FERIADO!$A$2:$A$408)</f>
        <v>1423</v>
      </c>
      <c r="AL906">
        <v>8.64</v>
      </c>
      <c r="AM906" s="6">
        <f t="shared" si="130"/>
        <v>62628.516780219441</v>
      </c>
      <c r="AN906" s="2">
        <f t="shared" si="131"/>
        <v>3.6869973961443952E-4</v>
      </c>
      <c r="AP906" s="11">
        <f t="shared" si="132"/>
        <v>1.4219293459800881E-3</v>
      </c>
      <c r="AQ906" s="11">
        <f t="shared" si="133"/>
        <v>1.1060992188433185E-4</v>
      </c>
      <c r="AR906" s="11">
        <f t="shared" si="134"/>
        <v>1.53253926786442E-3</v>
      </c>
    </row>
    <row r="907" spans="2:44" x14ac:dyDescent="0.35">
      <c r="B907" s="1">
        <v>44322</v>
      </c>
      <c r="C907">
        <v>4581.79</v>
      </c>
      <c r="D907" s="1">
        <v>44327</v>
      </c>
      <c r="E907">
        <v>5.2397</v>
      </c>
      <c r="F907" s="1">
        <v>44320</v>
      </c>
      <c r="G907">
        <v>132.44999999999999</v>
      </c>
      <c r="H907" s="4">
        <f t="shared" si="126"/>
        <v>693998.2649999999</v>
      </c>
      <c r="I907" s="5">
        <v>44322</v>
      </c>
      <c r="J907" s="4">
        <v>6580.63</v>
      </c>
      <c r="K907" s="4">
        <f t="shared" si="127"/>
        <v>65806.3</v>
      </c>
      <c r="L907" s="1">
        <v>44322</v>
      </c>
      <c r="M907">
        <v>3.18</v>
      </c>
      <c r="P907" s="1">
        <v>44322</v>
      </c>
      <c r="Q907">
        <v>3.59</v>
      </c>
      <c r="R907" s="1">
        <v>44321</v>
      </c>
      <c r="S907">
        <v>3.8</v>
      </c>
      <c r="V907" s="1">
        <v>44125</v>
      </c>
      <c r="W907">
        <v>4.05</v>
      </c>
      <c r="X907" s="1">
        <v>44322</v>
      </c>
      <c r="Y907">
        <f>NETWORKDAYS(X907,$Z$1,FERIADO!$A$2:$A$408)</f>
        <v>2437</v>
      </c>
      <c r="Z907">
        <v>9.18</v>
      </c>
      <c r="AA907" s="6">
        <f t="shared" si="128"/>
        <v>42769.29604961849</v>
      </c>
      <c r="AB907" s="2">
        <f t="shared" si="129"/>
        <v>-2.9284457236999424E-3</v>
      </c>
      <c r="AJ907" s="1">
        <v>44322</v>
      </c>
      <c r="AK907">
        <f>NETWORKDAYS(AJ907,$AJ$1,FERIADO!$A$2:$A$408)</f>
        <v>1424</v>
      </c>
      <c r="AL907">
        <v>8.65</v>
      </c>
      <c r="AM907" s="6">
        <f t="shared" si="130"/>
        <v>62575.370079495777</v>
      </c>
      <c r="AN907" s="2">
        <f t="shared" si="131"/>
        <v>-1.8921510963208247E-3</v>
      </c>
      <c r="AP907" s="11">
        <f t="shared" si="132"/>
        <v>-1.4642228618499712E-3</v>
      </c>
      <c r="AQ907" s="11">
        <f t="shared" si="133"/>
        <v>-5.6764532889624734E-4</v>
      </c>
      <c r="AR907" s="11">
        <f t="shared" si="134"/>
        <v>-2.0318681907462183E-3</v>
      </c>
    </row>
    <row r="908" spans="2:44" x14ac:dyDescent="0.35">
      <c r="B908" s="1">
        <v>44321</v>
      </c>
      <c r="C908">
        <v>4542.2700000000004</v>
      </c>
      <c r="D908" s="1">
        <v>44326</v>
      </c>
      <c r="E908">
        <v>5.2221000000000002</v>
      </c>
      <c r="F908" s="1">
        <v>44319</v>
      </c>
      <c r="G908">
        <v>132.30000000000001</v>
      </c>
      <c r="H908" s="4">
        <f t="shared" si="126"/>
        <v>690883.83000000007</v>
      </c>
      <c r="I908" s="5">
        <v>44321</v>
      </c>
      <c r="J908" s="4">
        <v>6673.92</v>
      </c>
      <c r="K908" s="4">
        <f t="shared" si="127"/>
        <v>66739.199999999997</v>
      </c>
      <c r="L908" s="1">
        <v>44321</v>
      </c>
      <c r="M908">
        <v>3.2</v>
      </c>
      <c r="P908" s="1">
        <v>44321</v>
      </c>
      <c r="Q908">
        <v>3.58</v>
      </c>
      <c r="R908" s="1">
        <v>44320</v>
      </c>
      <c r="S908">
        <v>3.81</v>
      </c>
      <c r="V908" s="1">
        <v>44098</v>
      </c>
      <c r="W908">
        <v>4.01</v>
      </c>
      <c r="X908" s="1">
        <v>44321</v>
      </c>
      <c r="Y908">
        <f>NETWORKDAYS(X908,$Z$1,FERIADO!$A$2:$A$408)</f>
        <v>2438</v>
      </c>
      <c r="Z908">
        <v>9.1</v>
      </c>
      <c r="AA908" s="6">
        <f t="shared" si="128"/>
        <v>43058.663725144303</v>
      </c>
      <c r="AB908" s="2">
        <f t="shared" si="129"/>
        <v>3.6161437176304963E-3</v>
      </c>
      <c r="AJ908" s="1">
        <v>44321</v>
      </c>
      <c r="AK908">
        <f>NETWORKDAYS(AJ908,$AJ$1,FERIADO!$A$2:$A$408)</f>
        <v>1425</v>
      </c>
      <c r="AL908">
        <v>8.56</v>
      </c>
      <c r="AM908" s="6">
        <f t="shared" si="130"/>
        <v>62848.595654254852</v>
      </c>
      <c r="AN908" s="2">
        <f t="shared" si="131"/>
        <v>2.4042810169771171E-3</v>
      </c>
      <c r="AP908" s="11">
        <f t="shared" si="132"/>
        <v>1.8080718588152482E-3</v>
      </c>
      <c r="AQ908" s="11">
        <f t="shared" si="133"/>
        <v>7.212843050931351E-4</v>
      </c>
      <c r="AR908" s="11">
        <f t="shared" si="134"/>
        <v>2.5293561639083834E-3</v>
      </c>
    </row>
    <row r="909" spans="2:44" x14ac:dyDescent="0.35">
      <c r="B909" s="1">
        <v>44320</v>
      </c>
      <c r="C909">
        <v>4542.46</v>
      </c>
      <c r="D909" s="1">
        <v>44323</v>
      </c>
      <c r="E909">
        <v>5.2210999999999999</v>
      </c>
      <c r="F909" s="1">
        <v>44316</v>
      </c>
      <c r="G909">
        <v>132.126</v>
      </c>
      <c r="H909" s="4">
        <f t="shared" si="126"/>
        <v>689843.05859999999</v>
      </c>
      <c r="I909" s="5">
        <v>44320</v>
      </c>
      <c r="J909" s="4">
        <v>6790.84</v>
      </c>
      <c r="K909" s="4">
        <f t="shared" si="127"/>
        <v>67908.399999999994</v>
      </c>
      <c r="L909" s="1">
        <v>44320</v>
      </c>
      <c r="M909">
        <v>3.2</v>
      </c>
      <c r="P909" s="1">
        <v>44320</v>
      </c>
      <c r="Q909">
        <v>3.59</v>
      </c>
      <c r="R909" s="1">
        <v>44319</v>
      </c>
      <c r="S909">
        <v>3.73</v>
      </c>
      <c r="V909" s="1">
        <v>44076</v>
      </c>
      <c r="W909">
        <v>3.77</v>
      </c>
      <c r="X909" s="1">
        <v>44320</v>
      </c>
      <c r="Y909">
        <f>NETWORKDAYS(X909,$Z$1,FERIADO!$A$2:$A$408)</f>
        <v>2439</v>
      </c>
      <c r="Z909">
        <v>9.19</v>
      </c>
      <c r="AA909" s="6">
        <f t="shared" si="128"/>
        <v>42701.625181995449</v>
      </c>
      <c r="AB909" s="2">
        <f t="shared" si="129"/>
        <v>-4.8579618065962829E-3</v>
      </c>
      <c r="AJ909" s="1">
        <v>44320</v>
      </c>
      <c r="AK909">
        <f>NETWORKDAYS(AJ909,$AJ$1,FERIADO!$A$2:$A$408)</f>
        <v>1426</v>
      </c>
      <c r="AL909">
        <v>8.66</v>
      </c>
      <c r="AM909" s="6">
        <f t="shared" si="130"/>
        <v>62501.62327182576</v>
      </c>
      <c r="AN909" s="2">
        <f t="shared" si="131"/>
        <v>-3.4807809744948222E-3</v>
      </c>
      <c r="AP909" s="11">
        <f t="shared" si="132"/>
        <v>-2.4289809032981414E-3</v>
      </c>
      <c r="AQ909" s="11">
        <f t="shared" si="133"/>
        <v>-1.0442342923484467E-3</v>
      </c>
      <c r="AR909" s="11">
        <f t="shared" si="134"/>
        <v>-3.4732151956465883E-3</v>
      </c>
    </row>
    <row r="910" spans="2:44" x14ac:dyDescent="0.35">
      <c r="B910" s="1">
        <v>44319</v>
      </c>
      <c r="C910">
        <v>4564.2</v>
      </c>
      <c r="D910" s="1">
        <v>44322</v>
      </c>
      <c r="E910">
        <v>5.2891000000000004</v>
      </c>
      <c r="F910" s="1">
        <v>44315</v>
      </c>
      <c r="G910">
        <v>131.98400000000001</v>
      </c>
      <c r="H910" s="4">
        <f t="shared" si="126"/>
        <v>698076.57440000016</v>
      </c>
      <c r="I910" s="5">
        <v>44319</v>
      </c>
      <c r="J910" s="4">
        <v>6783.38</v>
      </c>
      <c r="K910" s="4">
        <f t="shared" si="127"/>
        <v>67833.8</v>
      </c>
      <c r="L910" s="1">
        <v>44319</v>
      </c>
      <c r="M910">
        <v>3.13</v>
      </c>
      <c r="P910" s="1">
        <v>44319</v>
      </c>
      <c r="Q910">
        <v>3.51</v>
      </c>
      <c r="R910" s="1">
        <v>44316</v>
      </c>
      <c r="S910">
        <v>3.69</v>
      </c>
      <c r="V910" s="1">
        <v>44070</v>
      </c>
      <c r="W910">
        <v>3.76</v>
      </c>
      <c r="X910" s="1">
        <v>44319</v>
      </c>
      <c r="Y910">
        <f>NETWORKDAYS(X910,$Z$1,FERIADO!$A$2:$A$408)</f>
        <v>2440</v>
      </c>
      <c r="Z910">
        <v>9.06</v>
      </c>
      <c r="AA910" s="6">
        <f t="shared" si="128"/>
        <v>43181.961510305235</v>
      </c>
      <c r="AB910" s="2">
        <f t="shared" si="129"/>
        <v>-3.3235580799920198E-3</v>
      </c>
      <c r="AJ910" s="1">
        <v>44319</v>
      </c>
      <c r="AK910">
        <f>NETWORKDAYS(AJ910,$AJ$1,FERIADO!$A$2:$A$408)</f>
        <v>1427</v>
      </c>
      <c r="AL910">
        <v>8.5</v>
      </c>
      <c r="AM910" s="6">
        <f t="shared" si="130"/>
        <v>63004.573761054424</v>
      </c>
      <c r="AN910" s="2">
        <f t="shared" si="131"/>
        <v>-1.9016371270366476E-3</v>
      </c>
      <c r="AP910" s="11">
        <f t="shared" si="132"/>
        <v>-1.6617790399960099E-3</v>
      </c>
      <c r="AQ910" s="11">
        <f t="shared" si="133"/>
        <v>-5.7049113811099422E-4</v>
      </c>
      <c r="AR910" s="11">
        <f t="shared" si="134"/>
        <v>-2.2322701781070041E-3</v>
      </c>
    </row>
    <row r="911" spans="2:44" x14ac:dyDescent="0.35">
      <c r="B911" s="1">
        <v>44316</v>
      </c>
      <c r="C911">
        <v>4564.8599999999997</v>
      </c>
      <c r="D911" s="1">
        <v>44321</v>
      </c>
      <c r="E911">
        <v>5.3865999999999996</v>
      </c>
      <c r="F911" s="1">
        <v>44314</v>
      </c>
      <c r="G911">
        <v>132.13999999999999</v>
      </c>
      <c r="H911" s="4">
        <f t="shared" si="126"/>
        <v>711785.32399999979</v>
      </c>
      <c r="I911" s="5">
        <v>44316</v>
      </c>
      <c r="J911" s="4">
        <v>6782.13</v>
      </c>
      <c r="K911" s="4">
        <f t="shared" si="127"/>
        <v>67821.3</v>
      </c>
      <c r="L911" s="1">
        <v>44316</v>
      </c>
      <c r="M911">
        <v>3.15</v>
      </c>
      <c r="P911" s="1">
        <v>44316</v>
      </c>
      <c r="Q911">
        <v>3.5</v>
      </c>
      <c r="R911" s="1">
        <v>44315</v>
      </c>
      <c r="S911">
        <v>3.58</v>
      </c>
      <c r="V911" s="1">
        <v>44056</v>
      </c>
      <c r="W911">
        <v>3.79</v>
      </c>
      <c r="X911" s="1">
        <v>44316</v>
      </c>
      <c r="Y911">
        <f>NETWORKDAYS(X911,$Z$1,FERIADO!$A$2:$A$408)</f>
        <v>2441</v>
      </c>
      <c r="Z911">
        <v>8.9700000000000006</v>
      </c>
      <c r="AA911" s="6">
        <f t="shared" si="128"/>
        <v>43513.691065249412</v>
      </c>
      <c r="AB911" s="2">
        <f t="shared" si="129"/>
        <v>-2.9427638703794501E-3</v>
      </c>
      <c r="AJ911" s="1">
        <v>44316</v>
      </c>
      <c r="AK911">
        <f>NETWORKDAYS(AJ911,$AJ$1,FERIADO!$A$2:$A$408)</f>
        <v>1428</v>
      </c>
      <c r="AL911">
        <v>8.41</v>
      </c>
      <c r="AM911" s="6">
        <f t="shared" si="130"/>
        <v>63281.055581202083</v>
      </c>
      <c r="AN911" s="2">
        <f t="shared" si="131"/>
        <v>-1.451523711886706E-3</v>
      </c>
      <c r="AP911" s="11">
        <f t="shared" si="132"/>
        <v>-1.471381935189725E-3</v>
      </c>
      <c r="AQ911" s="11">
        <f t="shared" si="133"/>
        <v>-4.3545711356601178E-4</v>
      </c>
      <c r="AR911" s="11">
        <f t="shared" si="134"/>
        <v>-1.9068390487557369E-3</v>
      </c>
    </row>
    <row r="912" spans="2:44" x14ac:dyDescent="0.35">
      <c r="B912" s="1">
        <v>44315</v>
      </c>
      <c r="C912">
        <v>4590.58</v>
      </c>
      <c r="D912" s="1">
        <v>44320</v>
      </c>
      <c r="E912">
        <v>5.4499000000000004</v>
      </c>
      <c r="F912" s="1">
        <v>44313</v>
      </c>
      <c r="G912">
        <v>132</v>
      </c>
      <c r="H912" s="4">
        <f t="shared" si="126"/>
        <v>719386.80000000016</v>
      </c>
      <c r="I912" s="5">
        <v>44315</v>
      </c>
      <c r="J912" s="4">
        <v>6651.53</v>
      </c>
      <c r="K912" s="4">
        <f t="shared" si="127"/>
        <v>66515.3</v>
      </c>
      <c r="L912" s="1">
        <v>44315</v>
      </c>
      <c r="M912">
        <v>3.03</v>
      </c>
      <c r="P912" s="1">
        <v>44315</v>
      </c>
      <c r="Q912">
        <v>3.38</v>
      </c>
      <c r="R912" s="1">
        <v>44314</v>
      </c>
      <c r="S912">
        <v>3.54</v>
      </c>
      <c r="V912" s="1">
        <v>44054</v>
      </c>
      <c r="W912">
        <v>3.69</v>
      </c>
      <c r="X912" s="1">
        <v>44315</v>
      </c>
      <c r="Y912">
        <f>NETWORKDAYS(X912,$Z$1,FERIADO!$A$2:$A$408)</f>
        <v>2442</v>
      </c>
      <c r="Z912">
        <v>8.89</v>
      </c>
      <c r="AA912" s="6">
        <f t="shared" si="128"/>
        <v>43809.539476160258</v>
      </c>
      <c r="AB912" s="2">
        <f t="shared" si="129"/>
        <v>9.2000894247692478E-4</v>
      </c>
      <c r="AJ912" s="1">
        <v>44315</v>
      </c>
      <c r="AK912">
        <f>NETWORKDAYS(AJ912,$AJ$1,FERIADO!$A$2:$A$408)</f>
        <v>1429</v>
      </c>
      <c r="AL912">
        <v>8.34</v>
      </c>
      <c r="AM912" s="6">
        <f t="shared" si="130"/>
        <v>63492.910963736009</v>
      </c>
      <c r="AN912" s="2">
        <f t="shared" si="131"/>
        <v>8.2037721404015947E-4</v>
      </c>
      <c r="AP912" s="11">
        <f t="shared" si="132"/>
        <v>4.6000447123846239E-4</v>
      </c>
      <c r="AQ912" s="11">
        <f t="shared" si="133"/>
        <v>2.4611316421204783E-4</v>
      </c>
      <c r="AR912" s="11">
        <f t="shared" si="134"/>
        <v>7.0611763545051017E-4</v>
      </c>
    </row>
    <row r="913" spans="2:44" x14ac:dyDescent="0.35">
      <c r="B913" s="1">
        <v>44314</v>
      </c>
      <c r="C913">
        <v>4573.91</v>
      </c>
      <c r="D913" s="1">
        <v>44319</v>
      </c>
      <c r="E913">
        <v>5.4081000000000001</v>
      </c>
      <c r="F913" s="1">
        <v>44312</v>
      </c>
      <c r="G913">
        <v>132.40299999999999</v>
      </c>
      <c r="H913" s="4">
        <f t="shared" si="126"/>
        <v>716048.66429999995</v>
      </c>
      <c r="I913" s="5">
        <v>44314</v>
      </c>
      <c r="J913" s="4">
        <v>6659.62</v>
      </c>
      <c r="K913" s="4">
        <f t="shared" si="127"/>
        <v>66596.2</v>
      </c>
      <c r="L913" s="1">
        <v>44314</v>
      </c>
      <c r="M913">
        <v>3.02</v>
      </c>
      <c r="P913" s="1">
        <v>44314</v>
      </c>
      <c r="Q913">
        <v>3.36</v>
      </c>
      <c r="R913" s="1">
        <v>44313</v>
      </c>
      <c r="S913">
        <v>3.59</v>
      </c>
      <c r="V913" s="1">
        <v>44035</v>
      </c>
      <c r="W913">
        <v>3.72</v>
      </c>
      <c r="X913" s="1">
        <v>44314</v>
      </c>
      <c r="Y913">
        <f>NETWORKDAYS(X913,$Z$1,FERIADO!$A$2:$A$408)</f>
        <v>2443</v>
      </c>
      <c r="Z913">
        <v>8.91</v>
      </c>
      <c r="AA913" s="6">
        <f t="shared" si="128"/>
        <v>43716.831627730455</v>
      </c>
      <c r="AB913" s="2">
        <f t="shared" si="129"/>
        <v>1.3071494933973432E-3</v>
      </c>
      <c r="AJ913" s="1">
        <v>44314</v>
      </c>
      <c r="AK913">
        <f>NETWORKDAYS(AJ913,$AJ$1,FERIADO!$A$2:$A$408)</f>
        <v>1430</v>
      </c>
      <c r="AL913">
        <v>8.3699999999999992</v>
      </c>
      <c r="AM913" s="6">
        <f t="shared" si="130"/>
        <v>63373.086803870261</v>
      </c>
      <c r="AN913" s="2">
        <f t="shared" si="131"/>
        <v>5.9362536427359899E-4</v>
      </c>
      <c r="AP913" s="11">
        <f t="shared" si="132"/>
        <v>6.5357474669867162E-4</v>
      </c>
      <c r="AQ913" s="11">
        <f t="shared" si="133"/>
        <v>1.7808760928207968E-4</v>
      </c>
      <c r="AR913" s="11">
        <f t="shared" si="134"/>
        <v>8.3166235598075133E-4</v>
      </c>
    </row>
    <row r="914" spans="2:44" x14ac:dyDescent="0.35">
      <c r="B914" s="1">
        <v>44313</v>
      </c>
      <c r="C914">
        <v>4562.67</v>
      </c>
      <c r="D914" s="1">
        <v>44316</v>
      </c>
      <c r="E914">
        <v>5.4029999999999996</v>
      </c>
      <c r="F914" s="1">
        <v>44309</v>
      </c>
      <c r="G914">
        <v>132.44999999999999</v>
      </c>
      <c r="H914" s="4">
        <f t="shared" si="126"/>
        <v>715627.34999999986</v>
      </c>
      <c r="I914" s="5">
        <v>44313</v>
      </c>
      <c r="J914" s="4">
        <v>6792.92</v>
      </c>
      <c r="K914" s="4">
        <f t="shared" si="127"/>
        <v>67929.2</v>
      </c>
      <c r="L914" s="1">
        <v>44313</v>
      </c>
      <c r="M914">
        <v>3.05</v>
      </c>
      <c r="P914" s="1">
        <v>44313</v>
      </c>
      <c r="Q914">
        <v>3.36</v>
      </c>
      <c r="R914" s="1">
        <v>44312</v>
      </c>
      <c r="S914">
        <v>3.61</v>
      </c>
      <c r="V914" s="1">
        <v>44029</v>
      </c>
      <c r="W914">
        <v>3.76</v>
      </c>
      <c r="X914" s="1">
        <v>44313</v>
      </c>
      <c r="Y914">
        <f>NETWORKDAYS(X914,$Z$1,FERIADO!$A$2:$A$408)</f>
        <v>2444</v>
      </c>
      <c r="Z914">
        <v>8.94</v>
      </c>
      <c r="AA914" s="6">
        <f t="shared" si="128"/>
        <v>43585.449522748371</v>
      </c>
      <c r="AB914" s="2">
        <f t="shared" si="129"/>
        <v>-2.1738105271799949E-3</v>
      </c>
      <c r="AJ914" s="1">
        <v>44313</v>
      </c>
      <c r="AK914">
        <f>NETWORKDAYS(AJ914,$AJ$1,FERIADO!$A$2:$A$408)</f>
        <v>1431</v>
      </c>
      <c r="AL914">
        <v>8.39</v>
      </c>
      <c r="AM914" s="6">
        <f t="shared" si="130"/>
        <v>63286.523022325237</v>
      </c>
      <c r="AN914" s="2">
        <f t="shared" si="131"/>
        <v>-1.455475346293273E-3</v>
      </c>
      <c r="AP914" s="11">
        <f t="shared" si="132"/>
        <v>-1.0869052635899975E-3</v>
      </c>
      <c r="AQ914" s="11">
        <f t="shared" si="133"/>
        <v>-4.3664260388798188E-4</v>
      </c>
      <c r="AR914" s="11">
        <f t="shared" si="134"/>
        <v>-1.5235478674779793E-3</v>
      </c>
    </row>
    <row r="915" spans="2:44" x14ac:dyDescent="0.35">
      <c r="B915" s="1">
        <v>44312</v>
      </c>
      <c r="C915">
        <v>4563.57</v>
      </c>
      <c r="D915" s="1">
        <v>44315</v>
      </c>
      <c r="E915">
        <v>5.3655999999999997</v>
      </c>
      <c r="F915" s="1">
        <v>44308</v>
      </c>
      <c r="G915">
        <v>132.63499999999999</v>
      </c>
      <c r="H915" s="4">
        <f t="shared" si="126"/>
        <v>711666.35599999991</v>
      </c>
      <c r="I915" s="5">
        <v>44312</v>
      </c>
      <c r="J915" s="4">
        <v>6776.72</v>
      </c>
      <c r="K915" s="4">
        <f t="shared" si="127"/>
        <v>67767.199999999997</v>
      </c>
      <c r="L915" s="1">
        <v>44312</v>
      </c>
      <c r="M915">
        <v>3.09</v>
      </c>
      <c r="P915" s="1">
        <v>44312</v>
      </c>
      <c r="Q915">
        <v>3.45</v>
      </c>
      <c r="R915" s="1">
        <v>44309</v>
      </c>
      <c r="S915">
        <v>3.67</v>
      </c>
      <c r="V915" s="1">
        <v>44014</v>
      </c>
      <c r="W915">
        <v>4.1500000000000004</v>
      </c>
      <c r="X915" s="1">
        <v>44312</v>
      </c>
      <c r="Y915">
        <f>NETWORKDAYS(X915,$Z$1,FERIADO!$A$2:$A$408)</f>
        <v>2445</v>
      </c>
      <c r="Z915">
        <v>8.8800000000000008</v>
      </c>
      <c r="AA915" s="6">
        <f t="shared" si="128"/>
        <v>43804.15832611161</v>
      </c>
      <c r="AB915" s="2">
        <f t="shared" si="129"/>
        <v>1.307943867622584E-3</v>
      </c>
      <c r="AJ915" s="1">
        <v>44312</v>
      </c>
      <c r="AK915">
        <f>NETWORKDAYS(AJ915,$AJ$1,FERIADO!$A$2:$A$408)</f>
        <v>1432</v>
      </c>
      <c r="AL915">
        <v>8.32</v>
      </c>
      <c r="AM915" s="6">
        <f t="shared" si="130"/>
        <v>63498.974481942925</v>
      </c>
      <c r="AN915" s="2">
        <f t="shared" si="131"/>
        <v>5.9367643863322871E-4</v>
      </c>
      <c r="AP915" s="11">
        <f t="shared" si="132"/>
        <v>6.5397193381129201E-4</v>
      </c>
      <c r="AQ915" s="11">
        <f t="shared" si="133"/>
        <v>1.781029315899686E-4</v>
      </c>
      <c r="AR915" s="11">
        <f t="shared" si="134"/>
        <v>8.3207486540126056E-4</v>
      </c>
    </row>
    <row r="916" spans="2:44" x14ac:dyDescent="0.35">
      <c r="B916" s="1">
        <v>44309</v>
      </c>
      <c r="C916">
        <v>4552.3599999999997</v>
      </c>
      <c r="D916" s="1">
        <v>44314</v>
      </c>
      <c r="E916">
        <v>5.3998999999999997</v>
      </c>
      <c r="F916" s="1">
        <v>44306</v>
      </c>
      <c r="G916">
        <v>132.56</v>
      </c>
      <c r="H916" s="4">
        <f t="shared" si="126"/>
        <v>715810.74399999995</v>
      </c>
      <c r="I916" s="5">
        <v>44309</v>
      </c>
      <c r="J916" s="4">
        <v>6823.44</v>
      </c>
      <c r="K916" s="4">
        <f t="shared" si="127"/>
        <v>68234.399999999994</v>
      </c>
      <c r="L916" s="1">
        <v>44309</v>
      </c>
      <c r="M916">
        <v>3.2</v>
      </c>
      <c r="P916" s="1">
        <v>44309</v>
      </c>
      <c r="Q916">
        <v>3.55</v>
      </c>
      <c r="R916" s="1">
        <v>44308</v>
      </c>
      <c r="S916">
        <v>3.73</v>
      </c>
      <c r="V916" s="1">
        <v>43990</v>
      </c>
      <c r="W916">
        <v>4.22</v>
      </c>
      <c r="X916" s="1">
        <v>44309</v>
      </c>
      <c r="Y916">
        <f>NETWORKDAYS(X916,$Z$1,FERIADO!$A$2:$A$408)</f>
        <v>2446</v>
      </c>
      <c r="Z916">
        <v>8.91</v>
      </c>
      <c r="AA916" s="6">
        <f t="shared" si="128"/>
        <v>43672.433896436676</v>
      </c>
      <c r="AB916" s="2">
        <f t="shared" si="129"/>
        <v>3.2436614959548875E-3</v>
      </c>
      <c r="AJ916" s="1">
        <v>44309</v>
      </c>
      <c r="AK916">
        <f>NETWORKDAYS(AJ916,$AJ$1,FERIADO!$A$2:$A$408)</f>
        <v>1433</v>
      </c>
      <c r="AL916">
        <v>8.34</v>
      </c>
      <c r="AM916" s="6">
        <f t="shared" si="130"/>
        <v>63412.231288014664</v>
      </c>
      <c r="AN916" s="2">
        <f t="shared" si="131"/>
        <v>1.9622565062491627E-3</v>
      </c>
      <c r="AP916" s="11">
        <f t="shared" si="132"/>
        <v>1.6218307479774438E-3</v>
      </c>
      <c r="AQ916" s="11">
        <f t="shared" si="133"/>
        <v>5.8867695187474884E-4</v>
      </c>
      <c r="AR916" s="11">
        <f t="shared" si="134"/>
        <v>2.2105076998521927E-3</v>
      </c>
    </row>
    <row r="917" spans="2:44" x14ac:dyDescent="0.35">
      <c r="B917" s="1">
        <v>44308</v>
      </c>
      <c r="C917">
        <v>4508.8500000000004</v>
      </c>
      <c r="D917" s="1">
        <v>44313</v>
      </c>
      <c r="E917">
        <v>5.4417999999999997</v>
      </c>
      <c r="F917" s="1">
        <v>44305</v>
      </c>
      <c r="G917">
        <v>132.22300000000001</v>
      </c>
      <c r="H917" s="4">
        <f t="shared" si="126"/>
        <v>719531.12140000006</v>
      </c>
      <c r="I917" s="5">
        <v>44308</v>
      </c>
      <c r="J917" s="4">
        <v>6786.69</v>
      </c>
      <c r="K917" s="4">
        <f t="shared" si="127"/>
        <v>67866.899999999994</v>
      </c>
      <c r="L917" s="1">
        <v>44308</v>
      </c>
      <c r="M917">
        <v>3.28</v>
      </c>
      <c r="P917" s="1">
        <v>44308</v>
      </c>
      <c r="Q917">
        <v>3.61</v>
      </c>
      <c r="R917" s="1">
        <v>44306</v>
      </c>
      <c r="S917">
        <v>3.83</v>
      </c>
      <c r="V917" s="1">
        <v>43971</v>
      </c>
      <c r="W917">
        <v>4.57</v>
      </c>
      <c r="X917" s="1">
        <v>44308</v>
      </c>
      <c r="Y917">
        <f>NETWORKDAYS(X917,$Z$1,FERIADO!$A$2:$A$408)</f>
        <v>2447</v>
      </c>
      <c r="Z917">
        <v>8.99</v>
      </c>
      <c r="AA917" s="6">
        <f t="shared" si="128"/>
        <v>43347.467997950393</v>
      </c>
      <c r="AB917" s="2">
        <f t="shared" si="129"/>
        <v>7.4966086402470404E-3</v>
      </c>
      <c r="AJ917" s="1">
        <v>44308</v>
      </c>
      <c r="AK917">
        <f>NETWORKDAYS(AJ917,$AJ$1,FERIADO!$A$2:$A$408)</f>
        <v>1434</v>
      </c>
      <c r="AL917">
        <v>8.42</v>
      </c>
      <c r="AM917" s="6">
        <f t="shared" si="130"/>
        <v>63126.364473266287</v>
      </c>
      <c r="AN917" s="2">
        <f t="shared" si="131"/>
        <v>4.9248008436748522E-3</v>
      </c>
      <c r="AP917" s="11">
        <f t="shared" si="132"/>
        <v>3.7483043201235202E-3</v>
      </c>
      <c r="AQ917" s="11">
        <f t="shared" si="133"/>
        <v>1.4774402531024557E-3</v>
      </c>
      <c r="AR917" s="11">
        <f t="shared" si="134"/>
        <v>5.2257445732259763E-3</v>
      </c>
    </row>
    <row r="918" spans="2:44" x14ac:dyDescent="0.35">
      <c r="B918" s="1">
        <v>44306</v>
      </c>
      <c r="C918">
        <v>4500.45</v>
      </c>
      <c r="D918" s="1">
        <v>44312</v>
      </c>
      <c r="E918">
        <v>5.4560000000000004</v>
      </c>
      <c r="F918" s="1">
        <v>44302</v>
      </c>
      <c r="G918">
        <v>132.191</v>
      </c>
      <c r="H918" s="4">
        <f t="shared" si="126"/>
        <v>721234.09600000002</v>
      </c>
      <c r="I918" s="5">
        <v>44306</v>
      </c>
      <c r="J918" s="4">
        <v>6941.78</v>
      </c>
      <c r="K918" s="4">
        <f t="shared" si="127"/>
        <v>69417.8</v>
      </c>
      <c r="L918" s="1">
        <v>44306</v>
      </c>
      <c r="M918">
        <v>3.44</v>
      </c>
      <c r="P918" s="1">
        <v>44306</v>
      </c>
      <c r="Q918">
        <v>3.74</v>
      </c>
      <c r="R918" s="1">
        <v>44305</v>
      </c>
      <c r="S918">
        <v>3.79</v>
      </c>
      <c r="V918" s="1">
        <v>43965</v>
      </c>
      <c r="W918">
        <v>4.76</v>
      </c>
      <c r="X918" s="1">
        <v>44306</v>
      </c>
      <c r="Y918">
        <f>NETWORKDAYS(X918,$Z$1,FERIADO!$A$2:$A$408)</f>
        <v>2448</v>
      </c>
      <c r="Z918">
        <v>9.18</v>
      </c>
      <c r="AA918" s="6">
        <f t="shared" si="128"/>
        <v>42605.643194900491</v>
      </c>
      <c r="AB918" s="2">
        <f t="shared" si="129"/>
        <v>-6.0383138075391727E-3</v>
      </c>
      <c r="AJ918" s="1">
        <v>44306</v>
      </c>
      <c r="AK918">
        <f>NETWORKDAYS(AJ918,$AJ$1,FERIADO!$A$2:$A$408)</f>
        <v>1435</v>
      </c>
      <c r="AL918">
        <v>8.6300000000000008</v>
      </c>
      <c r="AM918" s="6">
        <f t="shared" si="130"/>
        <v>62414.569254872629</v>
      </c>
      <c r="AN918" s="2">
        <f t="shared" si="131"/>
        <v>-3.0488540707427417E-3</v>
      </c>
      <c r="AP918" s="11">
        <f t="shared" si="132"/>
        <v>-3.0191569037695863E-3</v>
      </c>
      <c r="AQ918" s="11">
        <f t="shared" si="133"/>
        <v>-9.1465622122282242E-4</v>
      </c>
      <c r="AR918" s="11">
        <f t="shared" si="134"/>
        <v>-3.9338131249924083E-3</v>
      </c>
    </row>
    <row r="919" spans="2:44" x14ac:dyDescent="0.35">
      <c r="B919" s="1">
        <v>44305</v>
      </c>
      <c r="C919">
        <v>4538.8</v>
      </c>
      <c r="D919" s="1">
        <v>44309</v>
      </c>
      <c r="E919">
        <v>5.4781000000000004</v>
      </c>
      <c r="F919" s="1">
        <v>44301</v>
      </c>
      <c r="G919">
        <v>132.42400000000001</v>
      </c>
      <c r="H919" s="4">
        <f t="shared" si="126"/>
        <v>725431.91440000013</v>
      </c>
      <c r="I919" s="5">
        <v>44305</v>
      </c>
      <c r="J919" s="4">
        <v>6912.5</v>
      </c>
      <c r="K919" s="4">
        <f t="shared" si="127"/>
        <v>69125</v>
      </c>
      <c r="L919" s="1">
        <v>44305</v>
      </c>
      <c r="M919">
        <v>3.37</v>
      </c>
      <c r="P919" s="1">
        <v>44305</v>
      </c>
      <c r="Q919">
        <v>3.68</v>
      </c>
      <c r="R919" s="1">
        <v>44302</v>
      </c>
      <c r="S919">
        <v>3.81</v>
      </c>
      <c r="V919" s="1">
        <v>43963</v>
      </c>
      <c r="W919">
        <v>4.63</v>
      </c>
      <c r="X919" s="1">
        <v>44305</v>
      </c>
      <c r="Y919">
        <f>NETWORKDAYS(X919,$Z$1,FERIADO!$A$2:$A$408)</f>
        <v>2449</v>
      </c>
      <c r="Z919">
        <v>9.02</v>
      </c>
      <c r="AA919" s="6">
        <f t="shared" si="128"/>
        <v>43202.157892851341</v>
      </c>
      <c r="AB919" s="2">
        <f t="shared" si="129"/>
        <v>5.567507848551383E-3</v>
      </c>
      <c r="AJ919" s="1">
        <v>44305</v>
      </c>
      <c r="AK919">
        <f>NETWORKDAYS(AJ919,$AJ$1,FERIADO!$A$2:$A$408)</f>
        <v>1436</v>
      </c>
      <c r="AL919">
        <v>8.49</v>
      </c>
      <c r="AM919" s="6">
        <f t="shared" si="130"/>
        <v>62854.276501541412</v>
      </c>
      <c r="AN919" s="2">
        <f t="shared" si="131"/>
        <v>2.6501447579917428E-3</v>
      </c>
      <c r="AP919" s="11">
        <f t="shared" si="132"/>
        <v>2.7837539242756915E-3</v>
      </c>
      <c r="AQ919" s="11">
        <f t="shared" si="133"/>
        <v>7.9504342739752281E-4</v>
      </c>
      <c r="AR919" s="11">
        <f t="shared" si="134"/>
        <v>3.5787973516732143E-3</v>
      </c>
    </row>
    <row r="920" spans="2:44" x14ac:dyDescent="0.35">
      <c r="B920" s="1">
        <v>44302</v>
      </c>
      <c r="C920">
        <v>4557.53</v>
      </c>
      <c r="D920" s="1">
        <v>44308</v>
      </c>
      <c r="E920">
        <v>5.4964000000000004</v>
      </c>
      <c r="F920" s="1">
        <v>44300</v>
      </c>
      <c r="G920">
        <v>131.917</v>
      </c>
      <c r="H920" s="4">
        <f t="shared" si="126"/>
        <v>725068.59880000004</v>
      </c>
      <c r="I920" s="5">
        <v>44302</v>
      </c>
      <c r="J920" s="4">
        <v>6965.45</v>
      </c>
      <c r="K920" s="4">
        <f t="shared" si="127"/>
        <v>69654.5</v>
      </c>
      <c r="L920" s="1">
        <v>44302</v>
      </c>
      <c r="M920">
        <v>3.38</v>
      </c>
      <c r="P920" s="1">
        <v>44302</v>
      </c>
      <c r="Q920">
        <v>3.65</v>
      </c>
      <c r="R920" s="1">
        <v>44301</v>
      </c>
      <c r="S920">
        <v>3.81</v>
      </c>
      <c r="V920" s="1">
        <v>43958</v>
      </c>
      <c r="W920">
        <v>4.6399999999999997</v>
      </c>
      <c r="X920" s="1">
        <v>44302</v>
      </c>
      <c r="Y920">
        <f>NETWORKDAYS(X920,$Z$1,FERIADO!$A$2:$A$408)</f>
        <v>2450</v>
      </c>
      <c r="Z920">
        <v>9.16</v>
      </c>
      <c r="AA920" s="6">
        <f t="shared" si="128"/>
        <v>42651.855772199597</v>
      </c>
      <c r="AB920" s="2">
        <f t="shared" si="129"/>
        <v>9.4278375829466715E-3</v>
      </c>
      <c r="AJ920" s="1">
        <v>44302</v>
      </c>
      <c r="AK920">
        <f>NETWORKDAYS(AJ920,$AJ$1,FERIADO!$A$2:$A$408)</f>
        <v>1437</v>
      </c>
      <c r="AL920">
        <v>8.6</v>
      </c>
      <c r="AM920" s="6">
        <f t="shared" si="130"/>
        <v>62471.896017378422</v>
      </c>
      <c r="AN920" s="2">
        <f t="shared" si="131"/>
        <v>5.612903653124667E-3</v>
      </c>
      <c r="AP920" s="11">
        <f t="shared" si="132"/>
        <v>4.7139187914733358E-3</v>
      </c>
      <c r="AQ920" s="11">
        <f t="shared" si="133"/>
        <v>1.6838710959374001E-3</v>
      </c>
      <c r="AR920" s="11">
        <f t="shared" si="134"/>
        <v>6.3977898874107361E-3</v>
      </c>
    </row>
    <row r="921" spans="2:44" x14ac:dyDescent="0.35">
      <c r="B921" s="1">
        <v>44301</v>
      </c>
      <c r="C921">
        <v>4543.67</v>
      </c>
      <c r="D921" s="1">
        <v>44306</v>
      </c>
      <c r="E921">
        <v>5.5259999999999998</v>
      </c>
      <c r="F921" s="1">
        <v>44299</v>
      </c>
      <c r="G921">
        <v>132.07400000000001</v>
      </c>
      <c r="H921" s="4">
        <f t="shared" si="126"/>
        <v>729840.92400000012</v>
      </c>
      <c r="I921" s="5">
        <v>44301</v>
      </c>
      <c r="J921" s="4">
        <v>7003.44</v>
      </c>
      <c r="K921" s="4">
        <f t="shared" si="127"/>
        <v>70034.399999999994</v>
      </c>
      <c r="L921" s="1">
        <v>44301</v>
      </c>
      <c r="M921">
        <v>3.47</v>
      </c>
      <c r="P921" s="1">
        <v>44301</v>
      </c>
      <c r="Q921">
        <v>3.67</v>
      </c>
      <c r="R921" s="1">
        <v>44300</v>
      </c>
      <c r="S921">
        <v>3.75</v>
      </c>
      <c r="V921" s="1">
        <v>43955</v>
      </c>
      <c r="W921">
        <v>4.4800000000000004</v>
      </c>
      <c r="X921" s="1">
        <v>44301</v>
      </c>
      <c r="Y921">
        <f>NETWORKDAYS(X921,$Z$1,FERIADO!$A$2:$A$408)</f>
        <v>2451</v>
      </c>
      <c r="Z921">
        <v>9.4</v>
      </c>
      <c r="AA921" s="6">
        <f t="shared" si="128"/>
        <v>41735.92991074895</v>
      </c>
      <c r="AB921" s="2">
        <f t="shared" si="129"/>
        <v>2.4717936422520444E-3</v>
      </c>
      <c r="AJ921" s="1">
        <v>44301</v>
      </c>
      <c r="AK921">
        <f>NETWORKDAYS(AJ921,$AJ$1,FERIADO!$A$2:$A$408)</f>
        <v>1438</v>
      </c>
      <c r="AL921">
        <v>8.84</v>
      </c>
      <c r="AM921" s="6">
        <f t="shared" si="130"/>
        <v>61669.692551633343</v>
      </c>
      <c r="AN921" s="2">
        <f t="shared" si="131"/>
        <v>2.6511109325053181E-3</v>
      </c>
      <c r="AP921" s="11">
        <f t="shared" si="132"/>
        <v>1.2358968211260222E-3</v>
      </c>
      <c r="AQ921" s="11">
        <f t="shared" si="133"/>
        <v>7.9533327975159543E-4</v>
      </c>
      <c r="AR921" s="11">
        <f t="shared" si="134"/>
        <v>2.0312301008776176E-3</v>
      </c>
    </row>
    <row r="922" spans="2:44" x14ac:dyDescent="0.35">
      <c r="B922" s="1">
        <v>44300</v>
      </c>
      <c r="C922">
        <v>4500.67</v>
      </c>
      <c r="D922" s="1">
        <v>44305</v>
      </c>
      <c r="E922">
        <v>5.5743999999999998</v>
      </c>
      <c r="F922" s="1">
        <v>44298</v>
      </c>
      <c r="G922">
        <v>131.595</v>
      </c>
      <c r="H922" s="4">
        <f t="shared" si="126"/>
        <v>733563.16800000006</v>
      </c>
      <c r="I922" s="5">
        <v>44300</v>
      </c>
      <c r="J922" s="4">
        <v>7053.27</v>
      </c>
      <c r="K922" s="4">
        <f t="shared" si="127"/>
        <v>70532.700000000012</v>
      </c>
      <c r="L922" s="1">
        <v>44300</v>
      </c>
      <c r="M922">
        <v>3.42</v>
      </c>
      <c r="P922" s="1">
        <v>44300</v>
      </c>
      <c r="Q922">
        <v>3.68</v>
      </c>
      <c r="R922" s="1">
        <v>44299</v>
      </c>
      <c r="S922">
        <v>3.76</v>
      </c>
      <c r="V922" s="1">
        <v>43949</v>
      </c>
      <c r="W922">
        <v>4.3</v>
      </c>
      <c r="X922" s="1">
        <v>44300</v>
      </c>
      <c r="Y922">
        <f>NETWORKDAYS(X922,$Z$1,FERIADO!$A$2:$A$408)</f>
        <v>2452</v>
      </c>
      <c r="Z922">
        <v>9.4600000000000009</v>
      </c>
      <c r="AA922" s="6">
        <f t="shared" si="128"/>
        <v>41499.063934101505</v>
      </c>
      <c r="AB922" s="2">
        <f t="shared" si="129"/>
        <v>2.4724132952804526E-3</v>
      </c>
      <c r="AJ922" s="1">
        <v>44300</v>
      </c>
      <c r="AK922">
        <f>NETWORKDAYS(AJ922,$AJ$1,FERIADO!$A$2:$A$408)</f>
        <v>1439</v>
      </c>
      <c r="AL922">
        <v>8.9499999999999993</v>
      </c>
      <c r="AM922" s="6">
        <f t="shared" si="130"/>
        <v>61294.382244596723</v>
      </c>
      <c r="AN922" s="2">
        <f t="shared" si="131"/>
        <v>1.7416877465214501E-3</v>
      </c>
      <c r="AP922" s="11">
        <f t="shared" si="132"/>
        <v>1.2362066476402263E-3</v>
      </c>
      <c r="AQ922" s="11">
        <f t="shared" si="133"/>
        <v>5.2250632395643498E-4</v>
      </c>
      <c r="AR922" s="11">
        <f t="shared" si="134"/>
        <v>1.7587129715966611E-3</v>
      </c>
    </row>
    <row r="923" spans="2:44" x14ac:dyDescent="0.35">
      <c r="B923" s="1">
        <v>44299</v>
      </c>
      <c r="C923">
        <v>4511.24</v>
      </c>
      <c r="D923" s="1">
        <v>44302</v>
      </c>
      <c r="E923">
        <v>5.6322000000000001</v>
      </c>
      <c r="F923" s="1">
        <v>44295</v>
      </c>
      <c r="G923">
        <v>131.78</v>
      </c>
      <c r="H923" s="4">
        <f t="shared" si="126"/>
        <v>742211.31599999999</v>
      </c>
      <c r="I923" s="5">
        <v>44299</v>
      </c>
      <c r="J923" s="4">
        <v>7129.26</v>
      </c>
      <c r="K923" s="4">
        <f t="shared" si="127"/>
        <v>71292.600000000006</v>
      </c>
      <c r="L923" s="1">
        <v>44299</v>
      </c>
      <c r="M923">
        <v>3.43</v>
      </c>
      <c r="P923" s="1">
        <v>44299</v>
      </c>
      <c r="Q923">
        <v>3.67</v>
      </c>
      <c r="R923" s="1">
        <v>44298</v>
      </c>
      <c r="S923">
        <v>3.63</v>
      </c>
      <c r="V923" s="1">
        <v>43928</v>
      </c>
      <c r="W923">
        <v>4.79</v>
      </c>
      <c r="X923" s="1">
        <v>44299</v>
      </c>
      <c r="Y923">
        <f>NETWORKDAYS(X923,$Z$1,FERIADO!$A$2:$A$408)</f>
        <v>2453</v>
      </c>
      <c r="Z923">
        <v>9.52</v>
      </c>
      <c r="AA923" s="6">
        <f t="shared" si="128"/>
        <v>41263.483379648402</v>
      </c>
      <c r="AB923" s="2">
        <f t="shared" si="129"/>
        <v>-4.4797150089920133E-3</v>
      </c>
      <c r="AJ923" s="1">
        <v>44299</v>
      </c>
      <c r="AK923">
        <f>NETWORKDAYS(AJ923,$AJ$1,FERIADO!$A$2:$A$408)</f>
        <v>1440</v>
      </c>
      <c r="AL923">
        <v>9.02</v>
      </c>
      <c r="AM923" s="6">
        <f t="shared" si="130"/>
        <v>61049.060466026312</v>
      </c>
      <c r="AN923" s="2">
        <f t="shared" si="131"/>
        <v>-2.5861950315260837E-3</v>
      </c>
      <c r="AP923" s="11">
        <f t="shared" si="132"/>
        <v>-2.2398575044960066E-3</v>
      </c>
      <c r="AQ923" s="11">
        <f t="shared" si="133"/>
        <v>-7.7585850945782514E-4</v>
      </c>
      <c r="AR923" s="11">
        <f t="shared" si="134"/>
        <v>-3.0157160139538319E-3</v>
      </c>
    </row>
    <row r="924" spans="2:44" x14ac:dyDescent="0.35">
      <c r="B924" s="1">
        <v>44298</v>
      </c>
      <c r="C924">
        <v>4499.88</v>
      </c>
      <c r="D924" s="1">
        <v>44301</v>
      </c>
      <c r="E924">
        <v>5.6227999999999998</v>
      </c>
      <c r="F924" s="1">
        <v>44294</v>
      </c>
      <c r="G924">
        <v>132.02799999999999</v>
      </c>
      <c r="H924" s="4">
        <f t="shared" si="126"/>
        <v>742367.03839999996</v>
      </c>
      <c r="I924" s="5">
        <v>44298</v>
      </c>
      <c r="J924" s="4">
        <v>7154.17</v>
      </c>
      <c r="K924" s="4">
        <f t="shared" si="127"/>
        <v>71541.7</v>
      </c>
      <c r="L924" s="1">
        <v>44298</v>
      </c>
      <c r="M924">
        <v>3.33</v>
      </c>
      <c r="P924" s="1">
        <v>44298</v>
      </c>
      <c r="Q924">
        <v>3.58</v>
      </c>
      <c r="R924" s="1">
        <v>44295</v>
      </c>
      <c r="S924">
        <v>3.58</v>
      </c>
      <c r="V924" s="1">
        <v>43922</v>
      </c>
      <c r="W924">
        <v>4.62</v>
      </c>
      <c r="X924" s="1">
        <v>44298</v>
      </c>
      <c r="Y924">
        <f>NETWORKDAYS(X924,$Z$1,FERIADO!$A$2:$A$408)</f>
        <v>2454</v>
      </c>
      <c r="Z924">
        <v>9.4</v>
      </c>
      <c r="AA924" s="6">
        <f t="shared" si="128"/>
        <v>41691.315852548585</v>
      </c>
      <c r="AB924" s="2">
        <f t="shared" si="129"/>
        <v>1.7015038156018407E-3</v>
      </c>
      <c r="AJ924" s="1">
        <v>44298</v>
      </c>
      <c r="AK924">
        <f>NETWORKDAYS(AJ924,$AJ$1,FERIADO!$A$2:$A$408)</f>
        <v>1441</v>
      </c>
      <c r="AL924">
        <v>8.9</v>
      </c>
      <c r="AM924" s="6">
        <f t="shared" si="130"/>
        <v>61413.688189151042</v>
      </c>
      <c r="AN924" s="2">
        <f t="shared" si="131"/>
        <v>8.3145043679453952E-4</v>
      </c>
      <c r="AP924" s="11">
        <f t="shared" si="132"/>
        <v>8.5075190780092033E-4</v>
      </c>
      <c r="AQ924" s="11">
        <f t="shared" si="133"/>
        <v>2.4943513103836186E-4</v>
      </c>
      <c r="AR924" s="11">
        <f t="shared" si="134"/>
        <v>1.1001870388392821E-3</v>
      </c>
    </row>
    <row r="925" spans="2:44" x14ac:dyDescent="0.35">
      <c r="B925" s="1">
        <v>44295</v>
      </c>
      <c r="C925">
        <v>4491.1400000000003</v>
      </c>
      <c r="D925" s="1">
        <v>44300</v>
      </c>
      <c r="E925">
        <v>5.6929999999999996</v>
      </c>
      <c r="F925" s="1">
        <v>44293</v>
      </c>
      <c r="G925">
        <v>131.65199999999999</v>
      </c>
      <c r="H925" s="4">
        <f t="shared" si="126"/>
        <v>749494.83599999989</v>
      </c>
      <c r="I925" s="5">
        <v>44295</v>
      </c>
      <c r="J925" s="4">
        <v>7096.87</v>
      </c>
      <c r="K925" s="4">
        <f t="shared" si="127"/>
        <v>70968.7</v>
      </c>
      <c r="L925" s="1">
        <v>44295</v>
      </c>
      <c r="M925">
        <v>3.27</v>
      </c>
      <c r="P925" s="1">
        <v>44295</v>
      </c>
      <c r="Q925">
        <v>3.49</v>
      </c>
      <c r="R925" s="1">
        <v>44294</v>
      </c>
      <c r="S925">
        <v>3.6</v>
      </c>
      <c r="V925" s="1">
        <v>43921</v>
      </c>
      <c r="W925">
        <v>4.68</v>
      </c>
      <c r="X925" s="1">
        <v>44295</v>
      </c>
      <c r="Y925">
        <f>NETWORKDAYS(X925,$Z$1,FERIADO!$A$2:$A$408)</f>
        <v>2455</v>
      </c>
      <c r="Z925">
        <v>9.44</v>
      </c>
      <c r="AA925" s="6">
        <f t="shared" si="128"/>
        <v>41528.294780669377</v>
      </c>
      <c r="AB925" s="2">
        <f t="shared" si="129"/>
        <v>-5.262576963137631E-3</v>
      </c>
      <c r="AJ925" s="1">
        <v>44295</v>
      </c>
      <c r="AK925">
        <f>NETWORKDAYS(AJ925,$AJ$1,FERIADO!$A$2:$A$408)</f>
        <v>1442</v>
      </c>
      <c r="AL925">
        <v>8.93</v>
      </c>
      <c r="AM925" s="6">
        <f t="shared" si="130"/>
        <v>61296.225057501448</v>
      </c>
      <c r="AN925" s="2">
        <f t="shared" si="131"/>
        <v>-3.9653569002064777E-3</v>
      </c>
      <c r="AP925" s="11">
        <f t="shared" si="132"/>
        <v>-2.6312884815688155E-3</v>
      </c>
      <c r="AQ925" s="11">
        <f t="shared" si="133"/>
        <v>-1.1896070700619433E-3</v>
      </c>
      <c r="AR925" s="11">
        <f t="shared" si="134"/>
        <v>-3.8208955516307588E-3</v>
      </c>
    </row>
    <row r="926" spans="2:44" x14ac:dyDescent="0.35">
      <c r="B926" s="1">
        <v>44294</v>
      </c>
      <c r="C926">
        <v>4473.01</v>
      </c>
      <c r="D926" s="1">
        <v>44299</v>
      </c>
      <c r="E926">
        <v>5.7058</v>
      </c>
      <c r="F926" s="1">
        <v>44292</v>
      </c>
      <c r="G926">
        <v>131.65100000000001</v>
      </c>
      <c r="H926" s="4">
        <f t="shared" si="126"/>
        <v>751174.27580000006</v>
      </c>
      <c r="I926" s="5">
        <v>44294</v>
      </c>
      <c r="J926" s="4">
        <v>6949.25</v>
      </c>
      <c r="K926" s="4">
        <f t="shared" si="127"/>
        <v>69492.5</v>
      </c>
      <c r="L926" s="1">
        <v>44294</v>
      </c>
      <c r="M926">
        <v>3.23</v>
      </c>
      <c r="P926" s="1">
        <v>44294</v>
      </c>
      <c r="Q926">
        <v>3.5</v>
      </c>
      <c r="R926" s="1">
        <v>44293</v>
      </c>
      <c r="S926">
        <v>3.79</v>
      </c>
      <c r="V926" s="1">
        <v>43908</v>
      </c>
      <c r="W926">
        <v>4.76</v>
      </c>
      <c r="X926" s="1">
        <v>44294</v>
      </c>
      <c r="Y926">
        <f>NETWORKDAYS(X926,$Z$1,FERIADO!$A$2:$A$408)</f>
        <v>2456</v>
      </c>
      <c r="Z926">
        <v>9.3000000000000007</v>
      </c>
      <c r="AA926" s="6">
        <f t="shared" si="128"/>
        <v>42034.576438051074</v>
      </c>
      <c r="AB926" s="2">
        <f t="shared" si="129"/>
        <v>7.507619343933028E-3</v>
      </c>
      <c r="AJ926" s="1">
        <v>44294</v>
      </c>
      <c r="AK926">
        <f>NETWORKDAYS(AJ926,$AJ$1,FERIADO!$A$2:$A$408)</f>
        <v>1443</v>
      </c>
      <c r="AL926">
        <v>8.75</v>
      </c>
      <c r="AM926" s="6">
        <f t="shared" si="130"/>
        <v>61858.457480260862</v>
      </c>
      <c r="AN926" s="2">
        <f t="shared" si="131"/>
        <v>5.6305398002410613E-3</v>
      </c>
      <c r="AP926" s="11">
        <f t="shared" si="132"/>
        <v>3.753809671966514E-3</v>
      </c>
      <c r="AQ926" s="11">
        <f t="shared" si="133"/>
        <v>1.6891619400723184E-3</v>
      </c>
      <c r="AR926" s="11">
        <f t="shared" si="134"/>
        <v>5.4429716120388324E-3</v>
      </c>
    </row>
    <row r="927" spans="2:44" x14ac:dyDescent="0.35">
      <c r="B927" s="1">
        <v>44293</v>
      </c>
      <c r="C927">
        <v>4450.09</v>
      </c>
      <c r="D927" s="1">
        <v>44298</v>
      </c>
      <c r="E927">
        <v>5.6576000000000004</v>
      </c>
      <c r="F927" s="1">
        <v>44291</v>
      </c>
      <c r="G927">
        <v>131.13300000000001</v>
      </c>
      <c r="H927" s="4">
        <f t="shared" si="126"/>
        <v>741898.06080000009</v>
      </c>
      <c r="I927" s="5">
        <v>44293</v>
      </c>
      <c r="J927" s="4">
        <v>7007.8</v>
      </c>
      <c r="K927" s="4">
        <f t="shared" si="127"/>
        <v>70078</v>
      </c>
      <c r="L927" s="1">
        <v>44293</v>
      </c>
      <c r="M927">
        <v>3.45</v>
      </c>
      <c r="P927" s="1">
        <v>44293</v>
      </c>
      <c r="Q927">
        <v>3.7</v>
      </c>
      <c r="R927" s="1">
        <v>44292</v>
      </c>
      <c r="S927">
        <v>3.82</v>
      </c>
      <c r="V927" s="1">
        <v>43894</v>
      </c>
      <c r="W927">
        <v>3.42</v>
      </c>
      <c r="X927" s="1">
        <v>44293</v>
      </c>
      <c r="Y927">
        <f>NETWORKDAYS(X927,$Z$1,FERIADO!$A$2:$A$408)</f>
        <v>2457</v>
      </c>
      <c r="Z927">
        <v>9.49</v>
      </c>
      <c r="AA927" s="6">
        <f t="shared" si="128"/>
        <v>41314.172286511399</v>
      </c>
      <c r="AB927" s="2">
        <f t="shared" si="129"/>
        <v>-6.4260493589273111E-3</v>
      </c>
      <c r="AJ927" s="1">
        <v>44293</v>
      </c>
      <c r="AK927">
        <f>NETWORKDAYS(AJ927,$AJ$1,FERIADO!$A$2:$A$408)</f>
        <v>1444</v>
      </c>
      <c r="AL927">
        <v>8.99</v>
      </c>
      <c r="AM927" s="6">
        <f t="shared" si="130"/>
        <v>61061.651510492942</v>
      </c>
      <c r="AN927" s="2">
        <f t="shared" si="131"/>
        <v>-3.0525400754925483E-3</v>
      </c>
      <c r="AP927" s="11">
        <f t="shared" si="132"/>
        <v>-3.2130246794636556E-3</v>
      </c>
      <c r="AQ927" s="11">
        <f t="shared" si="133"/>
        <v>-9.1576202264776439E-4</v>
      </c>
      <c r="AR927" s="11">
        <f t="shared" si="134"/>
        <v>-4.12878670211142E-3</v>
      </c>
    </row>
    <row r="928" spans="2:44" x14ac:dyDescent="0.35">
      <c r="B928" s="1">
        <v>44292</v>
      </c>
      <c r="C928">
        <v>4440.13</v>
      </c>
      <c r="D928" s="1">
        <v>44295</v>
      </c>
      <c r="E928">
        <v>5.6439000000000004</v>
      </c>
      <c r="F928" s="1">
        <v>44287</v>
      </c>
      <c r="G928">
        <v>131.417</v>
      </c>
      <c r="H928" s="4">
        <f t="shared" si="126"/>
        <v>741704.40630000003</v>
      </c>
      <c r="I928" s="5">
        <v>44292</v>
      </c>
      <c r="J928" s="4">
        <v>6975.41</v>
      </c>
      <c r="K928" s="4">
        <f t="shared" si="127"/>
        <v>69754.100000000006</v>
      </c>
      <c r="L928" s="1">
        <v>44292</v>
      </c>
      <c r="M928">
        <v>3.47</v>
      </c>
      <c r="P928" s="1">
        <v>44292</v>
      </c>
      <c r="Q928">
        <v>3.73</v>
      </c>
      <c r="R928" s="1">
        <v>44291</v>
      </c>
      <c r="S928">
        <v>3.8</v>
      </c>
      <c r="V928" s="1">
        <v>43893</v>
      </c>
      <c r="W928">
        <v>3.5</v>
      </c>
      <c r="X928" s="1">
        <v>44292</v>
      </c>
      <c r="Y928">
        <f>NETWORKDAYS(X928,$Z$1,FERIADO!$A$2:$A$408)</f>
        <v>2458</v>
      </c>
      <c r="Z928">
        <v>9.32</v>
      </c>
      <c r="AA928" s="6">
        <f t="shared" si="128"/>
        <v>41930.023481562115</v>
      </c>
      <c r="AB928" s="2">
        <f t="shared" si="129"/>
        <v>-3.3367402002926257E-3</v>
      </c>
      <c r="AJ928" s="1">
        <v>44292</v>
      </c>
      <c r="AK928">
        <f>NETWORKDAYS(AJ928,$AJ$1,FERIADO!$A$2:$A$408)</f>
        <v>1445</v>
      </c>
      <c r="AL928">
        <v>8.85</v>
      </c>
      <c r="AM928" s="6">
        <f t="shared" si="130"/>
        <v>61492.349429453141</v>
      </c>
      <c r="AN928" s="2">
        <f t="shared" si="131"/>
        <v>-1.4569581471199965E-3</v>
      </c>
      <c r="AP928" s="11">
        <f t="shared" si="132"/>
        <v>-1.6683701001463129E-3</v>
      </c>
      <c r="AQ928" s="11">
        <f t="shared" si="133"/>
        <v>-4.3708744413599893E-4</v>
      </c>
      <c r="AR928" s="11">
        <f t="shared" si="134"/>
        <v>-2.1054575442823117E-3</v>
      </c>
    </row>
    <row r="929" spans="2:44" x14ac:dyDescent="0.35">
      <c r="B929" s="1">
        <v>44291</v>
      </c>
      <c r="C929">
        <v>4441.5600000000004</v>
      </c>
      <c r="D929" s="1">
        <v>44294</v>
      </c>
      <c r="E929">
        <v>5.5811000000000002</v>
      </c>
      <c r="F929" s="1">
        <v>44286</v>
      </c>
      <c r="G929">
        <v>130.94900000000001</v>
      </c>
      <c r="H929" s="4">
        <f t="shared" si="126"/>
        <v>730839.46390000009</v>
      </c>
      <c r="I929" s="5">
        <v>44291</v>
      </c>
      <c r="J929" s="4">
        <v>7065.73</v>
      </c>
      <c r="K929" s="4">
        <f t="shared" si="127"/>
        <v>70657.299999999988</v>
      </c>
      <c r="L929" s="1">
        <v>44291</v>
      </c>
      <c r="M929">
        <v>3.4</v>
      </c>
      <c r="P929" s="1">
        <v>44291</v>
      </c>
      <c r="Q929">
        <v>3.69</v>
      </c>
      <c r="R929" s="1">
        <v>44287</v>
      </c>
      <c r="S929">
        <v>3.78</v>
      </c>
      <c r="V929" s="1">
        <v>43872</v>
      </c>
      <c r="W929">
        <v>3.5</v>
      </c>
      <c r="X929" s="1">
        <v>44291</v>
      </c>
      <c r="Y929">
        <f>NETWORKDAYS(X929,$Z$1,FERIADO!$A$2:$A$408)</f>
        <v>2459</v>
      </c>
      <c r="Z929">
        <v>9.23</v>
      </c>
      <c r="AA929" s="6">
        <f t="shared" si="128"/>
        <v>42253.417979118021</v>
      </c>
      <c r="AB929" s="2">
        <f t="shared" si="129"/>
        <v>9.2833899298630908E-4</v>
      </c>
      <c r="AJ929" s="1">
        <v>44291</v>
      </c>
      <c r="AK929">
        <f>NETWORKDAYS(AJ929,$AJ$1,FERIADO!$A$2:$A$408)</f>
        <v>1446</v>
      </c>
      <c r="AL929">
        <v>8.7799999999999994</v>
      </c>
      <c r="AM929" s="6">
        <f t="shared" si="130"/>
        <v>61698.98854491704</v>
      </c>
      <c r="AN929" s="2">
        <f t="shared" si="131"/>
        <v>3.7427217546038205E-4</v>
      </c>
      <c r="AP929" s="11">
        <f t="shared" si="132"/>
        <v>4.6416949649315454E-4</v>
      </c>
      <c r="AQ929" s="11">
        <f t="shared" si="133"/>
        <v>1.122816526381146E-4</v>
      </c>
      <c r="AR929" s="11">
        <f t="shared" si="134"/>
        <v>5.7645114913126914E-4</v>
      </c>
    </row>
    <row r="930" spans="2:44" x14ac:dyDescent="0.35">
      <c r="B930" s="1">
        <v>44287</v>
      </c>
      <c r="C930">
        <v>4380.38</v>
      </c>
      <c r="D930" s="1">
        <v>44293</v>
      </c>
      <c r="E930">
        <v>5.5857999999999999</v>
      </c>
      <c r="F930" s="1">
        <v>44285</v>
      </c>
      <c r="G930">
        <v>131.22999999999999</v>
      </c>
      <c r="H930" s="4">
        <f t="shared" si="126"/>
        <v>733024.53399999987</v>
      </c>
      <c r="I930" s="5">
        <v>44287</v>
      </c>
      <c r="J930" s="4">
        <v>7123.65</v>
      </c>
      <c r="K930" s="4">
        <f t="shared" si="127"/>
        <v>71236.5</v>
      </c>
      <c r="L930" s="1">
        <v>44287</v>
      </c>
      <c r="M930">
        <v>3.37</v>
      </c>
      <c r="P930" s="1">
        <v>44287</v>
      </c>
      <c r="Q930">
        <v>3.67</v>
      </c>
      <c r="R930" s="1">
        <v>44286</v>
      </c>
      <c r="S930">
        <v>3.77</v>
      </c>
      <c r="V930" s="1">
        <v>43867</v>
      </c>
      <c r="W930">
        <v>3.54</v>
      </c>
      <c r="X930" s="1">
        <v>44287</v>
      </c>
      <c r="Y930">
        <f>NETWORKDAYS(X930,$Z$1,FERIADO!$A$2:$A$408)</f>
        <v>2460</v>
      </c>
      <c r="Z930">
        <v>9.25</v>
      </c>
      <c r="AA930" s="6">
        <f t="shared" si="128"/>
        <v>42163.194402311179</v>
      </c>
      <c r="AB930" s="2">
        <f t="shared" si="129"/>
        <v>-1.0123432437309885E-3</v>
      </c>
      <c r="AJ930" s="1">
        <v>44287</v>
      </c>
      <c r="AK930">
        <f>NETWORKDAYS(AJ930,$AJ$1,FERIADO!$A$2:$A$408)</f>
        <v>1447</v>
      </c>
      <c r="AL930">
        <v>8.7899999999999991</v>
      </c>
      <c r="AM930" s="6">
        <f t="shared" si="130"/>
        <v>61645.839660633712</v>
      </c>
      <c r="AN930" s="2">
        <f t="shared" si="131"/>
        <v>-1.9201171750627874E-3</v>
      </c>
      <c r="AP930" s="11">
        <f t="shared" si="132"/>
        <v>-5.0617162186549424E-4</v>
      </c>
      <c r="AQ930" s="11">
        <f t="shared" si="133"/>
        <v>-5.7603515251883623E-4</v>
      </c>
      <c r="AR930" s="11">
        <f t="shared" si="134"/>
        <v>-1.0822067743843306E-3</v>
      </c>
    </row>
    <row r="931" spans="2:44" x14ac:dyDescent="0.35">
      <c r="B931" s="1">
        <v>44286</v>
      </c>
      <c r="C931">
        <v>4328.32</v>
      </c>
      <c r="D931" s="1">
        <v>44292</v>
      </c>
      <c r="E931">
        <v>5.6257000000000001</v>
      </c>
      <c r="F931" s="1">
        <v>44284</v>
      </c>
      <c r="G931">
        <v>131.35400000000001</v>
      </c>
      <c r="H931" s="4">
        <f t="shared" si="126"/>
        <v>738958.19780000008</v>
      </c>
      <c r="I931" s="5">
        <v>44286</v>
      </c>
      <c r="J931" s="4">
        <v>7027.11</v>
      </c>
      <c r="K931" s="4">
        <f t="shared" si="127"/>
        <v>70271.099999999991</v>
      </c>
      <c r="L931" s="1">
        <v>44286</v>
      </c>
      <c r="M931">
        <v>3.36</v>
      </c>
      <c r="P931" s="1">
        <v>44286</v>
      </c>
      <c r="Q931">
        <v>3.67</v>
      </c>
      <c r="R931" s="1">
        <v>44285</v>
      </c>
      <c r="S931">
        <v>3.75</v>
      </c>
      <c r="V931" s="1">
        <v>43840</v>
      </c>
      <c r="W931">
        <v>3.61</v>
      </c>
      <c r="X931" s="1">
        <v>44286</v>
      </c>
      <c r="Y931">
        <f>NETWORKDAYS(X931,$Z$1,FERIADO!$A$2:$A$408)</f>
        <v>2461</v>
      </c>
      <c r="Z931">
        <v>9.2200000000000006</v>
      </c>
      <c r="AA931" s="6">
        <f t="shared" si="128"/>
        <v>42261.591718757889</v>
      </c>
      <c r="AB931" s="2">
        <f t="shared" si="129"/>
        <v>-2.5682452057586434E-3</v>
      </c>
      <c r="AJ931" s="1">
        <v>44286</v>
      </c>
      <c r="AK931">
        <f>NETWORKDAYS(AJ931,$AJ$1,FERIADO!$A$2:$A$408)</f>
        <v>1448</v>
      </c>
      <c r="AL931">
        <v>8.6999999999999993</v>
      </c>
      <c r="AM931" s="6">
        <f t="shared" si="130"/>
        <v>61918.99368647291</v>
      </c>
      <c r="AN931" s="2">
        <f t="shared" si="131"/>
        <v>-8.5975127459312421E-5</v>
      </c>
      <c r="AP931" s="11">
        <f t="shared" si="132"/>
        <v>-1.2841226028793217E-3</v>
      </c>
      <c r="AQ931" s="11">
        <f t="shared" si="133"/>
        <v>-2.5792538237793727E-5</v>
      </c>
      <c r="AR931" s="11">
        <f t="shared" si="134"/>
        <v>-1.3099151411171154E-3</v>
      </c>
    </row>
    <row r="932" spans="2:44" x14ac:dyDescent="0.35">
      <c r="B932" s="1">
        <v>44285</v>
      </c>
      <c r="C932">
        <v>4309.75</v>
      </c>
      <c r="D932" s="1">
        <v>44291</v>
      </c>
      <c r="E932">
        <v>5.6573000000000002</v>
      </c>
      <c r="F932" s="1">
        <v>44281</v>
      </c>
      <c r="G932">
        <v>131.66900000000001</v>
      </c>
      <c r="H932" s="4">
        <f t="shared" si="126"/>
        <v>744891.03370000015</v>
      </c>
      <c r="I932" s="5">
        <v>44285</v>
      </c>
      <c r="J932" s="4">
        <v>7204.63</v>
      </c>
      <c r="K932" s="4">
        <f t="shared" si="127"/>
        <v>72046.3</v>
      </c>
      <c r="L932" s="1">
        <v>44285</v>
      </c>
      <c r="M932">
        <v>3.37</v>
      </c>
      <c r="P932" s="1">
        <v>44285</v>
      </c>
      <c r="Q932">
        <v>3.66</v>
      </c>
      <c r="R932" s="1">
        <v>44284</v>
      </c>
      <c r="S932">
        <v>3.77</v>
      </c>
      <c r="V932" s="1">
        <v>43838</v>
      </c>
      <c r="W932">
        <v>3.64</v>
      </c>
      <c r="X932" s="1">
        <v>44285</v>
      </c>
      <c r="Y932">
        <f>NETWORKDAYS(X932,$Z$1,FERIADO!$A$2:$A$408)</f>
        <v>2462</v>
      </c>
      <c r="Z932">
        <v>9.15</v>
      </c>
      <c r="AA932" s="6">
        <f t="shared" si="128"/>
        <v>42512.250417208743</v>
      </c>
      <c r="AB932" s="2">
        <f t="shared" si="129"/>
        <v>4.0379866118998541E-3</v>
      </c>
      <c r="AJ932" s="1">
        <v>44285</v>
      </c>
      <c r="AK932">
        <f>NETWORKDAYS(AJ932,$AJ$1,FERIADO!$A$2:$A$408)</f>
        <v>1449</v>
      </c>
      <c r="AL932">
        <v>8.69</v>
      </c>
      <c r="AM932" s="6">
        <f t="shared" si="130"/>
        <v>61931.25269634703</v>
      </c>
      <c r="AN932" s="2">
        <f t="shared" si="131"/>
        <v>3.3603102970575778E-3</v>
      </c>
      <c r="AP932" s="11">
        <f t="shared" si="132"/>
        <v>2.018993305949927E-3</v>
      </c>
      <c r="AQ932" s="11">
        <f t="shared" si="133"/>
        <v>1.0080930891172733E-3</v>
      </c>
      <c r="AR932" s="11">
        <f t="shared" si="134"/>
        <v>3.0270863950672003E-3</v>
      </c>
    </row>
    <row r="933" spans="2:44" x14ac:dyDescent="0.35">
      <c r="B933" s="1">
        <v>44284</v>
      </c>
      <c r="C933">
        <v>4326.24</v>
      </c>
      <c r="D933" s="1">
        <v>44287</v>
      </c>
      <c r="E933">
        <v>5.6843000000000004</v>
      </c>
      <c r="F933" s="1">
        <v>44280</v>
      </c>
      <c r="G933">
        <v>132.06200000000001</v>
      </c>
      <c r="H933" s="4">
        <f t="shared" si="126"/>
        <v>750680.0266000001</v>
      </c>
      <c r="I933" s="5">
        <v>44284</v>
      </c>
      <c r="J933" s="4">
        <v>7215.86</v>
      </c>
      <c r="K933" s="4">
        <f t="shared" si="127"/>
        <v>72158.599999999991</v>
      </c>
      <c r="L933" s="1">
        <v>44284</v>
      </c>
      <c r="M933">
        <v>3.39</v>
      </c>
      <c r="P933" s="1">
        <v>44284</v>
      </c>
      <c r="Q933">
        <v>3.65</v>
      </c>
      <c r="R933" s="1">
        <v>44281</v>
      </c>
      <c r="S933">
        <v>3.7</v>
      </c>
      <c r="V933" s="1">
        <v>43837</v>
      </c>
      <c r="W933">
        <v>3.65</v>
      </c>
      <c r="X933" s="1">
        <v>44284</v>
      </c>
      <c r="Y933">
        <f>NETWORKDAYS(X933,$Z$1,FERIADO!$A$2:$A$408)</f>
        <v>2463</v>
      </c>
      <c r="Z933">
        <v>9.25</v>
      </c>
      <c r="AA933" s="6">
        <f t="shared" si="128"/>
        <v>42118.811578325694</v>
      </c>
      <c r="AB933" s="2">
        <f t="shared" si="129"/>
        <v>-5.2926793226955038E-3</v>
      </c>
      <c r="AJ933" s="1">
        <v>44284</v>
      </c>
      <c r="AK933">
        <f>NETWORKDAYS(AJ933,$AJ$1,FERIADO!$A$2:$A$408)</f>
        <v>1450</v>
      </c>
      <c r="AL933">
        <v>8.83</v>
      </c>
      <c r="AM933" s="6">
        <f t="shared" si="130"/>
        <v>61453.9148555063</v>
      </c>
      <c r="AN933" s="2">
        <f t="shared" si="131"/>
        <v>-3.0730913386908471E-3</v>
      </c>
      <c r="AP933" s="11">
        <f t="shared" si="132"/>
        <v>-2.6463396613477519E-3</v>
      </c>
      <c r="AQ933" s="11">
        <f t="shared" si="133"/>
        <v>-9.2192740160725408E-4</v>
      </c>
      <c r="AR933" s="11">
        <f t="shared" si="134"/>
        <v>-3.5682670629550058E-3</v>
      </c>
    </row>
    <row r="934" spans="2:44" x14ac:dyDescent="0.35">
      <c r="B934" s="1">
        <v>44281</v>
      </c>
      <c r="C934">
        <v>4325.59</v>
      </c>
      <c r="D934" s="1">
        <v>44286</v>
      </c>
      <c r="E934">
        <v>5.6966999999999999</v>
      </c>
      <c r="F934" s="1">
        <v>44279</v>
      </c>
      <c r="G934">
        <v>132.078</v>
      </c>
      <c r="H934" s="4">
        <f t="shared" si="126"/>
        <v>752408.7426</v>
      </c>
      <c r="I934" s="5">
        <v>44281</v>
      </c>
      <c r="J934" s="4">
        <v>7183.41</v>
      </c>
      <c r="K934" s="4">
        <f t="shared" si="127"/>
        <v>71834.100000000006</v>
      </c>
      <c r="L934" s="1">
        <v>44281</v>
      </c>
      <c r="M934">
        <v>3.3</v>
      </c>
      <c r="P934" s="1">
        <v>44281</v>
      </c>
      <c r="Q934">
        <v>3.61</v>
      </c>
      <c r="R934" s="1">
        <v>44280</v>
      </c>
      <c r="S934">
        <v>3.87</v>
      </c>
      <c r="V934" s="1">
        <v>43829</v>
      </c>
      <c r="W934">
        <v>3.59</v>
      </c>
      <c r="X934" s="1">
        <v>44281</v>
      </c>
      <c r="Y934">
        <f>NETWORKDAYS(X934,$Z$1,FERIADO!$A$2:$A$408)</f>
        <v>2464</v>
      </c>
      <c r="Z934">
        <v>9.11</v>
      </c>
      <c r="AA934" s="6">
        <f t="shared" si="128"/>
        <v>42635.247456162964</v>
      </c>
      <c r="AB934" s="2">
        <f t="shared" si="129"/>
        <v>5.3958471038361041E-4</v>
      </c>
      <c r="AJ934" s="1">
        <v>44281</v>
      </c>
      <c r="AK934">
        <f>NETWORKDAYS(AJ934,$AJ$1,FERIADO!$A$2:$A$408)</f>
        <v>1451</v>
      </c>
      <c r="AL934">
        <v>8.69</v>
      </c>
      <c r="AM934" s="6">
        <f t="shared" si="130"/>
        <v>61890.308245124841</v>
      </c>
      <c r="AN934" s="2">
        <f t="shared" si="131"/>
        <v>-3.168917078628241E-4</v>
      </c>
      <c r="AP934" s="11">
        <f t="shared" si="132"/>
        <v>2.697923551918052E-4</v>
      </c>
      <c r="AQ934" s="11">
        <f t="shared" si="133"/>
        <v>-9.5067512358847233E-5</v>
      </c>
      <c r="AR934" s="11">
        <f t="shared" si="134"/>
        <v>1.7472484283295796E-4</v>
      </c>
    </row>
    <row r="935" spans="2:44" x14ac:dyDescent="0.35">
      <c r="B935" s="1">
        <v>44280</v>
      </c>
      <c r="C935">
        <v>4261.18</v>
      </c>
      <c r="D935" s="1">
        <v>44285</v>
      </c>
      <c r="E935">
        <v>5.7636000000000003</v>
      </c>
      <c r="F935" s="1">
        <v>44278</v>
      </c>
      <c r="G935">
        <v>132.047</v>
      </c>
      <c r="H935" s="4">
        <f t="shared" si="126"/>
        <v>761066.08919999993</v>
      </c>
      <c r="I935" s="5">
        <v>44280</v>
      </c>
      <c r="J935" s="4">
        <v>7051.15</v>
      </c>
      <c r="K935" s="4">
        <f t="shared" si="127"/>
        <v>70511.5</v>
      </c>
      <c r="L935" s="1">
        <v>44280</v>
      </c>
      <c r="M935">
        <v>3.43</v>
      </c>
      <c r="P935" s="1">
        <v>44280</v>
      </c>
      <c r="Q935">
        <v>3.72</v>
      </c>
      <c r="R935" s="1">
        <v>44279</v>
      </c>
      <c r="S935">
        <v>3.88</v>
      </c>
      <c r="V935" s="1">
        <v>43826</v>
      </c>
      <c r="W935">
        <v>3.65</v>
      </c>
      <c r="X935" s="1">
        <v>44280</v>
      </c>
      <c r="Y935">
        <f>NETWORKDAYS(X935,$Z$1,FERIADO!$A$2:$A$408)</f>
        <v>2465</v>
      </c>
      <c r="Z935">
        <v>9.1199999999999992</v>
      </c>
      <c r="AA935" s="6">
        <f t="shared" si="128"/>
        <v>42582.308625117766</v>
      </c>
      <c r="AB935" s="2">
        <f t="shared" si="129"/>
        <v>1.5041411631916104E-4</v>
      </c>
      <c r="AJ935" s="1">
        <v>44280</v>
      </c>
      <c r="AK935">
        <f>NETWORKDAYS(AJ935,$AJ$1,FERIADO!$A$2:$A$408)</f>
        <v>1452</v>
      </c>
      <c r="AL935">
        <v>8.67</v>
      </c>
      <c r="AM935" s="6">
        <f t="shared" si="130"/>
        <v>61935.48423371114</v>
      </c>
      <c r="AN935" s="2">
        <f t="shared" si="131"/>
        <v>8.344880373978681E-4</v>
      </c>
      <c r="AP935" s="11">
        <f t="shared" si="132"/>
        <v>7.5207058159580518E-5</v>
      </c>
      <c r="AQ935" s="11">
        <f t="shared" si="133"/>
        <v>2.5034641121936041E-4</v>
      </c>
      <c r="AR935" s="11">
        <f t="shared" si="134"/>
        <v>3.255534693789409E-4</v>
      </c>
    </row>
    <row r="936" spans="2:44" x14ac:dyDescent="0.35">
      <c r="B936" s="1">
        <v>44279</v>
      </c>
      <c r="C936">
        <v>4237.8999999999996</v>
      </c>
      <c r="D936" s="1">
        <v>44284</v>
      </c>
      <c r="E936">
        <v>5.7919</v>
      </c>
      <c r="F936" s="1">
        <v>44277</v>
      </c>
      <c r="G936">
        <v>131.566</v>
      </c>
      <c r="H936" s="4">
        <f t="shared" si="126"/>
        <v>762017.11540000001</v>
      </c>
      <c r="I936" s="5">
        <v>44279</v>
      </c>
      <c r="J936" s="4">
        <v>7022.45</v>
      </c>
      <c r="K936" s="4">
        <f t="shared" si="127"/>
        <v>70224.5</v>
      </c>
      <c r="L936" s="1">
        <v>44279</v>
      </c>
      <c r="M936">
        <v>3.39</v>
      </c>
      <c r="P936" s="1">
        <v>44279</v>
      </c>
      <c r="Q936">
        <v>3.72</v>
      </c>
      <c r="R936" s="1">
        <v>44278</v>
      </c>
      <c r="S936">
        <v>3.93</v>
      </c>
      <c r="V936" s="1">
        <v>43816</v>
      </c>
      <c r="W936">
        <v>3.48</v>
      </c>
      <c r="X936" s="1">
        <v>44279</v>
      </c>
      <c r="Y936">
        <f>NETWORKDAYS(X936,$Z$1,FERIADO!$A$2:$A$408)</f>
        <v>2466</v>
      </c>
      <c r="Z936">
        <v>9.1199999999999992</v>
      </c>
      <c r="AA936" s="6">
        <f t="shared" si="128"/>
        <v>42567.56316653391</v>
      </c>
      <c r="AB936" s="2">
        <f t="shared" si="129"/>
        <v>-9.601425350029183E-3</v>
      </c>
      <c r="AJ936" s="1">
        <v>44279</v>
      </c>
      <c r="AK936">
        <f>NETWORKDAYS(AJ936,$AJ$1,FERIADO!$A$2:$A$408)</f>
        <v>1453</v>
      </c>
      <c r="AL936">
        <v>8.6999999999999993</v>
      </c>
      <c r="AM936" s="6">
        <f t="shared" si="130"/>
        <v>61816.59071942373</v>
      </c>
      <c r="AN936" s="2">
        <f t="shared" si="131"/>
        <v>-6.088158550678395E-3</v>
      </c>
      <c r="AP936" s="11">
        <f t="shared" si="132"/>
        <v>-4.8007126750145915E-3</v>
      </c>
      <c r="AQ936" s="11">
        <f t="shared" si="133"/>
        <v>-1.8264475652035185E-3</v>
      </c>
      <c r="AR936" s="11">
        <f t="shared" si="134"/>
        <v>-6.6271602402181102E-3</v>
      </c>
    </row>
    <row r="937" spans="2:44" x14ac:dyDescent="0.35">
      <c r="B937" s="1">
        <v>44278</v>
      </c>
      <c r="C937">
        <v>4265.45</v>
      </c>
      <c r="D937" s="1">
        <v>44281</v>
      </c>
      <c r="E937">
        <v>5.7035999999999998</v>
      </c>
      <c r="F937" s="1">
        <v>44274</v>
      </c>
      <c r="G937">
        <v>131.26900000000001</v>
      </c>
      <c r="H937" s="4">
        <f t="shared" si="126"/>
        <v>748705.86840000004</v>
      </c>
      <c r="I937" s="5">
        <v>44278</v>
      </c>
      <c r="J937" s="4">
        <v>6897.05</v>
      </c>
      <c r="K937" s="4">
        <f t="shared" si="127"/>
        <v>68970.5</v>
      </c>
      <c r="L937" s="1">
        <v>44278</v>
      </c>
      <c r="M937">
        <v>3.4</v>
      </c>
      <c r="P937" s="1">
        <v>44278</v>
      </c>
      <c r="Q937">
        <v>3.68</v>
      </c>
      <c r="R937" s="1">
        <v>44277</v>
      </c>
      <c r="S937">
        <v>3.85</v>
      </c>
      <c r="V937" s="1">
        <v>43810</v>
      </c>
      <c r="W937">
        <v>3.49</v>
      </c>
      <c r="X937" s="1">
        <v>44278</v>
      </c>
      <c r="Y937">
        <f>NETWORKDAYS(X937,$Z$1,FERIADO!$A$2:$A$408)</f>
        <v>2467</v>
      </c>
      <c r="Z937">
        <v>8.8699999999999992</v>
      </c>
      <c r="AA937" s="6">
        <f t="shared" si="128"/>
        <v>43519.130982208022</v>
      </c>
      <c r="AB937" s="2">
        <f t="shared" si="129"/>
        <v>-7.6743160264662698E-3</v>
      </c>
      <c r="AJ937" s="1">
        <v>44278</v>
      </c>
      <c r="AK937">
        <f>NETWORKDAYS(AJ937,$AJ$1,FERIADO!$A$2:$A$408)</f>
        <v>1454</v>
      </c>
      <c r="AL937">
        <v>8.43</v>
      </c>
      <c r="AM937" s="6">
        <f t="shared" si="130"/>
        <v>62689.269321902335</v>
      </c>
      <c r="AN937" s="2">
        <f t="shared" si="131"/>
        <v>-4.7216509508567683E-3</v>
      </c>
      <c r="AP937" s="11">
        <f t="shared" si="132"/>
        <v>-3.8371580132331349E-3</v>
      </c>
      <c r="AQ937" s="11">
        <f t="shared" si="133"/>
        <v>-1.4164952852570305E-3</v>
      </c>
      <c r="AR937" s="11">
        <f t="shared" si="134"/>
        <v>-5.2536532984901654E-3</v>
      </c>
    </row>
    <row r="938" spans="2:44" x14ac:dyDescent="0.35">
      <c r="B938" s="1">
        <v>44277</v>
      </c>
      <c r="C938">
        <v>4302.24</v>
      </c>
      <c r="D938" s="1">
        <v>44280</v>
      </c>
      <c r="E938">
        <v>5.6578999999999997</v>
      </c>
      <c r="F938" s="1">
        <v>44273</v>
      </c>
      <c r="G938">
        <v>131.363</v>
      </c>
      <c r="H938" s="4">
        <f t="shared" si="126"/>
        <v>743238.71769999992</v>
      </c>
      <c r="I938" s="5">
        <v>44277</v>
      </c>
      <c r="J938" s="4">
        <v>6880.21</v>
      </c>
      <c r="K938" s="4">
        <f t="shared" si="127"/>
        <v>68802.100000000006</v>
      </c>
      <c r="L938" s="1">
        <v>44277</v>
      </c>
      <c r="M938">
        <v>3.3</v>
      </c>
      <c r="P938" s="1">
        <v>44277</v>
      </c>
      <c r="Q938">
        <v>3.61</v>
      </c>
      <c r="R938" s="1">
        <v>44274</v>
      </c>
      <c r="S938">
        <v>3.79</v>
      </c>
      <c r="V938" s="1">
        <v>43809</v>
      </c>
      <c r="W938">
        <v>3.53</v>
      </c>
      <c r="X938" s="1">
        <v>44277</v>
      </c>
      <c r="Y938">
        <f>NETWORKDAYS(X938,$Z$1,FERIADO!$A$2:$A$408)</f>
        <v>2468</v>
      </c>
      <c r="Z938">
        <v>8.67</v>
      </c>
      <c r="AA938" s="6">
        <f t="shared" si="128"/>
        <v>44294.98210154954</v>
      </c>
      <c r="AB938" s="2">
        <f t="shared" si="129"/>
        <v>-5.734122695995018E-3</v>
      </c>
      <c r="AJ938" s="1">
        <v>44277</v>
      </c>
      <c r="AK938">
        <f>NETWORKDAYS(AJ938,$AJ$1,FERIADO!$A$2:$A$408)</f>
        <v>1455</v>
      </c>
      <c r="AL938">
        <v>8.2200000000000006</v>
      </c>
      <c r="AM938" s="6">
        <f t="shared" si="130"/>
        <v>63374.545665193575</v>
      </c>
      <c r="AN938" s="2">
        <f t="shared" si="131"/>
        <v>-3.1120885978281761E-3</v>
      </c>
      <c r="AP938" s="11">
        <f t="shared" si="132"/>
        <v>-2.867061347997509E-3</v>
      </c>
      <c r="AQ938" s="11">
        <f t="shared" si="133"/>
        <v>-9.3362657934845279E-4</v>
      </c>
      <c r="AR938" s="11">
        <f t="shared" si="134"/>
        <v>-3.8006879273459618E-3</v>
      </c>
    </row>
    <row r="939" spans="2:44" x14ac:dyDescent="0.35">
      <c r="B939" s="1">
        <v>44274</v>
      </c>
      <c r="C939">
        <v>4258.1499999999996</v>
      </c>
      <c r="D939" s="1">
        <v>44279</v>
      </c>
      <c r="E939">
        <v>5.5324</v>
      </c>
      <c r="F939" s="1">
        <v>44272</v>
      </c>
      <c r="G939">
        <v>131.953</v>
      </c>
      <c r="H939" s="4">
        <f t="shared" si="126"/>
        <v>730016.77720000001</v>
      </c>
      <c r="I939" s="5">
        <v>44274</v>
      </c>
      <c r="J939" s="4">
        <v>6852.76</v>
      </c>
      <c r="K939" s="4">
        <f t="shared" si="127"/>
        <v>68527.600000000006</v>
      </c>
      <c r="L939" s="1">
        <v>44274</v>
      </c>
      <c r="M939">
        <v>3.25</v>
      </c>
      <c r="P939" s="1">
        <v>44274</v>
      </c>
      <c r="Q939">
        <v>3.56</v>
      </c>
      <c r="R939" s="1">
        <v>44273</v>
      </c>
      <c r="S939">
        <v>3.58</v>
      </c>
      <c r="V939" s="1">
        <v>43777</v>
      </c>
      <c r="W939">
        <v>3.47</v>
      </c>
      <c r="X939" s="1">
        <v>44274</v>
      </c>
      <c r="Y939">
        <f>NETWORKDAYS(X939,$Z$1,FERIADO!$A$2:$A$408)</f>
        <v>2469</v>
      </c>
      <c r="Z939">
        <v>8.52</v>
      </c>
      <c r="AA939" s="6">
        <f t="shared" si="128"/>
        <v>44883.700240004851</v>
      </c>
      <c r="AB939" s="2">
        <f t="shared" si="129"/>
        <v>-1.0070012623669989E-2</v>
      </c>
      <c r="AJ939" s="1">
        <v>44274</v>
      </c>
      <c r="AK939">
        <f>NETWORKDAYS(AJ939,$AJ$1,FERIADO!$A$2:$A$408)</f>
        <v>1456</v>
      </c>
      <c r="AL939">
        <v>8.08</v>
      </c>
      <c r="AM939" s="6">
        <f t="shared" si="130"/>
        <v>63830.309093699419</v>
      </c>
      <c r="AN939" s="2">
        <f t="shared" si="131"/>
        <v>-4.9824729923537876E-3</v>
      </c>
      <c r="AP939" s="11">
        <f t="shared" si="132"/>
        <v>-5.0350063118349943E-3</v>
      </c>
      <c r="AQ939" s="11">
        <f t="shared" si="133"/>
        <v>-1.4947418977061362E-3</v>
      </c>
      <c r="AR939" s="11">
        <f t="shared" si="134"/>
        <v>-6.5297482095411303E-3</v>
      </c>
    </row>
    <row r="940" spans="2:44" x14ac:dyDescent="0.35">
      <c r="B940" s="1">
        <v>44273</v>
      </c>
      <c r="C940">
        <v>4271.76</v>
      </c>
      <c r="D940" s="1">
        <v>44278</v>
      </c>
      <c r="E940">
        <v>5.4945000000000004</v>
      </c>
      <c r="F940" s="1">
        <v>44271</v>
      </c>
      <c r="G940">
        <v>131.88999999999999</v>
      </c>
      <c r="H940" s="4">
        <f t="shared" si="126"/>
        <v>724669.60499999998</v>
      </c>
      <c r="I940" s="5">
        <v>44273</v>
      </c>
      <c r="J940" s="4">
        <v>6943.84</v>
      </c>
      <c r="K940" s="4">
        <f t="shared" si="127"/>
        <v>69438.399999999994</v>
      </c>
      <c r="L940" s="1">
        <v>44273</v>
      </c>
      <c r="M940">
        <v>3.12</v>
      </c>
      <c r="P940" s="1">
        <v>44273</v>
      </c>
      <c r="Q940">
        <v>3.38</v>
      </c>
      <c r="R940" s="1">
        <v>44272</v>
      </c>
      <c r="S940">
        <v>3.51</v>
      </c>
      <c r="V940" s="1">
        <v>43776</v>
      </c>
      <c r="W940">
        <v>3.38</v>
      </c>
      <c r="X940" s="1">
        <v>44273</v>
      </c>
      <c r="Y940">
        <f>NETWORKDAYS(X940,$Z$1,FERIADO!$A$2:$A$408)</f>
        <v>2470</v>
      </c>
      <c r="Z940">
        <v>8.26</v>
      </c>
      <c r="AA940" s="6">
        <f t="shared" si="128"/>
        <v>45936.58076361195</v>
      </c>
      <c r="AB940" s="2">
        <f t="shared" si="129"/>
        <v>5.6402385599074447E-3</v>
      </c>
      <c r="AJ940" s="1">
        <v>44273</v>
      </c>
      <c r="AK940">
        <f>NETWORKDAYS(AJ940,$AJ$1,FERIADO!$A$2:$A$408)</f>
        <v>1457</v>
      </c>
      <c r="AL940">
        <v>7.86</v>
      </c>
      <c r="AM940" s="6">
        <f t="shared" si="130"/>
        <v>64566.823434830585</v>
      </c>
      <c r="AN940" s="2">
        <f t="shared" si="131"/>
        <v>1.2949272951736585E-3</v>
      </c>
      <c r="AP940" s="11">
        <f t="shared" si="132"/>
        <v>2.8201192799537224E-3</v>
      </c>
      <c r="AQ940" s="11">
        <f t="shared" si="133"/>
        <v>3.8847818855209754E-4</v>
      </c>
      <c r="AR940" s="11">
        <f t="shared" si="134"/>
        <v>3.2085974685058197E-3</v>
      </c>
    </row>
    <row r="941" spans="2:44" x14ac:dyDescent="0.35">
      <c r="B941" s="1">
        <v>44272</v>
      </c>
      <c r="C941">
        <v>4322.9799999999996</v>
      </c>
      <c r="D941" s="1">
        <v>44277</v>
      </c>
      <c r="E941">
        <v>5.5263</v>
      </c>
      <c r="F941" s="1">
        <v>44270</v>
      </c>
      <c r="G941">
        <v>131.93199999999999</v>
      </c>
      <c r="H941" s="4">
        <f t="shared" si="126"/>
        <v>729095.8115999999</v>
      </c>
      <c r="I941" s="5">
        <v>44272</v>
      </c>
      <c r="J941" s="4">
        <v>6970.05</v>
      </c>
      <c r="K941" s="4">
        <f t="shared" si="127"/>
        <v>69700.5</v>
      </c>
      <c r="L941" s="1">
        <v>44272</v>
      </c>
      <c r="M941">
        <v>2.99</v>
      </c>
      <c r="P941" s="1">
        <v>44272</v>
      </c>
      <c r="Q941">
        <v>3.28</v>
      </c>
      <c r="R941" s="1">
        <v>44271</v>
      </c>
      <c r="S941">
        <v>3.53</v>
      </c>
      <c r="V941" s="1">
        <v>43773</v>
      </c>
      <c r="W941">
        <v>3.38</v>
      </c>
      <c r="X941" s="1">
        <v>44272</v>
      </c>
      <c r="Y941">
        <f>NETWORKDAYS(X941,$Z$1,FERIADO!$A$2:$A$408)</f>
        <v>2471</v>
      </c>
      <c r="Z941">
        <v>8.4</v>
      </c>
      <c r="AA941" s="6">
        <f t="shared" si="128"/>
        <v>45343.853695442136</v>
      </c>
      <c r="AB941" s="2">
        <f t="shared" si="129"/>
        <v>1.3178702140811736E-3</v>
      </c>
      <c r="AJ941" s="1">
        <v>44272</v>
      </c>
      <c r="AK941">
        <f>NETWORKDAYS(AJ941,$AJ$1,FERIADO!$A$2:$A$408)</f>
        <v>1458</v>
      </c>
      <c r="AL941">
        <v>7.91</v>
      </c>
      <c r="AM941" s="6">
        <f t="shared" si="130"/>
        <v>64374.592538196084</v>
      </c>
      <c r="AN941" s="2">
        <f t="shared" si="131"/>
        <v>-5.6793451742700714E-4</v>
      </c>
      <c r="AP941" s="11">
        <f t="shared" si="132"/>
        <v>6.5893510704058682E-4</v>
      </c>
      <c r="AQ941" s="11">
        <f t="shared" si="133"/>
        <v>-1.7038035522810215E-4</v>
      </c>
      <c r="AR941" s="11">
        <f t="shared" si="134"/>
        <v>4.8855475181248465E-4</v>
      </c>
    </row>
    <row r="942" spans="2:44" x14ac:dyDescent="0.35">
      <c r="B942" s="1">
        <v>44271</v>
      </c>
      <c r="C942">
        <v>4320.2700000000004</v>
      </c>
      <c r="D942" s="1">
        <v>44274</v>
      </c>
      <c r="E942">
        <v>5.5076000000000001</v>
      </c>
      <c r="F942" s="1">
        <v>44267</v>
      </c>
      <c r="G942">
        <v>131.81299999999999</v>
      </c>
      <c r="H942" s="4">
        <f t="shared" si="126"/>
        <v>725973.27879999985</v>
      </c>
      <c r="I942" s="5">
        <v>44271</v>
      </c>
      <c r="J942" s="4">
        <v>7022.45</v>
      </c>
      <c r="K942" s="4">
        <f t="shared" si="127"/>
        <v>70224.5</v>
      </c>
      <c r="L942" s="1">
        <v>44271</v>
      </c>
      <c r="M942">
        <v>3</v>
      </c>
      <c r="P942" s="1">
        <v>44271</v>
      </c>
      <c r="Q942">
        <v>3.33</v>
      </c>
      <c r="R942" s="1">
        <v>44270</v>
      </c>
      <c r="S942">
        <v>3.56</v>
      </c>
      <c r="V942" s="1">
        <v>43755</v>
      </c>
      <c r="W942">
        <v>3.55</v>
      </c>
      <c r="X942" s="1">
        <v>44271</v>
      </c>
      <c r="Y942">
        <f>NETWORKDAYS(X942,$Z$1,FERIADO!$A$2:$A$408)</f>
        <v>2472</v>
      </c>
      <c r="Z942">
        <v>8.43</v>
      </c>
      <c r="AA942" s="6">
        <f t="shared" si="128"/>
        <v>45206.465952170314</v>
      </c>
      <c r="AB942" s="2">
        <f t="shared" si="129"/>
        <v>3.2827994968672837E-3</v>
      </c>
      <c r="AJ942" s="1">
        <v>44271</v>
      </c>
      <c r="AK942">
        <f>NETWORKDAYS(AJ942,$AJ$1,FERIADO!$A$2:$A$408)</f>
        <v>1459</v>
      </c>
      <c r="AL942">
        <v>7.88</v>
      </c>
      <c r="AM942" s="6">
        <f t="shared" si="130"/>
        <v>64458.831391174142</v>
      </c>
      <c r="AN942" s="2">
        <f t="shared" si="131"/>
        <v>1.9959149566430171E-3</v>
      </c>
      <c r="AP942" s="11">
        <f t="shared" si="132"/>
        <v>1.6413997484336419E-3</v>
      </c>
      <c r="AQ942" s="11">
        <f t="shared" si="133"/>
        <v>5.9877448699290515E-4</v>
      </c>
      <c r="AR942" s="11">
        <f t="shared" si="134"/>
        <v>2.2401742354265469E-3</v>
      </c>
    </row>
    <row r="943" spans="2:44" x14ac:dyDescent="0.35">
      <c r="B943" s="1">
        <v>44270</v>
      </c>
      <c r="C943">
        <v>4314.22</v>
      </c>
      <c r="D943" s="1">
        <v>44273</v>
      </c>
      <c r="E943">
        <v>5.5468000000000002</v>
      </c>
      <c r="F943" s="1">
        <v>44266</v>
      </c>
      <c r="G943">
        <v>132.578</v>
      </c>
      <c r="H943" s="4">
        <f t="shared" si="126"/>
        <v>735383.65040000004</v>
      </c>
      <c r="I943" s="5">
        <v>44270</v>
      </c>
      <c r="J943" s="4">
        <v>7013.72</v>
      </c>
      <c r="K943" s="4">
        <f t="shared" si="127"/>
        <v>70137.2</v>
      </c>
      <c r="L943" s="1">
        <v>44270</v>
      </c>
      <c r="M943">
        <v>2.98</v>
      </c>
      <c r="P943" s="1">
        <v>44270</v>
      </c>
      <c r="Q943">
        <v>3.32</v>
      </c>
      <c r="R943" s="1">
        <v>44267</v>
      </c>
      <c r="S943">
        <v>3.55</v>
      </c>
      <c r="V943" s="1">
        <v>43749</v>
      </c>
      <c r="W943">
        <v>3.6</v>
      </c>
      <c r="X943" s="1">
        <v>44270</v>
      </c>
      <c r="Y943">
        <f>NETWORKDAYS(X943,$Z$1,FERIADO!$A$2:$A$408)</f>
        <v>2473</v>
      </c>
      <c r="Z943">
        <v>8.51</v>
      </c>
      <c r="AA943" s="6">
        <f t="shared" si="128"/>
        <v>44866.041899053227</v>
      </c>
      <c r="AB943" s="2">
        <f t="shared" si="129"/>
        <v>4.8532916052421229E-3</v>
      </c>
      <c r="AJ943" s="1">
        <v>44270</v>
      </c>
      <c r="AK943">
        <f>NETWORKDAYS(AJ943,$AJ$1,FERIADO!$A$2:$A$408)</f>
        <v>1460</v>
      </c>
      <c r="AL943">
        <v>7.96</v>
      </c>
      <c r="AM943" s="6">
        <f t="shared" si="130"/>
        <v>64163.273490097563</v>
      </c>
      <c r="AN943" s="2">
        <f t="shared" si="131"/>
        <v>1.530943974447778E-3</v>
      </c>
      <c r="AP943" s="11">
        <f t="shared" si="132"/>
        <v>2.4266458026210615E-3</v>
      </c>
      <c r="AQ943" s="11">
        <f t="shared" si="133"/>
        <v>4.5928319233433336E-4</v>
      </c>
      <c r="AR943" s="11">
        <f t="shared" si="134"/>
        <v>2.8859289949553948E-3</v>
      </c>
    </row>
    <row r="944" spans="2:44" x14ac:dyDescent="0.35">
      <c r="B944" s="1">
        <v>44267</v>
      </c>
      <c r="C944">
        <v>4288.54</v>
      </c>
      <c r="D944" s="1">
        <v>44272</v>
      </c>
      <c r="E944">
        <v>5.6573000000000002</v>
      </c>
      <c r="F944" s="1">
        <v>44265</v>
      </c>
      <c r="G944">
        <v>132.55699999999999</v>
      </c>
      <c r="H944" s="4">
        <f t="shared" si="126"/>
        <v>749914.71609999996</v>
      </c>
      <c r="I944" s="5">
        <v>44267</v>
      </c>
      <c r="J944" s="4">
        <v>6933.24</v>
      </c>
      <c r="K944" s="4">
        <f t="shared" si="127"/>
        <v>69332.399999999994</v>
      </c>
      <c r="L944" s="1">
        <v>44267</v>
      </c>
      <c r="M944">
        <v>2.99</v>
      </c>
      <c r="P944" s="1">
        <v>44267</v>
      </c>
      <c r="Q944">
        <v>3.31</v>
      </c>
      <c r="R944" s="1">
        <v>44266</v>
      </c>
      <c r="S944">
        <v>3.42</v>
      </c>
      <c r="V944" s="1">
        <v>43748</v>
      </c>
      <c r="W944">
        <v>3.56</v>
      </c>
      <c r="X944" s="1">
        <v>44267</v>
      </c>
      <c r="Y944">
        <f>NETWORKDAYS(X944,$Z$1,FERIADO!$A$2:$A$408)</f>
        <v>2474</v>
      </c>
      <c r="Z944">
        <v>8.6300000000000008</v>
      </c>
      <c r="AA944" s="6">
        <f t="shared" si="128"/>
        <v>44367.449737544877</v>
      </c>
      <c r="AB944" s="2">
        <f t="shared" si="129"/>
        <v>-5.3580329643102284E-3</v>
      </c>
      <c r="AJ944" s="1">
        <v>44267</v>
      </c>
      <c r="AK944">
        <f>NETWORKDAYS(AJ944,$AJ$1,FERIADO!$A$2:$A$408)</f>
        <v>1461</v>
      </c>
      <c r="AL944">
        <v>8.02</v>
      </c>
      <c r="AM944" s="6">
        <f t="shared" si="130"/>
        <v>63937.48788397757</v>
      </c>
      <c r="AN944" s="2">
        <f t="shared" si="131"/>
        <v>-3.1347049098902412E-3</v>
      </c>
      <c r="AP944" s="11">
        <f t="shared" si="132"/>
        <v>-2.6790164821551142E-3</v>
      </c>
      <c r="AQ944" s="11">
        <f t="shared" si="133"/>
        <v>-9.4041147296707235E-4</v>
      </c>
      <c r="AR944" s="11">
        <f t="shared" si="134"/>
        <v>-3.6194279551221868E-3</v>
      </c>
    </row>
    <row r="945" spans="2:44" x14ac:dyDescent="0.35">
      <c r="B945" s="1">
        <v>44266</v>
      </c>
      <c r="C945">
        <v>4285.92</v>
      </c>
      <c r="D945" s="1">
        <v>44271</v>
      </c>
      <c r="E945">
        <v>5.5845000000000002</v>
      </c>
      <c r="F945" s="1">
        <v>44264</v>
      </c>
      <c r="G945">
        <v>132.27500000000001</v>
      </c>
      <c r="H945" s="4">
        <f t="shared" si="126"/>
        <v>738689.73750000005</v>
      </c>
      <c r="I945" s="5">
        <v>44266</v>
      </c>
      <c r="J945" s="4">
        <v>6915.77</v>
      </c>
      <c r="K945" s="4">
        <f t="shared" si="127"/>
        <v>69157.700000000012</v>
      </c>
      <c r="L945" s="1">
        <v>44266</v>
      </c>
      <c r="M945">
        <v>2.91</v>
      </c>
      <c r="P945" s="1">
        <v>44266</v>
      </c>
      <c r="Q945">
        <v>3.19</v>
      </c>
      <c r="R945" s="1">
        <v>44265</v>
      </c>
      <c r="S945">
        <v>3.42</v>
      </c>
      <c r="V945" s="1">
        <v>43747</v>
      </c>
      <c r="W945">
        <v>3.57</v>
      </c>
      <c r="X945" s="1">
        <v>44266</v>
      </c>
      <c r="Y945">
        <f>NETWORKDAYS(X945,$Z$1,FERIADO!$A$2:$A$408)</f>
        <v>2475</v>
      </c>
      <c r="Z945">
        <v>8.49</v>
      </c>
      <c r="AA945" s="6">
        <f t="shared" si="128"/>
        <v>44918.215971172125</v>
      </c>
      <c r="AB945" s="2">
        <f t="shared" si="129"/>
        <v>5.250518697768651E-3</v>
      </c>
      <c r="AJ945" s="1">
        <v>44266</v>
      </c>
      <c r="AK945">
        <f>NETWORKDAYS(AJ945,$AJ$1,FERIADO!$A$2:$A$408)</f>
        <v>1462</v>
      </c>
      <c r="AL945">
        <v>7.88</v>
      </c>
      <c r="AM945" s="6">
        <f t="shared" si="130"/>
        <v>64400.653399278577</v>
      </c>
      <c r="AN945" s="2">
        <f t="shared" si="131"/>
        <v>3.4006110443757236E-3</v>
      </c>
      <c r="AP945" s="11">
        <f t="shared" si="132"/>
        <v>2.6252593488843255E-3</v>
      </c>
      <c r="AQ945" s="11">
        <f t="shared" si="133"/>
        <v>1.0201833133127169E-3</v>
      </c>
      <c r="AR945" s="11">
        <f t="shared" si="134"/>
        <v>3.6454426621970425E-3</v>
      </c>
    </row>
    <row r="946" spans="2:44" x14ac:dyDescent="0.35">
      <c r="B946" s="1">
        <v>44265</v>
      </c>
      <c r="C946">
        <v>4238.95</v>
      </c>
      <c r="D946" s="1">
        <v>44270</v>
      </c>
      <c r="E946">
        <v>5.6289999999999996</v>
      </c>
      <c r="F946" s="1">
        <v>44263</v>
      </c>
      <c r="G946">
        <v>131.86500000000001</v>
      </c>
      <c r="H946" s="4">
        <f t="shared" si="126"/>
        <v>742268.08500000008</v>
      </c>
      <c r="I946" s="5">
        <v>44265</v>
      </c>
      <c r="J946" s="4">
        <v>7085.46</v>
      </c>
      <c r="K946" s="4">
        <f t="shared" si="127"/>
        <v>70854.600000000006</v>
      </c>
      <c r="L946" s="1">
        <v>44265</v>
      </c>
      <c r="M946">
        <v>2.92</v>
      </c>
      <c r="P946" s="1">
        <v>44265</v>
      </c>
      <c r="Q946">
        <v>3.18</v>
      </c>
      <c r="R946" s="1">
        <v>44264</v>
      </c>
      <c r="S946">
        <v>3.48</v>
      </c>
      <c r="V946" s="1">
        <v>43683</v>
      </c>
      <c r="W946">
        <v>3.89</v>
      </c>
      <c r="X946" s="1">
        <v>44265</v>
      </c>
      <c r="Y946">
        <f>NETWORKDAYS(X946,$Z$1,FERIADO!$A$2:$A$408)</f>
        <v>2476</v>
      </c>
      <c r="Z946">
        <v>8.6199999999999992</v>
      </c>
      <c r="AA946" s="6">
        <f t="shared" si="128"/>
        <v>44378.434736234289</v>
      </c>
      <c r="AB946" s="2">
        <f t="shared" si="129"/>
        <v>9.2844028954403273E-4</v>
      </c>
      <c r="AJ946" s="1">
        <v>44265</v>
      </c>
      <c r="AK946">
        <f>NETWORKDAYS(AJ946,$AJ$1,FERIADO!$A$2:$A$408)</f>
        <v>1463</v>
      </c>
      <c r="AL946">
        <v>8.02</v>
      </c>
      <c r="AM946" s="6">
        <f t="shared" si="130"/>
        <v>63898.352764156829</v>
      </c>
      <c r="AN946" s="2">
        <f t="shared" si="131"/>
        <v>3.6651419982907052E-4</v>
      </c>
      <c r="AP946" s="11">
        <f t="shared" si="132"/>
        <v>4.6422014477201637E-4</v>
      </c>
      <c r="AQ946" s="11">
        <f t="shared" si="133"/>
        <v>1.0995425994872116E-4</v>
      </c>
      <c r="AR946" s="11">
        <f t="shared" si="134"/>
        <v>5.741744047207375E-4</v>
      </c>
    </row>
    <row r="947" spans="2:44" x14ac:dyDescent="0.35">
      <c r="B947" s="1">
        <v>44264</v>
      </c>
      <c r="C947">
        <v>4217.96</v>
      </c>
      <c r="D947" s="1">
        <v>44267</v>
      </c>
      <c r="E947">
        <v>5.5633999999999997</v>
      </c>
      <c r="F947" s="1">
        <v>44260</v>
      </c>
      <c r="G947">
        <v>132.27500000000001</v>
      </c>
      <c r="H947" s="4">
        <f t="shared" si="126"/>
        <v>735898.73499999999</v>
      </c>
      <c r="I947" s="5">
        <v>44264</v>
      </c>
      <c r="J947" s="4">
        <v>7247.05</v>
      </c>
      <c r="K947" s="4">
        <f t="shared" si="127"/>
        <v>72470.5</v>
      </c>
      <c r="L947" s="1">
        <v>44264</v>
      </c>
      <c r="M947">
        <v>2.97</v>
      </c>
      <c r="P947" s="1">
        <v>44264</v>
      </c>
      <c r="Q947">
        <v>3.24</v>
      </c>
      <c r="R947" s="1">
        <v>44263</v>
      </c>
      <c r="S947">
        <v>3.38</v>
      </c>
      <c r="V947" s="1">
        <v>43682</v>
      </c>
      <c r="W947">
        <v>3.89</v>
      </c>
      <c r="X947" s="1">
        <v>44264</v>
      </c>
      <c r="Y947">
        <f>NETWORKDAYS(X947,$Z$1,FERIADO!$A$2:$A$408)</f>
        <v>2477</v>
      </c>
      <c r="Z947">
        <v>8.64</v>
      </c>
      <c r="AA947" s="6">
        <f t="shared" si="128"/>
        <v>44283.663289621531</v>
      </c>
      <c r="AB947" s="2">
        <f t="shared" si="129"/>
        <v>-7.3324892686621335E-3</v>
      </c>
      <c r="AJ947" s="1">
        <v>44264</v>
      </c>
      <c r="AK947">
        <f>NETWORKDAYS(AJ947,$AJ$1,FERIADO!$A$2:$A$408)</f>
        <v>1464</v>
      </c>
      <c r="AL947">
        <v>8.0299999999999994</v>
      </c>
      <c r="AM947" s="6">
        <f t="shared" si="130"/>
        <v>63844.449767197591</v>
      </c>
      <c r="AN947" s="2">
        <f t="shared" si="131"/>
        <v>-3.8430842351475027E-3</v>
      </c>
      <c r="AP947" s="11">
        <f t="shared" si="132"/>
        <v>-3.6662446343310668E-3</v>
      </c>
      <c r="AQ947" s="11">
        <f t="shared" si="133"/>
        <v>-1.1529252705442508E-3</v>
      </c>
      <c r="AR947" s="11">
        <f t="shared" si="134"/>
        <v>-4.8191699048753178E-3</v>
      </c>
    </row>
    <row r="948" spans="2:44" x14ac:dyDescent="0.35">
      <c r="B948" s="1">
        <v>44263</v>
      </c>
      <c r="C948">
        <v>4166.3</v>
      </c>
      <c r="D948" s="1">
        <v>44266</v>
      </c>
      <c r="E948">
        <v>5.5884</v>
      </c>
      <c r="F948" s="1">
        <v>44259</v>
      </c>
      <c r="G948">
        <v>132.46700000000001</v>
      </c>
      <c r="H948" s="4">
        <f t="shared" si="126"/>
        <v>740278.58280000009</v>
      </c>
      <c r="I948" s="5">
        <v>44263</v>
      </c>
      <c r="J948" s="4">
        <v>7340.01</v>
      </c>
      <c r="K948" s="4">
        <f t="shared" si="127"/>
        <v>73400.100000000006</v>
      </c>
      <c r="L948" s="1">
        <v>44263</v>
      </c>
      <c r="M948">
        <v>2.9</v>
      </c>
      <c r="P948" s="1">
        <v>44263</v>
      </c>
      <c r="Q948">
        <v>3.15</v>
      </c>
      <c r="R948" s="1">
        <v>44260</v>
      </c>
      <c r="S948">
        <v>3.32</v>
      </c>
      <c r="X948" s="1">
        <v>44263</v>
      </c>
      <c r="Y948">
        <f>NETWORKDAYS(X948,$Z$1,FERIADO!$A$2:$A$408)</f>
        <v>2478</v>
      </c>
      <c r="Z948">
        <v>8.4499999999999993</v>
      </c>
      <c r="AA948" s="6">
        <f t="shared" si="128"/>
        <v>45037.681904431964</v>
      </c>
      <c r="AB948" s="2">
        <f t="shared" si="129"/>
        <v>-8.9304554204204297E-3</v>
      </c>
      <c r="AJ948" s="1">
        <v>44263</v>
      </c>
      <c r="AK948">
        <f>NETWORKDAYS(AJ948,$AJ$1,FERIADO!$A$2:$A$408)</f>
        <v>1465</v>
      </c>
      <c r="AL948">
        <v>7.86</v>
      </c>
      <c r="AM948" s="6">
        <f t="shared" si="130"/>
        <v>64411.918190038567</v>
      </c>
      <c r="AN948" s="2">
        <f t="shared" si="131"/>
        <v>-6.2019561681089823E-3</v>
      </c>
      <c r="AP948" s="11">
        <f t="shared" si="132"/>
        <v>-4.4652277102102149E-3</v>
      </c>
      <c r="AQ948" s="11">
        <f t="shared" si="133"/>
        <v>-1.8605868504326945E-3</v>
      </c>
      <c r="AR948" s="11">
        <f t="shared" si="134"/>
        <v>-6.3258145606429096E-3</v>
      </c>
    </row>
    <row r="949" spans="2:44" x14ac:dyDescent="0.35">
      <c r="B949" s="1">
        <v>44260</v>
      </c>
      <c r="C949">
        <v>4182.96</v>
      </c>
      <c r="D949" s="1">
        <v>44265</v>
      </c>
      <c r="E949">
        <v>5.7443</v>
      </c>
      <c r="F949" s="1">
        <v>44258</v>
      </c>
      <c r="G949">
        <v>133.02699999999999</v>
      </c>
      <c r="H949" s="4">
        <f t="shared" si="126"/>
        <v>764146.99609999987</v>
      </c>
      <c r="I949" s="5">
        <v>44260</v>
      </c>
      <c r="J949" s="4">
        <v>7108.55</v>
      </c>
      <c r="K949" s="4">
        <f t="shared" si="127"/>
        <v>71085.5</v>
      </c>
      <c r="L949" s="1">
        <v>44260</v>
      </c>
      <c r="M949">
        <v>2.92</v>
      </c>
      <c r="P949" s="1">
        <v>44260</v>
      </c>
      <c r="Q949">
        <v>3.1</v>
      </c>
      <c r="R949" s="1">
        <v>44259</v>
      </c>
      <c r="S949">
        <v>3.56</v>
      </c>
      <c r="X949" s="1">
        <v>44260</v>
      </c>
      <c r="Y949">
        <f>NETWORKDAYS(X949,$Z$1,FERIADO!$A$2:$A$408)</f>
        <v>2479</v>
      </c>
      <c r="Z949">
        <v>8.2200000000000006</v>
      </c>
      <c r="AA949" s="6">
        <f t="shared" si="128"/>
        <v>45973.385296948007</v>
      </c>
      <c r="AB949" s="2">
        <f t="shared" si="129"/>
        <v>1.2361688869293041E-2</v>
      </c>
      <c r="AJ949" s="1">
        <v>44260</v>
      </c>
      <c r="AK949">
        <f>NETWORKDAYS(AJ949,$AJ$1,FERIADO!$A$2:$A$408)</f>
        <v>1466</v>
      </c>
      <c r="AL949">
        <v>7.59</v>
      </c>
      <c r="AM949" s="6">
        <f t="shared" si="130"/>
        <v>65338.353890367092</v>
      </c>
      <c r="AN949" s="2">
        <f t="shared" si="131"/>
        <v>5.9939141191624225E-3</v>
      </c>
      <c r="AP949" s="11">
        <f t="shared" si="132"/>
        <v>6.1808444346465206E-3</v>
      </c>
      <c r="AQ949" s="11">
        <f t="shared" si="133"/>
        <v>1.7981742357487266E-3</v>
      </c>
      <c r="AR949" s="11">
        <f t="shared" si="134"/>
        <v>7.9790186703952472E-3</v>
      </c>
    </row>
    <row r="950" spans="2:44" x14ac:dyDescent="0.35">
      <c r="B950" s="1">
        <v>44259</v>
      </c>
      <c r="C950">
        <v>4098.24</v>
      </c>
      <c r="D950" s="1">
        <v>44264</v>
      </c>
      <c r="E950">
        <v>5.8391000000000002</v>
      </c>
      <c r="F950" s="1">
        <v>44257</v>
      </c>
      <c r="G950">
        <v>133.59700000000001</v>
      </c>
      <c r="H950" s="4">
        <f t="shared" si="126"/>
        <v>780086.24270000006</v>
      </c>
      <c r="I950" s="5">
        <v>44259</v>
      </c>
      <c r="J950" s="4">
        <v>7081.1</v>
      </c>
      <c r="K950" s="4">
        <f t="shared" si="127"/>
        <v>70811</v>
      </c>
      <c r="L950" s="1">
        <v>44259</v>
      </c>
      <c r="M950">
        <v>2.98</v>
      </c>
      <c r="P950" s="1">
        <v>44259</v>
      </c>
      <c r="Q950">
        <v>3.31</v>
      </c>
      <c r="R950" s="1">
        <v>44258</v>
      </c>
      <c r="S950">
        <v>3.7</v>
      </c>
      <c r="X950" s="1">
        <v>44259</v>
      </c>
      <c r="Y950">
        <f>NETWORKDAYS(X950,$Z$1,FERIADO!$A$2:$A$408)</f>
        <v>2480</v>
      </c>
      <c r="Z950">
        <v>8.5299999999999994</v>
      </c>
      <c r="AA950" s="6">
        <f t="shared" si="128"/>
        <v>44683.254334036348</v>
      </c>
      <c r="AB950" s="2">
        <f t="shared" si="129"/>
        <v>2.0578474577288237E-2</v>
      </c>
      <c r="AJ950" s="1">
        <v>44259</v>
      </c>
      <c r="AK950">
        <f>NETWORKDAYS(AJ950,$AJ$1,FERIADO!$A$2:$A$408)</f>
        <v>1467</v>
      </c>
      <c r="AL950">
        <v>7.84</v>
      </c>
      <c r="AM950" s="6">
        <f t="shared" si="130"/>
        <v>64442.781114003774</v>
      </c>
      <c r="AN950" s="2">
        <f t="shared" si="131"/>
        <v>1.3700479163019894E-2</v>
      </c>
      <c r="AP950" s="11">
        <f t="shared" si="132"/>
        <v>1.0289237288644119E-2</v>
      </c>
      <c r="AQ950" s="11">
        <f t="shared" si="133"/>
        <v>4.1101437489059678E-3</v>
      </c>
      <c r="AR950" s="11">
        <f t="shared" si="134"/>
        <v>1.4399381037550087E-2</v>
      </c>
    </row>
    <row r="951" spans="2:44" x14ac:dyDescent="0.35">
      <c r="B951" s="1">
        <v>44258</v>
      </c>
      <c r="C951">
        <v>4158.42</v>
      </c>
      <c r="D951" s="1">
        <v>44263</v>
      </c>
      <c r="E951">
        <v>5.7336999999999998</v>
      </c>
      <c r="F951" s="1">
        <v>44256</v>
      </c>
      <c r="G951">
        <v>133.29</v>
      </c>
      <c r="H951" s="4">
        <f t="shared" si="126"/>
        <v>764244.87299999991</v>
      </c>
      <c r="I951" s="5">
        <v>44258</v>
      </c>
      <c r="J951" s="4">
        <v>7014.97</v>
      </c>
      <c r="K951" s="4">
        <f t="shared" si="127"/>
        <v>70149.7</v>
      </c>
      <c r="L951" s="1">
        <v>44258</v>
      </c>
      <c r="M951">
        <v>3.18</v>
      </c>
      <c r="P951" s="1">
        <v>44258</v>
      </c>
      <c r="Q951">
        <v>3.48</v>
      </c>
      <c r="R951" s="1">
        <v>44257</v>
      </c>
      <c r="S951">
        <v>3.68</v>
      </c>
      <c r="X951" s="1">
        <v>44258</v>
      </c>
      <c r="Y951">
        <f>NETWORKDAYS(X951,$Z$1,FERIADO!$A$2:$A$408)</f>
        <v>2481</v>
      </c>
      <c r="Z951">
        <v>9.0500000000000007</v>
      </c>
      <c r="AA951" s="6">
        <f t="shared" si="128"/>
        <v>42615.375663898092</v>
      </c>
      <c r="AB951" s="2">
        <f t="shared" si="129"/>
        <v>-1.1241013294603927E-2</v>
      </c>
      <c r="AJ951" s="1">
        <v>44258</v>
      </c>
      <c r="AK951">
        <f>NETWORKDAYS(AJ951,$AJ$1,FERIADO!$A$2:$A$408)</f>
        <v>1468</v>
      </c>
      <c r="AL951">
        <v>8.42</v>
      </c>
      <c r="AM951" s="6">
        <f t="shared" si="130"/>
        <v>62441.567315891225</v>
      </c>
      <c r="AN951" s="2">
        <f t="shared" si="131"/>
        <v>-6.8755362318749782E-3</v>
      </c>
      <c r="AP951" s="11">
        <f t="shared" si="132"/>
        <v>-5.6205066473019637E-3</v>
      </c>
      <c r="AQ951" s="11">
        <f t="shared" si="133"/>
        <v>-2.0626608695624932E-3</v>
      </c>
      <c r="AR951" s="11">
        <f t="shared" si="134"/>
        <v>-7.6831675168644569E-3</v>
      </c>
    </row>
    <row r="952" spans="2:44" x14ac:dyDescent="0.35">
      <c r="B952" s="1">
        <v>44257</v>
      </c>
      <c r="C952">
        <v>4214.8599999999997</v>
      </c>
      <c r="D952" s="1">
        <v>44260</v>
      </c>
      <c r="E952">
        <v>5.6863999999999999</v>
      </c>
      <c r="F952" s="1">
        <v>44253</v>
      </c>
      <c r="G952">
        <v>132.964</v>
      </c>
      <c r="H952" s="4">
        <f t="shared" si="126"/>
        <v>756086.48959999997</v>
      </c>
      <c r="I952" s="5">
        <v>44257</v>
      </c>
      <c r="J952" s="4">
        <v>7094.82</v>
      </c>
      <c r="K952" s="4">
        <f t="shared" si="127"/>
        <v>70948.2</v>
      </c>
      <c r="L952" s="1">
        <v>44257</v>
      </c>
      <c r="M952">
        <v>3.14</v>
      </c>
      <c r="P952" s="1">
        <v>44257</v>
      </c>
      <c r="Q952">
        <v>3.48</v>
      </c>
      <c r="R952" s="1">
        <v>44256</v>
      </c>
      <c r="S952">
        <v>3.61</v>
      </c>
      <c r="X952" s="1">
        <v>44257</v>
      </c>
      <c r="Y952">
        <f>NETWORKDAYS(X952,$Z$1,FERIADO!$A$2:$A$408)</f>
        <v>2482</v>
      </c>
      <c r="Z952">
        <v>8.76</v>
      </c>
      <c r="AA952" s="6">
        <f t="shared" si="128"/>
        <v>43732.805083043015</v>
      </c>
      <c r="AB952" s="2">
        <f t="shared" si="129"/>
        <v>-6.1551412912917592E-3</v>
      </c>
      <c r="AJ952" s="1">
        <v>44257</v>
      </c>
      <c r="AK952">
        <f>NETWORKDAYS(AJ952,$AJ$1,FERIADO!$A$2:$A$408)</f>
        <v>1469</v>
      </c>
      <c r="AL952">
        <v>8.1199999999999992</v>
      </c>
      <c r="AM952" s="6">
        <f t="shared" si="130"/>
        <v>63437.977970459171</v>
      </c>
      <c r="AN952" s="2">
        <f t="shared" si="131"/>
        <v>-3.3825768830203838E-3</v>
      </c>
      <c r="AP952" s="11">
        <f t="shared" si="132"/>
        <v>-3.0775706456458796E-3</v>
      </c>
      <c r="AQ952" s="11">
        <f t="shared" si="133"/>
        <v>-1.0147730649061151E-3</v>
      </c>
      <c r="AR952" s="11">
        <f t="shared" si="134"/>
        <v>-4.0923437105519949E-3</v>
      </c>
    </row>
    <row r="953" spans="2:44" x14ac:dyDescent="0.35">
      <c r="B953" s="1">
        <v>44256</v>
      </c>
      <c r="C953">
        <v>4240.59</v>
      </c>
      <c r="D953" s="1">
        <v>44259</v>
      </c>
      <c r="E953">
        <v>5.6002000000000001</v>
      </c>
      <c r="F953" s="1">
        <v>44252</v>
      </c>
      <c r="G953">
        <v>132.59200000000001</v>
      </c>
      <c r="H953" s="4">
        <f t="shared" si="126"/>
        <v>742541.71840000001</v>
      </c>
      <c r="I953" s="5">
        <v>44256</v>
      </c>
      <c r="J953" s="4">
        <v>7046.78</v>
      </c>
      <c r="K953" s="4">
        <f t="shared" si="127"/>
        <v>70467.8</v>
      </c>
      <c r="L953" s="1">
        <v>44256</v>
      </c>
      <c r="M953">
        <v>3.17</v>
      </c>
      <c r="P953" s="1">
        <v>44256</v>
      </c>
      <c r="Q953">
        <v>3.39</v>
      </c>
      <c r="R953" s="1">
        <v>44253</v>
      </c>
      <c r="S953">
        <v>3.61</v>
      </c>
      <c r="X953" s="1">
        <v>44256</v>
      </c>
      <c r="Y953">
        <f>NETWORKDAYS(X953,$Z$1,FERIADO!$A$2:$A$408)</f>
        <v>2483</v>
      </c>
      <c r="Z953">
        <v>8.6</v>
      </c>
      <c r="AA953" s="6">
        <f t="shared" si="128"/>
        <v>44357.031660111825</v>
      </c>
      <c r="AB953" s="2">
        <f t="shared" si="129"/>
        <v>-3.406998473283615E-3</v>
      </c>
      <c r="AJ953" s="1">
        <v>44256</v>
      </c>
      <c r="AK953">
        <f>NETWORKDAYS(AJ953,$AJ$1,FERIADO!$A$2:$A$408)</f>
        <v>1470</v>
      </c>
      <c r="AL953">
        <v>7.97</v>
      </c>
      <c r="AM953" s="6">
        <f t="shared" si="130"/>
        <v>63934.004703537277</v>
      </c>
      <c r="AN953" s="2">
        <f t="shared" si="131"/>
        <v>-2.6869809268086002E-3</v>
      </c>
      <c r="AP953" s="11">
        <f t="shared" si="132"/>
        <v>-1.7034992366418075E-3</v>
      </c>
      <c r="AQ953" s="11">
        <f t="shared" si="133"/>
        <v>-8.0609427804257999E-4</v>
      </c>
      <c r="AR953" s="11">
        <f t="shared" si="134"/>
        <v>-2.5095935146843876E-3</v>
      </c>
    </row>
    <row r="954" spans="2:44" x14ac:dyDescent="0.35">
      <c r="B954" s="1">
        <v>44253</v>
      </c>
      <c r="C954">
        <v>4168.24</v>
      </c>
      <c r="D954" s="1">
        <v>44258</v>
      </c>
      <c r="E954">
        <v>5.7336</v>
      </c>
      <c r="F954" s="1">
        <v>44251</v>
      </c>
      <c r="G954">
        <v>135.20099999999999</v>
      </c>
      <c r="H954" s="4">
        <f t="shared" si="126"/>
        <v>775188.45360000001</v>
      </c>
      <c r="I954" s="5">
        <v>44253</v>
      </c>
      <c r="J954" s="4">
        <v>6999.99</v>
      </c>
      <c r="K954" s="4">
        <f t="shared" si="127"/>
        <v>69999.899999999994</v>
      </c>
      <c r="L954" s="1">
        <v>44253</v>
      </c>
      <c r="M954">
        <v>3.02</v>
      </c>
      <c r="P954" s="1">
        <v>44253</v>
      </c>
      <c r="Q954">
        <v>3.37</v>
      </c>
      <c r="R954" s="1">
        <v>44251</v>
      </c>
      <c r="S954">
        <v>3.51</v>
      </c>
      <c r="X954" s="1">
        <v>44253</v>
      </c>
      <c r="Y954">
        <f>NETWORKDAYS(X954,$Z$1,FERIADO!$A$2:$A$408)</f>
        <v>2484</v>
      </c>
      <c r="Z954">
        <v>8.51</v>
      </c>
      <c r="AA954" s="6">
        <f t="shared" si="128"/>
        <v>44706.376808544846</v>
      </c>
      <c r="AB954" s="2">
        <f t="shared" si="129"/>
        <v>1.7191649672046862E-3</v>
      </c>
      <c r="AJ954" s="1">
        <v>44253</v>
      </c>
      <c r="AK954">
        <f>NETWORKDAYS(AJ954,$AJ$1,FERIADO!$A$2:$A$408)</f>
        <v>1471</v>
      </c>
      <c r="AL954">
        <v>7.85</v>
      </c>
      <c r="AM954" s="6">
        <f t="shared" si="130"/>
        <v>64330.790725320549</v>
      </c>
      <c r="AN954" s="2">
        <f t="shared" si="131"/>
        <v>-1.0499069291810502E-4</v>
      </c>
      <c r="AP954" s="11">
        <f t="shared" si="132"/>
        <v>8.5958248360234308E-4</v>
      </c>
      <c r="AQ954" s="11">
        <f t="shared" si="133"/>
        <v>-3.1497207875431509E-5</v>
      </c>
      <c r="AR954" s="11">
        <f t="shared" si="134"/>
        <v>8.2808527572691157E-4</v>
      </c>
    </row>
    <row r="955" spans="2:44" x14ac:dyDescent="0.35">
      <c r="B955" s="1">
        <v>44252</v>
      </c>
      <c r="C955">
        <v>4168.2700000000004</v>
      </c>
      <c r="D955" s="1">
        <v>44257</v>
      </c>
      <c r="E955">
        <v>5.6837999999999997</v>
      </c>
      <c r="F955" s="1">
        <v>44250</v>
      </c>
      <c r="G955">
        <v>135.30699999999999</v>
      </c>
      <c r="H955" s="4">
        <f t="shared" si="126"/>
        <v>769057.92659999989</v>
      </c>
      <c r="I955" s="5">
        <v>44252</v>
      </c>
      <c r="J955" s="4">
        <v>6912.65</v>
      </c>
      <c r="K955" s="4">
        <f t="shared" si="127"/>
        <v>69126.5</v>
      </c>
      <c r="L955" s="1">
        <v>44252</v>
      </c>
      <c r="M955">
        <v>2.93</v>
      </c>
      <c r="P955" s="1">
        <v>44252</v>
      </c>
      <c r="Q955">
        <v>3.31</v>
      </c>
      <c r="R955" s="1">
        <v>44250</v>
      </c>
      <c r="S955">
        <v>3.47</v>
      </c>
      <c r="X955" s="1">
        <v>44252</v>
      </c>
      <c r="Y955">
        <f>NETWORKDAYS(X955,$Z$1,FERIADO!$A$2:$A$408)</f>
        <v>2485</v>
      </c>
      <c r="Z955">
        <v>8.5500000000000007</v>
      </c>
      <c r="AA955" s="6">
        <f t="shared" si="128"/>
        <v>44529.755370425177</v>
      </c>
      <c r="AB955" s="2">
        <f t="shared" si="129"/>
        <v>-4.9926442024830668E-3</v>
      </c>
      <c r="AJ955" s="1">
        <v>44252</v>
      </c>
      <c r="AK955">
        <f>NETWORKDAYS(AJ955,$AJ$1,FERIADO!$A$2:$A$408)</f>
        <v>1472</v>
      </c>
      <c r="AL955">
        <v>7.84</v>
      </c>
      <c r="AM955" s="6">
        <f t="shared" si="130"/>
        <v>64346.344574258277</v>
      </c>
      <c r="AN955" s="2">
        <f t="shared" si="131"/>
        <v>-3.4033805770817046E-3</v>
      </c>
      <c r="AP955" s="11">
        <f t="shared" si="132"/>
        <v>-2.4963221012415334E-3</v>
      </c>
      <c r="AQ955" s="11">
        <f t="shared" si="133"/>
        <v>-1.0210141731245112E-3</v>
      </c>
      <c r="AR955" s="11">
        <f t="shared" si="134"/>
        <v>-3.5173362743660449E-3</v>
      </c>
    </row>
    <row r="956" spans="2:44" x14ac:dyDescent="0.35">
      <c r="B956" s="1">
        <v>44251</v>
      </c>
      <c r="C956">
        <v>4264.92</v>
      </c>
      <c r="D956" s="1">
        <v>44256</v>
      </c>
      <c r="E956">
        <v>5.5826000000000002</v>
      </c>
      <c r="F956" s="1">
        <v>44249</v>
      </c>
      <c r="G956">
        <v>135.36000000000001</v>
      </c>
      <c r="H956" s="4">
        <f t="shared" si="126"/>
        <v>755660.73600000015</v>
      </c>
      <c r="I956" s="5">
        <v>44251</v>
      </c>
      <c r="J956" s="4">
        <v>6749.68</v>
      </c>
      <c r="K956" s="4">
        <f t="shared" si="127"/>
        <v>67496.800000000003</v>
      </c>
      <c r="L956" s="1">
        <v>44251</v>
      </c>
      <c r="M956">
        <v>2.84</v>
      </c>
      <c r="P956" s="1">
        <v>44251</v>
      </c>
      <c r="Q956">
        <v>3.22</v>
      </c>
      <c r="R956" s="1">
        <v>44249</v>
      </c>
      <c r="S956">
        <v>3.47</v>
      </c>
      <c r="X956" s="1">
        <v>44251</v>
      </c>
      <c r="Y956">
        <f>NETWORKDAYS(X956,$Z$1,FERIADO!$A$2:$A$408)</f>
        <v>2486</v>
      </c>
      <c r="Z956">
        <v>8.42</v>
      </c>
      <c r="AA956" s="6">
        <f t="shared" si="128"/>
        <v>45044.6226929533</v>
      </c>
      <c r="AB956" s="2">
        <f t="shared" si="129"/>
        <v>-7.3783696940603345E-3</v>
      </c>
      <c r="AJ956" s="1">
        <v>44251</v>
      </c>
      <c r="AK956">
        <f>NETWORKDAYS(AJ956,$AJ$1,FERIADO!$A$2:$A$408)</f>
        <v>1473</v>
      </c>
      <c r="AL956">
        <v>7.69</v>
      </c>
      <c r="AM956" s="6">
        <f t="shared" si="130"/>
        <v>64852.580411821153</v>
      </c>
      <c r="AN956" s="2">
        <f t="shared" si="131"/>
        <v>-4.3581506237838673E-3</v>
      </c>
      <c r="AP956" s="11">
        <f t="shared" si="132"/>
        <v>-3.6891848470301672E-3</v>
      </c>
      <c r="AQ956" s="11">
        <f t="shared" si="133"/>
        <v>-1.3074451871351602E-3</v>
      </c>
      <c r="AR956" s="11">
        <f t="shared" si="134"/>
        <v>-4.996630034165327E-3</v>
      </c>
    </row>
    <row r="957" spans="2:44" x14ac:dyDescent="0.35">
      <c r="B957" s="1">
        <v>44250</v>
      </c>
      <c r="C957">
        <v>4226.6899999999996</v>
      </c>
      <c r="D957" s="1">
        <v>44253</v>
      </c>
      <c r="E957">
        <v>5.5296000000000003</v>
      </c>
      <c r="F957" s="1">
        <v>44246</v>
      </c>
      <c r="G957">
        <v>135.40199999999999</v>
      </c>
      <c r="H957" s="4">
        <f t="shared" si="126"/>
        <v>748718.89919999999</v>
      </c>
      <c r="I957" s="5">
        <v>44250</v>
      </c>
      <c r="J957" s="4">
        <v>6796.51</v>
      </c>
      <c r="K957" s="4">
        <f t="shared" si="127"/>
        <v>67965.100000000006</v>
      </c>
      <c r="L957" s="1">
        <v>44250</v>
      </c>
      <c r="M957">
        <v>2.75</v>
      </c>
      <c r="P957" s="1">
        <v>44250</v>
      </c>
      <c r="Q957">
        <v>3.18</v>
      </c>
      <c r="R957" s="1">
        <v>44246</v>
      </c>
      <c r="S957">
        <v>3.38</v>
      </c>
      <c r="X957" s="1">
        <v>44250</v>
      </c>
      <c r="Y957">
        <f>NETWORKDAYS(X957,$Z$1,FERIADO!$A$2:$A$408)</f>
        <v>2487</v>
      </c>
      <c r="Z957">
        <v>8.23</v>
      </c>
      <c r="AA957" s="6">
        <f t="shared" si="128"/>
        <v>45816.438132260395</v>
      </c>
      <c r="AB957" s="2">
        <f t="shared" si="129"/>
        <v>2.1167151733289245E-3</v>
      </c>
      <c r="AJ957" s="1">
        <v>44250</v>
      </c>
      <c r="AK957">
        <f>NETWORKDAYS(AJ957,$AJ$1,FERIADO!$A$2:$A$408)</f>
        <v>1474</v>
      </c>
      <c r="AL957">
        <v>7.5</v>
      </c>
      <c r="AM957" s="6">
        <f t="shared" si="130"/>
        <v>65506.653202781592</v>
      </c>
      <c r="AN957" s="2">
        <f t="shared" si="131"/>
        <v>1.7793548222105604E-3</v>
      </c>
      <c r="AP957" s="11">
        <f t="shared" si="132"/>
        <v>1.0583575866644622E-3</v>
      </c>
      <c r="AQ957" s="11">
        <f t="shared" si="133"/>
        <v>5.338064466631681E-4</v>
      </c>
      <c r="AR957" s="11">
        <f t="shared" si="134"/>
        <v>1.5921640333276302E-3</v>
      </c>
    </row>
    <row r="958" spans="2:44" x14ac:dyDescent="0.35">
      <c r="B958" s="1">
        <v>44249</v>
      </c>
      <c r="C958">
        <v>4215.42</v>
      </c>
      <c r="D958" s="1">
        <v>44252</v>
      </c>
      <c r="E958">
        <v>5.4593999999999996</v>
      </c>
      <c r="F958" s="1">
        <v>44245</v>
      </c>
      <c r="G958">
        <v>135.78299999999999</v>
      </c>
      <c r="H958" s="4">
        <f t="shared" si="126"/>
        <v>741293.71019999986</v>
      </c>
      <c r="I958" s="5">
        <v>44249</v>
      </c>
      <c r="J958" s="4">
        <v>6827.11</v>
      </c>
      <c r="K958" s="4">
        <f t="shared" si="127"/>
        <v>68271.099999999991</v>
      </c>
      <c r="L958" s="1">
        <v>44249</v>
      </c>
      <c r="M958">
        <v>2.76</v>
      </c>
      <c r="P958" s="1">
        <v>44249</v>
      </c>
      <c r="Q958">
        <v>3.17</v>
      </c>
      <c r="R958" s="1">
        <v>44245</v>
      </c>
      <c r="S958">
        <v>3.33</v>
      </c>
      <c r="X958" s="1">
        <v>44249</v>
      </c>
      <c r="Y958">
        <f>NETWORKDAYS(X958,$Z$1,FERIADO!$A$2:$A$408)</f>
        <v>2488</v>
      </c>
      <c r="Z958">
        <v>8.2799999999999994</v>
      </c>
      <c r="AA958" s="6">
        <f t="shared" si="128"/>
        <v>45593.675927741351</v>
      </c>
      <c r="AB958" s="2">
        <f t="shared" si="129"/>
        <v>-6.6027577462976468E-3</v>
      </c>
      <c r="AJ958" s="1">
        <v>44249</v>
      </c>
      <c r="AK958">
        <f>NETWORKDAYS(AJ958,$AJ$1,FERIADO!$A$2:$A$408)</f>
        <v>1475</v>
      </c>
      <c r="AL958">
        <v>7.57</v>
      </c>
      <c r="AM958" s="6">
        <f t="shared" si="130"/>
        <v>65238.813912101563</v>
      </c>
      <c r="AN958" s="2">
        <f t="shared" si="131"/>
        <v>-4.6080751278683302E-3</v>
      </c>
      <c r="AP958" s="11">
        <f t="shared" si="132"/>
        <v>-3.3013788731488234E-3</v>
      </c>
      <c r="AQ958" s="11">
        <f t="shared" si="133"/>
        <v>-1.3824225383604991E-3</v>
      </c>
      <c r="AR958" s="11">
        <f t="shared" si="134"/>
        <v>-4.6838014115093227E-3</v>
      </c>
    </row>
    <row r="959" spans="2:44" x14ac:dyDescent="0.35">
      <c r="B959" s="1">
        <v>44246</v>
      </c>
      <c r="C959">
        <v>4252.67</v>
      </c>
      <c r="D959" s="1">
        <v>44251</v>
      </c>
      <c r="E959">
        <v>5.4176000000000002</v>
      </c>
      <c r="F959" s="1">
        <v>44244</v>
      </c>
      <c r="G959">
        <v>135.81299999999999</v>
      </c>
      <c r="H959" s="4">
        <f t="shared" si="126"/>
        <v>735780.50879999995</v>
      </c>
      <c r="I959" s="5">
        <v>44246</v>
      </c>
      <c r="J959" s="4">
        <v>6722.21</v>
      </c>
      <c r="K959" s="4">
        <f t="shared" si="127"/>
        <v>67222.100000000006</v>
      </c>
      <c r="L959" s="1">
        <v>44246</v>
      </c>
      <c r="M959">
        <v>2.63</v>
      </c>
      <c r="P959" s="1">
        <v>44246</v>
      </c>
      <c r="Q959">
        <v>3.07</v>
      </c>
      <c r="R959" s="1">
        <v>44244</v>
      </c>
      <c r="S959">
        <v>3.34</v>
      </c>
      <c r="X959" s="1">
        <v>44246</v>
      </c>
      <c r="Y959">
        <f>NETWORKDAYS(X959,$Z$1,FERIADO!$A$2:$A$408)</f>
        <v>2489</v>
      </c>
      <c r="Z959">
        <v>8.11</v>
      </c>
      <c r="AA959" s="6">
        <f t="shared" si="128"/>
        <v>46292.151499190972</v>
      </c>
      <c r="AB959" s="2">
        <f t="shared" si="129"/>
        <v>-4.2340978826132403E-3</v>
      </c>
      <c r="AJ959" s="1">
        <v>44246</v>
      </c>
      <c r="AK959">
        <f>NETWORKDAYS(AJ959,$AJ$1,FERIADO!$A$2:$A$408)</f>
        <v>1476</v>
      </c>
      <c r="AL959">
        <v>7.37</v>
      </c>
      <c r="AM959" s="6">
        <f t="shared" si="130"/>
        <v>65934.714768848775</v>
      </c>
      <c r="AN959" s="2">
        <f t="shared" si="131"/>
        <v>-2.2492790102032461E-3</v>
      </c>
      <c r="AP959" s="11">
        <f t="shared" si="132"/>
        <v>-2.1170489413066202E-3</v>
      </c>
      <c r="AQ959" s="11">
        <f t="shared" si="133"/>
        <v>-6.7478370306097379E-4</v>
      </c>
      <c r="AR959" s="11">
        <f t="shared" si="134"/>
        <v>-2.7918326443675942E-3</v>
      </c>
    </row>
    <row r="960" spans="2:44" x14ac:dyDescent="0.35">
      <c r="B960" s="1">
        <v>44245</v>
      </c>
      <c r="C960">
        <v>4259.3100000000004</v>
      </c>
      <c r="D960" s="1">
        <v>44250</v>
      </c>
      <c r="E960">
        <v>5.4484000000000004</v>
      </c>
      <c r="F960" s="1">
        <v>44239</v>
      </c>
      <c r="G960">
        <v>136.501</v>
      </c>
      <c r="H960" s="4">
        <f t="shared" si="126"/>
        <v>743712.04840000009</v>
      </c>
      <c r="I960" s="5">
        <v>44245</v>
      </c>
      <c r="J960" s="4">
        <v>6782.77</v>
      </c>
      <c r="K960" s="4">
        <f t="shared" si="127"/>
        <v>67827.700000000012</v>
      </c>
      <c r="L960" s="1">
        <v>44245</v>
      </c>
      <c r="M960">
        <v>2.59</v>
      </c>
      <c r="P960" s="1">
        <v>44245</v>
      </c>
      <c r="Q960">
        <v>3.02</v>
      </c>
      <c r="R960" s="1">
        <v>44239</v>
      </c>
      <c r="S960">
        <v>3.27</v>
      </c>
      <c r="X960" s="1">
        <v>44245</v>
      </c>
      <c r="Y960">
        <f>NETWORKDAYS(X960,$Z$1,FERIADO!$A$2:$A$408)</f>
        <v>2490</v>
      </c>
      <c r="Z960">
        <v>8</v>
      </c>
      <c r="AA960" s="6">
        <f t="shared" si="128"/>
        <v>46745.678050033988</v>
      </c>
      <c r="AB960" s="2">
        <f t="shared" si="129"/>
        <v>2.9142108885516268E-3</v>
      </c>
      <c r="AJ960" s="1">
        <v>44245</v>
      </c>
      <c r="AK960">
        <f>NETWORKDAYS(AJ960,$AJ$1,FERIADO!$A$2:$A$408)</f>
        <v>1477</v>
      </c>
      <c r="AL960">
        <v>7.27</v>
      </c>
      <c r="AM960" s="6">
        <f t="shared" si="130"/>
        <v>66277.086797299009</v>
      </c>
      <c r="AN960" s="2">
        <f t="shared" si="131"/>
        <v>8.3320867610598196E-4</v>
      </c>
      <c r="AP960" s="11">
        <f t="shared" si="132"/>
        <v>1.4571054442758134E-3</v>
      </c>
      <c r="AQ960" s="11">
        <f t="shared" si="133"/>
        <v>2.4996260283179458E-4</v>
      </c>
      <c r="AR960" s="11">
        <f t="shared" si="134"/>
        <v>1.7070680471076079E-3</v>
      </c>
    </row>
    <row r="961" spans="2:44" x14ac:dyDescent="0.35">
      <c r="B961" s="1">
        <v>44244</v>
      </c>
      <c r="C961">
        <v>4275.38</v>
      </c>
      <c r="D961" s="1">
        <v>44249</v>
      </c>
      <c r="E961">
        <v>5.5038</v>
      </c>
      <c r="F961" s="1">
        <v>44238</v>
      </c>
      <c r="G961">
        <v>136.863</v>
      </c>
      <c r="H961" s="4">
        <f t="shared" si="126"/>
        <v>753266.57939999993</v>
      </c>
      <c r="I961" s="5">
        <v>44244</v>
      </c>
      <c r="J961" s="4">
        <v>6760.92</v>
      </c>
      <c r="K961" s="4">
        <f t="shared" si="127"/>
        <v>67609.2</v>
      </c>
      <c r="L961" s="1">
        <v>44244</v>
      </c>
      <c r="M961">
        <v>2.58</v>
      </c>
      <c r="P961" s="1">
        <v>44244</v>
      </c>
      <c r="Q961">
        <v>3.05</v>
      </c>
      <c r="R961" s="1">
        <v>44238</v>
      </c>
      <c r="S961">
        <v>3.28</v>
      </c>
      <c r="X961" s="1">
        <v>44244</v>
      </c>
      <c r="Y961">
        <f>NETWORKDAYS(X961,$Z$1,FERIADO!$A$2:$A$408)</f>
        <v>2491</v>
      </c>
      <c r="Z961">
        <v>8.07</v>
      </c>
      <c r="AA961" s="6">
        <f t="shared" si="128"/>
        <v>46433.054393629995</v>
      </c>
      <c r="AB961" s="2">
        <f t="shared" si="129"/>
        <v>-4.2398635011825503E-3</v>
      </c>
      <c r="AJ961" s="1">
        <v>44244</v>
      </c>
      <c r="AK961">
        <f>NETWORKDAYS(AJ961,$AJ$1,FERIADO!$A$2:$A$408)</f>
        <v>1478</v>
      </c>
      <c r="AL961">
        <v>7.3</v>
      </c>
      <c r="AM961" s="6">
        <f t="shared" si="130"/>
        <v>66150.05385847576</v>
      </c>
      <c r="AN961" s="2">
        <f t="shared" si="131"/>
        <v>-2.492945920183363E-3</v>
      </c>
      <c r="AP961" s="11">
        <f t="shared" si="132"/>
        <v>-2.1199317505912751E-3</v>
      </c>
      <c r="AQ961" s="11">
        <f t="shared" si="133"/>
        <v>-7.4788377605500885E-4</v>
      </c>
      <c r="AR961" s="11">
        <f t="shared" si="134"/>
        <v>-2.867815526646284E-3</v>
      </c>
    </row>
    <row r="962" spans="2:44" x14ac:dyDescent="0.35">
      <c r="B962" s="1">
        <v>44239</v>
      </c>
      <c r="C962">
        <v>4279.03</v>
      </c>
      <c r="D962" s="1">
        <v>44246</v>
      </c>
      <c r="E962">
        <v>5.3917999999999999</v>
      </c>
      <c r="F962" s="1">
        <v>44237</v>
      </c>
      <c r="G962">
        <v>136.96899999999999</v>
      </c>
      <c r="H962" s="4">
        <f t="shared" si="126"/>
        <v>738509.45419999992</v>
      </c>
      <c r="I962" s="5">
        <v>44239</v>
      </c>
      <c r="J962" s="4">
        <v>6709.72</v>
      </c>
      <c r="K962" s="4">
        <f t="shared" si="127"/>
        <v>67097.2</v>
      </c>
      <c r="L962" s="1">
        <v>44239</v>
      </c>
      <c r="M962">
        <v>2.54</v>
      </c>
      <c r="P962" s="1">
        <v>44239</v>
      </c>
      <c r="Q962">
        <v>2.98</v>
      </c>
      <c r="R962" s="1">
        <v>44237</v>
      </c>
      <c r="S962">
        <v>3.32</v>
      </c>
      <c r="X962" s="1">
        <v>44239</v>
      </c>
      <c r="Y962">
        <f>NETWORKDAYS(X962,$Z$1,FERIADO!$A$2:$A$408)</f>
        <v>2492</v>
      </c>
      <c r="Z962">
        <v>7.96</v>
      </c>
      <c r="AA962" s="6">
        <f t="shared" si="128"/>
        <v>46888.583857873113</v>
      </c>
      <c r="AB962" s="2">
        <f t="shared" si="129"/>
        <v>-2.256448847720582E-3</v>
      </c>
      <c r="AJ962" s="1">
        <v>44239</v>
      </c>
      <c r="AK962">
        <f>NETWORKDAYS(AJ962,$AJ$1,FERIADO!$A$2:$A$408)</f>
        <v>1479</v>
      </c>
      <c r="AL962">
        <v>7.19</v>
      </c>
      <c r="AM962" s="6">
        <f t="shared" si="130"/>
        <v>66530.861642753458</v>
      </c>
      <c r="AN962" s="2">
        <f t="shared" si="131"/>
        <v>-1.5465554283322345E-3</v>
      </c>
      <c r="AP962" s="11">
        <f t="shared" si="132"/>
        <v>-1.128224423860291E-3</v>
      </c>
      <c r="AQ962" s="11">
        <f t="shared" si="133"/>
        <v>-4.6396662849967034E-4</v>
      </c>
      <c r="AR962" s="11">
        <f t="shared" si="134"/>
        <v>-1.5921910523599614E-3</v>
      </c>
    </row>
    <row r="963" spans="2:44" x14ac:dyDescent="0.35">
      <c r="B963" s="1">
        <v>44238</v>
      </c>
      <c r="C963">
        <v>4258.13</v>
      </c>
      <c r="D963" s="1">
        <v>44245</v>
      </c>
      <c r="E963">
        <v>5.4231999999999996</v>
      </c>
      <c r="F963" s="1">
        <v>44236</v>
      </c>
      <c r="G963">
        <v>136.71199999999999</v>
      </c>
      <c r="H963" s="4">
        <f t="shared" si="126"/>
        <v>741416.51839999983</v>
      </c>
      <c r="I963" s="5">
        <v>44238</v>
      </c>
      <c r="J963" s="4">
        <v>6706.6</v>
      </c>
      <c r="K963" s="4">
        <f t="shared" si="127"/>
        <v>67066</v>
      </c>
      <c r="L963" s="1">
        <v>44238</v>
      </c>
      <c r="M963">
        <v>2.5499999999999998</v>
      </c>
      <c r="P963" s="1">
        <v>44238</v>
      </c>
      <c r="Q963">
        <v>2.99</v>
      </c>
      <c r="R963" s="1">
        <v>44236</v>
      </c>
      <c r="S963">
        <v>3.32</v>
      </c>
      <c r="X963" s="1">
        <v>44238</v>
      </c>
      <c r="Y963">
        <f>NETWORKDAYS(X963,$Z$1,FERIADO!$A$2:$A$408)</f>
        <v>2493</v>
      </c>
      <c r="Z963">
        <v>7.9</v>
      </c>
      <c r="AA963" s="6">
        <f t="shared" si="128"/>
        <v>47132.835229170007</v>
      </c>
      <c r="AB963" s="2">
        <f t="shared" si="129"/>
        <v>-1.4626357533735429E-3</v>
      </c>
      <c r="AJ963" s="1">
        <v>44238</v>
      </c>
      <c r="AK963">
        <f>NETWORKDAYS(AJ963,$AJ$1,FERIADO!$A$2:$A$408)</f>
        <v>1480</v>
      </c>
      <c r="AL963">
        <v>7.12</v>
      </c>
      <c r="AM963" s="6">
        <f t="shared" si="130"/>
        <v>66768.205411182906</v>
      </c>
      <c r="AN963" s="2">
        <f t="shared" si="131"/>
        <v>-5.9637431890628104E-4</v>
      </c>
      <c r="AP963" s="11">
        <f t="shared" si="132"/>
        <v>-7.3131787668677146E-4</v>
      </c>
      <c r="AQ963" s="11">
        <f t="shared" si="133"/>
        <v>-1.7891229567188431E-4</v>
      </c>
      <c r="AR963" s="11">
        <f t="shared" si="134"/>
        <v>-9.1023017235865571E-4</v>
      </c>
    </row>
    <row r="964" spans="2:44" x14ac:dyDescent="0.35">
      <c r="B964" s="1">
        <v>44237</v>
      </c>
      <c r="C964">
        <v>4250.8</v>
      </c>
      <c r="D964" s="1">
        <v>44244</v>
      </c>
      <c r="E964">
        <v>5.4131999999999998</v>
      </c>
      <c r="F964" s="1">
        <v>44235</v>
      </c>
      <c r="G964">
        <v>136.64099999999999</v>
      </c>
      <c r="H964" s="4">
        <f t="shared" ref="H964:H1027" si="135">G964*E964*1000</f>
        <v>739665.0612</v>
      </c>
      <c r="I964" s="5">
        <v>44237</v>
      </c>
      <c r="J964" s="4">
        <v>6732.2</v>
      </c>
      <c r="K964" s="4">
        <f t="shared" si="127"/>
        <v>67322</v>
      </c>
      <c r="L964" s="1">
        <v>44237</v>
      </c>
      <c r="M964">
        <v>2.56</v>
      </c>
      <c r="P964" s="1">
        <v>44237</v>
      </c>
      <c r="Q964">
        <v>2.99</v>
      </c>
      <c r="R964" s="1">
        <v>44235</v>
      </c>
      <c r="S964">
        <v>3.27</v>
      </c>
      <c r="X964" s="1">
        <v>44237</v>
      </c>
      <c r="Y964">
        <f>NETWORKDAYS(X964,$Z$1,FERIADO!$A$2:$A$408)</f>
        <v>2494</v>
      </c>
      <c r="Z964">
        <v>7.86</v>
      </c>
      <c r="AA964" s="6">
        <f t="shared" si="128"/>
        <v>47291.838830983863</v>
      </c>
      <c r="AB964" s="2">
        <f t="shared" si="129"/>
        <v>1.3039847600051873E-4</v>
      </c>
      <c r="AJ964" s="1">
        <v>44237</v>
      </c>
      <c r="AK964">
        <f>NETWORKDAYS(AJ964,$AJ$1,FERIADO!$A$2:$A$408)</f>
        <v>1481</v>
      </c>
      <c r="AL964">
        <v>7.09</v>
      </c>
      <c r="AM964" s="6">
        <f t="shared" si="130"/>
        <v>66859.954666297504</v>
      </c>
      <c r="AN964" s="2">
        <f t="shared" si="131"/>
        <v>5.950008766293978E-4</v>
      </c>
      <c r="AP964" s="11">
        <f t="shared" si="132"/>
        <v>6.5199238000259363E-5</v>
      </c>
      <c r="AQ964" s="11">
        <f t="shared" si="133"/>
        <v>1.7850026298881934E-4</v>
      </c>
      <c r="AR964" s="11">
        <f t="shared" si="134"/>
        <v>2.436995009890787E-4</v>
      </c>
    </row>
    <row r="965" spans="2:44" x14ac:dyDescent="0.35">
      <c r="B965" s="1">
        <v>44236</v>
      </c>
      <c r="C965">
        <v>4254.3100000000004</v>
      </c>
      <c r="D965" s="1">
        <v>44239</v>
      </c>
      <c r="E965">
        <v>5.3808999999999996</v>
      </c>
      <c r="F965" s="1">
        <v>44232</v>
      </c>
      <c r="G965">
        <v>136.61699999999999</v>
      </c>
      <c r="H965" s="4">
        <f t="shared" si="135"/>
        <v>735122.41529999999</v>
      </c>
      <c r="I965" s="5">
        <v>44236</v>
      </c>
      <c r="J965" s="4">
        <v>6722.21</v>
      </c>
      <c r="K965" s="4">
        <f t="shared" ref="K965:K1028" si="136">J965*10</f>
        <v>67222.100000000006</v>
      </c>
      <c r="L965" s="1">
        <v>44236</v>
      </c>
      <c r="M965">
        <v>2.59</v>
      </c>
      <c r="P965" s="1">
        <v>44236</v>
      </c>
      <c r="Q965">
        <v>3.05</v>
      </c>
      <c r="R965" s="1">
        <v>44232</v>
      </c>
      <c r="S965">
        <v>3.25</v>
      </c>
      <c r="X965" s="1">
        <v>44236</v>
      </c>
      <c r="Y965">
        <f>NETWORKDAYS(X965,$Z$1,FERIADO!$A$2:$A$408)</f>
        <v>2495</v>
      </c>
      <c r="Z965">
        <v>7.86</v>
      </c>
      <c r="AA965" s="6">
        <f t="shared" ref="AA965:AA1028" si="137">$Z$2/(1+Z965/100)^(Y965/252)</f>
        <v>47277.64141825831</v>
      </c>
      <c r="AB965" s="2">
        <f t="shared" ref="AB965:AB1028" si="138">LOG(AA965/AA966)</f>
        <v>-1.8641225593171663E-3</v>
      </c>
      <c r="AJ965" s="1">
        <v>44236</v>
      </c>
      <c r="AK965">
        <f>NETWORKDAYS(AJ965,$AJ$1,FERIADO!$A$2:$A$408)</f>
        <v>1482</v>
      </c>
      <c r="AL965">
        <v>7.11</v>
      </c>
      <c r="AM965" s="6">
        <f t="shared" ref="AM965:AM1028" si="139">$Z$2/(1+AL965/100)^(AK965/252)</f>
        <v>66768.41656381065</v>
      </c>
      <c r="AN965" s="2">
        <f t="shared" ref="AN965:AN1028" si="140">LOG(AM965/AM966)</f>
        <v>-1.7912476618345417E-3</v>
      </c>
      <c r="AP965" s="11">
        <f t="shared" ref="AP965:AP1028" si="141">AB965*$AF$4</f>
        <v>-9.3206127965858316E-4</v>
      </c>
      <c r="AQ965" s="11">
        <f t="shared" ref="AQ965:AQ1028" si="142">AN965*$AF$7</f>
        <v>-5.3737429855036246E-4</v>
      </c>
      <c r="AR965" s="11">
        <f t="shared" ref="AR965:AR1028" si="143">AQ965+AP965</f>
        <v>-1.4694355782089456E-3</v>
      </c>
    </row>
    <row r="966" spans="2:44" x14ac:dyDescent="0.35">
      <c r="B966" s="1">
        <v>44235</v>
      </c>
      <c r="C966">
        <v>4249.22</v>
      </c>
      <c r="D966" s="1">
        <v>44238</v>
      </c>
      <c r="E966">
        <v>5.3620000000000001</v>
      </c>
      <c r="F966" s="1">
        <v>44231</v>
      </c>
      <c r="G966">
        <v>136.77799999999999</v>
      </c>
      <c r="H966" s="4">
        <f t="shared" si="135"/>
        <v>733403.63600000006</v>
      </c>
      <c r="I966" s="5">
        <v>44235</v>
      </c>
      <c r="J966" s="4">
        <v>6707.22</v>
      </c>
      <c r="K966" s="4">
        <f t="shared" si="136"/>
        <v>67072.2</v>
      </c>
      <c r="L966" s="1">
        <v>44235</v>
      </c>
      <c r="M966">
        <v>2.54</v>
      </c>
      <c r="P966" s="1">
        <v>44235</v>
      </c>
      <c r="Q966">
        <v>3.02</v>
      </c>
      <c r="R966" s="1">
        <v>44231</v>
      </c>
      <c r="S966">
        <v>3.25</v>
      </c>
      <c r="X966" s="1">
        <v>44235</v>
      </c>
      <c r="Y966">
        <f>NETWORKDAYS(X966,$Z$1,FERIADO!$A$2:$A$408)</f>
        <v>2496</v>
      </c>
      <c r="Z966">
        <v>7.81</v>
      </c>
      <c r="AA966" s="6">
        <f t="shared" si="137"/>
        <v>47481.007418918161</v>
      </c>
      <c r="AB966" s="2">
        <f t="shared" si="138"/>
        <v>-1.8666463352073469E-3</v>
      </c>
      <c r="AJ966" s="1">
        <v>44235</v>
      </c>
      <c r="AK966">
        <f>NETWORKDAYS(AJ966,$AJ$1,FERIADO!$A$2:$A$408)</f>
        <v>1483</v>
      </c>
      <c r="AL966">
        <v>7.03</v>
      </c>
      <c r="AM966" s="6">
        <f t="shared" si="139"/>
        <v>67044.371605985812</v>
      </c>
      <c r="AN966" s="2">
        <f t="shared" si="140"/>
        <v>-1.0779578018262469E-3</v>
      </c>
      <c r="AP966" s="11">
        <f t="shared" si="141"/>
        <v>-9.3332316760367346E-4</v>
      </c>
      <c r="AQ966" s="11">
        <f t="shared" si="142"/>
        <v>-3.2338734054787409E-4</v>
      </c>
      <c r="AR966" s="11">
        <f t="shared" si="143"/>
        <v>-1.2567105081515476E-3</v>
      </c>
    </row>
    <row r="967" spans="2:44" x14ac:dyDescent="0.35">
      <c r="B967" s="1">
        <v>44232</v>
      </c>
      <c r="C967">
        <v>4223.08</v>
      </c>
      <c r="D967" s="1">
        <v>44237</v>
      </c>
      <c r="E967">
        <v>5.4017999999999997</v>
      </c>
      <c r="F967" s="1">
        <v>44230</v>
      </c>
      <c r="G967">
        <v>136.762</v>
      </c>
      <c r="H967" s="4">
        <f t="shared" si="135"/>
        <v>738760.97159999993</v>
      </c>
      <c r="I967" s="5">
        <v>44232</v>
      </c>
      <c r="J967" s="4">
        <v>6712.22</v>
      </c>
      <c r="K967" s="4">
        <f t="shared" si="136"/>
        <v>67122.2</v>
      </c>
      <c r="L967" s="1">
        <v>44232</v>
      </c>
      <c r="M967">
        <v>2.54</v>
      </c>
      <c r="P967" s="1">
        <v>44232</v>
      </c>
      <c r="Q967">
        <v>3.02</v>
      </c>
      <c r="R967" s="1">
        <v>44230</v>
      </c>
      <c r="S967">
        <v>3.18</v>
      </c>
      <c r="X967" s="1">
        <v>44232</v>
      </c>
      <c r="Y967">
        <f>NETWORKDAYS(X967,$Z$1,FERIADO!$A$2:$A$408)</f>
        <v>2497</v>
      </c>
      <c r="Z967">
        <v>7.76</v>
      </c>
      <c r="AA967" s="6">
        <f t="shared" si="137"/>
        <v>47685.525313440383</v>
      </c>
      <c r="AB967" s="2">
        <f t="shared" si="138"/>
        <v>1.2879993140841402E-4</v>
      </c>
      <c r="AJ967" s="1">
        <v>44232</v>
      </c>
      <c r="AK967">
        <f>NETWORKDAYS(AJ967,$AJ$1,FERIADO!$A$2:$A$408)</f>
        <v>1484</v>
      </c>
      <c r="AL967">
        <v>6.98</v>
      </c>
      <c r="AM967" s="6">
        <f t="shared" si="139"/>
        <v>67210.988434570449</v>
      </c>
      <c r="AN967" s="2">
        <f t="shared" si="140"/>
        <v>3.5549454095207202E-4</v>
      </c>
      <c r="AP967" s="11">
        <f t="shared" si="141"/>
        <v>6.4399965704207008E-5</v>
      </c>
      <c r="AQ967" s="11">
        <f t="shared" si="142"/>
        <v>1.066483622856216E-4</v>
      </c>
      <c r="AR967" s="11">
        <f t="shared" si="143"/>
        <v>1.7104832798982861E-4</v>
      </c>
    </row>
    <row r="968" spans="2:44" x14ac:dyDescent="0.35">
      <c r="B968" s="1">
        <v>44231</v>
      </c>
      <c r="C968">
        <v>4201.82</v>
      </c>
      <c r="D968" s="1">
        <v>44236</v>
      </c>
      <c r="E968">
        <v>5.4210000000000003</v>
      </c>
      <c r="F968" s="1">
        <v>44229</v>
      </c>
      <c r="G968">
        <v>136.96</v>
      </c>
      <c r="H968" s="4">
        <f t="shared" si="135"/>
        <v>742460.16</v>
      </c>
      <c r="I968" s="5">
        <v>44231</v>
      </c>
      <c r="J968" s="4">
        <v>6780.9</v>
      </c>
      <c r="K968" s="4">
        <f t="shared" si="136"/>
        <v>67809</v>
      </c>
      <c r="L968" s="1">
        <v>44231</v>
      </c>
      <c r="M968">
        <v>2.5299999999999998</v>
      </c>
      <c r="P968" s="1">
        <v>44231</v>
      </c>
      <c r="Q968">
        <v>3</v>
      </c>
      <c r="R968" s="1">
        <v>44229</v>
      </c>
      <c r="S968">
        <v>3.22</v>
      </c>
      <c r="X968" s="1">
        <v>44231</v>
      </c>
      <c r="Y968">
        <f>NETWORKDAYS(X968,$Z$1,FERIADO!$A$2:$A$408)</f>
        <v>2498</v>
      </c>
      <c r="Z968">
        <v>7.76</v>
      </c>
      <c r="AA968" s="6">
        <f t="shared" si="137"/>
        <v>47671.385180474506</v>
      </c>
      <c r="AB968" s="2">
        <f t="shared" si="138"/>
        <v>-3.8696718182541635E-3</v>
      </c>
      <c r="AJ968" s="1">
        <v>44231</v>
      </c>
      <c r="AK968">
        <f>NETWORKDAYS(AJ968,$AJ$1,FERIADO!$A$2:$A$408)</f>
        <v>1485</v>
      </c>
      <c r="AL968">
        <v>6.99</v>
      </c>
      <c r="AM968" s="6">
        <f t="shared" si="139"/>
        <v>67155.994958480238</v>
      </c>
      <c r="AN968" s="2">
        <f t="shared" si="140"/>
        <v>-2.5179206369376371E-3</v>
      </c>
      <c r="AP968" s="11">
        <f t="shared" si="141"/>
        <v>-1.9348359091270818E-3</v>
      </c>
      <c r="AQ968" s="11">
        <f t="shared" si="142"/>
        <v>-7.5537619108129108E-4</v>
      </c>
      <c r="AR968" s="11">
        <f t="shared" si="143"/>
        <v>-2.6902121002083728E-3</v>
      </c>
    </row>
    <row r="969" spans="2:44" x14ac:dyDescent="0.35">
      <c r="B969" s="1">
        <v>44230</v>
      </c>
      <c r="C969">
        <v>4169.2299999999996</v>
      </c>
      <c r="D969" s="1">
        <v>44235</v>
      </c>
      <c r="E969">
        <v>5.3663999999999996</v>
      </c>
      <c r="F969" s="1">
        <v>44228</v>
      </c>
      <c r="G969">
        <v>137.19999999999999</v>
      </c>
      <c r="H969" s="4">
        <f t="shared" si="135"/>
        <v>736270.07999999984</v>
      </c>
      <c r="I969" s="5">
        <v>44230</v>
      </c>
      <c r="J969" s="4">
        <v>6689.12</v>
      </c>
      <c r="K969" s="4">
        <f t="shared" si="136"/>
        <v>66891.199999999997</v>
      </c>
      <c r="L969" s="1">
        <v>44230</v>
      </c>
      <c r="M969">
        <v>2.46</v>
      </c>
      <c r="P969" s="1">
        <v>44230</v>
      </c>
      <c r="Q969">
        <v>2.93</v>
      </c>
      <c r="R969" s="1">
        <v>44228</v>
      </c>
      <c r="S969">
        <v>3.27</v>
      </c>
      <c r="X969" s="1">
        <v>44230</v>
      </c>
      <c r="Y969">
        <f>NETWORKDAYS(X969,$Z$1,FERIADO!$A$2:$A$408)</f>
        <v>2499</v>
      </c>
      <c r="Z969">
        <v>7.66</v>
      </c>
      <c r="AA969" s="6">
        <f t="shared" si="137"/>
        <v>48098.047084628233</v>
      </c>
      <c r="AB969" s="2">
        <f t="shared" si="138"/>
        <v>-1.0735461693622775E-3</v>
      </c>
      <c r="AJ969" s="1">
        <v>44230</v>
      </c>
      <c r="AK969">
        <f>NETWORKDAYS(AJ969,$AJ$1,FERIADO!$A$2:$A$408)</f>
        <v>1486</v>
      </c>
      <c r="AL969">
        <v>6.88</v>
      </c>
      <c r="AM969" s="6">
        <f t="shared" si="139"/>
        <v>67546.477914594216</v>
      </c>
      <c r="AN969" s="2">
        <f t="shared" si="140"/>
        <v>3.5442912195681809E-4</v>
      </c>
      <c r="AP969" s="11">
        <f t="shared" si="141"/>
        <v>-5.3677308468113877E-4</v>
      </c>
      <c r="AQ969" s="11">
        <f t="shared" si="142"/>
        <v>1.0632873658704543E-4</v>
      </c>
      <c r="AR969" s="11">
        <f t="shared" si="143"/>
        <v>-4.3044434809409336E-4</v>
      </c>
    </row>
    <row r="970" spans="2:44" x14ac:dyDescent="0.35">
      <c r="B970" s="1">
        <v>44229</v>
      </c>
      <c r="C970">
        <v>4163.49</v>
      </c>
      <c r="D970" s="1">
        <v>44232</v>
      </c>
      <c r="E970">
        <v>5.3878000000000004</v>
      </c>
      <c r="F970" s="1">
        <v>44225</v>
      </c>
      <c r="G970">
        <v>136.98500000000001</v>
      </c>
      <c r="H970" s="4">
        <f t="shared" si="135"/>
        <v>738047.78300000005</v>
      </c>
      <c r="I970" s="5">
        <v>44229</v>
      </c>
      <c r="J970" s="4">
        <v>6707.85</v>
      </c>
      <c r="K970" s="4">
        <f t="shared" si="136"/>
        <v>67078.5</v>
      </c>
      <c r="L970" s="1">
        <v>44229</v>
      </c>
      <c r="M970">
        <v>2.5</v>
      </c>
      <c r="P970" s="1">
        <v>44229</v>
      </c>
      <c r="Q970">
        <v>2.97</v>
      </c>
      <c r="R970" s="1">
        <v>44225</v>
      </c>
      <c r="S970">
        <v>3.26</v>
      </c>
      <c r="X970" s="1">
        <v>44229</v>
      </c>
      <c r="Y970">
        <f>NETWORKDAYS(X970,$Z$1,FERIADO!$A$2:$A$408)</f>
        <v>2500</v>
      </c>
      <c r="Z970">
        <v>7.63</v>
      </c>
      <c r="AA970" s="6">
        <f t="shared" si="137"/>
        <v>48217.089229185505</v>
      </c>
      <c r="AB970" s="2">
        <f t="shared" si="138"/>
        <v>4.5295805834780741E-3</v>
      </c>
      <c r="AJ970" s="1">
        <v>44229</v>
      </c>
      <c r="AK970">
        <f>NETWORKDAYS(AJ970,$AJ$1,FERIADO!$A$2:$A$408)</f>
        <v>1487</v>
      </c>
      <c r="AL970">
        <v>6.89</v>
      </c>
      <c r="AM970" s="6">
        <f t="shared" si="139"/>
        <v>67491.375504643991</v>
      </c>
      <c r="AN970" s="2">
        <f t="shared" si="140"/>
        <v>2.5128151759226469E-3</v>
      </c>
      <c r="AP970" s="11">
        <f t="shared" si="141"/>
        <v>2.264790291739037E-3</v>
      </c>
      <c r="AQ970" s="11">
        <f t="shared" si="142"/>
        <v>7.5384455277679411E-4</v>
      </c>
      <c r="AR970" s="11">
        <f t="shared" si="143"/>
        <v>3.018634844515831E-3</v>
      </c>
    </row>
    <row r="971" spans="2:44" x14ac:dyDescent="0.35">
      <c r="B971" s="1">
        <v>44228</v>
      </c>
      <c r="C971">
        <v>4110.24</v>
      </c>
      <c r="D971" s="1">
        <v>44231</v>
      </c>
      <c r="E971">
        <v>5.3903999999999996</v>
      </c>
      <c r="F971" s="1">
        <v>44224</v>
      </c>
      <c r="G971">
        <v>137.268</v>
      </c>
      <c r="H971" s="4">
        <f t="shared" si="135"/>
        <v>739929.42719999992</v>
      </c>
      <c r="I971" s="5">
        <v>44228</v>
      </c>
      <c r="J971" s="4">
        <v>6787.77</v>
      </c>
      <c r="K971" s="4">
        <f t="shared" si="136"/>
        <v>67877.700000000012</v>
      </c>
      <c r="L971" s="1">
        <v>44228</v>
      </c>
      <c r="M971">
        <v>2.56</v>
      </c>
      <c r="P971" s="1">
        <v>44228</v>
      </c>
      <c r="Q971">
        <v>3.07</v>
      </c>
      <c r="R971" s="1">
        <v>44224</v>
      </c>
      <c r="S971">
        <v>3.29</v>
      </c>
      <c r="X971" s="1">
        <v>44228</v>
      </c>
      <c r="Y971">
        <f>NETWORKDAYS(X971,$Z$1,FERIADO!$A$2:$A$408)</f>
        <v>2501</v>
      </c>
      <c r="Z971">
        <v>7.74</v>
      </c>
      <c r="AA971" s="6">
        <f t="shared" si="137"/>
        <v>47716.810720516311</v>
      </c>
      <c r="AB971" s="2">
        <f t="shared" si="138"/>
        <v>1.7290456844702023E-3</v>
      </c>
      <c r="AJ971" s="1">
        <v>44228</v>
      </c>
      <c r="AK971">
        <f>NETWORKDAYS(AJ971,$AJ$1,FERIADO!$A$2:$A$408)</f>
        <v>1488</v>
      </c>
      <c r="AL971">
        <v>6.99</v>
      </c>
      <c r="AM971" s="6">
        <f t="shared" si="139"/>
        <v>67101.999923189127</v>
      </c>
      <c r="AN971" s="2">
        <f t="shared" si="140"/>
        <v>5.9609148395182066E-4</v>
      </c>
      <c r="AP971" s="11">
        <f t="shared" si="141"/>
        <v>8.6452284223510116E-4</v>
      </c>
      <c r="AQ971" s="11">
        <f t="shared" si="142"/>
        <v>1.788274451855462E-4</v>
      </c>
      <c r="AR971" s="11">
        <f t="shared" si="143"/>
        <v>1.0433502874206474E-3</v>
      </c>
    </row>
    <row r="972" spans="2:44" x14ac:dyDescent="0.35">
      <c r="B972" s="1">
        <v>44225</v>
      </c>
      <c r="C972">
        <v>4050</v>
      </c>
      <c r="D972" s="1">
        <v>44230</v>
      </c>
      <c r="E972">
        <v>5.3417000000000003</v>
      </c>
      <c r="F972" s="1">
        <v>44223</v>
      </c>
      <c r="G972">
        <v>137.49</v>
      </c>
      <c r="H972" s="4">
        <f t="shared" si="135"/>
        <v>734430.3330000001</v>
      </c>
      <c r="I972" s="5">
        <v>44225</v>
      </c>
      <c r="J972" s="4">
        <v>6825.23</v>
      </c>
      <c r="K972" s="4">
        <f t="shared" si="136"/>
        <v>68252.299999999988</v>
      </c>
      <c r="L972" s="1">
        <v>44225</v>
      </c>
      <c r="M972">
        <v>2.56</v>
      </c>
      <c r="P972" s="1">
        <v>44225</v>
      </c>
      <c r="Q972">
        <v>3.03</v>
      </c>
      <c r="R972" s="1">
        <v>44223</v>
      </c>
      <c r="S972">
        <v>3.41</v>
      </c>
      <c r="X972" s="1">
        <v>44225</v>
      </c>
      <c r="Y972">
        <f>NETWORKDAYS(X972,$Z$1,FERIADO!$A$2:$A$408)</f>
        <v>2502</v>
      </c>
      <c r="Z972">
        <v>7.78</v>
      </c>
      <c r="AA972" s="6">
        <f t="shared" si="137"/>
        <v>47527.2146510534</v>
      </c>
      <c r="AB972" s="2">
        <f t="shared" si="138"/>
        <v>6.5280041890410714E-3</v>
      </c>
      <c r="AJ972" s="1">
        <v>44225</v>
      </c>
      <c r="AK972">
        <f>NETWORKDAYS(AJ972,$AJ$1,FERIADO!$A$2:$A$408)</f>
        <v>1489</v>
      </c>
      <c r="AL972">
        <v>7.01</v>
      </c>
      <c r="AM972" s="6">
        <f t="shared" si="139"/>
        <v>67009.962159328134</v>
      </c>
      <c r="AN972" s="2">
        <f t="shared" si="140"/>
        <v>3.2343990178803823E-3</v>
      </c>
      <c r="AP972" s="11">
        <f t="shared" si="141"/>
        <v>3.2640020945205357E-3</v>
      </c>
      <c r="AQ972" s="11">
        <f t="shared" si="142"/>
        <v>9.7031970536411464E-4</v>
      </c>
      <c r="AR972" s="11">
        <f t="shared" si="143"/>
        <v>4.2343217998846508E-3</v>
      </c>
    </row>
    <row r="973" spans="2:44" x14ac:dyDescent="0.35">
      <c r="B973" s="1">
        <v>44224</v>
      </c>
      <c r="C973">
        <v>4122.09</v>
      </c>
      <c r="D973" s="1">
        <v>44229</v>
      </c>
      <c r="E973">
        <v>5.3868999999999998</v>
      </c>
      <c r="F973" s="1">
        <v>44222</v>
      </c>
      <c r="G973">
        <v>137.43700000000001</v>
      </c>
      <c r="H973" s="4">
        <f t="shared" si="135"/>
        <v>740359.37529999996</v>
      </c>
      <c r="I973" s="5">
        <v>44224</v>
      </c>
      <c r="J973" s="4">
        <v>6800.88</v>
      </c>
      <c r="K973" s="4">
        <f t="shared" si="136"/>
        <v>68008.800000000003</v>
      </c>
      <c r="L973" s="1">
        <v>44224</v>
      </c>
      <c r="M973">
        <v>2.66</v>
      </c>
      <c r="P973" s="1">
        <v>44224</v>
      </c>
      <c r="Q973">
        <v>3.14</v>
      </c>
      <c r="R973" s="1">
        <v>44222</v>
      </c>
      <c r="S973">
        <v>3.42</v>
      </c>
      <c r="X973" s="1">
        <v>44224</v>
      </c>
      <c r="Y973">
        <f>NETWORKDAYS(X973,$Z$1,FERIADO!$A$2:$A$408)</f>
        <v>2503</v>
      </c>
      <c r="Z973">
        <v>7.94</v>
      </c>
      <c r="AA973" s="6">
        <f t="shared" si="137"/>
        <v>46818.161873511759</v>
      </c>
      <c r="AB973" s="2">
        <f t="shared" si="138"/>
        <v>9.311890895260461E-4</v>
      </c>
      <c r="AJ973" s="1">
        <v>44224</v>
      </c>
      <c r="AK973">
        <f>NETWORKDAYS(AJ973,$AJ$1,FERIADO!$A$2:$A$408)</f>
        <v>1490</v>
      </c>
      <c r="AL973">
        <v>7.14</v>
      </c>
      <c r="AM973" s="6">
        <f t="shared" si="139"/>
        <v>66512.760622904563</v>
      </c>
      <c r="AN973" s="2">
        <f t="shared" si="140"/>
        <v>2.0368074326818524E-3</v>
      </c>
      <c r="AP973" s="11">
        <f t="shared" si="141"/>
        <v>4.6559454476302305E-4</v>
      </c>
      <c r="AQ973" s="11">
        <f t="shared" si="142"/>
        <v>6.1104222980455571E-4</v>
      </c>
      <c r="AR973" s="11">
        <f t="shared" si="143"/>
        <v>1.0766367745675787E-3</v>
      </c>
    </row>
    <row r="974" spans="2:44" x14ac:dyDescent="0.35">
      <c r="B974" s="1">
        <v>44223</v>
      </c>
      <c r="C974">
        <v>4077.03</v>
      </c>
      <c r="D974" s="1">
        <v>44228</v>
      </c>
      <c r="E974">
        <v>5.4602000000000004</v>
      </c>
      <c r="F974" s="1">
        <v>44218</v>
      </c>
      <c r="G974">
        <v>137.02699999999999</v>
      </c>
      <c r="H974" s="4">
        <f t="shared" si="135"/>
        <v>748194.82539999997</v>
      </c>
      <c r="I974" s="5">
        <v>44223</v>
      </c>
      <c r="J974" s="4">
        <v>6767.14</v>
      </c>
      <c r="K974" s="4">
        <f t="shared" si="136"/>
        <v>67671.400000000009</v>
      </c>
      <c r="L974" s="1">
        <v>44223</v>
      </c>
      <c r="M974">
        <v>2.74</v>
      </c>
      <c r="P974" s="1">
        <v>44223</v>
      </c>
      <c r="Q974">
        <v>3.2</v>
      </c>
      <c r="R974" s="1">
        <v>44218</v>
      </c>
      <c r="S974">
        <v>3.45</v>
      </c>
      <c r="X974" s="1">
        <v>44223</v>
      </c>
      <c r="Y974">
        <f>NETWORKDAYS(X974,$Z$1,FERIADO!$A$2:$A$408)</f>
        <v>2504</v>
      </c>
      <c r="Z974">
        <v>7.96</v>
      </c>
      <c r="AA974" s="6">
        <f t="shared" si="137"/>
        <v>46717.884623585807</v>
      </c>
      <c r="AB974" s="2">
        <f t="shared" si="138"/>
        <v>4.1289349572330028E-3</v>
      </c>
      <c r="AJ974" s="1">
        <v>44223</v>
      </c>
      <c r="AK974">
        <f>NETWORKDAYS(AJ974,$AJ$1,FERIADO!$A$2:$A$408)</f>
        <v>1491</v>
      </c>
      <c r="AL974">
        <v>7.22</v>
      </c>
      <c r="AM974" s="6">
        <f t="shared" si="139"/>
        <v>66201.551279130159</v>
      </c>
      <c r="AN974" s="2">
        <f t="shared" si="140"/>
        <v>2.0379486717093027E-3</v>
      </c>
      <c r="AP974" s="11">
        <f t="shared" si="141"/>
        <v>2.0644674786165014E-3</v>
      </c>
      <c r="AQ974" s="11">
        <f t="shared" si="142"/>
        <v>6.1138460151279083E-4</v>
      </c>
      <c r="AR974" s="11">
        <f t="shared" si="143"/>
        <v>2.6758520801292924E-3</v>
      </c>
    </row>
    <row r="975" spans="2:44" x14ac:dyDescent="0.35">
      <c r="B975" s="1">
        <v>44222</v>
      </c>
      <c r="C975">
        <v>4193.3500000000004</v>
      </c>
      <c r="D975" s="1">
        <v>44225</v>
      </c>
      <c r="E975">
        <v>5.4752999999999998</v>
      </c>
      <c r="F975" s="1">
        <v>44217</v>
      </c>
      <c r="G975">
        <v>136.88499999999999</v>
      </c>
      <c r="H975" s="4">
        <f t="shared" si="135"/>
        <v>749486.44049999991</v>
      </c>
      <c r="I975" s="5">
        <v>44222</v>
      </c>
      <c r="J975" s="4">
        <v>6693.41</v>
      </c>
      <c r="K975" s="4">
        <f t="shared" si="136"/>
        <v>66934.100000000006</v>
      </c>
      <c r="L975" s="1">
        <v>44222</v>
      </c>
      <c r="M975">
        <v>2.77</v>
      </c>
      <c r="P975" s="1">
        <v>44222</v>
      </c>
      <c r="Q975">
        <v>3.23</v>
      </c>
      <c r="R975" s="1">
        <v>44217</v>
      </c>
      <c r="S975">
        <v>3.37</v>
      </c>
      <c r="X975" s="1">
        <v>44222</v>
      </c>
      <c r="Y975">
        <f>NETWORKDAYS(X975,$Z$1,FERIADO!$A$2:$A$408)</f>
        <v>2505</v>
      </c>
      <c r="Z975">
        <v>8.06</v>
      </c>
      <c r="AA975" s="6">
        <f t="shared" si="137"/>
        <v>46275.831902605867</v>
      </c>
      <c r="AB975" s="2">
        <f t="shared" si="138"/>
        <v>8.2563500910053031E-3</v>
      </c>
      <c r="AJ975" s="1">
        <v>44222</v>
      </c>
      <c r="AK975">
        <f>NETWORKDAYS(AJ975,$AJ$1,FERIADO!$A$2:$A$408)</f>
        <v>1492</v>
      </c>
      <c r="AL975">
        <v>7.3</v>
      </c>
      <c r="AM975" s="6">
        <f t="shared" si="139"/>
        <v>65891.624915562061</v>
      </c>
      <c r="AN975" s="2">
        <f t="shared" si="140"/>
        <v>5.0375413441566385E-3</v>
      </c>
      <c r="AP975" s="11">
        <f t="shared" si="141"/>
        <v>4.1281750455026515E-3</v>
      </c>
      <c r="AQ975" s="11">
        <f t="shared" si="142"/>
        <v>1.5112624032469915E-3</v>
      </c>
      <c r="AR975" s="11">
        <f t="shared" si="143"/>
        <v>5.6394374487496431E-3</v>
      </c>
    </row>
    <row r="976" spans="2:44" x14ac:dyDescent="0.35">
      <c r="B976" s="1">
        <v>44218</v>
      </c>
      <c r="C976">
        <v>4179.53</v>
      </c>
      <c r="D976" s="1">
        <v>44224</v>
      </c>
      <c r="E976">
        <v>5.4276</v>
      </c>
      <c r="F976" s="1">
        <v>44216</v>
      </c>
      <c r="G976">
        <v>136.97800000000001</v>
      </c>
      <c r="H976" s="4">
        <f t="shared" si="135"/>
        <v>743461.79280000005</v>
      </c>
      <c r="I976" s="5">
        <v>44218</v>
      </c>
      <c r="J976" s="4">
        <v>6835.25</v>
      </c>
      <c r="K976" s="4">
        <f t="shared" si="136"/>
        <v>68352.5</v>
      </c>
      <c r="L976" s="1">
        <v>44218</v>
      </c>
      <c r="M976">
        <v>2.77</v>
      </c>
      <c r="P976" s="1">
        <v>44218</v>
      </c>
      <c r="Q976">
        <v>3.27</v>
      </c>
      <c r="R976" s="1">
        <v>44216</v>
      </c>
      <c r="S976">
        <v>3.36</v>
      </c>
      <c r="X976" s="1">
        <v>44218</v>
      </c>
      <c r="Y976">
        <f>NETWORKDAYS(X976,$Z$1,FERIADO!$A$2:$A$408)</f>
        <v>2507</v>
      </c>
      <c r="Z976">
        <v>8.26</v>
      </c>
      <c r="AA976" s="6">
        <f t="shared" si="137"/>
        <v>45404.39411427232</v>
      </c>
      <c r="AB976" s="2">
        <f t="shared" si="138"/>
        <v>-9.055705598391247E-3</v>
      </c>
      <c r="AJ976" s="1">
        <v>44218</v>
      </c>
      <c r="AK976">
        <f>NETWORKDAYS(AJ976,$AJ$1,FERIADO!$A$2:$A$408)</f>
        <v>1494</v>
      </c>
      <c r="AL976">
        <v>7.5</v>
      </c>
      <c r="AM976" s="6">
        <f t="shared" si="139"/>
        <v>65131.739352011893</v>
      </c>
      <c r="AN976" s="2">
        <f t="shared" si="140"/>
        <v>-5.6339111686021489E-3</v>
      </c>
      <c r="AP976" s="11">
        <f t="shared" si="141"/>
        <v>-4.5278527991956235E-3</v>
      </c>
      <c r="AQ976" s="11">
        <f t="shared" si="142"/>
        <v>-1.6901733505806447E-3</v>
      </c>
      <c r="AR976" s="11">
        <f t="shared" si="143"/>
        <v>-6.2180261497762684E-3</v>
      </c>
    </row>
    <row r="977" spans="2:44" x14ac:dyDescent="0.35">
      <c r="B977" s="1">
        <v>44217</v>
      </c>
      <c r="C977">
        <v>4195.0200000000004</v>
      </c>
      <c r="D977" s="1">
        <v>44223</v>
      </c>
      <c r="E977">
        <v>5.3818000000000001</v>
      </c>
      <c r="F977" s="1">
        <v>44215</v>
      </c>
      <c r="G977">
        <v>136.97300000000001</v>
      </c>
      <c r="H977" s="4">
        <f t="shared" si="135"/>
        <v>737161.2914000001</v>
      </c>
      <c r="I977" s="5">
        <v>44217</v>
      </c>
      <c r="J977" s="4">
        <v>6689.66</v>
      </c>
      <c r="K977" s="4">
        <f t="shared" si="136"/>
        <v>66896.600000000006</v>
      </c>
      <c r="L977" s="1">
        <v>44217</v>
      </c>
      <c r="M977">
        <v>2.7</v>
      </c>
      <c r="P977" s="1">
        <v>44217</v>
      </c>
      <c r="Q977">
        <v>3.15</v>
      </c>
      <c r="R977" s="1">
        <v>44215</v>
      </c>
      <c r="S977">
        <v>3.34</v>
      </c>
      <c r="X977" s="1">
        <v>44217</v>
      </c>
      <c r="Y977">
        <f>NETWORKDAYS(X977,$Z$1,FERIADO!$A$2:$A$408)</f>
        <v>2508</v>
      </c>
      <c r="Z977">
        <v>8.0299999999999994</v>
      </c>
      <c r="AA977" s="6">
        <f t="shared" si="137"/>
        <v>46361.084895460037</v>
      </c>
      <c r="AB977" s="2">
        <f t="shared" si="138"/>
        <v>-6.6766333816219289E-3</v>
      </c>
      <c r="AJ977" s="1">
        <v>44217</v>
      </c>
      <c r="AK977">
        <f>NETWORKDAYS(AJ977,$AJ$1,FERIADO!$A$2:$A$408)</f>
        <v>1495</v>
      </c>
      <c r="AL977">
        <v>7.26</v>
      </c>
      <c r="AM977" s="6">
        <f t="shared" si="139"/>
        <v>65982.168938349045</v>
      </c>
      <c r="AN977" s="2">
        <f t="shared" si="140"/>
        <v>-2.5246254451545313E-3</v>
      </c>
      <c r="AP977" s="11">
        <f t="shared" si="141"/>
        <v>-3.3383166908109644E-3</v>
      </c>
      <c r="AQ977" s="11">
        <f t="shared" si="142"/>
        <v>-7.5738763354635935E-4</v>
      </c>
      <c r="AR977" s="11">
        <f t="shared" si="143"/>
        <v>-4.0957043243573235E-3</v>
      </c>
    </row>
    <row r="978" spans="2:44" x14ac:dyDescent="0.35">
      <c r="B978" s="1">
        <v>44216</v>
      </c>
      <c r="C978">
        <v>4194.58</v>
      </c>
      <c r="D978" s="1">
        <v>44222</v>
      </c>
      <c r="E978">
        <v>5.3859000000000004</v>
      </c>
      <c r="F978" s="1">
        <v>44211</v>
      </c>
      <c r="G978">
        <v>136.87799999999999</v>
      </c>
      <c r="H978" s="4">
        <f t="shared" si="135"/>
        <v>737211.22019999998</v>
      </c>
      <c r="I978" s="5">
        <v>44216</v>
      </c>
      <c r="J978" s="4">
        <v>6615.93</v>
      </c>
      <c r="K978" s="4">
        <f t="shared" si="136"/>
        <v>66159.3</v>
      </c>
      <c r="L978" s="1">
        <v>44216</v>
      </c>
      <c r="M978">
        <v>2.67</v>
      </c>
      <c r="P978" s="1">
        <v>44216</v>
      </c>
      <c r="Q978">
        <v>3.12</v>
      </c>
      <c r="R978" s="1">
        <v>44214</v>
      </c>
      <c r="S978">
        <v>3.3</v>
      </c>
      <c r="X978" s="1">
        <v>44216</v>
      </c>
      <c r="Y978">
        <f>NETWORKDAYS(X978,$Z$1,FERIADO!$A$2:$A$408)</f>
        <v>2509</v>
      </c>
      <c r="Z978">
        <v>7.86</v>
      </c>
      <c r="AA978" s="6">
        <f t="shared" si="137"/>
        <v>47079.324587772673</v>
      </c>
      <c r="AB978" s="2">
        <f t="shared" si="138"/>
        <v>-2.6778535472432325E-3</v>
      </c>
      <c r="AJ978" s="1">
        <v>44216</v>
      </c>
      <c r="AK978">
        <f>NETWORKDAYS(AJ978,$AJ$1,FERIADO!$A$2:$A$408)</f>
        <v>1496</v>
      </c>
      <c r="AL978">
        <v>7.15</v>
      </c>
      <c r="AM978" s="6">
        <f t="shared" si="139"/>
        <v>66366.851195270589</v>
      </c>
      <c r="AN978" s="2">
        <f t="shared" si="140"/>
        <v>-6.0341290215406597E-4</v>
      </c>
      <c r="AP978" s="11">
        <f t="shared" si="141"/>
        <v>-1.3389267736216163E-3</v>
      </c>
      <c r="AQ978" s="11">
        <f t="shared" si="142"/>
        <v>-1.810238706462198E-4</v>
      </c>
      <c r="AR978" s="11">
        <f t="shared" si="143"/>
        <v>-1.5199506442678361E-3</v>
      </c>
    </row>
    <row r="979" spans="2:44" x14ac:dyDescent="0.35">
      <c r="B979" s="1">
        <v>44215</v>
      </c>
      <c r="C979">
        <v>4119.37</v>
      </c>
      <c r="D979" s="1">
        <v>44221</v>
      </c>
      <c r="E979">
        <v>5.5073999999999996</v>
      </c>
      <c r="F979" s="1">
        <v>44210</v>
      </c>
      <c r="G979">
        <v>136.59800000000001</v>
      </c>
      <c r="H979" s="4">
        <f t="shared" si="135"/>
        <v>752299.82519999996</v>
      </c>
      <c r="I979" s="5">
        <v>44215</v>
      </c>
      <c r="J979" s="4">
        <v>6701.53</v>
      </c>
      <c r="K979" s="4">
        <f t="shared" si="136"/>
        <v>67015.3</v>
      </c>
      <c r="L979" s="1">
        <v>44215</v>
      </c>
      <c r="M979">
        <v>2.68</v>
      </c>
      <c r="P979" s="1">
        <v>44215</v>
      </c>
      <c r="Q979">
        <v>3.11</v>
      </c>
      <c r="R979" s="1">
        <v>44211</v>
      </c>
      <c r="S979">
        <v>3.28</v>
      </c>
      <c r="X979" s="1">
        <v>44215</v>
      </c>
      <c r="Y979">
        <f>NETWORKDAYS(X979,$Z$1,FERIADO!$A$2:$A$408)</f>
        <v>2510</v>
      </c>
      <c r="Z979">
        <v>7.79</v>
      </c>
      <c r="AA979" s="6">
        <f t="shared" si="137"/>
        <v>47370.511833649645</v>
      </c>
      <c r="AB979" s="2">
        <f t="shared" si="138"/>
        <v>-1.0752949715710362E-3</v>
      </c>
      <c r="AJ979" s="1">
        <v>44215</v>
      </c>
      <c r="AK979">
        <f>NETWORKDAYS(AJ979,$AJ$1,FERIADO!$A$2:$A$408)</f>
        <v>1497</v>
      </c>
      <c r="AL979">
        <v>7.12</v>
      </c>
      <c r="AM979" s="6">
        <f t="shared" si="139"/>
        <v>66459.126021269709</v>
      </c>
      <c r="AN979" s="2">
        <f t="shared" si="140"/>
        <v>-8.4566375636579278E-4</v>
      </c>
      <c r="AP979" s="11">
        <f t="shared" si="141"/>
        <v>-5.3764748578551808E-4</v>
      </c>
      <c r="AQ979" s="11">
        <f t="shared" si="142"/>
        <v>-2.5369912690973784E-4</v>
      </c>
      <c r="AR979" s="11">
        <f t="shared" si="143"/>
        <v>-7.9134661269525592E-4</v>
      </c>
    </row>
    <row r="980" spans="2:44" x14ac:dyDescent="0.35">
      <c r="B980" s="1">
        <v>44214</v>
      </c>
      <c r="C980">
        <v>4104.68</v>
      </c>
      <c r="D980" s="1">
        <v>44218</v>
      </c>
      <c r="E980">
        <v>5.4295</v>
      </c>
      <c r="F980" s="1">
        <v>44209</v>
      </c>
      <c r="G980">
        <v>136.76499999999999</v>
      </c>
      <c r="H980" s="4">
        <f t="shared" si="135"/>
        <v>742565.56749999989</v>
      </c>
      <c r="I980" s="5">
        <v>44214</v>
      </c>
      <c r="J980" s="4">
        <v>6625.92</v>
      </c>
      <c r="K980" s="4">
        <f t="shared" si="136"/>
        <v>66259.199999999997</v>
      </c>
      <c r="L980" s="1">
        <v>44214</v>
      </c>
      <c r="M980">
        <v>2.63</v>
      </c>
      <c r="P980" s="1">
        <v>44214</v>
      </c>
      <c r="Q980">
        <v>3.08</v>
      </c>
      <c r="R980" s="1">
        <v>44210</v>
      </c>
      <c r="S980">
        <v>3.26</v>
      </c>
      <c r="X980" s="1">
        <v>44214</v>
      </c>
      <c r="Y980">
        <f>NETWORKDAYS(X980,$Z$1,FERIADO!$A$2:$A$408)</f>
        <v>2511</v>
      </c>
      <c r="Z980">
        <v>7.76</v>
      </c>
      <c r="AA980" s="6">
        <f t="shared" si="137"/>
        <v>47487.944558806856</v>
      </c>
      <c r="AB980" s="2">
        <f t="shared" si="138"/>
        <v>5.3052198362754991E-4</v>
      </c>
      <c r="AJ980" s="1">
        <v>44214</v>
      </c>
      <c r="AK980">
        <f>NETWORKDAYS(AJ980,$AJ$1,FERIADO!$A$2:$A$408)</f>
        <v>1498</v>
      </c>
      <c r="AL980">
        <v>7.08</v>
      </c>
      <c r="AM980" s="6">
        <f t="shared" si="139"/>
        <v>66588.662155693863</v>
      </c>
      <c r="AN980" s="2">
        <f t="shared" si="140"/>
        <v>8.4155515620792216E-4</v>
      </c>
      <c r="AP980" s="11">
        <f t="shared" si="141"/>
        <v>2.6526099181377495E-4</v>
      </c>
      <c r="AQ980" s="11">
        <f t="shared" si="142"/>
        <v>2.5246654686237664E-4</v>
      </c>
      <c r="AR980" s="11">
        <f t="shared" si="143"/>
        <v>5.1772753867615159E-4</v>
      </c>
    </row>
    <row r="981" spans="2:44" x14ac:dyDescent="0.35">
      <c r="B981" s="1">
        <v>44211</v>
      </c>
      <c r="C981">
        <v>4092.65</v>
      </c>
      <c r="D981" s="1">
        <v>44217</v>
      </c>
      <c r="E981">
        <v>5.3159999999999998</v>
      </c>
      <c r="F981" s="1">
        <v>44208</v>
      </c>
      <c r="G981">
        <v>136.44200000000001</v>
      </c>
      <c r="H981" s="4">
        <f t="shared" si="135"/>
        <v>725325.67200000002</v>
      </c>
      <c r="I981" s="5">
        <v>44211</v>
      </c>
      <c r="J981" s="4">
        <v>6616.55</v>
      </c>
      <c r="K981" s="4">
        <f t="shared" si="136"/>
        <v>66165.5</v>
      </c>
      <c r="L981" s="1">
        <v>44211</v>
      </c>
      <c r="M981">
        <v>2.59</v>
      </c>
      <c r="P981" s="1">
        <v>44211</v>
      </c>
      <c r="Q981">
        <v>3.03</v>
      </c>
      <c r="R981" s="1">
        <v>44209</v>
      </c>
      <c r="S981">
        <v>3.33</v>
      </c>
      <c r="X981" s="1">
        <v>44211</v>
      </c>
      <c r="Y981">
        <f>NETWORKDAYS(X981,$Z$1,FERIADO!$A$2:$A$408)</f>
        <v>2512</v>
      </c>
      <c r="Z981">
        <v>7.77</v>
      </c>
      <c r="AA981" s="6">
        <f t="shared" si="137"/>
        <v>47429.970032112491</v>
      </c>
      <c r="AB981" s="2">
        <f t="shared" si="138"/>
        <v>1.2895985260747282E-4</v>
      </c>
      <c r="AJ981" s="1">
        <v>44211</v>
      </c>
      <c r="AK981">
        <f>NETWORKDAYS(AJ981,$AJ$1,FERIADO!$A$2:$A$408)</f>
        <v>1499</v>
      </c>
      <c r="AL981">
        <v>7.11</v>
      </c>
      <c r="AM981" s="6">
        <f t="shared" si="139"/>
        <v>66459.754754257679</v>
      </c>
      <c r="AN981" s="2">
        <f t="shared" si="140"/>
        <v>-1.2298690037183523E-4</v>
      </c>
      <c r="AP981" s="11">
        <f t="shared" si="141"/>
        <v>6.447992630373641E-5</v>
      </c>
      <c r="AQ981" s="11">
        <f t="shared" si="142"/>
        <v>-3.6896070111550565E-5</v>
      </c>
      <c r="AR981" s="11">
        <f t="shared" si="143"/>
        <v>2.7583856192185845E-5</v>
      </c>
    </row>
    <row r="982" spans="2:44" x14ac:dyDescent="0.35">
      <c r="B982" s="1">
        <v>44210</v>
      </c>
      <c r="C982">
        <v>4131.66</v>
      </c>
      <c r="D982" s="1">
        <v>44216</v>
      </c>
      <c r="E982">
        <v>5.3026999999999997</v>
      </c>
      <c r="F982" s="1">
        <v>44207</v>
      </c>
      <c r="G982">
        <v>136.4</v>
      </c>
      <c r="H982" s="4">
        <f t="shared" si="135"/>
        <v>723288.28</v>
      </c>
      <c r="I982" s="5">
        <v>44210</v>
      </c>
      <c r="J982" s="4">
        <v>6497.2</v>
      </c>
      <c r="K982" s="4">
        <f t="shared" si="136"/>
        <v>64972</v>
      </c>
      <c r="L982" s="1">
        <v>44210</v>
      </c>
      <c r="M982">
        <v>2.62</v>
      </c>
      <c r="P982" s="1">
        <v>44210</v>
      </c>
      <c r="Q982">
        <v>3.01</v>
      </c>
      <c r="R982" s="1">
        <v>44208</v>
      </c>
      <c r="S982">
        <v>3.28</v>
      </c>
      <c r="X982" s="1">
        <v>44210</v>
      </c>
      <c r="Y982">
        <f>NETWORKDAYS(X982,$Z$1,FERIADO!$A$2:$A$408)</f>
        <v>2513</v>
      </c>
      <c r="Z982">
        <v>7.77</v>
      </c>
      <c r="AA982" s="6">
        <f t="shared" si="137"/>
        <v>47415.888218596272</v>
      </c>
      <c r="AB982" s="2">
        <f t="shared" si="138"/>
        <v>8.5632331033100133E-3</v>
      </c>
      <c r="AJ982" s="1">
        <v>44210</v>
      </c>
      <c r="AK982">
        <f>NETWORKDAYS(AJ982,$AJ$1,FERIADO!$A$2:$A$408)</f>
        <v>1500</v>
      </c>
      <c r="AL982">
        <v>7.1</v>
      </c>
      <c r="AM982" s="6">
        <f t="shared" si="139"/>
        <v>66478.578011355639</v>
      </c>
      <c r="AN982" s="2">
        <f t="shared" si="140"/>
        <v>4.4621419935469593E-3</v>
      </c>
      <c r="AP982" s="11">
        <f t="shared" si="141"/>
        <v>4.2816165516550066E-3</v>
      </c>
      <c r="AQ982" s="11">
        <f t="shared" si="142"/>
        <v>1.3386425980640878E-3</v>
      </c>
      <c r="AR982" s="11">
        <f t="shared" si="143"/>
        <v>5.6202591497190946E-3</v>
      </c>
    </row>
    <row r="983" spans="2:44" x14ac:dyDescent="0.35">
      <c r="B983" s="1">
        <v>44209</v>
      </c>
      <c r="C983">
        <v>4149.7700000000004</v>
      </c>
      <c r="D983" s="1">
        <v>44215</v>
      </c>
      <c r="E983">
        <v>5.2938999999999998</v>
      </c>
      <c r="F983" s="1">
        <v>44204</v>
      </c>
      <c r="G983">
        <v>136.596</v>
      </c>
      <c r="H983" s="4">
        <f t="shared" si="135"/>
        <v>723125.56440000003</v>
      </c>
      <c r="I983" s="5">
        <v>44209</v>
      </c>
      <c r="J983" s="4">
        <v>6627.17</v>
      </c>
      <c r="K983" s="4">
        <f t="shared" si="136"/>
        <v>66271.7</v>
      </c>
      <c r="L983" s="1">
        <v>44209</v>
      </c>
      <c r="M983">
        <v>2.59</v>
      </c>
      <c r="P983" s="1">
        <v>44209</v>
      </c>
      <c r="Q983">
        <v>3.11</v>
      </c>
      <c r="R983" s="1">
        <v>44207</v>
      </c>
      <c r="S983">
        <v>3.39</v>
      </c>
      <c r="X983" s="1">
        <v>44209</v>
      </c>
      <c r="Y983">
        <f>NETWORKDAYS(X983,$Z$1,FERIADO!$A$2:$A$408)</f>
        <v>2514</v>
      </c>
      <c r="Z983">
        <v>7.98</v>
      </c>
      <c r="AA983" s="6">
        <f t="shared" si="137"/>
        <v>46490.118941425942</v>
      </c>
      <c r="AB983" s="2">
        <f t="shared" si="138"/>
        <v>-5.0890417617633667E-3</v>
      </c>
      <c r="AJ983" s="1">
        <v>44209</v>
      </c>
      <c r="AK983">
        <f>NETWORKDAYS(AJ983,$AJ$1,FERIADO!$A$2:$A$408)</f>
        <v>1501</v>
      </c>
      <c r="AL983">
        <v>7.28</v>
      </c>
      <c r="AM983" s="6">
        <f t="shared" si="139"/>
        <v>65799.043316350246</v>
      </c>
      <c r="AN983" s="2">
        <f t="shared" si="140"/>
        <v>-3.9840358156672745E-3</v>
      </c>
      <c r="AP983" s="11">
        <f t="shared" si="141"/>
        <v>-2.5445208808816833E-3</v>
      </c>
      <c r="AQ983" s="11">
        <f t="shared" si="142"/>
        <v>-1.1952107447001823E-3</v>
      </c>
      <c r="AR983" s="11">
        <f t="shared" si="143"/>
        <v>-3.7397316255818654E-3</v>
      </c>
    </row>
    <row r="984" spans="2:44" x14ac:dyDescent="0.35">
      <c r="B984" s="1">
        <v>44208</v>
      </c>
      <c r="C984">
        <v>4141.2299999999996</v>
      </c>
      <c r="D984" s="1">
        <v>44214</v>
      </c>
      <c r="E984">
        <v>5.2782</v>
      </c>
      <c r="F984" s="1">
        <v>44203</v>
      </c>
      <c r="G984">
        <v>136.916</v>
      </c>
      <c r="H984" s="4">
        <f t="shared" si="135"/>
        <v>722670.03120000008</v>
      </c>
      <c r="I984" s="5">
        <v>44208</v>
      </c>
      <c r="J984" s="4">
        <v>6660.29</v>
      </c>
      <c r="K984" s="4">
        <f t="shared" si="136"/>
        <v>66602.899999999994</v>
      </c>
      <c r="L984" s="1">
        <v>44208</v>
      </c>
      <c r="M984">
        <v>2.57</v>
      </c>
      <c r="P984" s="1">
        <v>44208</v>
      </c>
      <c r="Q984">
        <v>3.04</v>
      </c>
      <c r="R984" s="1">
        <v>44204</v>
      </c>
      <c r="S984">
        <v>3.21</v>
      </c>
      <c r="X984" s="1">
        <v>44208</v>
      </c>
      <c r="Y984">
        <f>NETWORKDAYS(X984,$Z$1,FERIADO!$A$2:$A$408)</f>
        <v>2515</v>
      </c>
      <c r="Z984">
        <v>7.85</v>
      </c>
      <c r="AA984" s="6">
        <f t="shared" si="137"/>
        <v>47038.092201537336</v>
      </c>
      <c r="AB984" s="2">
        <f t="shared" si="138"/>
        <v>5.353671310455531E-3</v>
      </c>
      <c r="AJ984" s="1">
        <v>44208</v>
      </c>
      <c r="AK984">
        <f>NETWORKDAYS(AJ984,$AJ$1,FERIADO!$A$2:$A$408)</f>
        <v>1502</v>
      </c>
      <c r="AL984">
        <v>7.11</v>
      </c>
      <c r="AM984" s="6">
        <f t="shared" si="139"/>
        <v>66405.433333037028</v>
      </c>
      <c r="AN984" s="2">
        <f t="shared" si="140"/>
        <v>3.5018023139046094E-3</v>
      </c>
      <c r="AP984" s="11">
        <f t="shared" si="141"/>
        <v>2.6768356552277655E-3</v>
      </c>
      <c r="AQ984" s="11">
        <f t="shared" si="142"/>
        <v>1.0505406941713827E-3</v>
      </c>
      <c r="AR984" s="11">
        <f t="shared" si="143"/>
        <v>3.7273763493991482E-3</v>
      </c>
    </row>
    <row r="985" spans="2:44" x14ac:dyDescent="0.35">
      <c r="B985" s="1">
        <v>44207</v>
      </c>
      <c r="C985">
        <v>4128.2700000000004</v>
      </c>
      <c r="D985" s="1">
        <v>44211</v>
      </c>
      <c r="E985">
        <v>5.2708000000000004</v>
      </c>
      <c r="F985" s="1">
        <v>44202</v>
      </c>
      <c r="G985">
        <v>137.23699999999999</v>
      </c>
      <c r="H985" s="4">
        <f t="shared" si="135"/>
        <v>723348.77960000001</v>
      </c>
      <c r="I985" s="5">
        <v>44207</v>
      </c>
      <c r="J985" s="4">
        <v>6859.62</v>
      </c>
      <c r="K985" s="4">
        <f t="shared" si="136"/>
        <v>68596.2</v>
      </c>
      <c r="L985" s="1">
        <v>44207</v>
      </c>
      <c r="M985">
        <v>2.61</v>
      </c>
      <c r="P985" s="1">
        <v>44207</v>
      </c>
      <c r="Q985">
        <v>3.11</v>
      </c>
      <c r="R985" s="1">
        <v>44203</v>
      </c>
      <c r="S985">
        <v>3.18</v>
      </c>
      <c r="X985" s="1">
        <v>44207</v>
      </c>
      <c r="Y985">
        <f>NETWORKDAYS(X985,$Z$1,FERIADO!$A$2:$A$408)</f>
        <v>2516</v>
      </c>
      <c r="Z985">
        <v>7.98</v>
      </c>
      <c r="AA985" s="6">
        <f t="shared" si="137"/>
        <v>46461.799650563429</v>
      </c>
      <c r="AB985" s="2">
        <f t="shared" si="138"/>
        <v>-6.7023100227546362E-3</v>
      </c>
      <c r="AJ985" s="1">
        <v>44207</v>
      </c>
      <c r="AK985">
        <f>NETWORKDAYS(AJ985,$AJ$1,FERIADO!$A$2:$A$408)</f>
        <v>1503</v>
      </c>
      <c r="AL985">
        <v>7.25</v>
      </c>
      <c r="AM985" s="6">
        <f t="shared" si="139"/>
        <v>65872.146078260514</v>
      </c>
      <c r="AN985" s="2">
        <f t="shared" si="140"/>
        <v>-5.2017180402433505E-3</v>
      </c>
      <c r="AP985" s="11">
        <f t="shared" si="141"/>
        <v>-3.3511550113773181E-3</v>
      </c>
      <c r="AQ985" s="11">
        <f t="shared" si="142"/>
        <v>-1.560515412073005E-3</v>
      </c>
      <c r="AR985" s="11">
        <f t="shared" si="143"/>
        <v>-4.9116704234503233E-3</v>
      </c>
    </row>
    <row r="986" spans="2:44" x14ac:dyDescent="0.35">
      <c r="B986" s="1">
        <v>44204</v>
      </c>
      <c r="C986">
        <v>4158.21</v>
      </c>
      <c r="D986" s="1">
        <v>44210</v>
      </c>
      <c r="E986">
        <v>5.2610999999999999</v>
      </c>
      <c r="F986" s="1">
        <v>44201</v>
      </c>
      <c r="G986">
        <v>137.89500000000001</v>
      </c>
      <c r="H986" s="4">
        <f t="shared" si="135"/>
        <v>725479.38450000004</v>
      </c>
      <c r="I986" s="5">
        <v>44204</v>
      </c>
      <c r="J986" s="4">
        <v>6776.51</v>
      </c>
      <c r="K986" s="4">
        <f t="shared" si="136"/>
        <v>67765.100000000006</v>
      </c>
      <c r="L986" s="1">
        <v>44204</v>
      </c>
      <c r="M986">
        <v>2.4700000000000002</v>
      </c>
      <c r="P986" s="1">
        <v>44204</v>
      </c>
      <c r="Q986">
        <v>2.91</v>
      </c>
      <c r="R986" s="1">
        <v>44202</v>
      </c>
      <c r="S986">
        <v>3.05</v>
      </c>
      <c r="X986" s="1">
        <v>44204</v>
      </c>
      <c r="Y986">
        <f>NETWORKDAYS(X986,$Z$1,FERIADO!$A$2:$A$408)</f>
        <v>2517</v>
      </c>
      <c r="Z986">
        <v>7.81</v>
      </c>
      <c r="AA986" s="6">
        <f t="shared" si="137"/>
        <v>47184.389229483102</v>
      </c>
      <c r="AB986" s="2">
        <f t="shared" si="138"/>
        <v>-1.480753366209628E-3</v>
      </c>
      <c r="AJ986" s="1">
        <v>44204</v>
      </c>
      <c r="AK986">
        <f>NETWORKDAYS(AJ986,$AJ$1,FERIADO!$A$2:$A$408)</f>
        <v>1504</v>
      </c>
      <c r="AL986">
        <v>7.03</v>
      </c>
      <c r="AM986" s="6">
        <f t="shared" si="139"/>
        <v>66665.866882822651</v>
      </c>
      <c r="AN986" s="2">
        <f t="shared" si="140"/>
        <v>-1.5798090849613016E-3</v>
      </c>
      <c r="AP986" s="11">
        <f t="shared" si="141"/>
        <v>-7.4037668310481398E-4</v>
      </c>
      <c r="AQ986" s="11">
        <f t="shared" si="142"/>
        <v>-4.7394272548839048E-4</v>
      </c>
      <c r="AR986" s="11">
        <f t="shared" si="143"/>
        <v>-1.2143194085932046E-3</v>
      </c>
    </row>
    <row r="987" spans="2:44" x14ac:dyDescent="0.35">
      <c r="B987" s="1">
        <v>44203</v>
      </c>
      <c r="C987">
        <v>4140.5600000000004</v>
      </c>
      <c r="D987" s="1">
        <v>44209</v>
      </c>
      <c r="E987">
        <v>5.3064</v>
      </c>
      <c r="F987" s="1">
        <v>44200</v>
      </c>
      <c r="G987">
        <v>138.114</v>
      </c>
      <c r="H987" s="4">
        <f t="shared" si="135"/>
        <v>732888.1296000001</v>
      </c>
      <c r="I987" s="5">
        <v>44203</v>
      </c>
      <c r="J987" s="4">
        <v>6774.64</v>
      </c>
      <c r="K987" s="4">
        <f t="shared" si="136"/>
        <v>67746.400000000009</v>
      </c>
      <c r="L987" s="1">
        <v>44203</v>
      </c>
      <c r="M987">
        <v>2.4500000000000002</v>
      </c>
      <c r="P987" s="1">
        <v>44203</v>
      </c>
      <c r="Q987">
        <v>2.89</v>
      </c>
      <c r="R987" s="1">
        <v>44201</v>
      </c>
      <c r="S987">
        <v>2.98</v>
      </c>
      <c r="X987" s="1">
        <v>44203</v>
      </c>
      <c r="Y987">
        <f>NETWORKDAYS(X987,$Z$1,FERIADO!$A$2:$A$408)</f>
        <v>2518</v>
      </c>
      <c r="Z987">
        <v>7.77</v>
      </c>
      <c r="AA987" s="6">
        <f t="shared" si="137"/>
        <v>47345.541838907615</v>
      </c>
      <c r="AB987" s="2">
        <f t="shared" si="138"/>
        <v>-1.2780545590582679E-2</v>
      </c>
      <c r="AJ987" s="1">
        <v>44203</v>
      </c>
      <c r="AK987">
        <f>NETWORKDAYS(AJ987,$AJ$1,FERIADO!$A$2:$A$408)</f>
        <v>1505</v>
      </c>
      <c r="AL987">
        <v>6.96</v>
      </c>
      <c r="AM987" s="6">
        <f t="shared" si="139"/>
        <v>66908.815242103825</v>
      </c>
      <c r="AN987" s="2">
        <f t="shared" si="140"/>
        <v>-6.2007249956741199E-3</v>
      </c>
      <c r="AP987" s="11">
        <f t="shared" si="141"/>
        <v>-6.3902727952913395E-3</v>
      </c>
      <c r="AQ987" s="11">
        <f t="shared" si="142"/>
        <v>-1.8602174987022359E-3</v>
      </c>
      <c r="AR987" s="11">
        <f t="shared" si="143"/>
        <v>-8.2504902939935752E-3</v>
      </c>
    </row>
    <row r="988" spans="2:44" x14ac:dyDescent="0.35">
      <c r="B988" s="1">
        <v>44202</v>
      </c>
      <c r="C988">
        <v>4077.62</v>
      </c>
      <c r="D988" s="1">
        <v>44208</v>
      </c>
      <c r="E988">
        <v>5.4630999999999998</v>
      </c>
      <c r="F988" s="1">
        <v>44195</v>
      </c>
      <c r="G988">
        <v>137.93</v>
      </c>
      <c r="H988" s="4">
        <f t="shared" si="135"/>
        <v>753525.38300000003</v>
      </c>
      <c r="I988" s="5">
        <v>44202</v>
      </c>
      <c r="J988" s="4">
        <v>6650.92</v>
      </c>
      <c r="K988" s="4">
        <f t="shared" si="136"/>
        <v>66509.2</v>
      </c>
      <c r="L988" s="1">
        <v>44202</v>
      </c>
      <c r="M988">
        <v>2.36</v>
      </c>
      <c r="P988" s="1">
        <v>44202</v>
      </c>
      <c r="Q988">
        <v>2.76</v>
      </c>
      <c r="R988" s="1">
        <v>44200</v>
      </c>
      <c r="S988">
        <v>2.91</v>
      </c>
      <c r="X988" s="1">
        <v>44202</v>
      </c>
      <c r="Y988">
        <f>NETWORKDAYS(X988,$Z$1,FERIADO!$A$2:$A$408)</f>
        <v>2519</v>
      </c>
      <c r="Z988">
        <v>7.45</v>
      </c>
      <c r="AA988" s="6">
        <f t="shared" si="137"/>
        <v>48759.544144605854</v>
      </c>
      <c r="AB988" s="2">
        <f t="shared" si="138"/>
        <v>-7.9673547076872624E-3</v>
      </c>
      <c r="AJ988" s="1">
        <v>44202</v>
      </c>
      <c r="AK988">
        <f>NETWORKDAYS(AJ988,$AJ$1,FERIADO!$A$2:$A$408)</f>
        <v>1506</v>
      </c>
      <c r="AL988">
        <v>6.7</v>
      </c>
      <c r="AM988" s="6">
        <f t="shared" si="139"/>
        <v>67870.971370823434</v>
      </c>
      <c r="AN988" s="2">
        <f t="shared" si="140"/>
        <v>-4.7609394313237428E-3</v>
      </c>
      <c r="AP988" s="11">
        <f t="shared" si="141"/>
        <v>-3.9836773538436312E-3</v>
      </c>
      <c r="AQ988" s="11">
        <f t="shared" si="142"/>
        <v>-1.4282818293971228E-3</v>
      </c>
      <c r="AR988" s="11">
        <f t="shared" si="143"/>
        <v>-5.4119591832407542E-3</v>
      </c>
    </row>
    <row r="989" spans="2:44" x14ac:dyDescent="0.35">
      <c r="B989" s="1">
        <v>44201</v>
      </c>
      <c r="C989">
        <v>4048.35</v>
      </c>
      <c r="D989" s="1">
        <v>44207</v>
      </c>
      <c r="E989">
        <v>5.4960000000000004</v>
      </c>
      <c r="F989" s="1">
        <v>44194</v>
      </c>
      <c r="G989">
        <v>137.94399999999999</v>
      </c>
      <c r="H989" s="4">
        <f t="shared" si="135"/>
        <v>758140.22400000005</v>
      </c>
      <c r="I989" s="5">
        <v>44201</v>
      </c>
      <c r="J989" s="4">
        <v>6617.18</v>
      </c>
      <c r="K989" s="4">
        <f t="shared" si="136"/>
        <v>66171.8</v>
      </c>
      <c r="L989" s="1">
        <v>44201</v>
      </c>
      <c r="M989">
        <v>2.33</v>
      </c>
      <c r="P989" s="1">
        <v>44201</v>
      </c>
      <c r="Q989">
        <v>2.74</v>
      </c>
      <c r="R989" s="1">
        <v>44195</v>
      </c>
      <c r="S989">
        <v>2.88</v>
      </c>
      <c r="X989" s="1">
        <v>44201</v>
      </c>
      <c r="Y989">
        <f>NETWORKDAYS(X989,$Z$1,FERIADO!$A$2:$A$408)</f>
        <v>2520</v>
      </c>
      <c r="Z989">
        <v>7.25</v>
      </c>
      <c r="AA989" s="6">
        <f t="shared" si="137"/>
        <v>49662.31856568926</v>
      </c>
      <c r="AB989" s="2">
        <f t="shared" si="138"/>
        <v>-2.3106395413480738E-3</v>
      </c>
      <c r="AJ989" s="1">
        <v>44201</v>
      </c>
      <c r="AK989">
        <f>NETWORKDAYS(AJ989,$AJ$1,FERIADO!$A$2:$A$408)</f>
        <v>1507</v>
      </c>
      <c r="AL989">
        <v>6.5</v>
      </c>
      <c r="AM989" s="6">
        <f t="shared" si="139"/>
        <v>68619.097898096516</v>
      </c>
      <c r="AN989" s="2">
        <f t="shared" si="140"/>
        <v>-2.3328728346892957E-3</v>
      </c>
      <c r="AP989" s="11">
        <f t="shared" si="141"/>
        <v>-1.1553197706740369E-3</v>
      </c>
      <c r="AQ989" s="11">
        <f t="shared" si="142"/>
        <v>-6.9986185040678869E-4</v>
      </c>
      <c r="AR989" s="11">
        <f t="shared" si="143"/>
        <v>-1.8551816210808257E-3</v>
      </c>
    </row>
    <row r="990" spans="2:44" x14ac:dyDescent="0.35">
      <c r="B990" s="1">
        <v>44200</v>
      </c>
      <c r="C990">
        <v>4020.64</v>
      </c>
      <c r="D990" s="1">
        <v>44204</v>
      </c>
      <c r="E990">
        <v>5.3677000000000001</v>
      </c>
      <c r="F990" s="1">
        <v>44193</v>
      </c>
      <c r="G990">
        <v>137.96899999999999</v>
      </c>
      <c r="H990" s="4">
        <f t="shared" si="135"/>
        <v>740576.20129999996</v>
      </c>
      <c r="I990" s="5">
        <v>44200</v>
      </c>
      <c r="J990" s="4">
        <v>6626.55</v>
      </c>
      <c r="K990" s="4">
        <f t="shared" si="136"/>
        <v>66265.5</v>
      </c>
      <c r="L990" s="1">
        <v>44200</v>
      </c>
      <c r="M990">
        <v>2.2400000000000002</v>
      </c>
      <c r="P990" s="1">
        <v>44200</v>
      </c>
      <c r="Q990">
        <v>2.65</v>
      </c>
      <c r="R990" s="1">
        <v>44194</v>
      </c>
      <c r="S990">
        <v>2.93</v>
      </c>
      <c r="X990" s="1">
        <v>44200</v>
      </c>
      <c r="Y990">
        <f>NETWORKDAYS(X990,$Z$1,FERIADO!$A$2:$A$408)</f>
        <v>2521</v>
      </c>
      <c r="Z990">
        <v>7.19</v>
      </c>
      <c r="AA990" s="6">
        <f t="shared" si="137"/>
        <v>49927.248305627181</v>
      </c>
      <c r="AB990" s="2">
        <f t="shared" si="138"/>
        <v>6.4494627167950059E-4</v>
      </c>
      <c r="AJ990" s="1">
        <v>44200</v>
      </c>
      <c r="AK990">
        <f>NETWORKDAYS(AJ990,$AJ$1,FERIADO!$A$2:$A$408)</f>
        <v>1508</v>
      </c>
      <c r="AL990">
        <v>6.4</v>
      </c>
      <c r="AM990" s="6">
        <f t="shared" si="139"/>
        <v>68988.686626284689</v>
      </c>
      <c r="AN990" s="2">
        <f t="shared" si="140"/>
        <v>4.5838990915678346E-4</v>
      </c>
      <c r="AP990" s="11">
        <f t="shared" si="141"/>
        <v>3.224731358397503E-4</v>
      </c>
      <c r="AQ990" s="11">
        <f t="shared" si="142"/>
        <v>1.3751697274703504E-4</v>
      </c>
      <c r="AR990" s="11">
        <f t="shared" si="143"/>
        <v>4.5999010858678536E-4</v>
      </c>
    </row>
    <row r="991" spans="2:44" x14ac:dyDescent="0.35">
      <c r="B991" s="1">
        <v>44195</v>
      </c>
      <c r="C991">
        <v>4068.9</v>
      </c>
      <c r="D991" s="1">
        <v>44203</v>
      </c>
      <c r="E991">
        <v>5.3426999999999998</v>
      </c>
      <c r="F991" s="1">
        <v>44188</v>
      </c>
      <c r="G991">
        <v>137.696</v>
      </c>
      <c r="H991" s="4">
        <f t="shared" si="135"/>
        <v>735668.41919999989</v>
      </c>
      <c r="I991" s="5">
        <v>44195</v>
      </c>
      <c r="J991" s="4">
        <v>6501.58</v>
      </c>
      <c r="K991" s="4">
        <f t="shared" si="136"/>
        <v>65015.8</v>
      </c>
      <c r="L991" s="1">
        <v>44195</v>
      </c>
      <c r="M991">
        <v>2.2599999999999998</v>
      </c>
      <c r="P991" s="1">
        <v>44195</v>
      </c>
      <c r="Q991">
        <v>2.63</v>
      </c>
      <c r="R991" s="1">
        <v>44193</v>
      </c>
      <c r="S991">
        <v>2.97</v>
      </c>
      <c r="X991" s="1">
        <v>44195</v>
      </c>
      <c r="Y991">
        <f>NETWORKDAYS(X991,$Z$1,FERIADO!$A$2:$A$408)</f>
        <v>2523</v>
      </c>
      <c r="Z991">
        <v>7.2</v>
      </c>
      <c r="AA991" s="6">
        <f t="shared" si="137"/>
        <v>49853.159187926627</v>
      </c>
      <c r="AB991" s="2">
        <f t="shared" si="138"/>
        <v>1.3369557940723427E-3</v>
      </c>
      <c r="AJ991" s="1">
        <v>44195</v>
      </c>
      <c r="AK991">
        <f>NETWORKDAYS(AJ991,$AJ$1,FERIADO!$A$2:$A$408)</f>
        <v>1510</v>
      </c>
      <c r="AL991">
        <v>6.41</v>
      </c>
      <c r="AM991" s="6">
        <f t="shared" si="139"/>
        <v>68915.908739726583</v>
      </c>
      <c r="AN991" s="2">
        <f t="shared" si="140"/>
        <v>1.0707318726825488E-4</v>
      </c>
      <c r="AP991" s="11">
        <f t="shared" si="141"/>
        <v>6.6847789703617137E-4</v>
      </c>
      <c r="AQ991" s="11">
        <f t="shared" si="142"/>
        <v>3.2121956180476464E-5</v>
      </c>
      <c r="AR991" s="11">
        <f t="shared" si="143"/>
        <v>7.0059985321664782E-4</v>
      </c>
    </row>
    <row r="992" spans="2:44" x14ac:dyDescent="0.35">
      <c r="B992" s="1">
        <v>44194</v>
      </c>
      <c r="C992">
        <v>4055.23</v>
      </c>
      <c r="D992" s="1">
        <v>44202</v>
      </c>
      <c r="E992">
        <v>5.3175999999999997</v>
      </c>
      <c r="F992" s="1">
        <v>44187</v>
      </c>
      <c r="G992">
        <v>137.96</v>
      </c>
      <c r="H992" s="4">
        <f t="shared" si="135"/>
        <v>733616.09600000002</v>
      </c>
      <c r="I992" s="5">
        <v>44194</v>
      </c>
      <c r="J992" s="4">
        <v>6516.57</v>
      </c>
      <c r="K992" s="4">
        <f t="shared" si="136"/>
        <v>65165.7</v>
      </c>
      <c r="L992" s="1">
        <v>44194</v>
      </c>
      <c r="M992">
        <v>2.2599999999999998</v>
      </c>
      <c r="P992" s="1">
        <v>44194</v>
      </c>
      <c r="Q992">
        <v>2.69</v>
      </c>
      <c r="R992" s="1">
        <v>44188</v>
      </c>
      <c r="S992">
        <v>2.97</v>
      </c>
      <c r="X992" s="1">
        <v>44194</v>
      </c>
      <c r="Y992">
        <f>NETWORKDAYS(X992,$Z$1,FERIADO!$A$2:$A$408)</f>
        <v>2524</v>
      </c>
      <c r="Z992">
        <v>7.23</v>
      </c>
      <c r="AA992" s="6">
        <f t="shared" si="137"/>
        <v>49699.92449064731</v>
      </c>
      <c r="AB992" s="2">
        <f t="shared" si="138"/>
        <v>7.4188613439113036E-3</v>
      </c>
      <c r="AJ992" s="1">
        <v>44194</v>
      </c>
      <c r="AK992">
        <f>NETWORKDAYS(AJ992,$AJ$1,FERIADO!$A$2:$A$408)</f>
        <v>1511</v>
      </c>
      <c r="AL992">
        <v>6.41</v>
      </c>
      <c r="AM992" s="6">
        <f t="shared" si="139"/>
        <v>68898.919952738637</v>
      </c>
      <c r="AN992" s="2">
        <f t="shared" si="140"/>
        <v>4.2667094669950906E-3</v>
      </c>
      <c r="AP992" s="11">
        <f t="shared" si="141"/>
        <v>3.7094306719556518E-3</v>
      </c>
      <c r="AQ992" s="11">
        <f t="shared" si="142"/>
        <v>1.2800128400985271E-3</v>
      </c>
      <c r="AR992" s="11">
        <f t="shared" si="143"/>
        <v>4.9894435120541791E-3</v>
      </c>
    </row>
    <row r="993" spans="2:44" x14ac:dyDescent="0.35">
      <c r="B993" s="1">
        <v>44193</v>
      </c>
      <c r="C993">
        <v>4061.08</v>
      </c>
      <c r="D993" s="1">
        <v>44201</v>
      </c>
      <c r="E993">
        <v>5.3262999999999998</v>
      </c>
      <c r="F993" s="1">
        <v>44186</v>
      </c>
      <c r="G993">
        <v>137.78700000000001</v>
      </c>
      <c r="H993" s="4">
        <f t="shared" si="135"/>
        <v>733894.89809999999</v>
      </c>
      <c r="I993" s="5">
        <v>44193</v>
      </c>
      <c r="J993" s="4">
        <v>6546.57</v>
      </c>
      <c r="K993" s="4">
        <f t="shared" si="136"/>
        <v>65465.7</v>
      </c>
      <c r="L993" s="1">
        <v>44193</v>
      </c>
      <c r="M993">
        <v>2.31</v>
      </c>
      <c r="P993" s="1">
        <v>44193</v>
      </c>
      <c r="Q993">
        <v>2.74</v>
      </c>
      <c r="R993" s="1">
        <v>44187</v>
      </c>
      <c r="S993">
        <v>3.05</v>
      </c>
      <c r="X993" s="1">
        <v>44193</v>
      </c>
      <c r="Y993">
        <f>NETWORKDAYS(X993,$Z$1,FERIADO!$A$2:$A$408)</f>
        <v>2525</v>
      </c>
      <c r="Z993">
        <v>7.41</v>
      </c>
      <c r="AA993" s="6">
        <f t="shared" si="137"/>
        <v>48858.133018432658</v>
      </c>
      <c r="AB993" s="2">
        <f t="shared" si="138"/>
        <v>-3.6055900135684143E-5</v>
      </c>
      <c r="AJ993" s="1">
        <v>44193</v>
      </c>
      <c r="AK993">
        <f>NETWORKDAYS(AJ993,$AJ$1,FERIADO!$A$2:$A$408)</f>
        <v>1512</v>
      </c>
      <c r="AL993">
        <v>6.58</v>
      </c>
      <c r="AM993" s="6">
        <f t="shared" si="139"/>
        <v>68225.339359527425</v>
      </c>
      <c r="AN993" s="2">
        <f t="shared" si="140"/>
        <v>-4.055538179113154E-4</v>
      </c>
      <c r="AP993" s="11">
        <f t="shared" si="141"/>
        <v>-1.8027950067842071E-5</v>
      </c>
      <c r="AQ993" s="11">
        <f t="shared" si="142"/>
        <v>-1.2166614537339462E-4</v>
      </c>
      <c r="AR993" s="11">
        <f t="shared" si="143"/>
        <v>-1.396940954412367E-4</v>
      </c>
    </row>
    <row r="994" spans="2:44" x14ac:dyDescent="0.35">
      <c r="B994" s="1">
        <v>44188</v>
      </c>
      <c r="C994">
        <v>4013.73</v>
      </c>
      <c r="D994" s="1">
        <v>44200</v>
      </c>
      <c r="E994">
        <v>5.1619999999999999</v>
      </c>
      <c r="F994" s="1">
        <v>44183</v>
      </c>
      <c r="G994">
        <v>137.78700000000001</v>
      </c>
      <c r="H994" s="4">
        <f t="shared" si="135"/>
        <v>711256.49399999995</v>
      </c>
      <c r="I994" s="5">
        <v>44188</v>
      </c>
      <c r="J994" s="4">
        <v>6524.07</v>
      </c>
      <c r="K994" s="4">
        <f t="shared" si="136"/>
        <v>65240.7</v>
      </c>
      <c r="L994" s="1">
        <v>44188</v>
      </c>
      <c r="M994">
        <v>2.3199999999999998</v>
      </c>
      <c r="P994" s="1">
        <v>44188</v>
      </c>
      <c r="Q994">
        <v>2.75</v>
      </c>
      <c r="R994" s="1">
        <v>44186</v>
      </c>
      <c r="S994">
        <v>3.04</v>
      </c>
      <c r="X994" s="1">
        <v>44188</v>
      </c>
      <c r="Y994">
        <f>NETWORKDAYS(X994,$Z$1,FERIADO!$A$2:$A$408)</f>
        <v>2528</v>
      </c>
      <c r="Z994">
        <v>7.4</v>
      </c>
      <c r="AA994" s="6">
        <f t="shared" si="137"/>
        <v>48862.189475898587</v>
      </c>
      <c r="AB994" s="2">
        <f t="shared" si="138"/>
        <v>2.1516367326612153E-3</v>
      </c>
      <c r="AJ994" s="1">
        <v>44188</v>
      </c>
      <c r="AK994">
        <f>NETWORKDAYS(AJ994,$AJ$1,FERIADO!$A$2:$A$408)</f>
        <v>1515</v>
      </c>
      <c r="AL994">
        <v>6.55</v>
      </c>
      <c r="AM994" s="6">
        <f t="shared" si="139"/>
        <v>68289.07945067776</v>
      </c>
      <c r="AN994" s="2">
        <f t="shared" si="140"/>
        <v>2.5602402724361566E-3</v>
      </c>
      <c r="AP994" s="11">
        <f t="shared" si="141"/>
        <v>1.0758183663306076E-3</v>
      </c>
      <c r="AQ994" s="11">
        <f t="shared" si="142"/>
        <v>7.6807208173084699E-4</v>
      </c>
      <c r="AR994" s="11">
        <f t="shared" si="143"/>
        <v>1.8438904480614546E-3</v>
      </c>
    </row>
    <row r="995" spans="2:44" x14ac:dyDescent="0.35">
      <c r="B995" s="1">
        <v>44187</v>
      </c>
      <c r="C995">
        <v>4009.78</v>
      </c>
      <c r="D995" s="1">
        <v>44196</v>
      </c>
      <c r="E995">
        <v>5.1961000000000004</v>
      </c>
      <c r="F995" s="1">
        <v>44182</v>
      </c>
      <c r="G995">
        <v>137.80799999999999</v>
      </c>
      <c r="H995" s="4">
        <f t="shared" si="135"/>
        <v>716064.14879999997</v>
      </c>
      <c r="I995" s="5">
        <v>44187</v>
      </c>
      <c r="J995" s="4">
        <v>6448.46</v>
      </c>
      <c r="K995" s="4">
        <f t="shared" si="136"/>
        <v>64484.6</v>
      </c>
      <c r="L995" s="1">
        <v>44187</v>
      </c>
      <c r="M995">
        <v>2.34</v>
      </c>
      <c r="P995" s="1">
        <v>44187</v>
      </c>
      <c r="Q995">
        <v>2.77</v>
      </c>
      <c r="R995" s="1">
        <v>44183</v>
      </c>
      <c r="S995">
        <v>3.08</v>
      </c>
      <c r="X995" s="1">
        <v>44187</v>
      </c>
      <c r="Y995">
        <f>NETWORKDAYS(X995,$Z$1,FERIADO!$A$2:$A$408)</f>
        <v>2529</v>
      </c>
      <c r="Z995">
        <v>7.45</v>
      </c>
      <c r="AA995" s="6">
        <f t="shared" si="137"/>
        <v>48620.70890835383</v>
      </c>
      <c r="AB995" s="2">
        <f t="shared" si="138"/>
        <v>5.2960287704933605E-4</v>
      </c>
      <c r="AJ995" s="1">
        <v>44187</v>
      </c>
      <c r="AK995">
        <f>NETWORKDAYS(AJ995,$AJ$1,FERIADO!$A$2:$A$408)</f>
        <v>1516</v>
      </c>
      <c r="AL995">
        <v>6.65</v>
      </c>
      <c r="AM995" s="6">
        <f t="shared" si="139"/>
        <v>67887.687942295743</v>
      </c>
      <c r="AN995" s="2">
        <f t="shared" si="140"/>
        <v>1.0913191099684175E-3</v>
      </c>
      <c r="AP995" s="11">
        <f t="shared" si="141"/>
        <v>2.6480143852466802E-4</v>
      </c>
      <c r="AQ995" s="11">
        <f t="shared" si="142"/>
        <v>3.2739573299052523E-4</v>
      </c>
      <c r="AR995" s="11">
        <f t="shared" si="143"/>
        <v>5.9219717151519325E-4</v>
      </c>
    </row>
    <row r="996" spans="2:44" x14ac:dyDescent="0.35">
      <c r="B996" s="1">
        <v>44186</v>
      </c>
      <c r="C996">
        <v>4009.74</v>
      </c>
      <c r="D996" s="1">
        <v>44195</v>
      </c>
      <c r="E996">
        <v>5.1961000000000004</v>
      </c>
      <c r="F996" s="1">
        <v>44181</v>
      </c>
      <c r="G996">
        <v>137.73699999999999</v>
      </c>
      <c r="H996" s="4">
        <f t="shared" si="135"/>
        <v>715695.22570000007</v>
      </c>
      <c r="I996" s="5">
        <v>44186</v>
      </c>
      <c r="J996" s="4">
        <v>6397.22</v>
      </c>
      <c r="K996" s="4">
        <f t="shared" si="136"/>
        <v>63972.200000000004</v>
      </c>
      <c r="L996" s="1">
        <v>44186</v>
      </c>
      <c r="M996">
        <v>2.38</v>
      </c>
      <c r="P996" s="1">
        <v>44186</v>
      </c>
      <c r="Q996">
        <v>2.82</v>
      </c>
      <c r="R996" s="1">
        <v>44182</v>
      </c>
      <c r="S996">
        <v>3.07</v>
      </c>
      <c r="X996" s="1">
        <v>44186</v>
      </c>
      <c r="Y996">
        <f>NETWORKDAYS(X996,$Z$1,FERIADO!$A$2:$A$408)</f>
        <v>2530</v>
      </c>
      <c r="Z996">
        <v>7.46</v>
      </c>
      <c r="AA996" s="6">
        <f t="shared" si="137"/>
        <v>48561.454244789857</v>
      </c>
      <c r="AB996" s="2">
        <f t="shared" si="138"/>
        <v>1.3415535524737105E-3</v>
      </c>
      <c r="AJ996" s="1">
        <v>44186</v>
      </c>
      <c r="AK996">
        <f>NETWORKDAYS(AJ996,$AJ$1,FERIADO!$A$2:$A$408)</f>
        <v>1517</v>
      </c>
      <c r="AL996">
        <v>6.69</v>
      </c>
      <c r="AM996" s="6">
        <f t="shared" si="139"/>
        <v>67717.310175425839</v>
      </c>
      <c r="AN996" s="2">
        <f t="shared" si="140"/>
        <v>3.5679696783631005E-4</v>
      </c>
      <c r="AP996" s="11">
        <f t="shared" si="141"/>
        <v>6.7077677623685527E-4</v>
      </c>
      <c r="AQ996" s="11">
        <f t="shared" si="142"/>
        <v>1.0703909035089302E-4</v>
      </c>
      <c r="AR996" s="11">
        <f t="shared" si="143"/>
        <v>7.7781586658774824E-4</v>
      </c>
    </row>
    <row r="997" spans="2:44" x14ac:dyDescent="0.35">
      <c r="B997" s="1">
        <v>44183</v>
      </c>
      <c r="C997">
        <v>4035.35</v>
      </c>
      <c r="D997" s="1">
        <v>44194</v>
      </c>
      <c r="E997">
        <v>5.1936</v>
      </c>
      <c r="F997" s="1">
        <v>44180</v>
      </c>
      <c r="G997">
        <v>137.91</v>
      </c>
      <c r="H997" s="4">
        <f t="shared" si="135"/>
        <v>716249.37599999993</v>
      </c>
      <c r="I997" s="5">
        <v>44183</v>
      </c>
      <c r="J997" s="4">
        <v>6376.59</v>
      </c>
      <c r="K997" s="4">
        <f t="shared" si="136"/>
        <v>63765.9</v>
      </c>
      <c r="L997" s="1">
        <v>44183</v>
      </c>
      <c r="M997">
        <v>2.4</v>
      </c>
      <c r="P997" s="1">
        <v>44183</v>
      </c>
      <c r="Q997">
        <v>2.8</v>
      </c>
      <c r="R997" s="1">
        <v>44181</v>
      </c>
      <c r="S997">
        <v>3.1</v>
      </c>
      <c r="X997" s="1">
        <v>44183</v>
      </c>
      <c r="Y997">
        <f>NETWORKDAYS(X997,$Z$1,FERIADO!$A$2:$A$408)</f>
        <v>2531</v>
      </c>
      <c r="Z997">
        <v>7.49</v>
      </c>
      <c r="AA997" s="6">
        <f t="shared" si="137"/>
        <v>48411.677363921714</v>
      </c>
      <c r="AB997" s="2">
        <f t="shared" si="138"/>
        <v>2.9652464599566196E-3</v>
      </c>
      <c r="AJ997" s="1">
        <v>44183</v>
      </c>
      <c r="AK997">
        <f>NETWORKDAYS(AJ997,$AJ$1,FERIADO!$A$2:$A$408)</f>
        <v>1518</v>
      </c>
      <c r="AL997">
        <v>6.7</v>
      </c>
      <c r="AM997" s="6">
        <f t="shared" si="139"/>
        <v>67661.699501727009</v>
      </c>
      <c r="AN997" s="2">
        <f t="shared" si="140"/>
        <v>1.092959467823308E-3</v>
      </c>
      <c r="AP997" s="11">
        <f t="shared" si="141"/>
        <v>1.4826232299783098E-3</v>
      </c>
      <c r="AQ997" s="11">
        <f t="shared" si="142"/>
        <v>3.2788784034699236E-4</v>
      </c>
      <c r="AR997" s="11">
        <f t="shared" si="143"/>
        <v>1.8105110703253021E-3</v>
      </c>
    </row>
    <row r="998" spans="2:44" x14ac:dyDescent="0.35">
      <c r="B998" s="1">
        <v>44182</v>
      </c>
      <c r="C998">
        <v>4057.68</v>
      </c>
      <c r="D998" s="1">
        <v>44193</v>
      </c>
      <c r="E998">
        <v>5.2384000000000004</v>
      </c>
      <c r="F998" s="1">
        <v>44179</v>
      </c>
      <c r="G998">
        <v>138.03200000000001</v>
      </c>
      <c r="H998" s="4">
        <f t="shared" si="135"/>
        <v>723066.82880000002</v>
      </c>
      <c r="I998" s="5">
        <v>44182</v>
      </c>
      <c r="J998" s="4">
        <v>6320.98</v>
      </c>
      <c r="K998" s="4">
        <f t="shared" si="136"/>
        <v>63209.799999999996</v>
      </c>
      <c r="L998" s="1">
        <v>44182</v>
      </c>
      <c r="M998">
        <v>2.38</v>
      </c>
      <c r="P998" s="1">
        <v>44182</v>
      </c>
      <c r="Q998">
        <v>2.82</v>
      </c>
      <c r="R998" s="1">
        <v>44180</v>
      </c>
      <c r="S998">
        <v>3.1</v>
      </c>
      <c r="X998" s="1">
        <v>44182</v>
      </c>
      <c r="Y998">
        <f>NETWORKDAYS(X998,$Z$1,FERIADO!$A$2:$A$408)</f>
        <v>2532</v>
      </c>
      <c r="Z998">
        <v>7.56</v>
      </c>
      <c r="AA998" s="6">
        <f t="shared" si="137"/>
        <v>48082.261253125595</v>
      </c>
      <c r="AB998" s="2">
        <f t="shared" si="138"/>
        <v>1.2559838710818992E-4</v>
      </c>
      <c r="AJ998" s="1">
        <v>44182</v>
      </c>
      <c r="AK998">
        <f>NETWORKDAYS(AJ998,$AJ$1,FERIADO!$A$2:$A$408)</f>
        <v>1519</v>
      </c>
      <c r="AL998">
        <v>6.74</v>
      </c>
      <c r="AM998" s="6">
        <f t="shared" si="139"/>
        <v>67491.63397749608</v>
      </c>
      <c r="AN998" s="2">
        <f t="shared" si="140"/>
        <v>6.0319247332456E-4</v>
      </c>
      <c r="AP998" s="11">
        <f t="shared" si="141"/>
        <v>6.2799193554094959E-5</v>
      </c>
      <c r="AQ998" s="11">
        <f t="shared" si="142"/>
        <v>1.8095774199736799E-4</v>
      </c>
      <c r="AR998" s="11">
        <f t="shared" si="143"/>
        <v>2.4375693555146293E-4</v>
      </c>
    </row>
    <row r="999" spans="2:44" x14ac:dyDescent="0.35">
      <c r="B999" s="1">
        <v>44181</v>
      </c>
      <c r="C999">
        <v>4035.57</v>
      </c>
      <c r="D999" s="1">
        <v>44189</v>
      </c>
      <c r="E999">
        <v>5.1784999999999997</v>
      </c>
      <c r="F999" s="1">
        <v>44176</v>
      </c>
      <c r="G999">
        <v>138.114</v>
      </c>
      <c r="H999" s="4">
        <f t="shared" si="135"/>
        <v>715223.34899999993</v>
      </c>
      <c r="I999" s="5">
        <v>44181</v>
      </c>
      <c r="J999" s="4">
        <v>6352.85</v>
      </c>
      <c r="K999" s="4">
        <f t="shared" si="136"/>
        <v>63528.5</v>
      </c>
      <c r="L999" s="1">
        <v>44181</v>
      </c>
      <c r="M999">
        <v>2.38</v>
      </c>
      <c r="P999" s="1">
        <v>44181</v>
      </c>
      <c r="Q999">
        <v>2.82</v>
      </c>
      <c r="R999" s="1">
        <v>44179</v>
      </c>
      <c r="S999">
        <v>3.15</v>
      </c>
      <c r="X999" s="1">
        <v>44181</v>
      </c>
      <c r="Y999">
        <f>NETWORKDAYS(X999,$Z$1,FERIADO!$A$2:$A$408)</f>
        <v>2533</v>
      </c>
      <c r="Z999">
        <v>7.56</v>
      </c>
      <c r="AA999" s="6">
        <f t="shared" si="137"/>
        <v>48068.357826884938</v>
      </c>
      <c r="AB999" s="2">
        <f t="shared" si="138"/>
        <v>-1.0926095217404749E-3</v>
      </c>
      <c r="AJ999" s="1">
        <v>44181</v>
      </c>
      <c r="AK999">
        <f>NETWORKDAYS(AJ999,$AJ$1,FERIADO!$A$2:$A$408)</f>
        <v>1520</v>
      </c>
      <c r="AL999">
        <v>6.76</v>
      </c>
      <c r="AM999" s="6">
        <f t="shared" si="139"/>
        <v>67397.959779463694</v>
      </c>
      <c r="AN999" s="2">
        <f t="shared" si="140"/>
        <v>-2.097968819382766E-3</v>
      </c>
      <c r="AP999" s="11">
        <f t="shared" si="141"/>
        <v>-5.4630476087023743E-4</v>
      </c>
      <c r="AQ999" s="11">
        <f t="shared" si="142"/>
        <v>-6.2939064581482974E-4</v>
      </c>
      <c r="AR999" s="11">
        <f t="shared" si="143"/>
        <v>-1.1756954066850672E-3</v>
      </c>
    </row>
    <row r="1000" spans="2:44" x14ac:dyDescent="0.35">
      <c r="B1000" s="1">
        <v>44180</v>
      </c>
      <c r="C1000">
        <v>4026.65</v>
      </c>
      <c r="D1000" s="1">
        <v>44188</v>
      </c>
      <c r="E1000">
        <v>5.1734</v>
      </c>
      <c r="F1000" s="1">
        <v>44175</v>
      </c>
      <c r="G1000">
        <v>137.851</v>
      </c>
      <c r="H1000" s="4">
        <f t="shared" si="135"/>
        <v>713158.36340000003</v>
      </c>
      <c r="I1000" s="5">
        <v>44180</v>
      </c>
      <c r="J1000" s="4">
        <v>6354.72</v>
      </c>
      <c r="K1000" s="4">
        <f t="shared" si="136"/>
        <v>63547.200000000004</v>
      </c>
      <c r="L1000" s="1">
        <v>44180</v>
      </c>
      <c r="M1000">
        <v>2.35</v>
      </c>
      <c r="P1000" s="1">
        <v>44180</v>
      </c>
      <c r="Q1000">
        <v>2.81</v>
      </c>
      <c r="R1000" s="1">
        <v>44176</v>
      </c>
      <c r="S1000">
        <v>3.16</v>
      </c>
      <c r="X1000" s="1">
        <v>44180</v>
      </c>
      <c r="Y1000">
        <f>NETWORKDAYS(X1000,$Z$1,FERIADO!$A$2:$A$408)</f>
        <v>2534</v>
      </c>
      <c r="Z1000">
        <v>7.53</v>
      </c>
      <c r="AA1000" s="6">
        <f t="shared" si="137"/>
        <v>48189.441719538168</v>
      </c>
      <c r="AB1000" s="2">
        <f t="shared" si="138"/>
        <v>4.1860917967723931E-3</v>
      </c>
      <c r="AJ1000" s="1">
        <v>44180</v>
      </c>
      <c r="AK1000">
        <f>NETWORKDAYS(AJ1000,$AJ$1,FERIADO!$A$2:$A$408)</f>
        <v>1521</v>
      </c>
      <c r="AL1000">
        <v>6.67</v>
      </c>
      <c r="AM1000" s="6">
        <f t="shared" si="139"/>
        <v>67724.330262907242</v>
      </c>
      <c r="AN1000" s="2">
        <f t="shared" si="140"/>
        <v>3.0604041159215394E-3</v>
      </c>
      <c r="AP1000" s="11">
        <f t="shared" si="141"/>
        <v>2.0930458983861966E-3</v>
      </c>
      <c r="AQ1000" s="11">
        <f t="shared" si="142"/>
        <v>9.1812123477646177E-4</v>
      </c>
      <c r="AR1000" s="11">
        <f t="shared" si="143"/>
        <v>3.0111671331626583E-3</v>
      </c>
    </row>
    <row r="1001" spans="2:44" x14ac:dyDescent="0.35">
      <c r="B1001" s="1">
        <v>44179</v>
      </c>
      <c r="C1001">
        <v>3979.65</v>
      </c>
      <c r="D1001" s="1">
        <v>44187</v>
      </c>
      <c r="E1001">
        <v>5.1467000000000001</v>
      </c>
      <c r="F1001" s="1">
        <v>44174</v>
      </c>
      <c r="G1001">
        <v>137.60300000000001</v>
      </c>
      <c r="H1001" s="4">
        <f t="shared" si="135"/>
        <v>708201.36010000005</v>
      </c>
      <c r="I1001" s="5">
        <v>44179</v>
      </c>
      <c r="J1001" s="4">
        <v>6395.97</v>
      </c>
      <c r="K1001" s="4">
        <f t="shared" si="136"/>
        <v>63959.700000000004</v>
      </c>
      <c r="L1001" s="1">
        <v>44179</v>
      </c>
      <c r="M1001">
        <v>2.38</v>
      </c>
      <c r="P1001" s="1">
        <v>44179</v>
      </c>
      <c r="Q1001">
        <v>2.86</v>
      </c>
      <c r="R1001" s="1">
        <v>44175</v>
      </c>
      <c r="S1001">
        <v>3.25</v>
      </c>
      <c r="X1001" s="1">
        <v>44179</v>
      </c>
      <c r="Y1001">
        <f>NETWORKDAYS(X1001,$Z$1,FERIADO!$A$2:$A$408)</f>
        <v>2535</v>
      </c>
      <c r="Z1001">
        <v>7.63</v>
      </c>
      <c r="AA1001" s="6">
        <f t="shared" si="137"/>
        <v>47727.18315457768</v>
      </c>
      <c r="AB1001" s="2">
        <f t="shared" si="138"/>
        <v>-3.123039126631956E-3</v>
      </c>
      <c r="AJ1001" s="1">
        <v>44179</v>
      </c>
      <c r="AK1001">
        <f>NETWORKDAYS(AJ1001,$AJ$1,FERIADO!$A$2:$A$408)</f>
        <v>1522</v>
      </c>
      <c r="AL1001">
        <v>6.79</v>
      </c>
      <c r="AM1001" s="6">
        <f t="shared" si="139"/>
        <v>67248.76526616406</v>
      </c>
      <c r="AN1001" s="2">
        <f t="shared" si="140"/>
        <v>-1.6078334538288388E-3</v>
      </c>
      <c r="AP1001" s="11">
        <f t="shared" si="141"/>
        <v>-1.561519563315978E-3</v>
      </c>
      <c r="AQ1001" s="11">
        <f t="shared" si="142"/>
        <v>-4.8235003614865161E-4</v>
      </c>
      <c r="AR1001" s="11">
        <f t="shared" si="143"/>
        <v>-2.0438695994646297E-3</v>
      </c>
    </row>
    <row r="1002" spans="2:44" x14ac:dyDescent="0.35">
      <c r="B1002" s="1">
        <v>44176</v>
      </c>
      <c r="C1002">
        <v>3990.05</v>
      </c>
      <c r="D1002" s="1">
        <v>44186</v>
      </c>
      <c r="E1002">
        <v>5.1566000000000001</v>
      </c>
      <c r="F1002" s="1">
        <v>44173</v>
      </c>
      <c r="G1002">
        <v>137.83600000000001</v>
      </c>
      <c r="H1002" s="4">
        <f t="shared" si="135"/>
        <v>710765.1176</v>
      </c>
      <c r="I1002" s="5">
        <v>44176</v>
      </c>
      <c r="J1002" s="4">
        <v>6337.22</v>
      </c>
      <c r="K1002" s="4">
        <f t="shared" si="136"/>
        <v>63372.200000000004</v>
      </c>
      <c r="L1002" s="1">
        <v>44176</v>
      </c>
      <c r="M1002">
        <v>2.35</v>
      </c>
      <c r="P1002" s="1">
        <v>44176</v>
      </c>
      <c r="Q1002">
        <v>2.83</v>
      </c>
      <c r="R1002" s="1">
        <v>44174</v>
      </c>
      <c r="S1002">
        <v>3.28</v>
      </c>
      <c r="X1002" s="1">
        <v>44176</v>
      </c>
      <c r="Y1002">
        <f>NETWORKDAYS(X1002,$Z$1,FERIADO!$A$2:$A$408)</f>
        <v>2536</v>
      </c>
      <c r="Z1002">
        <v>7.55</v>
      </c>
      <c r="AA1002" s="6">
        <f t="shared" si="137"/>
        <v>48071.629334411133</v>
      </c>
      <c r="AB1002" s="2">
        <f t="shared" si="138"/>
        <v>4.1888608091988624E-3</v>
      </c>
      <c r="AJ1002" s="1">
        <v>44176</v>
      </c>
      <c r="AK1002">
        <f>NETWORKDAYS(AJ1002,$AJ$1,FERIADO!$A$2:$A$408)</f>
        <v>1523</v>
      </c>
      <c r="AL1002">
        <v>6.72</v>
      </c>
      <c r="AM1002" s="6">
        <f t="shared" si="139"/>
        <v>67498.193280251129</v>
      </c>
      <c r="AN1002" s="2">
        <f t="shared" si="140"/>
        <v>2.8178628271852088E-3</v>
      </c>
      <c r="AP1002" s="11">
        <f t="shared" si="141"/>
        <v>2.0944304045994312E-3</v>
      </c>
      <c r="AQ1002" s="11">
        <f t="shared" si="142"/>
        <v>8.4535884815556265E-4</v>
      </c>
      <c r="AR1002" s="11">
        <f t="shared" si="143"/>
        <v>2.939789252754994E-3</v>
      </c>
    </row>
    <row r="1003" spans="2:44" x14ac:dyDescent="0.35">
      <c r="B1003" s="1">
        <v>44175</v>
      </c>
      <c r="C1003">
        <v>3999.75</v>
      </c>
      <c r="D1003" s="1">
        <v>44183</v>
      </c>
      <c r="E1003">
        <v>5.0979999999999999</v>
      </c>
      <c r="F1003" s="1">
        <v>44172</v>
      </c>
      <c r="G1003">
        <v>137.703</v>
      </c>
      <c r="H1003" s="4">
        <f t="shared" si="135"/>
        <v>702009.89400000009</v>
      </c>
      <c r="I1003" s="5">
        <v>44175</v>
      </c>
      <c r="J1003" s="4">
        <v>6283.48</v>
      </c>
      <c r="K1003" s="4">
        <f t="shared" si="136"/>
        <v>62834.799999999996</v>
      </c>
      <c r="L1003" s="1">
        <v>44175</v>
      </c>
      <c r="M1003">
        <v>2.4500000000000002</v>
      </c>
      <c r="P1003" s="1">
        <v>44175</v>
      </c>
      <c r="Q1003">
        <v>2.94</v>
      </c>
      <c r="R1003" s="1">
        <v>44173</v>
      </c>
      <c r="S1003">
        <v>3.35</v>
      </c>
      <c r="X1003" s="1">
        <v>44175</v>
      </c>
      <c r="Y1003">
        <f>NETWORKDAYS(X1003,$Z$1,FERIADO!$A$2:$A$408)</f>
        <v>2537</v>
      </c>
      <c r="Z1003">
        <v>7.65</v>
      </c>
      <c r="AA1003" s="6">
        <f t="shared" si="137"/>
        <v>47610.197329850489</v>
      </c>
      <c r="AB1003" s="2">
        <f t="shared" si="138"/>
        <v>6.623230899446002E-3</v>
      </c>
      <c r="AJ1003" s="1">
        <v>44175</v>
      </c>
      <c r="AK1003">
        <f>NETWORKDAYS(AJ1003,$AJ$1,FERIADO!$A$2:$A$408)</f>
        <v>1524</v>
      </c>
      <c r="AL1003">
        <v>6.83</v>
      </c>
      <c r="AM1003" s="6">
        <f t="shared" si="139"/>
        <v>67061.65783245911</v>
      </c>
      <c r="AN1003" s="2">
        <f t="shared" si="140"/>
        <v>3.3101038290156053E-3</v>
      </c>
      <c r="AP1003" s="11">
        <f t="shared" si="141"/>
        <v>3.311615449723001E-3</v>
      </c>
      <c r="AQ1003" s="11">
        <f t="shared" si="142"/>
        <v>9.930311487046815E-4</v>
      </c>
      <c r="AR1003" s="11">
        <f t="shared" si="143"/>
        <v>4.3046465984276829E-3</v>
      </c>
    </row>
    <row r="1004" spans="2:44" x14ac:dyDescent="0.35">
      <c r="B1004" s="1">
        <v>44174</v>
      </c>
      <c r="C1004">
        <v>4002.92</v>
      </c>
      <c r="D1004" s="1">
        <v>44182</v>
      </c>
      <c r="E1004">
        <v>5.0606</v>
      </c>
      <c r="F1004" s="1">
        <v>44169</v>
      </c>
      <c r="G1004">
        <v>137.36799999999999</v>
      </c>
      <c r="H1004" s="4">
        <f t="shared" si="135"/>
        <v>695164.50079999992</v>
      </c>
      <c r="I1004" s="5">
        <v>44174</v>
      </c>
      <c r="J1004" s="4">
        <v>6464.71</v>
      </c>
      <c r="K1004" s="4">
        <f t="shared" si="136"/>
        <v>64647.1</v>
      </c>
      <c r="L1004" s="1">
        <v>44174</v>
      </c>
      <c r="M1004">
        <v>2.46</v>
      </c>
      <c r="P1004" s="1">
        <v>44174</v>
      </c>
      <c r="Q1004">
        <v>2.98</v>
      </c>
      <c r="R1004" s="1">
        <v>44172</v>
      </c>
      <c r="S1004">
        <v>3.36</v>
      </c>
      <c r="X1004" s="1">
        <v>44174</v>
      </c>
      <c r="Y1004">
        <f>NETWORKDAYS(X1004,$Z$1,FERIADO!$A$2:$A$408)</f>
        <v>2538</v>
      </c>
      <c r="Z1004">
        <v>7.81</v>
      </c>
      <c r="AA1004" s="6">
        <f t="shared" si="137"/>
        <v>46889.624040965376</v>
      </c>
      <c r="AB1004" s="2">
        <f t="shared" si="138"/>
        <v>-3.5247601420860695E-3</v>
      </c>
      <c r="AJ1004" s="1">
        <v>44174</v>
      </c>
      <c r="AK1004">
        <f>NETWORKDAYS(AJ1004,$AJ$1,FERIADO!$A$2:$A$408)</f>
        <v>1525</v>
      </c>
      <c r="AL1004">
        <v>6.96</v>
      </c>
      <c r="AM1004" s="6">
        <f t="shared" si="139"/>
        <v>66552.470500826355</v>
      </c>
      <c r="AN1004" s="2">
        <f t="shared" si="140"/>
        <v>-1.6057405848629036E-3</v>
      </c>
      <c r="AP1004" s="11">
        <f t="shared" si="141"/>
        <v>-1.7623800710430348E-3</v>
      </c>
      <c r="AQ1004" s="11">
        <f t="shared" si="142"/>
        <v>-4.8172217545887103E-4</v>
      </c>
      <c r="AR1004" s="11">
        <f t="shared" si="143"/>
        <v>-2.2441022465019057E-3</v>
      </c>
    </row>
    <row r="1005" spans="2:44" x14ac:dyDescent="0.35">
      <c r="B1005" s="1">
        <v>44173</v>
      </c>
      <c r="C1005">
        <v>4036.52</v>
      </c>
      <c r="D1005" s="1">
        <v>44181</v>
      </c>
      <c r="E1005">
        <v>5.1051000000000002</v>
      </c>
      <c r="F1005" s="1">
        <v>44168</v>
      </c>
      <c r="G1005">
        <v>137.75</v>
      </c>
      <c r="H1005" s="4">
        <f t="shared" si="135"/>
        <v>703227.52500000002</v>
      </c>
      <c r="I1005" s="5">
        <v>44173</v>
      </c>
      <c r="J1005" s="4">
        <v>6399.09</v>
      </c>
      <c r="K1005" s="4">
        <f t="shared" si="136"/>
        <v>63990.9</v>
      </c>
      <c r="L1005" s="1">
        <v>44173</v>
      </c>
      <c r="M1005">
        <v>2.5</v>
      </c>
      <c r="P1005" s="1">
        <v>44173</v>
      </c>
      <c r="Q1005">
        <v>3</v>
      </c>
      <c r="R1005" s="1">
        <v>44169</v>
      </c>
      <c r="S1005">
        <v>3.34</v>
      </c>
      <c r="X1005" s="1">
        <v>44173</v>
      </c>
      <c r="Y1005">
        <f>NETWORKDAYS(X1005,$Z$1,FERIADO!$A$2:$A$408)</f>
        <v>2539</v>
      </c>
      <c r="Z1005">
        <v>7.72</v>
      </c>
      <c r="AA1005" s="6">
        <f t="shared" si="137"/>
        <v>47271.731556870334</v>
      </c>
      <c r="AB1005" s="2">
        <f t="shared" si="138"/>
        <v>9.4082372903268776E-4</v>
      </c>
      <c r="AJ1005" s="1">
        <v>44173</v>
      </c>
      <c r="AK1005">
        <f>NETWORKDAYS(AJ1005,$AJ$1,FERIADO!$A$2:$A$408)</f>
        <v>1526</v>
      </c>
      <c r="AL1005">
        <v>6.89</v>
      </c>
      <c r="AM1005" s="6">
        <f t="shared" si="139"/>
        <v>66798.994027640729</v>
      </c>
      <c r="AN1005" s="2">
        <f t="shared" si="140"/>
        <v>6.0718098262977987E-4</v>
      </c>
      <c r="AP1005" s="11">
        <f t="shared" si="141"/>
        <v>4.7041186451634388E-4</v>
      </c>
      <c r="AQ1005" s="11">
        <f t="shared" si="142"/>
        <v>1.8215429478893395E-4</v>
      </c>
      <c r="AR1005" s="11">
        <f t="shared" si="143"/>
        <v>6.5256615930527778E-4</v>
      </c>
    </row>
    <row r="1006" spans="2:44" x14ac:dyDescent="0.35">
      <c r="B1006" s="1">
        <v>44172</v>
      </c>
      <c r="C1006">
        <v>4022.59</v>
      </c>
      <c r="D1006" s="1">
        <v>44180</v>
      </c>
      <c r="E1006">
        <v>5.0961999999999996</v>
      </c>
      <c r="F1006" s="1">
        <v>44167</v>
      </c>
      <c r="G1006">
        <v>137.45400000000001</v>
      </c>
      <c r="H1006" s="4">
        <f t="shared" si="135"/>
        <v>700493.07479999994</v>
      </c>
      <c r="I1006" s="5">
        <v>44172</v>
      </c>
      <c r="J1006" s="4">
        <v>6373.47</v>
      </c>
      <c r="K1006" s="4">
        <f t="shared" si="136"/>
        <v>63734.700000000004</v>
      </c>
      <c r="L1006" s="1">
        <v>44172</v>
      </c>
      <c r="M1006">
        <v>2.6</v>
      </c>
      <c r="P1006" s="1">
        <v>44172</v>
      </c>
      <c r="Q1006">
        <v>3.08</v>
      </c>
      <c r="R1006" s="1">
        <v>44168</v>
      </c>
      <c r="S1006">
        <v>3.34</v>
      </c>
      <c r="X1006" s="1">
        <v>44172</v>
      </c>
      <c r="Y1006">
        <f>NETWORKDAYS(X1006,$Z$1,FERIADO!$A$2:$A$408)</f>
        <v>2540</v>
      </c>
      <c r="Z1006">
        <v>7.74</v>
      </c>
      <c r="AA1006" s="6">
        <f t="shared" si="137"/>
        <v>47169.436385331777</v>
      </c>
      <c r="AB1006" s="2">
        <f t="shared" si="138"/>
        <v>5.3491524138411198E-4</v>
      </c>
      <c r="AJ1006" s="1">
        <v>44172</v>
      </c>
      <c r="AK1006">
        <f>NETWORKDAYS(AJ1006,$AJ$1,FERIADO!$A$2:$A$408)</f>
        <v>1527</v>
      </c>
      <c r="AL1006">
        <v>6.91</v>
      </c>
      <c r="AM1006" s="6">
        <f t="shared" si="139"/>
        <v>66705.668551052717</v>
      </c>
      <c r="AN1006" s="2">
        <f t="shared" si="140"/>
        <v>3.6145441126209224E-4</v>
      </c>
      <c r="AP1006" s="11">
        <f t="shared" si="141"/>
        <v>2.6745762069205599E-4</v>
      </c>
      <c r="AQ1006" s="11">
        <f t="shared" si="142"/>
        <v>1.0843632337862767E-4</v>
      </c>
      <c r="AR1006" s="11">
        <f t="shared" si="143"/>
        <v>3.7589394407068369E-4</v>
      </c>
    </row>
    <row r="1007" spans="2:44" x14ac:dyDescent="0.35">
      <c r="B1007" s="1">
        <v>44169</v>
      </c>
      <c r="C1007">
        <v>4034.3</v>
      </c>
      <c r="D1007" s="1">
        <v>44179</v>
      </c>
      <c r="E1007">
        <v>5.0571999999999999</v>
      </c>
      <c r="F1007" s="1">
        <v>44166</v>
      </c>
      <c r="G1007">
        <v>137.512</v>
      </c>
      <c r="H1007" s="4">
        <f t="shared" si="135"/>
        <v>695425.68640000001</v>
      </c>
      <c r="I1007" s="5">
        <v>44169</v>
      </c>
      <c r="J1007" s="4">
        <v>6447.83</v>
      </c>
      <c r="K1007" s="4">
        <f t="shared" si="136"/>
        <v>64478.3</v>
      </c>
      <c r="L1007" s="1">
        <v>44169</v>
      </c>
      <c r="M1007">
        <v>2.58</v>
      </c>
      <c r="P1007" s="1">
        <v>44169</v>
      </c>
      <c r="Q1007">
        <v>3.03</v>
      </c>
      <c r="R1007" s="1">
        <v>44167</v>
      </c>
      <c r="S1007">
        <v>3.46</v>
      </c>
      <c r="X1007" s="1">
        <v>44169</v>
      </c>
      <c r="Y1007">
        <f>NETWORKDAYS(X1007,$Z$1,FERIADO!$A$2:$A$408)</f>
        <v>2541</v>
      </c>
      <c r="Z1007">
        <v>7.75</v>
      </c>
      <c r="AA1007" s="6">
        <f t="shared" si="137"/>
        <v>47111.374127763156</v>
      </c>
      <c r="AB1007" s="2">
        <f t="shared" si="138"/>
        <v>-2.779551524163188E-4</v>
      </c>
      <c r="AJ1007" s="1">
        <v>44169</v>
      </c>
      <c r="AK1007">
        <f>NETWORKDAYS(AJ1007,$AJ$1,FERIADO!$A$2:$A$408)</f>
        <v>1528</v>
      </c>
      <c r="AL1007">
        <v>6.92</v>
      </c>
      <c r="AM1007" s="6">
        <f t="shared" si="139"/>
        <v>66650.173884712131</v>
      </c>
      <c r="AN1007" s="2">
        <f t="shared" si="140"/>
        <v>-3.7763676545162444E-4</v>
      </c>
      <c r="AP1007" s="11">
        <f t="shared" si="141"/>
        <v>-1.389775762081594E-4</v>
      </c>
      <c r="AQ1007" s="11">
        <f t="shared" si="142"/>
        <v>-1.1329102963548733E-4</v>
      </c>
      <c r="AR1007" s="11">
        <f t="shared" si="143"/>
        <v>-2.5226860584364673E-4</v>
      </c>
    </row>
    <row r="1008" spans="2:44" x14ac:dyDescent="0.35">
      <c r="B1008" s="1">
        <v>44168</v>
      </c>
      <c r="C1008">
        <v>3994.22</v>
      </c>
      <c r="D1008" s="1">
        <v>44176</v>
      </c>
      <c r="E1008">
        <v>5.0685000000000002</v>
      </c>
      <c r="F1008" s="1">
        <v>44165</v>
      </c>
      <c r="G1008">
        <v>138.20400000000001</v>
      </c>
      <c r="H1008" s="4">
        <f t="shared" si="135"/>
        <v>700486.97400000005</v>
      </c>
      <c r="I1008" s="5">
        <v>44168</v>
      </c>
      <c r="J1008" s="4">
        <v>6440.96</v>
      </c>
      <c r="K1008" s="4">
        <f t="shared" si="136"/>
        <v>64409.599999999999</v>
      </c>
      <c r="L1008" s="1">
        <v>44168</v>
      </c>
      <c r="M1008">
        <v>2.54</v>
      </c>
      <c r="P1008" s="1">
        <v>44168</v>
      </c>
      <c r="Q1008">
        <v>3.04</v>
      </c>
      <c r="R1008" s="1">
        <v>44166</v>
      </c>
      <c r="S1008">
        <v>3.53</v>
      </c>
      <c r="X1008" s="1">
        <v>44168</v>
      </c>
      <c r="Y1008">
        <f>NETWORKDAYS(X1008,$Z$1,FERIADO!$A$2:$A$408)</f>
        <v>2542</v>
      </c>
      <c r="Z1008">
        <v>7.74</v>
      </c>
      <c r="AA1008" s="6">
        <f t="shared" si="137"/>
        <v>47141.53578320361</v>
      </c>
      <c r="AB1008" s="2">
        <f t="shared" si="138"/>
        <v>1.4342494103712841E-2</v>
      </c>
      <c r="AJ1008" s="1">
        <v>44168</v>
      </c>
      <c r="AK1008">
        <f>NETWORKDAYS(AJ1008,$AJ$1,FERIADO!$A$2:$A$408)</f>
        <v>1529</v>
      </c>
      <c r="AL1008">
        <v>6.9</v>
      </c>
      <c r="AM1008" s="6">
        <f t="shared" si="139"/>
        <v>66708.154133787684</v>
      </c>
      <c r="AN1008" s="2">
        <f t="shared" si="140"/>
        <v>8.2422099139451126E-3</v>
      </c>
      <c r="AP1008" s="11">
        <f t="shared" si="141"/>
        <v>7.1712470518564206E-3</v>
      </c>
      <c r="AQ1008" s="11">
        <f t="shared" si="142"/>
        <v>2.4726629741835338E-3</v>
      </c>
      <c r="AR1008" s="11">
        <f t="shared" si="143"/>
        <v>9.6439100260399535E-3</v>
      </c>
    </row>
    <row r="1009" spans="2:44" x14ac:dyDescent="0.35">
      <c r="B1009" s="1">
        <v>44167</v>
      </c>
      <c r="C1009">
        <v>3999.1</v>
      </c>
      <c r="D1009" s="1">
        <v>44175</v>
      </c>
      <c r="E1009">
        <v>5.0846</v>
      </c>
      <c r="F1009" s="1">
        <v>44162</v>
      </c>
      <c r="G1009">
        <v>138.14500000000001</v>
      </c>
      <c r="H1009" s="4">
        <f t="shared" si="135"/>
        <v>702412.06700000004</v>
      </c>
      <c r="I1009" s="5">
        <v>44167</v>
      </c>
      <c r="J1009" s="4">
        <v>6524.07</v>
      </c>
      <c r="K1009" s="4">
        <f t="shared" si="136"/>
        <v>65240.7</v>
      </c>
      <c r="L1009" s="1">
        <v>44167</v>
      </c>
      <c r="M1009">
        <v>2.71</v>
      </c>
      <c r="P1009" s="1">
        <v>44167</v>
      </c>
      <c r="Q1009">
        <v>3.22</v>
      </c>
      <c r="R1009" s="1">
        <v>44165</v>
      </c>
      <c r="S1009">
        <v>3.59</v>
      </c>
      <c r="X1009" s="1">
        <v>44167</v>
      </c>
      <c r="Y1009">
        <f>NETWORKDAYS(X1009,$Z$1,FERIADO!$A$2:$A$408)</f>
        <v>2543</v>
      </c>
      <c r="Z1009">
        <v>8.09</v>
      </c>
      <c r="AA1009" s="6">
        <f t="shared" si="137"/>
        <v>45610.121885046974</v>
      </c>
      <c r="AB1009" s="2">
        <f t="shared" si="138"/>
        <v>2.567091881298598E-3</v>
      </c>
      <c r="AJ1009" s="1">
        <v>44167</v>
      </c>
      <c r="AK1009">
        <f>NETWORKDAYS(AJ1009,$AJ$1,FERIADO!$A$2:$A$408)</f>
        <v>1530</v>
      </c>
      <c r="AL1009">
        <v>7.23</v>
      </c>
      <c r="AM1009" s="6">
        <f t="shared" si="139"/>
        <v>65454.07859760771</v>
      </c>
      <c r="AN1009" s="2">
        <f t="shared" si="140"/>
        <v>3.3171573905234758E-3</v>
      </c>
      <c r="AP1009" s="11">
        <f t="shared" si="141"/>
        <v>1.283545940649299E-3</v>
      </c>
      <c r="AQ1009" s="11">
        <f t="shared" si="142"/>
        <v>9.9514721715704261E-4</v>
      </c>
      <c r="AR1009" s="11">
        <f t="shared" si="143"/>
        <v>2.2786931578063418E-3</v>
      </c>
    </row>
    <row r="1010" spans="2:44" x14ac:dyDescent="0.35">
      <c r="B1010" s="1">
        <v>44166</v>
      </c>
      <c r="C1010">
        <v>3991.6</v>
      </c>
      <c r="D1010" s="1">
        <v>44174</v>
      </c>
      <c r="E1010">
        <v>5.1102999999999996</v>
      </c>
      <c r="F1010" s="1">
        <v>44161</v>
      </c>
      <c r="G1010">
        <v>138.375</v>
      </c>
      <c r="H1010" s="4">
        <f t="shared" si="135"/>
        <v>707137.76249999984</v>
      </c>
      <c r="I1010" s="5">
        <v>44166</v>
      </c>
      <c r="J1010" s="4">
        <v>6509.7</v>
      </c>
      <c r="K1010" s="4">
        <f t="shared" si="136"/>
        <v>65097</v>
      </c>
      <c r="L1010" s="1">
        <v>44166</v>
      </c>
      <c r="M1010">
        <v>2.74</v>
      </c>
      <c r="P1010" s="1">
        <v>44166</v>
      </c>
      <c r="Q1010">
        <v>3.26</v>
      </c>
      <c r="R1010" s="1">
        <v>44162</v>
      </c>
      <c r="S1010">
        <v>3.61</v>
      </c>
      <c r="X1010" s="1">
        <v>44166</v>
      </c>
      <c r="Y1010">
        <f>NETWORKDAYS(X1010,$Z$1,FERIADO!$A$2:$A$408)</f>
        <v>2544</v>
      </c>
      <c r="Z1010">
        <v>8.15</v>
      </c>
      <c r="AA1010" s="6">
        <f t="shared" si="137"/>
        <v>45341.318074453688</v>
      </c>
      <c r="AB1010" s="2">
        <f t="shared" si="138"/>
        <v>8.6433303777654624E-3</v>
      </c>
      <c r="AJ1010" s="1">
        <v>44166</v>
      </c>
      <c r="AK1010">
        <f>NETWORKDAYS(AJ1010,$AJ$1,FERIADO!$A$2:$A$408)</f>
        <v>1531</v>
      </c>
      <c r="AL1010">
        <v>7.36</v>
      </c>
      <c r="AM1010" s="6">
        <f t="shared" si="139"/>
        <v>64956.042344074718</v>
      </c>
      <c r="AN1010" s="2">
        <f t="shared" si="140"/>
        <v>4.7908076643878002E-3</v>
      </c>
      <c r="AP1010" s="11">
        <f t="shared" si="141"/>
        <v>4.3216651888827312E-3</v>
      </c>
      <c r="AQ1010" s="11">
        <f t="shared" si="142"/>
        <v>1.43724229931634E-3</v>
      </c>
      <c r="AR1010" s="11">
        <f t="shared" si="143"/>
        <v>5.7589074881990712E-3</v>
      </c>
    </row>
    <row r="1011" spans="2:44" x14ac:dyDescent="0.35">
      <c r="B1011" s="1">
        <v>44165</v>
      </c>
      <c r="C1011">
        <v>3939.31</v>
      </c>
      <c r="D1011" s="1">
        <v>44173</v>
      </c>
      <c r="E1011">
        <v>5.0914000000000001</v>
      </c>
      <c r="F1011" s="1">
        <v>44160</v>
      </c>
      <c r="G1011">
        <v>138.21</v>
      </c>
      <c r="H1011" s="4">
        <f t="shared" si="135"/>
        <v>703682.39400000009</v>
      </c>
      <c r="I1011" s="5">
        <v>44165</v>
      </c>
      <c r="J1011" s="4">
        <v>6667.8</v>
      </c>
      <c r="K1011" s="4">
        <f t="shared" si="136"/>
        <v>66678</v>
      </c>
      <c r="L1011" s="1">
        <v>44165</v>
      </c>
      <c r="M1011">
        <v>2.87</v>
      </c>
      <c r="P1011" s="1">
        <v>44165</v>
      </c>
      <c r="Q1011">
        <v>3.35</v>
      </c>
      <c r="R1011" s="1">
        <v>44161</v>
      </c>
      <c r="S1011">
        <v>3.71</v>
      </c>
      <c r="X1011" s="1">
        <v>44165</v>
      </c>
      <c r="Y1011">
        <f>NETWORKDAYS(X1011,$Z$1,FERIADO!$A$2:$A$408)</f>
        <v>2545</v>
      </c>
      <c r="Z1011">
        <v>8.36</v>
      </c>
      <c r="AA1011" s="6">
        <f t="shared" si="137"/>
        <v>44447.855335324253</v>
      </c>
      <c r="AB1011" s="2">
        <f t="shared" si="138"/>
        <v>-1.481624701251938E-3</v>
      </c>
      <c r="AJ1011" s="1">
        <v>44165</v>
      </c>
      <c r="AK1011">
        <f>NETWORKDAYS(AJ1011,$AJ$1,FERIADO!$A$2:$A$408)</f>
        <v>1532</v>
      </c>
      <c r="AL1011">
        <v>7.55</v>
      </c>
      <c r="AM1011" s="6">
        <f t="shared" si="139"/>
        <v>64243.434204243269</v>
      </c>
      <c r="AN1011" s="2">
        <f t="shared" si="140"/>
        <v>-1.3488688590609272E-3</v>
      </c>
      <c r="AP1011" s="11">
        <f t="shared" si="141"/>
        <v>-7.40812350625969E-4</v>
      </c>
      <c r="AQ1011" s="11">
        <f t="shared" si="142"/>
        <v>-4.0466065771827816E-4</v>
      </c>
      <c r="AR1011" s="11">
        <f t="shared" si="143"/>
        <v>-1.1454730083442471E-3</v>
      </c>
    </row>
    <row r="1012" spans="2:44" x14ac:dyDescent="0.35">
      <c r="B1012" s="1">
        <v>44162</v>
      </c>
      <c r="C1012">
        <v>3963.11</v>
      </c>
      <c r="D1012" s="1">
        <v>44172</v>
      </c>
      <c r="E1012">
        <v>5.1012000000000004</v>
      </c>
      <c r="F1012" s="1">
        <v>44159</v>
      </c>
      <c r="G1012">
        <v>138.209</v>
      </c>
      <c r="H1012" s="4">
        <f t="shared" si="135"/>
        <v>705031.75080000004</v>
      </c>
      <c r="I1012" s="5">
        <v>44162</v>
      </c>
      <c r="J1012" s="4">
        <v>6679.05</v>
      </c>
      <c r="K1012" s="4">
        <f t="shared" si="136"/>
        <v>66790.5</v>
      </c>
      <c r="L1012" s="1">
        <v>44162</v>
      </c>
      <c r="M1012">
        <v>2.86</v>
      </c>
      <c r="P1012" s="1">
        <v>44162</v>
      </c>
      <c r="Q1012">
        <v>3.33</v>
      </c>
      <c r="R1012" s="1">
        <v>44160</v>
      </c>
      <c r="S1012">
        <v>3.77</v>
      </c>
      <c r="X1012" s="1">
        <v>44162</v>
      </c>
      <c r="Y1012">
        <f>NETWORKDAYS(X1012,$Z$1,FERIADO!$A$2:$A$408)</f>
        <v>2546</v>
      </c>
      <c r="Z1012">
        <v>8.32</v>
      </c>
      <c r="AA1012" s="6">
        <f t="shared" si="137"/>
        <v>44599.751123609552</v>
      </c>
      <c r="AB1012" s="2">
        <f t="shared" si="138"/>
        <v>2.56845345380148E-3</v>
      </c>
      <c r="AJ1012" s="1">
        <v>44162</v>
      </c>
      <c r="AK1012">
        <f>NETWORKDAYS(AJ1012,$AJ$1,FERIADO!$A$2:$A$408)</f>
        <v>1533</v>
      </c>
      <c r="AL1012">
        <v>7.49</v>
      </c>
      <c r="AM1012" s="6">
        <f t="shared" si="139"/>
        <v>64443.277127865171</v>
      </c>
      <c r="AN1012" s="2">
        <f t="shared" si="140"/>
        <v>2.8285072099133593E-3</v>
      </c>
      <c r="AP1012" s="11">
        <f t="shared" si="141"/>
        <v>1.28422672690074E-3</v>
      </c>
      <c r="AQ1012" s="11">
        <f t="shared" si="142"/>
        <v>8.485521629740078E-4</v>
      </c>
      <c r="AR1012" s="11">
        <f t="shared" si="143"/>
        <v>2.1327788898747478E-3</v>
      </c>
    </row>
    <row r="1013" spans="2:44" x14ac:dyDescent="0.35">
      <c r="B1013" s="1">
        <v>44161</v>
      </c>
      <c r="C1013">
        <v>3946.33</v>
      </c>
      <c r="D1013" s="1">
        <v>44169</v>
      </c>
      <c r="E1013">
        <v>5.17</v>
      </c>
      <c r="F1013" s="1">
        <v>44158</v>
      </c>
      <c r="G1013">
        <v>138.29300000000001</v>
      </c>
      <c r="H1013" s="4">
        <f t="shared" si="135"/>
        <v>714974.81</v>
      </c>
      <c r="I1013" s="5">
        <v>44161</v>
      </c>
      <c r="J1013" s="4">
        <v>6665.31</v>
      </c>
      <c r="K1013" s="4">
        <f t="shared" si="136"/>
        <v>66653.100000000006</v>
      </c>
      <c r="L1013" s="1">
        <v>44161</v>
      </c>
      <c r="M1013">
        <v>2.92</v>
      </c>
      <c r="P1013" s="1">
        <v>44161</v>
      </c>
      <c r="Q1013">
        <v>3.4</v>
      </c>
      <c r="R1013" s="1">
        <v>44159</v>
      </c>
      <c r="S1013">
        <v>3.75</v>
      </c>
      <c r="X1013" s="1">
        <v>44161</v>
      </c>
      <c r="Y1013">
        <f>NETWORKDAYS(X1013,$Z$1,FERIADO!$A$2:$A$408)</f>
        <v>2547</v>
      </c>
      <c r="Z1013">
        <v>8.3800000000000008</v>
      </c>
      <c r="AA1013" s="6">
        <f t="shared" si="137"/>
        <v>44336.762943419672</v>
      </c>
      <c r="AB1013" s="2">
        <f t="shared" si="138"/>
        <v>2.1640548494584401E-3</v>
      </c>
      <c r="AJ1013" s="1">
        <v>44161</v>
      </c>
      <c r="AK1013">
        <f>NETWORKDAYS(AJ1013,$AJ$1,FERIADO!$A$2:$A$408)</f>
        <v>1534</v>
      </c>
      <c r="AL1013">
        <v>7.6</v>
      </c>
      <c r="AM1013" s="6">
        <f t="shared" si="139"/>
        <v>64024.929693194063</v>
      </c>
      <c r="AN1013" s="2">
        <f t="shared" si="140"/>
        <v>2.0923521423047088E-3</v>
      </c>
      <c r="AP1013" s="11">
        <f t="shared" si="141"/>
        <v>1.0820274247292201E-3</v>
      </c>
      <c r="AQ1013" s="11">
        <f t="shared" si="142"/>
        <v>6.2770564269141267E-4</v>
      </c>
      <c r="AR1013" s="11">
        <f t="shared" si="143"/>
        <v>1.7097330674206326E-3</v>
      </c>
    </row>
    <row r="1014" spans="2:44" x14ac:dyDescent="0.35">
      <c r="B1014" s="1">
        <v>44160</v>
      </c>
      <c r="C1014">
        <v>3961.21</v>
      </c>
      <c r="D1014" s="1">
        <v>44168</v>
      </c>
      <c r="E1014">
        <v>5.1619000000000002</v>
      </c>
      <c r="F1014" s="1">
        <v>44155</v>
      </c>
      <c r="G1014">
        <v>138.464</v>
      </c>
      <c r="H1014" s="4">
        <f t="shared" si="135"/>
        <v>714737.32160000002</v>
      </c>
      <c r="I1014" s="5">
        <v>44160</v>
      </c>
      <c r="J1014" s="4">
        <v>6646.58</v>
      </c>
      <c r="K1014" s="4">
        <f t="shared" si="136"/>
        <v>66465.8</v>
      </c>
      <c r="L1014" s="1">
        <v>44160</v>
      </c>
      <c r="M1014">
        <v>2.97</v>
      </c>
      <c r="P1014" s="1">
        <v>44160</v>
      </c>
      <c r="Q1014">
        <v>3.45</v>
      </c>
      <c r="R1014" s="1">
        <v>44158</v>
      </c>
      <c r="S1014">
        <v>3.86</v>
      </c>
      <c r="X1014" s="1">
        <v>44160</v>
      </c>
      <c r="Y1014">
        <f>NETWORKDAYS(X1014,$Z$1,FERIADO!$A$2:$A$408)</f>
        <v>2548</v>
      </c>
      <c r="Z1014">
        <v>8.43</v>
      </c>
      <c r="AA1014" s="6">
        <f t="shared" si="137"/>
        <v>44116.385897877444</v>
      </c>
      <c r="AB1014" s="2">
        <f t="shared" si="138"/>
        <v>2.1647105171166419E-3</v>
      </c>
      <c r="AJ1014" s="1">
        <v>44160</v>
      </c>
      <c r="AK1014">
        <f>NETWORKDAYS(AJ1014,$AJ$1,FERIADO!$A$2:$A$408)</f>
        <v>1535</v>
      </c>
      <c r="AL1014">
        <v>7.68</v>
      </c>
      <c r="AM1014" s="6">
        <f t="shared" si="139"/>
        <v>63717.21104148461</v>
      </c>
      <c r="AN1014" s="2">
        <f t="shared" si="140"/>
        <v>2.0934527360404916E-3</v>
      </c>
      <c r="AP1014" s="11">
        <f t="shared" si="141"/>
        <v>1.0823552585583209E-3</v>
      </c>
      <c r="AQ1014" s="11">
        <f t="shared" si="142"/>
        <v>6.280358208121474E-4</v>
      </c>
      <c r="AR1014" s="11">
        <f t="shared" si="143"/>
        <v>1.7103910793704684E-3</v>
      </c>
    </row>
    <row r="1015" spans="2:44" x14ac:dyDescent="0.35">
      <c r="B1015" s="1">
        <v>44159</v>
      </c>
      <c r="C1015">
        <v>3959.82</v>
      </c>
      <c r="D1015" s="1">
        <v>44167</v>
      </c>
      <c r="E1015">
        <v>5.2260999999999997</v>
      </c>
      <c r="F1015" s="1">
        <v>44154</v>
      </c>
      <c r="G1015">
        <v>138.33500000000001</v>
      </c>
      <c r="H1015" s="4">
        <f t="shared" si="135"/>
        <v>722952.54350000003</v>
      </c>
      <c r="I1015" s="5">
        <v>44159</v>
      </c>
      <c r="J1015" s="4">
        <v>6712.15</v>
      </c>
      <c r="K1015" s="4">
        <f t="shared" si="136"/>
        <v>67121.5</v>
      </c>
      <c r="L1015" s="1">
        <v>44159</v>
      </c>
      <c r="M1015">
        <v>2.97</v>
      </c>
      <c r="P1015" s="1">
        <v>44159</v>
      </c>
      <c r="Q1015">
        <v>3.46</v>
      </c>
      <c r="R1015" s="1">
        <v>44155</v>
      </c>
      <c r="S1015">
        <v>3.8</v>
      </c>
      <c r="X1015" s="1">
        <v>44159</v>
      </c>
      <c r="Y1015">
        <f>NETWORKDAYS(X1015,$Z$1,FERIADO!$A$2:$A$408)</f>
        <v>2549</v>
      </c>
      <c r="Z1015">
        <v>8.48</v>
      </c>
      <c r="AA1015" s="6">
        <f t="shared" si="137"/>
        <v>43897.037969481964</v>
      </c>
      <c r="AB1015" s="2">
        <f t="shared" si="138"/>
        <v>3.3799718440032118E-3</v>
      </c>
      <c r="AJ1015" s="1">
        <v>44159</v>
      </c>
      <c r="AK1015">
        <f>NETWORKDAYS(AJ1015,$AJ$1,FERIADO!$A$2:$A$408)</f>
        <v>1536</v>
      </c>
      <c r="AL1015">
        <v>7.76</v>
      </c>
      <c r="AM1015" s="6">
        <f t="shared" si="139"/>
        <v>63410.810660377494</v>
      </c>
      <c r="AN1015" s="2">
        <f t="shared" si="140"/>
        <v>1.8489133208735315E-3</v>
      </c>
      <c r="AP1015" s="11">
        <f t="shared" si="141"/>
        <v>1.6899859220016059E-3</v>
      </c>
      <c r="AQ1015" s="11">
        <f t="shared" si="142"/>
        <v>5.5467399626205939E-4</v>
      </c>
      <c r="AR1015" s="11">
        <f t="shared" si="143"/>
        <v>2.2446599182636652E-3</v>
      </c>
    </row>
    <row r="1016" spans="2:44" x14ac:dyDescent="0.35">
      <c r="B1016" s="1">
        <v>44158</v>
      </c>
      <c r="C1016">
        <v>3892.35</v>
      </c>
      <c r="D1016" s="1">
        <v>44166</v>
      </c>
      <c r="E1016">
        <v>5.2782999999999998</v>
      </c>
      <c r="F1016" s="1">
        <v>44153</v>
      </c>
      <c r="G1016">
        <v>138.20400000000001</v>
      </c>
      <c r="H1016" s="4">
        <f t="shared" si="135"/>
        <v>729482.17320000008</v>
      </c>
      <c r="I1016" s="5">
        <v>44158</v>
      </c>
      <c r="J1016" s="4">
        <v>6796.45</v>
      </c>
      <c r="K1016" s="4">
        <f t="shared" si="136"/>
        <v>67964.5</v>
      </c>
      <c r="L1016" s="1">
        <v>44158</v>
      </c>
      <c r="M1016">
        <v>3.01</v>
      </c>
      <c r="P1016" s="1">
        <v>44158</v>
      </c>
      <c r="Q1016">
        <v>3.52</v>
      </c>
      <c r="R1016" s="1">
        <v>44154</v>
      </c>
      <c r="S1016">
        <v>3.72</v>
      </c>
      <c r="X1016" s="1">
        <v>44158</v>
      </c>
      <c r="Y1016">
        <f>NETWORKDAYS(X1016,$Z$1,FERIADO!$A$2:$A$408)</f>
        <v>2550</v>
      </c>
      <c r="Z1016">
        <v>8.56</v>
      </c>
      <c r="AA1016" s="6">
        <f t="shared" si="137"/>
        <v>43556.72766641499</v>
      </c>
      <c r="AB1016" s="2">
        <f t="shared" si="138"/>
        <v>-1.8837766707730222E-3</v>
      </c>
      <c r="AJ1016" s="1">
        <v>44158</v>
      </c>
      <c r="AK1016">
        <f>NETWORKDAYS(AJ1016,$AJ$1,FERIADO!$A$2:$A$408)</f>
        <v>1537</v>
      </c>
      <c r="AL1016">
        <v>7.83</v>
      </c>
      <c r="AM1016" s="6">
        <f t="shared" si="139"/>
        <v>63141.426896418707</v>
      </c>
      <c r="AN1016" s="2">
        <f t="shared" si="140"/>
        <v>-2.0832995480540113E-3</v>
      </c>
      <c r="AP1016" s="11">
        <f t="shared" si="141"/>
        <v>-9.4188833538651109E-4</v>
      </c>
      <c r="AQ1016" s="11">
        <f t="shared" si="142"/>
        <v>-6.2498986441620339E-4</v>
      </c>
      <c r="AR1016" s="11">
        <f t="shared" si="143"/>
        <v>-1.5668781998027146E-3</v>
      </c>
    </row>
    <row r="1017" spans="2:44" x14ac:dyDescent="0.35">
      <c r="B1017" s="1">
        <v>44155</v>
      </c>
      <c r="C1017">
        <v>3876.65</v>
      </c>
      <c r="D1017" s="1">
        <v>44165</v>
      </c>
      <c r="E1017">
        <v>5.3311000000000002</v>
      </c>
      <c r="F1017" s="1">
        <v>44152</v>
      </c>
      <c r="G1017">
        <v>138.28200000000001</v>
      </c>
      <c r="H1017" s="4">
        <f t="shared" si="135"/>
        <v>737195.17020000017</v>
      </c>
      <c r="I1017" s="5">
        <v>44155</v>
      </c>
      <c r="J1017" s="4">
        <v>6720.89</v>
      </c>
      <c r="K1017" s="4">
        <f t="shared" si="136"/>
        <v>67208.900000000009</v>
      </c>
      <c r="L1017" s="1">
        <v>44155</v>
      </c>
      <c r="M1017">
        <v>2.9</v>
      </c>
      <c r="P1017" s="1">
        <v>44155</v>
      </c>
      <c r="Q1017">
        <v>3.51</v>
      </c>
      <c r="R1017" s="1">
        <v>44153</v>
      </c>
      <c r="S1017">
        <v>3.77</v>
      </c>
      <c r="X1017" s="1">
        <v>44155</v>
      </c>
      <c r="Y1017">
        <f>NETWORKDAYS(X1017,$Z$1,FERIADO!$A$2:$A$408)</f>
        <v>2551</v>
      </c>
      <c r="Z1017">
        <v>8.51</v>
      </c>
      <c r="AA1017" s="6">
        <f t="shared" si="137"/>
        <v>43746.067755124488</v>
      </c>
      <c r="AB1017" s="2">
        <f t="shared" si="138"/>
        <v>-5.5373468502279985E-3</v>
      </c>
      <c r="AJ1017" s="1">
        <v>44155</v>
      </c>
      <c r="AK1017">
        <f>NETWORKDAYS(AJ1017,$AJ$1,FERIADO!$A$2:$A$408)</f>
        <v>1538</v>
      </c>
      <c r="AL1017">
        <v>7.74</v>
      </c>
      <c r="AM1017" s="6">
        <f t="shared" si="139"/>
        <v>63445.04234567297</v>
      </c>
      <c r="AN1017" s="2">
        <f t="shared" si="140"/>
        <v>-3.3202227914352011E-3</v>
      </c>
      <c r="AP1017" s="11">
        <f t="shared" si="141"/>
        <v>-2.7686734251139993E-3</v>
      </c>
      <c r="AQ1017" s="11">
        <f t="shared" si="142"/>
        <v>-9.9606683743056032E-4</v>
      </c>
      <c r="AR1017" s="11">
        <f t="shared" si="143"/>
        <v>-3.7647402625445598E-3</v>
      </c>
    </row>
    <row r="1018" spans="2:44" x14ac:dyDescent="0.35">
      <c r="B1018" s="1">
        <v>44154</v>
      </c>
      <c r="C1018">
        <v>3901.9</v>
      </c>
      <c r="D1018" s="1">
        <v>44162</v>
      </c>
      <c r="E1018">
        <v>5.3487999999999998</v>
      </c>
      <c r="F1018" s="1">
        <v>44151</v>
      </c>
      <c r="G1018">
        <v>138.011</v>
      </c>
      <c r="H1018" s="4">
        <f t="shared" si="135"/>
        <v>738193.23679999996</v>
      </c>
      <c r="I1018" s="5">
        <v>44154</v>
      </c>
      <c r="J1018" s="4">
        <v>6629.1</v>
      </c>
      <c r="K1018" s="4">
        <f t="shared" si="136"/>
        <v>66291</v>
      </c>
      <c r="L1018" s="1">
        <v>44154</v>
      </c>
      <c r="M1018">
        <v>2.9</v>
      </c>
      <c r="P1018" s="1">
        <v>44154</v>
      </c>
      <c r="Q1018">
        <v>3.43</v>
      </c>
      <c r="R1018" s="1">
        <v>44152</v>
      </c>
      <c r="S1018">
        <v>3.63</v>
      </c>
      <c r="X1018" s="1">
        <v>44154</v>
      </c>
      <c r="Y1018">
        <f>NETWORKDAYS(X1018,$Z$1,FERIADO!$A$2:$A$408)</f>
        <v>2552</v>
      </c>
      <c r="Z1018">
        <v>8.3699999999999992</v>
      </c>
      <c r="AA1018" s="6">
        <f t="shared" si="137"/>
        <v>44307.410421235421</v>
      </c>
      <c r="AB1018" s="2">
        <f t="shared" si="138"/>
        <v>-1.4857697678842057E-3</v>
      </c>
      <c r="AJ1018" s="1">
        <v>44154</v>
      </c>
      <c r="AK1018">
        <f>NETWORKDAYS(AJ1018,$AJ$1,FERIADO!$A$2:$A$408)</f>
        <v>1539</v>
      </c>
      <c r="AL1018">
        <v>7.6</v>
      </c>
      <c r="AM1018" s="6">
        <f t="shared" si="139"/>
        <v>63931.944589284663</v>
      </c>
      <c r="AN1018" s="2">
        <f t="shared" si="140"/>
        <v>-1.2042859474995677E-4</v>
      </c>
      <c r="AP1018" s="11">
        <f t="shared" si="141"/>
        <v>-7.4288488394210286E-4</v>
      </c>
      <c r="AQ1018" s="11">
        <f t="shared" si="142"/>
        <v>-3.6128578424987029E-5</v>
      </c>
      <c r="AR1018" s="11">
        <f t="shared" si="143"/>
        <v>-7.7901346236708988E-4</v>
      </c>
    </row>
    <row r="1019" spans="2:44" x14ac:dyDescent="0.35">
      <c r="B1019" s="1">
        <v>44153</v>
      </c>
      <c r="C1019">
        <v>3898.62</v>
      </c>
      <c r="D1019" s="1">
        <v>44161</v>
      </c>
      <c r="E1019">
        <v>5.3194999999999997</v>
      </c>
      <c r="F1019" s="1">
        <v>44148</v>
      </c>
      <c r="G1019">
        <v>138.054</v>
      </c>
      <c r="H1019" s="4">
        <f t="shared" si="135"/>
        <v>734378.25300000003</v>
      </c>
      <c r="I1019" s="5">
        <v>44153</v>
      </c>
      <c r="J1019" s="4">
        <v>6700.28</v>
      </c>
      <c r="K1019" s="4">
        <f t="shared" si="136"/>
        <v>67002.8</v>
      </c>
      <c r="L1019" s="1">
        <v>44153</v>
      </c>
      <c r="M1019">
        <v>2.95</v>
      </c>
      <c r="P1019" s="1">
        <v>44153</v>
      </c>
      <c r="Q1019">
        <v>3.47</v>
      </c>
      <c r="R1019" s="1">
        <v>44151</v>
      </c>
      <c r="S1019">
        <v>3.57</v>
      </c>
      <c r="X1019" s="1">
        <v>44153</v>
      </c>
      <c r="Y1019">
        <f>NETWORKDAYS(X1019,$Z$1,FERIADO!$A$2:$A$408)</f>
        <v>2553</v>
      </c>
      <c r="Z1019">
        <v>8.33</v>
      </c>
      <c r="AA1019" s="6">
        <f t="shared" si="137"/>
        <v>44459.250587510789</v>
      </c>
      <c r="AB1019" s="2">
        <f t="shared" si="138"/>
        <v>-7.1817441720434154E-3</v>
      </c>
      <c r="AJ1019" s="1">
        <v>44153</v>
      </c>
      <c r="AK1019">
        <f>NETWORKDAYS(AJ1019,$AJ$1,FERIADO!$A$2:$A$408)</f>
        <v>1540</v>
      </c>
      <c r="AL1019">
        <v>7.59</v>
      </c>
      <c r="AM1019" s="6">
        <f t="shared" si="139"/>
        <v>63949.675189496447</v>
      </c>
      <c r="AN1019" s="2">
        <f t="shared" si="140"/>
        <v>-4.0735096933448619E-3</v>
      </c>
      <c r="AP1019" s="11">
        <f t="shared" si="141"/>
        <v>-3.5908720860217077E-3</v>
      </c>
      <c r="AQ1019" s="11">
        <f t="shared" si="142"/>
        <v>-1.2220529080034586E-3</v>
      </c>
      <c r="AR1019" s="11">
        <f t="shared" si="143"/>
        <v>-4.8129249940251665E-3</v>
      </c>
    </row>
    <row r="1020" spans="2:44" x14ac:dyDescent="0.35">
      <c r="B1020" s="1">
        <v>44152</v>
      </c>
      <c r="C1020">
        <v>3934.77</v>
      </c>
      <c r="D1020" s="1">
        <v>44160</v>
      </c>
      <c r="E1020">
        <v>5.3502000000000001</v>
      </c>
      <c r="F1020" s="1">
        <v>44147</v>
      </c>
      <c r="G1020">
        <v>138.20500000000001</v>
      </c>
      <c r="H1020" s="4">
        <f t="shared" si="135"/>
        <v>739424.39100000018</v>
      </c>
      <c r="I1020" s="5">
        <v>44152</v>
      </c>
      <c r="J1020" s="4">
        <v>6663.44</v>
      </c>
      <c r="K1020" s="4">
        <f t="shared" si="136"/>
        <v>66634.399999999994</v>
      </c>
      <c r="L1020" s="1">
        <v>44152</v>
      </c>
      <c r="M1020">
        <v>2.86</v>
      </c>
      <c r="P1020" s="1">
        <v>44152</v>
      </c>
      <c r="Q1020">
        <v>3.39</v>
      </c>
      <c r="R1020" s="1">
        <v>44148</v>
      </c>
      <c r="S1020">
        <v>3.74</v>
      </c>
      <c r="X1020" s="1">
        <v>44152</v>
      </c>
      <c r="Y1020">
        <f>NETWORKDAYS(X1020,$Z$1,FERIADO!$A$2:$A$408)</f>
        <v>2554</v>
      </c>
      <c r="Z1020">
        <v>8.15</v>
      </c>
      <c r="AA1020" s="6">
        <f t="shared" si="137"/>
        <v>45200.566935701703</v>
      </c>
      <c r="AB1020" s="2">
        <f t="shared" si="138"/>
        <v>1.7633012128566064E-3</v>
      </c>
      <c r="AJ1020" s="1">
        <v>44152</v>
      </c>
      <c r="AK1020">
        <f>NETWORKDAYS(AJ1020,$AJ$1,FERIADO!$A$2:$A$408)</f>
        <v>1541</v>
      </c>
      <c r="AL1020">
        <v>7.42</v>
      </c>
      <c r="AM1020" s="6">
        <f t="shared" si="139"/>
        <v>64552.319599655202</v>
      </c>
      <c r="AN1020" s="2">
        <f t="shared" si="140"/>
        <v>1.3600184106782314E-3</v>
      </c>
      <c r="AP1020" s="11">
        <f t="shared" si="141"/>
        <v>8.8165060642830318E-4</v>
      </c>
      <c r="AQ1020" s="11">
        <f t="shared" si="142"/>
        <v>4.0800552320346939E-4</v>
      </c>
      <c r="AR1020" s="11">
        <f t="shared" si="143"/>
        <v>1.2896561296317725E-3</v>
      </c>
    </row>
    <row r="1021" spans="2:44" x14ac:dyDescent="0.35">
      <c r="B1021" s="1">
        <v>44151</v>
      </c>
      <c r="C1021">
        <v>3947.56</v>
      </c>
      <c r="D1021" s="1">
        <v>44159</v>
      </c>
      <c r="E1021">
        <v>5.4031000000000002</v>
      </c>
      <c r="F1021" s="1">
        <v>44146</v>
      </c>
      <c r="G1021">
        <v>137.65799999999999</v>
      </c>
      <c r="H1021" s="4">
        <f t="shared" si="135"/>
        <v>743779.93979999993</v>
      </c>
      <c r="I1021" s="5">
        <v>44151</v>
      </c>
      <c r="J1021" s="4">
        <v>6770.22</v>
      </c>
      <c r="K1021" s="4">
        <f t="shared" si="136"/>
        <v>67702.2</v>
      </c>
      <c r="L1021" s="1">
        <v>44151</v>
      </c>
      <c r="M1021">
        <v>2.85</v>
      </c>
      <c r="P1021" s="1">
        <v>44151</v>
      </c>
      <c r="Q1021">
        <v>3.38</v>
      </c>
      <c r="R1021" s="1">
        <v>44147</v>
      </c>
      <c r="S1021">
        <v>3.71</v>
      </c>
      <c r="X1021" s="1">
        <v>44151</v>
      </c>
      <c r="Y1021">
        <f>NETWORKDAYS(X1021,$Z$1,FERIADO!$A$2:$A$408)</f>
        <v>2555</v>
      </c>
      <c r="Z1021">
        <v>8.19</v>
      </c>
      <c r="AA1021" s="6">
        <f t="shared" si="137"/>
        <v>45017.417862768591</v>
      </c>
      <c r="AB1021" s="2">
        <f t="shared" si="138"/>
        <v>-6.7871783545249724E-4</v>
      </c>
      <c r="AJ1021" s="1">
        <v>44151</v>
      </c>
      <c r="AK1021">
        <f>NETWORKDAYS(AJ1021,$AJ$1,FERIADO!$A$2:$A$408)</f>
        <v>1542</v>
      </c>
      <c r="AL1021">
        <v>7.47</v>
      </c>
      <c r="AM1021" s="6">
        <f t="shared" si="139"/>
        <v>64350.486450198048</v>
      </c>
      <c r="AN1021" s="2">
        <f t="shared" si="140"/>
        <v>-1.2329151314802834E-4</v>
      </c>
      <c r="AP1021" s="11">
        <f t="shared" si="141"/>
        <v>-3.3935891772624862E-4</v>
      </c>
      <c r="AQ1021" s="11">
        <f t="shared" si="142"/>
        <v>-3.6987453944408501E-5</v>
      </c>
      <c r="AR1021" s="11">
        <f t="shared" si="143"/>
        <v>-3.7634637167065709E-4</v>
      </c>
    </row>
    <row r="1022" spans="2:44" x14ac:dyDescent="0.35">
      <c r="B1022" s="1">
        <v>44148</v>
      </c>
      <c r="C1022">
        <v>3909.37</v>
      </c>
      <c r="D1022" s="1">
        <v>44158</v>
      </c>
      <c r="E1022">
        <v>5.3822000000000001</v>
      </c>
      <c r="F1022" s="1">
        <v>44145</v>
      </c>
      <c r="G1022">
        <v>137.5</v>
      </c>
      <c r="H1022" s="4">
        <f t="shared" si="135"/>
        <v>740052.5</v>
      </c>
      <c r="I1022" s="5">
        <v>44148</v>
      </c>
      <c r="J1022" s="4">
        <v>6820.8</v>
      </c>
      <c r="K1022" s="4">
        <f t="shared" si="136"/>
        <v>68208</v>
      </c>
      <c r="L1022" s="1">
        <v>44148</v>
      </c>
      <c r="M1022">
        <v>2.89</v>
      </c>
      <c r="P1022" s="1">
        <v>44148</v>
      </c>
      <c r="Q1022">
        <v>3.4</v>
      </c>
      <c r="R1022" s="1">
        <v>44146</v>
      </c>
      <c r="S1022">
        <v>3.67</v>
      </c>
      <c r="X1022" s="1">
        <v>44148</v>
      </c>
      <c r="Y1022">
        <f>NETWORKDAYS(X1022,$Z$1,FERIADO!$A$2:$A$408)</f>
        <v>2556</v>
      </c>
      <c r="Z1022">
        <v>8.17</v>
      </c>
      <c r="AA1022" s="6">
        <f t="shared" si="137"/>
        <v>45087.826337211125</v>
      </c>
      <c r="AB1022" s="2">
        <f t="shared" si="138"/>
        <v>5.0212845753971466E-3</v>
      </c>
      <c r="AJ1022" s="1">
        <v>44148</v>
      </c>
      <c r="AK1022">
        <f>NETWORKDAYS(AJ1022,$AJ$1,FERIADO!$A$2:$A$408)</f>
        <v>1543</v>
      </c>
      <c r="AL1022">
        <v>7.46</v>
      </c>
      <c r="AM1022" s="6">
        <f t="shared" si="139"/>
        <v>64368.757451680496</v>
      </c>
      <c r="AN1022" s="2">
        <f t="shared" si="140"/>
        <v>2.5990354608488656E-3</v>
      </c>
      <c r="AP1022" s="11">
        <f t="shared" si="141"/>
        <v>2.5106422876985733E-3</v>
      </c>
      <c r="AQ1022" s="11">
        <f t="shared" si="142"/>
        <v>7.797106382546596E-4</v>
      </c>
      <c r="AR1022" s="11">
        <f t="shared" si="143"/>
        <v>3.2903529259532328E-3</v>
      </c>
    </row>
    <row r="1023" spans="2:44" x14ac:dyDescent="0.35">
      <c r="B1023" s="1">
        <v>44147</v>
      </c>
      <c r="C1023">
        <v>3840.8</v>
      </c>
      <c r="D1023" s="1">
        <v>44155</v>
      </c>
      <c r="E1023">
        <v>5.3498999999999999</v>
      </c>
      <c r="F1023" s="1">
        <v>44144</v>
      </c>
      <c r="G1023">
        <v>137.745</v>
      </c>
      <c r="H1023" s="4">
        <f t="shared" si="135"/>
        <v>736921.97550000006</v>
      </c>
      <c r="I1023" s="5">
        <v>44147</v>
      </c>
      <c r="J1023" s="4">
        <v>6822.67</v>
      </c>
      <c r="K1023" s="4">
        <f t="shared" si="136"/>
        <v>68226.7</v>
      </c>
      <c r="L1023" s="1">
        <v>44147</v>
      </c>
      <c r="M1023">
        <v>2.97</v>
      </c>
      <c r="P1023" s="1">
        <v>44147</v>
      </c>
      <c r="Q1023">
        <v>3.49</v>
      </c>
      <c r="R1023" s="1">
        <v>44145</v>
      </c>
      <c r="S1023">
        <v>3.62</v>
      </c>
      <c r="X1023" s="1">
        <v>44147</v>
      </c>
      <c r="Y1023">
        <f>NETWORKDAYS(X1023,$Z$1,FERIADO!$A$2:$A$408)</f>
        <v>2557</v>
      </c>
      <c r="Z1023">
        <v>8.2899999999999991</v>
      </c>
      <c r="AA1023" s="6">
        <f t="shared" si="137"/>
        <v>44569.525871247963</v>
      </c>
      <c r="AB1023" s="2">
        <f t="shared" si="138"/>
        <v>-4.3430674939394986E-3</v>
      </c>
      <c r="AJ1023" s="1">
        <v>44147</v>
      </c>
      <c r="AK1023">
        <f>NETWORKDAYS(AJ1023,$AJ$1,FERIADO!$A$2:$A$408)</f>
        <v>1544</v>
      </c>
      <c r="AL1023">
        <v>7.56</v>
      </c>
      <c r="AM1023" s="6">
        <f t="shared" si="139"/>
        <v>63984.69296612883</v>
      </c>
      <c r="AN1023" s="2">
        <f t="shared" si="140"/>
        <v>-1.8555317547799255E-3</v>
      </c>
      <c r="AP1023" s="11">
        <f t="shared" si="141"/>
        <v>-2.1715337469697493E-3</v>
      </c>
      <c r="AQ1023" s="11">
        <f t="shared" si="142"/>
        <v>-5.5665952643397761E-4</v>
      </c>
      <c r="AR1023" s="11">
        <f t="shared" si="143"/>
        <v>-2.728193273403727E-3</v>
      </c>
    </row>
    <row r="1024" spans="2:44" x14ac:dyDescent="0.35">
      <c r="B1024" s="1">
        <v>44146</v>
      </c>
      <c r="C1024">
        <v>3889.44</v>
      </c>
      <c r="D1024" s="1">
        <v>44154</v>
      </c>
      <c r="E1024">
        <v>5.3323999999999998</v>
      </c>
      <c r="F1024" s="1">
        <v>44141</v>
      </c>
      <c r="G1024">
        <v>138.511</v>
      </c>
      <c r="H1024" s="4">
        <f t="shared" si="135"/>
        <v>738596.0564</v>
      </c>
      <c r="I1024" s="5">
        <v>44146</v>
      </c>
      <c r="J1024" s="4">
        <v>6739</v>
      </c>
      <c r="K1024" s="4">
        <f t="shared" si="136"/>
        <v>67390</v>
      </c>
      <c r="L1024" s="1">
        <v>44146</v>
      </c>
      <c r="M1024">
        <v>2.92</v>
      </c>
      <c r="P1024" s="1">
        <v>44146</v>
      </c>
      <c r="Q1024">
        <v>3.43</v>
      </c>
      <c r="R1024" s="1">
        <v>44144</v>
      </c>
      <c r="S1024">
        <v>3.55</v>
      </c>
      <c r="X1024" s="1">
        <v>44146</v>
      </c>
      <c r="Y1024">
        <f>NETWORKDAYS(X1024,$Z$1,FERIADO!$A$2:$A$408)</f>
        <v>2558</v>
      </c>
      <c r="Z1024">
        <v>8.18</v>
      </c>
      <c r="AA1024" s="6">
        <f t="shared" si="137"/>
        <v>45017.469769172581</v>
      </c>
      <c r="AB1024" s="2">
        <f t="shared" si="138"/>
        <v>-9.2508516194289968E-3</v>
      </c>
      <c r="AJ1024" s="1">
        <v>44146</v>
      </c>
      <c r="AK1024">
        <f>NETWORKDAYS(AJ1024,$AJ$1,FERIADO!$A$2:$A$408)</f>
        <v>1545</v>
      </c>
      <c r="AL1024">
        <v>7.48</v>
      </c>
      <c r="AM1024" s="6">
        <f t="shared" si="139"/>
        <v>64258.653665545855</v>
      </c>
      <c r="AN1024" s="2">
        <f t="shared" si="140"/>
        <v>-5.831786628513763E-3</v>
      </c>
      <c r="AP1024" s="11">
        <f t="shared" si="141"/>
        <v>-4.6254258097144984E-3</v>
      </c>
      <c r="AQ1024" s="11">
        <f t="shared" si="142"/>
        <v>-1.7495359885541289E-3</v>
      </c>
      <c r="AR1024" s="11">
        <f t="shared" si="143"/>
        <v>-6.3749617982686276E-3</v>
      </c>
    </row>
    <row r="1025" spans="2:44" x14ac:dyDescent="0.35">
      <c r="B1025" s="1">
        <v>44145</v>
      </c>
      <c r="C1025">
        <v>3868.13</v>
      </c>
      <c r="D1025" s="1">
        <v>44153</v>
      </c>
      <c r="E1025">
        <v>5.2926000000000002</v>
      </c>
      <c r="F1025" s="1">
        <v>44140</v>
      </c>
      <c r="G1025">
        <v>138.886</v>
      </c>
      <c r="H1025" s="4">
        <f t="shared" si="135"/>
        <v>735068.04359999998</v>
      </c>
      <c r="I1025" s="5">
        <v>44145</v>
      </c>
      <c r="J1025" s="4">
        <v>6767.1</v>
      </c>
      <c r="K1025" s="4">
        <f t="shared" si="136"/>
        <v>67671</v>
      </c>
      <c r="L1025" s="1">
        <v>44145</v>
      </c>
      <c r="M1025">
        <v>2.86</v>
      </c>
      <c r="P1025" s="1">
        <v>44145</v>
      </c>
      <c r="Q1025">
        <v>3.37</v>
      </c>
      <c r="R1025" s="1">
        <v>44138</v>
      </c>
      <c r="S1025">
        <v>3.8</v>
      </c>
      <c r="X1025" s="1">
        <v>44145</v>
      </c>
      <c r="Y1025">
        <f>NETWORKDAYS(X1025,$Z$1,FERIADO!$A$2:$A$408)</f>
        <v>2559</v>
      </c>
      <c r="Z1025">
        <v>7.95</v>
      </c>
      <c r="AA1025" s="6">
        <f t="shared" si="137"/>
        <v>45986.666904056838</v>
      </c>
      <c r="AB1025" s="2">
        <f t="shared" si="138"/>
        <v>-2.7299686912041622E-3</v>
      </c>
      <c r="AJ1025" s="1">
        <v>44145</v>
      </c>
      <c r="AK1025">
        <f>NETWORKDAYS(AJ1025,$AJ$1,FERIADO!$A$2:$A$408)</f>
        <v>1546</v>
      </c>
      <c r="AL1025">
        <v>7.24</v>
      </c>
      <c r="AM1025" s="6">
        <f t="shared" si="139"/>
        <v>65127.350207635587</v>
      </c>
      <c r="AN1025" s="2">
        <f t="shared" si="140"/>
        <v>-1.8691526758122321E-3</v>
      </c>
      <c r="AP1025" s="11">
        <f t="shared" si="141"/>
        <v>-1.3649843456020811E-3</v>
      </c>
      <c r="AQ1025" s="11">
        <f t="shared" si="142"/>
        <v>-5.6074580274366958E-4</v>
      </c>
      <c r="AR1025" s="11">
        <f t="shared" si="143"/>
        <v>-1.9257301483457507E-3</v>
      </c>
    </row>
    <row r="1026" spans="2:44" x14ac:dyDescent="0.35">
      <c r="B1026" s="1">
        <v>44144</v>
      </c>
      <c r="C1026">
        <v>3871.74</v>
      </c>
      <c r="D1026" s="1">
        <v>44152</v>
      </c>
      <c r="E1026">
        <v>5.3962000000000003</v>
      </c>
      <c r="F1026" s="1">
        <v>44139</v>
      </c>
      <c r="G1026">
        <v>138.93799999999999</v>
      </c>
      <c r="H1026" s="4">
        <f t="shared" si="135"/>
        <v>749737.23560000001</v>
      </c>
      <c r="I1026" s="5">
        <v>44144</v>
      </c>
      <c r="J1026" s="4">
        <v>6731.5</v>
      </c>
      <c r="K1026" s="4">
        <f t="shared" si="136"/>
        <v>67315</v>
      </c>
      <c r="L1026" s="1">
        <v>44144</v>
      </c>
      <c r="M1026">
        <v>2.79</v>
      </c>
      <c r="P1026" s="1">
        <v>44144</v>
      </c>
      <c r="Q1026">
        <v>3.3</v>
      </c>
      <c r="R1026" s="1">
        <v>44134</v>
      </c>
      <c r="S1026">
        <v>3.8</v>
      </c>
      <c r="X1026" s="1">
        <v>44144</v>
      </c>
      <c r="Y1026">
        <f>NETWORKDAYS(X1026,$Z$1,FERIADO!$A$2:$A$408)</f>
        <v>2560</v>
      </c>
      <c r="Z1026">
        <v>7.88</v>
      </c>
      <c r="AA1026" s="6">
        <f t="shared" si="137"/>
        <v>46276.648868515469</v>
      </c>
      <c r="AB1026" s="2">
        <f t="shared" si="138"/>
        <v>5.0374487424329414E-3</v>
      </c>
      <c r="AJ1026" s="1">
        <v>44144</v>
      </c>
      <c r="AK1026">
        <f>NETWORKDAYS(AJ1026,$AJ$1,FERIADO!$A$2:$A$408)</f>
        <v>1547</v>
      </c>
      <c r="AL1026">
        <v>7.16</v>
      </c>
      <c r="AM1026" s="6">
        <f t="shared" si="139"/>
        <v>65408.254765329584</v>
      </c>
      <c r="AN1026" s="2">
        <f t="shared" si="140"/>
        <v>2.8562851874244745E-3</v>
      </c>
      <c r="AP1026" s="11">
        <f t="shared" si="141"/>
        <v>2.5187243712164707E-3</v>
      </c>
      <c r="AQ1026" s="11">
        <f t="shared" si="142"/>
        <v>8.5688555622734234E-4</v>
      </c>
      <c r="AR1026" s="11">
        <f t="shared" si="143"/>
        <v>3.3756099274438131E-3</v>
      </c>
    </row>
    <row r="1027" spans="2:44" x14ac:dyDescent="0.35">
      <c r="B1027" s="1">
        <v>44141</v>
      </c>
      <c r="C1027">
        <v>3837.54</v>
      </c>
      <c r="D1027" s="1">
        <v>44151</v>
      </c>
      <c r="E1027">
        <v>5.4192</v>
      </c>
      <c r="F1027" s="1">
        <v>44138</v>
      </c>
      <c r="G1027">
        <v>138.02600000000001</v>
      </c>
      <c r="H1027" s="4">
        <f t="shared" si="135"/>
        <v>747990.49920000008</v>
      </c>
      <c r="I1027" s="5">
        <v>44141</v>
      </c>
      <c r="J1027" s="4">
        <v>6706.53</v>
      </c>
      <c r="K1027" s="4">
        <f t="shared" si="136"/>
        <v>67065.3</v>
      </c>
      <c r="L1027" s="1">
        <v>44141</v>
      </c>
      <c r="M1027">
        <v>2.85</v>
      </c>
      <c r="P1027" s="1">
        <v>44141</v>
      </c>
      <c r="Q1027">
        <v>3.33</v>
      </c>
      <c r="R1027" s="1">
        <v>44133</v>
      </c>
      <c r="S1027">
        <v>3.8</v>
      </c>
      <c r="X1027" s="1">
        <v>44141</v>
      </c>
      <c r="Y1027">
        <f>NETWORKDAYS(X1027,$Z$1,FERIADO!$A$2:$A$408)</f>
        <v>2561</v>
      </c>
      <c r="Z1027">
        <v>8</v>
      </c>
      <c r="AA1027" s="6">
        <f t="shared" si="137"/>
        <v>45742.979911683396</v>
      </c>
      <c r="AB1027" s="2">
        <f t="shared" si="138"/>
        <v>7.0772218607340247E-3</v>
      </c>
      <c r="AJ1027" s="1">
        <v>44141</v>
      </c>
      <c r="AK1027">
        <f>NETWORKDAYS(AJ1027,$AJ$1,FERIADO!$A$2:$A$408)</f>
        <v>1548</v>
      </c>
      <c r="AL1027">
        <v>7.27</v>
      </c>
      <c r="AM1027" s="6">
        <f t="shared" si="139"/>
        <v>64979.48667410374</v>
      </c>
      <c r="AN1027" s="2">
        <f t="shared" si="140"/>
        <v>3.8512536097939087E-3</v>
      </c>
      <c r="AP1027" s="11">
        <f t="shared" si="141"/>
        <v>3.5386109303670124E-3</v>
      </c>
      <c r="AQ1027" s="11">
        <f t="shared" si="142"/>
        <v>1.1553760829381727E-3</v>
      </c>
      <c r="AR1027" s="11">
        <f t="shared" si="143"/>
        <v>4.6939870133051852E-3</v>
      </c>
    </row>
    <row r="1028" spans="2:44" x14ac:dyDescent="0.35">
      <c r="B1028" s="1">
        <v>44140</v>
      </c>
      <c r="C1028">
        <v>3819.41</v>
      </c>
      <c r="D1028" s="1">
        <v>44148</v>
      </c>
      <c r="E1028">
        <v>5.4847999999999999</v>
      </c>
      <c r="F1028" s="1">
        <v>44134</v>
      </c>
      <c r="G1028">
        <v>138.11500000000001</v>
      </c>
      <c r="H1028" s="4">
        <f t="shared" ref="H1028:H1091" si="144">G1028*E1028*1000</f>
        <v>757533.15200000012</v>
      </c>
      <c r="I1028" s="5">
        <v>44140</v>
      </c>
      <c r="J1028" s="4">
        <v>6905.72</v>
      </c>
      <c r="K1028" s="4">
        <f t="shared" si="136"/>
        <v>69057.2</v>
      </c>
      <c r="L1028" s="1">
        <v>44140</v>
      </c>
      <c r="M1028">
        <v>2.91</v>
      </c>
      <c r="P1028" s="1">
        <v>44140</v>
      </c>
      <c r="Q1028">
        <v>3.4</v>
      </c>
      <c r="R1028" s="1">
        <v>44132</v>
      </c>
      <c r="S1028">
        <v>3.8</v>
      </c>
      <c r="X1028" s="1">
        <v>44140</v>
      </c>
      <c r="Y1028">
        <f>NETWORKDAYS(X1028,$Z$1,FERIADO!$A$2:$A$408)</f>
        <v>2562</v>
      </c>
      <c r="Z1028">
        <v>8.17</v>
      </c>
      <c r="AA1028" s="6">
        <f t="shared" si="137"/>
        <v>45003.597446833955</v>
      </c>
      <c r="AB1028" s="2">
        <f t="shared" si="138"/>
        <v>4.2168922778907528E-3</v>
      </c>
      <c r="AJ1028" s="1">
        <v>44140</v>
      </c>
      <c r="AK1028">
        <f>NETWORKDAYS(AJ1028,$AJ$1,FERIADO!$A$2:$A$408)</f>
        <v>1549</v>
      </c>
      <c r="AL1028">
        <v>7.42</v>
      </c>
      <c r="AM1028" s="6">
        <f t="shared" si="139"/>
        <v>64405.806449569151</v>
      </c>
      <c r="AN1028" s="2">
        <f t="shared" si="140"/>
        <v>3.3541607469841782E-3</v>
      </c>
      <c r="AP1028" s="11">
        <f t="shared" si="141"/>
        <v>2.1084461389453764E-3</v>
      </c>
      <c r="AQ1028" s="11">
        <f t="shared" si="142"/>
        <v>1.0062482240952534E-3</v>
      </c>
      <c r="AR1028" s="11">
        <f t="shared" si="143"/>
        <v>3.11469436304063E-3</v>
      </c>
    </row>
    <row r="1029" spans="2:44" x14ac:dyDescent="0.35">
      <c r="B1029" s="1">
        <v>44139</v>
      </c>
      <c r="C1029">
        <v>3754.65</v>
      </c>
      <c r="D1029" s="1">
        <v>44147</v>
      </c>
      <c r="E1029">
        <v>5.4088000000000003</v>
      </c>
      <c r="F1029" s="1">
        <v>44133</v>
      </c>
      <c r="G1029">
        <v>138.38200000000001</v>
      </c>
      <c r="H1029" s="4">
        <f t="shared" si="144"/>
        <v>748480.56160000013</v>
      </c>
      <c r="I1029" s="5">
        <v>44139</v>
      </c>
      <c r="J1029" s="4">
        <v>7064.33</v>
      </c>
      <c r="K1029" s="4">
        <f t="shared" ref="K1029:K1092" si="145">J1029*10</f>
        <v>70643.3</v>
      </c>
      <c r="L1029" s="1">
        <v>44139</v>
      </c>
      <c r="M1029">
        <v>2.98</v>
      </c>
      <c r="P1029" s="1">
        <v>44139</v>
      </c>
      <c r="Q1029">
        <v>3.48</v>
      </c>
      <c r="R1029" s="1">
        <v>44131</v>
      </c>
      <c r="S1029">
        <v>3.84</v>
      </c>
      <c r="X1029" s="1">
        <v>44139</v>
      </c>
      <c r="Y1029">
        <f>NETWORKDAYS(X1029,$Z$1,FERIADO!$A$2:$A$408)</f>
        <v>2563</v>
      </c>
      <c r="Z1029">
        <v>8.27</v>
      </c>
      <c r="AA1029" s="6">
        <f t="shared" ref="AA1029:AA1092" si="146">$Z$2/(1+Z1029/100)^(Y1029/252)</f>
        <v>44568.738222517481</v>
      </c>
      <c r="AB1029" s="2">
        <f t="shared" ref="AB1029:AB1092" si="147">LOG(AA1029/AA1030)</f>
        <v>3.8085400989169437E-3</v>
      </c>
      <c r="AJ1029" s="1">
        <v>44139</v>
      </c>
      <c r="AK1029">
        <f>NETWORKDAYS(AJ1029,$AJ$1,FERIADO!$A$2:$A$408)</f>
        <v>1550</v>
      </c>
      <c r="AL1029">
        <v>7.55</v>
      </c>
      <c r="AM1029" s="6">
        <f t="shared" ref="AM1029:AM1092" si="148">$Z$2/(1+AL1029/100)^(AK1029/252)</f>
        <v>63910.300832020192</v>
      </c>
      <c r="AN1029" s="2">
        <f t="shared" ref="AN1029:AN1092" si="149">LOG(AM1029/AM1030)</f>
        <v>3.6026462130069889E-3</v>
      </c>
      <c r="AP1029" s="11">
        <f t="shared" ref="AP1029:AP1092" si="150">AB1029*$AF$4</f>
        <v>1.9042700494584718E-3</v>
      </c>
      <c r="AQ1029" s="11">
        <f t="shared" ref="AQ1029:AQ1092" si="151">AN1029*$AF$7</f>
        <v>1.0807938639020966E-3</v>
      </c>
      <c r="AR1029" s="11">
        <f t="shared" ref="AR1029:AR1092" si="152">AQ1029+AP1029</f>
        <v>2.9850639133605682E-3</v>
      </c>
    </row>
    <row r="1030" spans="2:44" x14ac:dyDescent="0.35">
      <c r="B1030" s="1">
        <v>44138</v>
      </c>
      <c r="C1030">
        <v>3675.4</v>
      </c>
      <c r="D1030" s="1">
        <v>44146</v>
      </c>
      <c r="E1030">
        <v>5.4013999999999998</v>
      </c>
      <c r="F1030" s="1">
        <v>44132</v>
      </c>
      <c r="G1030">
        <v>138.804</v>
      </c>
      <c r="H1030" s="4">
        <f t="shared" si="144"/>
        <v>749735.92559999996</v>
      </c>
      <c r="I1030" s="5">
        <v>44138</v>
      </c>
      <c r="J1030" s="4">
        <v>7194.84</v>
      </c>
      <c r="K1030" s="4">
        <f t="shared" si="145"/>
        <v>71948.399999999994</v>
      </c>
      <c r="L1030" s="1">
        <v>44138</v>
      </c>
      <c r="M1030">
        <v>3.08</v>
      </c>
      <c r="P1030" s="1">
        <v>44138</v>
      </c>
      <c r="Q1030">
        <v>3.55</v>
      </c>
      <c r="R1030" s="1">
        <v>44127</v>
      </c>
      <c r="S1030">
        <v>3.7</v>
      </c>
      <c r="X1030" s="1">
        <v>44138</v>
      </c>
      <c r="Y1030">
        <f>NETWORKDAYS(X1030,$Z$1,FERIADO!$A$2:$A$408)</f>
        <v>2564</v>
      </c>
      <c r="Z1030">
        <v>8.36</v>
      </c>
      <c r="AA1030" s="6">
        <f t="shared" si="146"/>
        <v>44179.601979329185</v>
      </c>
      <c r="AB1030" s="2">
        <f t="shared" si="147"/>
        <v>-1.3559814633157018E-3</v>
      </c>
      <c r="AJ1030" s="1">
        <v>44138</v>
      </c>
      <c r="AK1030">
        <f>NETWORKDAYS(AJ1030,$AJ$1,FERIADO!$A$2:$A$408)</f>
        <v>1551</v>
      </c>
      <c r="AL1030">
        <v>7.69</v>
      </c>
      <c r="AM1030" s="6">
        <f t="shared" si="148"/>
        <v>63382.332239471929</v>
      </c>
      <c r="AN1030" s="2">
        <f t="shared" si="149"/>
        <v>-2.7286698104022834E-3</v>
      </c>
      <c r="AP1030" s="11">
        <f t="shared" si="150"/>
        <v>-6.779907316578509E-4</v>
      </c>
      <c r="AQ1030" s="11">
        <f t="shared" si="151"/>
        <v>-8.1860094312068501E-4</v>
      </c>
      <c r="AR1030" s="11">
        <f t="shared" si="152"/>
        <v>-1.4965916747785358E-3</v>
      </c>
    </row>
    <row r="1031" spans="2:44" x14ac:dyDescent="0.35">
      <c r="B1031" s="1">
        <v>44134</v>
      </c>
      <c r="C1031">
        <v>3578.42</v>
      </c>
      <c r="D1031" s="1">
        <v>44145</v>
      </c>
      <c r="E1031">
        <v>5.3689999999999998</v>
      </c>
      <c r="F1031" s="1">
        <v>44131</v>
      </c>
      <c r="G1031">
        <v>138.91200000000001</v>
      </c>
      <c r="H1031" s="4">
        <f t="shared" si="144"/>
        <v>745818.52800000005</v>
      </c>
      <c r="I1031" s="5">
        <v>44134</v>
      </c>
      <c r="J1031" s="4">
        <v>7197.34</v>
      </c>
      <c r="K1031" s="4">
        <f t="shared" si="145"/>
        <v>71973.399999999994</v>
      </c>
      <c r="L1031" s="1">
        <v>44134</v>
      </c>
      <c r="M1031">
        <v>3.04</v>
      </c>
      <c r="P1031" s="1">
        <v>44134</v>
      </c>
      <c r="Q1031">
        <v>3.53</v>
      </c>
      <c r="R1031" s="1">
        <v>44126</v>
      </c>
      <c r="S1031">
        <v>3.69</v>
      </c>
      <c r="X1031" s="1">
        <v>44134</v>
      </c>
      <c r="Y1031">
        <f>NETWORKDAYS(X1031,$Z$1,FERIADO!$A$2:$A$408)</f>
        <v>2566</v>
      </c>
      <c r="Z1031">
        <v>8.32</v>
      </c>
      <c r="AA1031" s="6">
        <f t="shared" si="146"/>
        <v>44317.757870116184</v>
      </c>
      <c r="AB1031" s="2">
        <f t="shared" si="147"/>
        <v>-2.7220918292602731E-3</v>
      </c>
      <c r="AJ1031" s="1">
        <v>44134</v>
      </c>
      <c r="AK1031">
        <f>NETWORKDAYS(AJ1031,$AJ$1,FERIADO!$A$2:$A$408)</f>
        <v>1553</v>
      </c>
      <c r="AL1031">
        <v>7.57</v>
      </c>
      <c r="AM1031" s="6">
        <f t="shared" si="148"/>
        <v>63781.816745129283</v>
      </c>
      <c r="AN1031" s="2">
        <f t="shared" si="149"/>
        <v>-1.6175850310655862E-3</v>
      </c>
      <c r="AP1031" s="11">
        <f t="shared" si="150"/>
        <v>-1.3610459146301366E-3</v>
      </c>
      <c r="AQ1031" s="11">
        <f t="shared" si="151"/>
        <v>-4.8527550931967586E-4</v>
      </c>
      <c r="AR1031" s="11">
        <f t="shared" si="152"/>
        <v>-1.8463214239498125E-3</v>
      </c>
    </row>
    <row r="1032" spans="2:44" x14ac:dyDescent="0.35">
      <c r="B1032" s="1">
        <v>44133</v>
      </c>
      <c r="C1032">
        <v>3582.32</v>
      </c>
      <c r="D1032" s="1">
        <v>44144</v>
      </c>
      <c r="E1032">
        <v>5.2815000000000003</v>
      </c>
      <c r="F1032" s="1">
        <v>44130</v>
      </c>
      <c r="G1032">
        <v>138.626</v>
      </c>
      <c r="H1032" s="4">
        <f t="shared" si="144"/>
        <v>732153.21900000004</v>
      </c>
      <c r="I1032" s="5">
        <v>44133</v>
      </c>
      <c r="J1032" s="4">
        <v>7219.82</v>
      </c>
      <c r="K1032" s="4">
        <f t="shared" si="145"/>
        <v>72198.2</v>
      </c>
      <c r="L1032" s="1">
        <v>44133</v>
      </c>
      <c r="M1032">
        <v>3.02</v>
      </c>
      <c r="P1032" s="1">
        <v>44133</v>
      </c>
      <c r="Q1032">
        <v>3.5</v>
      </c>
      <c r="R1032" s="1">
        <v>44125</v>
      </c>
      <c r="S1032">
        <v>3.68</v>
      </c>
      <c r="X1032" s="1">
        <v>44133</v>
      </c>
      <c r="Y1032">
        <f>NETWORKDAYS(X1032,$Z$1,FERIADO!$A$2:$A$408)</f>
        <v>2567</v>
      </c>
      <c r="Z1032">
        <v>8.25</v>
      </c>
      <c r="AA1032" s="6">
        <f t="shared" si="146"/>
        <v>44596.40719672502</v>
      </c>
      <c r="AB1032" s="2">
        <f t="shared" si="147"/>
        <v>-1.090064270777768E-3</v>
      </c>
      <c r="AJ1032" s="1">
        <v>44133</v>
      </c>
      <c r="AK1032">
        <f>NETWORKDAYS(AJ1032,$AJ$1,FERIADO!$A$2:$A$408)</f>
        <v>1554</v>
      </c>
      <c r="AL1032">
        <v>7.5</v>
      </c>
      <c r="AM1032" s="6">
        <f t="shared" si="148"/>
        <v>64019.823200820429</v>
      </c>
      <c r="AN1032" s="2">
        <f t="shared" si="149"/>
        <v>-6.2333906068188854E-4</v>
      </c>
      <c r="AP1032" s="11">
        <f t="shared" si="150"/>
        <v>-5.45032135388884E-4</v>
      </c>
      <c r="AQ1032" s="11">
        <f t="shared" si="151"/>
        <v>-1.8700171820456655E-4</v>
      </c>
      <c r="AR1032" s="11">
        <f t="shared" si="152"/>
        <v>-7.3203385359345058E-4</v>
      </c>
    </row>
    <row r="1033" spans="2:44" x14ac:dyDescent="0.35">
      <c r="B1033" s="1">
        <v>44132</v>
      </c>
      <c r="C1033">
        <v>3566.26</v>
      </c>
      <c r="D1033" s="1">
        <v>44141</v>
      </c>
      <c r="E1033">
        <v>5.5307000000000004</v>
      </c>
      <c r="F1033" s="1">
        <v>44127</v>
      </c>
      <c r="G1033">
        <v>138.37100000000001</v>
      </c>
      <c r="H1033" s="4">
        <f t="shared" si="144"/>
        <v>765288.48970000015</v>
      </c>
      <c r="I1033" s="5">
        <v>44132</v>
      </c>
      <c r="J1033" s="4">
        <v>7176.13</v>
      </c>
      <c r="K1033" s="4">
        <f t="shared" si="145"/>
        <v>71761.3</v>
      </c>
      <c r="L1033" s="1">
        <v>44132</v>
      </c>
      <c r="M1033">
        <v>3.05</v>
      </c>
      <c r="P1033" s="1">
        <v>44132</v>
      </c>
      <c r="Q1033">
        <v>3.51</v>
      </c>
      <c r="R1033" s="1">
        <v>44124</v>
      </c>
      <c r="S1033">
        <v>3.68</v>
      </c>
      <c r="X1033" s="1">
        <v>44132</v>
      </c>
      <c r="Y1033">
        <f>NETWORKDAYS(X1033,$Z$1,FERIADO!$A$2:$A$408)</f>
        <v>2568</v>
      </c>
      <c r="Z1033">
        <v>8.2200000000000006</v>
      </c>
      <c r="AA1033" s="6">
        <f t="shared" si="146"/>
        <v>44708.483245611453</v>
      </c>
      <c r="AB1033" s="2">
        <f t="shared" si="147"/>
        <v>1.7722795782959715E-3</v>
      </c>
      <c r="AJ1033" s="1">
        <v>44132</v>
      </c>
      <c r="AK1033">
        <f>NETWORKDAYS(AJ1033,$AJ$1,FERIADO!$A$2:$A$408)</f>
        <v>1555</v>
      </c>
      <c r="AL1033">
        <v>7.47</v>
      </c>
      <c r="AM1033" s="6">
        <f t="shared" si="148"/>
        <v>64111.776265470988</v>
      </c>
      <c r="AN1033" s="2">
        <f t="shared" si="149"/>
        <v>6.231501846458E-4</v>
      </c>
      <c r="AP1033" s="11">
        <f t="shared" si="150"/>
        <v>8.8613978914798576E-4</v>
      </c>
      <c r="AQ1033" s="11">
        <f t="shared" si="151"/>
        <v>1.8694505539373999E-4</v>
      </c>
      <c r="AR1033" s="11">
        <f t="shared" si="152"/>
        <v>1.0730848445417258E-3</v>
      </c>
    </row>
    <row r="1034" spans="2:44" x14ac:dyDescent="0.35">
      <c r="B1034" s="1">
        <v>44131</v>
      </c>
      <c r="C1034">
        <v>3669.64</v>
      </c>
      <c r="D1034" s="1">
        <v>44140</v>
      </c>
      <c r="E1034">
        <v>5.5617999999999999</v>
      </c>
      <c r="F1034" s="1">
        <v>44126</v>
      </c>
      <c r="G1034">
        <v>138.215</v>
      </c>
      <c r="H1034" s="4">
        <f t="shared" si="144"/>
        <v>768724.18700000003</v>
      </c>
      <c r="I1034" s="5">
        <v>44131</v>
      </c>
      <c r="J1034" s="4">
        <v>7126.83</v>
      </c>
      <c r="K1034" s="4">
        <f t="shared" si="145"/>
        <v>71268.3</v>
      </c>
      <c r="L1034" s="1">
        <v>44131</v>
      </c>
      <c r="M1034">
        <v>3.06</v>
      </c>
      <c r="P1034" s="1">
        <v>44131</v>
      </c>
      <c r="Q1034">
        <v>3.54</v>
      </c>
      <c r="R1034" s="1">
        <v>44123</v>
      </c>
      <c r="S1034">
        <v>3.72</v>
      </c>
      <c r="X1034" s="1">
        <v>44131</v>
      </c>
      <c r="Y1034">
        <f>NETWORKDAYS(X1034,$Z$1,FERIADO!$A$2:$A$408)</f>
        <v>2569</v>
      </c>
      <c r="Z1034">
        <v>8.26</v>
      </c>
      <c r="AA1034" s="6">
        <f t="shared" si="146"/>
        <v>44526.407532340454</v>
      </c>
      <c r="AB1034" s="2">
        <f t="shared" si="147"/>
        <v>1.3677786807553082E-4</v>
      </c>
      <c r="AJ1034" s="1">
        <v>44131</v>
      </c>
      <c r="AK1034">
        <f>NETWORKDAYS(AJ1034,$AJ$1,FERIADO!$A$2:$A$408)</f>
        <v>1556</v>
      </c>
      <c r="AL1034">
        <v>7.49</v>
      </c>
      <c r="AM1034" s="6">
        <f t="shared" si="148"/>
        <v>64019.851043248935</v>
      </c>
      <c r="AN1034" s="2">
        <f t="shared" si="149"/>
        <v>-1.3737477627599206E-3</v>
      </c>
      <c r="AP1034" s="11">
        <f t="shared" si="150"/>
        <v>6.8388934037765409E-5</v>
      </c>
      <c r="AQ1034" s="11">
        <f t="shared" si="151"/>
        <v>-4.1212432882797617E-4</v>
      </c>
      <c r="AR1034" s="11">
        <f t="shared" si="152"/>
        <v>-3.4373539479021079E-4</v>
      </c>
    </row>
    <row r="1035" spans="2:44" x14ac:dyDescent="0.35">
      <c r="B1035" s="1">
        <v>44130</v>
      </c>
      <c r="C1035">
        <v>3704.06</v>
      </c>
      <c r="D1035" s="1">
        <v>44139</v>
      </c>
      <c r="E1035">
        <v>5.6925999999999997</v>
      </c>
      <c r="F1035" s="1">
        <v>44125</v>
      </c>
      <c r="G1035">
        <v>138.49199999999999</v>
      </c>
      <c r="H1035" s="4">
        <f t="shared" si="144"/>
        <v>788379.5591999999</v>
      </c>
      <c r="I1035" s="5">
        <v>44130</v>
      </c>
      <c r="J1035" s="4">
        <v>7020.73</v>
      </c>
      <c r="K1035" s="4">
        <f t="shared" si="145"/>
        <v>70207.299999999988</v>
      </c>
      <c r="L1035" s="1">
        <v>44130</v>
      </c>
      <c r="M1035">
        <v>3.01</v>
      </c>
      <c r="P1035" s="1">
        <v>44130</v>
      </c>
      <c r="Q1035">
        <v>3.46</v>
      </c>
      <c r="R1035" s="1">
        <v>44119</v>
      </c>
      <c r="S1035">
        <v>3.73</v>
      </c>
      <c r="X1035" s="1">
        <v>44130</v>
      </c>
      <c r="Y1035">
        <f>NETWORKDAYS(X1035,$Z$1,FERIADO!$A$2:$A$408)</f>
        <v>2570</v>
      </c>
      <c r="Z1035">
        <v>8.26</v>
      </c>
      <c r="AA1035" s="6">
        <f t="shared" si="146"/>
        <v>44512.386474248488</v>
      </c>
      <c r="AB1035" s="2">
        <f t="shared" si="147"/>
        <v>9.5525718136510603E-4</v>
      </c>
      <c r="AJ1035" s="1">
        <v>44130</v>
      </c>
      <c r="AK1035">
        <f>NETWORKDAYS(AJ1035,$AJ$1,FERIADO!$A$2:$A$408)</f>
        <v>1557</v>
      </c>
      <c r="AL1035">
        <v>7.43</v>
      </c>
      <c r="AM1035" s="6">
        <f t="shared" si="148"/>
        <v>64222.677405307761</v>
      </c>
      <c r="AN1035" s="2">
        <f t="shared" si="149"/>
        <v>1.1230648266498066E-3</v>
      </c>
      <c r="AP1035" s="11">
        <f t="shared" si="150"/>
        <v>4.7762859068255302E-4</v>
      </c>
      <c r="AQ1035" s="11">
        <f t="shared" si="151"/>
        <v>3.3691944799494196E-4</v>
      </c>
      <c r="AR1035" s="11">
        <f t="shared" si="152"/>
        <v>8.1454803867749503E-4</v>
      </c>
    </row>
    <row r="1036" spans="2:44" x14ac:dyDescent="0.35">
      <c r="B1036" s="1">
        <v>44127</v>
      </c>
      <c r="C1036">
        <v>3767.3</v>
      </c>
      <c r="D1036" s="1">
        <v>44138</v>
      </c>
      <c r="E1036">
        <v>5.6889000000000003</v>
      </c>
      <c r="F1036" s="1">
        <v>44124</v>
      </c>
      <c r="G1036">
        <v>138.75700000000001</v>
      </c>
      <c r="H1036" s="4">
        <f t="shared" si="144"/>
        <v>789374.69730000012</v>
      </c>
      <c r="I1036" s="5">
        <v>44127</v>
      </c>
      <c r="J1036" s="4">
        <v>7016.98</v>
      </c>
      <c r="K1036" s="4">
        <f t="shared" si="145"/>
        <v>70169.799999999988</v>
      </c>
      <c r="L1036" s="1">
        <v>44127</v>
      </c>
      <c r="M1036">
        <v>2.95</v>
      </c>
      <c r="P1036" s="1">
        <v>44127</v>
      </c>
      <c r="Q1036">
        <v>3.42</v>
      </c>
      <c r="R1036" s="1">
        <v>44117</v>
      </c>
      <c r="S1036">
        <v>3.68</v>
      </c>
      <c r="X1036" s="1">
        <v>44127</v>
      </c>
      <c r="Y1036">
        <f>NETWORKDAYS(X1036,$Z$1,FERIADO!$A$2:$A$408)</f>
        <v>2571</v>
      </c>
      <c r="Z1036">
        <v>8.2799999999999994</v>
      </c>
      <c r="AA1036" s="6">
        <f t="shared" si="146"/>
        <v>44414.586365436182</v>
      </c>
      <c r="AB1036" s="2">
        <f t="shared" si="147"/>
        <v>-1.5006503880875947E-3</v>
      </c>
      <c r="AJ1036" s="1">
        <v>44127</v>
      </c>
      <c r="AK1036">
        <f>NETWORKDAYS(AJ1036,$AJ$1,FERIADO!$A$2:$A$408)</f>
        <v>1558</v>
      </c>
      <c r="AL1036">
        <v>7.47</v>
      </c>
      <c r="AM1036" s="6">
        <f t="shared" si="148"/>
        <v>64056.815171484872</v>
      </c>
      <c r="AN1036" s="2">
        <f t="shared" si="149"/>
        <v>-2.3770232237798794E-3</v>
      </c>
      <c r="AP1036" s="11">
        <f t="shared" si="150"/>
        <v>-7.5032519404379734E-4</v>
      </c>
      <c r="AQ1036" s="11">
        <f t="shared" si="151"/>
        <v>-7.1310696713396376E-4</v>
      </c>
      <c r="AR1036" s="11">
        <f t="shared" si="152"/>
        <v>-1.463432161177761E-3</v>
      </c>
    </row>
    <row r="1037" spans="2:44" x14ac:dyDescent="0.35">
      <c r="B1037" s="1">
        <v>44126</v>
      </c>
      <c r="C1037">
        <v>3757.08</v>
      </c>
      <c r="D1037" s="1">
        <v>44134</v>
      </c>
      <c r="E1037">
        <v>5.7712000000000003</v>
      </c>
      <c r="F1037" s="1">
        <v>44123</v>
      </c>
      <c r="G1037">
        <v>138.84399999999999</v>
      </c>
      <c r="H1037" s="4">
        <f t="shared" si="144"/>
        <v>801296.49280000001</v>
      </c>
      <c r="I1037" s="5">
        <v>44126</v>
      </c>
      <c r="J1037" s="4">
        <v>6991.39</v>
      </c>
      <c r="K1037" s="4">
        <f t="shared" si="145"/>
        <v>69913.900000000009</v>
      </c>
      <c r="L1037" s="1">
        <v>44126</v>
      </c>
      <c r="M1037">
        <v>2.86</v>
      </c>
      <c r="P1037" s="1">
        <v>44126</v>
      </c>
      <c r="Q1037">
        <v>3.36</v>
      </c>
      <c r="R1037" s="1">
        <v>44112</v>
      </c>
      <c r="S1037">
        <v>3.71</v>
      </c>
      <c r="X1037" s="1">
        <v>44126</v>
      </c>
      <c r="Y1037">
        <f>NETWORKDAYS(X1037,$Z$1,FERIADO!$A$2:$A$408)</f>
        <v>2572</v>
      </c>
      <c r="Z1037">
        <v>8.24</v>
      </c>
      <c r="AA1037" s="6">
        <f t="shared" si="146"/>
        <v>44568.320878529077</v>
      </c>
      <c r="AB1037" s="2">
        <f t="shared" si="147"/>
        <v>-5.6026541686416817E-3</v>
      </c>
      <c r="AJ1037" s="1">
        <v>44126</v>
      </c>
      <c r="AK1037">
        <f>NETWORKDAYS(AJ1037,$AJ$1,FERIADO!$A$2:$A$408)</f>
        <v>1559</v>
      </c>
      <c r="AL1037">
        <v>7.37</v>
      </c>
      <c r="AM1037" s="6">
        <f t="shared" si="148"/>
        <v>64408.378452969911</v>
      </c>
      <c r="AN1037" s="2">
        <f t="shared" si="149"/>
        <v>-2.1319473890644577E-3</v>
      </c>
      <c r="AP1037" s="11">
        <f t="shared" si="150"/>
        <v>-2.8013270843208408E-3</v>
      </c>
      <c r="AQ1037" s="11">
        <f t="shared" si="151"/>
        <v>-6.3958421671933725E-4</v>
      </c>
      <c r="AR1037" s="11">
        <f t="shared" si="152"/>
        <v>-3.4409113010401781E-3</v>
      </c>
    </row>
    <row r="1038" spans="2:44" x14ac:dyDescent="0.35">
      <c r="B1038" s="1">
        <v>44125</v>
      </c>
      <c r="C1038">
        <v>3745.14</v>
      </c>
      <c r="D1038" s="1">
        <v>44133</v>
      </c>
      <c r="E1038">
        <v>5.7797000000000001</v>
      </c>
      <c r="F1038" s="1">
        <v>44120</v>
      </c>
      <c r="G1038">
        <v>139.03100000000001</v>
      </c>
      <c r="H1038" s="4">
        <f t="shared" si="144"/>
        <v>803557.47070000006</v>
      </c>
      <c r="I1038" s="5">
        <v>44125</v>
      </c>
      <c r="J1038" s="4">
        <v>7002.63</v>
      </c>
      <c r="K1038" s="4">
        <f t="shared" si="145"/>
        <v>70026.3</v>
      </c>
      <c r="L1038" s="1">
        <v>44125</v>
      </c>
      <c r="M1038">
        <v>2.82</v>
      </c>
      <c r="P1038" s="1">
        <v>44125</v>
      </c>
      <c r="Q1038">
        <v>3.33</v>
      </c>
      <c r="R1038" s="1">
        <v>44111</v>
      </c>
      <c r="S1038">
        <v>3.76</v>
      </c>
      <c r="X1038" s="1">
        <v>44125</v>
      </c>
      <c r="Y1038">
        <f>NETWORKDAYS(X1038,$Z$1,FERIADO!$A$2:$A$408)</f>
        <v>2573</v>
      </c>
      <c r="Z1038">
        <v>8.1</v>
      </c>
      <c r="AA1038" s="6">
        <f t="shared" si="146"/>
        <v>45147.003067351172</v>
      </c>
      <c r="AB1038" s="2">
        <f t="shared" si="147"/>
        <v>-1.0970264429202453E-3</v>
      </c>
      <c r="AJ1038" s="1">
        <v>44125</v>
      </c>
      <c r="AK1038">
        <f>NETWORKDAYS(AJ1038,$AJ$1,FERIADO!$A$2:$A$408)</f>
        <v>1560</v>
      </c>
      <c r="AL1038">
        <v>7.28</v>
      </c>
      <c r="AM1038" s="6">
        <f t="shared" si="148"/>
        <v>64725.335890541435</v>
      </c>
      <c r="AN1038" s="2">
        <f t="shared" si="149"/>
        <v>-1.1330139196206945E-3</v>
      </c>
      <c r="AP1038" s="11">
        <f t="shared" si="150"/>
        <v>-5.4851322146012263E-4</v>
      </c>
      <c r="AQ1038" s="11">
        <f t="shared" si="151"/>
        <v>-3.3990417588620835E-4</v>
      </c>
      <c r="AR1038" s="11">
        <f t="shared" si="152"/>
        <v>-8.8841739734633104E-4</v>
      </c>
    </row>
    <row r="1039" spans="2:44" x14ac:dyDescent="0.35">
      <c r="B1039" s="1">
        <v>44124</v>
      </c>
      <c r="C1039">
        <v>3740.83</v>
      </c>
      <c r="D1039" s="1">
        <v>44132</v>
      </c>
      <c r="E1039">
        <v>5.7319000000000004</v>
      </c>
      <c r="F1039" s="1">
        <v>44119</v>
      </c>
      <c r="G1039">
        <v>139.09399999999999</v>
      </c>
      <c r="H1039" s="4">
        <f t="shared" si="144"/>
        <v>797272.89860000007</v>
      </c>
      <c r="I1039" s="5">
        <v>44124</v>
      </c>
      <c r="J1039" s="4">
        <v>7002</v>
      </c>
      <c r="K1039" s="4">
        <f t="shared" si="145"/>
        <v>70020</v>
      </c>
      <c r="L1039" s="1">
        <v>44124</v>
      </c>
      <c r="M1039">
        <v>2.86</v>
      </c>
      <c r="P1039" s="1">
        <v>44124</v>
      </c>
      <c r="Q1039">
        <v>3.32</v>
      </c>
      <c r="R1039" s="1">
        <v>44110</v>
      </c>
      <c r="S1039">
        <v>3.76</v>
      </c>
      <c r="X1039" s="1">
        <v>44124</v>
      </c>
      <c r="Y1039">
        <f>NETWORKDAYS(X1039,$Z$1,FERIADO!$A$2:$A$408)</f>
        <v>2574</v>
      </c>
      <c r="Z1039">
        <v>8.07</v>
      </c>
      <c r="AA1039" s="6">
        <f t="shared" si="146"/>
        <v>45261.188404833156</v>
      </c>
      <c r="AB1039" s="2">
        <f t="shared" si="147"/>
        <v>6.6990500888196051E-3</v>
      </c>
      <c r="AJ1039" s="1">
        <v>44124</v>
      </c>
      <c r="AK1039">
        <f>NETWORKDAYS(AJ1039,$AJ$1,FERIADO!$A$2:$A$408)</f>
        <v>1561</v>
      </c>
      <c r="AL1039">
        <v>7.23</v>
      </c>
      <c r="AM1039" s="6">
        <f t="shared" si="148"/>
        <v>64894.415749587701</v>
      </c>
      <c r="AN1039" s="2">
        <f t="shared" si="149"/>
        <v>4.3846581018359941E-3</v>
      </c>
      <c r="AP1039" s="11">
        <f t="shared" si="150"/>
        <v>3.3495250444098026E-3</v>
      </c>
      <c r="AQ1039" s="11">
        <f t="shared" si="151"/>
        <v>1.3153974305507982E-3</v>
      </c>
      <c r="AR1039" s="11">
        <f t="shared" si="152"/>
        <v>4.6649224749606005E-3</v>
      </c>
    </row>
    <row r="1040" spans="2:44" x14ac:dyDescent="0.35">
      <c r="B1040" s="1">
        <v>44123</v>
      </c>
      <c r="C1040">
        <v>3750.23</v>
      </c>
      <c r="D1040" s="1">
        <v>44131</v>
      </c>
      <c r="E1040">
        <v>5.6483999999999996</v>
      </c>
      <c r="F1040" s="1">
        <v>44118</v>
      </c>
      <c r="G1040">
        <v>139.23400000000001</v>
      </c>
      <c r="H1040" s="4">
        <f t="shared" si="144"/>
        <v>786449.32559999998</v>
      </c>
      <c r="I1040" s="5">
        <v>44123</v>
      </c>
      <c r="J1040" s="4">
        <v>7003.87</v>
      </c>
      <c r="K1040" s="4">
        <f t="shared" si="145"/>
        <v>70038.7</v>
      </c>
      <c r="L1040" s="1">
        <v>44123</v>
      </c>
      <c r="M1040">
        <v>2.93</v>
      </c>
      <c r="P1040" s="1">
        <v>44123</v>
      </c>
      <c r="Q1040">
        <v>3.37</v>
      </c>
      <c r="R1040" s="1">
        <v>44109</v>
      </c>
      <c r="S1040">
        <v>3.75</v>
      </c>
      <c r="X1040" s="1">
        <v>44123</v>
      </c>
      <c r="Y1040">
        <f>NETWORKDAYS(X1040,$Z$1,FERIADO!$A$2:$A$408)</f>
        <v>2575</v>
      </c>
      <c r="Z1040">
        <v>8.23</v>
      </c>
      <c r="AA1040" s="6">
        <f t="shared" si="146"/>
        <v>44568.385584302392</v>
      </c>
      <c r="AB1040" s="2">
        <f t="shared" si="147"/>
        <v>6.2848465781764453E-3</v>
      </c>
      <c r="AJ1040" s="1">
        <v>44123</v>
      </c>
      <c r="AK1040">
        <f>NETWORKDAYS(AJ1040,$AJ$1,FERIADO!$A$2:$A$408)</f>
        <v>1562</v>
      </c>
      <c r="AL1040">
        <v>7.4</v>
      </c>
      <c r="AM1040" s="6">
        <f t="shared" si="148"/>
        <v>64242.534836189829</v>
      </c>
      <c r="AN1040" s="2">
        <f t="shared" si="149"/>
        <v>4.3833693303943046E-3</v>
      </c>
      <c r="AP1040" s="11">
        <f t="shared" si="150"/>
        <v>3.1424232890882226E-3</v>
      </c>
      <c r="AQ1040" s="11">
        <f t="shared" si="151"/>
        <v>1.3150107991182914E-3</v>
      </c>
      <c r="AR1040" s="11">
        <f t="shared" si="152"/>
        <v>4.4574340882065138E-3</v>
      </c>
    </row>
    <row r="1041" spans="2:44" x14ac:dyDescent="0.35">
      <c r="B1041" s="1">
        <v>44120</v>
      </c>
      <c r="C1041">
        <v>3776.26</v>
      </c>
      <c r="D1041" s="1">
        <v>44130</v>
      </c>
      <c r="E1041">
        <v>5.6322000000000001</v>
      </c>
      <c r="F1041" s="1">
        <v>44117</v>
      </c>
      <c r="G1041">
        <v>139.18299999999999</v>
      </c>
      <c r="H1041" s="4">
        <f t="shared" si="144"/>
        <v>783906.4926</v>
      </c>
      <c r="I1041" s="5">
        <v>44120</v>
      </c>
      <c r="J1041" s="4">
        <v>7049.44</v>
      </c>
      <c r="K1041" s="4">
        <f t="shared" si="145"/>
        <v>70494.399999999994</v>
      </c>
      <c r="L1041" s="1">
        <v>44120</v>
      </c>
      <c r="M1041">
        <v>2.92</v>
      </c>
      <c r="P1041" s="1">
        <v>44120</v>
      </c>
      <c r="Q1041">
        <v>3.42</v>
      </c>
      <c r="R1041" s="1">
        <v>44106</v>
      </c>
      <c r="S1041">
        <v>3.79</v>
      </c>
      <c r="X1041" s="1">
        <v>44120</v>
      </c>
      <c r="Y1041">
        <f>NETWORKDAYS(X1041,$Z$1,FERIADO!$A$2:$A$408)</f>
        <v>2576</v>
      </c>
      <c r="Z1041">
        <v>8.3800000000000008</v>
      </c>
      <c r="AA1041" s="6">
        <f t="shared" si="146"/>
        <v>43928.063267664853</v>
      </c>
      <c r="AB1041" s="2">
        <f t="shared" si="147"/>
        <v>5.4844656757480092E-4</v>
      </c>
      <c r="AJ1041" s="1">
        <v>44120</v>
      </c>
      <c r="AK1041">
        <f>NETWORKDAYS(AJ1041,$AJ$1,FERIADO!$A$2:$A$408)</f>
        <v>1563</v>
      </c>
      <c r="AL1041">
        <v>7.57</v>
      </c>
      <c r="AM1041" s="6">
        <f t="shared" si="148"/>
        <v>63597.390957739488</v>
      </c>
      <c r="AN1041" s="2">
        <f t="shared" si="149"/>
        <v>-8.7670843075680969E-4</v>
      </c>
      <c r="AP1041" s="11">
        <f t="shared" si="150"/>
        <v>2.7422328378740046E-4</v>
      </c>
      <c r="AQ1041" s="11">
        <f t="shared" si="151"/>
        <v>-2.6301252922704291E-4</v>
      </c>
      <c r="AR1041" s="11">
        <f t="shared" si="152"/>
        <v>1.1210754560357552E-5</v>
      </c>
    </row>
    <row r="1042" spans="2:44" x14ac:dyDescent="0.35">
      <c r="B1042" s="1">
        <v>44119</v>
      </c>
      <c r="C1042">
        <v>3794.29</v>
      </c>
      <c r="D1042" s="1">
        <v>44127</v>
      </c>
      <c r="E1042">
        <v>5.6113999999999997</v>
      </c>
      <c r="F1042" s="1">
        <v>44113</v>
      </c>
      <c r="G1042">
        <v>138.80699999999999</v>
      </c>
      <c r="H1042" s="4">
        <f t="shared" si="144"/>
        <v>778901.59979999985</v>
      </c>
      <c r="I1042" s="5">
        <v>44119</v>
      </c>
      <c r="J1042" s="4">
        <v>7010.12</v>
      </c>
      <c r="K1042" s="4">
        <f t="shared" si="145"/>
        <v>70101.2</v>
      </c>
      <c r="L1042" s="1">
        <v>44119</v>
      </c>
      <c r="M1042">
        <v>2.96</v>
      </c>
      <c r="P1042" s="1">
        <v>44119</v>
      </c>
      <c r="Q1042">
        <v>3.43</v>
      </c>
      <c r="R1042" s="1">
        <v>44105</v>
      </c>
      <c r="S1042">
        <v>3.68</v>
      </c>
      <c r="X1042" s="1">
        <v>44119</v>
      </c>
      <c r="Y1042">
        <f>NETWORKDAYS(X1042,$Z$1,FERIADO!$A$2:$A$408)</f>
        <v>2577</v>
      </c>
      <c r="Z1042">
        <v>8.39</v>
      </c>
      <c r="AA1042" s="6">
        <f t="shared" si="146"/>
        <v>43872.623950401532</v>
      </c>
      <c r="AB1042" s="2">
        <f t="shared" si="147"/>
        <v>-6.4243924499554697E-3</v>
      </c>
      <c r="AJ1042" s="1">
        <v>44119</v>
      </c>
      <c r="AK1042">
        <f>NETWORKDAYS(AJ1042,$AJ$1,FERIADO!$A$2:$A$408)</f>
        <v>1564</v>
      </c>
      <c r="AL1042">
        <v>7.53</v>
      </c>
      <c r="AM1042" s="6">
        <f t="shared" si="148"/>
        <v>63725.904412580509</v>
      </c>
      <c r="AN1042" s="2">
        <f t="shared" si="149"/>
        <v>-4.1422583950728783E-3</v>
      </c>
      <c r="AP1042" s="11">
        <f t="shared" si="150"/>
        <v>-3.2121962249777349E-3</v>
      </c>
      <c r="AQ1042" s="11">
        <f t="shared" si="151"/>
        <v>-1.2426775185218634E-3</v>
      </c>
      <c r="AR1042" s="11">
        <f t="shared" si="152"/>
        <v>-4.4548737434995985E-3</v>
      </c>
    </row>
    <row r="1043" spans="2:44" x14ac:dyDescent="0.35">
      <c r="B1043" s="1">
        <v>44118</v>
      </c>
      <c r="C1043">
        <v>3794.73</v>
      </c>
      <c r="D1043" s="1">
        <v>44126</v>
      </c>
      <c r="E1043">
        <v>5.5814000000000004</v>
      </c>
      <c r="F1043" s="1">
        <v>44112</v>
      </c>
      <c r="G1043">
        <v>138.77099999999999</v>
      </c>
      <c r="H1043" s="4">
        <f t="shared" si="144"/>
        <v>774536.45940000005</v>
      </c>
      <c r="I1043" s="5">
        <v>44118</v>
      </c>
      <c r="J1043" s="4">
        <v>6986.4</v>
      </c>
      <c r="K1043" s="4">
        <f t="shared" si="145"/>
        <v>69864</v>
      </c>
      <c r="L1043" s="1">
        <v>44118</v>
      </c>
      <c r="M1043">
        <v>2.88</v>
      </c>
      <c r="P1043" s="1">
        <v>44118</v>
      </c>
      <c r="Q1043">
        <v>3.34</v>
      </c>
      <c r="R1043" s="1">
        <v>44104</v>
      </c>
      <c r="S1043">
        <v>3.72</v>
      </c>
      <c r="X1043" s="1">
        <v>44118</v>
      </c>
      <c r="Y1043">
        <f>NETWORKDAYS(X1043,$Z$1,FERIADO!$A$2:$A$408)</f>
        <v>2578</v>
      </c>
      <c r="Z1043">
        <v>8.23</v>
      </c>
      <c r="AA1043" s="6">
        <f t="shared" si="146"/>
        <v>44526.442920747693</v>
      </c>
      <c r="AB1043" s="2">
        <f t="shared" si="147"/>
        <v>1.7786558631101253E-3</v>
      </c>
      <c r="AJ1043" s="1">
        <v>44118</v>
      </c>
      <c r="AK1043">
        <f>NETWORKDAYS(AJ1043,$AJ$1,FERIADO!$A$2:$A$408)</f>
        <v>1565</v>
      </c>
      <c r="AL1043">
        <v>7.36</v>
      </c>
      <c r="AM1043" s="6">
        <f t="shared" si="148"/>
        <v>64336.623732053733</v>
      </c>
      <c r="AN1043" s="2">
        <f t="shared" si="149"/>
        <v>6.2510672710390351E-4</v>
      </c>
      <c r="AP1043" s="11">
        <f t="shared" si="150"/>
        <v>8.8932793155506267E-4</v>
      </c>
      <c r="AQ1043" s="11">
        <f t="shared" si="151"/>
        <v>1.8753201813117104E-4</v>
      </c>
      <c r="AR1043" s="11">
        <f t="shared" si="152"/>
        <v>1.0768599496862336E-3</v>
      </c>
    </row>
    <row r="1044" spans="2:44" x14ac:dyDescent="0.35">
      <c r="B1044" s="1">
        <v>44117</v>
      </c>
      <c r="C1044">
        <v>3820.38</v>
      </c>
      <c r="D1044" s="1">
        <v>44125</v>
      </c>
      <c r="E1044">
        <v>5.6</v>
      </c>
      <c r="F1044" s="1">
        <v>44111</v>
      </c>
      <c r="G1044">
        <v>138.76</v>
      </c>
      <c r="H1044" s="4">
        <f t="shared" si="144"/>
        <v>777055.99999999988</v>
      </c>
      <c r="I1044" s="5">
        <v>44117</v>
      </c>
      <c r="J1044" s="4">
        <v>6947.08</v>
      </c>
      <c r="K1044" s="4">
        <f t="shared" si="145"/>
        <v>69470.8</v>
      </c>
      <c r="L1044" s="1">
        <v>44117</v>
      </c>
      <c r="M1044">
        <v>2.89</v>
      </c>
      <c r="P1044" s="1">
        <v>44117</v>
      </c>
      <c r="Q1044">
        <v>3.37</v>
      </c>
      <c r="R1044" s="1">
        <v>44103</v>
      </c>
      <c r="S1044">
        <v>3.78</v>
      </c>
      <c r="X1044" s="1">
        <v>44117</v>
      </c>
      <c r="Y1044">
        <f>NETWORKDAYS(X1044,$Z$1,FERIADO!$A$2:$A$408)</f>
        <v>2579</v>
      </c>
      <c r="Z1044">
        <v>8.27</v>
      </c>
      <c r="AA1044" s="6">
        <f t="shared" si="146"/>
        <v>44344.457501019329</v>
      </c>
      <c r="AB1044" s="2">
        <f t="shared" si="147"/>
        <v>5.6114786144196337E-3</v>
      </c>
      <c r="AJ1044" s="1">
        <v>44117</v>
      </c>
      <c r="AK1044">
        <f>NETWORKDAYS(AJ1044,$AJ$1,FERIADO!$A$2:$A$408)</f>
        <v>1566</v>
      </c>
      <c r="AL1044">
        <v>7.38</v>
      </c>
      <c r="AM1044" s="6">
        <f t="shared" si="148"/>
        <v>64244.086690330543</v>
      </c>
      <c r="AN1044" s="2">
        <f t="shared" si="149"/>
        <v>4.017622236277176E-3</v>
      </c>
      <c r="AP1044" s="11">
        <f t="shared" si="150"/>
        <v>2.8057393072098168E-3</v>
      </c>
      <c r="AQ1044" s="11">
        <f t="shared" si="151"/>
        <v>1.2052866708831527E-3</v>
      </c>
      <c r="AR1044" s="11">
        <f t="shared" si="152"/>
        <v>4.0110259780929691E-3</v>
      </c>
    </row>
    <row r="1045" spans="2:44" x14ac:dyDescent="0.35">
      <c r="B1045" s="1">
        <v>44113</v>
      </c>
      <c r="C1045">
        <v>3792.12</v>
      </c>
      <c r="D1045" s="1">
        <v>44124</v>
      </c>
      <c r="E1045">
        <v>5.5823999999999998</v>
      </c>
      <c r="F1045" s="1">
        <v>44110</v>
      </c>
      <c r="G1045">
        <v>139.04900000000001</v>
      </c>
      <c r="H1045" s="4">
        <f t="shared" si="144"/>
        <v>776227.13760000002</v>
      </c>
      <c r="I1045" s="5">
        <v>44113</v>
      </c>
      <c r="J1045" s="4">
        <v>6917.75</v>
      </c>
      <c r="K1045" s="4">
        <f t="shared" si="145"/>
        <v>69177.5</v>
      </c>
      <c r="L1045" s="1">
        <v>44113</v>
      </c>
      <c r="M1045">
        <v>2.88</v>
      </c>
      <c r="P1045" s="1">
        <v>44113</v>
      </c>
      <c r="Q1045">
        <v>3.36</v>
      </c>
      <c r="R1045" s="1">
        <v>44102</v>
      </c>
      <c r="S1045">
        <v>3.65</v>
      </c>
      <c r="X1045" s="1">
        <v>44113</v>
      </c>
      <c r="Y1045">
        <f>NETWORKDAYS(X1045,$Z$1,FERIADO!$A$2:$A$408)</f>
        <v>2581</v>
      </c>
      <c r="Z1045">
        <v>8.4</v>
      </c>
      <c r="AA1045" s="6">
        <f t="shared" si="146"/>
        <v>43775.172647833257</v>
      </c>
      <c r="AB1045" s="2">
        <f t="shared" si="147"/>
        <v>5.4948385309349181E-4</v>
      </c>
      <c r="AJ1045" s="1">
        <v>44113</v>
      </c>
      <c r="AK1045">
        <f>NETWORKDAYS(AJ1045,$AJ$1,FERIADO!$A$2:$A$408)</f>
        <v>1568</v>
      </c>
      <c r="AL1045">
        <v>7.53</v>
      </c>
      <c r="AM1045" s="6">
        <f t="shared" si="148"/>
        <v>63652.510502107092</v>
      </c>
      <c r="AN1045" s="2">
        <f t="shared" si="149"/>
        <v>3.7657067309373397E-4</v>
      </c>
      <c r="AP1045" s="11">
        <f t="shared" si="150"/>
        <v>2.7474192654674591E-4</v>
      </c>
      <c r="AQ1045" s="11">
        <f t="shared" si="151"/>
        <v>1.1297120192812018E-4</v>
      </c>
      <c r="AR1045" s="11">
        <f t="shared" si="152"/>
        <v>3.8771312847486609E-4</v>
      </c>
    </row>
    <row r="1046" spans="2:44" x14ac:dyDescent="0.35">
      <c r="B1046" s="1">
        <v>44112</v>
      </c>
      <c r="C1046">
        <v>3758.28</v>
      </c>
      <c r="D1046" s="1">
        <v>44123</v>
      </c>
      <c r="E1046">
        <v>5.6017000000000001</v>
      </c>
      <c r="F1046" s="1">
        <v>44109</v>
      </c>
      <c r="G1046">
        <v>138.761</v>
      </c>
      <c r="H1046" s="4">
        <f t="shared" si="144"/>
        <v>777297.49369999999</v>
      </c>
      <c r="I1046" s="5">
        <v>44112</v>
      </c>
      <c r="J1046" s="4">
        <v>6995.76</v>
      </c>
      <c r="K1046" s="4">
        <f t="shared" si="145"/>
        <v>69957.600000000006</v>
      </c>
      <c r="L1046" s="1">
        <v>44112</v>
      </c>
      <c r="M1046">
        <v>2.9</v>
      </c>
      <c r="P1046" s="1">
        <v>44112</v>
      </c>
      <c r="Q1046">
        <v>3.39</v>
      </c>
      <c r="R1046" s="1">
        <v>44099</v>
      </c>
      <c r="S1046">
        <v>3.61</v>
      </c>
      <c r="X1046" s="1">
        <v>44112</v>
      </c>
      <c r="Y1046">
        <f>NETWORKDAYS(X1046,$Z$1,FERIADO!$A$2:$A$408)</f>
        <v>2582</v>
      </c>
      <c r="Z1046">
        <v>8.41</v>
      </c>
      <c r="AA1046" s="6">
        <f t="shared" si="146"/>
        <v>43719.821863629972</v>
      </c>
      <c r="AB1046" s="2">
        <f t="shared" si="147"/>
        <v>-1.5036142317391553E-3</v>
      </c>
      <c r="AJ1046" s="1">
        <v>44112</v>
      </c>
      <c r="AK1046">
        <f>NETWORKDAYS(AJ1046,$AJ$1,FERIADO!$A$2:$A$408)</f>
        <v>1569</v>
      </c>
      <c r="AL1046">
        <v>7.54</v>
      </c>
      <c r="AM1046" s="6">
        <f t="shared" si="148"/>
        <v>63597.342221498329</v>
      </c>
      <c r="AN1046" s="2">
        <f t="shared" si="149"/>
        <v>1.1314971649252238E-3</v>
      </c>
      <c r="AP1046" s="11">
        <f t="shared" si="150"/>
        <v>-7.5180711586957767E-4</v>
      </c>
      <c r="AQ1046" s="11">
        <f t="shared" si="151"/>
        <v>3.3944914947756712E-4</v>
      </c>
      <c r="AR1046" s="11">
        <f t="shared" si="152"/>
        <v>-4.1235796639201055E-4</v>
      </c>
    </row>
    <row r="1047" spans="2:44" x14ac:dyDescent="0.35">
      <c r="B1047" s="1">
        <v>44111</v>
      </c>
      <c r="C1047">
        <v>3715.93</v>
      </c>
      <c r="D1047" s="1">
        <v>44120</v>
      </c>
      <c r="E1047">
        <v>5.6219999999999999</v>
      </c>
      <c r="F1047" s="1">
        <v>44106</v>
      </c>
      <c r="G1047">
        <v>139.37100000000001</v>
      </c>
      <c r="H1047" s="4">
        <f t="shared" si="144"/>
        <v>783543.76199999999</v>
      </c>
      <c r="I1047" s="5">
        <v>44111</v>
      </c>
      <c r="J1047" s="4">
        <v>7008.87</v>
      </c>
      <c r="K1047" s="4">
        <f t="shared" si="145"/>
        <v>70088.7</v>
      </c>
      <c r="L1047" s="1">
        <v>44111</v>
      </c>
      <c r="M1047">
        <v>2.96</v>
      </c>
      <c r="P1047" s="1">
        <v>44111</v>
      </c>
      <c r="Q1047">
        <v>3.44</v>
      </c>
      <c r="R1047" s="1">
        <v>44098</v>
      </c>
      <c r="S1047">
        <v>3.55</v>
      </c>
      <c r="X1047" s="1">
        <v>44111</v>
      </c>
      <c r="Y1047">
        <f>NETWORKDAYS(X1047,$Z$1,FERIADO!$A$2:$A$408)</f>
        <v>2583</v>
      </c>
      <c r="Z1047">
        <v>8.3699999999999992</v>
      </c>
      <c r="AA1047" s="6">
        <f t="shared" si="146"/>
        <v>43871.450952083884</v>
      </c>
      <c r="AB1047" s="2">
        <f t="shared" si="147"/>
        <v>-1.0944307771204686E-3</v>
      </c>
      <c r="AJ1047" s="1">
        <v>44111</v>
      </c>
      <c r="AK1047">
        <f>NETWORKDAYS(AJ1047,$AJ$1,FERIADO!$A$2:$A$408)</f>
        <v>1570</v>
      </c>
      <c r="AL1047">
        <v>7.58</v>
      </c>
      <c r="AM1047" s="6">
        <f t="shared" si="148"/>
        <v>63431.863369390259</v>
      </c>
      <c r="AN1047" s="2">
        <f t="shared" si="149"/>
        <v>-6.2919120777171094E-4</v>
      </c>
      <c r="AP1047" s="11">
        <f t="shared" si="150"/>
        <v>-5.4721538856023432E-4</v>
      </c>
      <c r="AQ1047" s="11">
        <f t="shared" si="151"/>
        <v>-1.8875736233151327E-4</v>
      </c>
      <c r="AR1047" s="11">
        <f t="shared" si="152"/>
        <v>-7.3597275089174754E-4</v>
      </c>
    </row>
    <row r="1048" spans="2:44" x14ac:dyDescent="0.35">
      <c r="B1048" s="1">
        <v>44110</v>
      </c>
      <c r="C1048">
        <v>3634.98</v>
      </c>
      <c r="D1048" s="1">
        <v>44119</v>
      </c>
      <c r="E1048">
        <v>5.6166</v>
      </c>
      <c r="F1048" s="1">
        <v>44105</v>
      </c>
      <c r="G1048">
        <v>139.56200000000001</v>
      </c>
      <c r="H1048" s="4">
        <f t="shared" si="144"/>
        <v>783863.92920000001</v>
      </c>
      <c r="I1048" s="5">
        <v>44110</v>
      </c>
      <c r="J1048" s="4">
        <v>6984.53</v>
      </c>
      <c r="K1048" s="4">
        <f t="shared" si="145"/>
        <v>69845.3</v>
      </c>
      <c r="L1048" s="1">
        <v>44110</v>
      </c>
      <c r="M1048">
        <v>2.89</v>
      </c>
      <c r="P1048" s="1">
        <v>44110</v>
      </c>
      <c r="Q1048">
        <v>3.27</v>
      </c>
      <c r="R1048" s="1">
        <v>44097</v>
      </c>
      <c r="S1048">
        <v>3.7</v>
      </c>
      <c r="X1048" s="1">
        <v>44110</v>
      </c>
      <c r="Y1048">
        <f>NETWORKDAYS(X1048,$Z$1,FERIADO!$A$2:$A$408)</f>
        <v>2584</v>
      </c>
      <c r="Z1048">
        <v>8.34</v>
      </c>
      <c r="AA1048" s="6">
        <f t="shared" si="146"/>
        <v>43982.147305522856</v>
      </c>
      <c r="AB1048" s="2">
        <f t="shared" si="147"/>
        <v>-4.3874716982400305E-3</v>
      </c>
      <c r="AJ1048" s="1">
        <v>44110</v>
      </c>
      <c r="AK1048">
        <f>NETWORKDAYS(AJ1048,$AJ$1,FERIADO!$A$2:$A$408)</f>
        <v>1571</v>
      </c>
      <c r="AL1048">
        <v>7.55</v>
      </c>
      <c r="AM1048" s="6">
        <f t="shared" si="148"/>
        <v>63523.827916593262</v>
      </c>
      <c r="AN1048" s="2">
        <f t="shared" si="149"/>
        <v>-2.6468653334654211E-3</v>
      </c>
      <c r="AP1048" s="11">
        <f t="shared" si="150"/>
        <v>-2.1937358491200152E-3</v>
      </c>
      <c r="AQ1048" s="11">
        <f t="shared" si="151"/>
        <v>-7.9405960003962634E-4</v>
      </c>
      <c r="AR1048" s="11">
        <f t="shared" si="152"/>
        <v>-2.9877954491596415E-3</v>
      </c>
    </row>
    <row r="1049" spans="2:44" x14ac:dyDescent="0.35">
      <c r="B1049" s="1">
        <v>44109</v>
      </c>
      <c r="C1049">
        <v>3704.63</v>
      </c>
      <c r="D1049" s="1">
        <v>44118</v>
      </c>
      <c r="E1049">
        <v>5.5669000000000004</v>
      </c>
      <c r="F1049" s="1">
        <v>44104</v>
      </c>
      <c r="G1049">
        <v>139.52600000000001</v>
      </c>
      <c r="H1049" s="4">
        <f t="shared" si="144"/>
        <v>776727.28940000013</v>
      </c>
      <c r="I1049" s="5">
        <v>44109</v>
      </c>
      <c r="J1049" s="4">
        <v>6965.18</v>
      </c>
      <c r="K1049" s="4">
        <f t="shared" si="145"/>
        <v>69651.8</v>
      </c>
      <c r="L1049" s="1">
        <v>44109</v>
      </c>
      <c r="M1049">
        <v>2.85</v>
      </c>
      <c r="P1049" s="1">
        <v>44109</v>
      </c>
      <c r="Q1049">
        <v>3.36</v>
      </c>
      <c r="R1049" s="1">
        <v>44096</v>
      </c>
      <c r="S1049">
        <v>3.61</v>
      </c>
      <c r="X1049" s="1">
        <v>44109</v>
      </c>
      <c r="Y1049">
        <f>NETWORKDAYS(X1049,$Z$1,FERIADO!$A$2:$A$408)</f>
        <v>2585</v>
      </c>
      <c r="Z1049">
        <v>8.23</v>
      </c>
      <c r="AA1049" s="6">
        <f t="shared" si="146"/>
        <v>44428.730142389315</v>
      </c>
      <c r="AB1049" s="2">
        <f t="shared" si="147"/>
        <v>6.7199056938492523E-3</v>
      </c>
      <c r="AJ1049" s="1">
        <v>44109</v>
      </c>
      <c r="AK1049">
        <f>NETWORKDAYS(AJ1049,$AJ$1,FERIADO!$A$2:$A$408)</f>
        <v>1572</v>
      </c>
      <c r="AL1049">
        <v>7.44</v>
      </c>
      <c r="AM1049" s="6">
        <f t="shared" si="148"/>
        <v>63912.16449525152</v>
      </c>
      <c r="AN1049" s="2">
        <f t="shared" si="149"/>
        <v>4.1577433972887334E-3</v>
      </c>
      <c r="AP1049" s="11">
        <f t="shared" si="150"/>
        <v>3.3599528469246262E-3</v>
      </c>
      <c r="AQ1049" s="11">
        <f t="shared" si="151"/>
        <v>1.24732301918662E-3</v>
      </c>
      <c r="AR1049" s="11">
        <f t="shared" si="152"/>
        <v>4.6072758661112462E-3</v>
      </c>
    </row>
    <row r="1050" spans="2:44" x14ac:dyDescent="0.35">
      <c r="B1050" s="1">
        <v>44106</v>
      </c>
      <c r="C1050">
        <v>3647.73</v>
      </c>
      <c r="D1050" s="1">
        <v>44117</v>
      </c>
      <c r="E1050">
        <v>5.5853999999999999</v>
      </c>
      <c r="F1050" s="1">
        <v>44103</v>
      </c>
      <c r="G1050">
        <v>139.714</v>
      </c>
      <c r="H1050" s="4">
        <f t="shared" si="144"/>
        <v>780358.57559999998</v>
      </c>
      <c r="I1050" s="5">
        <v>44106</v>
      </c>
      <c r="J1050" s="4">
        <v>7103.11</v>
      </c>
      <c r="K1050" s="4">
        <f t="shared" si="145"/>
        <v>71031.099999999991</v>
      </c>
      <c r="L1050" s="1">
        <v>44106</v>
      </c>
      <c r="M1050">
        <v>2.94</v>
      </c>
      <c r="P1050" s="1">
        <v>44106</v>
      </c>
      <c r="Q1050">
        <v>3.44</v>
      </c>
      <c r="R1050" s="1">
        <v>44095</v>
      </c>
      <c r="S1050">
        <v>3.69</v>
      </c>
      <c r="X1050" s="1">
        <v>44106</v>
      </c>
      <c r="Y1050">
        <f>NETWORKDAYS(X1050,$Z$1,FERIADO!$A$2:$A$408)</f>
        <v>2586</v>
      </c>
      <c r="Z1050">
        <v>8.39</v>
      </c>
      <c r="AA1050" s="6">
        <f t="shared" si="146"/>
        <v>43746.568733410444</v>
      </c>
      <c r="AB1050" s="2">
        <f t="shared" si="147"/>
        <v>-2.3298206348632811E-3</v>
      </c>
      <c r="AJ1050" s="1">
        <v>44106</v>
      </c>
      <c r="AK1050">
        <f>NETWORKDAYS(AJ1050,$AJ$1,FERIADO!$A$2:$A$408)</f>
        <v>1573</v>
      </c>
      <c r="AL1050">
        <v>7.6</v>
      </c>
      <c r="AM1050" s="6">
        <f t="shared" si="148"/>
        <v>63303.217230602939</v>
      </c>
      <c r="AN1050" s="2">
        <f t="shared" si="149"/>
        <v>-2.395952661175696E-3</v>
      </c>
      <c r="AP1050" s="11">
        <f t="shared" si="150"/>
        <v>-1.1649103174316406E-3</v>
      </c>
      <c r="AQ1050" s="11">
        <f t="shared" si="151"/>
        <v>-7.1878579835270881E-4</v>
      </c>
      <c r="AR1050" s="11">
        <f t="shared" si="152"/>
        <v>-1.8836961157843494E-3</v>
      </c>
    </row>
    <row r="1051" spans="2:44" x14ac:dyDescent="0.35">
      <c r="B1051" s="1">
        <v>44105</v>
      </c>
      <c r="C1051">
        <v>3674.56</v>
      </c>
      <c r="D1051" s="1">
        <v>44113</v>
      </c>
      <c r="E1051">
        <v>5.5387000000000004</v>
      </c>
      <c r="F1051" s="1">
        <v>44102</v>
      </c>
      <c r="G1051">
        <v>139.68199999999999</v>
      </c>
      <c r="H1051" s="4">
        <f t="shared" si="144"/>
        <v>773656.69339999999</v>
      </c>
      <c r="I1051" s="5">
        <v>44105</v>
      </c>
      <c r="J1051" s="4">
        <v>7048.19</v>
      </c>
      <c r="K1051" s="4">
        <f t="shared" si="145"/>
        <v>70481.899999999994</v>
      </c>
      <c r="L1051" s="1">
        <v>44105</v>
      </c>
      <c r="M1051">
        <v>2.81</v>
      </c>
      <c r="P1051" s="1">
        <v>44105</v>
      </c>
      <c r="Q1051">
        <v>3.31</v>
      </c>
      <c r="R1051" s="1">
        <v>44092</v>
      </c>
      <c r="S1051">
        <v>3.67</v>
      </c>
      <c r="X1051" s="1">
        <v>44105</v>
      </c>
      <c r="Y1051">
        <f>NETWORKDAYS(X1051,$Z$1,FERIADO!$A$2:$A$408)</f>
        <v>2587</v>
      </c>
      <c r="Z1051">
        <v>8.33</v>
      </c>
      <c r="AA1051" s="6">
        <f t="shared" si="146"/>
        <v>43981.882644385652</v>
      </c>
      <c r="AB1051" s="2">
        <f t="shared" si="147"/>
        <v>5.4959030990774235E-4</v>
      </c>
      <c r="AJ1051" s="1">
        <v>44105</v>
      </c>
      <c r="AK1051">
        <f>NETWORKDAYS(AJ1051,$AJ$1,FERIADO!$A$2:$A$408)</f>
        <v>1574</v>
      </c>
      <c r="AL1051">
        <v>7.5</v>
      </c>
      <c r="AM1051" s="6">
        <f t="shared" si="148"/>
        <v>63653.418915632574</v>
      </c>
      <c r="AN1051" s="2">
        <f t="shared" si="149"/>
        <v>-3.804038026797268E-4</v>
      </c>
      <c r="AP1051" s="11">
        <f t="shared" si="150"/>
        <v>2.7479515495387117E-4</v>
      </c>
      <c r="AQ1051" s="11">
        <f t="shared" si="151"/>
        <v>-1.1412114080391803E-4</v>
      </c>
      <c r="AR1051" s="11">
        <f t="shared" si="152"/>
        <v>1.6067401414995315E-4</v>
      </c>
    </row>
    <row r="1052" spans="2:44" x14ac:dyDescent="0.35">
      <c r="B1052" s="1">
        <v>44104</v>
      </c>
      <c r="C1052">
        <v>3638.06</v>
      </c>
      <c r="D1052" s="1">
        <v>44112</v>
      </c>
      <c r="E1052">
        <v>5.6193999999999997</v>
      </c>
      <c r="F1052" s="1">
        <v>44099</v>
      </c>
      <c r="G1052">
        <v>139.65</v>
      </c>
      <c r="H1052" s="4">
        <f t="shared" si="144"/>
        <v>784749.21</v>
      </c>
      <c r="I1052" s="5">
        <v>44104</v>
      </c>
      <c r="J1052" s="4">
        <v>7010.12</v>
      </c>
      <c r="K1052" s="4">
        <f t="shared" si="145"/>
        <v>70101.2</v>
      </c>
      <c r="L1052" s="1">
        <v>44104</v>
      </c>
      <c r="M1052">
        <v>2.81</v>
      </c>
      <c r="P1052" s="1">
        <v>44104</v>
      </c>
      <c r="Q1052">
        <v>3.3</v>
      </c>
      <c r="R1052" s="1">
        <v>44091</v>
      </c>
      <c r="S1052">
        <v>3.48</v>
      </c>
      <c r="X1052" s="1">
        <v>44104</v>
      </c>
      <c r="Y1052">
        <f>NETWORKDAYS(X1052,$Z$1,FERIADO!$A$2:$A$408)</f>
        <v>2588</v>
      </c>
      <c r="Z1052">
        <v>8.34</v>
      </c>
      <c r="AA1052" s="6">
        <f t="shared" si="146"/>
        <v>43926.259721723705</v>
      </c>
      <c r="AB1052" s="2">
        <f t="shared" si="147"/>
        <v>5.4887424122814551E-3</v>
      </c>
      <c r="AJ1052" s="1">
        <v>44104</v>
      </c>
      <c r="AK1052">
        <f>NETWORKDAYS(AJ1052,$AJ$1,FERIADO!$A$2:$A$408)</f>
        <v>1575</v>
      </c>
      <c r="AL1052">
        <v>7.48</v>
      </c>
      <c r="AM1052" s="6">
        <f t="shared" si="148"/>
        <v>63709.198142366207</v>
      </c>
      <c r="AN1052" s="2">
        <f t="shared" si="149"/>
        <v>3.1550739796931486E-3</v>
      </c>
      <c r="AP1052" s="11">
        <f t="shared" si="150"/>
        <v>2.7443712061407275E-3</v>
      </c>
      <c r="AQ1052" s="11">
        <f t="shared" si="151"/>
        <v>9.4652219390794459E-4</v>
      </c>
      <c r="AR1052" s="11">
        <f t="shared" si="152"/>
        <v>3.6908934000486719E-3</v>
      </c>
    </row>
    <row r="1053" spans="2:44" x14ac:dyDescent="0.35">
      <c r="B1053" s="1">
        <v>44103</v>
      </c>
      <c r="C1053">
        <v>3632.48</v>
      </c>
      <c r="D1053" s="1">
        <v>44111</v>
      </c>
      <c r="E1053">
        <v>5.6012000000000004</v>
      </c>
      <c r="F1053" s="1">
        <v>44098</v>
      </c>
      <c r="G1053">
        <v>139.53899999999999</v>
      </c>
      <c r="H1053" s="4">
        <f t="shared" si="144"/>
        <v>781585.84680000006</v>
      </c>
      <c r="I1053" s="5">
        <v>44103</v>
      </c>
      <c r="J1053" s="4">
        <v>7033.83</v>
      </c>
      <c r="K1053" s="4">
        <f t="shared" si="145"/>
        <v>70338.3</v>
      </c>
      <c r="L1053" s="1">
        <v>44103</v>
      </c>
      <c r="M1053">
        <v>2.92</v>
      </c>
      <c r="P1053" s="1">
        <v>44103</v>
      </c>
      <c r="Q1053">
        <v>3.43</v>
      </c>
      <c r="R1053" s="1">
        <v>44090</v>
      </c>
      <c r="S1053">
        <v>3.46</v>
      </c>
      <c r="X1053" s="1">
        <v>44103</v>
      </c>
      <c r="Y1053">
        <f>NETWORKDAYS(X1053,$Z$1,FERIADO!$A$2:$A$408)</f>
        <v>2589</v>
      </c>
      <c r="Z1053">
        <v>8.4700000000000006</v>
      </c>
      <c r="AA1053" s="6">
        <f t="shared" si="146"/>
        <v>43374.599991556926</v>
      </c>
      <c r="AB1053" s="2">
        <f t="shared" si="147"/>
        <v>1.3744584604021995E-3</v>
      </c>
      <c r="AJ1053" s="1">
        <v>44103</v>
      </c>
      <c r="AK1053">
        <f>NETWORKDAYS(AJ1053,$AJ$1,FERIADO!$A$2:$A$408)</f>
        <v>1576</v>
      </c>
      <c r="AL1053">
        <v>7.6</v>
      </c>
      <c r="AM1053" s="6">
        <f t="shared" si="148"/>
        <v>63248.0390319867</v>
      </c>
      <c r="AN1053" s="2">
        <f t="shared" si="149"/>
        <v>6.3135715379165252E-4</v>
      </c>
      <c r="AP1053" s="11">
        <f t="shared" si="150"/>
        <v>6.8722923020109975E-4</v>
      </c>
      <c r="AQ1053" s="11">
        <f t="shared" si="151"/>
        <v>1.8940714613749574E-4</v>
      </c>
      <c r="AR1053" s="11">
        <f t="shared" si="152"/>
        <v>8.7663637633859546E-4</v>
      </c>
    </row>
    <row r="1054" spans="2:44" x14ac:dyDescent="0.35">
      <c r="B1054" s="1">
        <v>44102</v>
      </c>
      <c r="C1054">
        <v>3644.54</v>
      </c>
      <c r="D1054" s="1">
        <v>44110</v>
      </c>
      <c r="E1054">
        <v>5.5198999999999998</v>
      </c>
      <c r="F1054" s="1">
        <v>44097</v>
      </c>
      <c r="G1054">
        <v>139.51499999999999</v>
      </c>
      <c r="H1054" s="4">
        <f t="shared" si="144"/>
        <v>770108.84849999996</v>
      </c>
      <c r="I1054" s="5">
        <v>44102</v>
      </c>
      <c r="J1054" s="4">
        <v>7064.41</v>
      </c>
      <c r="K1054" s="4">
        <f t="shared" si="145"/>
        <v>70644.100000000006</v>
      </c>
      <c r="L1054" s="1">
        <v>44102</v>
      </c>
      <c r="M1054">
        <v>2.9</v>
      </c>
      <c r="P1054" s="1">
        <v>44102</v>
      </c>
      <c r="Q1054">
        <v>3.41</v>
      </c>
      <c r="R1054" s="1">
        <v>44089</v>
      </c>
      <c r="S1054">
        <v>3.5</v>
      </c>
      <c r="X1054" s="1">
        <v>44102</v>
      </c>
      <c r="Y1054">
        <f>NETWORKDAYS(X1054,$Z$1,FERIADO!$A$2:$A$408)</f>
        <v>2590</v>
      </c>
      <c r="Z1054">
        <v>8.5</v>
      </c>
      <c r="AA1054" s="6">
        <f t="shared" si="146"/>
        <v>43237.544720685277</v>
      </c>
      <c r="AB1054" s="2">
        <f t="shared" si="147"/>
        <v>-1.7178001134019974E-2</v>
      </c>
      <c r="AJ1054" s="1">
        <v>44102</v>
      </c>
      <c r="AK1054">
        <f>NETWORKDAYS(AJ1054,$AJ$1,FERIADO!$A$2:$A$408)</f>
        <v>1577</v>
      </c>
      <c r="AL1054">
        <v>7.62</v>
      </c>
      <c r="AM1054" s="6">
        <f t="shared" si="148"/>
        <v>63156.158771215938</v>
      </c>
      <c r="AN1054" s="2">
        <f t="shared" si="149"/>
        <v>-1.0253748063877089E-2</v>
      </c>
      <c r="AP1054" s="11">
        <f t="shared" si="150"/>
        <v>-8.589000567009987E-3</v>
      </c>
      <c r="AQ1054" s="11">
        <f t="shared" si="151"/>
        <v>-3.0761244191631269E-3</v>
      </c>
      <c r="AR1054" s="11">
        <f t="shared" si="152"/>
        <v>-1.1665124986173114E-2</v>
      </c>
    </row>
    <row r="1055" spans="2:44" x14ac:dyDescent="0.35">
      <c r="B1055" s="1">
        <v>44099</v>
      </c>
      <c r="C1055">
        <v>3587.05</v>
      </c>
      <c r="D1055" s="1">
        <v>44109</v>
      </c>
      <c r="E1055">
        <v>5.6292999999999997</v>
      </c>
      <c r="F1055" s="1">
        <v>44096</v>
      </c>
      <c r="G1055">
        <v>139.619</v>
      </c>
      <c r="H1055" s="4">
        <f t="shared" si="144"/>
        <v>785957.23670000001</v>
      </c>
      <c r="I1055" s="5">
        <v>44099</v>
      </c>
      <c r="J1055" s="4">
        <v>6942.71</v>
      </c>
      <c r="K1055" s="4">
        <f t="shared" si="145"/>
        <v>69427.100000000006</v>
      </c>
      <c r="L1055" s="1">
        <v>44099</v>
      </c>
      <c r="M1055">
        <v>2.7</v>
      </c>
      <c r="P1055" s="1">
        <v>44099</v>
      </c>
      <c r="Q1055">
        <v>3.23</v>
      </c>
      <c r="R1055" s="1">
        <v>44088</v>
      </c>
      <c r="S1055">
        <v>3.37</v>
      </c>
      <c r="X1055" s="1">
        <v>44099</v>
      </c>
      <c r="Y1055">
        <f>NETWORKDAYS(X1055,$Z$1,FERIADO!$A$2:$A$408)</f>
        <v>2591</v>
      </c>
      <c r="Z1055">
        <v>8.08</v>
      </c>
      <c r="AA1055" s="6">
        <f t="shared" si="146"/>
        <v>44982.027356064274</v>
      </c>
      <c r="AB1055" s="2">
        <f t="shared" si="147"/>
        <v>-6.9278170465230445E-4</v>
      </c>
      <c r="AJ1055" s="1">
        <v>44099</v>
      </c>
      <c r="AK1055">
        <f>NETWORKDAYS(AJ1055,$AJ$1,FERIADO!$A$2:$A$408)</f>
        <v>1578</v>
      </c>
      <c r="AL1055">
        <v>7.21</v>
      </c>
      <c r="AM1055" s="6">
        <f t="shared" si="148"/>
        <v>64665.025910073018</v>
      </c>
      <c r="AN1055" s="2">
        <f t="shared" si="149"/>
        <v>-3.8771159254964065E-4</v>
      </c>
      <c r="AP1055" s="11">
        <f t="shared" si="150"/>
        <v>-3.4639085232615222E-4</v>
      </c>
      <c r="AQ1055" s="11">
        <f t="shared" si="151"/>
        <v>-1.1631347776489219E-4</v>
      </c>
      <c r="AR1055" s="11">
        <f t="shared" si="152"/>
        <v>-4.6270433009104443E-4</v>
      </c>
    </row>
    <row r="1056" spans="2:44" x14ac:dyDescent="0.35">
      <c r="B1056" s="1">
        <v>44098</v>
      </c>
      <c r="C1056">
        <v>3538.8</v>
      </c>
      <c r="D1056" s="1">
        <v>44106</v>
      </c>
      <c r="E1056">
        <v>5.6458000000000004</v>
      </c>
      <c r="F1056" s="1">
        <v>44095</v>
      </c>
      <c r="G1056">
        <v>139.542</v>
      </c>
      <c r="H1056" s="4">
        <f t="shared" si="144"/>
        <v>787826.22360000003</v>
      </c>
      <c r="I1056" s="5">
        <v>44098</v>
      </c>
      <c r="J1056" s="4">
        <v>6876.55</v>
      </c>
      <c r="K1056" s="4">
        <f t="shared" si="145"/>
        <v>68765.5</v>
      </c>
      <c r="L1056" s="1">
        <v>44098</v>
      </c>
      <c r="M1056">
        <v>2.64</v>
      </c>
      <c r="P1056" s="1">
        <v>44098</v>
      </c>
      <c r="Q1056">
        <v>3.19</v>
      </c>
      <c r="R1056" s="1">
        <v>44085</v>
      </c>
      <c r="S1056">
        <v>3.39</v>
      </c>
      <c r="X1056" s="1">
        <v>44098</v>
      </c>
      <c r="Y1056">
        <f>NETWORKDAYS(X1056,$Z$1,FERIADO!$A$2:$A$408)</f>
        <v>2592</v>
      </c>
      <c r="Z1056">
        <v>8.06</v>
      </c>
      <c r="AA1056" s="6">
        <f t="shared" si="146"/>
        <v>45053.839445159036</v>
      </c>
      <c r="AB1056" s="2">
        <f t="shared" si="147"/>
        <v>8.8095795466353877E-3</v>
      </c>
      <c r="AJ1056" s="1">
        <v>44098</v>
      </c>
      <c r="AK1056">
        <f>NETWORKDAYS(AJ1056,$AJ$1,FERIADO!$A$2:$A$408)</f>
        <v>1579</v>
      </c>
      <c r="AL1056">
        <v>7.19</v>
      </c>
      <c r="AM1056" s="6">
        <f t="shared" si="148"/>
        <v>64722.78067245803</v>
      </c>
      <c r="AN1056" s="2">
        <f t="shared" si="149"/>
        <v>5.449090350748022E-3</v>
      </c>
      <c r="AP1056" s="11">
        <f t="shared" si="150"/>
        <v>4.4047897733176938E-3</v>
      </c>
      <c r="AQ1056" s="11">
        <f t="shared" si="151"/>
        <v>1.6347271052244065E-3</v>
      </c>
      <c r="AR1056" s="11">
        <f t="shared" si="152"/>
        <v>6.0395168785421002E-3</v>
      </c>
    </row>
    <row r="1057" spans="2:44" x14ac:dyDescent="0.35">
      <c r="B1057" s="1">
        <v>44097</v>
      </c>
      <c r="C1057">
        <v>3527.7</v>
      </c>
      <c r="D1057" s="1">
        <v>44105</v>
      </c>
      <c r="E1057">
        <v>5.6435000000000004</v>
      </c>
      <c r="F1057" s="1">
        <v>44092</v>
      </c>
      <c r="G1057">
        <v>139.40600000000001</v>
      </c>
      <c r="H1057" s="4">
        <f t="shared" si="144"/>
        <v>786737.76100000006</v>
      </c>
      <c r="I1057" s="5">
        <v>44097</v>
      </c>
      <c r="J1057" s="4">
        <v>6983.28</v>
      </c>
      <c r="K1057" s="4">
        <f t="shared" si="145"/>
        <v>69832.800000000003</v>
      </c>
      <c r="L1057" s="1">
        <v>44097</v>
      </c>
      <c r="M1057">
        <v>2.78</v>
      </c>
      <c r="P1057" s="1">
        <v>44097</v>
      </c>
      <c r="Q1057">
        <v>3.32</v>
      </c>
      <c r="R1057" s="1">
        <v>44084</v>
      </c>
      <c r="S1057">
        <v>3.34</v>
      </c>
      <c r="X1057" s="1">
        <v>44097</v>
      </c>
      <c r="Y1057">
        <f>NETWORKDAYS(X1057,$Z$1,FERIADO!$A$2:$A$408)</f>
        <v>2593</v>
      </c>
      <c r="Z1057">
        <v>8.27</v>
      </c>
      <c r="AA1057" s="6">
        <f t="shared" si="146"/>
        <v>44149.137897584806</v>
      </c>
      <c r="AB1057" s="2">
        <f t="shared" si="147"/>
        <v>-5.6474131404418027E-3</v>
      </c>
      <c r="AJ1057" s="1">
        <v>44097</v>
      </c>
      <c r="AK1057">
        <f>NETWORKDAYS(AJ1057,$AJ$1,FERIADO!$A$2:$A$408)</f>
        <v>1580</v>
      </c>
      <c r="AL1057">
        <v>7.4</v>
      </c>
      <c r="AM1057" s="6">
        <f t="shared" si="148"/>
        <v>63915.777636170285</v>
      </c>
      <c r="AN1057" s="2">
        <f t="shared" si="149"/>
        <v>-3.4310095675526421E-3</v>
      </c>
      <c r="AP1057" s="11">
        <f t="shared" si="150"/>
        <v>-2.8237065702209014E-3</v>
      </c>
      <c r="AQ1057" s="11">
        <f t="shared" si="151"/>
        <v>-1.0293028702657925E-3</v>
      </c>
      <c r="AR1057" s="11">
        <f t="shared" si="152"/>
        <v>-3.8530094404866941E-3</v>
      </c>
    </row>
    <row r="1058" spans="2:44" x14ac:dyDescent="0.35">
      <c r="B1058" s="1">
        <v>44096</v>
      </c>
      <c r="C1058">
        <v>3597.62</v>
      </c>
      <c r="D1058" s="1">
        <v>44104</v>
      </c>
      <c r="E1058">
        <v>5.6401000000000003</v>
      </c>
      <c r="F1058" s="1">
        <v>44091</v>
      </c>
      <c r="G1058">
        <v>139.44200000000001</v>
      </c>
      <c r="H1058" s="4">
        <f t="shared" si="144"/>
        <v>786466.82420000015</v>
      </c>
      <c r="I1058" s="5">
        <v>44096</v>
      </c>
      <c r="J1058" s="4">
        <v>6830.37</v>
      </c>
      <c r="K1058" s="4">
        <f t="shared" si="145"/>
        <v>68303.7</v>
      </c>
      <c r="L1058" s="1">
        <v>44096</v>
      </c>
      <c r="M1058">
        <v>2.7</v>
      </c>
      <c r="P1058" s="1">
        <v>44096</v>
      </c>
      <c r="Q1058">
        <v>3.25</v>
      </c>
      <c r="R1058" s="1">
        <v>44082</v>
      </c>
      <c r="S1058">
        <v>3.33</v>
      </c>
      <c r="X1058" s="1">
        <v>44096</v>
      </c>
      <c r="Y1058">
        <f>NETWORKDAYS(X1058,$Z$1,FERIADO!$A$2:$A$408)</f>
        <v>2594</v>
      </c>
      <c r="Z1058">
        <v>8.1300000000000008</v>
      </c>
      <c r="AA1058" s="6">
        <f t="shared" si="146"/>
        <v>44726.986733418642</v>
      </c>
      <c r="AB1058" s="2">
        <f t="shared" si="147"/>
        <v>3.0289331054899815E-3</v>
      </c>
      <c r="AJ1058" s="1">
        <v>44096</v>
      </c>
      <c r="AK1058">
        <f>NETWORKDAYS(AJ1058,$AJ$1,FERIADO!$A$2:$A$408)</f>
        <v>1581</v>
      </c>
      <c r="AL1058">
        <v>7.26</v>
      </c>
      <c r="AM1058" s="6">
        <f t="shared" si="148"/>
        <v>64422.724369818956</v>
      </c>
      <c r="AN1058" s="2">
        <f t="shared" si="149"/>
        <v>2.1535188140608436E-3</v>
      </c>
      <c r="AP1058" s="11">
        <f t="shared" si="150"/>
        <v>1.5144665527449907E-3</v>
      </c>
      <c r="AQ1058" s="11">
        <f t="shared" si="151"/>
        <v>6.4605564421825305E-4</v>
      </c>
      <c r="AR1058" s="11">
        <f t="shared" si="152"/>
        <v>2.1605221969632437E-3</v>
      </c>
    </row>
    <row r="1059" spans="2:44" x14ac:dyDescent="0.35">
      <c r="B1059" s="1">
        <v>44095</v>
      </c>
      <c r="C1059">
        <v>3579.01</v>
      </c>
      <c r="D1059" s="1">
        <v>44103</v>
      </c>
      <c r="E1059">
        <v>5.6520999999999999</v>
      </c>
      <c r="F1059" s="1">
        <v>44090</v>
      </c>
      <c r="G1059">
        <v>139.35499999999999</v>
      </c>
      <c r="H1059" s="4">
        <f t="shared" si="144"/>
        <v>787648.39549999987</v>
      </c>
      <c r="I1059" s="5">
        <v>44095</v>
      </c>
      <c r="J1059" s="4">
        <v>6763.59</v>
      </c>
      <c r="K1059" s="4">
        <f t="shared" si="145"/>
        <v>67635.899999999994</v>
      </c>
      <c r="L1059" s="1">
        <v>44095</v>
      </c>
      <c r="M1059">
        <v>2.76</v>
      </c>
      <c r="P1059" s="1">
        <v>44095</v>
      </c>
      <c r="Q1059">
        <v>3.31</v>
      </c>
      <c r="R1059" s="1">
        <v>44077</v>
      </c>
      <c r="S1059">
        <v>3.28</v>
      </c>
      <c r="X1059" s="1">
        <v>44095</v>
      </c>
      <c r="Y1059">
        <f>NETWORKDAYS(X1059,$Z$1,FERIADO!$A$2:$A$408)</f>
        <v>2595</v>
      </c>
      <c r="Z1059">
        <v>8.1999999999999993</v>
      </c>
      <c r="AA1059" s="6">
        <f t="shared" si="146"/>
        <v>44416.129179737487</v>
      </c>
      <c r="AB1059" s="2">
        <f t="shared" si="147"/>
        <v>-2.3457838792153812E-3</v>
      </c>
      <c r="AJ1059" s="1">
        <v>44095</v>
      </c>
      <c r="AK1059">
        <f>NETWORKDAYS(AJ1059,$AJ$1,FERIADO!$A$2:$A$408)</f>
        <v>1582</v>
      </c>
      <c r="AL1059">
        <v>7.34</v>
      </c>
      <c r="AM1059" s="6">
        <f t="shared" si="148"/>
        <v>64104.064678386567</v>
      </c>
      <c r="AN1059" s="2">
        <f t="shared" si="149"/>
        <v>-1.4033021316686633E-3</v>
      </c>
      <c r="AP1059" s="11">
        <f t="shared" si="150"/>
        <v>-1.1728919396076906E-3</v>
      </c>
      <c r="AQ1059" s="11">
        <f t="shared" si="151"/>
        <v>-4.2099063950059901E-4</v>
      </c>
      <c r="AR1059" s="11">
        <f t="shared" si="152"/>
        <v>-1.5938825791082896E-3</v>
      </c>
    </row>
    <row r="1060" spans="2:44" x14ac:dyDescent="0.35">
      <c r="B1060" s="1">
        <v>44092</v>
      </c>
      <c r="C1060">
        <v>3613.15</v>
      </c>
      <c r="D1060" s="1">
        <v>44102</v>
      </c>
      <c r="E1060">
        <v>5.5852000000000004</v>
      </c>
      <c r="F1060" s="1">
        <v>44089</v>
      </c>
      <c r="G1060">
        <v>139.49199999999999</v>
      </c>
      <c r="H1060" s="4">
        <f t="shared" si="144"/>
        <v>779090.71840000001</v>
      </c>
      <c r="I1060" s="5">
        <v>44092</v>
      </c>
      <c r="J1060" s="4">
        <v>6729.89</v>
      </c>
      <c r="K1060" s="4">
        <f t="shared" si="145"/>
        <v>67298.900000000009</v>
      </c>
      <c r="L1060" s="1">
        <v>44092</v>
      </c>
      <c r="M1060">
        <v>2.74</v>
      </c>
      <c r="P1060" s="1">
        <v>44092</v>
      </c>
      <c r="Q1060">
        <v>3.28</v>
      </c>
      <c r="R1060" s="1">
        <v>44075</v>
      </c>
      <c r="S1060">
        <v>3.26</v>
      </c>
      <c r="X1060" s="1">
        <v>44092</v>
      </c>
      <c r="Y1060">
        <f>NETWORKDAYS(X1060,$Z$1,FERIADO!$A$2:$A$408)</f>
        <v>2596</v>
      </c>
      <c r="Z1060">
        <v>8.14</v>
      </c>
      <c r="AA1060" s="6">
        <f t="shared" si="146"/>
        <v>44656.686076979764</v>
      </c>
      <c r="AB1060" s="2">
        <f t="shared" si="147"/>
        <v>-1.0638844226745724E-2</v>
      </c>
      <c r="AJ1060" s="1">
        <v>44092</v>
      </c>
      <c r="AK1060">
        <f>NETWORKDAYS(AJ1060,$AJ$1,FERIADO!$A$2:$A$408)</f>
        <v>1583</v>
      </c>
      <c r="AL1060">
        <v>7.28</v>
      </c>
      <c r="AM1060" s="6">
        <f t="shared" si="148"/>
        <v>64311.534188531805</v>
      </c>
      <c r="AN1060" s="2">
        <f t="shared" si="149"/>
        <v>-6.7579844421811171E-3</v>
      </c>
      <c r="AP1060" s="11">
        <f t="shared" si="150"/>
        <v>-5.3194221133728622E-3</v>
      </c>
      <c r="AQ1060" s="11">
        <f t="shared" si="151"/>
        <v>-2.027395332654335E-3</v>
      </c>
      <c r="AR1060" s="11">
        <f t="shared" si="152"/>
        <v>-7.3468174460271972E-3</v>
      </c>
    </row>
    <row r="1061" spans="2:44" x14ac:dyDescent="0.35">
      <c r="B1061" s="1">
        <v>44091</v>
      </c>
      <c r="C1061">
        <v>3665.51</v>
      </c>
      <c r="D1061" s="1">
        <v>44099</v>
      </c>
      <c r="E1061">
        <v>5.5660999999999996</v>
      </c>
      <c r="F1061" s="1">
        <v>44088</v>
      </c>
      <c r="G1061">
        <v>139.55199999999999</v>
      </c>
      <c r="H1061" s="4">
        <f t="shared" si="144"/>
        <v>776760.38719999988</v>
      </c>
      <c r="I1061" s="5">
        <v>44091</v>
      </c>
      <c r="J1061" s="4">
        <v>6540.15</v>
      </c>
      <c r="K1061" s="4">
        <f t="shared" si="145"/>
        <v>65401.5</v>
      </c>
      <c r="L1061" s="1">
        <v>44091</v>
      </c>
      <c r="M1061">
        <v>2.5299999999999998</v>
      </c>
      <c r="P1061" s="1">
        <v>44091</v>
      </c>
      <c r="Q1061">
        <v>3.05</v>
      </c>
      <c r="R1061" s="1">
        <v>44071</v>
      </c>
      <c r="S1061">
        <v>3.31</v>
      </c>
      <c r="X1061" s="1">
        <v>44091</v>
      </c>
      <c r="Y1061">
        <f>NETWORKDAYS(X1061,$Z$1,FERIADO!$A$2:$A$408)</f>
        <v>2597</v>
      </c>
      <c r="Z1061">
        <v>7.88</v>
      </c>
      <c r="AA1061" s="6">
        <f t="shared" si="146"/>
        <v>45764.14317572357</v>
      </c>
      <c r="AB1061" s="2">
        <f t="shared" si="147"/>
        <v>4.279119398549509E-3</v>
      </c>
      <c r="AJ1061" s="1">
        <v>44091</v>
      </c>
      <c r="AK1061">
        <f>NETWORKDAYS(AJ1061,$AJ$1,FERIADO!$A$2:$A$408)</f>
        <v>1584</v>
      </c>
      <c r="AL1061">
        <v>7.01</v>
      </c>
      <c r="AM1061" s="6">
        <f t="shared" si="148"/>
        <v>65320.102038922414</v>
      </c>
      <c r="AN1061" s="2">
        <f t="shared" si="149"/>
        <v>2.9232193585978245E-3</v>
      </c>
      <c r="AP1061" s="11">
        <f t="shared" si="150"/>
        <v>2.1395596992747545E-3</v>
      </c>
      <c r="AQ1061" s="11">
        <f t="shared" si="151"/>
        <v>8.7696580757934731E-4</v>
      </c>
      <c r="AR1061" s="11">
        <f t="shared" si="152"/>
        <v>3.016525506854102E-3</v>
      </c>
    </row>
    <row r="1062" spans="2:44" x14ac:dyDescent="0.35">
      <c r="B1062" s="1">
        <v>44090</v>
      </c>
      <c r="C1062">
        <v>3691.67</v>
      </c>
      <c r="D1062" s="1">
        <v>44098</v>
      </c>
      <c r="E1062">
        <v>5.5708000000000002</v>
      </c>
      <c r="F1062" s="1">
        <v>44085</v>
      </c>
      <c r="G1062">
        <v>139.637</v>
      </c>
      <c r="H1062" s="4">
        <f t="shared" si="144"/>
        <v>777889.79960000003</v>
      </c>
      <c r="I1062" s="5">
        <v>44090</v>
      </c>
      <c r="J1062" s="4">
        <v>6540.78</v>
      </c>
      <c r="K1062" s="4">
        <f t="shared" si="145"/>
        <v>65407.799999999996</v>
      </c>
      <c r="L1062" s="1">
        <v>44090</v>
      </c>
      <c r="M1062">
        <v>2.56</v>
      </c>
      <c r="P1062" s="1">
        <v>44090</v>
      </c>
      <c r="Q1062">
        <v>3.08</v>
      </c>
      <c r="R1062" s="1">
        <v>44069</v>
      </c>
      <c r="S1062">
        <v>3.43</v>
      </c>
      <c r="X1062" s="1">
        <v>44090</v>
      </c>
      <c r="Y1062">
        <f>NETWORKDAYS(X1062,$Z$1,FERIADO!$A$2:$A$408)</f>
        <v>2598</v>
      </c>
      <c r="Z1062">
        <v>7.98</v>
      </c>
      <c r="AA1062" s="6">
        <f t="shared" si="146"/>
        <v>45315.441567618771</v>
      </c>
      <c r="AB1062" s="2">
        <f t="shared" si="147"/>
        <v>-3.1873760889937833E-3</v>
      </c>
      <c r="AJ1062" s="1">
        <v>44090</v>
      </c>
      <c r="AK1062">
        <f>NETWORKDAYS(AJ1062,$AJ$1,FERIADO!$A$2:$A$408)</f>
        <v>1585</v>
      </c>
      <c r="AL1062">
        <v>7.12</v>
      </c>
      <c r="AM1062" s="6">
        <f t="shared" si="148"/>
        <v>64881.911335486999</v>
      </c>
      <c r="AN1062" s="2">
        <f t="shared" si="149"/>
        <v>-2.4342800715177219E-3</v>
      </c>
      <c r="AP1062" s="11">
        <f t="shared" si="150"/>
        <v>-1.5936880444968916E-3</v>
      </c>
      <c r="AQ1062" s="11">
        <f t="shared" si="151"/>
        <v>-7.3028402145531657E-4</v>
      </c>
      <c r="AR1062" s="11">
        <f t="shared" si="152"/>
        <v>-2.3239720659522082E-3</v>
      </c>
    </row>
    <row r="1063" spans="2:44" x14ac:dyDescent="0.35">
      <c r="B1063" s="1">
        <v>44089</v>
      </c>
      <c r="C1063">
        <v>3713.85</v>
      </c>
      <c r="D1063" s="1">
        <v>44097</v>
      </c>
      <c r="E1063">
        <v>5.5305</v>
      </c>
      <c r="F1063" s="1">
        <v>44084</v>
      </c>
      <c r="G1063">
        <v>139.398</v>
      </c>
      <c r="H1063" s="4">
        <f t="shared" si="144"/>
        <v>770940.63899999997</v>
      </c>
      <c r="I1063" s="5">
        <v>44089</v>
      </c>
      <c r="J1063" s="4">
        <v>6588.21</v>
      </c>
      <c r="K1063" s="4">
        <f t="shared" si="145"/>
        <v>65882.100000000006</v>
      </c>
      <c r="L1063" s="1">
        <v>44089</v>
      </c>
      <c r="M1063">
        <v>2.5099999999999998</v>
      </c>
      <c r="P1063" s="1">
        <v>44089</v>
      </c>
      <c r="Q1063">
        <v>3.03</v>
      </c>
      <c r="R1063" s="1">
        <v>44068</v>
      </c>
      <c r="S1063">
        <v>3.25</v>
      </c>
      <c r="X1063" s="1">
        <v>44089</v>
      </c>
      <c r="Y1063">
        <f>NETWORKDAYS(X1063,$Z$1,FERIADO!$A$2:$A$408)</f>
        <v>2599</v>
      </c>
      <c r="Z1063">
        <v>7.9</v>
      </c>
      <c r="AA1063" s="6">
        <f t="shared" si="146"/>
        <v>45649.24429285105</v>
      </c>
      <c r="AB1063" s="2">
        <f t="shared" si="147"/>
        <v>-4.0236369802103857E-3</v>
      </c>
      <c r="AJ1063" s="1">
        <v>44089</v>
      </c>
      <c r="AK1063">
        <f>NETWORKDAYS(AJ1063,$AJ$1,FERIADO!$A$2:$A$408)</f>
        <v>1586</v>
      </c>
      <c r="AL1063">
        <v>7.02</v>
      </c>
      <c r="AM1063" s="6">
        <f t="shared" si="148"/>
        <v>65246.604460310024</v>
      </c>
      <c r="AN1063" s="2">
        <f t="shared" si="149"/>
        <v>-2.439887238656532E-3</v>
      </c>
      <c r="AP1063" s="11">
        <f t="shared" si="150"/>
        <v>-2.0118184901051928E-3</v>
      </c>
      <c r="AQ1063" s="11">
        <f t="shared" si="151"/>
        <v>-7.3196617159695953E-4</v>
      </c>
      <c r="AR1063" s="11">
        <f t="shared" si="152"/>
        <v>-2.7437846617021523E-3</v>
      </c>
    </row>
    <row r="1064" spans="2:44" x14ac:dyDescent="0.35">
      <c r="B1064" s="1">
        <v>44088</v>
      </c>
      <c r="C1064">
        <v>3684.45</v>
      </c>
      <c r="D1064" s="1">
        <v>44096</v>
      </c>
      <c r="E1064">
        <v>5.4322999999999997</v>
      </c>
      <c r="F1064" s="1">
        <v>44083</v>
      </c>
      <c r="G1064">
        <v>139.30500000000001</v>
      </c>
      <c r="H1064" s="4">
        <f t="shared" si="144"/>
        <v>756746.55150000006</v>
      </c>
      <c r="I1064" s="5">
        <v>44088</v>
      </c>
      <c r="J1064" s="4">
        <v>6581.97</v>
      </c>
      <c r="K1064" s="4">
        <f t="shared" si="145"/>
        <v>65819.7</v>
      </c>
      <c r="L1064" s="1">
        <v>44088</v>
      </c>
      <c r="M1064">
        <v>2.4900000000000002</v>
      </c>
      <c r="P1064" s="1">
        <v>44088</v>
      </c>
      <c r="Q1064">
        <v>3.03</v>
      </c>
      <c r="R1064" s="1">
        <v>44067</v>
      </c>
      <c r="S1064">
        <v>3.23</v>
      </c>
      <c r="X1064" s="1">
        <v>44088</v>
      </c>
      <c r="Y1064">
        <f>NETWORKDAYS(X1064,$Z$1,FERIADO!$A$2:$A$408)</f>
        <v>2600</v>
      </c>
      <c r="Z1064">
        <v>7.8</v>
      </c>
      <c r="AA1064" s="6">
        <f t="shared" si="146"/>
        <v>46074.139119928375</v>
      </c>
      <c r="AB1064" s="2">
        <f t="shared" si="147"/>
        <v>1.7924109704580257E-3</v>
      </c>
      <c r="AJ1064" s="1">
        <v>44088</v>
      </c>
      <c r="AK1064">
        <f>NETWORKDAYS(AJ1064,$AJ$1,FERIADO!$A$2:$A$408)</f>
        <v>1587</v>
      </c>
      <c r="AL1064">
        <v>6.92</v>
      </c>
      <c r="AM1064" s="6">
        <f t="shared" si="148"/>
        <v>65614.194617716174</v>
      </c>
      <c r="AN1064" s="2">
        <f t="shared" si="149"/>
        <v>1.3948236227357828E-3</v>
      </c>
      <c r="AP1064" s="11">
        <f t="shared" si="150"/>
        <v>8.9620548522901286E-4</v>
      </c>
      <c r="AQ1064" s="11">
        <f t="shared" si="151"/>
        <v>4.1844708682073481E-4</v>
      </c>
      <c r="AR1064" s="11">
        <f t="shared" si="152"/>
        <v>1.3146525720497478E-3</v>
      </c>
    </row>
    <row r="1065" spans="2:44" x14ac:dyDescent="0.35">
      <c r="B1065" s="1">
        <v>44085</v>
      </c>
      <c r="C1065">
        <v>3629.8</v>
      </c>
      <c r="D1065" s="1">
        <v>44095</v>
      </c>
      <c r="E1065">
        <v>5.4433999999999996</v>
      </c>
      <c r="F1065" s="1">
        <v>44082</v>
      </c>
      <c r="G1065">
        <v>139.446</v>
      </c>
      <c r="H1065" s="4">
        <f t="shared" si="144"/>
        <v>759060.35639999993</v>
      </c>
      <c r="I1065" s="5">
        <v>44085</v>
      </c>
      <c r="J1065" s="4">
        <v>6641.26</v>
      </c>
      <c r="K1065" s="4">
        <f t="shared" si="145"/>
        <v>66412.600000000006</v>
      </c>
      <c r="L1065" s="1">
        <v>44085</v>
      </c>
      <c r="M1065">
        <v>2.5</v>
      </c>
      <c r="P1065" s="1">
        <v>44085</v>
      </c>
      <c r="Q1065">
        <v>3.02</v>
      </c>
      <c r="R1065" s="1">
        <v>44064</v>
      </c>
      <c r="S1065">
        <v>3.25</v>
      </c>
      <c r="X1065" s="1">
        <v>44085</v>
      </c>
      <c r="Y1065">
        <f>NETWORKDAYS(X1065,$Z$1,FERIADO!$A$2:$A$408)</f>
        <v>2601</v>
      </c>
      <c r="Z1065">
        <v>7.84</v>
      </c>
      <c r="AA1065" s="6">
        <f t="shared" si="146"/>
        <v>45884.374775647077</v>
      </c>
      <c r="AB1065" s="2">
        <f t="shared" si="147"/>
        <v>-7.0164936760543973E-4</v>
      </c>
      <c r="AJ1065" s="1">
        <v>44085</v>
      </c>
      <c r="AK1065">
        <f>NETWORKDAYS(AJ1065,$AJ$1,FERIADO!$A$2:$A$408)</f>
        <v>1588</v>
      </c>
      <c r="AL1065">
        <v>6.97</v>
      </c>
      <c r="AM1065" s="6">
        <f t="shared" si="148"/>
        <v>65403.799547327966</v>
      </c>
      <c r="AN1065" s="2">
        <f t="shared" si="149"/>
        <v>-3.9593556721556313E-4</v>
      </c>
      <c r="AP1065" s="11">
        <f t="shared" si="150"/>
        <v>-3.5082468380271987E-4</v>
      </c>
      <c r="AQ1065" s="11">
        <f t="shared" si="151"/>
        <v>-1.1878067016466893E-4</v>
      </c>
      <c r="AR1065" s="11">
        <f t="shared" si="152"/>
        <v>-4.6960535396738882E-4</v>
      </c>
    </row>
    <row r="1066" spans="2:44" x14ac:dyDescent="0.35">
      <c r="B1066" s="1">
        <v>44084</v>
      </c>
      <c r="C1066">
        <v>3638.29</v>
      </c>
      <c r="D1066" s="1">
        <v>44092</v>
      </c>
      <c r="E1066">
        <v>5.2882999999999996</v>
      </c>
      <c r="F1066" s="1">
        <v>44078</v>
      </c>
      <c r="G1066">
        <v>139.09399999999999</v>
      </c>
      <c r="H1066" s="4">
        <f t="shared" si="144"/>
        <v>735570.80019999994</v>
      </c>
      <c r="I1066" s="5">
        <v>44084</v>
      </c>
      <c r="J1066" s="4">
        <v>6646.88</v>
      </c>
      <c r="K1066" s="4">
        <f t="shared" si="145"/>
        <v>66468.800000000003</v>
      </c>
      <c r="L1066" s="1">
        <v>44084</v>
      </c>
      <c r="M1066">
        <v>2.4900000000000002</v>
      </c>
      <c r="P1066" s="1">
        <v>44084</v>
      </c>
      <c r="Q1066">
        <v>3.02</v>
      </c>
      <c r="R1066" s="1">
        <v>44062</v>
      </c>
      <c r="S1066">
        <v>3.33</v>
      </c>
      <c r="X1066" s="1">
        <v>44084</v>
      </c>
      <c r="Y1066">
        <f>NETWORKDAYS(X1066,$Z$1,FERIADO!$A$2:$A$408)</f>
        <v>2602</v>
      </c>
      <c r="Z1066">
        <v>7.82</v>
      </c>
      <c r="AA1066" s="6">
        <f t="shared" si="146"/>
        <v>45958.565825568345</v>
      </c>
      <c r="AB1066" s="2">
        <f t="shared" si="147"/>
        <v>-8.6160738609849605E-3</v>
      </c>
      <c r="AJ1066" s="1">
        <v>44084</v>
      </c>
      <c r="AK1066">
        <f>NETWORKDAYS(AJ1066,$AJ$1,FERIADO!$A$2:$A$408)</f>
        <v>1589</v>
      </c>
      <c r="AL1066">
        <v>6.95</v>
      </c>
      <c r="AM1066" s="6">
        <f t="shared" si="148"/>
        <v>65463.45376668957</v>
      </c>
      <c r="AN1066" s="2">
        <f t="shared" si="149"/>
        <v>-5.2699524232453013E-3</v>
      </c>
      <c r="AP1066" s="11">
        <f t="shared" si="150"/>
        <v>-4.3080369304924803E-3</v>
      </c>
      <c r="AQ1066" s="11">
        <f t="shared" si="151"/>
        <v>-1.5809857269735903E-3</v>
      </c>
      <c r="AR1066" s="11">
        <f t="shared" si="152"/>
        <v>-5.8890226574660701E-3</v>
      </c>
    </row>
    <row r="1067" spans="2:44" x14ac:dyDescent="0.35">
      <c r="B1067" s="1">
        <v>44083</v>
      </c>
      <c r="C1067">
        <v>3703.19</v>
      </c>
      <c r="D1067" s="1">
        <v>44091</v>
      </c>
      <c r="E1067">
        <v>5.2587000000000002</v>
      </c>
      <c r="F1067" s="1">
        <v>44077</v>
      </c>
      <c r="G1067">
        <v>139.751</v>
      </c>
      <c r="H1067" s="4">
        <f t="shared" si="144"/>
        <v>734908.58369999996</v>
      </c>
      <c r="I1067" s="5">
        <v>44083</v>
      </c>
      <c r="J1067" s="4">
        <v>6631.27</v>
      </c>
      <c r="K1067" s="4">
        <f t="shared" si="145"/>
        <v>66312.700000000012</v>
      </c>
      <c r="L1067" s="1">
        <v>44083</v>
      </c>
      <c r="M1067">
        <v>2.41</v>
      </c>
      <c r="P1067" s="1">
        <v>44083</v>
      </c>
      <c r="Q1067">
        <v>2.95</v>
      </c>
      <c r="R1067" s="1">
        <v>44061</v>
      </c>
      <c r="S1067">
        <v>3.24</v>
      </c>
      <c r="X1067" s="1">
        <v>44083</v>
      </c>
      <c r="Y1067">
        <f>NETWORKDAYS(X1067,$Z$1,FERIADO!$A$2:$A$408)</f>
        <v>2603</v>
      </c>
      <c r="Z1067">
        <v>7.61</v>
      </c>
      <c r="AA1067" s="6">
        <f t="shared" si="146"/>
        <v>46879.453645740417</v>
      </c>
      <c r="AB1067" s="2">
        <f t="shared" si="147"/>
        <v>2.2110881993484244E-3</v>
      </c>
      <c r="AJ1067" s="1">
        <v>44083</v>
      </c>
      <c r="AK1067">
        <f>NETWORKDAYS(AJ1067,$AJ$1,FERIADO!$A$2:$A$408)</f>
        <v>1590</v>
      </c>
      <c r="AL1067">
        <v>6.74</v>
      </c>
      <c r="AM1067" s="6">
        <f t="shared" si="148"/>
        <v>66262.660139494925</v>
      </c>
      <c r="AN1067" s="2">
        <f t="shared" si="149"/>
        <v>1.3964983178169309E-3</v>
      </c>
      <c r="AP1067" s="11">
        <f t="shared" si="150"/>
        <v>1.1055440996742122E-3</v>
      </c>
      <c r="AQ1067" s="11">
        <f t="shared" si="151"/>
        <v>4.1894949534507925E-4</v>
      </c>
      <c r="AR1067" s="11">
        <f t="shared" si="152"/>
        <v>1.5244935950192915E-3</v>
      </c>
    </row>
    <row r="1068" spans="2:44" x14ac:dyDescent="0.35">
      <c r="B1068" s="1">
        <v>44082</v>
      </c>
      <c r="C1068">
        <v>3634.33</v>
      </c>
      <c r="D1068" s="1">
        <v>44090</v>
      </c>
      <c r="E1068">
        <v>5.2526000000000002</v>
      </c>
      <c r="F1068" s="1">
        <v>44076</v>
      </c>
      <c r="G1068">
        <v>139.501</v>
      </c>
      <c r="H1068" s="4">
        <f t="shared" si="144"/>
        <v>732742.95260000008</v>
      </c>
      <c r="I1068" s="5">
        <v>44082</v>
      </c>
      <c r="J1068" s="4">
        <v>6698.06</v>
      </c>
      <c r="K1068" s="4">
        <f t="shared" si="145"/>
        <v>66980.600000000006</v>
      </c>
      <c r="L1068" s="1">
        <v>44082</v>
      </c>
      <c r="M1068">
        <v>2.44</v>
      </c>
      <c r="P1068" s="1">
        <v>44082</v>
      </c>
      <c r="Q1068">
        <v>2.97</v>
      </c>
      <c r="R1068" s="1">
        <v>44060</v>
      </c>
      <c r="S1068">
        <v>3.45</v>
      </c>
      <c r="X1068" s="1">
        <v>44082</v>
      </c>
      <c r="Y1068">
        <f>NETWORKDAYS(X1068,$Z$1,FERIADO!$A$2:$A$408)</f>
        <v>2604</v>
      </c>
      <c r="Z1068">
        <v>7.66</v>
      </c>
      <c r="AA1068" s="6">
        <f t="shared" si="146"/>
        <v>46641.386633273018</v>
      </c>
      <c r="AB1068" s="2">
        <f t="shared" si="147"/>
        <v>-6.0073799345438878E-3</v>
      </c>
      <c r="AJ1068" s="1">
        <v>44082</v>
      </c>
      <c r="AK1068">
        <f>NETWORKDAYS(AJ1068,$AJ$1,FERIADO!$A$2:$A$408)</f>
        <v>1591</v>
      </c>
      <c r="AL1068">
        <v>6.79</v>
      </c>
      <c r="AM1068" s="6">
        <f t="shared" si="148"/>
        <v>66049.931035751957</v>
      </c>
      <c r="AN1068" s="2">
        <f t="shared" si="149"/>
        <v>-3.6324835122228095E-3</v>
      </c>
      <c r="AP1068" s="11">
        <f t="shared" si="150"/>
        <v>-3.0036899672719439E-3</v>
      </c>
      <c r="AQ1068" s="11">
        <f t="shared" si="151"/>
        <v>-1.0897450536668427E-3</v>
      </c>
      <c r="AR1068" s="11">
        <f t="shared" si="152"/>
        <v>-4.0934350209387866E-3</v>
      </c>
    </row>
    <row r="1069" spans="2:44" x14ac:dyDescent="0.35">
      <c r="B1069" s="1">
        <v>44078</v>
      </c>
      <c r="C1069">
        <v>3728.39</v>
      </c>
      <c r="D1069" s="1">
        <v>44089</v>
      </c>
      <c r="E1069">
        <v>5.2721999999999998</v>
      </c>
      <c r="F1069" s="1">
        <v>44075</v>
      </c>
      <c r="G1069">
        <v>139.43799999999999</v>
      </c>
      <c r="H1069" s="4">
        <f t="shared" si="144"/>
        <v>735145.02359999996</v>
      </c>
      <c r="I1069" s="5">
        <v>44078</v>
      </c>
      <c r="J1069" s="4">
        <v>6619.42</v>
      </c>
      <c r="K1069" s="4">
        <f t="shared" si="145"/>
        <v>66194.2</v>
      </c>
      <c r="L1069" s="1">
        <v>44078</v>
      </c>
      <c r="M1069">
        <v>2.34</v>
      </c>
      <c r="P1069" s="1">
        <v>44078</v>
      </c>
      <c r="Q1069">
        <v>2.89</v>
      </c>
      <c r="R1069" s="1">
        <v>44057</v>
      </c>
      <c r="S1069">
        <v>3.35</v>
      </c>
      <c r="X1069" s="1">
        <v>44078</v>
      </c>
      <c r="Y1069">
        <f>NETWORKDAYS(X1069,$Z$1,FERIADO!$A$2:$A$408)</f>
        <v>2606</v>
      </c>
      <c r="Z1069">
        <v>7.51</v>
      </c>
      <c r="AA1069" s="6">
        <f t="shared" si="146"/>
        <v>47291.036560338951</v>
      </c>
      <c r="AB1069" s="2">
        <f t="shared" si="147"/>
        <v>3.0491691794306995E-3</v>
      </c>
      <c r="AJ1069" s="1">
        <v>44078</v>
      </c>
      <c r="AK1069">
        <f>NETWORKDAYS(AJ1069,$AJ$1,FERIADO!$A$2:$A$408)</f>
        <v>1593</v>
      </c>
      <c r="AL1069">
        <v>6.64</v>
      </c>
      <c r="AM1069" s="6">
        <f t="shared" si="148"/>
        <v>66604.696243814993</v>
      </c>
      <c r="AN1069" s="2">
        <f t="shared" si="149"/>
        <v>2.17085048444154E-3</v>
      </c>
      <c r="AP1069" s="11">
        <f t="shared" si="150"/>
        <v>1.5245845897153497E-3</v>
      </c>
      <c r="AQ1069" s="11">
        <f t="shared" si="151"/>
        <v>6.5125514533246199E-4</v>
      </c>
      <c r="AR1069" s="11">
        <f t="shared" si="152"/>
        <v>2.1758397350478118E-3</v>
      </c>
    </row>
    <row r="1070" spans="2:44" x14ac:dyDescent="0.35">
      <c r="B1070" s="1">
        <v>44077</v>
      </c>
      <c r="C1070">
        <v>3774.74</v>
      </c>
      <c r="D1070" s="1">
        <v>44088</v>
      </c>
      <c r="E1070">
        <v>5.2977999999999996</v>
      </c>
      <c r="F1070" s="1">
        <v>44074</v>
      </c>
      <c r="G1070">
        <v>139.18799999999999</v>
      </c>
      <c r="H1070" s="4">
        <f t="shared" si="144"/>
        <v>737390.18639999989</v>
      </c>
      <c r="I1070" s="5">
        <v>44077</v>
      </c>
      <c r="J1070" s="4">
        <v>6613.18</v>
      </c>
      <c r="K1070" s="4">
        <f t="shared" si="145"/>
        <v>66131.8</v>
      </c>
      <c r="L1070" s="1">
        <v>44077</v>
      </c>
      <c r="M1070">
        <v>2.39</v>
      </c>
      <c r="P1070" s="1">
        <v>44077</v>
      </c>
      <c r="Q1070">
        <v>2.91</v>
      </c>
      <c r="R1070" s="1">
        <v>44056</v>
      </c>
      <c r="S1070">
        <v>3.32</v>
      </c>
      <c r="X1070" s="1">
        <v>44077</v>
      </c>
      <c r="Y1070">
        <f>NETWORKDAYS(X1070,$Z$1,FERIADO!$A$2:$A$408)</f>
        <v>2607</v>
      </c>
      <c r="Z1070">
        <v>7.58</v>
      </c>
      <c r="AA1070" s="6">
        <f t="shared" si="146"/>
        <v>46960.170400592549</v>
      </c>
      <c r="AB1070" s="2">
        <f t="shared" si="147"/>
        <v>3.4670103659016757E-3</v>
      </c>
      <c r="AJ1070" s="1">
        <v>44077</v>
      </c>
      <c r="AK1070">
        <f>NETWORKDAYS(AJ1070,$AJ$1,FERIADO!$A$2:$A$408)</f>
        <v>1594</v>
      </c>
      <c r="AL1070">
        <v>6.72</v>
      </c>
      <c r="AM1070" s="6">
        <f t="shared" si="148"/>
        <v>66272.59884007393</v>
      </c>
      <c r="AN1070" s="2">
        <f t="shared" si="149"/>
        <v>1.9144994803420895E-3</v>
      </c>
      <c r="AP1070" s="11">
        <f t="shared" si="150"/>
        <v>1.7335051829508378E-3</v>
      </c>
      <c r="AQ1070" s="11">
        <f t="shared" si="151"/>
        <v>5.7434984410262681E-4</v>
      </c>
      <c r="AR1070" s="11">
        <f t="shared" si="152"/>
        <v>2.3078550270534647E-3</v>
      </c>
    </row>
    <row r="1071" spans="2:44" x14ac:dyDescent="0.35">
      <c r="B1071" s="1">
        <v>44076</v>
      </c>
      <c r="C1071">
        <v>3902.97</v>
      </c>
      <c r="D1071" s="1">
        <v>44085</v>
      </c>
      <c r="E1071">
        <v>5.2847999999999997</v>
      </c>
      <c r="F1071" s="1">
        <v>44071</v>
      </c>
      <c r="G1071">
        <v>139.042</v>
      </c>
      <c r="H1071" s="4">
        <f t="shared" si="144"/>
        <v>734809.16159999988</v>
      </c>
      <c r="I1071" s="5">
        <v>44076</v>
      </c>
      <c r="J1071" s="4">
        <v>6673.71</v>
      </c>
      <c r="K1071" s="4">
        <f t="shared" si="145"/>
        <v>66737.100000000006</v>
      </c>
      <c r="L1071" s="1">
        <v>44076</v>
      </c>
      <c r="M1071">
        <v>2.44</v>
      </c>
      <c r="P1071" s="1">
        <v>44076</v>
      </c>
      <c r="Q1071">
        <v>2.96</v>
      </c>
      <c r="R1071" s="1">
        <v>44055</v>
      </c>
      <c r="S1071">
        <v>3.19</v>
      </c>
      <c r="X1071" s="1">
        <v>44076</v>
      </c>
      <c r="Y1071">
        <f>NETWORKDAYS(X1071,$Z$1,FERIADO!$A$2:$A$408)</f>
        <v>2608</v>
      </c>
      <c r="Z1071">
        <v>7.66</v>
      </c>
      <c r="AA1071" s="6">
        <f t="shared" si="146"/>
        <v>46586.775707663001</v>
      </c>
      <c r="AB1071" s="2">
        <f t="shared" si="147"/>
        <v>-2.3793466271450508E-3</v>
      </c>
      <c r="AJ1071" s="1">
        <v>44076</v>
      </c>
      <c r="AK1071">
        <f>NETWORKDAYS(AJ1071,$AJ$1,FERIADO!$A$2:$A$408)</f>
        <v>1595</v>
      </c>
      <c r="AL1071">
        <v>6.79</v>
      </c>
      <c r="AM1071" s="6">
        <f t="shared" si="148"/>
        <v>65981.092473073921</v>
      </c>
      <c r="AN1071" s="2">
        <f t="shared" si="149"/>
        <v>-1.1749076640070872E-3</v>
      </c>
      <c r="AP1071" s="11">
        <f t="shared" si="150"/>
        <v>-1.1896733135725254E-3</v>
      </c>
      <c r="AQ1071" s="11">
        <f t="shared" si="151"/>
        <v>-3.5247229920212612E-4</v>
      </c>
      <c r="AR1071" s="11">
        <f t="shared" si="152"/>
        <v>-1.5421456127746515E-3</v>
      </c>
    </row>
    <row r="1072" spans="2:44" x14ac:dyDescent="0.35">
      <c r="B1072" s="1">
        <v>44075</v>
      </c>
      <c r="C1072">
        <v>3848.43</v>
      </c>
      <c r="D1072" s="1">
        <v>44084</v>
      </c>
      <c r="E1072">
        <v>5.2930000000000001</v>
      </c>
      <c r="F1072" s="1">
        <v>44070</v>
      </c>
      <c r="G1072">
        <v>138.91300000000001</v>
      </c>
      <c r="H1072" s="4">
        <f t="shared" si="144"/>
        <v>735266.50900000008</v>
      </c>
      <c r="I1072" s="5">
        <v>44075</v>
      </c>
      <c r="J1072" s="4">
        <v>6749.86</v>
      </c>
      <c r="K1072" s="4">
        <f t="shared" si="145"/>
        <v>67498.599999999991</v>
      </c>
      <c r="L1072" s="1">
        <v>44075</v>
      </c>
      <c r="M1072">
        <v>2.4300000000000002</v>
      </c>
      <c r="P1072" s="1">
        <v>44075</v>
      </c>
      <c r="Q1072">
        <v>2.95</v>
      </c>
      <c r="R1072" s="1">
        <v>44054</v>
      </c>
      <c r="S1072">
        <v>3.14</v>
      </c>
      <c r="X1072" s="1">
        <v>44075</v>
      </c>
      <c r="Y1072">
        <f>NETWORKDAYS(X1072,$Z$1,FERIADO!$A$2:$A$408)</f>
        <v>2609</v>
      </c>
      <c r="Z1072">
        <v>7.6</v>
      </c>
      <c r="AA1072" s="6">
        <f t="shared" si="146"/>
        <v>46842.708699934796</v>
      </c>
      <c r="AB1072" s="2">
        <f t="shared" si="147"/>
        <v>4.3046416936329433E-3</v>
      </c>
      <c r="AJ1072" s="1">
        <v>44075</v>
      </c>
      <c r="AK1072">
        <f>NETWORKDAYS(AJ1072,$AJ$1,FERIADO!$A$2:$A$408)</f>
        <v>1596</v>
      </c>
      <c r="AL1072">
        <v>6.74</v>
      </c>
      <c r="AM1072" s="6">
        <f t="shared" si="148"/>
        <v>66159.834432194461</v>
      </c>
      <c r="AN1072" s="2">
        <f t="shared" si="149"/>
        <v>2.9472621682592776E-3</v>
      </c>
      <c r="AP1072" s="11">
        <f t="shared" si="150"/>
        <v>2.1523208468164716E-3</v>
      </c>
      <c r="AQ1072" s="11">
        <f t="shared" si="151"/>
        <v>8.8417865047778319E-4</v>
      </c>
      <c r="AR1072" s="11">
        <f t="shared" si="152"/>
        <v>3.036499497294255E-3</v>
      </c>
    </row>
    <row r="1073" spans="2:44" x14ac:dyDescent="0.35">
      <c r="B1073" s="1">
        <v>44074</v>
      </c>
      <c r="C1073">
        <v>3812.8</v>
      </c>
      <c r="D1073" s="1">
        <v>44083</v>
      </c>
      <c r="E1073">
        <v>5.3018000000000001</v>
      </c>
      <c r="F1073" s="1">
        <v>44069</v>
      </c>
      <c r="G1073">
        <v>139.32900000000001</v>
      </c>
      <c r="H1073" s="4">
        <f t="shared" si="144"/>
        <v>738694.49219999998</v>
      </c>
      <c r="I1073" s="5">
        <v>44074</v>
      </c>
      <c r="J1073" s="4">
        <v>6862.82</v>
      </c>
      <c r="K1073" s="4">
        <f t="shared" si="145"/>
        <v>68628.2</v>
      </c>
      <c r="L1073" s="1">
        <v>44074</v>
      </c>
      <c r="M1073">
        <v>2.48</v>
      </c>
      <c r="P1073" s="1">
        <v>44074</v>
      </c>
      <c r="Q1073">
        <v>3.01</v>
      </c>
      <c r="R1073" s="1">
        <v>44053</v>
      </c>
      <c r="S1073">
        <v>3.03</v>
      </c>
      <c r="X1073" s="1">
        <v>44074</v>
      </c>
      <c r="Y1073">
        <f>NETWORKDAYS(X1073,$Z$1,FERIADO!$A$2:$A$408)</f>
        <v>2610</v>
      </c>
      <c r="Z1073">
        <v>7.7</v>
      </c>
      <c r="AA1073" s="6">
        <f t="shared" si="146"/>
        <v>46380.706382662807</v>
      </c>
      <c r="AB1073" s="2">
        <f t="shared" si="147"/>
        <v>-1.9616762589750158E-3</v>
      </c>
      <c r="AJ1073" s="1">
        <v>44074</v>
      </c>
      <c r="AK1073">
        <f>NETWORKDAYS(AJ1073,$AJ$1,FERIADO!$A$2:$A$408)</f>
        <v>1597</v>
      </c>
      <c r="AL1073">
        <v>6.85</v>
      </c>
      <c r="AM1073" s="6">
        <f t="shared" si="148"/>
        <v>65712.372524221442</v>
      </c>
      <c r="AN1073" s="2">
        <f t="shared" si="149"/>
        <v>-1.6906040423036591E-3</v>
      </c>
      <c r="AP1073" s="11">
        <f t="shared" si="150"/>
        <v>-9.8083812948750789E-4</v>
      </c>
      <c r="AQ1073" s="11">
        <f t="shared" si="151"/>
        <v>-5.0718121269109769E-4</v>
      </c>
      <c r="AR1073" s="11">
        <f t="shared" si="152"/>
        <v>-1.4880193421786055E-3</v>
      </c>
    </row>
    <row r="1074" spans="2:44" x14ac:dyDescent="0.35">
      <c r="B1074" s="1">
        <v>44071</v>
      </c>
      <c r="C1074">
        <v>3830.65</v>
      </c>
      <c r="D1074" s="1">
        <v>44082</v>
      </c>
      <c r="E1074">
        <v>5.3692000000000002</v>
      </c>
      <c r="F1074" s="1">
        <v>44068</v>
      </c>
      <c r="G1074">
        <v>139.28899999999999</v>
      </c>
      <c r="H1074" s="4">
        <f t="shared" si="144"/>
        <v>747870.49879999994</v>
      </c>
      <c r="I1074" s="5">
        <v>44071</v>
      </c>
      <c r="J1074" s="4">
        <v>6732.38</v>
      </c>
      <c r="K1074" s="4">
        <f t="shared" si="145"/>
        <v>67323.8</v>
      </c>
      <c r="L1074" s="1">
        <v>44071</v>
      </c>
      <c r="M1074">
        <v>2.42</v>
      </c>
      <c r="P1074" s="1">
        <v>44071</v>
      </c>
      <c r="Q1074">
        <v>3.02</v>
      </c>
      <c r="R1074" s="1">
        <v>44050</v>
      </c>
      <c r="S1074">
        <v>3.03</v>
      </c>
      <c r="X1074" s="1">
        <v>44071</v>
      </c>
      <c r="Y1074">
        <f>NETWORKDAYS(X1074,$Z$1,FERIADO!$A$2:$A$408)</f>
        <v>2611</v>
      </c>
      <c r="Z1074">
        <v>7.65</v>
      </c>
      <c r="AA1074" s="6">
        <f t="shared" si="146"/>
        <v>46590.678482203795</v>
      </c>
      <c r="AB1074" s="2">
        <f t="shared" si="147"/>
        <v>7.6476413362164914E-3</v>
      </c>
      <c r="AJ1074" s="1">
        <v>44071</v>
      </c>
      <c r="AK1074">
        <f>NETWORKDAYS(AJ1074,$AJ$1,FERIADO!$A$2:$A$408)</f>
        <v>1598</v>
      </c>
      <c r="AL1074">
        <v>6.78</v>
      </c>
      <c r="AM1074" s="6">
        <f t="shared" si="148"/>
        <v>65968.673532996821</v>
      </c>
      <c r="AN1074" s="2">
        <f t="shared" si="149"/>
        <v>4.7544555954380178E-3</v>
      </c>
      <c r="AP1074" s="11">
        <f t="shared" si="150"/>
        <v>3.8238206681082457E-3</v>
      </c>
      <c r="AQ1074" s="11">
        <f t="shared" si="151"/>
        <v>1.4263366786314052E-3</v>
      </c>
      <c r="AR1074" s="11">
        <f t="shared" si="152"/>
        <v>5.250157346739651E-3</v>
      </c>
    </row>
    <row r="1075" spans="2:44" x14ac:dyDescent="0.35">
      <c r="B1075" s="1">
        <v>44070</v>
      </c>
      <c r="C1075">
        <v>3806.16</v>
      </c>
      <c r="D1075" s="1">
        <v>44078</v>
      </c>
      <c r="E1075">
        <v>5.2842000000000002</v>
      </c>
      <c r="F1075" s="1">
        <v>44067</v>
      </c>
      <c r="G1075">
        <v>139.45400000000001</v>
      </c>
      <c r="H1075" s="4">
        <f t="shared" si="144"/>
        <v>736902.82680000004</v>
      </c>
      <c r="I1075" s="5">
        <v>44070</v>
      </c>
      <c r="J1075" s="4">
        <v>6958.44</v>
      </c>
      <c r="K1075" s="4">
        <f t="shared" si="145"/>
        <v>69584.399999999994</v>
      </c>
      <c r="L1075" s="1">
        <v>44070</v>
      </c>
      <c r="M1075">
        <v>2.46</v>
      </c>
      <c r="P1075" s="1">
        <v>44070</v>
      </c>
      <c r="Q1075">
        <v>3.02</v>
      </c>
      <c r="R1075" s="1">
        <v>44049</v>
      </c>
      <c r="S1075">
        <v>3.01</v>
      </c>
      <c r="X1075" s="1">
        <v>44070</v>
      </c>
      <c r="Y1075">
        <f>NETWORKDAYS(X1075,$Z$1,FERIADO!$A$2:$A$408)</f>
        <v>2612</v>
      </c>
      <c r="Z1075">
        <v>7.83</v>
      </c>
      <c r="AA1075" s="6">
        <f t="shared" si="146"/>
        <v>45777.4285679573</v>
      </c>
      <c r="AB1075" s="2">
        <f t="shared" si="147"/>
        <v>2.2175460879909179E-3</v>
      </c>
      <c r="AJ1075" s="1">
        <v>44070</v>
      </c>
      <c r="AK1075">
        <f>NETWORKDAYS(AJ1075,$AJ$1,FERIADO!$A$2:$A$408)</f>
        <v>1599</v>
      </c>
      <c r="AL1075">
        <v>6.96</v>
      </c>
      <c r="AM1075" s="6">
        <f t="shared" si="148"/>
        <v>65250.417674806296</v>
      </c>
      <c r="AN1075" s="2">
        <f t="shared" si="149"/>
        <v>3.7374553432395561E-4</v>
      </c>
      <c r="AP1075" s="11">
        <f t="shared" si="150"/>
        <v>1.1087730439954589E-3</v>
      </c>
      <c r="AQ1075" s="11">
        <f t="shared" si="151"/>
        <v>1.1212366029718668E-4</v>
      </c>
      <c r="AR1075" s="11">
        <f t="shared" si="152"/>
        <v>1.2208967042926456E-3</v>
      </c>
    </row>
    <row r="1076" spans="2:44" x14ac:dyDescent="0.35">
      <c r="B1076" s="1">
        <v>44069</v>
      </c>
      <c r="C1076">
        <v>3798.54</v>
      </c>
      <c r="D1076" s="1">
        <v>44077</v>
      </c>
      <c r="E1076">
        <v>5.3072999999999997</v>
      </c>
      <c r="F1076" s="1">
        <v>44064</v>
      </c>
      <c r="G1076">
        <v>139.58500000000001</v>
      </c>
      <c r="H1076" s="4">
        <f t="shared" si="144"/>
        <v>740819.47049999994</v>
      </c>
      <c r="I1076" s="5">
        <v>44069</v>
      </c>
      <c r="J1076" s="4">
        <v>7009.02</v>
      </c>
      <c r="K1076" s="4">
        <f t="shared" si="145"/>
        <v>70090.200000000012</v>
      </c>
      <c r="L1076" s="1">
        <v>44069</v>
      </c>
      <c r="M1076">
        <v>2.5</v>
      </c>
      <c r="P1076" s="1">
        <v>44069</v>
      </c>
      <c r="Q1076">
        <v>3.02</v>
      </c>
      <c r="R1076" s="1">
        <v>44048</v>
      </c>
      <c r="S1076">
        <v>3.06</v>
      </c>
      <c r="X1076" s="1">
        <v>44069</v>
      </c>
      <c r="Y1076">
        <f>NETWORKDAYS(X1076,$Z$1,FERIADO!$A$2:$A$408)</f>
        <v>2613</v>
      </c>
      <c r="Z1076">
        <v>7.88</v>
      </c>
      <c r="AA1076" s="6">
        <f t="shared" si="146"/>
        <v>45544.280706769692</v>
      </c>
      <c r="AB1076" s="2">
        <f t="shared" si="147"/>
        <v>-9.0656068155376395E-3</v>
      </c>
      <c r="AJ1076" s="1">
        <v>44069</v>
      </c>
      <c r="AK1076">
        <f>NETWORKDAYS(AJ1076,$AJ$1,FERIADO!$A$2:$A$408)</f>
        <v>1600</v>
      </c>
      <c r="AL1076">
        <v>6.97</v>
      </c>
      <c r="AM1076" s="6">
        <f t="shared" si="148"/>
        <v>65194.288567188341</v>
      </c>
      <c r="AN1076" s="2">
        <f t="shared" si="149"/>
        <v>-5.3058751460823093E-3</v>
      </c>
      <c r="AP1076" s="11">
        <f t="shared" si="150"/>
        <v>-4.5328034077688198E-3</v>
      </c>
      <c r="AQ1076" s="11">
        <f t="shared" si="151"/>
        <v>-1.5917625438246928E-3</v>
      </c>
      <c r="AR1076" s="11">
        <f t="shared" si="152"/>
        <v>-6.1245659515935125E-3</v>
      </c>
    </row>
    <row r="1077" spans="2:44" x14ac:dyDescent="0.35">
      <c r="B1077" s="1">
        <v>44068</v>
      </c>
      <c r="C1077">
        <v>3759.42</v>
      </c>
      <c r="D1077" s="1">
        <v>44076</v>
      </c>
      <c r="E1077">
        <v>5.3734999999999999</v>
      </c>
      <c r="F1077" s="1">
        <v>44063</v>
      </c>
      <c r="G1077">
        <v>139.524</v>
      </c>
      <c r="H1077" s="4">
        <f t="shared" si="144"/>
        <v>749732.21400000004</v>
      </c>
      <c r="I1077" s="5">
        <v>44068</v>
      </c>
      <c r="J1077" s="4">
        <v>6881.63</v>
      </c>
      <c r="K1077" s="4">
        <f t="shared" si="145"/>
        <v>68816.3</v>
      </c>
      <c r="L1077" s="1">
        <v>44068</v>
      </c>
      <c r="M1077">
        <v>2.41</v>
      </c>
      <c r="P1077" s="1">
        <v>44068</v>
      </c>
      <c r="Q1077">
        <v>2.95</v>
      </c>
      <c r="R1077" s="1">
        <v>44046</v>
      </c>
      <c r="S1077">
        <v>2.97</v>
      </c>
      <c r="X1077" s="1">
        <v>44068</v>
      </c>
      <c r="Y1077">
        <f>NETWORKDAYS(X1077,$Z$1,FERIADO!$A$2:$A$408)</f>
        <v>2614</v>
      </c>
      <c r="Z1077">
        <v>7.66</v>
      </c>
      <c r="AA1077" s="6">
        <f t="shared" si="146"/>
        <v>46504.979187486344</v>
      </c>
      <c r="AB1077" s="2">
        <f t="shared" si="147"/>
        <v>-1.128780488677178E-3</v>
      </c>
      <c r="AJ1077" s="1">
        <v>44068</v>
      </c>
      <c r="AK1077">
        <f>NETWORKDAYS(AJ1077,$AJ$1,FERIADO!$A$2:$A$408)</f>
        <v>1601</v>
      </c>
      <c r="AL1077">
        <v>6.76</v>
      </c>
      <c r="AM1077" s="6">
        <f t="shared" si="148"/>
        <v>65995.667468133834</v>
      </c>
      <c r="AN1077" s="2">
        <f t="shared" si="149"/>
        <v>-6.6319305147242177E-4</v>
      </c>
      <c r="AP1077" s="11">
        <f t="shared" si="150"/>
        <v>-5.6439024433858898E-4</v>
      </c>
      <c r="AQ1077" s="11">
        <f t="shared" si="151"/>
        <v>-1.9895791544172653E-4</v>
      </c>
      <c r="AR1077" s="11">
        <f t="shared" si="152"/>
        <v>-7.6334815978031556E-4</v>
      </c>
    </row>
    <row r="1078" spans="2:44" x14ac:dyDescent="0.35">
      <c r="B1078" s="1">
        <v>44067</v>
      </c>
      <c r="C1078">
        <v>3741.45</v>
      </c>
      <c r="D1078" s="1">
        <v>44075</v>
      </c>
      <c r="E1078">
        <v>5.3726000000000003</v>
      </c>
      <c r="F1078" s="1">
        <v>44062</v>
      </c>
      <c r="G1078">
        <v>139.268</v>
      </c>
      <c r="H1078" s="4">
        <f t="shared" si="144"/>
        <v>748231.25680000009</v>
      </c>
      <c r="I1078" s="5">
        <v>44067</v>
      </c>
      <c r="J1078" s="4">
        <v>7014.02</v>
      </c>
      <c r="K1078" s="4">
        <f t="shared" si="145"/>
        <v>70140.200000000012</v>
      </c>
      <c r="L1078" s="1">
        <v>44067</v>
      </c>
      <c r="M1078">
        <v>2.4</v>
      </c>
      <c r="P1078" s="1">
        <v>44067</v>
      </c>
      <c r="Q1078">
        <v>2.93</v>
      </c>
      <c r="R1078" s="1">
        <v>44042</v>
      </c>
      <c r="S1078">
        <v>2.98</v>
      </c>
      <c r="X1078" s="1">
        <v>44067</v>
      </c>
      <c r="Y1078">
        <f>NETWORKDAYS(X1078,$Z$1,FERIADO!$A$2:$A$408)</f>
        <v>2615</v>
      </c>
      <c r="Z1078">
        <v>7.63</v>
      </c>
      <c r="AA1078" s="6">
        <f t="shared" si="146"/>
        <v>46626.008105130866</v>
      </c>
      <c r="AB1078" s="2">
        <f t="shared" si="147"/>
        <v>3.4765036060204358E-3</v>
      </c>
      <c r="AJ1078" s="1">
        <v>44067</v>
      </c>
      <c r="AK1078">
        <f>NETWORKDAYS(AJ1078,$AJ$1,FERIADO!$A$2:$A$408)</f>
        <v>1602</v>
      </c>
      <c r="AL1078">
        <v>6.73</v>
      </c>
      <c r="AM1078" s="6">
        <f t="shared" si="148"/>
        <v>66096.52369583257</v>
      </c>
      <c r="AN1078" s="2">
        <f t="shared" si="149"/>
        <v>1.6648495109657228E-3</v>
      </c>
      <c r="AP1078" s="11">
        <f t="shared" si="150"/>
        <v>1.7382518030102179E-3</v>
      </c>
      <c r="AQ1078" s="11">
        <f t="shared" si="151"/>
        <v>4.9945485328971686E-4</v>
      </c>
      <c r="AR1078" s="11">
        <f t="shared" si="152"/>
        <v>2.2377066562999349E-3</v>
      </c>
    </row>
    <row r="1079" spans="2:44" x14ac:dyDescent="0.35">
      <c r="B1079" s="1">
        <v>44064</v>
      </c>
      <c r="C1079">
        <v>3700.98</v>
      </c>
      <c r="D1079" s="1">
        <v>44074</v>
      </c>
      <c r="E1079">
        <v>5.4706999999999999</v>
      </c>
      <c r="F1079" s="1">
        <v>44061</v>
      </c>
      <c r="G1079">
        <v>139.43</v>
      </c>
      <c r="H1079" s="4">
        <f t="shared" si="144"/>
        <v>762779.701</v>
      </c>
      <c r="I1079" s="5">
        <v>44064</v>
      </c>
      <c r="J1079" s="4">
        <v>7025.26</v>
      </c>
      <c r="K1079" s="4">
        <f t="shared" si="145"/>
        <v>70252.600000000006</v>
      </c>
      <c r="L1079" s="1">
        <v>44064</v>
      </c>
      <c r="M1079">
        <v>2.41</v>
      </c>
      <c r="P1079" s="1">
        <v>44064</v>
      </c>
      <c r="Q1079">
        <v>2.95</v>
      </c>
      <c r="R1079" s="1">
        <v>44041</v>
      </c>
      <c r="S1079">
        <v>3.1</v>
      </c>
      <c r="X1079" s="1">
        <v>44064</v>
      </c>
      <c r="Y1079">
        <f>NETWORKDAYS(X1079,$Z$1,FERIADO!$A$2:$A$408)</f>
        <v>2616</v>
      </c>
      <c r="Z1079">
        <v>7.71</v>
      </c>
      <c r="AA1079" s="6">
        <f t="shared" si="146"/>
        <v>46254.259356334514</v>
      </c>
      <c r="AB1079" s="2">
        <f t="shared" si="147"/>
        <v>9.6537732882688457E-4</v>
      </c>
      <c r="AJ1079" s="1">
        <v>44064</v>
      </c>
      <c r="AK1079">
        <f>NETWORKDAYS(AJ1079,$AJ$1,FERIADO!$A$2:$A$408)</f>
        <v>1603</v>
      </c>
      <c r="AL1079">
        <v>6.79</v>
      </c>
      <c r="AM1079" s="6">
        <f t="shared" si="148"/>
        <v>65843.630507735361</v>
      </c>
      <c r="AN1079" s="2">
        <f t="shared" si="149"/>
        <v>8.8967432484981634E-4</v>
      </c>
      <c r="AP1079" s="11">
        <f t="shared" si="150"/>
        <v>4.8268866441344228E-4</v>
      </c>
      <c r="AQ1079" s="11">
        <f t="shared" si="151"/>
        <v>2.6690229745494491E-4</v>
      </c>
      <c r="AR1079" s="11">
        <f t="shared" si="152"/>
        <v>7.495909618683872E-4</v>
      </c>
    </row>
    <row r="1080" spans="2:44" x14ac:dyDescent="0.35">
      <c r="B1080" s="1">
        <v>44063</v>
      </c>
      <c r="C1080">
        <v>3690.05</v>
      </c>
      <c r="D1080" s="1">
        <v>44071</v>
      </c>
      <c r="E1080">
        <v>5.4672999999999998</v>
      </c>
      <c r="F1080" s="1">
        <v>44060</v>
      </c>
      <c r="G1080">
        <v>139.25700000000001</v>
      </c>
      <c r="H1080" s="4">
        <f t="shared" si="144"/>
        <v>761359.79610000004</v>
      </c>
      <c r="I1080" s="5">
        <v>44063</v>
      </c>
      <c r="J1080" s="4">
        <v>6947.2</v>
      </c>
      <c r="K1080" s="4">
        <f t="shared" si="145"/>
        <v>69472</v>
      </c>
      <c r="L1080" s="1">
        <v>44063</v>
      </c>
      <c r="M1080">
        <v>2.4500000000000002</v>
      </c>
      <c r="P1080" s="1">
        <v>44063</v>
      </c>
      <c r="Q1080">
        <v>2.94</v>
      </c>
      <c r="R1080" s="1">
        <v>44040</v>
      </c>
      <c r="S1080">
        <v>3.06</v>
      </c>
      <c r="X1080" s="1">
        <v>44063</v>
      </c>
      <c r="Y1080">
        <f>NETWORKDAYS(X1080,$Z$1,FERIADO!$A$2:$A$408)</f>
        <v>2617</v>
      </c>
      <c r="Z1080">
        <v>7.73</v>
      </c>
      <c r="AA1080" s="6">
        <f t="shared" si="146"/>
        <v>46151.556643309916</v>
      </c>
      <c r="AB1080" s="2">
        <f t="shared" si="147"/>
        <v>5.4711036239235122E-4</v>
      </c>
      <c r="AJ1080" s="1">
        <v>44063</v>
      </c>
      <c r="AK1080">
        <f>NETWORKDAYS(AJ1080,$AJ$1,FERIADO!$A$2:$A$408)</f>
        <v>1604</v>
      </c>
      <c r="AL1080">
        <v>6.82</v>
      </c>
      <c r="AM1080" s="6">
        <f t="shared" si="148"/>
        <v>65708.884547378009</v>
      </c>
      <c r="AN1080" s="2">
        <f t="shared" si="149"/>
        <v>8.9042430602974713E-4</v>
      </c>
      <c r="AP1080" s="11">
        <f t="shared" si="150"/>
        <v>2.7355518119617561E-4</v>
      </c>
      <c r="AQ1080" s="11">
        <f t="shared" si="151"/>
        <v>2.6712729180892412E-4</v>
      </c>
      <c r="AR1080" s="11">
        <f t="shared" si="152"/>
        <v>5.4068247300509973E-4</v>
      </c>
    </row>
    <row r="1081" spans="2:44" x14ac:dyDescent="0.35">
      <c r="B1081" s="1">
        <v>44062</v>
      </c>
      <c r="C1081">
        <v>3676.38</v>
      </c>
      <c r="D1081" s="1">
        <v>44070</v>
      </c>
      <c r="E1081">
        <v>5.5949999999999998</v>
      </c>
      <c r="F1081" s="1">
        <v>44057</v>
      </c>
      <c r="G1081">
        <v>139.11699999999999</v>
      </c>
      <c r="H1081" s="4">
        <f t="shared" si="144"/>
        <v>778359.61499999999</v>
      </c>
      <c r="I1081" s="5">
        <v>44062</v>
      </c>
      <c r="J1081" s="4">
        <v>6948.45</v>
      </c>
      <c r="K1081" s="4">
        <f t="shared" si="145"/>
        <v>69484.5</v>
      </c>
      <c r="L1081" s="1">
        <v>44062</v>
      </c>
      <c r="M1081">
        <v>2.44</v>
      </c>
      <c r="P1081" s="1">
        <v>44062</v>
      </c>
      <c r="Q1081">
        <v>2.96</v>
      </c>
      <c r="R1081" s="1">
        <v>44039</v>
      </c>
      <c r="S1081">
        <v>3.04</v>
      </c>
      <c r="X1081" s="1">
        <v>44062</v>
      </c>
      <c r="Y1081">
        <f>NETWORKDAYS(X1081,$Z$1,FERIADO!$A$2:$A$408)</f>
        <v>2618</v>
      </c>
      <c r="Z1081">
        <v>7.74</v>
      </c>
      <c r="AA1081" s="6">
        <f t="shared" si="146"/>
        <v>46093.452987752884</v>
      </c>
      <c r="AB1081" s="2">
        <f t="shared" si="147"/>
        <v>-5.3209087399214558E-3</v>
      </c>
      <c r="AJ1081" s="1">
        <v>44062</v>
      </c>
      <c r="AK1081">
        <f>NETWORKDAYS(AJ1081,$AJ$1,FERIADO!$A$2:$A$408)</f>
        <v>1605</v>
      </c>
      <c r="AL1081">
        <v>6.85</v>
      </c>
      <c r="AM1081" s="6">
        <f t="shared" si="148"/>
        <v>65574.301098366574</v>
      </c>
      <c r="AN1081" s="2">
        <f t="shared" si="149"/>
        <v>-3.7740374481863553E-3</v>
      </c>
      <c r="AP1081" s="11">
        <f t="shared" si="150"/>
        <v>-2.6604543699607279E-3</v>
      </c>
      <c r="AQ1081" s="11">
        <f t="shared" si="151"/>
        <v>-1.1322112344559065E-3</v>
      </c>
      <c r="AR1081" s="11">
        <f t="shared" si="152"/>
        <v>-3.7926656044166345E-3</v>
      </c>
    </row>
    <row r="1082" spans="2:44" x14ac:dyDescent="0.35">
      <c r="B1082" s="1">
        <v>44061</v>
      </c>
      <c r="C1082">
        <v>3696.96</v>
      </c>
      <c r="D1082" s="1">
        <v>44069</v>
      </c>
      <c r="E1082">
        <v>5.5674000000000001</v>
      </c>
      <c r="F1082" s="1">
        <v>44056</v>
      </c>
      <c r="G1082">
        <v>138.946</v>
      </c>
      <c r="H1082" s="4">
        <f t="shared" si="144"/>
        <v>773567.9604000001</v>
      </c>
      <c r="I1082" s="5">
        <v>44061</v>
      </c>
      <c r="J1082" s="4">
        <v>6827.93</v>
      </c>
      <c r="K1082" s="4">
        <f t="shared" si="145"/>
        <v>68279.3</v>
      </c>
      <c r="L1082" s="1">
        <v>44061</v>
      </c>
      <c r="M1082">
        <v>2.36</v>
      </c>
      <c r="P1082" s="1">
        <v>44061</v>
      </c>
      <c r="Q1082">
        <v>2.84</v>
      </c>
      <c r="R1082" s="1">
        <v>44036</v>
      </c>
      <c r="S1082">
        <v>3.1</v>
      </c>
      <c r="X1082" s="1">
        <v>44061</v>
      </c>
      <c r="Y1082">
        <f>NETWORKDAYS(X1082,$Z$1,FERIADO!$A$2:$A$408)</f>
        <v>2619</v>
      </c>
      <c r="Z1082">
        <v>7.61</v>
      </c>
      <c r="AA1082" s="6">
        <f t="shared" si="146"/>
        <v>46661.656499080418</v>
      </c>
      <c r="AB1082" s="2">
        <f t="shared" si="147"/>
        <v>1.3115208071939541E-2</v>
      </c>
      <c r="AJ1082" s="1">
        <v>44061</v>
      </c>
      <c r="AK1082">
        <f>NETWORKDAYS(AJ1082,$AJ$1,FERIADO!$A$2:$A$408)</f>
        <v>1606</v>
      </c>
      <c r="AL1082">
        <v>6.7</v>
      </c>
      <c r="AM1082" s="6">
        <f t="shared" si="148"/>
        <v>66146.627722823192</v>
      </c>
      <c r="AN1082" s="2">
        <f t="shared" si="149"/>
        <v>7.6287489980386243E-3</v>
      </c>
      <c r="AP1082" s="11">
        <f t="shared" si="150"/>
        <v>6.5576040359697704E-3</v>
      </c>
      <c r="AQ1082" s="11">
        <f t="shared" si="151"/>
        <v>2.2886246994115872E-3</v>
      </c>
      <c r="AR1082" s="11">
        <f t="shared" si="152"/>
        <v>8.8462287353813576E-3</v>
      </c>
    </row>
    <row r="1083" spans="2:44" x14ac:dyDescent="0.35">
      <c r="B1083" s="1">
        <v>44060</v>
      </c>
      <c r="C1083">
        <v>3686.33</v>
      </c>
      <c r="D1083" s="1">
        <v>44068</v>
      </c>
      <c r="E1083">
        <v>5.5991</v>
      </c>
      <c r="F1083" s="1">
        <v>44055</v>
      </c>
      <c r="G1083">
        <v>139.15799999999999</v>
      </c>
      <c r="H1083" s="4">
        <f t="shared" si="144"/>
        <v>779159.55779999995</v>
      </c>
      <c r="I1083" s="5">
        <v>44060</v>
      </c>
      <c r="J1083" s="4">
        <v>6884.75</v>
      </c>
      <c r="K1083" s="4">
        <f t="shared" si="145"/>
        <v>68847.5</v>
      </c>
      <c r="L1083" s="1">
        <v>44060</v>
      </c>
      <c r="M1083">
        <v>2.48</v>
      </c>
      <c r="P1083" s="1">
        <v>44060</v>
      </c>
      <c r="Q1083">
        <v>3.02</v>
      </c>
      <c r="R1083" s="1">
        <v>44035</v>
      </c>
      <c r="S1083">
        <v>3.16</v>
      </c>
      <c r="X1083" s="1">
        <v>44060</v>
      </c>
      <c r="Y1083">
        <f>NETWORKDAYS(X1083,$Z$1,FERIADO!$A$2:$A$408)</f>
        <v>2620</v>
      </c>
      <c r="Z1083">
        <v>7.92</v>
      </c>
      <c r="AA1083" s="6">
        <f t="shared" si="146"/>
        <v>45273.59111264602</v>
      </c>
      <c r="AB1083" s="2">
        <f t="shared" si="147"/>
        <v>-6.9896279309256768E-3</v>
      </c>
      <c r="AJ1083" s="1">
        <v>44060</v>
      </c>
      <c r="AK1083">
        <f>NETWORKDAYS(AJ1083,$AJ$1,FERIADO!$A$2:$A$408)</f>
        <v>1607</v>
      </c>
      <c r="AL1083">
        <v>6.99</v>
      </c>
      <c r="AM1083" s="6">
        <f t="shared" si="148"/>
        <v>64994.851969740688</v>
      </c>
      <c r="AN1083" s="2">
        <f t="shared" si="149"/>
        <v>-4.0309170070922965E-3</v>
      </c>
      <c r="AP1083" s="11">
        <f t="shared" si="150"/>
        <v>-3.4948139654628384E-3</v>
      </c>
      <c r="AQ1083" s="11">
        <f t="shared" si="151"/>
        <v>-1.209275102127689E-3</v>
      </c>
      <c r="AR1083" s="11">
        <f t="shared" si="152"/>
        <v>-4.7040890675905276E-3</v>
      </c>
    </row>
    <row r="1084" spans="2:44" x14ac:dyDescent="0.35">
      <c r="B1084" s="1">
        <v>44057</v>
      </c>
      <c r="C1084">
        <v>3669.04</v>
      </c>
      <c r="D1084" s="1">
        <v>44067</v>
      </c>
      <c r="E1084">
        <v>5.5948000000000002</v>
      </c>
      <c r="F1084" s="1">
        <v>44054</v>
      </c>
      <c r="G1084">
        <v>139.375</v>
      </c>
      <c r="H1084" s="4">
        <f t="shared" si="144"/>
        <v>779775.25</v>
      </c>
      <c r="I1084" s="5">
        <v>44057</v>
      </c>
      <c r="J1084" s="4">
        <v>6776.72</v>
      </c>
      <c r="K1084" s="4">
        <f t="shared" si="145"/>
        <v>67767.199999999997</v>
      </c>
      <c r="L1084" s="1">
        <v>44057</v>
      </c>
      <c r="M1084">
        <v>2.36</v>
      </c>
      <c r="P1084" s="1">
        <v>44057</v>
      </c>
      <c r="Q1084">
        <v>2.92</v>
      </c>
      <c r="R1084" s="1">
        <v>44034</v>
      </c>
      <c r="S1084">
        <v>3.07</v>
      </c>
      <c r="X1084" s="1">
        <v>44057</v>
      </c>
      <c r="Y1084">
        <f>NETWORKDAYS(X1084,$Z$1,FERIADO!$A$2:$A$408)</f>
        <v>2621</v>
      </c>
      <c r="Z1084">
        <v>7.75</v>
      </c>
      <c r="AA1084" s="6">
        <f t="shared" si="146"/>
        <v>46008.128984231545</v>
      </c>
      <c r="AB1084" s="2">
        <f t="shared" si="147"/>
        <v>5.4799229308039976E-4</v>
      </c>
      <c r="AJ1084" s="1">
        <v>44057</v>
      </c>
      <c r="AK1084">
        <f>NETWORKDAYS(AJ1084,$AJ$1,FERIADO!$A$2:$A$408)</f>
        <v>1608</v>
      </c>
      <c r="AL1084">
        <v>6.83</v>
      </c>
      <c r="AM1084" s="6">
        <f t="shared" si="148"/>
        <v>65600.911830276265</v>
      </c>
      <c r="AN1084" s="2">
        <f t="shared" si="149"/>
        <v>6.3294397311449379E-4</v>
      </c>
      <c r="AP1084" s="11">
        <f t="shared" si="150"/>
        <v>2.7399614654019988E-4</v>
      </c>
      <c r="AQ1084" s="11">
        <f t="shared" si="151"/>
        <v>1.8988319193434812E-4</v>
      </c>
      <c r="AR1084" s="11">
        <f t="shared" si="152"/>
        <v>4.6387933847454803E-4</v>
      </c>
    </row>
    <row r="1085" spans="2:44" x14ac:dyDescent="0.35">
      <c r="B1085" s="1">
        <v>44056</v>
      </c>
      <c r="C1085">
        <v>3678.01</v>
      </c>
      <c r="D1085" s="1">
        <v>44064</v>
      </c>
      <c r="E1085">
        <v>5.6058000000000003</v>
      </c>
      <c r="F1085" s="1">
        <v>44053</v>
      </c>
      <c r="G1085">
        <v>139.82</v>
      </c>
      <c r="H1085" s="4">
        <f t="shared" si="144"/>
        <v>783802.95600000001</v>
      </c>
      <c r="I1085" s="5">
        <v>44056</v>
      </c>
      <c r="J1085" s="4">
        <v>6713.02</v>
      </c>
      <c r="K1085" s="4">
        <f t="shared" si="145"/>
        <v>67130.200000000012</v>
      </c>
      <c r="L1085" s="1">
        <v>44056</v>
      </c>
      <c r="M1085">
        <v>2.35</v>
      </c>
      <c r="P1085" s="1">
        <v>44056</v>
      </c>
      <c r="Q1085">
        <v>2.92</v>
      </c>
      <c r="R1085" s="1">
        <v>44033</v>
      </c>
      <c r="S1085">
        <v>3.14</v>
      </c>
      <c r="X1085" s="1">
        <v>44056</v>
      </c>
      <c r="Y1085">
        <f>NETWORKDAYS(X1085,$Z$1,FERIADO!$A$2:$A$408)</f>
        <v>2622</v>
      </c>
      <c r="Z1085">
        <v>7.76</v>
      </c>
      <c r="AA1085" s="6">
        <f t="shared" si="146"/>
        <v>45950.11258858184</v>
      </c>
      <c r="AB1085" s="2">
        <f t="shared" si="147"/>
        <v>-7.0082082115755324E-3</v>
      </c>
      <c r="AJ1085" s="1">
        <v>44056</v>
      </c>
      <c r="AK1085">
        <f>NETWORKDAYS(AJ1085,$AJ$1,FERIADO!$A$2:$A$408)</f>
        <v>1609</v>
      </c>
      <c r="AL1085">
        <v>6.85</v>
      </c>
      <c r="AM1085" s="6">
        <f t="shared" si="148"/>
        <v>65505.374214258882</v>
      </c>
      <c r="AN1085" s="2">
        <f t="shared" si="149"/>
        <v>-3.5236908368219432E-3</v>
      </c>
      <c r="AP1085" s="11">
        <f t="shared" si="150"/>
        <v>-3.5041041057877662E-3</v>
      </c>
      <c r="AQ1085" s="11">
        <f t="shared" si="151"/>
        <v>-1.0571072510465829E-3</v>
      </c>
      <c r="AR1085" s="11">
        <f t="shared" si="152"/>
        <v>-4.5612113568343493E-3</v>
      </c>
    </row>
    <row r="1086" spans="2:44" x14ac:dyDescent="0.35">
      <c r="B1086" s="1">
        <v>44055</v>
      </c>
      <c r="C1086">
        <v>3675.96</v>
      </c>
      <c r="D1086" s="1">
        <v>44063</v>
      </c>
      <c r="E1086">
        <v>5.6504000000000003</v>
      </c>
      <c r="F1086" s="1">
        <v>44050</v>
      </c>
      <c r="G1086">
        <v>139.95400000000001</v>
      </c>
      <c r="H1086" s="4">
        <f t="shared" si="144"/>
        <v>790796.08160000015</v>
      </c>
      <c r="I1086" s="5">
        <v>44055</v>
      </c>
      <c r="J1086" s="4">
        <v>6794.2</v>
      </c>
      <c r="K1086" s="4">
        <f t="shared" si="145"/>
        <v>67942</v>
      </c>
      <c r="L1086" s="1">
        <v>44055</v>
      </c>
      <c r="M1086">
        <v>2.29</v>
      </c>
      <c r="P1086" s="1">
        <v>44055</v>
      </c>
      <c r="Q1086">
        <v>2.86</v>
      </c>
      <c r="R1086" s="1">
        <v>44032</v>
      </c>
      <c r="S1086">
        <v>3.07</v>
      </c>
      <c r="X1086" s="1">
        <v>44055</v>
      </c>
      <c r="Y1086">
        <f>NETWORKDAYS(X1086,$Z$1,FERIADO!$A$2:$A$408)</f>
        <v>2623</v>
      </c>
      <c r="Z1086">
        <v>7.59</v>
      </c>
      <c r="AA1086" s="6">
        <f t="shared" si="146"/>
        <v>46697.624437100902</v>
      </c>
      <c r="AB1086" s="2">
        <f t="shared" si="147"/>
        <v>-8.288059558067648E-3</v>
      </c>
      <c r="AJ1086" s="1">
        <v>44055</v>
      </c>
      <c r="AK1086">
        <f>NETWORKDAYS(AJ1086,$AJ$1,FERIADO!$A$2:$A$408)</f>
        <v>1610</v>
      </c>
      <c r="AL1086">
        <v>6.71</v>
      </c>
      <c r="AM1086" s="6">
        <f t="shared" si="148"/>
        <v>66039.020455048623</v>
      </c>
      <c r="AN1086" s="2">
        <f t="shared" si="149"/>
        <v>-4.3146647330500618E-3</v>
      </c>
      <c r="AP1086" s="11">
        <f t="shared" si="150"/>
        <v>-4.144029779033824E-3</v>
      </c>
      <c r="AQ1086" s="11">
        <f t="shared" si="151"/>
        <v>-1.2943994199150185E-3</v>
      </c>
      <c r="AR1086" s="11">
        <f t="shared" si="152"/>
        <v>-5.4384291989488425E-3</v>
      </c>
    </row>
    <row r="1087" spans="2:44" x14ac:dyDescent="0.35">
      <c r="B1087" s="1">
        <v>44054</v>
      </c>
      <c r="C1087">
        <v>3641.17</v>
      </c>
      <c r="D1087" s="1">
        <v>44062</v>
      </c>
      <c r="E1087">
        <v>5.49</v>
      </c>
      <c r="F1087" s="1">
        <v>44049</v>
      </c>
      <c r="G1087">
        <v>140.14099999999999</v>
      </c>
      <c r="H1087" s="4">
        <f t="shared" si="144"/>
        <v>769374.09</v>
      </c>
      <c r="I1087" s="5">
        <v>44054</v>
      </c>
      <c r="J1087" s="4">
        <v>6726.14</v>
      </c>
      <c r="K1087" s="4">
        <f t="shared" si="145"/>
        <v>67261.400000000009</v>
      </c>
      <c r="L1087" s="1">
        <v>44054</v>
      </c>
      <c r="M1087">
        <v>2.2000000000000002</v>
      </c>
      <c r="P1087" s="1">
        <v>44054</v>
      </c>
      <c r="Q1087">
        <v>2.78</v>
      </c>
      <c r="R1087" s="1">
        <v>44029</v>
      </c>
      <c r="S1087">
        <v>3.13</v>
      </c>
      <c r="X1087" s="1">
        <v>44054</v>
      </c>
      <c r="Y1087">
        <f>NETWORKDAYS(X1087,$Z$1,FERIADO!$A$2:$A$408)</f>
        <v>2624</v>
      </c>
      <c r="Z1087">
        <v>7.39</v>
      </c>
      <c r="AA1087" s="6">
        <f t="shared" si="146"/>
        <v>47597.358080411599</v>
      </c>
      <c r="AB1087" s="2">
        <f t="shared" si="147"/>
        <v>-4.0916806004390825E-3</v>
      </c>
      <c r="AJ1087" s="1">
        <v>44054</v>
      </c>
      <c r="AK1087">
        <f>NETWORKDAYS(AJ1087,$AJ$1,FERIADO!$A$2:$A$408)</f>
        <v>1611</v>
      </c>
      <c r="AL1087">
        <v>6.54</v>
      </c>
      <c r="AM1087" s="6">
        <f t="shared" si="148"/>
        <v>66698.380284551473</v>
      </c>
      <c r="AN1087" s="2">
        <f t="shared" si="149"/>
        <v>-2.4996180060318602E-3</v>
      </c>
      <c r="AP1087" s="11">
        <f t="shared" si="150"/>
        <v>-2.0458403002195412E-3</v>
      </c>
      <c r="AQ1087" s="11">
        <f t="shared" si="151"/>
        <v>-7.49885401809558E-4</v>
      </c>
      <c r="AR1087" s="11">
        <f t="shared" si="152"/>
        <v>-2.7957257020290991E-3</v>
      </c>
    </row>
    <row r="1088" spans="2:44" x14ac:dyDescent="0.35">
      <c r="B1088" s="1">
        <v>44053</v>
      </c>
      <c r="C1088">
        <v>3659.82</v>
      </c>
      <c r="D1088" s="1">
        <v>44061</v>
      </c>
      <c r="E1088">
        <v>5.4653</v>
      </c>
      <c r="F1088" s="1">
        <v>44048</v>
      </c>
      <c r="G1088">
        <v>140.07499999999999</v>
      </c>
      <c r="H1088" s="4">
        <f t="shared" si="144"/>
        <v>765551.89749999996</v>
      </c>
      <c r="I1088" s="5">
        <v>44053</v>
      </c>
      <c r="J1088" s="4">
        <v>6852.28</v>
      </c>
      <c r="K1088" s="4">
        <f t="shared" si="145"/>
        <v>68522.8</v>
      </c>
      <c r="L1088" s="1">
        <v>44053</v>
      </c>
      <c r="M1088">
        <v>2.14</v>
      </c>
      <c r="P1088" s="1">
        <v>44053</v>
      </c>
      <c r="Q1088">
        <v>2.68</v>
      </c>
      <c r="R1088" s="1">
        <v>44028</v>
      </c>
      <c r="S1088">
        <v>3.2</v>
      </c>
      <c r="X1088" s="1">
        <v>44053</v>
      </c>
      <c r="Y1088">
        <f>NETWORKDAYS(X1088,$Z$1,FERIADO!$A$2:$A$408)</f>
        <v>2625</v>
      </c>
      <c r="Z1088">
        <v>7.29</v>
      </c>
      <c r="AA1088" s="6">
        <f t="shared" si="146"/>
        <v>48047.912970716287</v>
      </c>
      <c r="AB1088" s="2">
        <f t="shared" si="147"/>
        <v>-3.676637073233261E-3</v>
      </c>
      <c r="AJ1088" s="1">
        <v>44053</v>
      </c>
      <c r="AK1088">
        <f>NETWORKDAYS(AJ1088,$AJ$1,FERIADO!$A$2:$A$408)</f>
        <v>1612</v>
      </c>
      <c r="AL1088">
        <v>6.44</v>
      </c>
      <c r="AM1088" s="6">
        <f t="shared" si="148"/>
        <v>67083.375231255166</v>
      </c>
      <c r="AN1088" s="2">
        <f t="shared" si="149"/>
        <v>-2.2439110730717061E-3</v>
      </c>
      <c r="AP1088" s="11">
        <f t="shared" si="150"/>
        <v>-1.8383185366166305E-3</v>
      </c>
      <c r="AQ1088" s="11">
        <f t="shared" si="151"/>
        <v>-6.731733219215118E-4</v>
      </c>
      <c r="AR1088" s="11">
        <f t="shared" si="152"/>
        <v>-2.5114918585381423E-3</v>
      </c>
    </row>
    <row r="1089" spans="2:44" x14ac:dyDescent="0.35">
      <c r="B1089" s="1">
        <v>44050</v>
      </c>
      <c r="C1089">
        <v>3649.8</v>
      </c>
      <c r="D1089" s="1">
        <v>44060</v>
      </c>
      <c r="E1089">
        <v>5.4490999999999996</v>
      </c>
      <c r="F1089" s="1">
        <v>44047</v>
      </c>
      <c r="G1089">
        <v>140.38999999999999</v>
      </c>
      <c r="H1089" s="4">
        <f t="shared" si="144"/>
        <v>764999.14899999986</v>
      </c>
      <c r="I1089" s="5">
        <v>44050</v>
      </c>
      <c r="J1089" s="4">
        <v>6798.58</v>
      </c>
      <c r="K1089" s="4">
        <f t="shared" si="145"/>
        <v>67985.8</v>
      </c>
      <c r="L1089" s="1">
        <v>44050</v>
      </c>
      <c r="M1089">
        <v>2.0699999999999998</v>
      </c>
      <c r="P1089" s="1">
        <v>44050</v>
      </c>
      <c r="Q1089">
        <v>2.66</v>
      </c>
      <c r="R1089" s="1">
        <v>44027</v>
      </c>
      <c r="S1089">
        <v>3.21</v>
      </c>
      <c r="X1089" s="1">
        <v>44050</v>
      </c>
      <c r="Y1089">
        <f>NETWORKDAYS(X1089,$Z$1,FERIADO!$A$2:$A$408)</f>
        <v>2626</v>
      </c>
      <c r="Z1089">
        <v>7.2</v>
      </c>
      <c r="AA1089" s="6">
        <f t="shared" si="146"/>
        <v>48456.402185455634</v>
      </c>
      <c r="AB1089" s="2">
        <f t="shared" si="147"/>
        <v>-4.1054225061271836E-3</v>
      </c>
      <c r="AJ1089" s="1">
        <v>44050</v>
      </c>
      <c r="AK1089">
        <f>NETWORKDAYS(AJ1089,$AJ$1,FERIADO!$A$2:$A$408)</f>
        <v>1613</v>
      </c>
      <c r="AL1089">
        <v>6.35</v>
      </c>
      <c r="AM1089" s="6">
        <f t="shared" si="148"/>
        <v>67430.878324357924</v>
      </c>
      <c r="AN1089" s="2">
        <f t="shared" si="149"/>
        <v>-3.8198737299338583E-3</v>
      </c>
      <c r="AP1089" s="11">
        <f t="shared" si="150"/>
        <v>-2.0527112530635918E-3</v>
      </c>
      <c r="AQ1089" s="11">
        <f t="shared" si="151"/>
        <v>-1.1459621189801575E-3</v>
      </c>
      <c r="AR1089" s="11">
        <f t="shared" si="152"/>
        <v>-3.1986733720437491E-3</v>
      </c>
    </row>
    <row r="1090" spans="2:44" x14ac:dyDescent="0.35">
      <c r="B1090" s="1">
        <v>44049</v>
      </c>
      <c r="C1090">
        <v>3648.32</v>
      </c>
      <c r="D1090" s="1">
        <v>44057</v>
      </c>
      <c r="E1090">
        <v>5.3845999999999998</v>
      </c>
      <c r="F1090" s="1">
        <v>44046</v>
      </c>
      <c r="G1090">
        <v>139.98500000000001</v>
      </c>
      <c r="H1090" s="4">
        <f t="shared" si="144"/>
        <v>753763.23100000003</v>
      </c>
      <c r="I1090" s="5">
        <v>44049</v>
      </c>
      <c r="J1090" s="4">
        <v>6663.07</v>
      </c>
      <c r="K1090" s="4">
        <f t="shared" si="145"/>
        <v>66630.7</v>
      </c>
      <c r="L1090" s="1">
        <v>44049</v>
      </c>
      <c r="M1090">
        <v>2.0499999999999998</v>
      </c>
      <c r="P1090" s="1">
        <v>44049</v>
      </c>
      <c r="Q1090">
        <v>2.6</v>
      </c>
      <c r="R1090" s="1">
        <v>44026</v>
      </c>
      <c r="S1090">
        <v>3.2</v>
      </c>
      <c r="X1090" s="1">
        <v>44049</v>
      </c>
      <c r="Y1090">
        <f>NETWORKDAYS(X1090,$Z$1,FERIADO!$A$2:$A$408)</f>
        <v>2627</v>
      </c>
      <c r="Z1090">
        <v>7.1</v>
      </c>
      <c r="AA1090" s="6">
        <f t="shared" si="146"/>
        <v>48916.636547739508</v>
      </c>
      <c r="AB1090" s="2">
        <f t="shared" si="147"/>
        <v>1.8094261806834125E-3</v>
      </c>
      <c r="AJ1090" s="1">
        <v>44049</v>
      </c>
      <c r="AK1090">
        <f>NETWORKDAYS(AJ1090,$AJ$1,FERIADO!$A$2:$A$408)</f>
        <v>1614</v>
      </c>
      <c r="AL1090">
        <v>6.2</v>
      </c>
      <c r="AM1090" s="6">
        <f t="shared" si="148"/>
        <v>68026.588267661529</v>
      </c>
      <c r="AN1090" s="2">
        <f t="shared" si="149"/>
        <v>1.9376155062033956E-3</v>
      </c>
      <c r="AP1090" s="11">
        <f t="shared" si="150"/>
        <v>9.0471309034170625E-4</v>
      </c>
      <c r="AQ1090" s="11">
        <f t="shared" si="151"/>
        <v>5.8128465186101867E-4</v>
      </c>
      <c r="AR1090" s="11">
        <f t="shared" si="152"/>
        <v>1.4859977422027248E-3</v>
      </c>
    </row>
    <row r="1091" spans="2:44" x14ac:dyDescent="0.35">
      <c r="B1091" s="1">
        <v>44048</v>
      </c>
      <c r="C1091">
        <v>3617.39</v>
      </c>
      <c r="D1091" s="1">
        <v>44056</v>
      </c>
      <c r="E1091">
        <v>5.3795000000000002</v>
      </c>
      <c r="F1091" s="1">
        <v>44043</v>
      </c>
      <c r="G1091">
        <v>140.078</v>
      </c>
      <c r="H1091" s="4">
        <f t="shared" si="144"/>
        <v>753549.60100000002</v>
      </c>
      <c r="I1091" s="5">
        <v>44048</v>
      </c>
      <c r="J1091" s="4">
        <v>6618.73</v>
      </c>
      <c r="K1091" s="4">
        <f t="shared" si="145"/>
        <v>66187.299999999988</v>
      </c>
      <c r="L1091" s="1">
        <v>44048</v>
      </c>
      <c r="M1091">
        <v>2.15</v>
      </c>
      <c r="P1091" s="1">
        <v>44048</v>
      </c>
      <c r="Q1091">
        <v>2.68</v>
      </c>
      <c r="R1091" s="1">
        <v>44025</v>
      </c>
      <c r="S1091">
        <v>3.12</v>
      </c>
      <c r="X1091" s="1">
        <v>44048</v>
      </c>
      <c r="Y1091">
        <f>NETWORKDAYS(X1091,$Z$1,FERIADO!$A$2:$A$408)</f>
        <v>2628</v>
      </c>
      <c r="Z1091">
        <v>7.14</v>
      </c>
      <c r="AA1091" s="6">
        <f t="shared" si="146"/>
        <v>48713.256311539946</v>
      </c>
      <c r="AB1091" s="2">
        <f t="shared" si="147"/>
        <v>-4.9586133368827497E-3</v>
      </c>
      <c r="AJ1091" s="1">
        <v>44048</v>
      </c>
      <c r="AK1091">
        <f>NETWORKDAYS(AJ1091,$AJ$1,FERIADO!$A$2:$A$408)</f>
        <v>1615</v>
      </c>
      <c r="AL1091">
        <v>6.27</v>
      </c>
      <c r="AM1091" s="6">
        <f t="shared" si="148"/>
        <v>67723.762007694429</v>
      </c>
      <c r="AN1091" s="2">
        <f t="shared" si="149"/>
        <v>-2.2548094857805265E-3</v>
      </c>
      <c r="AP1091" s="11">
        <f t="shared" si="150"/>
        <v>-2.4793066684413749E-3</v>
      </c>
      <c r="AQ1091" s="11">
        <f t="shared" si="151"/>
        <v>-6.7644284573415792E-4</v>
      </c>
      <c r="AR1091" s="11">
        <f t="shared" si="152"/>
        <v>-3.1557495141755327E-3</v>
      </c>
    </row>
    <row r="1092" spans="2:44" x14ac:dyDescent="0.35">
      <c r="B1092" s="1">
        <v>44047</v>
      </c>
      <c r="C1092">
        <v>3600.01</v>
      </c>
      <c r="D1092" s="1">
        <v>44055</v>
      </c>
      <c r="E1092">
        <v>5.4545000000000003</v>
      </c>
      <c r="F1092" s="1">
        <v>44042</v>
      </c>
      <c r="G1092">
        <v>140.03200000000001</v>
      </c>
      <c r="H1092" s="4">
        <f t="shared" ref="H1092:H1155" si="153">G1092*E1092*1000</f>
        <v>763804.54400000011</v>
      </c>
      <c r="I1092" s="5">
        <v>44047</v>
      </c>
      <c r="J1092" s="4">
        <v>6604.37</v>
      </c>
      <c r="K1092" s="4">
        <f t="shared" si="145"/>
        <v>66043.7</v>
      </c>
      <c r="L1092" s="1">
        <v>44047</v>
      </c>
      <c r="M1092">
        <v>2.1</v>
      </c>
      <c r="P1092" s="1">
        <v>44047</v>
      </c>
      <c r="Q1092">
        <v>2.62</v>
      </c>
      <c r="R1092" s="1">
        <v>44022</v>
      </c>
      <c r="S1092">
        <v>3.07</v>
      </c>
      <c r="X1092" s="1">
        <v>44047</v>
      </c>
      <c r="Y1092">
        <f>NETWORKDAYS(X1092,$Z$1,FERIADO!$A$2:$A$408)</f>
        <v>2629</v>
      </c>
      <c r="Z1092">
        <v>7.02</v>
      </c>
      <c r="AA1092" s="6">
        <f t="shared" si="146"/>
        <v>49272.633510778986</v>
      </c>
      <c r="AB1092" s="2">
        <f t="shared" si="147"/>
        <v>-3.2725076656992202E-3</v>
      </c>
      <c r="AJ1092" s="1">
        <v>44047</v>
      </c>
      <c r="AK1092">
        <f>NETWORKDAYS(AJ1092,$AJ$1,FERIADO!$A$2:$A$408)</f>
        <v>1616</v>
      </c>
      <c r="AL1092">
        <v>6.18</v>
      </c>
      <c r="AM1092" s="6">
        <f t="shared" si="148"/>
        <v>68076.290731889836</v>
      </c>
      <c r="AN1092" s="2">
        <f t="shared" si="149"/>
        <v>-3.047869464007548E-3</v>
      </c>
      <c r="AP1092" s="11">
        <f t="shared" si="150"/>
        <v>-1.6362538328496101E-3</v>
      </c>
      <c r="AQ1092" s="11">
        <f t="shared" si="151"/>
        <v>-9.1436083920226434E-4</v>
      </c>
      <c r="AR1092" s="11">
        <f t="shared" si="152"/>
        <v>-2.5506146720518743E-3</v>
      </c>
    </row>
    <row r="1093" spans="2:44" x14ac:dyDescent="0.35">
      <c r="B1093" s="1">
        <v>44046</v>
      </c>
      <c r="C1093">
        <v>3583.72</v>
      </c>
      <c r="D1093" s="1">
        <v>44054</v>
      </c>
      <c r="E1093">
        <v>5.4279000000000002</v>
      </c>
      <c r="F1093" s="1">
        <v>44041</v>
      </c>
      <c r="G1093">
        <v>139.76599999999999</v>
      </c>
      <c r="H1093" s="4">
        <f t="shared" si="153"/>
        <v>758635.87139999995</v>
      </c>
      <c r="I1093" s="5">
        <v>44046</v>
      </c>
      <c r="J1093" s="4">
        <v>6656.2</v>
      </c>
      <c r="K1093" s="4">
        <f t="shared" ref="K1093:K1156" si="154">J1093*10</f>
        <v>66562</v>
      </c>
      <c r="L1093" s="1">
        <v>44046</v>
      </c>
      <c r="M1093">
        <v>2.08</v>
      </c>
      <c r="P1093" s="1">
        <v>44046</v>
      </c>
      <c r="Q1093">
        <v>2.59</v>
      </c>
      <c r="R1093" s="1">
        <v>44021</v>
      </c>
      <c r="S1093">
        <v>3.16</v>
      </c>
      <c r="X1093" s="1">
        <v>44046</v>
      </c>
      <c r="Y1093">
        <f>NETWORKDAYS(X1093,$Z$1,FERIADO!$A$2:$A$408)</f>
        <v>2630</v>
      </c>
      <c r="Z1093">
        <v>6.94</v>
      </c>
      <c r="AA1093" s="6">
        <f t="shared" ref="AA1093:AA1156" si="155">$Z$2/(1+Z1093/100)^(Y1093/252)</f>
        <v>49645.316368927954</v>
      </c>
      <c r="AB1093" s="2">
        <f t="shared" ref="AB1093:AB1156" si="156">LOG(AA1093/AA1094)</f>
        <v>-7.3244090415815275E-4</v>
      </c>
      <c r="AJ1093" s="1">
        <v>44046</v>
      </c>
      <c r="AK1093">
        <f>NETWORKDAYS(AJ1093,$AJ$1,FERIADO!$A$2:$A$408)</f>
        <v>1617</v>
      </c>
      <c r="AL1093">
        <v>6.06</v>
      </c>
      <c r="AM1093" s="6">
        <f t="shared" ref="AM1093:AM1156" si="157">$Z$2/(1+AL1093/100)^(AK1093/252)</f>
        <v>68555.729072847564</v>
      </c>
      <c r="AN1093" s="2">
        <f t="shared" ref="AN1093:AN1156" si="158">LOG(AM1093/AM1094)</f>
        <v>3.6429508981950827E-4</v>
      </c>
      <c r="AP1093" s="11">
        <f t="shared" ref="AP1093:AP1156" si="159">AB1093*$AF$4</f>
        <v>-3.6622045207907638E-4</v>
      </c>
      <c r="AQ1093" s="11">
        <f t="shared" ref="AQ1093:AQ1156" si="160">AN1093*$AF$7</f>
        <v>1.0928852694585247E-4</v>
      </c>
      <c r="AR1093" s="11">
        <f t="shared" ref="AR1093:AR1156" si="161">AQ1093+AP1093</f>
        <v>-2.5693192513322389E-4</v>
      </c>
    </row>
    <row r="1094" spans="2:44" x14ac:dyDescent="0.35">
      <c r="B1094" s="1">
        <v>44043</v>
      </c>
      <c r="C1094">
        <v>3565.71</v>
      </c>
      <c r="D1094" s="1">
        <v>44053</v>
      </c>
      <c r="E1094">
        <v>5.3926999999999996</v>
      </c>
      <c r="F1094" s="1">
        <v>44040</v>
      </c>
      <c r="G1094">
        <v>139.68799999999999</v>
      </c>
      <c r="H1094" s="4">
        <f t="shared" si="153"/>
        <v>753295.47759999987</v>
      </c>
      <c r="I1094" s="5">
        <v>44043</v>
      </c>
      <c r="J1094" s="4">
        <v>6533.8</v>
      </c>
      <c r="K1094" s="4">
        <f t="shared" si="154"/>
        <v>65338</v>
      </c>
      <c r="L1094" s="1">
        <v>44043</v>
      </c>
      <c r="M1094">
        <v>2.1</v>
      </c>
      <c r="P1094" s="1">
        <v>44043</v>
      </c>
      <c r="Q1094">
        <v>2.61</v>
      </c>
      <c r="R1094" s="1">
        <v>44020</v>
      </c>
      <c r="S1094">
        <v>3.26</v>
      </c>
      <c r="X1094" s="1">
        <v>44043</v>
      </c>
      <c r="Y1094">
        <f>NETWORKDAYS(X1094,$Z$1,FERIADO!$A$2:$A$408)</f>
        <v>2631</v>
      </c>
      <c r="Z1094">
        <v>6.92</v>
      </c>
      <c r="AA1094" s="6">
        <f t="shared" si="155"/>
        <v>49729.114210674445</v>
      </c>
      <c r="AB1094" s="2">
        <f t="shared" si="156"/>
        <v>1.3878521124798626E-3</v>
      </c>
      <c r="AJ1094" s="1">
        <v>44043</v>
      </c>
      <c r="AK1094">
        <f>NETWORKDAYS(AJ1094,$AJ$1,FERIADO!$A$2:$A$408)</f>
        <v>1618</v>
      </c>
      <c r="AL1094">
        <v>6.07</v>
      </c>
      <c r="AM1094" s="6">
        <f t="shared" si="157"/>
        <v>68498.247237637712</v>
      </c>
      <c r="AN1094" s="2">
        <f t="shared" si="158"/>
        <v>1.1535588460645657E-3</v>
      </c>
      <c r="AP1094" s="11">
        <f t="shared" si="159"/>
        <v>6.9392605623993131E-4</v>
      </c>
      <c r="AQ1094" s="11">
        <f t="shared" si="160"/>
        <v>3.4606765381936972E-4</v>
      </c>
      <c r="AR1094" s="11">
        <f t="shared" si="161"/>
        <v>1.039993710059301E-3</v>
      </c>
    </row>
    <row r="1095" spans="2:44" x14ac:dyDescent="0.35">
      <c r="B1095" s="1">
        <v>44042</v>
      </c>
      <c r="C1095">
        <v>3567.03</v>
      </c>
      <c r="D1095" s="1">
        <v>44050</v>
      </c>
      <c r="E1095">
        <v>5.4221000000000004</v>
      </c>
      <c r="F1095" s="1">
        <v>44039</v>
      </c>
      <c r="G1095">
        <v>139.40600000000001</v>
      </c>
      <c r="H1095" s="4">
        <f t="shared" si="153"/>
        <v>755873.27260000003</v>
      </c>
      <c r="I1095" s="5">
        <v>44042</v>
      </c>
      <c r="J1095" s="4">
        <v>6442</v>
      </c>
      <c r="K1095" s="4">
        <f t="shared" si="154"/>
        <v>64420</v>
      </c>
      <c r="L1095" s="1">
        <v>44042</v>
      </c>
      <c r="M1095">
        <v>2.12</v>
      </c>
      <c r="P1095" s="1">
        <v>44042</v>
      </c>
      <c r="Q1095">
        <v>2.62</v>
      </c>
      <c r="R1095" s="1">
        <v>44019</v>
      </c>
      <c r="S1095">
        <v>3.31</v>
      </c>
      <c r="X1095" s="1">
        <v>44042</v>
      </c>
      <c r="Y1095">
        <f>NETWORKDAYS(X1095,$Z$1,FERIADO!$A$2:$A$408)</f>
        <v>2632</v>
      </c>
      <c r="Z1095">
        <v>6.95</v>
      </c>
      <c r="AA1095" s="6">
        <f t="shared" si="155"/>
        <v>49570.451137576863</v>
      </c>
      <c r="AB1095" s="2">
        <f t="shared" si="156"/>
        <v>6.8992239694468833E-3</v>
      </c>
      <c r="AJ1095" s="1">
        <v>44042</v>
      </c>
      <c r="AK1095">
        <f>NETWORKDAYS(AJ1095,$AJ$1,FERIADO!$A$2:$A$408)</f>
        <v>1619</v>
      </c>
      <c r="AL1095">
        <v>6.11</v>
      </c>
      <c r="AM1095" s="6">
        <f t="shared" si="157"/>
        <v>68316.545847656671</v>
      </c>
      <c r="AN1095" s="2">
        <f t="shared" si="158"/>
        <v>4.8342309300951876E-3</v>
      </c>
      <c r="AP1095" s="11">
        <f t="shared" si="159"/>
        <v>3.4496119847234417E-3</v>
      </c>
      <c r="AQ1095" s="11">
        <f t="shared" si="160"/>
        <v>1.4502692790285562E-3</v>
      </c>
      <c r="AR1095" s="11">
        <f t="shared" si="161"/>
        <v>4.8998812637519977E-3</v>
      </c>
    </row>
    <row r="1096" spans="2:44" x14ac:dyDescent="0.35">
      <c r="B1096" s="1">
        <v>44041</v>
      </c>
      <c r="C1096">
        <v>3557.29</v>
      </c>
      <c r="D1096" s="1">
        <v>44049</v>
      </c>
      <c r="E1096">
        <v>5.3425000000000002</v>
      </c>
      <c r="F1096" s="1">
        <v>44036</v>
      </c>
      <c r="G1096">
        <v>139.59100000000001</v>
      </c>
      <c r="H1096" s="4">
        <f t="shared" si="153"/>
        <v>745764.91749999998</v>
      </c>
      <c r="I1096" s="5">
        <v>44041</v>
      </c>
      <c r="J1096" s="4">
        <v>6465.13</v>
      </c>
      <c r="K1096" s="4">
        <f t="shared" si="154"/>
        <v>64651.3</v>
      </c>
      <c r="L1096" s="1">
        <v>44041</v>
      </c>
      <c r="M1096">
        <v>2.21</v>
      </c>
      <c r="P1096" s="1">
        <v>44041</v>
      </c>
      <c r="Q1096">
        <v>2.7</v>
      </c>
      <c r="R1096" s="1">
        <v>44015</v>
      </c>
      <c r="S1096">
        <v>3.22</v>
      </c>
      <c r="X1096" s="1">
        <v>44041</v>
      </c>
      <c r="Y1096">
        <f>NETWORKDAYS(X1096,$Z$1,FERIADO!$A$2:$A$408)</f>
        <v>2633</v>
      </c>
      <c r="Z1096">
        <v>7.11</v>
      </c>
      <c r="AA1096" s="6">
        <f t="shared" si="155"/>
        <v>48789.194430977164</v>
      </c>
      <c r="AB1096" s="2">
        <f t="shared" si="156"/>
        <v>-3.0545505498504153E-4</v>
      </c>
      <c r="AJ1096" s="1">
        <v>44041</v>
      </c>
      <c r="AK1096">
        <f>NETWORKDAYS(AJ1096,$AJ$1,FERIADO!$A$2:$A$408)</f>
        <v>1620</v>
      </c>
      <c r="AL1096">
        <v>6.29</v>
      </c>
      <c r="AM1096" s="6">
        <f t="shared" si="157"/>
        <v>67560.3154891093</v>
      </c>
      <c r="AN1096" s="2">
        <f t="shared" si="158"/>
        <v>-4.2058018812525657E-4</v>
      </c>
      <c r="AP1096" s="11">
        <f t="shared" si="159"/>
        <v>-1.5272752749252076E-4</v>
      </c>
      <c r="AQ1096" s="11">
        <f t="shared" si="160"/>
        <v>-1.2617405643757697E-4</v>
      </c>
      <c r="AR1096" s="11">
        <f t="shared" si="161"/>
        <v>-2.7890158393009776E-4</v>
      </c>
    </row>
    <row r="1097" spans="2:44" x14ac:dyDescent="0.35">
      <c r="B1097" s="1">
        <v>44040</v>
      </c>
      <c r="C1097">
        <v>3507.36</v>
      </c>
      <c r="D1097" s="1">
        <v>44048</v>
      </c>
      <c r="E1097">
        <v>5.2754000000000003</v>
      </c>
      <c r="F1097" s="1">
        <v>44035</v>
      </c>
      <c r="G1097">
        <v>139.63</v>
      </c>
      <c r="H1097" s="4">
        <f t="shared" si="153"/>
        <v>736604.10199999996</v>
      </c>
      <c r="I1097" s="5">
        <v>44040</v>
      </c>
      <c r="J1097" s="4">
        <v>6455.75</v>
      </c>
      <c r="K1097" s="4">
        <f t="shared" si="154"/>
        <v>64557.5</v>
      </c>
      <c r="L1097" s="1">
        <v>44040</v>
      </c>
      <c r="M1097">
        <v>2.1800000000000002</v>
      </c>
      <c r="P1097" s="1">
        <v>44040</v>
      </c>
      <c r="Q1097">
        <v>2.68</v>
      </c>
      <c r="R1097" s="1">
        <v>44014</v>
      </c>
      <c r="S1097">
        <v>3.29</v>
      </c>
      <c r="X1097" s="1">
        <v>44040</v>
      </c>
      <c r="Y1097">
        <f>NETWORKDAYS(X1097,$Z$1,FERIADO!$A$2:$A$408)</f>
        <v>2634</v>
      </c>
      <c r="Z1097">
        <v>7.1</v>
      </c>
      <c r="AA1097" s="6">
        <f t="shared" si="155"/>
        <v>48823.521710725807</v>
      </c>
      <c r="AB1097" s="2">
        <f t="shared" si="156"/>
        <v>-7.298846998386872E-4</v>
      </c>
      <c r="AJ1097" s="1">
        <v>44040</v>
      </c>
      <c r="AK1097">
        <f>NETWORKDAYS(AJ1097,$AJ$1,FERIADO!$A$2:$A$408)</f>
        <v>1621</v>
      </c>
      <c r="AL1097">
        <v>6.27</v>
      </c>
      <c r="AM1097" s="6">
        <f t="shared" si="157"/>
        <v>67625.774053398447</v>
      </c>
      <c r="AN1097" s="2">
        <f t="shared" si="158"/>
        <v>-1.582493873867057E-4</v>
      </c>
      <c r="AP1097" s="11">
        <f t="shared" si="159"/>
        <v>-3.649423499193436E-4</v>
      </c>
      <c r="AQ1097" s="11">
        <f t="shared" si="160"/>
        <v>-4.747481621601171E-5</v>
      </c>
      <c r="AR1097" s="11">
        <f t="shared" si="161"/>
        <v>-4.124171661353553E-4</v>
      </c>
    </row>
    <row r="1098" spans="2:44" x14ac:dyDescent="0.35">
      <c r="B1098" s="1">
        <v>44039</v>
      </c>
      <c r="C1098">
        <v>3534.4</v>
      </c>
      <c r="D1098" s="1">
        <v>44047</v>
      </c>
      <c r="E1098">
        <v>5.3323</v>
      </c>
      <c r="F1098" s="1">
        <v>44034</v>
      </c>
      <c r="G1098">
        <v>139.52699999999999</v>
      </c>
      <c r="H1098" s="4">
        <f t="shared" si="153"/>
        <v>743999.82209999999</v>
      </c>
      <c r="I1098" s="5">
        <v>44039</v>
      </c>
      <c r="J1098" s="4">
        <v>6437.01</v>
      </c>
      <c r="K1098" s="4">
        <f t="shared" si="154"/>
        <v>64370.100000000006</v>
      </c>
      <c r="L1098" s="1">
        <v>44039</v>
      </c>
      <c r="M1098">
        <v>2.12</v>
      </c>
      <c r="P1098" s="1">
        <v>44039</v>
      </c>
      <c r="Q1098">
        <v>2.65</v>
      </c>
      <c r="R1098" s="1">
        <v>44013</v>
      </c>
      <c r="S1098">
        <v>3.29</v>
      </c>
      <c r="X1098" s="1">
        <v>44039</v>
      </c>
      <c r="Y1098">
        <f>NETWORKDAYS(X1098,$Z$1,FERIADO!$A$2:$A$408)</f>
        <v>2635</v>
      </c>
      <c r="Z1098">
        <v>7.08</v>
      </c>
      <c r="AA1098" s="6">
        <f t="shared" si="155"/>
        <v>48905.644566733368</v>
      </c>
      <c r="AB1098" s="2">
        <f t="shared" si="156"/>
        <v>3.5106150198380907E-3</v>
      </c>
      <c r="AJ1098" s="1">
        <v>44039</v>
      </c>
      <c r="AK1098">
        <f>NETWORKDAYS(AJ1098,$AJ$1,FERIADO!$A$2:$A$408)</f>
        <v>1622</v>
      </c>
      <c r="AL1098">
        <v>6.26</v>
      </c>
      <c r="AM1098" s="6">
        <f t="shared" si="157"/>
        <v>67650.42020425282</v>
      </c>
      <c r="AN1098" s="2">
        <f t="shared" si="158"/>
        <v>1.9466331344039839E-3</v>
      </c>
      <c r="AP1098" s="11">
        <f t="shared" si="159"/>
        <v>1.7553075099190454E-3</v>
      </c>
      <c r="AQ1098" s="11">
        <f t="shared" si="160"/>
        <v>5.8398994032119518E-4</v>
      </c>
      <c r="AR1098" s="11">
        <f t="shared" si="161"/>
        <v>2.3392974502402407E-3</v>
      </c>
    </row>
    <row r="1099" spans="2:44" x14ac:dyDescent="0.35">
      <c r="B1099" s="1">
        <v>44036</v>
      </c>
      <c r="C1099">
        <v>3499.13</v>
      </c>
      <c r="D1099" s="1">
        <v>44046</v>
      </c>
      <c r="E1099">
        <v>5.3068999999999997</v>
      </c>
      <c r="F1099" s="1">
        <v>44033</v>
      </c>
      <c r="G1099">
        <v>139.53800000000001</v>
      </c>
      <c r="H1099" s="4">
        <f t="shared" si="153"/>
        <v>740514.21219999995</v>
      </c>
      <c r="I1099" s="5">
        <v>44036</v>
      </c>
      <c r="J1099" s="4">
        <v>6544.5</v>
      </c>
      <c r="K1099" s="4">
        <f t="shared" si="154"/>
        <v>65445</v>
      </c>
      <c r="L1099" s="1">
        <v>44036</v>
      </c>
      <c r="M1099">
        <v>2.2000000000000002</v>
      </c>
      <c r="P1099" s="1">
        <v>44036</v>
      </c>
      <c r="Q1099">
        <v>2.72</v>
      </c>
      <c r="R1099" s="1">
        <v>44012</v>
      </c>
      <c r="S1099">
        <v>3.36</v>
      </c>
      <c r="X1099" s="1">
        <v>44036</v>
      </c>
      <c r="Y1099">
        <f>NETWORKDAYS(X1099,$Z$1,FERIADO!$A$2:$A$408)</f>
        <v>2636</v>
      </c>
      <c r="Z1099">
        <v>7.16</v>
      </c>
      <c r="AA1099" s="6">
        <f t="shared" si="155"/>
        <v>48511.909806569536</v>
      </c>
      <c r="AB1099" s="2">
        <f t="shared" si="156"/>
        <v>3.0868598418739577E-3</v>
      </c>
      <c r="AJ1099" s="1">
        <v>44036</v>
      </c>
      <c r="AK1099">
        <f>NETWORKDAYS(AJ1099,$AJ$1,FERIADO!$A$2:$A$408)</f>
        <v>1623</v>
      </c>
      <c r="AL1099">
        <v>6.33</v>
      </c>
      <c r="AM1099" s="6">
        <f t="shared" si="157"/>
        <v>67347.870073045618</v>
      </c>
      <c r="AN1099" s="2">
        <f t="shared" si="158"/>
        <v>2.7367103605427635E-3</v>
      </c>
      <c r="AP1099" s="11">
        <f t="shared" si="159"/>
        <v>1.5434299209369788E-3</v>
      </c>
      <c r="AQ1099" s="11">
        <f t="shared" si="160"/>
        <v>8.2101310816282906E-4</v>
      </c>
      <c r="AR1099" s="11">
        <f t="shared" si="161"/>
        <v>2.364443029099808E-3</v>
      </c>
    </row>
    <row r="1100" spans="2:44" x14ac:dyDescent="0.35">
      <c r="B1100" s="1">
        <v>44035</v>
      </c>
      <c r="C1100">
        <v>3524.65</v>
      </c>
      <c r="D1100" s="1">
        <v>44043</v>
      </c>
      <c r="E1100">
        <v>5.2027000000000001</v>
      </c>
      <c r="F1100" s="1">
        <v>44032</v>
      </c>
      <c r="G1100">
        <v>139.36099999999999</v>
      </c>
      <c r="H1100" s="4">
        <f t="shared" si="153"/>
        <v>725053.4746999999</v>
      </c>
      <c r="I1100" s="5">
        <v>44035</v>
      </c>
      <c r="J1100" s="4">
        <v>6515.12</v>
      </c>
      <c r="K1100" s="4">
        <f t="shared" si="154"/>
        <v>65151.199999999997</v>
      </c>
      <c r="L1100" s="1">
        <v>44035</v>
      </c>
      <c r="M1100">
        <v>2.2400000000000002</v>
      </c>
      <c r="P1100" s="1">
        <v>44035</v>
      </c>
      <c r="Q1100">
        <v>2.78</v>
      </c>
      <c r="R1100" s="1">
        <v>44011</v>
      </c>
      <c r="S1100">
        <v>3.45</v>
      </c>
      <c r="X1100" s="1">
        <v>44035</v>
      </c>
      <c r="Y1100">
        <f>NETWORKDAYS(X1100,$Z$1,FERIADO!$A$2:$A$408)</f>
        <v>2637</v>
      </c>
      <c r="Z1100">
        <v>7.23</v>
      </c>
      <c r="AA1100" s="6">
        <f t="shared" si="155"/>
        <v>48168.321435848047</v>
      </c>
      <c r="AB1100" s="2">
        <f t="shared" si="156"/>
        <v>-2.4242709217363835E-3</v>
      </c>
      <c r="AJ1100" s="1">
        <v>44035</v>
      </c>
      <c r="AK1100">
        <f>NETWORKDAYS(AJ1100,$AJ$1,FERIADO!$A$2:$A$408)</f>
        <v>1624</v>
      </c>
      <c r="AL1100">
        <v>6.43</v>
      </c>
      <c r="AM1100" s="6">
        <f t="shared" si="157"/>
        <v>66924.81125297588</v>
      </c>
      <c r="AN1100" s="2">
        <f t="shared" si="158"/>
        <v>-9.4532732790893268E-4</v>
      </c>
      <c r="AP1100" s="11">
        <f t="shared" si="159"/>
        <v>-1.2121354608681917E-3</v>
      </c>
      <c r="AQ1100" s="11">
        <f t="shared" si="160"/>
        <v>-2.8359819837267981E-4</v>
      </c>
      <c r="AR1100" s="11">
        <f t="shared" si="161"/>
        <v>-1.4957336592408715E-3</v>
      </c>
    </row>
    <row r="1101" spans="2:44" x14ac:dyDescent="0.35">
      <c r="B1101" s="1">
        <v>44034</v>
      </c>
      <c r="C1101">
        <v>3570.29</v>
      </c>
      <c r="D1101" s="1">
        <v>44042</v>
      </c>
      <c r="E1101">
        <v>5.1830999999999996</v>
      </c>
      <c r="F1101" s="1">
        <v>44029</v>
      </c>
      <c r="G1101">
        <v>139.36000000000001</v>
      </c>
      <c r="H1101" s="4">
        <f t="shared" si="153"/>
        <v>722316.81599999999</v>
      </c>
      <c r="I1101" s="5">
        <v>44034</v>
      </c>
      <c r="J1101" s="4">
        <v>6404.51</v>
      </c>
      <c r="K1101" s="4">
        <f t="shared" si="154"/>
        <v>64045.100000000006</v>
      </c>
      <c r="L1101" s="1">
        <v>44034</v>
      </c>
      <c r="M1101">
        <v>2.2200000000000002</v>
      </c>
      <c r="P1101" s="1">
        <v>44034</v>
      </c>
      <c r="Q1101">
        <v>2.75</v>
      </c>
      <c r="R1101" s="1">
        <v>44008</v>
      </c>
      <c r="S1101">
        <v>3.52</v>
      </c>
      <c r="X1101" s="1">
        <v>44034</v>
      </c>
      <c r="Y1101">
        <f>NETWORKDAYS(X1101,$Z$1,FERIADO!$A$2:$A$408)</f>
        <v>2638</v>
      </c>
      <c r="Z1101">
        <v>7.17</v>
      </c>
      <c r="AA1101" s="6">
        <f t="shared" si="155"/>
        <v>48437.953199643605</v>
      </c>
      <c r="AB1101" s="2">
        <f t="shared" si="156"/>
        <v>-2.852258310933596E-3</v>
      </c>
      <c r="AJ1101" s="1">
        <v>44034</v>
      </c>
      <c r="AK1101">
        <f>NETWORKDAYS(AJ1101,$AJ$1,FERIADO!$A$2:$A$408)</f>
        <v>1625</v>
      </c>
      <c r="AL1101">
        <v>6.39</v>
      </c>
      <c r="AM1101" s="6">
        <f t="shared" si="157"/>
        <v>67070.644923220127</v>
      </c>
      <c r="AN1101" s="2">
        <f t="shared" si="158"/>
        <v>-1.7376054955646452E-3</v>
      </c>
      <c r="AP1101" s="11">
        <f t="shared" si="159"/>
        <v>-1.426129155466798E-3</v>
      </c>
      <c r="AQ1101" s="11">
        <f t="shared" si="160"/>
        <v>-5.2128164866939355E-4</v>
      </c>
      <c r="AR1101" s="11">
        <f t="shared" si="161"/>
        <v>-1.9474108041361916E-3</v>
      </c>
    </row>
    <row r="1102" spans="2:44" x14ac:dyDescent="0.35">
      <c r="B1102" s="1">
        <v>44033</v>
      </c>
      <c r="C1102">
        <v>3559.15</v>
      </c>
      <c r="D1102" s="1">
        <v>44041</v>
      </c>
      <c r="E1102">
        <v>5.1388999999999996</v>
      </c>
      <c r="F1102" s="1">
        <v>44028</v>
      </c>
      <c r="G1102">
        <v>139.46799999999999</v>
      </c>
      <c r="H1102" s="4">
        <f t="shared" si="153"/>
        <v>716712.10519999987</v>
      </c>
      <c r="I1102" s="5">
        <v>44033</v>
      </c>
      <c r="J1102" s="4">
        <v>6466.38</v>
      </c>
      <c r="K1102" s="4">
        <f t="shared" si="154"/>
        <v>64663.8</v>
      </c>
      <c r="L1102" s="1">
        <v>44033</v>
      </c>
      <c r="M1102">
        <v>2.2400000000000002</v>
      </c>
      <c r="P1102" s="1">
        <v>44033</v>
      </c>
      <c r="Q1102">
        <v>2.77</v>
      </c>
      <c r="R1102" s="1">
        <v>44007</v>
      </c>
      <c r="S1102">
        <v>3.48</v>
      </c>
      <c r="X1102" s="1">
        <v>44033</v>
      </c>
      <c r="Y1102">
        <f>NETWORKDAYS(X1102,$Z$1,FERIADO!$A$2:$A$408)</f>
        <v>2639</v>
      </c>
      <c r="Z1102">
        <v>7.1</v>
      </c>
      <c r="AA1102" s="6">
        <f t="shared" si="155"/>
        <v>48757.119651688925</v>
      </c>
      <c r="AB1102" s="2">
        <f t="shared" si="156"/>
        <v>-1.1564065968833206E-3</v>
      </c>
      <c r="AJ1102" s="1">
        <v>44033</v>
      </c>
      <c r="AK1102">
        <f>NETWORKDAYS(AJ1102,$AJ$1,FERIADO!$A$2:$A$408)</f>
        <v>1626</v>
      </c>
      <c r="AL1102">
        <v>6.32</v>
      </c>
      <c r="AM1102" s="6">
        <f t="shared" si="157"/>
        <v>67339.53108072489</v>
      </c>
      <c r="AN1102" s="2">
        <f t="shared" si="158"/>
        <v>-1.5812552058914583E-4</v>
      </c>
      <c r="AP1102" s="11">
        <f t="shared" si="159"/>
        <v>-5.7820329844166028E-4</v>
      </c>
      <c r="AQ1102" s="11">
        <f t="shared" si="160"/>
        <v>-4.7437656176743746E-5</v>
      </c>
      <c r="AR1102" s="11">
        <f t="shared" si="161"/>
        <v>-6.2564095461840408E-4</v>
      </c>
    </row>
    <row r="1103" spans="2:44" x14ac:dyDescent="0.35">
      <c r="B1103" s="1">
        <v>44032</v>
      </c>
      <c r="C1103">
        <v>3538.69</v>
      </c>
      <c r="D1103" s="1">
        <v>44040</v>
      </c>
      <c r="E1103">
        <v>5.1771000000000003</v>
      </c>
      <c r="F1103" s="1">
        <v>44027</v>
      </c>
      <c r="G1103">
        <v>139.35</v>
      </c>
      <c r="H1103" s="4">
        <f t="shared" si="153"/>
        <v>721428.88500000001</v>
      </c>
      <c r="I1103" s="5">
        <v>44032</v>
      </c>
      <c r="J1103" s="4">
        <v>6669.49</v>
      </c>
      <c r="K1103" s="4">
        <f t="shared" si="154"/>
        <v>66694.899999999994</v>
      </c>
      <c r="L1103" s="1">
        <v>44032</v>
      </c>
      <c r="M1103">
        <v>2.2799999999999998</v>
      </c>
      <c r="P1103" s="1">
        <v>44032</v>
      </c>
      <c r="Q1103">
        <v>2.8</v>
      </c>
      <c r="R1103" s="1">
        <v>44006</v>
      </c>
      <c r="S1103">
        <v>3.63</v>
      </c>
      <c r="X1103" s="1">
        <v>44032</v>
      </c>
      <c r="Y1103">
        <f>NETWORKDAYS(X1103,$Z$1,FERIADO!$A$2:$A$408)</f>
        <v>2640</v>
      </c>
      <c r="Z1103">
        <v>7.07</v>
      </c>
      <c r="AA1103" s="6">
        <f t="shared" si="155"/>
        <v>48887.119433190695</v>
      </c>
      <c r="AB1103" s="2">
        <f t="shared" si="156"/>
        <v>5.4280293248162468E-4</v>
      </c>
      <c r="AJ1103" s="1">
        <v>44032</v>
      </c>
      <c r="AK1103">
        <f>NETWORKDAYS(AJ1103,$AJ$1,FERIADO!$A$2:$A$408)</f>
        <v>1627</v>
      </c>
      <c r="AL1103">
        <v>6.31</v>
      </c>
      <c r="AM1103" s="6">
        <f t="shared" si="157"/>
        <v>67364.053697429132</v>
      </c>
      <c r="AN1103" s="2">
        <f t="shared" si="158"/>
        <v>-4.224267800438547E-4</v>
      </c>
      <c r="AP1103" s="11">
        <f t="shared" si="159"/>
        <v>2.7140146624081234E-4</v>
      </c>
      <c r="AQ1103" s="11">
        <f t="shared" si="160"/>
        <v>-1.2672803401315641E-4</v>
      </c>
      <c r="AR1103" s="11">
        <f t="shared" si="161"/>
        <v>1.4467343222765593E-4</v>
      </c>
    </row>
    <row r="1104" spans="2:44" x14ac:dyDescent="0.35">
      <c r="B1104" s="1">
        <v>44029</v>
      </c>
      <c r="C1104">
        <v>3510.03</v>
      </c>
      <c r="D1104" s="1">
        <v>44039</v>
      </c>
      <c r="E1104">
        <v>5.1882999999999999</v>
      </c>
      <c r="F1104" s="1">
        <v>44026</v>
      </c>
      <c r="G1104">
        <v>139.44399999999999</v>
      </c>
      <c r="H1104" s="4">
        <f t="shared" si="153"/>
        <v>723477.30519999994</v>
      </c>
      <c r="I1104" s="5">
        <v>44029</v>
      </c>
      <c r="J1104" s="4">
        <v>6743.23</v>
      </c>
      <c r="K1104" s="4">
        <f t="shared" si="154"/>
        <v>67432.299999999988</v>
      </c>
      <c r="L1104" s="1">
        <v>44029</v>
      </c>
      <c r="M1104">
        <v>2.2799999999999998</v>
      </c>
      <c r="P1104" s="1">
        <v>44029</v>
      </c>
      <c r="Q1104">
        <v>2.79</v>
      </c>
      <c r="R1104" s="1">
        <v>44005</v>
      </c>
      <c r="S1104">
        <v>3.61</v>
      </c>
      <c r="X1104" s="1">
        <v>44029</v>
      </c>
      <c r="Y1104">
        <f>NETWORKDAYS(X1104,$Z$1,FERIADO!$A$2:$A$408)</f>
        <v>2641</v>
      </c>
      <c r="Z1104">
        <v>7.08</v>
      </c>
      <c r="AA1104" s="6">
        <f t="shared" si="155"/>
        <v>48826.056037852497</v>
      </c>
      <c r="AB1104" s="2">
        <f t="shared" si="156"/>
        <v>6.0670072684955488E-3</v>
      </c>
      <c r="AJ1104" s="1">
        <v>44029</v>
      </c>
      <c r="AK1104">
        <f>NETWORKDAYS(AJ1104,$AJ$1,FERIADO!$A$2:$A$408)</f>
        <v>1628</v>
      </c>
      <c r="AL1104">
        <v>6.29</v>
      </c>
      <c r="AM1104" s="6">
        <f t="shared" si="157"/>
        <v>67429.608811190934</v>
      </c>
      <c r="AN1104" s="2">
        <f t="shared" si="158"/>
        <v>3.5366787419652871E-3</v>
      </c>
      <c r="AP1104" s="11">
        <f t="shared" si="159"/>
        <v>3.0335036342477744E-3</v>
      </c>
      <c r="AQ1104" s="11">
        <f t="shared" si="160"/>
        <v>1.061003622589586E-3</v>
      </c>
      <c r="AR1104" s="11">
        <f t="shared" si="161"/>
        <v>4.0945072568373602E-3</v>
      </c>
    </row>
    <row r="1105" spans="2:44" x14ac:dyDescent="0.35">
      <c r="B1105" s="1">
        <v>44028</v>
      </c>
      <c r="C1105">
        <v>3487.54</v>
      </c>
      <c r="D1105" s="1">
        <v>44036</v>
      </c>
      <c r="E1105">
        <v>5.2140000000000004</v>
      </c>
      <c r="F1105" s="1">
        <v>44025</v>
      </c>
      <c r="G1105">
        <v>139.297</v>
      </c>
      <c r="H1105" s="4">
        <f t="shared" si="153"/>
        <v>726294.55800000008</v>
      </c>
      <c r="I1105" s="5">
        <v>44028</v>
      </c>
      <c r="J1105" s="4">
        <v>6669.49</v>
      </c>
      <c r="K1105" s="4">
        <f t="shared" si="154"/>
        <v>66694.899999999994</v>
      </c>
      <c r="L1105" s="1">
        <v>44028</v>
      </c>
      <c r="M1105">
        <v>2.31</v>
      </c>
      <c r="P1105" s="1">
        <v>44028</v>
      </c>
      <c r="Q1105">
        <v>2.85</v>
      </c>
      <c r="R1105" s="1">
        <v>44001</v>
      </c>
      <c r="S1105">
        <v>3.51</v>
      </c>
      <c r="X1105" s="1">
        <v>44028</v>
      </c>
      <c r="Y1105">
        <f>NETWORKDAYS(X1105,$Z$1,FERIADO!$A$2:$A$408)</f>
        <v>2642</v>
      </c>
      <c r="Z1105">
        <v>7.22</v>
      </c>
      <c r="AA1105" s="6">
        <f t="shared" si="155"/>
        <v>48148.708000134146</v>
      </c>
      <c r="AB1105" s="2">
        <f t="shared" si="156"/>
        <v>-3.0469790926881957E-4</v>
      </c>
      <c r="AJ1105" s="1">
        <v>44028</v>
      </c>
      <c r="AK1105">
        <f>NETWORKDAYS(AJ1105,$AJ$1,FERIADO!$A$2:$A$408)</f>
        <v>1629</v>
      </c>
      <c r="AL1105">
        <v>6.42</v>
      </c>
      <c r="AM1105" s="6">
        <f t="shared" si="157"/>
        <v>66882.725335084833</v>
      </c>
      <c r="AN1105" s="2">
        <f t="shared" si="158"/>
        <v>1.0723513725681618E-4</v>
      </c>
      <c r="AP1105" s="11">
        <f t="shared" si="159"/>
        <v>-1.5234895463440978E-4</v>
      </c>
      <c r="AQ1105" s="11">
        <f t="shared" si="160"/>
        <v>3.2170541177044853E-5</v>
      </c>
      <c r="AR1105" s="11">
        <f t="shared" si="161"/>
        <v>-1.2017841345736493E-4</v>
      </c>
    </row>
    <row r="1106" spans="2:44" x14ac:dyDescent="0.35">
      <c r="B1106" s="1">
        <v>44027</v>
      </c>
      <c r="C1106">
        <v>3516.74</v>
      </c>
      <c r="D1106" s="1">
        <v>44035</v>
      </c>
      <c r="E1106">
        <v>5.1641000000000004</v>
      </c>
      <c r="F1106" s="1">
        <v>44022</v>
      </c>
      <c r="G1106">
        <v>139.22499999999999</v>
      </c>
      <c r="H1106" s="4">
        <f t="shared" si="153"/>
        <v>718971.82250000001</v>
      </c>
      <c r="I1106" s="5">
        <v>44027</v>
      </c>
      <c r="J1106" s="4">
        <v>6711.98</v>
      </c>
      <c r="K1106" s="4">
        <f t="shared" si="154"/>
        <v>67119.799999999988</v>
      </c>
      <c r="L1106" s="1">
        <v>44027</v>
      </c>
      <c r="M1106">
        <v>2.29</v>
      </c>
      <c r="P1106" s="1">
        <v>44027</v>
      </c>
      <c r="Q1106">
        <v>2.84</v>
      </c>
      <c r="R1106" s="1">
        <v>43999</v>
      </c>
      <c r="S1106">
        <v>3.53</v>
      </c>
      <c r="X1106" s="1">
        <v>44027</v>
      </c>
      <c r="Y1106">
        <f>NETWORKDAYS(X1106,$Z$1,FERIADO!$A$2:$A$408)</f>
        <v>2643</v>
      </c>
      <c r="Z1106">
        <v>7.21</v>
      </c>
      <c r="AA1106" s="6">
        <f t="shared" si="155"/>
        <v>48182.50064301816</v>
      </c>
      <c r="AB1106" s="2">
        <f t="shared" si="156"/>
        <v>9.6994314863904868E-4</v>
      </c>
      <c r="AJ1106" s="1">
        <v>44027</v>
      </c>
      <c r="AK1106">
        <f>NETWORKDAYS(AJ1106,$AJ$1,FERIADO!$A$2:$A$408)</f>
        <v>1630</v>
      </c>
      <c r="AL1106">
        <v>6.42</v>
      </c>
      <c r="AM1106" s="6">
        <f t="shared" si="157"/>
        <v>66866.212823107227</v>
      </c>
      <c r="AN1106" s="2">
        <f t="shared" si="158"/>
        <v>1.0723513725671977E-4</v>
      </c>
      <c r="AP1106" s="11">
        <f t="shared" si="159"/>
        <v>4.8497157431952434E-4</v>
      </c>
      <c r="AQ1106" s="11">
        <f t="shared" si="160"/>
        <v>3.2170541177015932E-5</v>
      </c>
      <c r="AR1106" s="11">
        <f t="shared" si="161"/>
        <v>5.1714211549654023E-4</v>
      </c>
    </row>
    <row r="1107" spans="2:44" x14ac:dyDescent="0.35">
      <c r="B1107" s="1">
        <v>44026</v>
      </c>
      <c r="C1107">
        <v>3478.53</v>
      </c>
      <c r="D1107" s="1">
        <v>44034</v>
      </c>
      <c r="E1107">
        <v>5.1105</v>
      </c>
      <c r="F1107" s="1">
        <v>44021</v>
      </c>
      <c r="G1107">
        <v>139.459</v>
      </c>
      <c r="H1107" s="4">
        <f t="shared" si="153"/>
        <v>712705.21950000001</v>
      </c>
      <c r="I1107" s="5">
        <v>44026</v>
      </c>
      <c r="J1107" s="4">
        <v>6716.36</v>
      </c>
      <c r="K1107" s="4">
        <f t="shared" si="154"/>
        <v>67163.599999999991</v>
      </c>
      <c r="L1107" s="1">
        <v>44026</v>
      </c>
      <c r="M1107">
        <v>2.27</v>
      </c>
      <c r="P1107" s="1">
        <v>44026</v>
      </c>
      <c r="Q1107">
        <v>2.8</v>
      </c>
      <c r="R1107" s="1">
        <v>43998</v>
      </c>
      <c r="S1107">
        <v>3.55</v>
      </c>
      <c r="X1107" s="1">
        <v>44026</v>
      </c>
      <c r="Y1107">
        <f>NETWORKDAYS(X1107,$Z$1,FERIADO!$A$2:$A$408)</f>
        <v>2644</v>
      </c>
      <c r="Z1107">
        <v>7.23</v>
      </c>
      <c r="AA1107" s="6">
        <f t="shared" si="155"/>
        <v>48075.011048914545</v>
      </c>
      <c r="AB1107" s="2">
        <f t="shared" si="156"/>
        <v>-7.2998048187520334E-4</v>
      </c>
      <c r="AJ1107" s="1">
        <v>44026</v>
      </c>
      <c r="AK1107">
        <f>NETWORKDAYS(AJ1107,$AJ$1,FERIADO!$A$2:$A$408)</f>
        <v>1631</v>
      </c>
      <c r="AL1107">
        <v>6.42</v>
      </c>
      <c r="AM1107" s="6">
        <f t="shared" si="157"/>
        <v>66849.704387863196</v>
      </c>
      <c r="AN1107" s="2">
        <f t="shared" si="158"/>
        <v>-6.8574652888528603E-4</v>
      </c>
      <c r="AP1107" s="11">
        <f t="shared" si="159"/>
        <v>-3.6499024093760167E-4</v>
      </c>
      <c r="AQ1107" s="11">
        <f t="shared" si="160"/>
        <v>-2.0572395866558579E-4</v>
      </c>
      <c r="AR1107" s="11">
        <f t="shared" si="161"/>
        <v>-5.7071419960318744E-4</v>
      </c>
    </row>
    <row r="1108" spans="2:44" x14ac:dyDescent="0.35">
      <c r="B1108" s="1">
        <v>44025</v>
      </c>
      <c r="C1108">
        <v>3437.03</v>
      </c>
      <c r="D1108" s="1">
        <v>44033</v>
      </c>
      <c r="E1108">
        <v>5.2276999999999996</v>
      </c>
      <c r="F1108" s="1">
        <v>44020</v>
      </c>
      <c r="G1108">
        <v>139.09399999999999</v>
      </c>
      <c r="H1108" s="4">
        <f t="shared" si="153"/>
        <v>727141.70380000002</v>
      </c>
      <c r="I1108" s="5">
        <v>44025</v>
      </c>
      <c r="J1108" s="4">
        <v>6760.73</v>
      </c>
      <c r="K1108" s="4">
        <f t="shared" si="154"/>
        <v>67607.299999999988</v>
      </c>
      <c r="L1108" s="1">
        <v>44025</v>
      </c>
      <c r="M1108">
        <v>2.2599999999999998</v>
      </c>
      <c r="P1108" s="1">
        <v>44025</v>
      </c>
      <c r="Q1108">
        <v>2.8</v>
      </c>
      <c r="R1108" s="1">
        <v>43997</v>
      </c>
      <c r="S1108">
        <v>3.52</v>
      </c>
      <c r="X1108" s="1">
        <v>44025</v>
      </c>
      <c r="Y1108">
        <f>NETWORKDAYS(X1108,$Z$1,FERIADO!$A$2:$A$408)</f>
        <v>2645</v>
      </c>
      <c r="Z1108">
        <v>7.21</v>
      </c>
      <c r="AA1108" s="6">
        <f t="shared" si="155"/>
        <v>48155.88550464216</v>
      </c>
      <c r="AB1108" s="2">
        <f t="shared" si="156"/>
        <v>-2.4327853277898506E-3</v>
      </c>
      <c r="AJ1108" s="1">
        <v>44025</v>
      </c>
      <c r="AK1108">
        <f>NETWORKDAYS(AJ1108,$AJ$1,FERIADO!$A$2:$A$408)</f>
        <v>1632</v>
      </c>
      <c r="AL1108">
        <v>6.39</v>
      </c>
      <c r="AM1108" s="6">
        <f t="shared" si="157"/>
        <v>66955.342763885797</v>
      </c>
      <c r="AN1108" s="2">
        <f t="shared" si="158"/>
        <v>-4.2235344433825964E-4</v>
      </c>
      <c r="AP1108" s="11">
        <f t="shared" si="159"/>
        <v>-1.2163926638949253E-3</v>
      </c>
      <c r="AQ1108" s="11">
        <f t="shared" si="160"/>
        <v>-1.267060333014779E-4</v>
      </c>
      <c r="AR1108" s="11">
        <f t="shared" si="161"/>
        <v>-1.3430986971964033E-3</v>
      </c>
    </row>
    <row r="1109" spans="2:44" x14ac:dyDescent="0.35">
      <c r="B1109" s="1">
        <v>44022</v>
      </c>
      <c r="C1109">
        <v>3476.39</v>
      </c>
      <c r="D1109" s="1">
        <v>44032</v>
      </c>
      <c r="E1109">
        <v>5.3628999999999998</v>
      </c>
      <c r="F1109" s="1">
        <v>44019</v>
      </c>
      <c r="G1109">
        <v>139.28800000000001</v>
      </c>
      <c r="H1109" s="4">
        <f t="shared" si="153"/>
        <v>746987.6152</v>
      </c>
      <c r="I1109" s="5">
        <v>44022</v>
      </c>
      <c r="J1109" s="4">
        <v>6661.36</v>
      </c>
      <c r="K1109" s="4">
        <f t="shared" si="154"/>
        <v>66613.599999999991</v>
      </c>
      <c r="L1109" s="1">
        <v>44022</v>
      </c>
      <c r="M1109">
        <v>2.2599999999999998</v>
      </c>
      <c r="P1109" s="1">
        <v>44022</v>
      </c>
      <c r="Q1109">
        <v>2.71</v>
      </c>
      <c r="R1109" s="1">
        <v>43992</v>
      </c>
      <c r="S1109">
        <v>3.59</v>
      </c>
      <c r="X1109" s="1">
        <v>44022</v>
      </c>
      <c r="Y1109">
        <f>NETWORKDAYS(X1109,$Z$1,FERIADO!$A$2:$A$408)</f>
        <v>2646</v>
      </c>
      <c r="Z1109">
        <v>7.15</v>
      </c>
      <c r="AA1109" s="6">
        <f t="shared" si="155"/>
        <v>48426.39705304135</v>
      </c>
      <c r="AB1109" s="2">
        <f t="shared" si="156"/>
        <v>2.2472253553025446E-3</v>
      </c>
      <c r="AJ1109" s="1">
        <v>44022</v>
      </c>
      <c r="AK1109">
        <f>NETWORKDAYS(AJ1109,$AJ$1,FERIADO!$A$2:$A$408)</f>
        <v>1633</v>
      </c>
      <c r="AL1109">
        <v>6.37</v>
      </c>
      <c r="AM1109" s="6">
        <f t="shared" si="157"/>
        <v>67020.48882471284</v>
      </c>
      <c r="AN1109" s="2">
        <f t="shared" si="158"/>
        <v>1.6944068011308098E-3</v>
      </c>
      <c r="AP1109" s="11">
        <f t="shared" si="159"/>
        <v>1.1236126776512723E-3</v>
      </c>
      <c r="AQ1109" s="11">
        <f t="shared" si="160"/>
        <v>5.0832204033924287E-4</v>
      </c>
      <c r="AR1109" s="11">
        <f t="shared" si="161"/>
        <v>1.6319347179905152E-3</v>
      </c>
    </row>
    <row r="1110" spans="2:44" x14ac:dyDescent="0.35">
      <c r="B1110" s="1">
        <v>44021</v>
      </c>
      <c r="C1110">
        <v>3430.46</v>
      </c>
      <c r="D1110" s="1">
        <v>44029</v>
      </c>
      <c r="E1110">
        <v>5.3503999999999996</v>
      </c>
      <c r="F1110" s="1">
        <v>44018</v>
      </c>
      <c r="G1110">
        <v>138.99199999999999</v>
      </c>
      <c r="H1110" s="4">
        <f t="shared" si="153"/>
        <v>743662.79679999989</v>
      </c>
      <c r="I1110" s="5">
        <v>44021</v>
      </c>
      <c r="J1110" s="4">
        <v>6684.49</v>
      </c>
      <c r="K1110" s="4">
        <f t="shared" si="154"/>
        <v>66844.899999999994</v>
      </c>
      <c r="L1110" s="1">
        <v>44021</v>
      </c>
      <c r="M1110">
        <v>2.35</v>
      </c>
      <c r="P1110" s="1">
        <v>44021</v>
      </c>
      <c r="Q1110">
        <v>2.82</v>
      </c>
      <c r="R1110" s="1">
        <v>43991</v>
      </c>
      <c r="S1110">
        <v>3.57</v>
      </c>
      <c r="X1110" s="1">
        <v>44021</v>
      </c>
      <c r="Y1110">
        <f>NETWORKDAYS(X1110,$Z$1,FERIADO!$A$2:$A$408)</f>
        <v>2647</v>
      </c>
      <c r="Z1110">
        <v>7.2</v>
      </c>
      <c r="AA1110" s="6">
        <f t="shared" si="155"/>
        <v>48176.465351782143</v>
      </c>
      <c r="AB1110" s="2">
        <f t="shared" si="156"/>
        <v>2.2478405927970641E-3</v>
      </c>
      <c r="AJ1110" s="1">
        <v>44021</v>
      </c>
      <c r="AK1110">
        <f>NETWORKDAYS(AJ1110,$AJ$1,FERIADO!$A$2:$A$408)</f>
        <v>1634</v>
      </c>
      <c r="AL1110">
        <v>6.43</v>
      </c>
      <c r="AM1110" s="6">
        <f t="shared" si="157"/>
        <v>66759.516750221941</v>
      </c>
      <c r="AN1110" s="2">
        <f t="shared" si="158"/>
        <v>1.4308407861640456E-3</v>
      </c>
      <c r="AP1110" s="11">
        <f t="shared" si="159"/>
        <v>1.1239202963985321E-3</v>
      </c>
      <c r="AQ1110" s="11">
        <f t="shared" si="160"/>
        <v>4.2925223584921367E-4</v>
      </c>
      <c r="AR1110" s="11">
        <f t="shared" si="161"/>
        <v>1.5531725322477457E-3</v>
      </c>
    </row>
    <row r="1111" spans="2:44" x14ac:dyDescent="0.35">
      <c r="B1111" s="1">
        <v>44020</v>
      </c>
      <c r="C1111">
        <v>3453.33</v>
      </c>
      <c r="D1111" s="1">
        <v>44028</v>
      </c>
      <c r="E1111">
        <v>5.3554000000000004</v>
      </c>
      <c r="F1111" s="1">
        <v>44014</v>
      </c>
      <c r="G1111">
        <v>139.19499999999999</v>
      </c>
      <c r="H1111" s="4">
        <f t="shared" si="153"/>
        <v>745444.90300000005</v>
      </c>
      <c r="I1111" s="5">
        <v>44020</v>
      </c>
      <c r="J1111" s="4">
        <v>6678.24</v>
      </c>
      <c r="K1111" s="4">
        <f t="shared" si="154"/>
        <v>66782.399999999994</v>
      </c>
      <c r="L1111" s="1">
        <v>44020</v>
      </c>
      <c r="M1111">
        <v>2.4700000000000002</v>
      </c>
      <c r="P1111" s="1">
        <v>44020</v>
      </c>
      <c r="Q1111">
        <v>2.94</v>
      </c>
      <c r="R1111" s="1">
        <v>43990</v>
      </c>
      <c r="S1111">
        <v>3.58</v>
      </c>
      <c r="X1111" s="1">
        <v>44020</v>
      </c>
      <c r="Y1111">
        <f>NETWORKDAYS(X1111,$Z$1,FERIADO!$A$2:$A$408)</f>
        <v>2648</v>
      </c>
      <c r="Z1111">
        <v>7.25</v>
      </c>
      <c r="AA1111" s="6">
        <f t="shared" si="155"/>
        <v>47927.755667592377</v>
      </c>
      <c r="AB1111" s="2">
        <f t="shared" si="156"/>
        <v>2.2484556313451085E-3</v>
      </c>
      <c r="AJ1111" s="1">
        <v>44020</v>
      </c>
      <c r="AK1111">
        <f>NETWORKDAYS(AJ1111,$AJ$1,FERIADO!$A$2:$A$408)</f>
        <v>1635</v>
      </c>
      <c r="AL1111">
        <v>6.48</v>
      </c>
      <c r="AM1111" s="6">
        <f t="shared" si="157"/>
        <v>66539.930592150384</v>
      </c>
      <c r="AN1111" s="2">
        <f t="shared" si="158"/>
        <v>9.0245996701723299E-4</v>
      </c>
      <c r="AP1111" s="11">
        <f t="shared" si="159"/>
        <v>1.1242278156725542E-3</v>
      </c>
      <c r="AQ1111" s="11">
        <f t="shared" si="160"/>
        <v>2.707379901051699E-4</v>
      </c>
      <c r="AR1111" s="11">
        <f t="shared" si="161"/>
        <v>1.3949658057777242E-3</v>
      </c>
    </row>
    <row r="1112" spans="2:44" x14ac:dyDescent="0.35">
      <c r="B1112" s="1">
        <v>44019</v>
      </c>
      <c r="C1112">
        <v>3427.12</v>
      </c>
      <c r="D1112" s="1">
        <v>44027</v>
      </c>
      <c r="E1112">
        <v>5.3484999999999996</v>
      </c>
      <c r="F1112" s="1">
        <v>44013</v>
      </c>
      <c r="G1112">
        <v>138.965</v>
      </c>
      <c r="H1112" s="4">
        <f t="shared" si="153"/>
        <v>743254.30249999999</v>
      </c>
      <c r="I1112" s="5">
        <v>44019</v>
      </c>
      <c r="J1112" s="4">
        <v>6725.73</v>
      </c>
      <c r="K1112" s="4">
        <f t="shared" si="154"/>
        <v>67257.299999999988</v>
      </c>
      <c r="L1112" s="1">
        <v>44019</v>
      </c>
      <c r="M1112">
        <v>2.46</v>
      </c>
      <c r="P1112" s="1">
        <v>44019</v>
      </c>
      <c r="Q1112">
        <v>2.93</v>
      </c>
      <c r="R1112" s="1">
        <v>43987</v>
      </c>
      <c r="S1112">
        <v>3.59</v>
      </c>
      <c r="X1112" s="1">
        <v>44019</v>
      </c>
      <c r="Y1112">
        <f>NETWORKDAYS(X1112,$Z$1,FERIADO!$A$2:$A$408)</f>
        <v>2649</v>
      </c>
      <c r="Z1112">
        <v>7.3</v>
      </c>
      <c r="AA1112" s="6">
        <f t="shared" si="155"/>
        <v>47680.262416527403</v>
      </c>
      <c r="AB1112" s="2">
        <f t="shared" si="156"/>
        <v>-5.8412516148826678E-3</v>
      </c>
      <c r="AJ1112" s="1">
        <v>44019</v>
      </c>
      <c r="AK1112">
        <f>NETWORKDAYS(AJ1112,$AJ$1,FERIADO!$A$2:$A$408)</f>
        <v>1636</v>
      </c>
      <c r="AL1112">
        <v>6.51</v>
      </c>
      <c r="AM1112" s="6">
        <f t="shared" si="157"/>
        <v>66401.804785868677</v>
      </c>
      <c r="AN1112" s="2">
        <f t="shared" si="158"/>
        <v>-3.336794793185674E-3</v>
      </c>
      <c r="AP1112" s="11">
        <f t="shared" si="159"/>
        <v>-2.9206258074413339E-3</v>
      </c>
      <c r="AQ1112" s="11">
        <f t="shared" si="160"/>
        <v>-1.0010384379557022E-3</v>
      </c>
      <c r="AR1112" s="11">
        <f t="shared" si="161"/>
        <v>-3.9216642453970361E-3</v>
      </c>
    </row>
    <row r="1113" spans="2:44" x14ac:dyDescent="0.35">
      <c r="B1113" s="1">
        <v>44018</v>
      </c>
      <c r="C1113">
        <v>3465.46</v>
      </c>
      <c r="D1113" s="1">
        <v>44026</v>
      </c>
      <c r="E1113">
        <v>5.4282000000000004</v>
      </c>
      <c r="F1113" s="1">
        <v>44012</v>
      </c>
      <c r="G1113">
        <v>139.15700000000001</v>
      </c>
      <c r="H1113" s="4">
        <f t="shared" si="153"/>
        <v>755372.02740000014</v>
      </c>
      <c r="I1113" s="5">
        <v>44018</v>
      </c>
      <c r="J1113" s="4">
        <v>6705.11</v>
      </c>
      <c r="K1113" s="4">
        <f t="shared" si="154"/>
        <v>67051.099999999991</v>
      </c>
      <c r="L1113" s="1">
        <v>44018</v>
      </c>
      <c r="M1113">
        <v>2.37</v>
      </c>
      <c r="P1113" s="1">
        <v>44018</v>
      </c>
      <c r="Q1113">
        <v>2.85</v>
      </c>
      <c r="R1113" s="1">
        <v>43986</v>
      </c>
      <c r="S1113">
        <v>3.59</v>
      </c>
      <c r="X1113" s="1">
        <v>44018</v>
      </c>
      <c r="Y1113">
        <f>NETWORKDAYS(X1113,$Z$1,FERIADO!$A$2:$A$408)</f>
        <v>2650</v>
      </c>
      <c r="Z1113">
        <v>7.16</v>
      </c>
      <c r="AA1113" s="6">
        <f t="shared" si="155"/>
        <v>48325.893065982767</v>
      </c>
      <c r="AB1113" s="2">
        <f t="shared" si="156"/>
        <v>3.5286618975718877E-3</v>
      </c>
      <c r="AJ1113" s="1">
        <v>44018</v>
      </c>
      <c r="AK1113">
        <f>NETWORKDAYS(AJ1113,$AJ$1,FERIADO!$A$2:$A$408)</f>
        <v>1637</v>
      </c>
      <c r="AL1113">
        <v>6.38</v>
      </c>
      <c r="AM1113" s="6">
        <f t="shared" si="157"/>
        <v>66913.951672581155</v>
      </c>
      <c r="AN1113" s="2">
        <f t="shared" si="158"/>
        <v>1.6983065621038675E-3</v>
      </c>
      <c r="AP1113" s="11">
        <f t="shared" si="159"/>
        <v>1.7643309487859438E-3</v>
      </c>
      <c r="AQ1113" s="11">
        <f t="shared" si="160"/>
        <v>5.0949196863116024E-4</v>
      </c>
      <c r="AR1113" s="11">
        <f t="shared" si="161"/>
        <v>2.2738229174171041E-3</v>
      </c>
    </row>
    <row r="1114" spans="2:44" x14ac:dyDescent="0.35">
      <c r="B1114" s="1">
        <v>44015</v>
      </c>
      <c r="C1114">
        <v>3416.27</v>
      </c>
      <c r="D1114" s="1">
        <v>44025</v>
      </c>
      <c r="E1114">
        <v>5.3479999999999999</v>
      </c>
      <c r="F1114" s="1">
        <v>44011</v>
      </c>
      <c r="G1114">
        <v>139.34399999999999</v>
      </c>
      <c r="H1114" s="4">
        <f t="shared" si="153"/>
        <v>745211.71199999994</v>
      </c>
      <c r="I1114" s="5">
        <v>44015</v>
      </c>
      <c r="J1114" s="4">
        <v>6646.99</v>
      </c>
      <c r="K1114" s="4">
        <f t="shared" si="154"/>
        <v>66469.899999999994</v>
      </c>
      <c r="L1114" s="1">
        <v>44015</v>
      </c>
      <c r="M1114">
        <v>2.38</v>
      </c>
      <c r="P1114" s="1">
        <v>44014</v>
      </c>
      <c r="Q1114">
        <v>2.91</v>
      </c>
      <c r="R1114" s="1">
        <v>43984</v>
      </c>
      <c r="S1114">
        <v>3.64</v>
      </c>
      <c r="X1114" s="1">
        <v>44015</v>
      </c>
      <c r="Y1114">
        <f>NETWORKDAYS(X1114,$Z$1,FERIADO!$A$2:$A$408)</f>
        <v>2651</v>
      </c>
      <c r="Z1114">
        <v>7.24</v>
      </c>
      <c r="AA1114" s="6">
        <f t="shared" si="155"/>
        <v>47934.833882725339</v>
      </c>
      <c r="AB1114" s="2">
        <f t="shared" si="156"/>
        <v>6.0831941759633907E-3</v>
      </c>
      <c r="AJ1114" s="1">
        <v>44015</v>
      </c>
      <c r="AK1114">
        <f>NETWORKDAYS(AJ1114,$AJ$1,FERIADO!$A$2:$A$408)</f>
        <v>1638</v>
      </c>
      <c r="AL1114">
        <v>6.44</v>
      </c>
      <c r="AM1114" s="6">
        <f t="shared" si="157"/>
        <v>66652.795931118861</v>
      </c>
      <c r="AN1114" s="2">
        <f t="shared" si="158"/>
        <v>2.7600500524746366E-3</v>
      </c>
      <c r="AP1114" s="11">
        <f t="shared" si="159"/>
        <v>3.0415970879816953E-3</v>
      </c>
      <c r="AQ1114" s="11">
        <f t="shared" si="160"/>
        <v>8.2801501574239099E-4</v>
      </c>
      <c r="AR1114" s="11">
        <f t="shared" si="161"/>
        <v>3.8696121037240863E-3</v>
      </c>
    </row>
    <row r="1115" spans="2:44" x14ac:dyDescent="0.35">
      <c r="B1115" s="1">
        <v>44014</v>
      </c>
      <c r="C1115">
        <v>3427.39</v>
      </c>
      <c r="D1115" s="1">
        <v>44022</v>
      </c>
      <c r="E1115">
        <v>5.3433999999999999</v>
      </c>
      <c r="F1115" s="1">
        <v>44008</v>
      </c>
      <c r="G1115">
        <v>139.20099999999999</v>
      </c>
      <c r="H1115" s="4">
        <f t="shared" si="153"/>
        <v>743806.62339999992</v>
      </c>
      <c r="I1115" s="5">
        <v>44014</v>
      </c>
      <c r="J1115" s="4">
        <v>6713.86</v>
      </c>
      <c r="K1115" s="4">
        <f t="shared" si="154"/>
        <v>67138.599999999991</v>
      </c>
      <c r="L1115" s="1">
        <v>44014</v>
      </c>
      <c r="M1115">
        <v>2.42</v>
      </c>
      <c r="P1115" s="1">
        <v>44013</v>
      </c>
      <c r="Q1115">
        <v>2.91</v>
      </c>
      <c r="R1115" s="1">
        <v>43980</v>
      </c>
      <c r="S1115">
        <v>3.68</v>
      </c>
      <c r="X1115" s="1">
        <v>44014</v>
      </c>
      <c r="Y1115">
        <f>NETWORKDAYS(X1115,$Z$1,FERIADO!$A$2:$A$408)</f>
        <v>2652</v>
      </c>
      <c r="Z1115">
        <v>7.38</v>
      </c>
      <c r="AA1115" s="6">
        <f t="shared" si="155"/>
        <v>47268.087684558537</v>
      </c>
      <c r="AB1115" s="2">
        <f t="shared" si="156"/>
        <v>-3.0310004539222334E-4</v>
      </c>
      <c r="AJ1115" s="1">
        <v>44014</v>
      </c>
      <c r="AK1115">
        <f>NETWORKDAYS(AJ1115,$AJ$1,FERIADO!$A$2:$A$408)</f>
        <v>1639</v>
      </c>
      <c r="AL1115">
        <v>6.54</v>
      </c>
      <c r="AM1115" s="6">
        <f t="shared" si="157"/>
        <v>66230.543922425306</v>
      </c>
      <c r="AN1115" s="2">
        <f t="shared" si="158"/>
        <v>1.091773509873471E-4</v>
      </c>
      <c r="AP1115" s="11">
        <f t="shared" si="159"/>
        <v>-1.5155002269611167E-4</v>
      </c>
      <c r="AQ1115" s="11">
        <f t="shared" si="160"/>
        <v>3.2753205296204125E-5</v>
      </c>
      <c r="AR1115" s="11">
        <f t="shared" si="161"/>
        <v>-1.1879681739990754E-4</v>
      </c>
    </row>
    <row r="1116" spans="2:44" x14ac:dyDescent="0.35">
      <c r="B1116" s="1">
        <v>44013</v>
      </c>
      <c r="C1116">
        <v>3397.9</v>
      </c>
      <c r="D1116" s="1">
        <v>44021</v>
      </c>
      <c r="E1116">
        <v>5.2972000000000001</v>
      </c>
      <c r="F1116" s="1">
        <v>44007</v>
      </c>
      <c r="G1116">
        <v>138.892</v>
      </c>
      <c r="H1116" s="4">
        <f t="shared" si="153"/>
        <v>735738.70239999995</v>
      </c>
      <c r="I1116" s="5">
        <v>44013</v>
      </c>
      <c r="J1116" s="4">
        <v>6654.49</v>
      </c>
      <c r="K1116" s="4">
        <f t="shared" si="154"/>
        <v>66544.899999999994</v>
      </c>
      <c r="L1116" s="1">
        <v>44013</v>
      </c>
      <c r="M1116">
        <v>2.41</v>
      </c>
      <c r="P1116" s="1">
        <v>44012</v>
      </c>
      <c r="Q1116">
        <v>3.04</v>
      </c>
      <c r="R1116" s="1">
        <v>43979</v>
      </c>
      <c r="S1116">
        <v>3.73</v>
      </c>
      <c r="X1116" s="1">
        <v>44013</v>
      </c>
      <c r="Y1116">
        <f>NETWORKDAYS(X1116,$Z$1,FERIADO!$A$2:$A$408)</f>
        <v>2653</v>
      </c>
      <c r="Z1116">
        <v>7.37</v>
      </c>
      <c r="AA1116" s="6">
        <f t="shared" si="155"/>
        <v>47301.088242413978</v>
      </c>
      <c r="AB1116" s="2">
        <f t="shared" si="156"/>
        <v>5.6571012851762293E-3</v>
      </c>
      <c r="AJ1116" s="1">
        <v>44013</v>
      </c>
      <c r="AK1116">
        <f>NETWORKDAYS(AJ1116,$AJ$1,FERIADO!$A$2:$A$408)</f>
        <v>1640</v>
      </c>
      <c r="AL1116">
        <v>6.54</v>
      </c>
      <c r="AM1116" s="6">
        <f t="shared" si="157"/>
        <v>66213.896309268937</v>
      </c>
      <c r="AN1116" s="2">
        <f t="shared" si="158"/>
        <v>1.9667040547287312E-3</v>
      </c>
      <c r="AP1116" s="11">
        <f t="shared" si="159"/>
        <v>2.8285506425881147E-3</v>
      </c>
      <c r="AQ1116" s="11">
        <f t="shared" si="160"/>
        <v>5.9001121641861934E-4</v>
      </c>
      <c r="AR1116" s="11">
        <f t="shared" si="161"/>
        <v>3.4185618590067339E-3</v>
      </c>
    </row>
    <row r="1117" spans="2:44" x14ac:dyDescent="0.35">
      <c r="B1117" s="1">
        <v>44012</v>
      </c>
      <c r="C1117">
        <v>3366.44</v>
      </c>
      <c r="D1117" s="1">
        <v>44020</v>
      </c>
      <c r="E1117">
        <v>5.3475999999999999</v>
      </c>
      <c r="F1117" s="1">
        <v>44006</v>
      </c>
      <c r="G1117">
        <v>138.881</v>
      </c>
      <c r="H1117" s="4">
        <f t="shared" si="153"/>
        <v>742680.03559999994</v>
      </c>
      <c r="I1117" s="5">
        <v>44012</v>
      </c>
      <c r="J1117" s="4">
        <v>6831.35</v>
      </c>
      <c r="K1117" s="4">
        <f t="shared" si="154"/>
        <v>68313.5</v>
      </c>
      <c r="L1117" s="1">
        <v>44012</v>
      </c>
      <c r="M1117">
        <v>2.5499999999999998</v>
      </c>
      <c r="P1117" s="1">
        <v>44011</v>
      </c>
      <c r="Q1117">
        <v>3.06</v>
      </c>
      <c r="R1117" s="1">
        <v>43978</v>
      </c>
      <c r="S1117">
        <v>3.67</v>
      </c>
      <c r="X1117" s="1">
        <v>44012</v>
      </c>
      <c r="Y1117">
        <f>NETWORKDAYS(X1117,$Z$1,FERIADO!$A$2:$A$408)</f>
        <v>2654</v>
      </c>
      <c r="Z1117">
        <v>7.5</v>
      </c>
      <c r="AA1117" s="6">
        <f t="shared" si="155"/>
        <v>46688.94184854281</v>
      </c>
      <c r="AB1117" s="2">
        <f t="shared" si="156"/>
        <v>5.6545805869926621E-3</v>
      </c>
      <c r="AJ1117" s="1">
        <v>44012</v>
      </c>
      <c r="AK1117">
        <f>NETWORKDAYS(AJ1117,$AJ$1,FERIADO!$A$2:$A$408)</f>
        <v>1641</v>
      </c>
      <c r="AL1117">
        <v>6.61</v>
      </c>
      <c r="AM1117" s="6">
        <f t="shared" si="157"/>
        <v>65914.724363999194</v>
      </c>
      <c r="AN1117" s="2">
        <f t="shared" si="158"/>
        <v>3.2937438099456722E-3</v>
      </c>
      <c r="AP1117" s="11">
        <f t="shared" si="159"/>
        <v>2.8272902934963311E-3</v>
      </c>
      <c r="AQ1117" s="11">
        <f t="shared" si="160"/>
        <v>9.8812314298370152E-4</v>
      </c>
      <c r="AR1117" s="11">
        <f t="shared" si="161"/>
        <v>3.8154134364800328E-3</v>
      </c>
    </row>
    <row r="1118" spans="2:44" x14ac:dyDescent="0.35">
      <c r="B1118" s="1">
        <v>44011</v>
      </c>
      <c r="C1118">
        <v>3350.49</v>
      </c>
      <c r="D1118" s="1">
        <v>44019</v>
      </c>
      <c r="E1118">
        <v>5.3311999999999999</v>
      </c>
      <c r="F1118" s="1">
        <v>44005</v>
      </c>
      <c r="G1118">
        <v>138.76300000000001</v>
      </c>
      <c r="H1118" s="4">
        <f t="shared" si="153"/>
        <v>739773.30560000008</v>
      </c>
      <c r="I1118" s="5">
        <v>44011</v>
      </c>
      <c r="J1118" s="4">
        <v>6766.35</v>
      </c>
      <c r="K1118" s="4">
        <f t="shared" si="154"/>
        <v>67663.5</v>
      </c>
      <c r="L1118" s="1">
        <v>44011</v>
      </c>
      <c r="M1118">
        <v>2.56</v>
      </c>
      <c r="P1118" s="1">
        <v>44008</v>
      </c>
      <c r="Q1118">
        <v>3.15</v>
      </c>
      <c r="R1118" s="1">
        <v>43977</v>
      </c>
      <c r="S1118">
        <v>3.66</v>
      </c>
      <c r="X1118" s="1">
        <v>44011</v>
      </c>
      <c r="Y1118">
        <f>NETWORKDAYS(X1118,$Z$1,FERIADO!$A$2:$A$408)</f>
        <v>2655</v>
      </c>
      <c r="Z1118">
        <v>7.63</v>
      </c>
      <c r="AA1118" s="6">
        <f t="shared" si="155"/>
        <v>46084.985021052329</v>
      </c>
      <c r="AB1118" s="2">
        <f t="shared" si="156"/>
        <v>4.3775798354801386E-3</v>
      </c>
      <c r="AJ1118" s="1">
        <v>44011</v>
      </c>
      <c r="AK1118">
        <f>NETWORKDAYS(AJ1118,$AJ$1,FERIADO!$A$2:$A$408)</f>
        <v>1642</v>
      </c>
      <c r="AL1118">
        <v>6.73</v>
      </c>
      <c r="AM1118" s="6">
        <f t="shared" si="157"/>
        <v>65416.709718783139</v>
      </c>
      <c r="AN1118" s="2">
        <f t="shared" si="158"/>
        <v>2.2338411740797531E-3</v>
      </c>
      <c r="AP1118" s="11">
        <f t="shared" si="159"/>
        <v>2.1887899177400693E-3</v>
      </c>
      <c r="AQ1118" s="11">
        <f t="shared" si="160"/>
        <v>6.7015235222392595E-4</v>
      </c>
      <c r="AR1118" s="11">
        <f t="shared" si="161"/>
        <v>2.8589422699639953E-3</v>
      </c>
    </row>
    <row r="1119" spans="2:44" x14ac:dyDescent="0.35">
      <c r="B1119" s="1">
        <v>44008</v>
      </c>
      <c r="C1119">
        <v>3354.27</v>
      </c>
      <c r="D1119" s="1">
        <v>44018</v>
      </c>
      <c r="E1119">
        <v>5.3079000000000001</v>
      </c>
      <c r="F1119" s="1">
        <v>44004</v>
      </c>
      <c r="G1119">
        <v>138.703</v>
      </c>
      <c r="H1119" s="4">
        <f t="shared" si="153"/>
        <v>736221.65370000002</v>
      </c>
      <c r="I1119" s="5">
        <v>44008</v>
      </c>
      <c r="J1119" s="4">
        <v>6865.87</v>
      </c>
      <c r="K1119" s="4">
        <f t="shared" si="154"/>
        <v>68658.7</v>
      </c>
      <c r="L1119" s="1">
        <v>44008</v>
      </c>
      <c r="M1119">
        <v>2.6</v>
      </c>
      <c r="P1119" s="1">
        <v>44007</v>
      </c>
      <c r="Q1119">
        <v>3.13</v>
      </c>
      <c r="R1119" s="1">
        <v>43976</v>
      </c>
      <c r="S1119">
        <v>3.72</v>
      </c>
      <c r="X1119" s="1">
        <v>44008</v>
      </c>
      <c r="Y1119">
        <f>NETWORKDAYS(X1119,$Z$1,FERIADO!$A$2:$A$408)</f>
        <v>2656</v>
      </c>
      <c r="Z1119">
        <v>7.73</v>
      </c>
      <c r="AA1119" s="6">
        <f t="shared" si="155"/>
        <v>45622.7931922719</v>
      </c>
      <c r="AB1119" s="2">
        <f t="shared" si="156"/>
        <v>-1.5721903330651462E-3</v>
      </c>
      <c r="AJ1119" s="1">
        <v>44008</v>
      </c>
      <c r="AK1119">
        <f>NETWORKDAYS(AJ1119,$AJ$1,FERIADO!$A$2:$A$408)</f>
        <v>1643</v>
      </c>
      <c r="AL1119">
        <v>6.81</v>
      </c>
      <c r="AM1119" s="6">
        <f t="shared" si="157"/>
        <v>65081.095590498262</v>
      </c>
      <c r="AN1119" s="2">
        <f t="shared" si="158"/>
        <v>-1.4784748247888115E-3</v>
      </c>
      <c r="AP1119" s="11">
        <f t="shared" si="159"/>
        <v>-7.8609516653257311E-4</v>
      </c>
      <c r="AQ1119" s="11">
        <f t="shared" si="160"/>
        <v>-4.435424474366434E-4</v>
      </c>
      <c r="AR1119" s="11">
        <f t="shared" si="161"/>
        <v>-1.2296376139692166E-3</v>
      </c>
    </row>
    <row r="1120" spans="2:44" x14ac:dyDescent="0.35">
      <c r="B1120" s="1">
        <v>44007</v>
      </c>
      <c r="C1120">
        <v>3435.64</v>
      </c>
      <c r="D1120" s="1">
        <v>44015</v>
      </c>
      <c r="E1120">
        <v>5.3368000000000002</v>
      </c>
      <c r="F1120" s="1">
        <v>44001</v>
      </c>
      <c r="G1120">
        <v>138.80500000000001</v>
      </c>
      <c r="H1120" s="4">
        <f t="shared" si="153"/>
        <v>740774.52400000009</v>
      </c>
      <c r="I1120" s="5">
        <v>44007</v>
      </c>
      <c r="J1120" s="4">
        <v>6715.66</v>
      </c>
      <c r="K1120" s="4">
        <f t="shared" si="154"/>
        <v>67156.600000000006</v>
      </c>
      <c r="L1120" s="1">
        <v>44007</v>
      </c>
      <c r="M1120">
        <v>2.61</v>
      </c>
      <c r="P1120" s="1">
        <v>44006</v>
      </c>
      <c r="Q1120">
        <v>3.25</v>
      </c>
      <c r="R1120" s="1">
        <v>43973</v>
      </c>
      <c r="S1120">
        <v>3.92</v>
      </c>
      <c r="X1120" s="1">
        <v>44007</v>
      </c>
      <c r="Y1120">
        <f>NETWORKDAYS(X1120,$Z$1,FERIADO!$A$2:$A$408)</f>
        <v>2657</v>
      </c>
      <c r="Z1120">
        <v>7.69</v>
      </c>
      <c r="AA1120" s="6">
        <f t="shared" si="155"/>
        <v>45788.251665841111</v>
      </c>
      <c r="AB1120" s="2">
        <f t="shared" si="156"/>
        <v>7.7778868456828062E-3</v>
      </c>
      <c r="AJ1120" s="1">
        <v>44007</v>
      </c>
      <c r="AK1120">
        <f>NETWORKDAYS(AJ1120,$AJ$1,FERIADO!$A$2:$A$408)</f>
        <v>1644</v>
      </c>
      <c r="AL1120">
        <v>6.75</v>
      </c>
      <c r="AM1120" s="6">
        <f t="shared" si="157"/>
        <v>65303.029633590835</v>
      </c>
      <c r="AN1120" s="2">
        <f t="shared" si="158"/>
        <v>4.8888358204720855E-3</v>
      </c>
      <c r="AP1120" s="11">
        <f t="shared" si="159"/>
        <v>3.8889434228414031E-3</v>
      </c>
      <c r="AQ1120" s="11">
        <f t="shared" si="160"/>
        <v>1.4666507461416256E-3</v>
      </c>
      <c r="AR1120" s="11">
        <f t="shared" si="161"/>
        <v>5.3555941689830289E-3</v>
      </c>
    </row>
    <row r="1121" spans="2:44" x14ac:dyDescent="0.35">
      <c r="B1121" s="1">
        <v>44006</v>
      </c>
      <c r="C1121">
        <v>3408.98</v>
      </c>
      <c r="D1121" s="1">
        <v>44014</v>
      </c>
      <c r="E1121">
        <v>5.3022</v>
      </c>
      <c r="F1121" s="1">
        <v>44000</v>
      </c>
      <c r="G1121">
        <v>138.84899999999999</v>
      </c>
      <c r="H1121" s="4">
        <f t="shared" si="153"/>
        <v>736205.16779999994</v>
      </c>
      <c r="I1121" s="5">
        <v>44006</v>
      </c>
      <c r="J1121" s="4">
        <v>6699.39</v>
      </c>
      <c r="K1121" s="4">
        <f t="shared" si="154"/>
        <v>66993.900000000009</v>
      </c>
      <c r="L1121" s="1">
        <v>44006</v>
      </c>
      <c r="M1121">
        <v>2.76</v>
      </c>
      <c r="P1121" s="1">
        <v>44005</v>
      </c>
      <c r="Q1121">
        <v>3.23</v>
      </c>
      <c r="R1121" s="1">
        <v>43971</v>
      </c>
      <c r="S1121">
        <v>4.04</v>
      </c>
      <c r="X1121" s="1">
        <v>44006</v>
      </c>
      <c r="Y1121">
        <f>NETWORKDAYS(X1121,$Z$1,FERIADO!$A$2:$A$408)</f>
        <v>2658</v>
      </c>
      <c r="Z1121">
        <v>7.87</v>
      </c>
      <c r="AA1121" s="6">
        <f t="shared" si="155"/>
        <v>44975.518035202753</v>
      </c>
      <c r="AB1121" s="2">
        <f t="shared" si="156"/>
        <v>-6.2461246396626402E-3</v>
      </c>
      <c r="AJ1121" s="1">
        <v>44006</v>
      </c>
      <c r="AK1121">
        <f>NETWORKDAYS(AJ1121,$AJ$1,FERIADO!$A$2:$A$408)</f>
        <v>1645</v>
      </c>
      <c r="AL1121">
        <v>6.93</v>
      </c>
      <c r="AM1121" s="6">
        <f t="shared" si="157"/>
        <v>64572.038100235128</v>
      </c>
      <c r="AN1121" s="2">
        <f t="shared" si="158"/>
        <v>-3.3353392571864619E-3</v>
      </c>
      <c r="AP1121" s="11">
        <f t="shared" si="159"/>
        <v>-3.1230623198313201E-3</v>
      </c>
      <c r="AQ1121" s="11">
        <f t="shared" si="160"/>
        <v>-1.0006017771559386E-3</v>
      </c>
      <c r="AR1121" s="11">
        <f t="shared" si="161"/>
        <v>-4.1236640969872585E-3</v>
      </c>
    </row>
    <row r="1122" spans="2:44" x14ac:dyDescent="0.35">
      <c r="B1122" s="1">
        <v>44005</v>
      </c>
      <c r="C1122">
        <v>3492.72</v>
      </c>
      <c r="D1122" s="1">
        <v>44013</v>
      </c>
      <c r="E1122">
        <v>5.3646000000000003</v>
      </c>
      <c r="F1122" s="1">
        <v>43999</v>
      </c>
      <c r="G1122">
        <v>138.57900000000001</v>
      </c>
      <c r="H1122" s="4">
        <f t="shared" si="153"/>
        <v>743420.90340000007</v>
      </c>
      <c r="I1122" s="5">
        <v>44005</v>
      </c>
      <c r="J1122" s="4">
        <v>6455.29</v>
      </c>
      <c r="K1122" s="4">
        <f t="shared" si="154"/>
        <v>64552.9</v>
      </c>
      <c r="L1122" s="1">
        <v>44005</v>
      </c>
      <c r="M1122">
        <v>2.74</v>
      </c>
      <c r="P1122" s="1">
        <v>44004</v>
      </c>
      <c r="Q1122">
        <v>3.25</v>
      </c>
      <c r="R1122" s="1">
        <v>43970</v>
      </c>
      <c r="S1122">
        <v>4.17</v>
      </c>
      <c r="X1122" s="1">
        <v>44005</v>
      </c>
      <c r="Y1122">
        <f>NETWORKDAYS(X1122,$Z$1,FERIADO!$A$2:$A$408)</f>
        <v>2659</v>
      </c>
      <c r="Z1122">
        <v>7.72</v>
      </c>
      <c r="AA1122" s="6">
        <f t="shared" si="155"/>
        <v>45627.040379394377</v>
      </c>
      <c r="AB1122" s="2">
        <f t="shared" si="156"/>
        <v>4.8070206150563257E-3</v>
      </c>
      <c r="AJ1122" s="1">
        <v>44005</v>
      </c>
      <c r="AK1122">
        <f>NETWORKDAYS(AJ1122,$AJ$1,FERIADO!$A$2:$A$408)</f>
        <v>1646</v>
      </c>
      <c r="AL1122">
        <v>6.8</v>
      </c>
      <c r="AM1122" s="6">
        <f t="shared" si="157"/>
        <v>65069.854196809611</v>
      </c>
      <c r="AN1122" s="2">
        <f t="shared" si="158"/>
        <v>2.7698355037317716E-3</v>
      </c>
      <c r="AP1122" s="11">
        <f t="shared" si="159"/>
        <v>2.4035103075281629E-3</v>
      </c>
      <c r="AQ1122" s="11">
        <f t="shared" si="160"/>
        <v>8.3095065111953145E-4</v>
      </c>
      <c r="AR1122" s="11">
        <f t="shared" si="161"/>
        <v>3.2344609586476944E-3</v>
      </c>
    </row>
    <row r="1123" spans="2:44" x14ac:dyDescent="0.35">
      <c r="B1123" s="1">
        <v>44004</v>
      </c>
      <c r="C1123">
        <v>3482.07</v>
      </c>
      <c r="D1123" s="1">
        <v>44012</v>
      </c>
      <c r="E1123">
        <v>5.4753999999999996</v>
      </c>
      <c r="F1123" s="1">
        <v>43998</v>
      </c>
      <c r="G1123">
        <v>138.50700000000001</v>
      </c>
      <c r="H1123" s="4">
        <f t="shared" si="153"/>
        <v>758381.22779999988</v>
      </c>
      <c r="I1123" s="5">
        <v>44004</v>
      </c>
      <c r="J1123" s="4">
        <v>6578.59</v>
      </c>
      <c r="K1123" s="4">
        <f t="shared" si="154"/>
        <v>65785.899999999994</v>
      </c>
      <c r="L1123" s="1">
        <v>44004</v>
      </c>
      <c r="M1123">
        <v>2.77</v>
      </c>
      <c r="P1123" s="1">
        <v>44001</v>
      </c>
      <c r="Q1123">
        <v>3.15</v>
      </c>
      <c r="R1123" s="1">
        <v>43969</v>
      </c>
      <c r="S1123">
        <v>4.25</v>
      </c>
      <c r="X1123" s="1">
        <v>44004</v>
      </c>
      <c r="Y1123">
        <f>NETWORKDAYS(X1123,$Z$1,FERIADO!$A$2:$A$408)</f>
        <v>2660</v>
      </c>
      <c r="Z1123">
        <v>7.83</v>
      </c>
      <c r="AA1123" s="6">
        <f t="shared" si="155"/>
        <v>45124.798782838625</v>
      </c>
      <c r="AB1123" s="2">
        <f t="shared" si="156"/>
        <v>-4.9764482649069051E-3</v>
      </c>
      <c r="AJ1123" s="1">
        <v>44004</v>
      </c>
      <c r="AK1123">
        <f>NETWORKDAYS(AJ1123,$AJ$1,FERIADO!$A$2:$A$408)</f>
        <v>1647</v>
      </c>
      <c r="AL1123">
        <v>6.9</v>
      </c>
      <c r="AM1123" s="6">
        <f t="shared" si="157"/>
        <v>64656.17344088338</v>
      </c>
      <c r="AN1123" s="2">
        <f t="shared" si="158"/>
        <v>-2.5430795299814569E-3</v>
      </c>
      <c r="AP1123" s="11">
        <f t="shared" si="159"/>
        <v>-2.4882241324534525E-3</v>
      </c>
      <c r="AQ1123" s="11">
        <f t="shared" si="160"/>
        <v>-7.6292385899443709E-4</v>
      </c>
      <c r="AR1123" s="11">
        <f t="shared" si="161"/>
        <v>-3.2511479914478897E-3</v>
      </c>
    </row>
    <row r="1124" spans="2:44" x14ac:dyDescent="0.35">
      <c r="B1124" s="1">
        <v>44001</v>
      </c>
      <c r="C1124">
        <v>3425.86</v>
      </c>
      <c r="D1124" s="1">
        <v>44011</v>
      </c>
      <c r="E1124">
        <v>5.4409999999999998</v>
      </c>
      <c r="F1124" s="1">
        <v>43997</v>
      </c>
      <c r="G1124">
        <v>138.648</v>
      </c>
      <c r="H1124" s="4">
        <f t="shared" si="153"/>
        <v>754383.76799999992</v>
      </c>
      <c r="I1124" s="5">
        <v>44001</v>
      </c>
      <c r="J1124" s="4">
        <v>6654.95</v>
      </c>
      <c r="K1124" s="4">
        <f t="shared" si="154"/>
        <v>66549.5</v>
      </c>
      <c r="L1124" s="1">
        <v>44001</v>
      </c>
      <c r="M1124">
        <v>2.7</v>
      </c>
      <c r="P1124" s="1">
        <v>44000</v>
      </c>
      <c r="Q1124">
        <v>3.19</v>
      </c>
      <c r="R1124" s="1">
        <v>43966</v>
      </c>
      <c r="S1124">
        <v>4.34</v>
      </c>
      <c r="X1124" s="1">
        <v>44001</v>
      </c>
      <c r="Y1124">
        <f>NETWORKDAYS(X1124,$Z$1,FERIADO!$A$2:$A$408)</f>
        <v>2661</v>
      </c>
      <c r="Z1124">
        <v>7.71</v>
      </c>
      <c r="AA1124" s="6">
        <f t="shared" si="155"/>
        <v>45644.84394507017</v>
      </c>
      <c r="AB1124" s="2">
        <f t="shared" si="156"/>
        <v>9.7977624941301272E-4</v>
      </c>
      <c r="AJ1124" s="1">
        <v>44001</v>
      </c>
      <c r="AK1124">
        <f>NETWORKDAYS(AJ1124,$AJ$1,FERIADO!$A$2:$A$408)</f>
        <v>1648</v>
      </c>
      <c r="AL1124">
        <v>6.8</v>
      </c>
      <c r="AM1124" s="6">
        <f t="shared" si="157"/>
        <v>65035.88847202091</v>
      </c>
      <c r="AN1124" s="2">
        <f t="shared" si="158"/>
        <v>6.4551382424757559E-4</v>
      </c>
      <c r="AP1124" s="11">
        <f t="shared" si="159"/>
        <v>4.8988812470650636E-4</v>
      </c>
      <c r="AQ1124" s="11">
        <f t="shared" si="160"/>
        <v>1.9365414727427266E-4</v>
      </c>
      <c r="AR1124" s="11">
        <f t="shared" si="161"/>
        <v>6.8354227198077903E-4</v>
      </c>
    </row>
    <row r="1125" spans="2:44" x14ac:dyDescent="0.35">
      <c r="B1125" s="1">
        <v>44000</v>
      </c>
      <c r="C1125">
        <v>3475.15</v>
      </c>
      <c r="D1125" s="1">
        <v>44008</v>
      </c>
      <c r="E1125">
        <v>5.4622999999999999</v>
      </c>
      <c r="F1125" s="1">
        <v>43994</v>
      </c>
      <c r="G1125">
        <v>138.709</v>
      </c>
      <c r="H1125" s="4">
        <f t="shared" si="153"/>
        <v>757670.17070000002</v>
      </c>
      <c r="I1125" s="5">
        <v>44000</v>
      </c>
      <c r="J1125" s="4">
        <v>6740.07</v>
      </c>
      <c r="K1125" s="4">
        <f t="shared" si="154"/>
        <v>67400.7</v>
      </c>
      <c r="L1125" s="1">
        <v>44000</v>
      </c>
      <c r="M1125">
        <v>2.68</v>
      </c>
      <c r="P1125" s="1">
        <v>43999</v>
      </c>
      <c r="Q1125">
        <v>3.09</v>
      </c>
      <c r="R1125" s="1">
        <v>43965</v>
      </c>
      <c r="S1125">
        <v>4.4000000000000004</v>
      </c>
      <c r="X1125" s="1">
        <v>44000</v>
      </c>
      <c r="Y1125">
        <f>NETWORKDAYS(X1125,$Z$1,FERIADO!$A$2:$A$408)</f>
        <v>2662</v>
      </c>
      <c r="Z1125">
        <v>7.73</v>
      </c>
      <c r="AA1125" s="6">
        <f t="shared" si="155"/>
        <v>45541.984417125306</v>
      </c>
      <c r="AB1125" s="2">
        <f t="shared" si="156"/>
        <v>-8.8265895011257339E-3</v>
      </c>
      <c r="AJ1125" s="1">
        <v>44000</v>
      </c>
      <c r="AK1125">
        <f>NETWORKDAYS(AJ1125,$AJ$1,FERIADO!$A$2:$A$408)</f>
        <v>1649</v>
      </c>
      <c r="AL1125">
        <v>6.82</v>
      </c>
      <c r="AM1125" s="6">
        <f t="shared" si="157"/>
        <v>64939.294150377937</v>
      </c>
      <c r="AN1125" s="2">
        <f t="shared" si="158"/>
        <v>-5.2153766240193673E-3</v>
      </c>
      <c r="AP1125" s="11">
        <f t="shared" si="159"/>
        <v>-4.413294750562867E-3</v>
      </c>
      <c r="AQ1125" s="11">
        <f t="shared" si="160"/>
        <v>-1.5646129872058101E-3</v>
      </c>
      <c r="AR1125" s="11">
        <f t="shared" si="161"/>
        <v>-5.9779077377686771E-3</v>
      </c>
    </row>
    <row r="1126" spans="2:44" x14ac:dyDescent="0.35">
      <c r="B1126" s="1">
        <v>43999</v>
      </c>
      <c r="C1126">
        <v>3481.78</v>
      </c>
      <c r="D1126" s="1">
        <v>44007</v>
      </c>
      <c r="E1126">
        <v>5.3281000000000001</v>
      </c>
      <c r="F1126" s="1">
        <v>43992</v>
      </c>
      <c r="G1126">
        <v>138.61799999999999</v>
      </c>
      <c r="H1126" s="4">
        <f t="shared" si="153"/>
        <v>738570.56579999998</v>
      </c>
      <c r="I1126" s="5">
        <v>43999</v>
      </c>
      <c r="J1126" s="4">
        <v>6545.42</v>
      </c>
      <c r="K1126" s="4">
        <f t="shared" si="154"/>
        <v>65454.2</v>
      </c>
      <c r="L1126" s="1">
        <v>43999</v>
      </c>
      <c r="M1126">
        <v>2.6</v>
      </c>
      <c r="P1126" s="1">
        <v>43998</v>
      </c>
      <c r="Q1126">
        <v>3.21</v>
      </c>
      <c r="R1126" s="1">
        <v>43964</v>
      </c>
      <c r="S1126">
        <v>4.54</v>
      </c>
      <c r="X1126" s="1">
        <v>43999</v>
      </c>
      <c r="Y1126">
        <f>NETWORKDAYS(X1126,$Z$1,FERIADO!$A$2:$A$408)</f>
        <v>2663</v>
      </c>
      <c r="Z1126">
        <v>7.52</v>
      </c>
      <c r="AA1126" s="6">
        <f t="shared" si="155"/>
        <v>46477.048418741426</v>
      </c>
      <c r="AB1126" s="2">
        <f t="shared" si="156"/>
        <v>6.5255064201087754E-3</v>
      </c>
      <c r="AJ1126" s="1">
        <v>43999</v>
      </c>
      <c r="AK1126">
        <f>NETWORKDAYS(AJ1126,$AJ$1,FERIADO!$A$2:$A$408)</f>
        <v>1650</v>
      </c>
      <c r="AL1126">
        <v>6.62</v>
      </c>
      <c r="AM1126" s="6">
        <f t="shared" si="157"/>
        <v>65723.841620910651</v>
      </c>
      <c r="AN1126" s="2">
        <f t="shared" si="158"/>
        <v>3.3110541991916314E-3</v>
      </c>
      <c r="AP1126" s="11">
        <f t="shared" si="159"/>
        <v>3.2627532100543877E-3</v>
      </c>
      <c r="AQ1126" s="11">
        <f t="shared" si="160"/>
        <v>9.9331625975748934E-4</v>
      </c>
      <c r="AR1126" s="11">
        <f t="shared" si="161"/>
        <v>4.2560694698118772E-3</v>
      </c>
    </row>
    <row r="1127" spans="2:44" x14ac:dyDescent="0.35">
      <c r="B1127" s="1">
        <v>43998</v>
      </c>
      <c r="C1127">
        <v>3490.62</v>
      </c>
      <c r="D1127" s="1">
        <v>44006</v>
      </c>
      <c r="E1127">
        <v>5.2428999999999997</v>
      </c>
      <c r="F1127" s="1">
        <v>43991</v>
      </c>
      <c r="G1127">
        <v>137.709</v>
      </c>
      <c r="H1127" s="4">
        <f t="shared" si="153"/>
        <v>721994.51609999989</v>
      </c>
      <c r="I1127" s="5">
        <v>43998</v>
      </c>
      <c r="J1127" s="4">
        <v>6570.46</v>
      </c>
      <c r="K1127" s="4">
        <f t="shared" si="154"/>
        <v>65704.600000000006</v>
      </c>
      <c r="L1127" s="1">
        <v>43998</v>
      </c>
      <c r="M1127">
        <v>2.68</v>
      </c>
      <c r="P1127" s="1">
        <v>43997</v>
      </c>
      <c r="Q1127">
        <v>3.18</v>
      </c>
      <c r="R1127" s="1">
        <v>43962</v>
      </c>
      <c r="S1127">
        <v>4.18</v>
      </c>
      <c r="X1127" s="1">
        <v>43998</v>
      </c>
      <c r="Y1127">
        <f>NETWORKDAYS(X1127,$Z$1,FERIADO!$A$2:$A$408)</f>
        <v>2664</v>
      </c>
      <c r="Z1127">
        <v>7.67</v>
      </c>
      <c r="AA1127" s="6">
        <f t="shared" si="155"/>
        <v>45783.926261941611</v>
      </c>
      <c r="AB1127" s="2">
        <f t="shared" si="156"/>
        <v>-4.5672649159245625E-3</v>
      </c>
      <c r="AJ1127" s="1">
        <v>43998</v>
      </c>
      <c r="AK1127">
        <f>NETWORKDAYS(AJ1127,$AJ$1,FERIADO!$A$2:$A$408)</f>
        <v>1651</v>
      </c>
      <c r="AL1127">
        <v>6.74</v>
      </c>
      <c r="AM1127" s="6">
        <f t="shared" si="157"/>
        <v>65224.669359814507</v>
      </c>
      <c r="AN1127" s="2">
        <f t="shared" si="158"/>
        <v>-2.5561084427365142E-3</v>
      </c>
      <c r="AP1127" s="11">
        <f t="shared" si="159"/>
        <v>-2.2836324579622812E-3</v>
      </c>
      <c r="AQ1127" s="11">
        <f t="shared" si="160"/>
        <v>-7.6683253282095419E-4</v>
      </c>
      <c r="AR1127" s="11">
        <f t="shared" si="161"/>
        <v>-3.0504649907832355E-3</v>
      </c>
    </row>
    <row r="1128" spans="2:44" x14ac:dyDescent="0.35">
      <c r="B1128" s="1">
        <v>43997</v>
      </c>
      <c r="C1128">
        <v>3418.26</v>
      </c>
      <c r="D1128" s="1">
        <v>44005</v>
      </c>
      <c r="E1128">
        <v>5.1699000000000002</v>
      </c>
      <c r="F1128" s="1">
        <v>43990</v>
      </c>
      <c r="G1128">
        <v>137.274</v>
      </c>
      <c r="H1128" s="4">
        <f t="shared" si="153"/>
        <v>709692.85259999998</v>
      </c>
      <c r="I1128" s="5">
        <v>43997</v>
      </c>
      <c r="J1128" s="4">
        <v>6450.91</v>
      </c>
      <c r="K1128" s="4">
        <f t="shared" si="154"/>
        <v>64509.1</v>
      </c>
      <c r="L1128" s="1">
        <v>43997</v>
      </c>
      <c r="M1128">
        <v>2.69</v>
      </c>
      <c r="P1128" s="1">
        <v>43994</v>
      </c>
      <c r="Q1128">
        <v>3.21</v>
      </c>
      <c r="R1128" s="1">
        <v>43958</v>
      </c>
      <c r="S1128">
        <v>4.18</v>
      </c>
      <c r="X1128" s="1">
        <v>43997</v>
      </c>
      <c r="Y1128">
        <f>NETWORKDAYS(X1128,$Z$1,FERIADO!$A$2:$A$408)</f>
        <v>2665</v>
      </c>
      <c r="Z1128">
        <v>7.56</v>
      </c>
      <c r="AA1128" s="6">
        <f t="shared" si="155"/>
        <v>46267.954343666723</v>
      </c>
      <c r="AB1128" s="2">
        <f t="shared" si="156"/>
        <v>-1.5833694124015212E-3</v>
      </c>
      <c r="AJ1128" s="1">
        <v>43997</v>
      </c>
      <c r="AK1128">
        <f>NETWORKDAYS(AJ1128,$AJ$1,FERIADO!$A$2:$A$408)</f>
        <v>1652</v>
      </c>
      <c r="AL1128">
        <v>6.64</v>
      </c>
      <c r="AM1128" s="6">
        <f t="shared" si="157"/>
        <v>65609.691346663283</v>
      </c>
      <c r="AN1128" s="2">
        <f t="shared" si="158"/>
        <v>-9.5796027341792935E-4</v>
      </c>
      <c r="AP1128" s="11">
        <f t="shared" si="159"/>
        <v>-7.9168470620076059E-4</v>
      </c>
      <c r="AQ1128" s="11">
        <f t="shared" si="160"/>
        <v>-2.8738808202537881E-4</v>
      </c>
      <c r="AR1128" s="11">
        <f t="shared" si="161"/>
        <v>-1.0790727882261395E-3</v>
      </c>
    </row>
    <row r="1129" spans="2:44" x14ac:dyDescent="0.35">
      <c r="B1129" s="1">
        <v>43994</v>
      </c>
      <c r="C1129">
        <v>3390.61</v>
      </c>
      <c r="D1129" s="1">
        <v>44004</v>
      </c>
      <c r="E1129">
        <v>5.2220000000000004</v>
      </c>
      <c r="F1129" s="1">
        <v>43987</v>
      </c>
      <c r="G1129">
        <v>137.11000000000001</v>
      </c>
      <c r="H1129" s="4">
        <f t="shared" si="153"/>
        <v>715988.42000000016</v>
      </c>
      <c r="I1129" s="5">
        <v>43994</v>
      </c>
      <c r="J1129" s="4">
        <v>6328.24</v>
      </c>
      <c r="K1129" s="4">
        <f t="shared" si="154"/>
        <v>63282.399999999994</v>
      </c>
      <c r="L1129" s="1">
        <v>43994</v>
      </c>
      <c r="M1129">
        <v>2.66</v>
      </c>
      <c r="P1129" s="1">
        <v>43992</v>
      </c>
      <c r="Q1129">
        <v>3.21</v>
      </c>
      <c r="R1129" s="1">
        <v>43956</v>
      </c>
      <c r="S1129">
        <v>4.05</v>
      </c>
      <c r="X1129" s="1">
        <v>43994</v>
      </c>
      <c r="Y1129">
        <f>NETWORKDAYS(X1129,$Z$1,FERIADO!$A$2:$A$408)</f>
        <v>2666</v>
      </c>
      <c r="Z1129">
        <v>7.52</v>
      </c>
      <c r="AA1129" s="6">
        <f t="shared" si="155"/>
        <v>46436.947906937508</v>
      </c>
      <c r="AB1129" s="2">
        <f t="shared" si="156"/>
        <v>-1.8887925331847509E-3</v>
      </c>
      <c r="AJ1129" s="1">
        <v>43994</v>
      </c>
      <c r="AK1129">
        <f>NETWORKDAYS(AJ1129,$AJ$1,FERIADO!$A$2:$A$408)</f>
        <v>1653</v>
      </c>
      <c r="AL1129">
        <v>6.6</v>
      </c>
      <c r="AM1129" s="6">
        <f t="shared" si="157"/>
        <v>65754.571951652411</v>
      </c>
      <c r="AN1129" s="2">
        <f t="shared" si="158"/>
        <v>2.2029527532186434E-4</v>
      </c>
      <c r="AP1129" s="11">
        <f t="shared" si="159"/>
        <v>-9.4439626659237547E-4</v>
      </c>
      <c r="AQ1129" s="11">
        <f t="shared" si="160"/>
        <v>6.6088582596559301E-5</v>
      </c>
      <c r="AR1129" s="11">
        <f t="shared" si="161"/>
        <v>-8.783076839958162E-4</v>
      </c>
    </row>
    <row r="1130" spans="2:44" x14ac:dyDescent="0.35">
      <c r="B1130" s="1">
        <v>43992</v>
      </c>
      <c r="C1130">
        <v>3559.25</v>
      </c>
      <c r="D1130" s="1">
        <v>44001</v>
      </c>
      <c r="E1130">
        <v>5.3460000000000001</v>
      </c>
      <c r="F1130" s="1">
        <v>43986</v>
      </c>
      <c r="G1130">
        <v>137.76599999999999</v>
      </c>
      <c r="H1130" s="4">
        <f t="shared" si="153"/>
        <v>736497.03599999996</v>
      </c>
      <c r="I1130" s="5">
        <v>43992</v>
      </c>
      <c r="J1130" s="4">
        <v>6235.61</v>
      </c>
      <c r="K1130" s="4">
        <f t="shared" si="154"/>
        <v>62356.1</v>
      </c>
      <c r="L1130" s="1">
        <v>43992</v>
      </c>
      <c r="M1130">
        <v>2.68</v>
      </c>
      <c r="P1130" s="1">
        <v>43991</v>
      </c>
      <c r="Q1130">
        <v>3.27</v>
      </c>
      <c r="R1130" s="1">
        <v>43955</v>
      </c>
      <c r="S1130">
        <v>4.03</v>
      </c>
      <c r="X1130" s="1">
        <v>43992</v>
      </c>
      <c r="Y1130">
        <f>NETWORKDAYS(X1130,$Z$1,FERIADO!$A$2:$A$408)</f>
        <v>2668</v>
      </c>
      <c r="Z1130">
        <v>7.47</v>
      </c>
      <c r="AA1130" s="6">
        <f t="shared" si="155"/>
        <v>46639.34690217521</v>
      </c>
      <c r="AB1130" s="2">
        <f t="shared" si="156"/>
        <v>6.9670840942859507E-3</v>
      </c>
      <c r="AJ1130" s="1">
        <v>43992</v>
      </c>
      <c r="AK1130">
        <f>NETWORKDAYS(AJ1130,$AJ$1,FERIADO!$A$2:$A$408)</f>
        <v>1655</v>
      </c>
      <c r="AL1130">
        <v>6.6</v>
      </c>
      <c r="AM1130" s="6">
        <f t="shared" si="157"/>
        <v>65721.226493901297</v>
      </c>
      <c r="AN1130" s="2">
        <f t="shared" si="158"/>
        <v>3.5884359009901948E-3</v>
      </c>
      <c r="AP1130" s="11">
        <f t="shared" si="159"/>
        <v>3.4835420471429753E-3</v>
      </c>
      <c r="AQ1130" s="11">
        <f t="shared" si="160"/>
        <v>1.0765307702970584E-3</v>
      </c>
      <c r="AR1130" s="11">
        <f t="shared" si="161"/>
        <v>4.5600728174400341E-3</v>
      </c>
    </row>
    <row r="1131" spans="2:44" x14ac:dyDescent="0.35">
      <c r="B1131" s="1">
        <v>43991</v>
      </c>
      <c r="C1131">
        <v>3573.97</v>
      </c>
      <c r="D1131" s="1">
        <v>44000</v>
      </c>
      <c r="E1131">
        <v>5.3461999999999996</v>
      </c>
      <c r="F1131" s="1">
        <v>43985</v>
      </c>
      <c r="G1131">
        <v>138.26400000000001</v>
      </c>
      <c r="H1131" s="4">
        <f t="shared" si="153"/>
        <v>739186.99679999996</v>
      </c>
      <c r="I1131" s="5">
        <v>43991</v>
      </c>
      <c r="J1131" s="4">
        <v>6141.1</v>
      </c>
      <c r="K1131" s="4">
        <f t="shared" si="154"/>
        <v>61411</v>
      </c>
      <c r="L1131" s="1">
        <v>43991</v>
      </c>
      <c r="M1131">
        <v>2.7</v>
      </c>
      <c r="P1131" s="1">
        <v>43990</v>
      </c>
      <c r="Q1131">
        <v>3.21</v>
      </c>
      <c r="R1131" s="1">
        <v>43943</v>
      </c>
      <c r="S1131">
        <v>3.55</v>
      </c>
      <c r="X1131" s="1">
        <v>43991</v>
      </c>
      <c r="Y1131">
        <f>NETWORKDAYS(X1131,$Z$1,FERIADO!$A$2:$A$408)</f>
        <v>2669</v>
      </c>
      <c r="Z1131">
        <v>7.63</v>
      </c>
      <c r="AA1131" s="6">
        <f t="shared" si="155"/>
        <v>45897.113804443412</v>
      </c>
      <c r="AB1131" s="2">
        <f t="shared" si="156"/>
        <v>1.2671960426827522E-4</v>
      </c>
      <c r="AJ1131" s="1">
        <v>43991</v>
      </c>
      <c r="AK1131">
        <f>NETWORKDAYS(AJ1131,$AJ$1,FERIADO!$A$2:$A$408)</f>
        <v>1656</v>
      </c>
      <c r="AL1131">
        <v>6.73</v>
      </c>
      <c r="AM1131" s="6">
        <f t="shared" si="157"/>
        <v>65180.430384148516</v>
      </c>
      <c r="AN1131" s="2">
        <f t="shared" si="158"/>
        <v>-4.2292034363854446E-4</v>
      </c>
      <c r="AP1131" s="11">
        <f t="shared" si="159"/>
        <v>6.335980213413761E-5</v>
      </c>
      <c r="AQ1131" s="11">
        <f t="shared" si="160"/>
        <v>-1.2687610309156333E-4</v>
      </c>
      <c r="AR1131" s="11">
        <f t="shared" si="161"/>
        <v>-6.3516300957425722E-5</v>
      </c>
    </row>
    <row r="1132" spans="2:44" x14ac:dyDescent="0.35">
      <c r="B1132" s="1">
        <v>43990</v>
      </c>
      <c r="C1132">
        <v>3619.03</v>
      </c>
      <c r="D1132" s="1">
        <v>43999</v>
      </c>
      <c r="E1132">
        <v>5.2492000000000001</v>
      </c>
      <c r="F1132" s="1">
        <v>43984</v>
      </c>
      <c r="G1132">
        <v>138.858</v>
      </c>
      <c r="H1132" s="4">
        <f t="shared" si="153"/>
        <v>728893.41360000009</v>
      </c>
      <c r="I1132" s="5">
        <v>43990</v>
      </c>
      <c r="J1132" s="4">
        <v>6034.08</v>
      </c>
      <c r="K1132" s="4">
        <f t="shared" si="154"/>
        <v>60340.800000000003</v>
      </c>
      <c r="L1132" s="1">
        <v>43990</v>
      </c>
      <c r="M1132">
        <v>2.66</v>
      </c>
      <c r="P1132" s="1">
        <v>43987</v>
      </c>
      <c r="Q1132">
        <v>3.22</v>
      </c>
      <c r="R1132" s="1">
        <v>43941</v>
      </c>
      <c r="S1132">
        <v>3.5</v>
      </c>
      <c r="X1132" s="1">
        <v>43990</v>
      </c>
      <c r="Y1132">
        <f>NETWORKDAYS(X1132,$Z$1,FERIADO!$A$2:$A$408)</f>
        <v>2670</v>
      </c>
      <c r="Z1132">
        <v>7.63</v>
      </c>
      <c r="AA1132" s="6">
        <f t="shared" si="155"/>
        <v>45883.723775534847</v>
      </c>
      <c r="AB1132" s="2">
        <f t="shared" si="156"/>
        <v>3.546931021959421E-3</v>
      </c>
      <c r="AJ1132" s="1">
        <v>43990</v>
      </c>
      <c r="AK1132">
        <f>NETWORKDAYS(AJ1132,$AJ$1,FERIADO!$A$2:$A$408)</f>
        <v>1657</v>
      </c>
      <c r="AL1132">
        <v>6.71</v>
      </c>
      <c r="AM1132" s="6">
        <f t="shared" si="157"/>
        <v>65243.934659729559</v>
      </c>
      <c r="AN1132" s="2">
        <f t="shared" si="158"/>
        <v>1.7180982232470356E-3</v>
      </c>
      <c r="AP1132" s="11">
        <f t="shared" si="159"/>
        <v>1.7734655109797105E-3</v>
      </c>
      <c r="AQ1132" s="11">
        <f t="shared" si="160"/>
        <v>5.1542946697411061E-4</v>
      </c>
      <c r="AR1132" s="11">
        <f t="shared" si="161"/>
        <v>2.2888949779538209E-3</v>
      </c>
    </row>
    <row r="1133" spans="2:44" x14ac:dyDescent="0.35">
      <c r="B1133" s="1">
        <v>43987</v>
      </c>
      <c r="C1133">
        <v>3565.29</v>
      </c>
      <c r="D1133" s="1">
        <v>43998</v>
      </c>
      <c r="E1133">
        <v>5.1279000000000003</v>
      </c>
      <c r="F1133" s="1">
        <v>43983</v>
      </c>
      <c r="G1133">
        <v>139.029</v>
      </c>
      <c r="H1133" s="4">
        <f t="shared" si="153"/>
        <v>712926.80910000007</v>
      </c>
      <c r="I1133" s="5">
        <v>43987</v>
      </c>
      <c r="J1133" s="4">
        <v>6223.72</v>
      </c>
      <c r="K1133" s="4">
        <f t="shared" si="154"/>
        <v>62237.200000000004</v>
      </c>
      <c r="L1133" s="1">
        <v>43987</v>
      </c>
      <c r="M1133">
        <v>2.64</v>
      </c>
      <c r="P1133" s="1">
        <v>43986</v>
      </c>
      <c r="Q1133">
        <v>3.24</v>
      </c>
      <c r="R1133" s="1">
        <v>43937</v>
      </c>
      <c r="S1133">
        <v>3.86</v>
      </c>
      <c r="X1133" s="1">
        <v>43987</v>
      </c>
      <c r="Y1133">
        <f>NETWORKDAYS(X1133,$Z$1,FERIADO!$A$2:$A$408)</f>
        <v>2671</v>
      </c>
      <c r="Z1133">
        <v>7.71</v>
      </c>
      <c r="AA1133" s="6">
        <f t="shared" si="155"/>
        <v>45510.512437047793</v>
      </c>
      <c r="AB1133" s="2">
        <f t="shared" si="156"/>
        <v>-2.4378804730171779E-3</v>
      </c>
      <c r="AJ1133" s="1">
        <v>43987</v>
      </c>
      <c r="AK1133">
        <f>NETWORKDAYS(AJ1133,$AJ$1,FERIADO!$A$2:$A$408)</f>
        <v>1658</v>
      </c>
      <c r="AL1133">
        <v>6.77</v>
      </c>
      <c r="AM1133" s="6">
        <f t="shared" si="157"/>
        <v>64986.335136066373</v>
      </c>
      <c r="AN1133" s="2">
        <f t="shared" si="158"/>
        <v>-1.4942480652672984E-3</v>
      </c>
      <c r="AP1133" s="11">
        <f t="shared" si="159"/>
        <v>-1.2189402365085889E-3</v>
      </c>
      <c r="AQ1133" s="11">
        <f t="shared" si="160"/>
        <v>-4.4827441958018952E-4</v>
      </c>
      <c r="AR1133" s="11">
        <f t="shared" si="161"/>
        <v>-1.6672146560887786E-3</v>
      </c>
    </row>
    <row r="1134" spans="2:44" x14ac:dyDescent="0.35">
      <c r="B1134" s="1">
        <v>43986</v>
      </c>
      <c r="C1134">
        <v>3481.14</v>
      </c>
      <c r="D1134" s="1">
        <v>43997</v>
      </c>
      <c r="E1134">
        <v>5.1877000000000004</v>
      </c>
      <c r="F1134" s="1">
        <v>43980</v>
      </c>
      <c r="G1134">
        <v>139.07400000000001</v>
      </c>
      <c r="H1134" s="4">
        <f t="shared" si="153"/>
        <v>721474.18980000005</v>
      </c>
      <c r="I1134" s="5">
        <v>43986</v>
      </c>
      <c r="J1134" s="4">
        <v>6415.24</v>
      </c>
      <c r="K1134" s="4">
        <f t="shared" si="154"/>
        <v>64152.399999999994</v>
      </c>
      <c r="L1134" s="1">
        <v>43986</v>
      </c>
      <c r="M1134">
        <v>2.69</v>
      </c>
      <c r="P1134" s="1">
        <v>43985</v>
      </c>
      <c r="Q1134">
        <v>3.24</v>
      </c>
      <c r="R1134" s="1">
        <v>43935</v>
      </c>
      <c r="S1134">
        <v>3.95</v>
      </c>
      <c r="X1134" s="1">
        <v>43986</v>
      </c>
      <c r="Y1134">
        <f>NETWORKDAYS(X1134,$Z$1,FERIADO!$A$2:$A$408)</f>
        <v>2672</v>
      </c>
      <c r="Z1134">
        <v>7.65</v>
      </c>
      <c r="AA1134" s="6">
        <f t="shared" si="155"/>
        <v>45766.700761610969</v>
      </c>
      <c r="AB1134" s="2">
        <f t="shared" si="156"/>
        <v>-3.7259052050446022E-3</v>
      </c>
      <c r="AJ1134" s="1">
        <v>43986</v>
      </c>
      <c r="AK1134">
        <f>NETWORKDAYS(AJ1134,$AJ$1,FERIADO!$A$2:$A$408)</f>
        <v>1659</v>
      </c>
      <c r="AL1134">
        <v>6.71</v>
      </c>
      <c r="AM1134" s="6">
        <f t="shared" si="157"/>
        <v>65210.314380371805</v>
      </c>
      <c r="AN1134" s="2">
        <f t="shared" si="158"/>
        <v>-1.7653471805431722E-3</v>
      </c>
      <c r="AP1134" s="11">
        <f t="shared" si="159"/>
        <v>-1.8629526025223011E-3</v>
      </c>
      <c r="AQ1134" s="11">
        <f t="shared" si="160"/>
        <v>-5.2960415416295164E-4</v>
      </c>
      <c r="AR1134" s="11">
        <f t="shared" si="161"/>
        <v>-2.3925567566852528E-3</v>
      </c>
    </row>
    <row r="1135" spans="2:44" x14ac:dyDescent="0.35">
      <c r="B1135" s="1">
        <v>43985</v>
      </c>
      <c r="C1135">
        <v>3488.75</v>
      </c>
      <c r="D1135" s="1">
        <v>43994</v>
      </c>
      <c r="E1135">
        <v>5.0366999999999997</v>
      </c>
      <c r="F1135" s="1">
        <v>43979</v>
      </c>
      <c r="G1135">
        <v>138.75700000000001</v>
      </c>
      <c r="H1135" s="4">
        <f t="shared" si="153"/>
        <v>698877.38189999992</v>
      </c>
      <c r="I1135" s="5">
        <v>43985</v>
      </c>
      <c r="J1135" s="4">
        <v>6350.15</v>
      </c>
      <c r="K1135" s="4">
        <f t="shared" si="154"/>
        <v>63501.5</v>
      </c>
      <c r="L1135" s="1">
        <v>43985</v>
      </c>
      <c r="M1135">
        <v>2.66</v>
      </c>
      <c r="P1135" s="1">
        <v>43984</v>
      </c>
      <c r="Q1135">
        <v>3.26</v>
      </c>
      <c r="R1135" s="1">
        <v>43934</v>
      </c>
      <c r="S1135">
        <v>4.12</v>
      </c>
      <c r="X1135" s="1">
        <v>43985</v>
      </c>
      <c r="Y1135">
        <f>NETWORKDAYS(X1135,$Z$1,FERIADO!$A$2:$A$408)</f>
        <v>2673</v>
      </c>
      <c r="Z1135">
        <v>7.56</v>
      </c>
      <c r="AA1135" s="6">
        <f t="shared" si="155"/>
        <v>46161.032179699374</v>
      </c>
      <c r="AB1135" s="2">
        <f t="shared" si="156"/>
        <v>4.4080510718503647E-3</v>
      </c>
      <c r="AJ1135" s="1">
        <v>43985</v>
      </c>
      <c r="AK1135">
        <f>NETWORKDAYS(AJ1135,$AJ$1,FERIADO!$A$2:$A$408)</f>
        <v>1660</v>
      </c>
      <c r="AL1135">
        <v>6.64</v>
      </c>
      <c r="AM1135" s="6">
        <f t="shared" si="157"/>
        <v>65475.924785056457</v>
      </c>
      <c r="AN1135" s="2">
        <f t="shared" si="158"/>
        <v>2.525657632596419E-3</v>
      </c>
      <c r="AP1135" s="11">
        <f t="shared" si="159"/>
        <v>2.2040255359251824E-3</v>
      </c>
      <c r="AQ1135" s="11">
        <f t="shared" si="160"/>
        <v>7.5769728977892567E-4</v>
      </c>
      <c r="AR1135" s="11">
        <f t="shared" si="161"/>
        <v>2.9617228257041079E-3</v>
      </c>
    </row>
    <row r="1136" spans="2:44" x14ac:dyDescent="0.35">
      <c r="B1136" s="1">
        <v>43984</v>
      </c>
      <c r="C1136">
        <v>3455.38</v>
      </c>
      <c r="D1136" s="1">
        <v>43992</v>
      </c>
      <c r="E1136">
        <v>4.8887999999999998</v>
      </c>
      <c r="F1136" s="1">
        <v>43978</v>
      </c>
      <c r="G1136">
        <v>139.12299999999999</v>
      </c>
      <c r="H1136" s="4">
        <f t="shared" si="153"/>
        <v>680144.5223999999</v>
      </c>
      <c r="I1136" s="5">
        <v>43984</v>
      </c>
      <c r="J1136" s="4">
        <v>6522.26</v>
      </c>
      <c r="K1136" s="4">
        <f t="shared" si="154"/>
        <v>65222.600000000006</v>
      </c>
      <c r="L1136" s="1">
        <v>43984</v>
      </c>
      <c r="M1136">
        <v>2.7</v>
      </c>
      <c r="P1136" s="1">
        <v>43983</v>
      </c>
      <c r="Q1136">
        <v>3.37</v>
      </c>
      <c r="R1136" s="1">
        <v>43930</v>
      </c>
      <c r="S1136">
        <v>4.07</v>
      </c>
      <c r="X1136" s="1">
        <v>43984</v>
      </c>
      <c r="Y1136">
        <f>NETWORKDAYS(X1136,$Z$1,FERIADO!$A$2:$A$408)</f>
        <v>2674</v>
      </c>
      <c r="Z1136">
        <v>7.66</v>
      </c>
      <c r="AA1136" s="6">
        <f t="shared" si="155"/>
        <v>45694.871480731796</v>
      </c>
      <c r="AB1136" s="2">
        <f t="shared" si="156"/>
        <v>6.1181954088917988E-3</v>
      </c>
      <c r="AJ1136" s="1">
        <v>43984</v>
      </c>
      <c r="AK1136">
        <f>NETWORKDAYS(AJ1136,$AJ$1,FERIADO!$A$2:$A$408)</f>
        <v>1661</v>
      </c>
      <c r="AL1136">
        <v>6.73</v>
      </c>
      <c r="AM1136" s="6">
        <f t="shared" si="157"/>
        <v>65096.251891516884</v>
      </c>
      <c r="AN1136" s="2">
        <f t="shared" si="158"/>
        <v>4.9387759889103341E-3</v>
      </c>
      <c r="AP1136" s="11">
        <f t="shared" si="159"/>
        <v>3.0590977044458994E-3</v>
      </c>
      <c r="AQ1136" s="11">
        <f t="shared" si="160"/>
        <v>1.4816327966731002E-3</v>
      </c>
      <c r="AR1136" s="11">
        <f t="shared" si="161"/>
        <v>4.5407305011189994E-3</v>
      </c>
    </row>
    <row r="1137" spans="2:44" x14ac:dyDescent="0.35">
      <c r="B1137" s="1">
        <v>43983</v>
      </c>
      <c r="C1137">
        <v>3415.47</v>
      </c>
      <c r="D1137" s="1">
        <v>43991</v>
      </c>
      <c r="E1137">
        <v>4.9051</v>
      </c>
      <c r="F1137" s="1">
        <v>43977</v>
      </c>
      <c r="G1137">
        <v>139.03200000000001</v>
      </c>
      <c r="H1137" s="4">
        <f t="shared" si="153"/>
        <v>681965.86320000002</v>
      </c>
      <c r="I1137" s="5">
        <v>43983</v>
      </c>
      <c r="J1137" s="4">
        <v>6726.92</v>
      </c>
      <c r="K1137" s="4">
        <f t="shared" si="154"/>
        <v>67269.2</v>
      </c>
      <c r="L1137" s="1">
        <v>43983</v>
      </c>
      <c r="M1137">
        <v>2.84</v>
      </c>
      <c r="P1137" s="1">
        <v>43980</v>
      </c>
      <c r="Q1137">
        <v>3.33</v>
      </c>
      <c r="R1137" s="1">
        <v>43928</v>
      </c>
      <c r="S1137">
        <v>4.34</v>
      </c>
      <c r="X1137" s="1">
        <v>43983</v>
      </c>
      <c r="Y1137">
        <f>NETWORKDAYS(X1137,$Z$1,FERIADO!$A$2:$A$408)</f>
        <v>2675</v>
      </c>
      <c r="Z1137">
        <v>7.8</v>
      </c>
      <c r="AA1137" s="6">
        <f t="shared" si="155"/>
        <v>45055.650551279599</v>
      </c>
      <c r="AB1137" s="2">
        <f t="shared" si="156"/>
        <v>1.2943952718537182E-4</v>
      </c>
      <c r="AJ1137" s="1">
        <v>43983</v>
      </c>
      <c r="AK1137">
        <f>NETWORKDAYS(AJ1137,$AJ$1,FERIADO!$A$2:$A$408)</f>
        <v>1662</v>
      </c>
      <c r="AL1137">
        <v>6.91</v>
      </c>
      <c r="AM1137" s="6">
        <f t="shared" si="157"/>
        <v>64360.173697067032</v>
      </c>
      <c r="AN1137" s="2">
        <f t="shared" si="158"/>
        <v>-1.5293628593067202E-4</v>
      </c>
      <c r="AP1137" s="11">
        <f t="shared" si="159"/>
        <v>6.4719763592685909E-5</v>
      </c>
      <c r="AQ1137" s="11">
        <f t="shared" si="160"/>
        <v>-4.5880885779201602E-5</v>
      </c>
      <c r="AR1137" s="11">
        <f t="shared" si="161"/>
        <v>1.8838877813484307E-5</v>
      </c>
    </row>
    <row r="1138" spans="2:44" x14ac:dyDescent="0.35">
      <c r="B1138" s="1">
        <v>43980</v>
      </c>
      <c r="C1138">
        <v>3423.57</v>
      </c>
      <c r="D1138" s="1">
        <v>43990</v>
      </c>
      <c r="E1138">
        <v>4.9325000000000001</v>
      </c>
      <c r="F1138" s="1">
        <v>43973</v>
      </c>
      <c r="G1138">
        <v>139.203</v>
      </c>
      <c r="H1138" s="4">
        <f t="shared" si="153"/>
        <v>686618.79749999999</v>
      </c>
      <c r="I1138" s="5">
        <v>43980</v>
      </c>
      <c r="J1138" s="4">
        <v>6692.5</v>
      </c>
      <c r="K1138" s="4">
        <f t="shared" si="154"/>
        <v>66925</v>
      </c>
      <c r="L1138" s="1">
        <v>43980</v>
      </c>
      <c r="M1138">
        <v>2.77</v>
      </c>
      <c r="P1138" s="1">
        <v>43979</v>
      </c>
      <c r="Q1138">
        <v>3.33</v>
      </c>
      <c r="R1138" s="1">
        <v>43921</v>
      </c>
      <c r="S1138">
        <v>4</v>
      </c>
      <c r="X1138" s="1">
        <v>43980</v>
      </c>
      <c r="Y1138">
        <f>NETWORKDAYS(X1138,$Z$1,FERIADO!$A$2:$A$408)</f>
        <v>2676</v>
      </c>
      <c r="Z1138">
        <v>7.8</v>
      </c>
      <c r="AA1138" s="6">
        <f t="shared" si="155"/>
        <v>45042.223917196927</v>
      </c>
      <c r="AB1138" s="2">
        <f t="shared" si="156"/>
        <v>2.2687936924956562E-3</v>
      </c>
      <c r="AJ1138" s="1">
        <v>43980</v>
      </c>
      <c r="AK1138">
        <f>NETWORKDAYS(AJ1138,$AJ$1,FERIADO!$A$2:$A$408)</f>
        <v>1663</v>
      </c>
      <c r="AL1138">
        <v>6.9</v>
      </c>
      <c r="AM1138" s="6">
        <f t="shared" si="157"/>
        <v>64382.842046866957</v>
      </c>
      <c r="AN1138" s="2">
        <f t="shared" si="158"/>
        <v>1.9922113331339699E-3</v>
      </c>
      <c r="AP1138" s="11">
        <f t="shared" si="159"/>
        <v>1.1343968462478281E-3</v>
      </c>
      <c r="AQ1138" s="11">
        <f t="shared" si="160"/>
        <v>5.976633999401909E-4</v>
      </c>
      <c r="AR1138" s="11">
        <f t="shared" si="161"/>
        <v>1.7320602461880189E-3</v>
      </c>
    </row>
    <row r="1139" spans="2:44" x14ac:dyDescent="0.35">
      <c r="B1139" s="1">
        <v>43979</v>
      </c>
      <c r="C1139">
        <v>3393.87</v>
      </c>
      <c r="D1139" s="1">
        <v>43987</v>
      </c>
      <c r="E1139">
        <v>4.9768999999999997</v>
      </c>
      <c r="F1139" s="1">
        <v>43972</v>
      </c>
      <c r="G1139">
        <v>139.00299999999999</v>
      </c>
      <c r="H1139" s="4">
        <f t="shared" si="153"/>
        <v>691804.03069999989</v>
      </c>
      <c r="I1139" s="5">
        <v>43979</v>
      </c>
      <c r="J1139" s="4">
        <v>6779.5</v>
      </c>
      <c r="K1139" s="4">
        <f t="shared" si="154"/>
        <v>67795</v>
      </c>
      <c r="L1139" s="1">
        <v>43979</v>
      </c>
      <c r="M1139">
        <v>2.83</v>
      </c>
      <c r="P1139" s="1">
        <v>43978</v>
      </c>
      <c r="Q1139">
        <v>3.31</v>
      </c>
      <c r="R1139" s="1">
        <v>43920</v>
      </c>
      <c r="S1139">
        <v>3.92</v>
      </c>
      <c r="X1139" s="1">
        <v>43979</v>
      </c>
      <c r="Y1139">
        <f>NETWORKDAYS(X1139,$Z$1,FERIADO!$A$2:$A$408)</f>
        <v>2677</v>
      </c>
      <c r="Z1139">
        <v>7.85</v>
      </c>
      <c r="AA1139" s="6">
        <f t="shared" si="155"/>
        <v>44807.532819057495</v>
      </c>
      <c r="AB1139" s="2">
        <f t="shared" si="156"/>
        <v>-7.2570355560398357E-4</v>
      </c>
      <c r="AJ1139" s="1">
        <v>43979</v>
      </c>
      <c r="AK1139">
        <f>NETWORKDAYS(AJ1139,$AJ$1,FERIADO!$A$2:$A$408)</f>
        <v>1664</v>
      </c>
      <c r="AL1139">
        <v>6.97</v>
      </c>
      <c r="AM1139" s="6">
        <f t="shared" si="157"/>
        <v>64088.179109408979</v>
      </c>
      <c r="AN1139" s="2">
        <f t="shared" si="158"/>
        <v>-9.5707244820945002E-4</v>
      </c>
      <c r="AP1139" s="11">
        <f t="shared" si="159"/>
        <v>-3.6285177780199179E-4</v>
      </c>
      <c r="AQ1139" s="11">
        <f t="shared" si="160"/>
        <v>-2.87121734462835E-4</v>
      </c>
      <c r="AR1139" s="11">
        <f t="shared" si="161"/>
        <v>-6.4997351226482678E-4</v>
      </c>
    </row>
    <row r="1140" spans="2:44" x14ac:dyDescent="0.35">
      <c r="B1140" s="1">
        <v>43978</v>
      </c>
      <c r="C1140">
        <v>3400.63</v>
      </c>
      <c r="D1140" s="1">
        <v>43986</v>
      </c>
      <c r="E1140">
        <v>5.1035000000000004</v>
      </c>
      <c r="F1140" s="1">
        <v>43971</v>
      </c>
      <c r="G1140">
        <v>139.00200000000001</v>
      </c>
      <c r="H1140" s="4">
        <f t="shared" si="153"/>
        <v>709396.70700000005</v>
      </c>
      <c r="I1140" s="5">
        <v>43978</v>
      </c>
      <c r="J1140" s="4">
        <v>6612.14</v>
      </c>
      <c r="K1140" s="4">
        <f t="shared" si="154"/>
        <v>66121.400000000009</v>
      </c>
      <c r="L1140" s="1">
        <v>43978</v>
      </c>
      <c r="M1140">
        <v>2.82</v>
      </c>
      <c r="P1140" s="1">
        <v>43977</v>
      </c>
      <c r="Q1140">
        <v>3.39</v>
      </c>
      <c r="R1140" s="1">
        <v>43917</v>
      </c>
      <c r="S1140">
        <v>4.01</v>
      </c>
      <c r="X1140" s="1">
        <v>43978</v>
      </c>
      <c r="Y1140">
        <f>NETWORKDAYS(X1140,$Z$1,FERIADO!$A$2:$A$408)</f>
        <v>2678</v>
      </c>
      <c r="Z1140">
        <v>7.83</v>
      </c>
      <c r="AA1140" s="6">
        <f t="shared" si="155"/>
        <v>44882.468537162873</v>
      </c>
      <c r="AB1140" s="2">
        <f t="shared" si="156"/>
        <v>2.2702760471568794E-3</v>
      </c>
      <c r="AJ1140" s="1">
        <v>43978</v>
      </c>
      <c r="AK1140">
        <f>NETWORKDAYS(AJ1140,$AJ$1,FERIADO!$A$2:$A$408)</f>
        <v>1665</v>
      </c>
      <c r="AL1140">
        <v>6.93</v>
      </c>
      <c r="AM1140" s="6">
        <f t="shared" si="157"/>
        <v>64229.568577089012</v>
      </c>
      <c r="AN1140" s="2">
        <f t="shared" si="158"/>
        <v>1.4577067781440742E-3</v>
      </c>
      <c r="AP1140" s="11">
        <f t="shared" si="159"/>
        <v>1.1351380235784397E-3</v>
      </c>
      <c r="AQ1140" s="11">
        <f t="shared" si="160"/>
        <v>4.3731203344322223E-4</v>
      </c>
      <c r="AR1140" s="11">
        <f t="shared" si="161"/>
        <v>1.5724500570216619E-3</v>
      </c>
    </row>
    <row r="1141" spans="2:44" x14ac:dyDescent="0.35">
      <c r="B1141" s="1">
        <v>43977</v>
      </c>
      <c r="C1141">
        <v>3355.55</v>
      </c>
      <c r="D1141" s="1">
        <v>43985</v>
      </c>
      <c r="E1141">
        <v>5.0510000000000002</v>
      </c>
      <c r="F1141" s="1">
        <v>43970</v>
      </c>
      <c r="G1141">
        <v>139.035</v>
      </c>
      <c r="H1141" s="4">
        <f t="shared" si="153"/>
        <v>702265.78500000003</v>
      </c>
      <c r="I1141" s="5">
        <v>43977</v>
      </c>
      <c r="J1141" s="4">
        <v>6713.06</v>
      </c>
      <c r="K1141" s="4">
        <f t="shared" si="154"/>
        <v>67130.600000000006</v>
      </c>
      <c r="L1141" s="1">
        <v>43977</v>
      </c>
      <c r="M1141">
        <v>2.89</v>
      </c>
      <c r="P1141" s="1">
        <v>43976</v>
      </c>
      <c r="Q1141">
        <v>3.28</v>
      </c>
      <c r="R1141" s="1">
        <v>43915</v>
      </c>
      <c r="S1141">
        <v>4.6500000000000004</v>
      </c>
      <c r="X1141" s="1">
        <v>43977</v>
      </c>
      <c r="Y1141">
        <f>NETWORKDAYS(X1141,$Z$1,FERIADO!$A$2:$A$408)</f>
        <v>2679</v>
      </c>
      <c r="Z1141">
        <v>7.88</v>
      </c>
      <c r="AA1141" s="6">
        <f t="shared" si="155"/>
        <v>44648.457442924831</v>
      </c>
      <c r="AB1141" s="2">
        <f t="shared" si="156"/>
        <v>2.270881776060506E-3</v>
      </c>
      <c r="AJ1141" s="1">
        <v>43977</v>
      </c>
      <c r="AK1141">
        <f>NETWORKDAYS(AJ1141,$AJ$1,FERIADO!$A$2:$A$408)</f>
        <v>1666</v>
      </c>
      <c r="AL1141">
        <v>6.98</v>
      </c>
      <c r="AM1141" s="6">
        <f t="shared" si="157"/>
        <v>64014.343824478492</v>
      </c>
      <c r="AN1141" s="2">
        <f t="shared" si="158"/>
        <v>2.2638358045478043E-3</v>
      </c>
      <c r="AP1141" s="11">
        <f t="shared" si="159"/>
        <v>1.135440888030253E-3</v>
      </c>
      <c r="AQ1141" s="11">
        <f t="shared" si="160"/>
        <v>6.7915074136434123E-4</v>
      </c>
      <c r="AR1141" s="11">
        <f t="shared" si="161"/>
        <v>1.8145916293945941E-3</v>
      </c>
    </row>
    <row r="1142" spans="2:44" x14ac:dyDescent="0.35">
      <c r="B1142" s="1">
        <v>43976</v>
      </c>
      <c r="C1142">
        <v>3360.19</v>
      </c>
      <c r="D1142" s="1">
        <v>43984</v>
      </c>
      <c r="E1142">
        <v>5.2595000000000001</v>
      </c>
      <c r="F1142" s="1">
        <v>43969</v>
      </c>
      <c r="G1142">
        <v>138.74299999999999</v>
      </c>
      <c r="H1142" s="4">
        <f t="shared" si="153"/>
        <v>729718.80850000004</v>
      </c>
      <c r="I1142" s="5">
        <v>43976</v>
      </c>
      <c r="J1142" s="4">
        <v>6825.88</v>
      </c>
      <c r="K1142" s="4">
        <f t="shared" si="154"/>
        <v>68258.8</v>
      </c>
      <c r="L1142" s="1">
        <v>43976</v>
      </c>
      <c r="M1142">
        <v>2.87</v>
      </c>
      <c r="P1142" s="1">
        <v>43973</v>
      </c>
      <c r="Q1142">
        <v>3.49</v>
      </c>
      <c r="R1142" s="1">
        <v>43910</v>
      </c>
      <c r="S1142">
        <v>4.4800000000000004</v>
      </c>
      <c r="X1142" s="1">
        <v>43976</v>
      </c>
      <c r="Y1142">
        <f>NETWORKDAYS(X1142,$Z$1,FERIADO!$A$2:$A$408)</f>
        <v>2680</v>
      </c>
      <c r="Z1142">
        <v>7.93</v>
      </c>
      <c r="AA1142" s="6">
        <f t="shared" si="155"/>
        <v>44415.604502377173</v>
      </c>
      <c r="AB1142" s="2">
        <f t="shared" si="156"/>
        <v>1.5090539478257241E-2</v>
      </c>
      <c r="AJ1142" s="1">
        <v>43976</v>
      </c>
      <c r="AK1142">
        <f>NETWORKDAYS(AJ1142,$AJ$1,FERIADO!$A$2:$A$408)</f>
        <v>1667</v>
      </c>
      <c r="AL1142">
        <v>7.06</v>
      </c>
      <c r="AM1142" s="6">
        <f t="shared" si="157"/>
        <v>63681.526070821761</v>
      </c>
      <c r="AN1142" s="2">
        <f t="shared" si="158"/>
        <v>1.003513027069006E-2</v>
      </c>
      <c r="AP1142" s="11">
        <f t="shared" si="159"/>
        <v>7.5452697391286206E-3</v>
      </c>
      <c r="AQ1142" s="11">
        <f t="shared" si="160"/>
        <v>3.0105390812070181E-3</v>
      </c>
      <c r="AR1142" s="11">
        <f t="shared" si="161"/>
        <v>1.055580882033564E-2</v>
      </c>
    </row>
    <row r="1143" spans="2:44" x14ac:dyDescent="0.35">
      <c r="B1143" s="1">
        <v>43973</v>
      </c>
      <c r="C1143">
        <v>3310.36</v>
      </c>
      <c r="D1143" s="1">
        <v>43983</v>
      </c>
      <c r="E1143">
        <v>5.3632999999999997</v>
      </c>
      <c r="F1143" s="1">
        <v>43966</v>
      </c>
      <c r="G1143">
        <v>139.327</v>
      </c>
      <c r="H1143" s="4">
        <f t="shared" si="153"/>
        <v>747252.4990999999</v>
      </c>
      <c r="I1143" s="5">
        <v>43973</v>
      </c>
      <c r="J1143" s="4">
        <v>6938.71</v>
      </c>
      <c r="K1143" s="4">
        <f t="shared" si="154"/>
        <v>69387.100000000006</v>
      </c>
      <c r="L1143" s="1">
        <v>43973</v>
      </c>
      <c r="M1143">
        <v>3.05</v>
      </c>
      <c r="P1143" s="1">
        <v>43972</v>
      </c>
      <c r="Q1143">
        <v>3.55</v>
      </c>
      <c r="R1143" s="1">
        <v>43909</v>
      </c>
      <c r="S1143">
        <v>2.5</v>
      </c>
      <c r="X1143" s="1">
        <v>43973</v>
      </c>
      <c r="Y1143">
        <f>NETWORKDAYS(X1143,$Z$1,FERIADO!$A$2:$A$408)</f>
        <v>2681</v>
      </c>
      <c r="Z1143">
        <v>8.2799999999999994</v>
      </c>
      <c r="AA1143" s="6">
        <f t="shared" si="155"/>
        <v>42898.789519254758</v>
      </c>
      <c r="AB1143" s="2">
        <f t="shared" si="156"/>
        <v>2.6975989868265387E-3</v>
      </c>
      <c r="AJ1143" s="1">
        <v>43973</v>
      </c>
      <c r="AK1143">
        <f>NETWORKDAYS(AJ1143,$AJ$1,FERIADO!$A$2:$A$408)</f>
        <v>1668</v>
      </c>
      <c r="AL1143">
        <v>7.43</v>
      </c>
      <c r="AM1143" s="6">
        <f t="shared" si="157"/>
        <v>62226.923796989133</v>
      </c>
      <c r="AN1143" s="2">
        <f t="shared" si="158"/>
        <v>1.2351418941098288E-4</v>
      </c>
      <c r="AP1143" s="11">
        <f t="shared" si="159"/>
        <v>1.3487994934132694E-3</v>
      </c>
      <c r="AQ1143" s="11">
        <f t="shared" si="160"/>
        <v>3.7054256823294864E-5</v>
      </c>
      <c r="AR1143" s="11">
        <f t="shared" si="161"/>
        <v>1.3858537502365643E-3</v>
      </c>
    </row>
    <row r="1144" spans="2:44" x14ac:dyDescent="0.35">
      <c r="B1144" s="1">
        <v>43972</v>
      </c>
      <c r="C1144">
        <v>3298.33</v>
      </c>
      <c r="D1144" s="1">
        <v>43980</v>
      </c>
      <c r="E1144">
        <v>5.4257</v>
      </c>
      <c r="F1144" s="1">
        <v>43965</v>
      </c>
      <c r="G1144">
        <v>139.297</v>
      </c>
      <c r="H1144" s="4">
        <f t="shared" si="153"/>
        <v>755783.73290000006</v>
      </c>
      <c r="I1144" s="5">
        <v>43972</v>
      </c>
      <c r="J1144" s="4">
        <v>6966.91</v>
      </c>
      <c r="K1144" s="4">
        <f t="shared" si="154"/>
        <v>69669.100000000006</v>
      </c>
      <c r="L1144" s="1">
        <v>43972</v>
      </c>
      <c r="M1144">
        <v>3.09</v>
      </c>
      <c r="P1144" s="1">
        <v>43971</v>
      </c>
      <c r="Q1144">
        <v>3.7</v>
      </c>
      <c r="R1144" s="1">
        <v>43906</v>
      </c>
      <c r="S1144">
        <v>3.96</v>
      </c>
      <c r="X1144" s="1">
        <v>43972</v>
      </c>
      <c r="Y1144">
        <f>NETWORKDAYS(X1144,$Z$1,FERIADO!$A$2:$A$408)</f>
        <v>2682</v>
      </c>
      <c r="Z1144">
        <v>8.34</v>
      </c>
      <c r="AA1144" s="6">
        <f t="shared" si="155"/>
        <v>42633.151633475085</v>
      </c>
      <c r="AB1144" s="2">
        <f t="shared" si="156"/>
        <v>8.6660089227020946E-3</v>
      </c>
      <c r="AJ1144" s="1">
        <v>43972</v>
      </c>
      <c r="AK1144">
        <f>NETWORKDAYS(AJ1144,$AJ$1,FERIADO!$A$2:$A$408)</f>
        <v>1669</v>
      </c>
      <c r="AL1144">
        <v>7.43</v>
      </c>
      <c r="AM1144" s="6">
        <f t="shared" si="157"/>
        <v>62209.228856038695</v>
      </c>
      <c r="AN1144" s="2">
        <f t="shared" si="158"/>
        <v>4.9417005345948322E-3</v>
      </c>
      <c r="AP1144" s="11">
        <f t="shared" si="159"/>
        <v>4.3330044613510473E-3</v>
      </c>
      <c r="AQ1144" s="11">
        <f t="shared" si="160"/>
        <v>1.4825101603784497E-3</v>
      </c>
      <c r="AR1144" s="11">
        <f t="shared" si="161"/>
        <v>5.8155146217294968E-3</v>
      </c>
    </row>
    <row r="1145" spans="2:44" x14ac:dyDescent="0.35">
      <c r="B1145" s="1">
        <v>43971</v>
      </c>
      <c r="C1145">
        <v>3327.28</v>
      </c>
      <c r="D1145" s="1">
        <v>43979</v>
      </c>
      <c r="E1145">
        <v>5.3399000000000001</v>
      </c>
      <c r="F1145" s="1">
        <v>43964</v>
      </c>
      <c r="G1145">
        <v>139.18700000000001</v>
      </c>
      <c r="H1145" s="4">
        <f t="shared" si="153"/>
        <v>743244.66130000004</v>
      </c>
      <c r="I1145" s="5">
        <v>43971</v>
      </c>
      <c r="J1145" s="4">
        <v>7139.91</v>
      </c>
      <c r="K1145" s="4">
        <f t="shared" si="154"/>
        <v>71399.100000000006</v>
      </c>
      <c r="L1145" s="1">
        <v>43971</v>
      </c>
      <c r="M1145">
        <v>3.22</v>
      </c>
      <c r="P1145" s="1">
        <v>43970</v>
      </c>
      <c r="Q1145">
        <v>3.8</v>
      </c>
      <c r="R1145" s="1">
        <v>43903</v>
      </c>
      <c r="S1145">
        <v>3.01</v>
      </c>
      <c r="X1145" s="1">
        <v>43971</v>
      </c>
      <c r="Y1145">
        <f>NETWORKDAYS(X1145,$Z$1,FERIADO!$A$2:$A$408)</f>
        <v>2683</v>
      </c>
      <c r="Z1145">
        <v>8.5399999999999991</v>
      </c>
      <c r="AA1145" s="6">
        <f t="shared" si="155"/>
        <v>41790.871688587649</v>
      </c>
      <c r="AB1145" s="2">
        <f t="shared" si="156"/>
        <v>2.2715573440627739E-3</v>
      </c>
      <c r="AJ1145" s="1">
        <v>43971</v>
      </c>
      <c r="AK1145">
        <f>NETWORKDAYS(AJ1145,$AJ$1,FERIADO!$A$2:$A$408)</f>
        <v>1670</v>
      </c>
      <c r="AL1145">
        <v>7.61</v>
      </c>
      <c r="AM1145" s="6">
        <f t="shared" si="157"/>
        <v>61505.381598153959</v>
      </c>
      <c r="AN1145" s="2">
        <f t="shared" si="158"/>
        <v>1.2639933093506513E-4</v>
      </c>
      <c r="AP1145" s="11">
        <f t="shared" si="159"/>
        <v>1.135778672031387E-3</v>
      </c>
      <c r="AQ1145" s="11">
        <f t="shared" si="160"/>
        <v>3.7919799280519538E-5</v>
      </c>
      <c r="AR1145" s="11">
        <f t="shared" si="161"/>
        <v>1.1736984713119065E-3</v>
      </c>
    </row>
    <row r="1146" spans="2:44" x14ac:dyDescent="0.35">
      <c r="B1146" s="1">
        <v>43970</v>
      </c>
      <c r="C1146">
        <v>3270.22</v>
      </c>
      <c r="D1146" s="1">
        <v>43978</v>
      </c>
      <c r="E1146">
        <v>5.2986000000000004</v>
      </c>
      <c r="F1146" s="1">
        <v>43963</v>
      </c>
      <c r="G1146">
        <v>138.976</v>
      </c>
      <c r="H1146" s="4">
        <f t="shared" si="153"/>
        <v>736378.23360000004</v>
      </c>
      <c r="I1146" s="5">
        <v>43970</v>
      </c>
      <c r="J1146" s="4">
        <v>7223.27</v>
      </c>
      <c r="K1146" s="4">
        <f t="shared" si="154"/>
        <v>72232.700000000012</v>
      </c>
      <c r="L1146" s="1">
        <v>43970</v>
      </c>
      <c r="M1146">
        <v>3.3</v>
      </c>
      <c r="P1146" s="1">
        <v>43969</v>
      </c>
      <c r="Q1146">
        <v>3.85</v>
      </c>
      <c r="R1146" s="1">
        <v>43896</v>
      </c>
      <c r="S1146">
        <v>3.23</v>
      </c>
      <c r="X1146" s="1">
        <v>43970</v>
      </c>
      <c r="Y1146">
        <f>NETWORKDAYS(X1146,$Z$1,FERIADO!$A$2:$A$408)</f>
        <v>2684</v>
      </c>
      <c r="Z1146">
        <v>8.59</v>
      </c>
      <c r="AA1146" s="6">
        <f t="shared" si="155"/>
        <v>41572.857107983975</v>
      </c>
      <c r="AB1146" s="2">
        <f t="shared" si="156"/>
        <v>1.8462140518654441E-3</v>
      </c>
      <c r="AJ1146" s="1">
        <v>43970</v>
      </c>
      <c r="AK1146">
        <f>NETWORKDAYS(AJ1146,$AJ$1,FERIADO!$A$2:$A$408)</f>
        <v>1671</v>
      </c>
      <c r="AL1146">
        <v>7.61</v>
      </c>
      <c r="AM1146" s="6">
        <f t="shared" si="157"/>
        <v>61487.483355857505</v>
      </c>
      <c r="AN1146" s="2">
        <f t="shared" si="158"/>
        <v>1.7325919141129562E-3</v>
      </c>
      <c r="AP1146" s="11">
        <f t="shared" si="159"/>
        <v>9.2310702593272206E-4</v>
      </c>
      <c r="AQ1146" s="11">
        <f t="shared" si="160"/>
        <v>5.1977757423388681E-4</v>
      </c>
      <c r="AR1146" s="11">
        <f t="shared" si="161"/>
        <v>1.4428846001666089E-3</v>
      </c>
    </row>
    <row r="1147" spans="2:44" x14ac:dyDescent="0.35">
      <c r="B1147" s="1">
        <v>43969</v>
      </c>
      <c r="C1147">
        <v>3300.93</v>
      </c>
      <c r="D1147" s="1">
        <v>43977</v>
      </c>
      <c r="E1147">
        <v>5.3700999999999999</v>
      </c>
      <c r="F1147" s="1">
        <v>43962</v>
      </c>
      <c r="G1147">
        <v>138.61000000000001</v>
      </c>
      <c r="H1147" s="4">
        <f t="shared" si="153"/>
        <v>744349.5610000001</v>
      </c>
      <c r="I1147" s="5">
        <v>43969</v>
      </c>
      <c r="J1147" s="4">
        <v>7176.89</v>
      </c>
      <c r="K1147" s="4">
        <f t="shared" si="154"/>
        <v>71768.900000000009</v>
      </c>
      <c r="L1147" s="1">
        <v>43969</v>
      </c>
      <c r="M1147">
        <v>3.35</v>
      </c>
      <c r="P1147" s="1">
        <v>43966</v>
      </c>
      <c r="Q1147">
        <v>4.01</v>
      </c>
      <c r="R1147" s="1">
        <v>43882</v>
      </c>
      <c r="S1147">
        <v>3.14</v>
      </c>
      <c r="X1147" s="1">
        <v>43969</v>
      </c>
      <c r="Y1147">
        <f>NETWORKDAYS(X1147,$Z$1,FERIADO!$A$2:$A$408)</f>
        <v>2685</v>
      </c>
      <c r="Z1147">
        <v>8.6300000000000008</v>
      </c>
      <c r="AA1147" s="6">
        <f t="shared" si="155"/>
        <v>41396.503303403326</v>
      </c>
      <c r="AB1147" s="2">
        <f t="shared" si="156"/>
        <v>8.2320161934253538E-3</v>
      </c>
      <c r="AJ1147" s="1">
        <v>43969</v>
      </c>
      <c r="AK1147">
        <f>NETWORKDAYS(AJ1147,$AJ$1,FERIADO!$A$2:$A$408)</f>
        <v>1672</v>
      </c>
      <c r="AL1147">
        <v>7.67</v>
      </c>
      <c r="AM1147" s="6">
        <f t="shared" si="157"/>
        <v>61242.671367074414</v>
      </c>
      <c r="AN1147" s="2">
        <f t="shared" si="158"/>
        <v>4.1413280583190142E-3</v>
      </c>
      <c r="AP1147" s="11">
        <f t="shared" si="159"/>
        <v>4.1160080967126769E-3</v>
      </c>
      <c r="AQ1147" s="11">
        <f t="shared" si="160"/>
        <v>1.2423984174957043E-3</v>
      </c>
      <c r="AR1147" s="11">
        <f t="shared" si="161"/>
        <v>5.3584065142083812E-3</v>
      </c>
    </row>
    <row r="1148" spans="2:44" x14ac:dyDescent="0.35">
      <c r="B1148" s="1">
        <v>43966</v>
      </c>
      <c r="C1148">
        <v>3192.79</v>
      </c>
      <c r="D1148" s="1">
        <v>43976</v>
      </c>
      <c r="E1148">
        <v>5.4766000000000004</v>
      </c>
      <c r="F1148" s="1">
        <v>43959</v>
      </c>
      <c r="G1148">
        <v>138.90700000000001</v>
      </c>
      <c r="H1148" s="4">
        <f t="shared" si="153"/>
        <v>760738.07620000013</v>
      </c>
      <c r="I1148" s="5">
        <v>43966</v>
      </c>
      <c r="J1148" s="4">
        <v>7347.38</v>
      </c>
      <c r="K1148" s="4">
        <f t="shared" si="154"/>
        <v>73473.8</v>
      </c>
      <c r="L1148" s="1">
        <v>43966</v>
      </c>
      <c r="M1148">
        <v>3.49</v>
      </c>
      <c r="P1148" s="1">
        <v>43965</v>
      </c>
      <c r="Q1148">
        <v>4.04</v>
      </c>
      <c r="R1148" s="1">
        <v>43880</v>
      </c>
      <c r="S1148">
        <v>3.15</v>
      </c>
      <c r="X1148" s="1">
        <v>43966</v>
      </c>
      <c r="Y1148">
        <f>NETWORKDAYS(X1148,$Z$1,FERIADO!$A$2:$A$408)</f>
        <v>2686</v>
      </c>
      <c r="Z1148">
        <v>8.82</v>
      </c>
      <c r="AA1148" s="6">
        <f t="shared" si="155"/>
        <v>40619.225874229909</v>
      </c>
      <c r="AB1148" s="2">
        <f t="shared" si="156"/>
        <v>5.7119225791350077E-4</v>
      </c>
      <c r="AJ1148" s="1">
        <v>43966</v>
      </c>
      <c r="AK1148">
        <f>NETWORKDAYS(AJ1148,$AJ$1,FERIADO!$A$2:$A$408)</f>
        <v>1673</v>
      </c>
      <c r="AL1148">
        <v>7.82</v>
      </c>
      <c r="AM1148" s="6">
        <f t="shared" si="157"/>
        <v>60661.451526457327</v>
      </c>
      <c r="AN1148" s="2">
        <f t="shared" si="158"/>
        <v>1.7347418650788587E-3</v>
      </c>
      <c r="AP1148" s="11">
        <f t="shared" si="159"/>
        <v>2.8559612895675038E-4</v>
      </c>
      <c r="AQ1148" s="11">
        <f t="shared" si="160"/>
        <v>5.2042255952365764E-4</v>
      </c>
      <c r="AR1148" s="11">
        <f t="shared" si="161"/>
        <v>8.0601868848040803E-4</v>
      </c>
    </row>
    <row r="1149" spans="2:44" x14ac:dyDescent="0.35">
      <c r="B1149" s="1">
        <v>43965</v>
      </c>
      <c r="C1149">
        <v>3181.27</v>
      </c>
      <c r="D1149" s="1">
        <v>43973</v>
      </c>
      <c r="E1149">
        <v>5.5801999999999996</v>
      </c>
      <c r="F1149" s="1">
        <v>43958</v>
      </c>
      <c r="G1149">
        <v>139.28200000000001</v>
      </c>
      <c r="H1149" s="4">
        <f t="shared" si="153"/>
        <v>777221.41639999999</v>
      </c>
      <c r="I1149" s="5">
        <v>43965</v>
      </c>
      <c r="J1149" s="4">
        <v>7299.12</v>
      </c>
      <c r="K1149" s="4">
        <f t="shared" si="154"/>
        <v>72991.199999999997</v>
      </c>
      <c r="L1149" s="1">
        <v>43965</v>
      </c>
      <c r="M1149">
        <v>3.55</v>
      </c>
      <c r="P1149" s="1">
        <v>43964</v>
      </c>
      <c r="Q1149">
        <v>4.13</v>
      </c>
      <c r="R1149" s="1">
        <v>43872</v>
      </c>
      <c r="S1149">
        <v>3.21</v>
      </c>
      <c r="X1149" s="1">
        <v>43965</v>
      </c>
      <c r="Y1149">
        <f>NETWORKDAYS(X1149,$Z$1,FERIADO!$A$2:$A$408)</f>
        <v>2687</v>
      </c>
      <c r="Z1149">
        <v>8.83</v>
      </c>
      <c r="AA1149" s="6">
        <f t="shared" si="155"/>
        <v>40565.837821780347</v>
      </c>
      <c r="AB1149" s="2">
        <f t="shared" si="156"/>
        <v>6.1012596256916005E-3</v>
      </c>
      <c r="AJ1149" s="1">
        <v>43965</v>
      </c>
      <c r="AK1149">
        <f>NETWORKDAYS(AJ1149,$AJ$1,FERIADO!$A$2:$A$408)</f>
        <v>1674</v>
      </c>
      <c r="AL1149">
        <v>7.88</v>
      </c>
      <c r="AM1149" s="6">
        <f t="shared" si="157"/>
        <v>60419.629272882696</v>
      </c>
      <c r="AN1149" s="2">
        <f t="shared" si="158"/>
        <v>2.2705843704504932E-3</v>
      </c>
      <c r="AP1149" s="11">
        <f t="shared" si="159"/>
        <v>3.0506298128458002E-3</v>
      </c>
      <c r="AQ1149" s="11">
        <f t="shared" si="160"/>
        <v>6.8117531113514793E-4</v>
      </c>
      <c r="AR1149" s="11">
        <f t="shared" si="161"/>
        <v>3.7318051239809483E-3</v>
      </c>
    </row>
    <row r="1150" spans="2:44" x14ac:dyDescent="0.35">
      <c r="B1150" s="1">
        <v>43964</v>
      </c>
      <c r="C1150">
        <v>3154.1</v>
      </c>
      <c r="D1150" s="1">
        <v>43972</v>
      </c>
      <c r="E1150">
        <v>5.6013000000000002</v>
      </c>
      <c r="F1150" s="1">
        <v>43957</v>
      </c>
      <c r="G1150">
        <v>138.56299999999999</v>
      </c>
      <c r="H1150" s="4">
        <f t="shared" si="153"/>
        <v>776132.93189999985</v>
      </c>
      <c r="I1150" s="5">
        <v>43964</v>
      </c>
      <c r="J1150" s="4">
        <v>7382.48</v>
      </c>
      <c r="K1150" s="4">
        <f t="shared" si="154"/>
        <v>73824.799999999988</v>
      </c>
      <c r="L1150" s="1">
        <v>43964</v>
      </c>
      <c r="M1150">
        <v>3.68</v>
      </c>
      <c r="P1150" s="1">
        <v>43963</v>
      </c>
      <c r="Q1150">
        <v>3.99</v>
      </c>
      <c r="R1150" s="1">
        <v>43867</v>
      </c>
      <c r="S1150">
        <v>3.25</v>
      </c>
      <c r="X1150" s="1">
        <v>43964</v>
      </c>
      <c r="Y1150">
        <f>NETWORKDAYS(X1150,$Z$1,FERIADO!$A$2:$A$408)</f>
        <v>2688</v>
      </c>
      <c r="Z1150">
        <v>8.9700000000000006</v>
      </c>
      <c r="AA1150" s="6">
        <f t="shared" si="155"/>
        <v>39999.92623473407</v>
      </c>
      <c r="AB1150" s="2">
        <f t="shared" si="156"/>
        <v>-4.9580423028746032E-3</v>
      </c>
      <c r="AJ1150" s="1">
        <v>43964</v>
      </c>
      <c r="AK1150">
        <f>NETWORKDAYS(AJ1150,$AJ$1,FERIADO!$A$2:$A$408)</f>
        <v>1675</v>
      </c>
      <c r="AL1150">
        <v>7.96</v>
      </c>
      <c r="AM1150" s="6">
        <f t="shared" si="157"/>
        <v>60104.566862406456</v>
      </c>
      <c r="AN1150" s="2">
        <f t="shared" si="158"/>
        <v>-4.4198339736332632E-3</v>
      </c>
      <c r="AP1150" s="11">
        <f t="shared" si="159"/>
        <v>-2.4790211514373016E-3</v>
      </c>
      <c r="AQ1150" s="11">
        <f t="shared" si="160"/>
        <v>-1.3259501920899789E-3</v>
      </c>
      <c r="AR1150" s="11">
        <f t="shared" si="161"/>
        <v>-3.8049713435272803E-3</v>
      </c>
    </row>
    <row r="1151" spans="2:44" x14ac:dyDescent="0.35">
      <c r="B1151" s="1">
        <v>43963</v>
      </c>
      <c r="C1151">
        <v>3126.73</v>
      </c>
      <c r="D1151" s="1">
        <v>43971</v>
      </c>
      <c r="E1151">
        <v>5.6962000000000002</v>
      </c>
      <c r="F1151" s="1">
        <v>43956</v>
      </c>
      <c r="G1151">
        <v>138.88800000000001</v>
      </c>
      <c r="H1151" s="4">
        <f t="shared" si="153"/>
        <v>791133.82559999998</v>
      </c>
      <c r="I1151" s="5">
        <v>43963</v>
      </c>
      <c r="J1151" s="4">
        <v>7133.02</v>
      </c>
      <c r="K1151" s="4">
        <f t="shared" si="154"/>
        <v>71330.200000000012</v>
      </c>
      <c r="L1151" s="1">
        <v>43963</v>
      </c>
      <c r="M1151">
        <v>3.59</v>
      </c>
      <c r="P1151" s="1">
        <v>43962</v>
      </c>
      <c r="Q1151">
        <v>3.88</v>
      </c>
      <c r="R1151" s="1">
        <v>43866</v>
      </c>
      <c r="S1151">
        <v>3.25</v>
      </c>
      <c r="X1151" s="1">
        <v>43963</v>
      </c>
      <c r="Y1151">
        <f>NETWORKDAYS(X1151,$Z$1,FERIADO!$A$2:$A$408)</f>
        <v>2689</v>
      </c>
      <c r="Z1151">
        <v>8.85</v>
      </c>
      <c r="AA1151" s="6">
        <f t="shared" si="155"/>
        <v>40459.194552105575</v>
      </c>
      <c r="AB1151" s="2">
        <f t="shared" si="156"/>
        <v>-1.179441902424193E-2</v>
      </c>
      <c r="AJ1151" s="1">
        <v>43963</v>
      </c>
      <c r="AK1151">
        <f>NETWORKDAYS(AJ1151,$AJ$1,FERIADO!$A$2:$A$408)</f>
        <v>1676</v>
      </c>
      <c r="AL1151">
        <v>7.79</v>
      </c>
      <c r="AM1151" s="6">
        <f t="shared" si="157"/>
        <v>60719.376840838231</v>
      </c>
      <c r="AN1151" s="2">
        <f t="shared" si="158"/>
        <v>-7.9257043083551457E-3</v>
      </c>
      <c r="AP1151" s="11">
        <f t="shared" si="159"/>
        <v>-5.897209512120965E-3</v>
      </c>
      <c r="AQ1151" s="11">
        <f t="shared" si="160"/>
        <v>-2.3777112925065435E-3</v>
      </c>
      <c r="AR1151" s="11">
        <f t="shared" si="161"/>
        <v>-8.2749208046275086E-3</v>
      </c>
    </row>
    <row r="1152" spans="2:44" x14ac:dyDescent="0.35">
      <c r="B1152" s="1">
        <v>43962</v>
      </c>
      <c r="C1152">
        <v>3260.24</v>
      </c>
      <c r="D1152" s="1">
        <v>43970</v>
      </c>
      <c r="E1152">
        <v>5.7210000000000001</v>
      </c>
      <c r="F1152" s="1">
        <v>43955</v>
      </c>
      <c r="G1152">
        <v>138.983</v>
      </c>
      <c r="H1152" s="4">
        <f t="shared" si="153"/>
        <v>795121.74300000002</v>
      </c>
      <c r="I1152" s="5">
        <v>43962</v>
      </c>
      <c r="J1152" s="4">
        <v>7048.31</v>
      </c>
      <c r="K1152" s="4">
        <f t="shared" si="154"/>
        <v>70483.100000000006</v>
      </c>
      <c r="L1152" s="1">
        <v>43962</v>
      </c>
      <c r="M1152">
        <v>3.5</v>
      </c>
      <c r="P1152" s="1">
        <v>43959</v>
      </c>
      <c r="Q1152">
        <v>3.8</v>
      </c>
      <c r="R1152" s="1">
        <v>43865</v>
      </c>
      <c r="S1152">
        <v>3.3</v>
      </c>
      <c r="X1152" s="1">
        <v>43962</v>
      </c>
      <c r="Y1152">
        <f>NETWORKDAYS(X1152,$Z$1,FERIADO!$A$2:$A$408)</f>
        <v>2690</v>
      </c>
      <c r="Z1152">
        <v>8.57</v>
      </c>
      <c r="AA1152" s="6">
        <f t="shared" si="155"/>
        <v>41573.027422155545</v>
      </c>
      <c r="AB1152" s="2">
        <f t="shared" si="156"/>
        <v>-5.4146638266461206E-3</v>
      </c>
      <c r="AJ1152" s="1">
        <v>43962</v>
      </c>
      <c r="AK1152">
        <f>NETWORKDAYS(AJ1152,$AJ$1,FERIADO!$A$2:$A$408)</f>
        <v>1677</v>
      </c>
      <c r="AL1152">
        <v>7.49</v>
      </c>
      <c r="AM1152" s="6">
        <f t="shared" si="157"/>
        <v>61837.654732505136</v>
      </c>
      <c r="AN1152" s="2">
        <f t="shared" si="158"/>
        <v>-1.2210080510144349E-3</v>
      </c>
      <c r="AP1152" s="11">
        <f t="shared" si="159"/>
        <v>-2.7073319133230603E-3</v>
      </c>
      <c r="AQ1152" s="11">
        <f t="shared" si="160"/>
        <v>-3.6630241530433047E-4</v>
      </c>
      <c r="AR1152" s="11">
        <f t="shared" si="161"/>
        <v>-3.0736343286273909E-3</v>
      </c>
    </row>
    <row r="1153" spans="2:44" x14ac:dyDescent="0.35">
      <c r="B1153" s="1">
        <v>43959</v>
      </c>
      <c r="C1153">
        <v>3277.03</v>
      </c>
      <c r="D1153" s="1">
        <v>43969</v>
      </c>
      <c r="E1153">
        <v>5.7369000000000003</v>
      </c>
      <c r="F1153" s="1">
        <v>43951</v>
      </c>
      <c r="G1153">
        <v>138.93600000000001</v>
      </c>
      <c r="H1153" s="4">
        <f t="shared" si="153"/>
        <v>797061.93839999998</v>
      </c>
      <c r="I1153" s="5">
        <v>43959</v>
      </c>
      <c r="J1153" s="4">
        <v>6959.97</v>
      </c>
      <c r="K1153" s="4">
        <f t="shared" si="154"/>
        <v>69599.7</v>
      </c>
      <c r="L1153" s="1">
        <v>43959</v>
      </c>
      <c r="M1153">
        <v>3.49</v>
      </c>
      <c r="P1153" s="1">
        <v>43958</v>
      </c>
      <c r="Q1153">
        <v>3.9</v>
      </c>
      <c r="R1153" s="1">
        <v>43864</v>
      </c>
      <c r="S1153">
        <v>3.32</v>
      </c>
      <c r="X1153" s="1">
        <v>43959</v>
      </c>
      <c r="Y1153">
        <f>NETWORKDAYS(X1153,$Z$1,FERIADO!$A$2:$A$408)</f>
        <v>2691</v>
      </c>
      <c r="Z1153">
        <v>8.44</v>
      </c>
      <c r="AA1153" s="6">
        <f t="shared" si="155"/>
        <v>42094.593074844684</v>
      </c>
      <c r="AB1153" s="2">
        <f t="shared" si="156"/>
        <v>3.5610039224521581E-3</v>
      </c>
      <c r="AJ1153" s="1">
        <v>43959</v>
      </c>
      <c r="AK1153">
        <f>NETWORKDAYS(AJ1153,$AJ$1,FERIADO!$A$2:$A$408)</f>
        <v>1678</v>
      </c>
      <c r="AL1153">
        <v>7.44</v>
      </c>
      <c r="AM1153" s="6">
        <f t="shared" si="157"/>
        <v>62011.754372637428</v>
      </c>
      <c r="AN1153" s="2">
        <f t="shared" si="158"/>
        <v>3.62271702791733E-3</v>
      </c>
      <c r="AP1153" s="11">
        <f t="shared" si="159"/>
        <v>1.7805019612260791E-3</v>
      </c>
      <c r="AQ1153" s="11">
        <f t="shared" si="160"/>
        <v>1.0868151083751989E-3</v>
      </c>
      <c r="AR1153" s="11">
        <f t="shared" si="161"/>
        <v>2.8673170696012782E-3</v>
      </c>
    </row>
    <row r="1154" spans="2:44" x14ac:dyDescent="0.35">
      <c r="B1154" s="1">
        <v>43958</v>
      </c>
      <c r="C1154">
        <v>3235.28</v>
      </c>
      <c r="D1154" s="1">
        <v>43966</v>
      </c>
      <c r="E1154">
        <v>5.8223000000000003</v>
      </c>
      <c r="F1154" s="1">
        <v>43950</v>
      </c>
      <c r="G1154">
        <v>138.953</v>
      </c>
      <c r="H1154" s="4">
        <f t="shared" si="153"/>
        <v>809026.05190000008</v>
      </c>
      <c r="I1154" s="5">
        <v>43958</v>
      </c>
      <c r="J1154" s="4">
        <v>7074.93</v>
      </c>
      <c r="K1154" s="4">
        <f t="shared" si="154"/>
        <v>70749.3</v>
      </c>
      <c r="L1154" s="1">
        <v>43958</v>
      </c>
      <c r="M1154">
        <v>3.63</v>
      </c>
      <c r="P1154" s="1">
        <v>43957</v>
      </c>
      <c r="Q1154">
        <v>3.74</v>
      </c>
      <c r="R1154" s="1">
        <v>43859</v>
      </c>
      <c r="S1154">
        <v>3.28</v>
      </c>
      <c r="X1154" s="1">
        <v>43958</v>
      </c>
      <c r="Y1154">
        <f>NETWORKDAYS(X1154,$Z$1,FERIADO!$A$2:$A$408)</f>
        <v>2692</v>
      </c>
      <c r="Z1154">
        <v>8.52</v>
      </c>
      <c r="AA1154" s="6">
        <f t="shared" si="155"/>
        <v>41750.849039529596</v>
      </c>
      <c r="AB1154" s="2">
        <f t="shared" si="156"/>
        <v>-1.1420608046353038E-2</v>
      </c>
      <c r="AJ1154" s="1">
        <v>43958</v>
      </c>
      <c r="AK1154">
        <f>NETWORKDAYS(AJ1154,$AJ$1,FERIADO!$A$2:$A$408)</f>
        <v>1679</v>
      </c>
      <c r="AL1154">
        <v>7.57</v>
      </c>
      <c r="AM1154" s="6">
        <f t="shared" si="157"/>
        <v>61496.627721151955</v>
      </c>
      <c r="AN1154" s="2">
        <f t="shared" si="158"/>
        <v>-5.8017070802045909E-3</v>
      </c>
      <c r="AP1154" s="11">
        <f t="shared" si="159"/>
        <v>-5.7103040231765191E-3</v>
      </c>
      <c r="AQ1154" s="11">
        <f t="shared" si="160"/>
        <v>-1.7405121240613773E-3</v>
      </c>
      <c r="AR1154" s="11">
        <f t="shared" si="161"/>
        <v>-7.4508161472378962E-3</v>
      </c>
    </row>
    <row r="1155" spans="2:44" x14ac:dyDescent="0.35">
      <c r="B1155" s="1">
        <v>43957</v>
      </c>
      <c r="C1155">
        <v>3160.15</v>
      </c>
      <c r="D1155" s="1">
        <v>43965</v>
      </c>
      <c r="E1155">
        <v>5.9366000000000003</v>
      </c>
      <c r="F1155" s="1">
        <v>43949</v>
      </c>
      <c r="G1155">
        <v>139.04599999999999</v>
      </c>
      <c r="H1155" s="4">
        <f t="shared" si="153"/>
        <v>825460.48359999992</v>
      </c>
      <c r="I1155" s="5">
        <v>43957</v>
      </c>
      <c r="J1155" s="4">
        <v>6930.32</v>
      </c>
      <c r="K1155" s="4">
        <f t="shared" si="154"/>
        <v>69303.199999999997</v>
      </c>
      <c r="L1155" s="1">
        <v>43957</v>
      </c>
      <c r="M1155">
        <v>3.5</v>
      </c>
      <c r="P1155" s="1">
        <v>43956</v>
      </c>
      <c r="Q1155">
        <v>3.8</v>
      </c>
      <c r="R1155" s="1">
        <v>43857</v>
      </c>
      <c r="S1155">
        <v>3.4</v>
      </c>
      <c r="X1155" s="1">
        <v>43957</v>
      </c>
      <c r="Y1155">
        <f>NETWORKDAYS(X1155,$Z$1,FERIADO!$A$2:$A$408)</f>
        <v>2693</v>
      </c>
      <c r="Z1155">
        <v>8.25</v>
      </c>
      <c r="AA1155" s="6">
        <f t="shared" si="155"/>
        <v>42863.331172698439</v>
      </c>
      <c r="AB1155" s="2">
        <f t="shared" si="156"/>
        <v>5.2805373781867676E-3</v>
      </c>
      <c r="AJ1155" s="1">
        <v>43957</v>
      </c>
      <c r="AK1155">
        <f>NETWORKDAYS(AJ1155,$AJ$1,FERIADO!$A$2:$A$408)</f>
        <v>1680</v>
      </c>
      <c r="AL1155">
        <v>7.35</v>
      </c>
      <c r="AM1155" s="6">
        <f t="shared" si="157"/>
        <v>62323.66839908019</v>
      </c>
      <c r="AN1155" s="2">
        <f t="shared" si="158"/>
        <v>2.8196420339465346E-3</v>
      </c>
      <c r="AP1155" s="11">
        <f t="shared" si="159"/>
        <v>2.6402686890933838E-3</v>
      </c>
      <c r="AQ1155" s="11">
        <f t="shared" si="160"/>
        <v>8.4589261018396032E-4</v>
      </c>
      <c r="AR1155" s="11">
        <f t="shared" si="161"/>
        <v>3.486161299277344E-3</v>
      </c>
    </row>
    <row r="1156" spans="2:44" x14ac:dyDescent="0.35">
      <c r="B1156" s="1">
        <v>43956</v>
      </c>
      <c r="C1156">
        <v>3197.6</v>
      </c>
      <c r="D1156" s="1">
        <v>43964</v>
      </c>
      <c r="E1156">
        <v>5.9016000000000002</v>
      </c>
      <c r="F1156" s="1">
        <v>43948</v>
      </c>
      <c r="G1156">
        <v>138.64500000000001</v>
      </c>
      <c r="H1156" s="4">
        <f t="shared" ref="H1156:H1219" si="162">G1156*E1156*1000</f>
        <v>818227.33200000005</v>
      </c>
      <c r="I1156" s="5">
        <v>43956</v>
      </c>
      <c r="J1156" s="4">
        <v>6762.12</v>
      </c>
      <c r="K1156" s="4">
        <f t="shared" si="154"/>
        <v>67621.2</v>
      </c>
      <c r="L1156" s="1">
        <v>43956</v>
      </c>
      <c r="M1156">
        <v>3.5</v>
      </c>
      <c r="P1156" s="1">
        <v>43955</v>
      </c>
      <c r="Q1156">
        <v>3.79</v>
      </c>
      <c r="R1156" s="1">
        <v>43847</v>
      </c>
      <c r="S1156">
        <v>3.42</v>
      </c>
      <c r="X1156" s="1">
        <v>43956</v>
      </c>
      <c r="Y1156">
        <f>NETWORKDAYS(X1156,$Z$1,FERIADO!$A$2:$A$408)</f>
        <v>2694</v>
      </c>
      <c r="Z1156">
        <v>8.3699999999999992</v>
      </c>
      <c r="AA1156" s="6">
        <f t="shared" si="155"/>
        <v>42345.316410776795</v>
      </c>
      <c r="AB1156" s="2">
        <f t="shared" si="156"/>
        <v>-3.2913904543487582E-3</v>
      </c>
      <c r="AJ1156" s="1">
        <v>43956</v>
      </c>
      <c r="AK1156">
        <f>NETWORKDAYS(AJ1156,$AJ$1,FERIADO!$A$2:$A$408)</f>
        <v>1681</v>
      </c>
      <c r="AL1156">
        <v>7.45</v>
      </c>
      <c r="AM1156" s="6">
        <f t="shared" si="157"/>
        <v>61920.344817775447</v>
      </c>
      <c r="AN1156" s="2">
        <f t="shared" si="158"/>
        <v>1.4724013542377931E-3</v>
      </c>
      <c r="AP1156" s="11">
        <f t="shared" si="159"/>
        <v>-1.6456952271743791E-3</v>
      </c>
      <c r="AQ1156" s="11">
        <f t="shared" si="160"/>
        <v>4.4172040627133791E-4</v>
      </c>
      <c r="AR1156" s="11">
        <f t="shared" si="161"/>
        <v>-1.2039748209030413E-3</v>
      </c>
    </row>
    <row r="1157" spans="2:44" x14ac:dyDescent="0.35">
      <c r="B1157" s="1">
        <v>43955</v>
      </c>
      <c r="C1157">
        <v>3175.13</v>
      </c>
      <c r="D1157" s="1">
        <v>43963</v>
      </c>
      <c r="E1157">
        <v>5.7717000000000001</v>
      </c>
      <c r="F1157" s="1">
        <v>43945</v>
      </c>
      <c r="G1157">
        <v>139.06299999999999</v>
      </c>
      <c r="H1157" s="4">
        <f t="shared" si="162"/>
        <v>802629.91709999996</v>
      </c>
      <c r="I1157" s="5">
        <v>43955</v>
      </c>
      <c r="J1157" s="4">
        <v>6720.97</v>
      </c>
      <c r="K1157" s="4">
        <f t="shared" ref="K1157:K1220" si="163">J1157*10</f>
        <v>67209.7</v>
      </c>
      <c r="L1157" s="1">
        <v>43955</v>
      </c>
      <c r="M1157">
        <v>3.54</v>
      </c>
      <c r="P1157" s="1">
        <v>43951</v>
      </c>
      <c r="Q1157">
        <v>3.72</v>
      </c>
      <c r="R1157" s="1">
        <v>43845</v>
      </c>
      <c r="S1157">
        <v>3.38</v>
      </c>
      <c r="X1157" s="1">
        <v>43955</v>
      </c>
      <c r="Y1157">
        <f>NETWORKDAYS(X1157,$Z$1,FERIADO!$A$2:$A$408)</f>
        <v>2695</v>
      </c>
      <c r="Z1157">
        <v>8.2899999999999991</v>
      </c>
      <c r="AA1157" s="6">
        <f t="shared" ref="AA1157:AA1220" si="164">$Z$2/(1+Z1157/100)^(Y1157/252)</f>
        <v>42667.458307102563</v>
      </c>
      <c r="AB1157" s="2">
        <f t="shared" ref="AB1157:AB1220" si="165">LOG(AA1157/AA1158)</f>
        <v>-1.013317015348967E-3</v>
      </c>
      <c r="AJ1157" s="1">
        <v>43955</v>
      </c>
      <c r="AK1157">
        <f>NETWORKDAYS(AJ1157,$AJ$1,FERIADO!$A$2:$A$408)</f>
        <v>1682</v>
      </c>
      <c r="AL1157">
        <v>7.5</v>
      </c>
      <c r="AM1157" s="6">
        <f t="shared" ref="AM1157:AM1220" si="166">$Z$2/(1+AL1157/100)^(AK1157/252)</f>
        <v>61710.76991643299</v>
      </c>
      <c r="AN1157" s="2">
        <f t="shared" ref="AN1157:AN1220" si="167">LOG(AM1157/AM1158)</f>
        <v>-2.4516946628403168E-3</v>
      </c>
      <c r="AP1157" s="11">
        <f t="shared" ref="AP1157:AP1220" si="168">AB1157*$AF$4</f>
        <v>-5.0665850767448351E-4</v>
      </c>
      <c r="AQ1157" s="11">
        <f t="shared" ref="AQ1157:AQ1220" si="169">AN1157*$AF$7</f>
        <v>-7.3550839885209507E-4</v>
      </c>
      <c r="AR1157" s="11">
        <f t="shared" ref="AR1157:AR1220" si="170">AQ1157+AP1157</f>
        <v>-1.2421669065265785E-3</v>
      </c>
    </row>
    <row r="1158" spans="2:44" x14ac:dyDescent="0.35">
      <c r="B1158" s="1">
        <v>43951</v>
      </c>
      <c r="C1158">
        <v>3226.08</v>
      </c>
      <c r="D1158" s="1">
        <v>43962</v>
      </c>
      <c r="E1158">
        <v>5.7948000000000004</v>
      </c>
      <c r="F1158" s="1">
        <v>43944</v>
      </c>
      <c r="G1158">
        <v>139.035</v>
      </c>
      <c r="H1158" s="4">
        <f t="shared" si="162"/>
        <v>805680.01800000004</v>
      </c>
      <c r="I1158" s="5">
        <v>43951</v>
      </c>
      <c r="J1158" s="4">
        <v>6650.78</v>
      </c>
      <c r="K1158" s="4">
        <f t="shared" si="163"/>
        <v>66507.8</v>
      </c>
      <c r="L1158" s="1">
        <v>43951</v>
      </c>
      <c r="M1158">
        <v>3.44</v>
      </c>
      <c r="P1158" s="1">
        <v>43950</v>
      </c>
      <c r="Q1158">
        <v>3.67</v>
      </c>
      <c r="R1158" s="1">
        <v>43844</v>
      </c>
      <c r="S1158">
        <v>3.41</v>
      </c>
      <c r="X1158" s="1">
        <v>43951</v>
      </c>
      <c r="Y1158">
        <f>NETWORKDAYS(X1158,$Z$1,FERIADO!$A$2:$A$408)</f>
        <v>2697</v>
      </c>
      <c r="Z1158">
        <v>8.26</v>
      </c>
      <c r="AA1158" s="6">
        <f t="shared" si="164"/>
        <v>42767.128329022926</v>
      </c>
      <c r="AB1158" s="2">
        <f t="shared" si="165"/>
        <v>-2.9273655481045792E-4</v>
      </c>
      <c r="AJ1158" s="1">
        <v>43951</v>
      </c>
      <c r="AK1158">
        <f>NETWORKDAYS(AJ1158,$AJ$1,FERIADO!$A$2:$A$408)</f>
        <v>1684</v>
      </c>
      <c r="AL1158">
        <v>7.4</v>
      </c>
      <c r="AM1158" s="6">
        <f t="shared" si="166"/>
        <v>62060.12692414409</v>
      </c>
      <c r="AN1158" s="2">
        <f t="shared" si="167"/>
        <v>-9.587006198857129E-4</v>
      </c>
      <c r="AP1158" s="11">
        <f t="shared" si="168"/>
        <v>-1.4636827740522896E-4</v>
      </c>
      <c r="AQ1158" s="11">
        <f t="shared" si="169"/>
        <v>-2.8761018596571385E-4</v>
      </c>
      <c r="AR1158" s="11">
        <f t="shared" si="170"/>
        <v>-4.3397846337094281E-4</v>
      </c>
    </row>
    <row r="1159" spans="2:44" x14ac:dyDescent="0.35">
      <c r="B1159" s="1">
        <v>43950</v>
      </c>
      <c r="C1159">
        <v>3310.85</v>
      </c>
      <c r="D1159" s="1">
        <v>43959</v>
      </c>
      <c r="E1159">
        <v>5.7647000000000004</v>
      </c>
      <c r="F1159" s="1">
        <v>43943</v>
      </c>
      <c r="G1159">
        <v>139.08000000000001</v>
      </c>
      <c r="H1159" s="4">
        <f t="shared" si="162"/>
        <v>801754.47600000014</v>
      </c>
      <c r="I1159" s="5">
        <v>43950</v>
      </c>
      <c r="J1159" s="4">
        <v>6463.22</v>
      </c>
      <c r="K1159" s="4">
        <f t="shared" si="163"/>
        <v>64632.200000000004</v>
      </c>
      <c r="L1159" s="1">
        <v>43950</v>
      </c>
      <c r="M1159">
        <v>3.35</v>
      </c>
      <c r="P1159" s="1">
        <v>43949</v>
      </c>
      <c r="Q1159">
        <v>3.81</v>
      </c>
      <c r="R1159" s="1">
        <v>43839</v>
      </c>
      <c r="S1159">
        <v>3.43</v>
      </c>
      <c r="X1159" s="1">
        <v>43950</v>
      </c>
      <c r="Y1159">
        <f>NETWORKDAYS(X1159,$Z$1,FERIADO!$A$2:$A$408)</f>
        <v>2698</v>
      </c>
      <c r="Z1159">
        <v>8.25</v>
      </c>
      <c r="AA1159" s="6">
        <f t="shared" si="164"/>
        <v>42795.965264941966</v>
      </c>
      <c r="AB1159" s="2">
        <f t="shared" si="165"/>
        <v>9.5802818439263884E-3</v>
      </c>
      <c r="AJ1159" s="1">
        <v>43950</v>
      </c>
      <c r="AK1159">
        <f>NETWORKDAYS(AJ1159,$AJ$1,FERIADO!$A$2:$A$408)</f>
        <v>1685</v>
      </c>
      <c r="AL1159">
        <v>7.36</v>
      </c>
      <c r="AM1159" s="6">
        <f t="shared" si="166"/>
        <v>62197.27533975221</v>
      </c>
      <c r="AN1159" s="2">
        <f t="shared" si="167"/>
        <v>6.6106039802369026E-3</v>
      </c>
      <c r="AP1159" s="11">
        <f t="shared" si="168"/>
        <v>4.7901409219631942E-3</v>
      </c>
      <c r="AQ1159" s="11">
        <f t="shared" si="169"/>
        <v>1.9831811940710705E-3</v>
      </c>
      <c r="AR1159" s="11">
        <f t="shared" si="170"/>
        <v>6.7733221160342647E-3</v>
      </c>
    </row>
    <row r="1160" spans="2:44" x14ac:dyDescent="0.35">
      <c r="B1160" s="1">
        <v>43949</v>
      </c>
      <c r="C1160">
        <v>3210.84</v>
      </c>
      <c r="D1160" s="1">
        <v>43958</v>
      </c>
      <c r="E1160">
        <v>5.8358999999999996</v>
      </c>
      <c r="F1160" s="1">
        <v>43941</v>
      </c>
      <c r="G1160">
        <v>139.13900000000001</v>
      </c>
      <c r="H1160" s="4">
        <f t="shared" si="162"/>
        <v>812001.29009999998</v>
      </c>
      <c r="I1160" s="5">
        <v>43949</v>
      </c>
      <c r="J1160" s="4">
        <v>6661.31</v>
      </c>
      <c r="K1160" s="4">
        <f t="shared" si="163"/>
        <v>66613.100000000006</v>
      </c>
      <c r="L1160" s="1">
        <v>43949</v>
      </c>
      <c r="M1160">
        <v>3.44</v>
      </c>
      <c r="P1160" s="1">
        <v>43948</v>
      </c>
      <c r="Q1160">
        <v>4.18</v>
      </c>
      <c r="R1160" s="1">
        <v>43838</v>
      </c>
      <c r="S1160">
        <v>3.45</v>
      </c>
      <c r="X1160" s="1">
        <v>43949</v>
      </c>
      <c r="Y1160">
        <f>NETWORKDAYS(X1160,$Z$1,FERIADO!$A$2:$A$408)</f>
        <v>2699</v>
      </c>
      <c r="Z1160">
        <v>8.4700000000000006</v>
      </c>
      <c r="AA1160" s="6">
        <f t="shared" si="164"/>
        <v>41862.247835818955</v>
      </c>
      <c r="AB1160" s="2">
        <f t="shared" si="165"/>
        <v>3.0924680125300533E-2</v>
      </c>
      <c r="AJ1160" s="1">
        <v>43949</v>
      </c>
      <c r="AK1160">
        <f>NETWORKDAYS(AJ1160,$AJ$1,FERIADO!$A$2:$A$408)</f>
        <v>1686</v>
      </c>
      <c r="AL1160">
        <v>7.6</v>
      </c>
      <c r="AM1160" s="6">
        <f t="shared" si="166"/>
        <v>61257.709799320735</v>
      </c>
      <c r="AN1160" s="2">
        <f t="shared" si="167"/>
        <v>2.3271134542636771E-2</v>
      </c>
      <c r="AP1160" s="11">
        <f t="shared" si="168"/>
        <v>1.5462340062650267E-2</v>
      </c>
      <c r="AQ1160" s="11">
        <f t="shared" si="169"/>
        <v>6.9813403627910315E-3</v>
      </c>
      <c r="AR1160" s="11">
        <f t="shared" si="170"/>
        <v>2.2443680425441297E-2</v>
      </c>
    </row>
    <row r="1161" spans="2:44" x14ac:dyDescent="0.35">
      <c r="B1161" s="1">
        <v>43948</v>
      </c>
      <c r="C1161">
        <v>3214.45</v>
      </c>
      <c r="D1161" s="1">
        <v>43957</v>
      </c>
      <c r="E1161">
        <v>5.6669999999999998</v>
      </c>
      <c r="F1161" s="1">
        <v>43938</v>
      </c>
      <c r="G1161">
        <v>138.93799999999999</v>
      </c>
      <c r="H1161" s="4">
        <f t="shared" si="162"/>
        <v>787361.64599999995</v>
      </c>
      <c r="I1161" s="5">
        <v>43948</v>
      </c>
      <c r="J1161" s="4">
        <v>6854.56</v>
      </c>
      <c r="K1161" s="4">
        <f t="shared" si="163"/>
        <v>68545.600000000006</v>
      </c>
      <c r="L1161" s="1">
        <v>43948</v>
      </c>
      <c r="M1161">
        <v>3.81</v>
      </c>
      <c r="P1161" s="1">
        <v>43944</v>
      </c>
      <c r="Q1161">
        <v>3.7</v>
      </c>
      <c r="R1161" s="1">
        <v>43837</v>
      </c>
      <c r="S1161">
        <v>3.46</v>
      </c>
      <c r="X1161" s="1">
        <v>43948</v>
      </c>
      <c r="Y1161">
        <f>NETWORKDAYS(X1161,$Z$1,FERIADO!$A$2:$A$408)</f>
        <v>2700</v>
      </c>
      <c r="Z1161">
        <v>9.19</v>
      </c>
      <c r="AA1161" s="6">
        <f t="shared" si="164"/>
        <v>38985.029248476189</v>
      </c>
      <c r="AB1161" s="2">
        <f t="shared" si="165"/>
        <v>-1.2227916485851281E-2</v>
      </c>
      <c r="AJ1161" s="1">
        <v>43948</v>
      </c>
      <c r="AK1161">
        <f>NETWORKDAYS(AJ1161,$AJ$1,FERIADO!$A$2:$A$408)</f>
        <v>1687</v>
      </c>
      <c r="AL1161">
        <v>8.4600000000000009</v>
      </c>
      <c r="AM1161" s="6">
        <f t="shared" si="166"/>
        <v>58061.683165597664</v>
      </c>
      <c r="AN1161" s="2">
        <f t="shared" si="167"/>
        <v>3.6246942535909342E-3</v>
      </c>
      <c r="AP1161" s="11">
        <f t="shared" si="168"/>
        <v>-6.1139582429256406E-3</v>
      </c>
      <c r="AQ1161" s="11">
        <f t="shared" si="169"/>
        <v>1.0874082760772802E-3</v>
      </c>
      <c r="AR1161" s="11">
        <f t="shared" si="170"/>
        <v>-5.02654996684836E-3</v>
      </c>
    </row>
    <row r="1162" spans="2:44" x14ac:dyDescent="0.35">
      <c r="B1162" s="1">
        <v>43945</v>
      </c>
      <c r="C1162">
        <v>3163.3</v>
      </c>
      <c r="D1162" s="1">
        <v>43956</v>
      </c>
      <c r="E1162">
        <v>5.5347999999999997</v>
      </c>
      <c r="F1162" s="1">
        <v>43937</v>
      </c>
      <c r="G1162">
        <v>139.18799999999999</v>
      </c>
      <c r="H1162" s="4">
        <f t="shared" si="162"/>
        <v>770377.74239999987</v>
      </c>
      <c r="I1162" s="5">
        <v>43945</v>
      </c>
      <c r="J1162" s="4">
        <v>6771.57</v>
      </c>
      <c r="K1162" s="4">
        <f t="shared" si="163"/>
        <v>67715.7</v>
      </c>
      <c r="L1162" s="1">
        <v>43945</v>
      </c>
      <c r="M1162">
        <v>3.79</v>
      </c>
      <c r="P1162" s="1">
        <v>43943</v>
      </c>
      <c r="Q1162">
        <v>3.37</v>
      </c>
      <c r="R1162" s="1">
        <v>43833</v>
      </c>
      <c r="S1162">
        <v>3.39</v>
      </c>
      <c r="X1162" s="1">
        <v>43945</v>
      </c>
      <c r="Y1162">
        <f>NETWORKDAYS(X1162,$Z$1,FERIADO!$A$2:$A$408)</f>
        <v>2701</v>
      </c>
      <c r="Z1162">
        <v>8.9</v>
      </c>
      <c r="AA1162" s="6">
        <f t="shared" si="164"/>
        <v>40098.283392512792</v>
      </c>
      <c r="AB1162" s="2">
        <f t="shared" si="165"/>
        <v>-4.0653618719578684E-2</v>
      </c>
      <c r="AJ1162" s="1">
        <v>43945</v>
      </c>
      <c r="AK1162">
        <f>NETWORKDAYS(AJ1162,$AJ$1,FERIADO!$A$2:$A$408)</f>
        <v>1688</v>
      </c>
      <c r="AL1162">
        <v>8.59</v>
      </c>
      <c r="AM1162" s="6">
        <f t="shared" si="166"/>
        <v>57579.107294892601</v>
      </c>
      <c r="AN1162" s="2">
        <f t="shared" si="167"/>
        <v>-3.7901230144956985E-2</v>
      </c>
      <c r="AP1162" s="11">
        <f t="shared" si="168"/>
        <v>-2.0326809359789342E-2</v>
      </c>
      <c r="AQ1162" s="11">
        <f t="shared" si="169"/>
        <v>-1.1370369043487096E-2</v>
      </c>
      <c r="AR1162" s="11">
        <f t="shared" si="170"/>
        <v>-3.1697178403276439E-2</v>
      </c>
    </row>
    <row r="1163" spans="2:44" x14ac:dyDescent="0.35">
      <c r="B1163" s="1">
        <v>43944</v>
      </c>
      <c r="C1163">
        <v>3117.28</v>
      </c>
      <c r="D1163" s="1">
        <v>43955</v>
      </c>
      <c r="E1163">
        <v>5.5811000000000002</v>
      </c>
      <c r="F1163" s="1">
        <v>43936</v>
      </c>
      <c r="G1163">
        <v>139.17099999999999</v>
      </c>
      <c r="H1163" s="4">
        <f t="shared" si="162"/>
        <v>776727.26809999999</v>
      </c>
      <c r="I1163" s="5">
        <v>43944</v>
      </c>
      <c r="J1163" s="4">
        <v>6710.99</v>
      </c>
      <c r="K1163" s="4">
        <f t="shared" si="163"/>
        <v>67109.899999999994</v>
      </c>
      <c r="L1163" s="1">
        <v>43944</v>
      </c>
      <c r="M1163">
        <v>3.23</v>
      </c>
      <c r="P1163" s="1">
        <v>43941</v>
      </c>
      <c r="Q1163">
        <v>3.34</v>
      </c>
      <c r="R1163" s="1">
        <v>43826</v>
      </c>
      <c r="S1163">
        <v>3.46</v>
      </c>
      <c r="X1163" s="1">
        <v>43944</v>
      </c>
      <c r="Y1163">
        <f>NETWORKDAYS(X1163,$Z$1,FERIADO!$A$2:$A$408)</f>
        <v>2702</v>
      </c>
      <c r="Z1163">
        <v>7.95</v>
      </c>
      <c r="AA1163" s="6">
        <f t="shared" si="164"/>
        <v>44033.113995447369</v>
      </c>
      <c r="AB1163" s="2">
        <f t="shared" si="165"/>
        <v>-1.2831972102656925E-2</v>
      </c>
      <c r="AJ1163" s="1">
        <v>43944</v>
      </c>
      <c r="AK1163">
        <f>NETWORKDAYS(AJ1163,$AJ$1,FERIADO!$A$2:$A$408)</f>
        <v>1689</v>
      </c>
      <c r="AL1163">
        <v>7.18</v>
      </c>
      <c r="AM1163" s="6">
        <f t="shared" si="166"/>
        <v>62829.869467738456</v>
      </c>
      <c r="AN1163" s="2">
        <f t="shared" si="167"/>
        <v>-1.0225044733079745E-2</v>
      </c>
      <c r="AP1163" s="11">
        <f t="shared" si="168"/>
        <v>-6.4159860513284626E-3</v>
      </c>
      <c r="AQ1163" s="11">
        <f t="shared" si="169"/>
        <v>-3.0675134199239233E-3</v>
      </c>
      <c r="AR1163" s="11">
        <f t="shared" si="170"/>
        <v>-9.4834994712523855E-3</v>
      </c>
    </row>
    <row r="1164" spans="2:44" x14ac:dyDescent="0.35">
      <c r="B1164" s="1">
        <v>43943</v>
      </c>
      <c r="C1164">
        <v>3134.43</v>
      </c>
      <c r="D1164" s="1">
        <v>43951</v>
      </c>
      <c r="E1164">
        <v>5.4264000000000001</v>
      </c>
      <c r="F1164" s="1">
        <v>43935</v>
      </c>
      <c r="G1164">
        <v>138.18</v>
      </c>
      <c r="H1164" s="4">
        <f t="shared" si="162"/>
        <v>749819.95200000005</v>
      </c>
      <c r="I1164" s="5">
        <v>43943</v>
      </c>
      <c r="J1164" s="4">
        <v>6619.51</v>
      </c>
      <c r="K1164" s="4">
        <f t="shared" si="163"/>
        <v>66195.100000000006</v>
      </c>
      <c r="L1164" s="1">
        <v>43943</v>
      </c>
      <c r="M1164">
        <v>2.93</v>
      </c>
      <c r="P1164" s="1">
        <v>43938</v>
      </c>
      <c r="Q1164">
        <v>3.27</v>
      </c>
      <c r="R1164" s="1">
        <v>43809</v>
      </c>
      <c r="S1164">
        <v>3.33</v>
      </c>
      <c r="X1164" s="1">
        <v>43943</v>
      </c>
      <c r="Y1164">
        <f>NETWORKDAYS(X1164,$Z$1,FERIADO!$A$2:$A$408)</f>
        <v>2703</v>
      </c>
      <c r="Z1164">
        <v>7.65</v>
      </c>
      <c r="AA1164" s="6">
        <f t="shared" si="164"/>
        <v>45353.558880461758</v>
      </c>
      <c r="AB1164" s="2">
        <f t="shared" si="165"/>
        <v>2.5407963618659488E-4</v>
      </c>
      <c r="AJ1164" s="1">
        <v>43943</v>
      </c>
      <c r="AK1164">
        <f>NETWORKDAYS(AJ1164,$AJ$1,FERIADO!$A$2:$A$408)</f>
        <v>1690</v>
      </c>
      <c r="AL1164">
        <v>6.8</v>
      </c>
      <c r="AM1164" s="6">
        <f t="shared" si="166"/>
        <v>64326.689600376536</v>
      </c>
      <c r="AN1164" s="2">
        <f t="shared" si="167"/>
        <v>1.0457356830057237E-3</v>
      </c>
      <c r="AP1164" s="11">
        <f t="shared" si="168"/>
        <v>1.2703981809329744E-4</v>
      </c>
      <c r="AQ1164" s="11">
        <f t="shared" si="169"/>
        <v>3.137207049017171E-4</v>
      </c>
      <c r="AR1164" s="11">
        <f t="shared" si="170"/>
        <v>4.4076052299501454E-4</v>
      </c>
    </row>
    <row r="1165" spans="2:44" x14ac:dyDescent="0.35">
      <c r="B1165" s="1">
        <v>43941</v>
      </c>
      <c r="C1165">
        <v>3160.09</v>
      </c>
      <c r="D1165" s="1">
        <v>43950</v>
      </c>
      <c r="E1165">
        <v>5.4284999999999997</v>
      </c>
      <c r="F1165" s="1">
        <v>43934</v>
      </c>
      <c r="G1165">
        <v>138.113</v>
      </c>
      <c r="H1165" s="4">
        <f t="shared" si="162"/>
        <v>749746.42050000001</v>
      </c>
      <c r="I1165" s="5">
        <v>43941</v>
      </c>
      <c r="J1165" s="4">
        <v>6444.44</v>
      </c>
      <c r="K1165" s="4">
        <f t="shared" si="163"/>
        <v>64444.399999999994</v>
      </c>
      <c r="L1165" s="1">
        <v>43941</v>
      </c>
      <c r="M1165">
        <v>2.91</v>
      </c>
      <c r="P1165" s="1">
        <v>43937</v>
      </c>
      <c r="Q1165">
        <v>3.39</v>
      </c>
      <c r="R1165" s="1">
        <v>43808</v>
      </c>
      <c r="S1165">
        <v>3.31</v>
      </c>
      <c r="X1165" s="1">
        <v>43941</v>
      </c>
      <c r="Y1165">
        <f>NETWORKDAYS(X1165,$Z$1,FERIADO!$A$2:$A$408)</f>
        <v>2705</v>
      </c>
      <c r="Z1165">
        <v>7.65</v>
      </c>
      <c r="AA1165" s="6">
        <f t="shared" si="164"/>
        <v>45327.032995266498</v>
      </c>
      <c r="AB1165" s="2">
        <f t="shared" si="165"/>
        <v>-3.0618936221337074E-4</v>
      </c>
      <c r="AJ1165" s="1">
        <v>43941</v>
      </c>
      <c r="AK1165">
        <f>NETWORKDAYS(AJ1165,$AJ$1,FERIADO!$A$2:$A$408)</f>
        <v>1692</v>
      </c>
      <c r="AL1165">
        <v>6.83</v>
      </c>
      <c r="AM1165" s="6">
        <f t="shared" si="166"/>
        <v>64171.983992926514</v>
      </c>
      <c r="AN1165" s="2">
        <f t="shared" si="167"/>
        <v>2.0250495077583294E-3</v>
      </c>
      <c r="AP1165" s="11">
        <f t="shared" si="168"/>
        <v>-1.5309468110668537E-4</v>
      </c>
      <c r="AQ1165" s="11">
        <f t="shared" si="169"/>
        <v>6.0751485232749881E-4</v>
      </c>
      <c r="AR1165" s="11">
        <f t="shared" si="170"/>
        <v>4.5442017122081344E-4</v>
      </c>
    </row>
    <row r="1166" spans="2:44" x14ac:dyDescent="0.35">
      <c r="B1166" s="1">
        <v>43938</v>
      </c>
      <c r="C1166">
        <v>3208.41</v>
      </c>
      <c r="D1166" s="1">
        <v>43949</v>
      </c>
      <c r="E1166">
        <v>5.5677000000000003</v>
      </c>
      <c r="F1166" s="1">
        <v>43930</v>
      </c>
      <c r="G1166">
        <v>138.047</v>
      </c>
      <c r="H1166" s="4">
        <f t="shared" si="162"/>
        <v>768604.28190000006</v>
      </c>
      <c r="I1166" s="5">
        <v>43938</v>
      </c>
      <c r="J1166" s="4">
        <v>6349.93</v>
      </c>
      <c r="K1166" s="4">
        <f t="shared" si="163"/>
        <v>63499.3</v>
      </c>
      <c r="L1166" s="1">
        <v>43938</v>
      </c>
      <c r="M1166">
        <v>2.93</v>
      </c>
      <c r="P1166" s="1">
        <v>43936</v>
      </c>
      <c r="Q1166">
        <v>3.48</v>
      </c>
      <c r="R1166" s="1">
        <v>43781</v>
      </c>
      <c r="S1166">
        <v>3.09</v>
      </c>
      <c r="X1166" s="1">
        <v>43938</v>
      </c>
      <c r="Y1166">
        <f>NETWORKDAYS(X1166,$Z$1,FERIADO!$A$2:$A$408)</f>
        <v>2706</v>
      </c>
      <c r="Z1166">
        <v>7.64</v>
      </c>
      <c r="AA1166" s="6">
        <f t="shared" si="164"/>
        <v>45359.001047972932</v>
      </c>
      <c r="AB1166" s="2">
        <f t="shared" si="165"/>
        <v>2.7266116882941342E-3</v>
      </c>
      <c r="AJ1166" s="1">
        <v>43938</v>
      </c>
      <c r="AK1166">
        <f>NETWORKDAYS(AJ1166,$AJ$1,FERIADO!$A$2:$A$408)</f>
        <v>1693</v>
      </c>
      <c r="AL1166">
        <v>6.9</v>
      </c>
      <c r="AM1166" s="6">
        <f t="shared" si="166"/>
        <v>63873.456269491093</v>
      </c>
      <c r="AN1166" s="2">
        <f t="shared" si="167"/>
        <v>1.4801646465207154E-3</v>
      </c>
      <c r="AP1166" s="11">
        <f t="shared" si="168"/>
        <v>1.3633058441470671E-3</v>
      </c>
      <c r="AQ1166" s="11">
        <f t="shared" si="169"/>
        <v>4.4404939395621462E-4</v>
      </c>
      <c r="AR1166" s="11">
        <f t="shared" si="170"/>
        <v>1.8073552381032817E-3</v>
      </c>
    </row>
    <row r="1167" spans="2:44" x14ac:dyDescent="0.35">
      <c r="B1167" s="1">
        <v>43937</v>
      </c>
      <c r="C1167">
        <v>3162.23</v>
      </c>
      <c r="D1167" s="1">
        <v>43948</v>
      </c>
      <c r="E1167">
        <v>5.6352000000000002</v>
      </c>
      <c r="F1167" s="1">
        <v>43929</v>
      </c>
      <c r="G1167">
        <v>137.76</v>
      </c>
      <c r="H1167" s="4">
        <f t="shared" si="162"/>
        <v>776305.152</v>
      </c>
      <c r="I1167" s="5">
        <v>43937</v>
      </c>
      <c r="J1167" s="4">
        <v>6350.54</v>
      </c>
      <c r="K1167" s="4">
        <f t="shared" si="163"/>
        <v>63505.4</v>
      </c>
      <c r="L1167" s="1">
        <v>43937</v>
      </c>
      <c r="M1167">
        <v>3.01</v>
      </c>
      <c r="P1167" s="1">
        <v>43935</v>
      </c>
      <c r="Q1167">
        <v>3.57</v>
      </c>
      <c r="R1167" s="1">
        <v>43780</v>
      </c>
      <c r="S1167">
        <v>3.09</v>
      </c>
      <c r="X1167" s="1">
        <v>43937</v>
      </c>
      <c r="Y1167">
        <f>NETWORKDAYS(X1167,$Z$1,FERIADO!$A$2:$A$408)</f>
        <v>2707</v>
      </c>
      <c r="Z1167">
        <v>7.7</v>
      </c>
      <c r="AA1167" s="6">
        <f t="shared" si="164"/>
        <v>45075.117731899751</v>
      </c>
      <c r="AB1167" s="2">
        <f t="shared" si="165"/>
        <v>9.2188673243564483E-3</v>
      </c>
      <c r="AJ1167" s="1">
        <v>43937</v>
      </c>
      <c r="AK1167">
        <f>NETWORKDAYS(AJ1167,$AJ$1,FERIADO!$A$2:$A$408)</f>
        <v>1694</v>
      </c>
      <c r="AL1167">
        <v>6.95</v>
      </c>
      <c r="AM1167" s="6">
        <f t="shared" si="166"/>
        <v>63656.132984780787</v>
      </c>
      <c r="AN1167" s="2">
        <f t="shared" si="167"/>
        <v>4.7553554655363952E-3</v>
      </c>
      <c r="AP1167" s="11">
        <f t="shared" si="168"/>
        <v>4.6094336621782242E-3</v>
      </c>
      <c r="AQ1167" s="11">
        <f t="shared" si="169"/>
        <v>1.4266066396609186E-3</v>
      </c>
      <c r="AR1167" s="11">
        <f t="shared" si="170"/>
        <v>6.0360403018391426E-3</v>
      </c>
    </row>
    <row r="1168" spans="2:44" x14ac:dyDescent="0.35">
      <c r="B1168" s="1">
        <v>43936</v>
      </c>
      <c r="C1168">
        <v>3103.8</v>
      </c>
      <c r="D1168" s="1">
        <v>43945</v>
      </c>
      <c r="E1168">
        <v>5.6504000000000003</v>
      </c>
      <c r="F1168" s="1">
        <v>43928</v>
      </c>
      <c r="G1168">
        <v>137.87100000000001</v>
      </c>
      <c r="H1168" s="4">
        <f t="shared" si="162"/>
        <v>779026.29840000009</v>
      </c>
      <c r="I1168" s="5">
        <v>43936</v>
      </c>
      <c r="J1168" s="4">
        <v>6356.6</v>
      </c>
      <c r="K1168" s="4">
        <f t="shared" si="163"/>
        <v>63566</v>
      </c>
      <c r="L1168" s="1">
        <v>43936</v>
      </c>
      <c r="M1168">
        <v>3.13</v>
      </c>
      <c r="P1168" s="1">
        <v>43934</v>
      </c>
      <c r="Q1168">
        <v>3.67</v>
      </c>
      <c r="R1168" s="1">
        <v>43755</v>
      </c>
      <c r="S1168">
        <v>3.12</v>
      </c>
      <c r="X1168" s="1">
        <v>43936</v>
      </c>
      <c r="Y1168">
        <f>NETWORKDAYS(X1168,$Z$1,FERIADO!$A$2:$A$408)</f>
        <v>2708</v>
      </c>
      <c r="Z1168">
        <v>7.91</v>
      </c>
      <c r="AA1168" s="6">
        <f t="shared" si="164"/>
        <v>44128.381837307687</v>
      </c>
      <c r="AB1168" s="2">
        <f t="shared" si="165"/>
        <v>6.1842930142928217E-3</v>
      </c>
      <c r="AJ1168" s="1">
        <v>43936</v>
      </c>
      <c r="AK1168">
        <f>NETWORKDAYS(AJ1168,$AJ$1,FERIADO!$A$2:$A$408)</f>
        <v>1695</v>
      </c>
      <c r="AL1168">
        <v>7.12</v>
      </c>
      <c r="AM1168" s="6">
        <f t="shared" si="166"/>
        <v>62962.925219350167</v>
      </c>
      <c r="AN1168" s="2">
        <f t="shared" si="167"/>
        <v>3.6635566125737189E-3</v>
      </c>
      <c r="AP1168" s="11">
        <f t="shared" si="168"/>
        <v>3.0921465071464108E-3</v>
      </c>
      <c r="AQ1168" s="11">
        <f t="shared" si="169"/>
        <v>1.0990669837721155E-3</v>
      </c>
      <c r="AR1168" s="11">
        <f t="shared" si="170"/>
        <v>4.1912134909185264E-3</v>
      </c>
    </row>
    <row r="1169" spans="2:44" x14ac:dyDescent="0.35">
      <c r="B1169" s="1">
        <v>43935</v>
      </c>
      <c r="C1169">
        <v>3182.64</v>
      </c>
      <c r="D1169" s="1">
        <v>43944</v>
      </c>
      <c r="E1169">
        <v>5.4461000000000004</v>
      </c>
      <c r="F1169" s="1">
        <v>43927</v>
      </c>
      <c r="G1169">
        <v>138.405</v>
      </c>
      <c r="H1169" s="4">
        <f t="shared" si="162"/>
        <v>753767.47050000005</v>
      </c>
      <c r="I1169" s="5">
        <v>43935</v>
      </c>
      <c r="J1169" s="4">
        <v>6266.33</v>
      </c>
      <c r="K1169" s="4">
        <f t="shared" si="163"/>
        <v>62663.3</v>
      </c>
      <c r="L1169" s="1">
        <v>43935</v>
      </c>
      <c r="M1169">
        <v>3.14</v>
      </c>
      <c r="P1169" s="1">
        <v>43930</v>
      </c>
      <c r="Q1169">
        <v>3.67</v>
      </c>
      <c r="R1169" s="1">
        <v>43749</v>
      </c>
      <c r="S1169">
        <v>3.25</v>
      </c>
      <c r="X1169" s="1">
        <v>43935</v>
      </c>
      <c r="Y1169">
        <f>NETWORKDAYS(X1169,$Z$1,FERIADO!$A$2:$A$408)</f>
        <v>2709</v>
      </c>
      <c r="Z1169">
        <v>8.0500000000000007</v>
      </c>
      <c r="AA1169" s="6">
        <f t="shared" si="164"/>
        <v>43504.452693073887</v>
      </c>
      <c r="AB1169" s="2">
        <f t="shared" si="165"/>
        <v>5.7492171603489338E-3</v>
      </c>
      <c r="AJ1169" s="1">
        <v>43935</v>
      </c>
      <c r="AK1169">
        <f>NETWORKDAYS(AJ1169,$AJ$1,FERIADO!$A$2:$A$408)</f>
        <v>1696</v>
      </c>
      <c r="AL1169">
        <v>7.25</v>
      </c>
      <c r="AM1169" s="6">
        <f t="shared" si="166"/>
        <v>62434.025907458818</v>
      </c>
      <c r="AN1169" s="2">
        <f t="shared" si="167"/>
        <v>4.2081080192614539E-3</v>
      </c>
      <c r="AP1169" s="11">
        <f t="shared" si="168"/>
        <v>2.8746085801744669E-3</v>
      </c>
      <c r="AQ1169" s="11">
        <f t="shared" si="169"/>
        <v>1.2624324057784362E-3</v>
      </c>
      <c r="AR1169" s="11">
        <f t="shared" si="170"/>
        <v>4.1370409859529033E-3</v>
      </c>
    </row>
    <row r="1170" spans="2:44" x14ac:dyDescent="0.35">
      <c r="B1170" s="1">
        <v>43934</v>
      </c>
      <c r="C1170">
        <v>3106.39</v>
      </c>
      <c r="D1170" s="1">
        <v>43943</v>
      </c>
      <c r="E1170">
        <v>5.3841000000000001</v>
      </c>
      <c r="F1170" s="1">
        <v>43924</v>
      </c>
      <c r="G1170">
        <v>138.97399999999999</v>
      </c>
      <c r="H1170" s="4">
        <f t="shared" si="162"/>
        <v>748249.91339999996</v>
      </c>
      <c r="I1170" s="5">
        <v>43934</v>
      </c>
      <c r="J1170" s="4">
        <v>6309.95</v>
      </c>
      <c r="K1170" s="4">
        <f t="shared" si="163"/>
        <v>63099.5</v>
      </c>
      <c r="L1170" s="1">
        <v>43934</v>
      </c>
      <c r="M1170">
        <v>3.29</v>
      </c>
      <c r="P1170" s="1">
        <v>43929</v>
      </c>
      <c r="Q1170">
        <v>3.82</v>
      </c>
      <c r="R1170" s="1">
        <v>43745</v>
      </c>
      <c r="S1170">
        <v>3.34</v>
      </c>
      <c r="X1170" s="1">
        <v>43934</v>
      </c>
      <c r="Y1170">
        <f>NETWORKDAYS(X1170,$Z$1,FERIADO!$A$2:$A$408)</f>
        <v>2710</v>
      </c>
      <c r="Z1170">
        <v>8.18</v>
      </c>
      <c r="AA1170" s="6">
        <f t="shared" si="164"/>
        <v>42932.333293888427</v>
      </c>
      <c r="AB1170" s="2">
        <f t="shared" si="165"/>
        <v>7.0303029547554951E-4</v>
      </c>
      <c r="AJ1170" s="1">
        <v>43934</v>
      </c>
      <c r="AK1170">
        <f>NETWORKDAYS(AJ1170,$AJ$1,FERIADO!$A$2:$A$408)</f>
        <v>1697</v>
      </c>
      <c r="AL1170">
        <v>7.4</v>
      </c>
      <c r="AM1170" s="6">
        <f t="shared" si="166"/>
        <v>61831.991166652479</v>
      </c>
      <c r="AN1170" s="2">
        <f t="shared" si="167"/>
        <v>1.6088960830799286E-3</v>
      </c>
      <c r="AP1170" s="11">
        <f t="shared" si="168"/>
        <v>3.5151514773777476E-4</v>
      </c>
      <c r="AQ1170" s="11">
        <f t="shared" si="169"/>
        <v>4.8266882492397858E-4</v>
      </c>
      <c r="AR1170" s="11">
        <f t="shared" si="170"/>
        <v>8.3418397266175328E-4</v>
      </c>
    </row>
    <row r="1171" spans="2:44" x14ac:dyDescent="0.35">
      <c r="B1171" s="1">
        <v>43930</v>
      </c>
      <c r="C1171">
        <v>3136.26</v>
      </c>
      <c r="D1171" s="1">
        <v>43941</v>
      </c>
      <c r="E1171">
        <v>5.2831000000000001</v>
      </c>
      <c r="F1171" s="1">
        <v>43923</v>
      </c>
      <c r="G1171">
        <v>139.01499999999999</v>
      </c>
      <c r="H1171" s="4">
        <f t="shared" si="162"/>
        <v>734430.14650000003</v>
      </c>
      <c r="I1171" s="5">
        <v>43930</v>
      </c>
      <c r="J1171" s="4">
        <v>6196.06</v>
      </c>
      <c r="K1171" s="4">
        <f t="shared" si="163"/>
        <v>61960.600000000006</v>
      </c>
      <c r="L1171" s="1">
        <v>43930</v>
      </c>
      <c r="M1171">
        <v>3.36</v>
      </c>
      <c r="P1171" s="1">
        <v>43928</v>
      </c>
      <c r="Q1171">
        <v>3.93</v>
      </c>
      <c r="R1171" s="1">
        <v>43739</v>
      </c>
      <c r="S1171">
        <v>3.39</v>
      </c>
      <c r="X1171" s="1">
        <v>43930</v>
      </c>
      <c r="Y1171">
        <f>NETWORKDAYS(X1171,$Z$1,FERIADO!$A$2:$A$408)</f>
        <v>2712</v>
      </c>
      <c r="Z1171">
        <v>8.19</v>
      </c>
      <c r="AA1171" s="6">
        <f t="shared" si="164"/>
        <v>42862.891208651032</v>
      </c>
      <c r="AB1171" s="2">
        <f t="shared" si="165"/>
        <v>5.7503948272892812E-3</v>
      </c>
      <c r="AJ1171" s="1">
        <v>43930</v>
      </c>
      <c r="AK1171">
        <f>NETWORKDAYS(AJ1171,$AJ$1,FERIADO!$A$2:$A$408)</f>
        <v>1699</v>
      </c>
      <c r="AL1171">
        <v>7.45</v>
      </c>
      <c r="AM1171" s="6">
        <f t="shared" si="166"/>
        <v>61603.35090121891</v>
      </c>
      <c r="AN1171" s="2">
        <f t="shared" si="167"/>
        <v>4.2109284713156107E-3</v>
      </c>
      <c r="AP1171" s="11">
        <f t="shared" si="168"/>
        <v>2.8751974136446406E-3</v>
      </c>
      <c r="AQ1171" s="11">
        <f t="shared" si="169"/>
        <v>1.2632785413946833E-3</v>
      </c>
      <c r="AR1171" s="11">
        <f t="shared" si="170"/>
        <v>4.1384759550393236E-3</v>
      </c>
    </row>
    <row r="1172" spans="2:44" x14ac:dyDescent="0.35">
      <c r="B1172" s="1">
        <v>43929</v>
      </c>
      <c r="C1172">
        <v>3072.02</v>
      </c>
      <c r="D1172" s="1">
        <v>43938</v>
      </c>
      <c r="E1172">
        <v>5.2567000000000004</v>
      </c>
      <c r="F1172" s="1">
        <v>43922</v>
      </c>
      <c r="G1172">
        <v>139.09800000000001</v>
      </c>
      <c r="H1172" s="4">
        <f t="shared" si="162"/>
        <v>731196.45660000015</v>
      </c>
      <c r="I1172" s="5">
        <v>43929</v>
      </c>
      <c r="J1172" s="4">
        <v>6209.39</v>
      </c>
      <c r="K1172" s="4">
        <f t="shared" si="163"/>
        <v>62093.9</v>
      </c>
      <c r="L1172" s="1">
        <v>43929</v>
      </c>
      <c r="M1172">
        <v>3.53</v>
      </c>
      <c r="P1172" s="1">
        <v>43927</v>
      </c>
      <c r="Q1172">
        <v>3.99</v>
      </c>
      <c r="R1172" s="1">
        <v>43734</v>
      </c>
      <c r="S1172">
        <v>3.39</v>
      </c>
      <c r="X1172" s="1">
        <v>43929</v>
      </c>
      <c r="Y1172">
        <f>NETWORKDAYS(X1172,$Z$1,FERIADO!$A$2:$A$408)</f>
        <v>2713</v>
      </c>
      <c r="Z1172">
        <v>8.32</v>
      </c>
      <c r="AA1172" s="6">
        <f t="shared" si="164"/>
        <v>42299.094169918753</v>
      </c>
      <c r="AB1172" s="2">
        <f t="shared" si="165"/>
        <v>3.5908762258205409E-3</v>
      </c>
      <c r="AJ1172" s="1">
        <v>43929</v>
      </c>
      <c r="AK1172">
        <f>NETWORKDAYS(AJ1172,$AJ$1,FERIADO!$A$2:$A$408)</f>
        <v>1700</v>
      </c>
      <c r="AL1172">
        <v>7.6</v>
      </c>
      <c r="AM1172" s="6">
        <f t="shared" si="166"/>
        <v>61008.929925560267</v>
      </c>
      <c r="AN1172" s="2">
        <f t="shared" si="167"/>
        <v>3.937963359014353E-3</v>
      </c>
      <c r="AP1172" s="11">
        <f t="shared" si="168"/>
        <v>1.7954381129102704E-3</v>
      </c>
      <c r="AQ1172" s="11">
        <f t="shared" si="169"/>
        <v>1.1813890077043059E-3</v>
      </c>
      <c r="AR1172" s="11">
        <f t="shared" si="170"/>
        <v>2.9768271206145761E-3</v>
      </c>
    </row>
    <row r="1173" spans="2:44" x14ac:dyDescent="0.35">
      <c r="B1173" s="1">
        <v>43928</v>
      </c>
      <c r="C1173">
        <v>2963.07</v>
      </c>
      <c r="D1173" s="1">
        <v>43937</v>
      </c>
      <c r="E1173">
        <v>5.2370999999999999</v>
      </c>
      <c r="F1173" s="1">
        <v>43921</v>
      </c>
      <c r="G1173">
        <v>138.715</v>
      </c>
      <c r="H1173" s="4">
        <f t="shared" si="162"/>
        <v>726464.32649999997</v>
      </c>
      <c r="I1173" s="5">
        <v>43928</v>
      </c>
      <c r="J1173" s="4">
        <v>6337.21</v>
      </c>
      <c r="K1173" s="4">
        <f t="shared" si="163"/>
        <v>63372.1</v>
      </c>
      <c r="L1173" s="1">
        <v>43928</v>
      </c>
      <c r="M1173">
        <v>3.66</v>
      </c>
      <c r="P1173" s="1">
        <v>43924</v>
      </c>
      <c r="Q1173">
        <v>4.07</v>
      </c>
      <c r="R1173" s="1">
        <v>43733</v>
      </c>
      <c r="S1173">
        <v>3.52</v>
      </c>
      <c r="X1173" s="1">
        <v>43928</v>
      </c>
      <c r="Y1173">
        <f>NETWORKDAYS(X1173,$Z$1,FERIADO!$A$2:$A$408)</f>
        <v>2714</v>
      </c>
      <c r="Z1173">
        <v>8.4</v>
      </c>
      <c r="AA1173" s="6">
        <f t="shared" si="164"/>
        <v>41950.794558086534</v>
      </c>
      <c r="AB1173" s="2">
        <f t="shared" si="165"/>
        <v>4.4534415627836086E-3</v>
      </c>
      <c r="AJ1173" s="1">
        <v>43928</v>
      </c>
      <c r="AK1173">
        <f>NETWORKDAYS(AJ1173,$AJ$1,FERIADO!$A$2:$A$408)</f>
        <v>1701</v>
      </c>
      <c r="AL1173">
        <v>7.74</v>
      </c>
      <c r="AM1173" s="6">
        <f t="shared" si="166"/>
        <v>60458.232211888717</v>
      </c>
      <c r="AN1173" s="2">
        <f t="shared" si="167"/>
        <v>2.8497077595121003E-3</v>
      </c>
      <c r="AP1173" s="11">
        <f t="shared" si="168"/>
        <v>2.2267207813918043E-3</v>
      </c>
      <c r="AQ1173" s="11">
        <f t="shared" si="169"/>
        <v>8.5491232785363008E-4</v>
      </c>
      <c r="AR1173" s="11">
        <f t="shared" si="170"/>
        <v>3.0816331092454342E-3</v>
      </c>
    </row>
    <row r="1174" spans="2:44" x14ac:dyDescent="0.35">
      <c r="B1174" s="1">
        <v>43927</v>
      </c>
      <c r="C1174">
        <v>2964.91</v>
      </c>
      <c r="D1174" s="1">
        <v>43936</v>
      </c>
      <c r="E1174">
        <v>5.2572999999999999</v>
      </c>
      <c r="F1174" s="1">
        <v>43920</v>
      </c>
      <c r="G1174">
        <v>138.59899999999999</v>
      </c>
      <c r="H1174" s="4">
        <f t="shared" si="162"/>
        <v>728656.52269999997</v>
      </c>
      <c r="I1174" s="5">
        <v>43927</v>
      </c>
      <c r="J1174" s="4">
        <v>6414.75</v>
      </c>
      <c r="K1174" s="4">
        <f t="shared" si="163"/>
        <v>64147.5</v>
      </c>
      <c r="L1174" s="1">
        <v>43927</v>
      </c>
      <c r="M1174">
        <v>3.71</v>
      </c>
      <c r="P1174" s="1">
        <v>43923</v>
      </c>
      <c r="Q1174">
        <v>3.95</v>
      </c>
      <c r="R1174" s="1">
        <v>43728</v>
      </c>
      <c r="S1174">
        <v>3.38</v>
      </c>
      <c r="X1174" s="1">
        <v>43927</v>
      </c>
      <c r="Y1174">
        <f>NETWORKDAYS(X1174,$Z$1,FERIADO!$A$2:$A$408)</f>
        <v>2715</v>
      </c>
      <c r="Z1174">
        <v>8.5</v>
      </c>
      <c r="AA1174" s="6">
        <f t="shared" si="164"/>
        <v>41522.811261543684</v>
      </c>
      <c r="AB1174" s="2">
        <f t="shared" si="165"/>
        <v>8.7607244735209578E-3</v>
      </c>
      <c r="AJ1174" s="1">
        <v>43927</v>
      </c>
      <c r="AK1174">
        <f>NETWORKDAYS(AJ1174,$AJ$1,FERIADO!$A$2:$A$408)</f>
        <v>1702</v>
      </c>
      <c r="AL1174">
        <v>7.84</v>
      </c>
      <c r="AM1174" s="6">
        <f t="shared" si="166"/>
        <v>60062.822453432447</v>
      </c>
      <c r="AN1174" s="2">
        <f t="shared" si="167"/>
        <v>4.4813540110200806E-3</v>
      </c>
      <c r="AP1174" s="11">
        <f t="shared" si="168"/>
        <v>4.3803622367604789E-3</v>
      </c>
      <c r="AQ1174" s="11">
        <f t="shared" si="169"/>
        <v>1.3444062033060242E-3</v>
      </c>
      <c r="AR1174" s="11">
        <f t="shared" si="170"/>
        <v>5.7247684400665031E-3</v>
      </c>
    </row>
    <row r="1175" spans="2:44" x14ac:dyDescent="0.35">
      <c r="B1175" s="1">
        <v>43924</v>
      </c>
      <c r="C1175">
        <v>2778.48</v>
      </c>
      <c r="D1175" s="1">
        <v>43935</v>
      </c>
      <c r="E1175">
        <v>5.1852</v>
      </c>
      <c r="F1175" s="1">
        <v>43917</v>
      </c>
      <c r="G1175">
        <v>138.53899999999999</v>
      </c>
      <c r="H1175" s="4">
        <f t="shared" si="162"/>
        <v>718352.42279999994</v>
      </c>
      <c r="I1175" s="5">
        <v>43924</v>
      </c>
      <c r="J1175" s="4">
        <v>6498.96</v>
      </c>
      <c r="K1175" s="4">
        <f t="shared" si="163"/>
        <v>64989.599999999999</v>
      </c>
      <c r="L1175" s="1">
        <v>43924</v>
      </c>
      <c r="M1175">
        <v>3.85</v>
      </c>
      <c r="P1175" s="1">
        <v>43922</v>
      </c>
      <c r="Q1175">
        <v>3.93</v>
      </c>
      <c r="R1175" s="1">
        <v>43616</v>
      </c>
      <c r="S1175">
        <v>4.1399999999999997</v>
      </c>
      <c r="X1175" s="1">
        <v>43924</v>
      </c>
      <c r="Y1175">
        <f>NETWORKDAYS(X1175,$Z$1,FERIADO!$A$2:$A$408)</f>
        <v>2716</v>
      </c>
      <c r="Z1175">
        <v>8.6999999999999993</v>
      </c>
      <c r="AA1175" s="6">
        <f t="shared" si="164"/>
        <v>40693.591848006487</v>
      </c>
      <c r="AB1175" s="2">
        <f t="shared" si="165"/>
        <v>-1.1501448285227653E-2</v>
      </c>
      <c r="AJ1175" s="1">
        <v>43924</v>
      </c>
      <c r="AK1175">
        <f>NETWORKDAYS(AJ1175,$AJ$1,FERIADO!$A$2:$A$408)</f>
        <v>1703</v>
      </c>
      <c r="AL1175">
        <v>8</v>
      </c>
      <c r="AM1175" s="6">
        <f t="shared" si="166"/>
        <v>59446.238911798675</v>
      </c>
      <c r="AN1175" s="2">
        <f t="shared" si="167"/>
        <v>-6.6730653303045074E-3</v>
      </c>
      <c r="AP1175" s="11">
        <f t="shared" si="168"/>
        <v>-5.7507241426138266E-3</v>
      </c>
      <c r="AQ1175" s="11">
        <f t="shared" si="169"/>
        <v>-2.0019195990913521E-3</v>
      </c>
      <c r="AR1175" s="11">
        <f t="shared" si="170"/>
        <v>-7.7526437417051782E-3</v>
      </c>
    </row>
    <row r="1176" spans="2:44" x14ac:dyDescent="0.35">
      <c r="B1176" s="1">
        <v>43923</v>
      </c>
      <c r="C1176">
        <v>2832.97</v>
      </c>
      <c r="D1176" s="1">
        <v>43934</v>
      </c>
      <c r="E1176">
        <v>5.1818</v>
      </c>
      <c r="F1176" s="1">
        <v>43916</v>
      </c>
      <c r="G1176">
        <v>137.61500000000001</v>
      </c>
      <c r="H1176" s="4">
        <f t="shared" si="162"/>
        <v>713093.40700000012</v>
      </c>
      <c r="I1176" s="5">
        <v>43923</v>
      </c>
      <c r="J1176" s="4">
        <v>6379.62</v>
      </c>
      <c r="K1176" s="4">
        <f t="shared" si="163"/>
        <v>63796.2</v>
      </c>
      <c r="L1176" s="1">
        <v>43923</v>
      </c>
      <c r="M1176">
        <v>3.7</v>
      </c>
      <c r="P1176" s="1">
        <v>43921</v>
      </c>
      <c r="Q1176">
        <v>3.81</v>
      </c>
      <c r="R1176" s="1">
        <v>43591</v>
      </c>
      <c r="S1176">
        <v>4.51</v>
      </c>
      <c r="X1176" s="1">
        <v>43923</v>
      </c>
      <c r="Y1176">
        <f>NETWORKDAYS(X1176,$Z$1,FERIADO!$A$2:$A$408)</f>
        <v>2717</v>
      </c>
      <c r="Z1176">
        <v>8.43</v>
      </c>
      <c r="AA1176" s="6">
        <f t="shared" si="164"/>
        <v>41785.679910840969</v>
      </c>
      <c r="AB1176" s="2">
        <f t="shared" si="165"/>
        <v>-6.3450045907157701E-3</v>
      </c>
      <c r="AJ1176" s="1">
        <v>43923</v>
      </c>
      <c r="AK1176">
        <f>NETWORKDAYS(AJ1176,$AJ$1,FERIADO!$A$2:$A$408)</f>
        <v>1704</v>
      </c>
      <c r="AL1176">
        <v>7.75</v>
      </c>
      <c r="AM1176" s="6">
        <f t="shared" si="166"/>
        <v>60366.701735986913</v>
      </c>
      <c r="AN1176" s="2">
        <f t="shared" si="167"/>
        <v>-4.1681783356989805E-4</v>
      </c>
      <c r="AP1176" s="11">
        <f t="shared" si="168"/>
        <v>-3.1725022953578851E-3</v>
      </c>
      <c r="AQ1176" s="11">
        <f t="shared" si="169"/>
        <v>-1.250453500709694E-4</v>
      </c>
      <c r="AR1176" s="11">
        <f t="shared" si="170"/>
        <v>-3.2975476454288545E-3</v>
      </c>
    </row>
    <row r="1177" spans="2:44" x14ac:dyDescent="0.35">
      <c r="B1177" s="1">
        <v>43922</v>
      </c>
      <c r="C1177">
        <v>2763.61</v>
      </c>
      <c r="D1177" s="1">
        <v>43930</v>
      </c>
      <c r="E1177">
        <v>5.0773000000000001</v>
      </c>
      <c r="F1177" s="1">
        <v>43915</v>
      </c>
      <c r="G1177">
        <v>137.31700000000001</v>
      </c>
      <c r="H1177" s="4">
        <f t="shared" si="162"/>
        <v>697199.60410000011</v>
      </c>
      <c r="I1177" s="5">
        <v>43922</v>
      </c>
      <c r="J1177" s="4">
        <v>6373.56</v>
      </c>
      <c r="K1177" s="4">
        <f t="shared" si="163"/>
        <v>63735.600000000006</v>
      </c>
      <c r="L1177" s="1">
        <v>43922</v>
      </c>
      <c r="M1177">
        <v>3.66</v>
      </c>
      <c r="P1177" s="1">
        <v>43920</v>
      </c>
      <c r="Q1177">
        <v>3.8</v>
      </c>
      <c r="R1177" s="1">
        <v>43538</v>
      </c>
      <c r="S1177">
        <v>4.38</v>
      </c>
      <c r="X1177" s="1">
        <v>43922</v>
      </c>
      <c r="Y1177">
        <f>NETWORKDAYS(X1177,$Z$1,FERIADO!$A$2:$A$408)</f>
        <v>2718</v>
      </c>
      <c r="Z1177">
        <v>8.2799999999999994</v>
      </c>
      <c r="AA1177" s="6">
        <f t="shared" si="164"/>
        <v>42400.646423343962</v>
      </c>
      <c r="AB1177" s="2">
        <f t="shared" si="165"/>
        <v>-3.3262443591704112E-3</v>
      </c>
      <c r="AJ1177" s="1">
        <v>43922</v>
      </c>
      <c r="AK1177">
        <f>NETWORKDAYS(AJ1177,$AJ$1,FERIADO!$A$2:$A$408)</f>
        <v>1705</v>
      </c>
      <c r="AL1177">
        <v>7.73</v>
      </c>
      <c r="AM1177" s="6">
        <f t="shared" si="166"/>
        <v>60424.667004791445</v>
      </c>
      <c r="AN1177" s="2">
        <f t="shared" si="167"/>
        <v>-6.7024638749597024E-3</v>
      </c>
      <c r="AP1177" s="11">
        <f t="shared" si="168"/>
        <v>-1.6631221795852056E-3</v>
      </c>
      <c r="AQ1177" s="11">
        <f t="shared" si="169"/>
        <v>-2.0107391624879108E-3</v>
      </c>
      <c r="AR1177" s="11">
        <f t="shared" si="170"/>
        <v>-3.6738613420731164E-3</v>
      </c>
    </row>
    <row r="1178" spans="2:44" x14ac:dyDescent="0.35">
      <c r="B1178" s="1">
        <v>43921</v>
      </c>
      <c r="C1178">
        <v>2878.31</v>
      </c>
      <c r="D1178" s="1">
        <v>43929</v>
      </c>
      <c r="E1178">
        <v>5.2117000000000004</v>
      </c>
      <c r="F1178" s="1">
        <v>43914</v>
      </c>
      <c r="G1178">
        <v>136.96799999999999</v>
      </c>
      <c r="H1178" s="4">
        <f t="shared" si="162"/>
        <v>713836.12560000003</v>
      </c>
      <c r="I1178" s="5">
        <v>43921</v>
      </c>
      <c r="J1178" s="4">
        <v>6317.22</v>
      </c>
      <c r="K1178" s="4">
        <f t="shared" si="163"/>
        <v>63172.200000000004</v>
      </c>
      <c r="L1178" s="1">
        <v>43921</v>
      </c>
      <c r="M1178">
        <v>3.53</v>
      </c>
      <c r="P1178" s="1">
        <v>43917</v>
      </c>
      <c r="Q1178">
        <v>3.92</v>
      </c>
      <c r="R1178" s="1">
        <v>43531</v>
      </c>
      <c r="S1178">
        <v>4.49</v>
      </c>
      <c r="X1178" s="1">
        <v>43921</v>
      </c>
      <c r="Y1178">
        <f>NETWORKDAYS(X1178,$Z$1,FERIADO!$A$2:$A$408)</f>
        <v>2719</v>
      </c>
      <c r="Z1178">
        <v>8.1999999999999993</v>
      </c>
      <c r="AA1178" s="6">
        <f t="shared" si="164"/>
        <v>42726.638092123649</v>
      </c>
      <c r="AB1178" s="2">
        <f t="shared" si="165"/>
        <v>1.3582246337527889E-4</v>
      </c>
      <c r="AJ1178" s="1">
        <v>43921</v>
      </c>
      <c r="AK1178">
        <f>NETWORKDAYS(AJ1178,$AJ$1,FERIADO!$A$2:$A$408)</f>
        <v>1706</v>
      </c>
      <c r="AL1178">
        <v>7.48</v>
      </c>
      <c r="AM1178" s="6">
        <f t="shared" si="166"/>
        <v>61364.433545060536</v>
      </c>
      <c r="AN1178" s="2">
        <f t="shared" si="167"/>
        <v>1.4925446267991986E-3</v>
      </c>
      <c r="AP1178" s="11">
        <f t="shared" si="168"/>
        <v>6.7911231687639445E-5</v>
      </c>
      <c r="AQ1178" s="11">
        <f t="shared" si="169"/>
        <v>4.4776338803975956E-4</v>
      </c>
      <c r="AR1178" s="11">
        <f t="shared" si="170"/>
        <v>5.1567461972739899E-4</v>
      </c>
    </row>
    <row r="1179" spans="2:44" x14ac:dyDescent="0.35">
      <c r="B1179" s="1">
        <v>43920</v>
      </c>
      <c r="C1179">
        <v>2930</v>
      </c>
      <c r="D1179" s="1">
        <v>43928</v>
      </c>
      <c r="E1179">
        <v>5.2210999999999999</v>
      </c>
      <c r="F1179" s="1">
        <v>43913</v>
      </c>
      <c r="G1179">
        <v>138.268</v>
      </c>
      <c r="H1179" s="4">
        <f t="shared" si="162"/>
        <v>721911.05480000004</v>
      </c>
      <c r="I1179" s="5">
        <v>43920</v>
      </c>
      <c r="J1179" s="4">
        <v>6305.1</v>
      </c>
      <c r="K1179" s="4">
        <f t="shared" si="163"/>
        <v>63051</v>
      </c>
      <c r="L1179" s="1">
        <v>43920</v>
      </c>
      <c r="M1179">
        <v>3.57</v>
      </c>
      <c r="P1179" s="1">
        <v>43916</v>
      </c>
      <c r="Q1179">
        <v>3.85</v>
      </c>
      <c r="R1179" s="1">
        <v>43515</v>
      </c>
      <c r="S1179">
        <v>4.42</v>
      </c>
      <c r="X1179" s="1">
        <v>43920</v>
      </c>
      <c r="Y1179">
        <f>NETWORKDAYS(X1179,$Z$1,FERIADO!$A$2:$A$408)</f>
        <v>2720</v>
      </c>
      <c r="Z1179">
        <v>8.1999999999999993</v>
      </c>
      <c r="AA1179" s="6">
        <f t="shared" si="164"/>
        <v>42713.277733856354</v>
      </c>
      <c r="AB1179" s="2">
        <f t="shared" si="165"/>
        <v>4.0347665034683941E-3</v>
      </c>
      <c r="AJ1179" s="1">
        <v>43920</v>
      </c>
      <c r="AK1179">
        <f>NETWORKDAYS(AJ1179,$AJ$1,FERIADO!$A$2:$A$408)</f>
        <v>1707</v>
      </c>
      <c r="AL1179">
        <v>7.53</v>
      </c>
      <c r="AM1179" s="6">
        <f t="shared" si="166"/>
        <v>61153.903693121887</v>
      </c>
      <c r="AN1179" s="2">
        <f t="shared" si="167"/>
        <v>3.1347443738487294E-3</v>
      </c>
      <c r="AP1179" s="11">
        <f t="shared" si="168"/>
        <v>2.0173832517341971E-3</v>
      </c>
      <c r="AQ1179" s="11">
        <f t="shared" si="169"/>
        <v>9.404233121546188E-4</v>
      </c>
      <c r="AR1179" s="11">
        <f t="shared" si="170"/>
        <v>2.9578065638888157E-3</v>
      </c>
    </row>
    <row r="1180" spans="2:44" x14ac:dyDescent="0.35">
      <c r="B1180" s="1">
        <v>43917</v>
      </c>
      <c r="C1180">
        <v>2825.44</v>
      </c>
      <c r="D1180" s="1">
        <v>43927</v>
      </c>
      <c r="E1180">
        <v>5.2465000000000002</v>
      </c>
      <c r="F1180" s="1">
        <v>43910</v>
      </c>
      <c r="G1180">
        <v>136.79300000000001</v>
      </c>
      <c r="H1180" s="4">
        <f t="shared" si="162"/>
        <v>717684.47450000013</v>
      </c>
      <c r="I1180" s="5">
        <v>43917</v>
      </c>
      <c r="J1180" s="4">
        <v>6191.05</v>
      </c>
      <c r="K1180" s="4">
        <f t="shared" si="163"/>
        <v>61910.5</v>
      </c>
      <c r="L1180" s="1">
        <v>43917</v>
      </c>
      <c r="M1180">
        <v>3.7</v>
      </c>
      <c r="P1180" s="1">
        <v>43915</v>
      </c>
      <c r="Q1180">
        <v>4.25</v>
      </c>
      <c r="R1180" s="1">
        <v>43507</v>
      </c>
      <c r="S1180">
        <v>4.5199999999999996</v>
      </c>
      <c r="X1180" s="1">
        <v>43917</v>
      </c>
      <c r="Y1180">
        <f>NETWORKDAYS(X1180,$Z$1,FERIADO!$A$2:$A$408)</f>
        <v>2721</v>
      </c>
      <c r="Z1180">
        <v>8.2899999999999991</v>
      </c>
      <c r="AA1180" s="6">
        <f t="shared" si="164"/>
        <v>42318.292215017231</v>
      </c>
      <c r="AB1180" s="2">
        <f t="shared" si="165"/>
        <v>1.869715833219415E-3</v>
      </c>
      <c r="AJ1180" s="1">
        <v>43917</v>
      </c>
      <c r="AK1180">
        <f>NETWORKDAYS(AJ1180,$AJ$1,FERIADO!$A$2:$A$408)</f>
        <v>1708</v>
      </c>
      <c r="AL1180">
        <v>7.64</v>
      </c>
      <c r="AM1180" s="6">
        <f t="shared" si="166"/>
        <v>60714.083083821759</v>
      </c>
      <c r="AN1180" s="2">
        <f t="shared" si="167"/>
        <v>3.4085233776247606E-3</v>
      </c>
      <c r="AP1180" s="11">
        <f t="shared" si="168"/>
        <v>9.348579166097075E-4</v>
      </c>
      <c r="AQ1180" s="11">
        <f t="shared" si="169"/>
        <v>1.0225570132874281E-3</v>
      </c>
      <c r="AR1180" s="11">
        <f t="shared" si="170"/>
        <v>1.9574149298971356E-3</v>
      </c>
    </row>
    <row r="1181" spans="2:44" x14ac:dyDescent="0.35">
      <c r="B1181" s="1">
        <v>43916</v>
      </c>
      <c r="C1181">
        <v>2939.25</v>
      </c>
      <c r="D1181" s="1">
        <v>43924</v>
      </c>
      <c r="E1181">
        <v>5.2991000000000001</v>
      </c>
      <c r="F1181" s="1">
        <v>43909</v>
      </c>
      <c r="G1181">
        <v>135.11000000000001</v>
      </c>
      <c r="H1181" s="4">
        <f t="shared" si="162"/>
        <v>715961.40100000019</v>
      </c>
      <c r="I1181" s="5">
        <v>43916</v>
      </c>
      <c r="J1181" s="4">
        <v>6095.2</v>
      </c>
      <c r="K1181" s="4">
        <f t="shared" si="163"/>
        <v>60952</v>
      </c>
      <c r="L1181" s="1">
        <v>43916</v>
      </c>
      <c r="M1181">
        <v>3.7</v>
      </c>
      <c r="P1181" s="1">
        <v>43914</v>
      </c>
      <c r="Q1181">
        <v>4.55</v>
      </c>
      <c r="R1181" s="1">
        <v>43500</v>
      </c>
      <c r="S1181">
        <v>4.3</v>
      </c>
      <c r="X1181" s="1">
        <v>43916</v>
      </c>
      <c r="Y1181">
        <f>NETWORKDAYS(X1181,$Z$1,FERIADO!$A$2:$A$408)</f>
        <v>2722</v>
      </c>
      <c r="Z1181">
        <v>8.33</v>
      </c>
      <c r="AA1181" s="6">
        <f t="shared" si="164"/>
        <v>42136.495971512217</v>
      </c>
      <c r="AB1181" s="2">
        <f t="shared" si="165"/>
        <v>2.8211378060182927E-2</v>
      </c>
      <c r="AJ1181" s="1">
        <v>43916</v>
      </c>
      <c r="AK1181">
        <f>NETWORKDAYS(AJ1181,$AJ$1,FERIADO!$A$2:$A$408)</f>
        <v>1709</v>
      </c>
      <c r="AL1181">
        <v>7.76</v>
      </c>
      <c r="AM1181" s="6">
        <f t="shared" si="166"/>
        <v>60239.438795359863</v>
      </c>
      <c r="AN1181" s="2">
        <f t="shared" si="167"/>
        <v>1.3771071632177664E-2</v>
      </c>
      <c r="AP1181" s="11">
        <f t="shared" si="168"/>
        <v>1.4105689030091463E-2</v>
      </c>
      <c r="AQ1181" s="11">
        <f t="shared" si="169"/>
        <v>4.1313214896532991E-3</v>
      </c>
      <c r="AR1181" s="11">
        <f t="shared" si="170"/>
        <v>1.8237010519744763E-2</v>
      </c>
    </row>
    <row r="1182" spans="2:44" x14ac:dyDescent="0.35">
      <c r="B1182" s="1">
        <v>43915</v>
      </c>
      <c r="C1182">
        <v>2789.38</v>
      </c>
      <c r="D1182" s="1">
        <v>43923</v>
      </c>
      <c r="E1182">
        <v>5.2645</v>
      </c>
      <c r="F1182" s="1">
        <v>43908</v>
      </c>
      <c r="G1182">
        <v>134.31899999999999</v>
      </c>
      <c r="H1182" s="4">
        <f t="shared" si="162"/>
        <v>707122.37549999997</v>
      </c>
      <c r="I1182" s="5">
        <v>43915</v>
      </c>
      <c r="J1182" s="4">
        <v>6111.58</v>
      </c>
      <c r="K1182" s="4">
        <f t="shared" si="163"/>
        <v>61115.8</v>
      </c>
      <c r="L1182" s="1">
        <v>43915</v>
      </c>
      <c r="M1182">
        <v>4.05</v>
      </c>
      <c r="P1182" s="1">
        <v>43913</v>
      </c>
      <c r="Q1182">
        <v>4.8499999999999996</v>
      </c>
      <c r="R1182" s="1">
        <v>43473</v>
      </c>
      <c r="S1182">
        <v>4.68</v>
      </c>
      <c r="X1182" s="1">
        <v>43915</v>
      </c>
      <c r="Y1182">
        <f>NETWORKDAYS(X1182,$Z$1,FERIADO!$A$2:$A$408)</f>
        <v>2723</v>
      </c>
      <c r="Z1182">
        <v>8.98</v>
      </c>
      <c r="AA1182" s="6">
        <f t="shared" si="164"/>
        <v>39486.354410803877</v>
      </c>
      <c r="AB1182" s="2">
        <f t="shared" si="165"/>
        <v>3.2345185810073764E-2</v>
      </c>
      <c r="AJ1182" s="1">
        <v>43915</v>
      </c>
      <c r="AK1182">
        <f>NETWORKDAYS(AJ1182,$AJ$1,FERIADO!$A$2:$A$408)</f>
        <v>1710</v>
      </c>
      <c r="AL1182">
        <v>8.26</v>
      </c>
      <c r="AM1182" s="6">
        <f t="shared" si="166"/>
        <v>58359.269301936314</v>
      </c>
      <c r="AN1182" s="2">
        <f t="shared" si="167"/>
        <v>2.2387290750593834E-2</v>
      </c>
      <c r="AP1182" s="11">
        <f t="shared" si="168"/>
        <v>1.6172592905036882E-2</v>
      </c>
      <c r="AQ1182" s="11">
        <f t="shared" si="169"/>
        <v>6.7161872251781498E-3</v>
      </c>
      <c r="AR1182" s="11">
        <f t="shared" si="170"/>
        <v>2.2888780130215031E-2</v>
      </c>
    </row>
    <row r="1183" spans="2:44" x14ac:dyDescent="0.35">
      <c r="B1183" s="1">
        <v>43914</v>
      </c>
      <c r="C1183">
        <v>2732.6</v>
      </c>
      <c r="D1183" s="1">
        <v>43922</v>
      </c>
      <c r="E1183">
        <v>5.2398999999999996</v>
      </c>
      <c r="F1183" s="1">
        <v>43907</v>
      </c>
      <c r="G1183">
        <v>135.386</v>
      </c>
      <c r="H1183" s="4">
        <f t="shared" si="162"/>
        <v>709409.10139999993</v>
      </c>
      <c r="I1183" s="5">
        <v>43914</v>
      </c>
      <c r="J1183" s="4">
        <v>6192.87</v>
      </c>
      <c r="K1183" s="4">
        <f t="shared" si="163"/>
        <v>61928.7</v>
      </c>
      <c r="L1183" s="1">
        <v>43914</v>
      </c>
      <c r="M1183">
        <v>4.3499999999999996</v>
      </c>
      <c r="P1183" s="1">
        <v>43910</v>
      </c>
      <c r="Q1183">
        <v>4.34</v>
      </c>
      <c r="R1183" s="1">
        <v>43462</v>
      </c>
      <c r="S1183">
        <v>5.07</v>
      </c>
      <c r="X1183" s="1">
        <v>43914</v>
      </c>
      <c r="Y1183">
        <f>NETWORKDAYS(X1183,$Z$1,FERIADO!$A$2:$A$408)</f>
        <v>2724</v>
      </c>
      <c r="Z1183">
        <v>9.73</v>
      </c>
      <c r="AA1183" s="6">
        <f t="shared" si="164"/>
        <v>36652.352391946093</v>
      </c>
      <c r="AB1183" s="2">
        <f t="shared" si="165"/>
        <v>1.1701325857601197E-2</v>
      </c>
      <c r="AJ1183" s="1">
        <v>43914</v>
      </c>
      <c r="AK1183">
        <f>NETWORKDAYS(AJ1183,$AJ$1,FERIADO!$A$2:$A$408)</f>
        <v>1711</v>
      </c>
      <c r="AL1183">
        <v>9.08</v>
      </c>
      <c r="AM1183" s="6">
        <f t="shared" si="166"/>
        <v>55427.150841565373</v>
      </c>
      <c r="AN1183" s="2">
        <f t="shared" si="167"/>
        <v>1.0949373568773331E-2</v>
      </c>
      <c r="AP1183" s="11">
        <f t="shared" si="168"/>
        <v>5.8506629288005985E-3</v>
      </c>
      <c r="AQ1183" s="11">
        <f t="shared" si="169"/>
        <v>3.2848120706319992E-3</v>
      </c>
      <c r="AR1183" s="11">
        <f t="shared" si="170"/>
        <v>9.1354749994325968E-3</v>
      </c>
    </row>
    <row r="1184" spans="2:44" x14ac:dyDescent="0.35">
      <c r="B1184" s="1">
        <v>43913</v>
      </c>
      <c r="C1184">
        <v>2476.98</v>
      </c>
      <c r="D1184" s="1">
        <v>43921</v>
      </c>
      <c r="E1184">
        <v>5.1981000000000002</v>
      </c>
      <c r="F1184" s="1">
        <v>43906</v>
      </c>
      <c r="G1184">
        <v>137.94900000000001</v>
      </c>
      <c r="H1184" s="4">
        <f t="shared" si="162"/>
        <v>717072.6969000001</v>
      </c>
      <c r="I1184" s="5">
        <v>43913</v>
      </c>
      <c r="J1184" s="4">
        <v>6246.86</v>
      </c>
      <c r="K1184" s="4">
        <f t="shared" si="163"/>
        <v>62468.6</v>
      </c>
      <c r="L1184" s="1">
        <v>43913</v>
      </c>
      <c r="M1184">
        <v>4.6500000000000004</v>
      </c>
      <c r="P1184" s="1">
        <v>43909</v>
      </c>
      <c r="Q1184">
        <v>3.95</v>
      </c>
      <c r="R1184" s="1">
        <v>43353</v>
      </c>
      <c r="S1184">
        <v>5.84</v>
      </c>
      <c r="X1184" s="1">
        <v>43913</v>
      </c>
      <c r="Y1184">
        <f>NETWORKDAYS(X1184,$Z$1,FERIADO!$A$2:$A$408)</f>
        <v>2725</v>
      </c>
      <c r="Z1184">
        <v>10</v>
      </c>
      <c r="AA1184" s="6">
        <f t="shared" si="164"/>
        <v>35678.002168328603</v>
      </c>
      <c r="AB1184" s="2">
        <f t="shared" si="165"/>
        <v>-1.7807753536236575E-2</v>
      </c>
      <c r="AJ1184" s="1">
        <v>43913</v>
      </c>
      <c r="AK1184">
        <f>NETWORKDAYS(AJ1184,$AJ$1,FERIADO!$A$2:$A$408)</f>
        <v>1712</v>
      </c>
      <c r="AL1184">
        <v>9.48</v>
      </c>
      <c r="AM1184" s="6">
        <f t="shared" si="166"/>
        <v>54047.197723389982</v>
      </c>
      <c r="AN1184" s="2">
        <f t="shared" si="167"/>
        <v>-1.5525398007780921E-2</v>
      </c>
      <c r="AP1184" s="11">
        <f t="shared" si="168"/>
        <v>-8.9038767681182875E-3</v>
      </c>
      <c r="AQ1184" s="11">
        <f t="shared" si="169"/>
        <v>-4.6576194023342761E-3</v>
      </c>
      <c r="AR1184" s="11">
        <f t="shared" si="170"/>
        <v>-1.3561496170452565E-2</v>
      </c>
    </row>
    <row r="1185" spans="2:44" x14ac:dyDescent="0.35">
      <c r="B1185" s="1">
        <v>43910</v>
      </c>
      <c r="C1185">
        <v>2554.0700000000002</v>
      </c>
      <c r="D1185" s="1">
        <v>43920</v>
      </c>
      <c r="E1185">
        <v>5.1588000000000003</v>
      </c>
      <c r="F1185" s="1">
        <v>43903</v>
      </c>
      <c r="G1185">
        <v>136.03899999999999</v>
      </c>
      <c r="H1185" s="4">
        <f t="shared" si="162"/>
        <v>701797.99319999991</v>
      </c>
      <c r="I1185" s="5">
        <v>43910</v>
      </c>
      <c r="J1185" s="4">
        <v>6148.58</v>
      </c>
      <c r="K1185" s="4">
        <f t="shared" si="163"/>
        <v>61485.8</v>
      </c>
      <c r="L1185" s="1">
        <v>43910</v>
      </c>
      <c r="M1185">
        <v>4.24</v>
      </c>
      <c r="P1185" s="1">
        <v>43907</v>
      </c>
      <c r="Q1185">
        <v>3.72</v>
      </c>
      <c r="R1185" s="1">
        <v>43333</v>
      </c>
      <c r="S1185">
        <v>5.82</v>
      </c>
      <c r="X1185" s="1">
        <v>43910</v>
      </c>
      <c r="Y1185">
        <f>NETWORKDAYS(X1185,$Z$1,FERIADO!$A$2:$A$408)</f>
        <v>2726</v>
      </c>
      <c r="Z1185">
        <v>9.58</v>
      </c>
      <c r="AA1185" s="6">
        <f t="shared" si="164"/>
        <v>37171.345452980029</v>
      </c>
      <c r="AB1185" s="2">
        <f t="shared" si="165"/>
        <v>-1.4016789277955416E-2</v>
      </c>
      <c r="AJ1185" s="1">
        <v>43910</v>
      </c>
      <c r="AK1185">
        <f>NETWORKDAYS(AJ1185,$AJ$1,FERIADO!$A$2:$A$408)</f>
        <v>1713</v>
      </c>
      <c r="AL1185">
        <v>8.9</v>
      </c>
      <c r="AM1185" s="6">
        <f t="shared" si="166"/>
        <v>56014.256951404044</v>
      </c>
      <c r="AN1185" s="2">
        <f t="shared" si="167"/>
        <v>-8.8178412090767315E-3</v>
      </c>
      <c r="AP1185" s="11">
        <f t="shared" si="168"/>
        <v>-7.0083946389777078E-3</v>
      </c>
      <c r="AQ1185" s="11">
        <f t="shared" si="169"/>
        <v>-2.6453523627230193E-3</v>
      </c>
      <c r="AR1185" s="11">
        <f t="shared" si="170"/>
        <v>-9.6537470017007271E-3</v>
      </c>
    </row>
    <row r="1186" spans="2:44" x14ac:dyDescent="0.35">
      <c r="B1186" s="1">
        <v>43909</v>
      </c>
      <c r="C1186">
        <v>2709.47</v>
      </c>
      <c r="D1186" s="1">
        <v>43917</v>
      </c>
      <c r="E1186">
        <v>5.1102999999999996</v>
      </c>
      <c r="F1186" s="1">
        <v>43902</v>
      </c>
      <c r="G1186">
        <v>137.624</v>
      </c>
      <c r="H1186" s="4">
        <f t="shared" si="162"/>
        <v>703299.92719999992</v>
      </c>
      <c r="I1186" s="5">
        <v>43909</v>
      </c>
      <c r="J1186" s="4">
        <v>6184.98</v>
      </c>
      <c r="K1186" s="4">
        <f t="shared" si="163"/>
        <v>61849.799999999996</v>
      </c>
      <c r="L1186" s="1">
        <v>43909</v>
      </c>
      <c r="M1186">
        <v>4.1399999999999997</v>
      </c>
      <c r="P1186" s="1">
        <v>43906</v>
      </c>
      <c r="Q1186">
        <v>3.89</v>
      </c>
      <c r="R1186" s="1">
        <v>43329</v>
      </c>
      <c r="S1186">
        <v>5.56</v>
      </c>
      <c r="X1186" s="1">
        <v>43909</v>
      </c>
      <c r="Y1186">
        <f>NETWORKDAYS(X1186,$Z$1,FERIADO!$A$2:$A$408)</f>
        <v>2727</v>
      </c>
      <c r="Z1186">
        <v>9.25</v>
      </c>
      <c r="AA1186" s="6">
        <f t="shared" si="164"/>
        <v>38390.615088226186</v>
      </c>
      <c r="AB1186" s="2">
        <f t="shared" si="165"/>
        <v>2.3036489357233223E-3</v>
      </c>
      <c r="AJ1186" s="1">
        <v>43909</v>
      </c>
      <c r="AK1186">
        <f>NETWORKDAYS(AJ1186,$AJ$1,FERIADO!$A$2:$A$408)</f>
        <v>1714</v>
      </c>
      <c r="AL1186">
        <v>8.57</v>
      </c>
      <c r="AM1186" s="6">
        <f t="shared" si="166"/>
        <v>57163.185238843165</v>
      </c>
      <c r="AN1186" s="2">
        <f t="shared" si="167"/>
        <v>-4.0280704901816229E-4</v>
      </c>
      <c r="AP1186" s="11">
        <f t="shared" si="168"/>
        <v>1.1518244678616612E-3</v>
      </c>
      <c r="AQ1186" s="11">
        <f t="shared" si="169"/>
        <v>-1.2084211470544868E-4</v>
      </c>
      <c r="AR1186" s="11">
        <f t="shared" si="170"/>
        <v>1.0309823531562126E-3</v>
      </c>
    </row>
    <row r="1187" spans="2:44" x14ac:dyDescent="0.35">
      <c r="B1187" s="1">
        <v>43908</v>
      </c>
      <c r="C1187">
        <v>2749.97</v>
      </c>
      <c r="D1187" s="1">
        <v>43916</v>
      </c>
      <c r="E1187">
        <v>5.0004</v>
      </c>
      <c r="F1187" s="1">
        <v>43901</v>
      </c>
      <c r="G1187">
        <v>137.14099999999999</v>
      </c>
      <c r="H1187" s="4">
        <f t="shared" si="162"/>
        <v>685759.85639999993</v>
      </c>
      <c r="I1187" s="5">
        <v>43908</v>
      </c>
      <c r="J1187" s="4">
        <v>6197.72</v>
      </c>
      <c r="K1187" s="4">
        <f t="shared" si="163"/>
        <v>61977.200000000004</v>
      </c>
      <c r="L1187" s="1">
        <v>43908</v>
      </c>
      <c r="M1187">
        <v>3.66</v>
      </c>
      <c r="P1187" s="1">
        <v>43903</v>
      </c>
      <c r="Q1187">
        <v>3.73</v>
      </c>
      <c r="R1187" s="1">
        <v>43315</v>
      </c>
      <c r="S1187">
        <v>5.69</v>
      </c>
      <c r="X1187" s="1">
        <v>43908</v>
      </c>
      <c r="Y1187">
        <f>NETWORKDAYS(X1187,$Z$1,FERIADO!$A$2:$A$408)</f>
        <v>2728</v>
      </c>
      <c r="Z1187">
        <v>9.3000000000000007</v>
      </c>
      <c r="AA1187" s="6">
        <f t="shared" si="164"/>
        <v>38187.517044942084</v>
      </c>
      <c r="AB1187" s="2">
        <f t="shared" si="165"/>
        <v>-4.8288497128534474E-2</v>
      </c>
      <c r="AJ1187" s="1">
        <v>43908</v>
      </c>
      <c r="AK1187">
        <f>NETWORKDAYS(AJ1187,$AJ$1,FERIADO!$A$2:$A$408)</f>
        <v>1715</v>
      </c>
      <c r="AL1187">
        <v>8.5500000000000007</v>
      </c>
      <c r="AM1187" s="6">
        <f t="shared" si="166"/>
        <v>57216.228545576152</v>
      </c>
      <c r="AN1187" s="2">
        <f t="shared" si="167"/>
        <v>-3.1907146429741053E-2</v>
      </c>
      <c r="AP1187" s="11">
        <f t="shared" si="168"/>
        <v>-2.4144248564267237E-2</v>
      </c>
      <c r="AQ1187" s="11">
        <f t="shared" si="169"/>
        <v>-9.5721439289223158E-3</v>
      </c>
      <c r="AR1187" s="11">
        <f t="shared" si="170"/>
        <v>-3.3716392493189556E-2</v>
      </c>
    </row>
    <row r="1188" spans="2:44" x14ac:dyDescent="0.35">
      <c r="B1188" s="1">
        <v>43907</v>
      </c>
      <c r="C1188">
        <v>2855.53</v>
      </c>
      <c r="D1188" s="1">
        <v>43915</v>
      </c>
      <c r="E1188">
        <v>5.07</v>
      </c>
      <c r="F1188" s="1">
        <v>43900</v>
      </c>
      <c r="G1188">
        <v>137.173</v>
      </c>
      <c r="H1188" s="4">
        <f t="shared" si="162"/>
        <v>695467.1100000001</v>
      </c>
      <c r="I1188" s="5">
        <v>43907</v>
      </c>
      <c r="J1188" s="4">
        <v>6080.03</v>
      </c>
      <c r="K1188" s="4">
        <f t="shared" si="163"/>
        <v>60800.299999999996</v>
      </c>
      <c r="L1188" s="1">
        <v>43907</v>
      </c>
      <c r="M1188">
        <v>3.38</v>
      </c>
      <c r="P1188" s="1">
        <v>43902</v>
      </c>
      <c r="Q1188">
        <v>4.6100000000000003</v>
      </c>
      <c r="R1188" s="1">
        <v>43313</v>
      </c>
      <c r="S1188">
        <v>5.72</v>
      </c>
      <c r="X1188" s="1">
        <v>43907</v>
      </c>
      <c r="Y1188">
        <f>NETWORKDAYS(X1188,$Z$1,FERIADO!$A$2:$A$408)</f>
        <v>2729</v>
      </c>
      <c r="Z1188">
        <v>8.18</v>
      </c>
      <c r="AA1188" s="6">
        <f t="shared" si="164"/>
        <v>42678.575813422947</v>
      </c>
      <c r="AB1188" s="2">
        <f t="shared" si="165"/>
        <v>1.4899257032127499E-2</v>
      </c>
      <c r="AJ1188" s="1">
        <v>43907</v>
      </c>
      <c r="AK1188">
        <f>NETWORKDAYS(AJ1188,$AJ$1,FERIADO!$A$2:$A$408)</f>
        <v>1716</v>
      </c>
      <c r="AL1188">
        <v>7.38</v>
      </c>
      <c r="AM1188" s="6">
        <f t="shared" si="166"/>
        <v>61578.112676466248</v>
      </c>
      <c r="AN1188" s="2">
        <f t="shared" si="167"/>
        <v>1.1674042144358306E-2</v>
      </c>
      <c r="AP1188" s="11">
        <f t="shared" si="168"/>
        <v>7.4496285160637497E-3</v>
      </c>
      <c r="AQ1188" s="11">
        <f t="shared" si="169"/>
        <v>3.5022126433074917E-3</v>
      </c>
      <c r="AR1188" s="11">
        <f t="shared" si="170"/>
        <v>1.0951841159371242E-2</v>
      </c>
    </row>
    <row r="1189" spans="2:44" x14ac:dyDescent="0.35">
      <c r="B1189" s="1">
        <v>43906</v>
      </c>
      <c r="C1189">
        <v>2760.71</v>
      </c>
      <c r="D1189" s="1">
        <v>43914</v>
      </c>
      <c r="E1189">
        <v>5.0707000000000004</v>
      </c>
      <c r="F1189" s="1">
        <v>43899</v>
      </c>
      <c r="G1189">
        <v>138.774</v>
      </c>
      <c r="H1189" s="4">
        <f t="shared" si="162"/>
        <v>703681.32180000003</v>
      </c>
      <c r="I1189" s="5">
        <v>43906</v>
      </c>
      <c r="J1189" s="4">
        <v>6061.83</v>
      </c>
      <c r="K1189" s="4">
        <f t="shared" si="163"/>
        <v>60618.3</v>
      </c>
      <c r="L1189" s="1">
        <v>43906</v>
      </c>
      <c r="M1189">
        <v>3.53</v>
      </c>
      <c r="P1189" s="1">
        <v>43901</v>
      </c>
      <c r="Q1189">
        <v>3.85</v>
      </c>
      <c r="R1189" s="1">
        <v>43300</v>
      </c>
      <c r="S1189">
        <v>5.85</v>
      </c>
      <c r="X1189" s="1">
        <v>43906</v>
      </c>
      <c r="Y1189">
        <f>NETWORKDAYS(X1189,$Z$1,FERIADO!$A$2:$A$408)</f>
        <v>2730</v>
      </c>
      <c r="Z1189">
        <v>8.52</v>
      </c>
      <c r="AA1189" s="6">
        <f t="shared" si="164"/>
        <v>41239.24080514961</v>
      </c>
      <c r="AB1189" s="2">
        <f t="shared" si="165"/>
        <v>-2.9281439330596171E-4</v>
      </c>
      <c r="AJ1189" s="1">
        <v>43906</v>
      </c>
      <c r="AK1189">
        <f>NETWORKDAYS(AJ1189,$AJ$1,FERIADO!$A$2:$A$408)</f>
        <v>1717</v>
      </c>
      <c r="AL1189">
        <v>7.8</v>
      </c>
      <c r="AM1189" s="6">
        <f t="shared" si="166"/>
        <v>59944.912668032033</v>
      </c>
      <c r="AN1189" s="2">
        <f t="shared" si="167"/>
        <v>2.8747205736285577E-3</v>
      </c>
      <c r="AP1189" s="11">
        <f t="shared" si="168"/>
        <v>-1.4640719665298086E-4</v>
      </c>
      <c r="AQ1189" s="11">
        <f t="shared" si="169"/>
        <v>8.6241617208856732E-4</v>
      </c>
      <c r="AR1189" s="11">
        <f t="shared" si="170"/>
        <v>7.1600897543558644E-4</v>
      </c>
    </row>
    <row r="1190" spans="2:44" x14ac:dyDescent="0.35">
      <c r="B1190" s="1">
        <v>43903</v>
      </c>
      <c r="C1190">
        <v>3015.86</v>
      </c>
      <c r="D1190" s="1">
        <v>43913</v>
      </c>
      <c r="E1190">
        <v>5.0797999999999996</v>
      </c>
      <c r="F1190" s="1">
        <v>43896</v>
      </c>
      <c r="G1190">
        <v>137.554</v>
      </c>
      <c r="H1190" s="4">
        <f t="shared" si="162"/>
        <v>698746.8091999999</v>
      </c>
      <c r="I1190" s="5">
        <v>43903</v>
      </c>
      <c r="J1190" s="4">
        <v>5866.48</v>
      </c>
      <c r="K1190" s="4">
        <f t="shared" si="163"/>
        <v>58664.799999999996</v>
      </c>
      <c r="L1190" s="1">
        <v>43903</v>
      </c>
      <c r="M1190">
        <v>3.36</v>
      </c>
      <c r="P1190" s="1">
        <v>43900</v>
      </c>
      <c r="Q1190">
        <v>3.24</v>
      </c>
      <c r="R1190" s="1">
        <v>43298</v>
      </c>
      <c r="S1190">
        <v>5.85</v>
      </c>
      <c r="X1190" s="1">
        <v>43903</v>
      </c>
      <c r="Y1190">
        <f>NETWORKDAYS(X1190,$Z$1,FERIADO!$A$2:$A$408)</f>
        <v>2731</v>
      </c>
      <c r="Z1190">
        <v>8.51</v>
      </c>
      <c r="AA1190" s="6">
        <f t="shared" si="164"/>
        <v>41267.054916331195</v>
      </c>
      <c r="AB1190" s="2">
        <f t="shared" si="165"/>
        <v>4.6341178072390063E-2</v>
      </c>
      <c r="AJ1190" s="1">
        <v>43903</v>
      </c>
      <c r="AK1190">
        <f>NETWORKDAYS(AJ1190,$AJ$1,FERIADO!$A$2:$A$408)</f>
        <v>1718</v>
      </c>
      <c r="AL1190">
        <v>7.9</v>
      </c>
      <c r="AM1190" s="6">
        <f t="shared" si="166"/>
        <v>59549.430332514916</v>
      </c>
      <c r="AN1190" s="2">
        <f t="shared" si="167"/>
        <v>2.691651943826515E-2</v>
      </c>
      <c r="AP1190" s="11">
        <f t="shared" si="168"/>
        <v>2.3170589036195031E-2</v>
      </c>
      <c r="AQ1190" s="11">
        <f t="shared" si="169"/>
        <v>8.0749558314795449E-3</v>
      </c>
      <c r="AR1190" s="11">
        <f t="shared" si="170"/>
        <v>3.1245544867674578E-2</v>
      </c>
    </row>
    <row r="1191" spans="2:44" x14ac:dyDescent="0.35">
      <c r="B1191" s="1">
        <v>43902</v>
      </c>
      <c r="C1191">
        <v>2807.76</v>
      </c>
      <c r="D1191" s="1">
        <v>43910</v>
      </c>
      <c r="E1191">
        <v>5.0240999999999998</v>
      </c>
      <c r="F1191" s="1">
        <v>43895</v>
      </c>
      <c r="G1191">
        <v>136.52600000000001</v>
      </c>
      <c r="H1191" s="4">
        <f t="shared" si="162"/>
        <v>685920.2766000001</v>
      </c>
      <c r="I1191" s="5">
        <v>43902</v>
      </c>
      <c r="J1191" s="4">
        <v>5825.23</v>
      </c>
      <c r="K1191" s="4">
        <f t="shared" si="163"/>
        <v>58252.299999999996</v>
      </c>
      <c r="L1191" s="1">
        <v>43902</v>
      </c>
      <c r="M1191">
        <v>4.29</v>
      </c>
      <c r="P1191" s="1">
        <v>43899</v>
      </c>
      <c r="Q1191">
        <v>3.31</v>
      </c>
      <c r="R1191" s="1">
        <v>43272</v>
      </c>
      <c r="S1191">
        <v>5.9</v>
      </c>
      <c r="X1191" s="1">
        <v>43902</v>
      </c>
      <c r="Y1191">
        <f>NETWORKDAYS(X1191,$Z$1,FERIADO!$A$2:$A$408)</f>
        <v>2732</v>
      </c>
      <c r="Z1191">
        <v>9.58</v>
      </c>
      <c r="AA1191" s="6">
        <f t="shared" si="164"/>
        <v>37090.466688866276</v>
      </c>
      <c r="AB1191" s="2">
        <f t="shared" si="165"/>
        <v>-5.3879309215354526E-2</v>
      </c>
      <c r="AJ1191" s="1">
        <v>43902</v>
      </c>
      <c r="AK1191">
        <f>NETWORKDAYS(AJ1191,$AJ$1,FERIADO!$A$2:$A$408)</f>
        <v>1719</v>
      </c>
      <c r="AL1191">
        <v>8.8800000000000008</v>
      </c>
      <c r="AM1191" s="6">
        <f t="shared" si="166"/>
        <v>55970.745538452895</v>
      </c>
      <c r="AN1191" s="2">
        <f t="shared" si="167"/>
        <v>-3.4907532442247056E-2</v>
      </c>
      <c r="AP1191" s="11">
        <f t="shared" si="168"/>
        <v>-2.6939654607677263E-2</v>
      </c>
      <c r="AQ1191" s="11">
        <f t="shared" si="169"/>
        <v>-1.0472259732674117E-2</v>
      </c>
      <c r="AR1191" s="11">
        <f t="shared" si="170"/>
        <v>-3.7411914340351377E-2</v>
      </c>
    </row>
    <row r="1192" spans="2:44" x14ac:dyDescent="0.35">
      <c r="B1192" s="1">
        <v>43901</v>
      </c>
      <c r="C1192">
        <v>3130.49</v>
      </c>
      <c r="D1192" s="1">
        <v>43909</v>
      </c>
      <c r="E1192">
        <v>5.1436999999999999</v>
      </c>
      <c r="F1192" s="1">
        <v>43894</v>
      </c>
      <c r="G1192">
        <v>135.61500000000001</v>
      </c>
      <c r="H1192" s="4">
        <f t="shared" si="162"/>
        <v>697562.87549999997</v>
      </c>
      <c r="I1192" s="5">
        <v>43901</v>
      </c>
      <c r="J1192" s="4">
        <v>5862.24</v>
      </c>
      <c r="K1192" s="4">
        <f t="shared" si="163"/>
        <v>58622.399999999994</v>
      </c>
      <c r="L1192" s="1">
        <v>43901</v>
      </c>
      <c r="M1192">
        <v>3.47</v>
      </c>
      <c r="P1192" s="1">
        <v>43896</v>
      </c>
      <c r="Q1192">
        <v>2.99</v>
      </c>
      <c r="R1192" s="1">
        <v>43202</v>
      </c>
      <c r="S1192">
        <v>5.15</v>
      </c>
      <c r="X1192" s="1">
        <v>43901</v>
      </c>
      <c r="Y1192">
        <f>NETWORKDAYS(X1192,$Z$1,FERIADO!$A$2:$A$408)</f>
        <v>2733</v>
      </c>
      <c r="Z1192">
        <v>8.33</v>
      </c>
      <c r="AA1192" s="6">
        <f t="shared" si="164"/>
        <v>41989.587389500579</v>
      </c>
      <c r="AB1192" s="2">
        <f t="shared" si="165"/>
        <v>-2.8656228304443105E-2</v>
      </c>
      <c r="AJ1192" s="1">
        <v>43901</v>
      </c>
      <c r="AK1192">
        <f>NETWORKDAYS(AJ1192,$AJ$1,FERIADO!$A$2:$A$408)</f>
        <v>1720</v>
      </c>
      <c r="AL1192">
        <v>7.6</v>
      </c>
      <c r="AM1192" s="6">
        <f t="shared" si="166"/>
        <v>60655.281727901282</v>
      </c>
      <c r="AN1192" s="2">
        <f t="shared" si="167"/>
        <v>-2.0897223523933084E-2</v>
      </c>
      <c r="AP1192" s="11">
        <f t="shared" si="168"/>
        <v>-1.4328114152221553E-2</v>
      </c>
      <c r="AQ1192" s="11">
        <f t="shared" si="169"/>
        <v>-6.2691670571799248E-3</v>
      </c>
      <c r="AR1192" s="11">
        <f t="shared" si="170"/>
        <v>-2.0597281209401477E-2</v>
      </c>
    </row>
    <row r="1193" spans="2:44" x14ac:dyDescent="0.35">
      <c r="B1193" s="1">
        <v>43900</v>
      </c>
      <c r="C1193">
        <v>3292.34</v>
      </c>
      <c r="D1193" s="1">
        <v>43908</v>
      </c>
      <c r="E1193">
        <v>5.1101000000000001</v>
      </c>
      <c r="F1193" s="1">
        <v>43893</v>
      </c>
      <c r="G1193">
        <v>135.851</v>
      </c>
      <c r="H1193" s="4">
        <f t="shared" si="162"/>
        <v>694212.19510000001</v>
      </c>
      <c r="I1193" s="5">
        <v>43900</v>
      </c>
      <c r="J1193" s="4">
        <v>5646.26</v>
      </c>
      <c r="K1193" s="4">
        <f t="shared" si="163"/>
        <v>56462.600000000006</v>
      </c>
      <c r="L1193" s="1">
        <v>43900</v>
      </c>
      <c r="M1193">
        <v>2.9</v>
      </c>
      <c r="P1193" s="1">
        <v>43895</v>
      </c>
      <c r="Q1193">
        <v>2.98</v>
      </c>
      <c r="R1193" s="1">
        <v>43194</v>
      </c>
      <c r="S1193">
        <v>5.13</v>
      </c>
      <c r="X1193" s="1">
        <v>43900</v>
      </c>
      <c r="Y1193">
        <f>NETWORKDAYS(X1193,$Z$1,FERIADO!$A$2:$A$408)</f>
        <v>2734</v>
      </c>
      <c r="Z1193">
        <v>7.67</v>
      </c>
      <c r="AA1193" s="6">
        <f t="shared" si="164"/>
        <v>44853.654699979634</v>
      </c>
      <c r="AB1193" s="2">
        <f t="shared" si="165"/>
        <v>-3.104307529363213E-4</v>
      </c>
      <c r="AJ1193" s="1">
        <v>43900</v>
      </c>
      <c r="AK1193">
        <f>NETWORKDAYS(AJ1193,$AJ$1,FERIADO!$A$2:$A$408)</f>
        <v>1721</v>
      </c>
      <c r="AL1193">
        <v>6.84</v>
      </c>
      <c r="AM1193" s="6">
        <f t="shared" si="166"/>
        <v>63645.228169044982</v>
      </c>
      <c r="AN1193" s="2">
        <f t="shared" si="167"/>
        <v>3.1679053118640272E-3</v>
      </c>
      <c r="AP1193" s="11">
        <f t="shared" si="168"/>
        <v>-1.5521537646816065E-4</v>
      </c>
      <c r="AQ1193" s="11">
        <f t="shared" si="169"/>
        <v>9.5037159355920806E-4</v>
      </c>
      <c r="AR1193" s="11">
        <f t="shared" si="170"/>
        <v>7.9515621709104738E-4</v>
      </c>
    </row>
    <row r="1194" spans="2:44" x14ac:dyDescent="0.35">
      <c r="B1194" s="1">
        <v>43899</v>
      </c>
      <c r="C1194">
        <v>3133.5</v>
      </c>
      <c r="D1194" s="1">
        <v>43907</v>
      </c>
      <c r="E1194">
        <v>5.0488999999999997</v>
      </c>
      <c r="F1194" s="1">
        <v>43892</v>
      </c>
      <c r="G1194">
        <v>134.44999999999999</v>
      </c>
      <c r="H1194" s="4">
        <f t="shared" si="162"/>
        <v>678824.60499999986</v>
      </c>
      <c r="I1194" s="5">
        <v>43899</v>
      </c>
      <c r="J1194" s="4">
        <v>5742.72</v>
      </c>
      <c r="K1194" s="4">
        <f t="shared" si="163"/>
        <v>57427.200000000004</v>
      </c>
      <c r="L1194" s="1">
        <v>43899</v>
      </c>
      <c r="M1194">
        <v>2.95</v>
      </c>
      <c r="P1194" s="1">
        <v>43894</v>
      </c>
      <c r="Q1194">
        <v>2.8</v>
      </c>
      <c r="R1194" s="1">
        <v>43182</v>
      </c>
      <c r="S1194">
        <v>4.96</v>
      </c>
      <c r="X1194" s="1">
        <v>43899</v>
      </c>
      <c r="Y1194">
        <f>NETWORKDAYS(X1194,$Z$1,FERIADO!$A$2:$A$408)</f>
        <v>2735</v>
      </c>
      <c r="Z1194">
        <v>7.66</v>
      </c>
      <c r="AA1194" s="6">
        <f t="shared" si="164"/>
        <v>44885.727249691154</v>
      </c>
      <c r="AB1194" s="2">
        <f t="shared" si="165"/>
        <v>-2.1382371854944088E-2</v>
      </c>
      <c r="AJ1194" s="1">
        <v>43899</v>
      </c>
      <c r="AK1194">
        <f>NETWORKDAYS(AJ1194,$AJ$1,FERIADO!$A$2:$A$408)</f>
        <v>1722</v>
      </c>
      <c r="AL1194">
        <v>6.95</v>
      </c>
      <c r="AM1194" s="6">
        <f t="shared" si="166"/>
        <v>63182.665331176991</v>
      </c>
      <c r="AN1194" s="2">
        <f t="shared" si="167"/>
        <v>-1.1010782421687274E-2</v>
      </c>
      <c r="AP1194" s="11">
        <f t="shared" si="168"/>
        <v>-1.0691185927472044E-2</v>
      </c>
      <c r="AQ1194" s="11">
        <f t="shared" si="169"/>
        <v>-3.303234726506182E-3</v>
      </c>
      <c r="AR1194" s="11">
        <f t="shared" si="170"/>
        <v>-1.3994420653978226E-2</v>
      </c>
    </row>
    <row r="1195" spans="2:44" x14ac:dyDescent="0.35">
      <c r="B1195" s="1">
        <v>43896</v>
      </c>
      <c r="C1195">
        <v>3385.01</v>
      </c>
      <c r="D1195" s="1">
        <v>43906</v>
      </c>
      <c r="E1195">
        <v>4.9463999999999997</v>
      </c>
      <c r="F1195" s="1">
        <v>43889</v>
      </c>
      <c r="G1195">
        <v>134.74299999999999</v>
      </c>
      <c r="H1195" s="4">
        <f t="shared" si="162"/>
        <v>666492.77520000003</v>
      </c>
      <c r="I1195" s="5">
        <v>43896</v>
      </c>
      <c r="J1195" s="4">
        <v>5623.82</v>
      </c>
      <c r="K1195" s="4">
        <f t="shared" si="163"/>
        <v>56238.2</v>
      </c>
      <c r="L1195" s="1">
        <v>43896</v>
      </c>
      <c r="M1195">
        <v>2.59</v>
      </c>
      <c r="P1195" s="1">
        <v>43893</v>
      </c>
      <c r="Q1195">
        <v>2.87</v>
      </c>
      <c r="R1195" s="1">
        <v>43154</v>
      </c>
      <c r="S1195">
        <v>5.0199999999999996</v>
      </c>
      <c r="X1195" s="1">
        <v>43896</v>
      </c>
      <c r="Y1195">
        <f>NETWORKDAYS(X1195,$Z$1,FERIADO!$A$2:$A$408)</f>
        <v>2736</v>
      </c>
      <c r="Z1195">
        <v>7.17</v>
      </c>
      <c r="AA1195" s="6">
        <f t="shared" si="164"/>
        <v>47150.970696219185</v>
      </c>
      <c r="AB1195" s="2">
        <f t="shared" si="165"/>
        <v>5.5945210806856592E-4</v>
      </c>
      <c r="AJ1195" s="1">
        <v>43896</v>
      </c>
      <c r="AK1195">
        <f>NETWORKDAYS(AJ1195,$AJ$1,FERIADO!$A$2:$A$408)</f>
        <v>1723</v>
      </c>
      <c r="AL1195">
        <v>6.55</v>
      </c>
      <c r="AM1195" s="6">
        <f t="shared" si="166"/>
        <v>64805.031325896998</v>
      </c>
      <c r="AN1195" s="2">
        <f t="shared" si="167"/>
        <v>-1.6952201103432915E-4</v>
      </c>
      <c r="AP1195" s="11">
        <f t="shared" si="168"/>
        <v>2.7972605403428296E-4</v>
      </c>
      <c r="AQ1195" s="11">
        <f t="shared" si="169"/>
        <v>-5.0856603310298742E-5</v>
      </c>
      <c r="AR1195" s="11">
        <f t="shared" si="170"/>
        <v>2.2886945072398421E-4</v>
      </c>
    </row>
    <row r="1196" spans="2:44" x14ac:dyDescent="0.35">
      <c r="B1196" s="1">
        <v>43895</v>
      </c>
      <c r="C1196">
        <v>3440.77</v>
      </c>
      <c r="D1196" s="1">
        <v>43903</v>
      </c>
      <c r="E1196">
        <v>4.7355</v>
      </c>
      <c r="F1196" s="1">
        <v>43888</v>
      </c>
      <c r="G1196">
        <v>133.47399999999999</v>
      </c>
      <c r="H1196" s="4">
        <f t="shared" si="162"/>
        <v>632066.12699999998</v>
      </c>
      <c r="I1196" s="5">
        <v>43895</v>
      </c>
      <c r="J1196" s="4">
        <v>5601.98</v>
      </c>
      <c r="K1196" s="4">
        <f t="shared" si="163"/>
        <v>56019.799999999996</v>
      </c>
      <c r="L1196" s="1">
        <v>43895</v>
      </c>
      <c r="M1196">
        <v>2.58</v>
      </c>
      <c r="P1196" s="1">
        <v>43892</v>
      </c>
      <c r="Q1196">
        <v>2.9</v>
      </c>
      <c r="R1196" s="1">
        <v>43153</v>
      </c>
      <c r="S1196">
        <v>5.03</v>
      </c>
      <c r="X1196" s="1">
        <v>43895</v>
      </c>
      <c r="Y1196">
        <f>NETWORKDAYS(X1196,$Z$1,FERIADO!$A$2:$A$408)</f>
        <v>2737</v>
      </c>
      <c r="Z1196">
        <v>7.18</v>
      </c>
      <c r="AA1196" s="6">
        <f t="shared" si="164"/>
        <v>47090.270576826384</v>
      </c>
      <c r="AB1196" s="2">
        <f t="shared" si="165"/>
        <v>-8.2527529101916065E-3</v>
      </c>
      <c r="AJ1196" s="1">
        <v>43895</v>
      </c>
      <c r="AK1196">
        <f>NETWORKDAYS(AJ1196,$AJ$1,FERIADO!$A$2:$A$408)</f>
        <v>1724</v>
      </c>
      <c r="AL1196">
        <v>6.54</v>
      </c>
      <c r="AM1196" s="6">
        <f t="shared" si="166"/>
        <v>64830.332185291118</v>
      </c>
      <c r="AN1196" s="2">
        <f t="shared" si="167"/>
        <v>-4.9177176351646824E-3</v>
      </c>
      <c r="AP1196" s="11">
        <f t="shared" si="168"/>
        <v>-4.1263764550958032E-3</v>
      </c>
      <c r="AQ1196" s="11">
        <f t="shared" si="169"/>
        <v>-1.4753152905494047E-3</v>
      </c>
      <c r="AR1196" s="11">
        <f t="shared" si="170"/>
        <v>-5.6016917456452077E-3</v>
      </c>
    </row>
    <row r="1197" spans="2:44" x14ac:dyDescent="0.35">
      <c r="B1197" s="1">
        <v>43894</v>
      </c>
      <c r="C1197">
        <v>3564.31</v>
      </c>
      <c r="D1197" s="1">
        <v>43902</v>
      </c>
      <c r="E1197">
        <v>4.8825000000000003</v>
      </c>
      <c r="F1197" s="1">
        <v>43887</v>
      </c>
      <c r="G1197">
        <v>133.08799999999999</v>
      </c>
      <c r="H1197" s="4">
        <f t="shared" si="162"/>
        <v>649802.15999999992</v>
      </c>
      <c r="I1197" s="5">
        <v>43894</v>
      </c>
      <c r="J1197" s="4">
        <v>5575.89</v>
      </c>
      <c r="K1197" s="4">
        <f t="shared" si="163"/>
        <v>55758.9</v>
      </c>
      <c r="L1197" s="1">
        <v>43894</v>
      </c>
      <c r="M1197">
        <v>2.44</v>
      </c>
      <c r="P1197" s="1">
        <v>43889</v>
      </c>
      <c r="Q1197">
        <v>3</v>
      </c>
      <c r="R1197" s="1">
        <v>43139</v>
      </c>
      <c r="S1197">
        <v>5.0599999999999996</v>
      </c>
      <c r="X1197" s="1">
        <v>43894</v>
      </c>
      <c r="Y1197">
        <f>NETWORKDAYS(X1197,$Z$1,FERIADO!$A$2:$A$408)</f>
        <v>2738</v>
      </c>
      <c r="Z1197">
        <v>6.99</v>
      </c>
      <c r="AA1197" s="6">
        <f t="shared" si="164"/>
        <v>47993.667542982141</v>
      </c>
      <c r="AB1197" s="2">
        <f t="shared" si="165"/>
        <v>5.5761766855277287E-4</v>
      </c>
      <c r="AJ1197" s="1">
        <v>43894</v>
      </c>
      <c r="AK1197">
        <f>NETWORKDAYS(AJ1197,$AJ$1,FERIADO!$A$2:$A$408)</f>
        <v>1725</v>
      </c>
      <c r="AL1197">
        <v>6.36</v>
      </c>
      <c r="AM1197" s="6">
        <f t="shared" si="166"/>
        <v>65568.608105341278</v>
      </c>
      <c r="AN1197" s="2">
        <f t="shared" si="167"/>
        <v>6.6555107803477863E-4</v>
      </c>
      <c r="AP1197" s="11">
        <f t="shared" si="168"/>
        <v>2.7880883427638644E-4</v>
      </c>
      <c r="AQ1197" s="11">
        <f t="shared" si="169"/>
        <v>1.9966532341043357E-4</v>
      </c>
      <c r="AR1197" s="11">
        <f t="shared" si="170"/>
        <v>4.7847415768681998E-4</v>
      </c>
    </row>
    <row r="1198" spans="2:44" x14ac:dyDescent="0.35">
      <c r="B1198" s="1">
        <v>43893</v>
      </c>
      <c r="C1198">
        <v>3425.58</v>
      </c>
      <c r="D1198" s="1">
        <v>43901</v>
      </c>
      <c r="E1198">
        <v>4.6731999999999996</v>
      </c>
      <c r="F1198" s="1">
        <v>43882</v>
      </c>
      <c r="G1198">
        <v>131.98699999999999</v>
      </c>
      <c r="H1198" s="4">
        <f t="shared" si="162"/>
        <v>616801.64839999995</v>
      </c>
      <c r="I1198" s="5">
        <v>43893</v>
      </c>
      <c r="J1198" s="4">
        <v>5489.74</v>
      </c>
      <c r="K1198" s="4">
        <f t="shared" si="163"/>
        <v>54897.399999999994</v>
      </c>
      <c r="L1198" s="1">
        <v>43893</v>
      </c>
      <c r="M1198">
        <v>2.5099999999999998</v>
      </c>
      <c r="P1198" s="1">
        <v>43888</v>
      </c>
      <c r="Q1198">
        <v>3.04</v>
      </c>
      <c r="R1198" s="1">
        <v>43090</v>
      </c>
      <c r="S1198">
        <v>5.35</v>
      </c>
      <c r="X1198" s="1">
        <v>43893</v>
      </c>
      <c r="Y1198">
        <f>NETWORKDAYS(X1198,$Z$1,FERIADO!$A$2:$A$408)</f>
        <v>2739</v>
      </c>
      <c r="Z1198">
        <v>7</v>
      </c>
      <c r="AA1198" s="6">
        <f t="shared" si="164"/>
        <v>47932.085034584125</v>
      </c>
      <c r="AB1198" s="2">
        <f t="shared" si="165"/>
        <v>-3.2473522792491797E-4</v>
      </c>
      <c r="AJ1198" s="1">
        <v>43893</v>
      </c>
      <c r="AK1198">
        <f>NETWORKDAYS(AJ1198,$AJ$1,FERIADO!$A$2:$A$408)</f>
        <v>1726</v>
      </c>
      <c r="AL1198">
        <v>6.38</v>
      </c>
      <c r="AM1198" s="6">
        <f t="shared" si="166"/>
        <v>65468.201956098674</v>
      </c>
      <c r="AN1198" s="2">
        <f t="shared" si="167"/>
        <v>9.4580786725828657E-4</v>
      </c>
      <c r="AP1198" s="11">
        <f t="shared" si="168"/>
        <v>-1.6236761396245898E-4</v>
      </c>
      <c r="AQ1198" s="11">
        <f t="shared" si="169"/>
        <v>2.8374236017748595E-4</v>
      </c>
      <c r="AR1198" s="11">
        <f t="shared" si="170"/>
        <v>1.2137474621502697E-4</v>
      </c>
    </row>
    <row r="1199" spans="2:44" x14ac:dyDescent="0.35">
      <c r="B1199" s="1">
        <v>43892</v>
      </c>
      <c r="C1199">
        <v>3520.74</v>
      </c>
      <c r="D1199" s="1">
        <v>43900</v>
      </c>
      <c r="E1199">
        <v>4.6687000000000003</v>
      </c>
      <c r="F1199" s="1">
        <v>43881</v>
      </c>
      <c r="G1199">
        <v>131.43700000000001</v>
      </c>
      <c r="H1199" s="4">
        <f t="shared" si="162"/>
        <v>613639.92190000007</v>
      </c>
      <c r="I1199" s="5">
        <v>43892</v>
      </c>
      <c r="J1199" s="4">
        <v>5438.78</v>
      </c>
      <c r="K1199" s="4">
        <f t="shared" si="163"/>
        <v>54387.799999999996</v>
      </c>
      <c r="L1199" s="1">
        <v>43892</v>
      </c>
      <c r="M1199">
        <v>2.5499999999999998</v>
      </c>
      <c r="P1199" s="1">
        <v>43887</v>
      </c>
      <c r="Q1199">
        <v>3.03</v>
      </c>
      <c r="R1199" s="1">
        <v>43067</v>
      </c>
      <c r="S1199">
        <v>5.28</v>
      </c>
      <c r="X1199" s="1">
        <v>43892</v>
      </c>
      <c r="Y1199">
        <f>NETWORKDAYS(X1199,$Z$1,FERIADO!$A$2:$A$408)</f>
        <v>2740</v>
      </c>
      <c r="Z1199">
        <v>6.99</v>
      </c>
      <c r="AA1199" s="6">
        <f t="shared" si="164"/>
        <v>47967.938719029058</v>
      </c>
      <c r="AB1199" s="2">
        <f t="shared" si="165"/>
        <v>7.6163112210052685E-3</v>
      </c>
      <c r="AJ1199" s="1">
        <v>43892</v>
      </c>
      <c r="AK1199">
        <f>NETWORKDAYS(AJ1199,$AJ$1,FERIADO!$A$2:$A$408)</f>
        <v>1727</v>
      </c>
      <c r="AL1199">
        <v>6.41</v>
      </c>
      <c r="AM1199" s="6">
        <f t="shared" si="166"/>
        <v>65325.780242704379</v>
      </c>
      <c r="AN1199" s="2">
        <f t="shared" si="167"/>
        <v>6.2576972942551606E-3</v>
      </c>
      <c r="AP1199" s="11">
        <f t="shared" si="168"/>
        <v>3.8081556105026343E-3</v>
      </c>
      <c r="AQ1199" s="11">
        <f t="shared" si="169"/>
        <v>1.8773091882765482E-3</v>
      </c>
      <c r="AR1199" s="11">
        <f t="shared" si="170"/>
        <v>5.6854647987791829E-3</v>
      </c>
    </row>
    <row r="1200" spans="2:44" x14ac:dyDescent="0.35">
      <c r="B1200" s="1">
        <v>43889</v>
      </c>
      <c r="C1200">
        <v>3382.61</v>
      </c>
      <c r="D1200" s="1">
        <v>43899</v>
      </c>
      <c r="E1200">
        <v>4.7373000000000003</v>
      </c>
      <c r="F1200" s="1">
        <v>43880</v>
      </c>
      <c r="G1200">
        <v>131.15199999999999</v>
      </c>
      <c r="H1200" s="4">
        <f t="shared" si="162"/>
        <v>621306.36959999998</v>
      </c>
      <c r="I1200" s="5">
        <v>43889</v>
      </c>
      <c r="J1200" s="4">
        <v>5456.38</v>
      </c>
      <c r="K1200" s="4">
        <f t="shared" si="163"/>
        <v>54563.8</v>
      </c>
      <c r="L1200" s="1">
        <v>43889</v>
      </c>
      <c r="M1200">
        <v>2.64</v>
      </c>
      <c r="P1200" s="1">
        <v>43882</v>
      </c>
      <c r="Q1200">
        <v>2.94</v>
      </c>
      <c r="R1200" s="1">
        <v>43007</v>
      </c>
      <c r="S1200">
        <v>5.01</v>
      </c>
      <c r="X1200" s="1">
        <v>43889</v>
      </c>
      <c r="Y1200">
        <f>NETWORKDAYS(X1200,$Z$1,FERIADO!$A$2:$A$408)</f>
        <v>2741</v>
      </c>
      <c r="Z1200">
        <v>7.16</v>
      </c>
      <c r="AA1200" s="6">
        <f t="shared" si="164"/>
        <v>47134.048582631527</v>
      </c>
      <c r="AB1200" s="2">
        <f t="shared" si="165"/>
        <v>-2.0862352389675082E-3</v>
      </c>
      <c r="AJ1200" s="1">
        <v>43889</v>
      </c>
      <c r="AK1200">
        <f>NETWORKDAYS(AJ1200,$AJ$1,FERIADO!$A$2:$A$408)</f>
        <v>1728</v>
      </c>
      <c r="AL1200">
        <v>6.63</v>
      </c>
      <c r="AM1200" s="6">
        <f t="shared" si="166"/>
        <v>64391.257761012494</v>
      </c>
      <c r="AN1200" s="2">
        <f t="shared" si="167"/>
        <v>-1.5665209550826691E-3</v>
      </c>
      <c r="AP1200" s="11">
        <f t="shared" si="168"/>
        <v>-1.0431176194837541E-3</v>
      </c>
      <c r="AQ1200" s="11">
        <f t="shared" si="169"/>
        <v>-4.6995628652480068E-4</v>
      </c>
      <c r="AR1200" s="11">
        <f t="shared" si="170"/>
        <v>-1.5130739060085548E-3</v>
      </c>
    </row>
    <row r="1201" spans="2:44" x14ac:dyDescent="0.35">
      <c r="B1201" s="1">
        <v>43888</v>
      </c>
      <c r="C1201">
        <v>3432.48</v>
      </c>
      <c r="D1201" s="1">
        <v>43896</v>
      </c>
      <c r="E1201">
        <v>4.6452999999999998</v>
      </c>
      <c r="F1201" s="1">
        <v>43879</v>
      </c>
      <c r="G1201">
        <v>131.255</v>
      </c>
      <c r="H1201" s="4">
        <f t="shared" si="162"/>
        <v>609718.85149999987</v>
      </c>
      <c r="I1201" s="5">
        <v>43888</v>
      </c>
      <c r="J1201" s="4">
        <v>5455.16</v>
      </c>
      <c r="K1201" s="4">
        <f t="shared" si="163"/>
        <v>54551.6</v>
      </c>
      <c r="L1201" s="1">
        <v>43888</v>
      </c>
      <c r="M1201">
        <v>2.69</v>
      </c>
      <c r="P1201" s="1">
        <v>43881</v>
      </c>
      <c r="Q1201">
        <v>2.91</v>
      </c>
      <c r="R1201" s="1">
        <v>42998</v>
      </c>
      <c r="S1201">
        <v>5</v>
      </c>
      <c r="X1201" s="1">
        <v>43888</v>
      </c>
      <c r="Y1201">
        <f>NETWORKDAYS(X1201,$Z$1,FERIADO!$A$2:$A$408)</f>
        <v>2742</v>
      </c>
      <c r="Z1201">
        <v>7.11</v>
      </c>
      <c r="AA1201" s="6">
        <f t="shared" si="164"/>
        <v>47361.012723236934</v>
      </c>
      <c r="AB1201" s="2">
        <f t="shared" si="165"/>
        <v>1.0009834325758959E-3</v>
      </c>
      <c r="AJ1201" s="1">
        <v>43888</v>
      </c>
      <c r="AK1201">
        <f>NETWORKDAYS(AJ1201,$AJ$1,FERIADO!$A$2:$A$408)</f>
        <v>1729</v>
      </c>
      <c r="AL1201">
        <v>6.57</v>
      </c>
      <c r="AM1201" s="6">
        <f t="shared" si="166"/>
        <v>64623.939500393353</v>
      </c>
      <c r="AN1201" s="2">
        <f t="shared" si="167"/>
        <v>1.7877861075208542E-3</v>
      </c>
      <c r="AP1201" s="11">
        <f t="shared" si="168"/>
        <v>5.0049171628794794E-4</v>
      </c>
      <c r="AQ1201" s="11">
        <f t="shared" si="169"/>
        <v>5.3633583225625619E-4</v>
      </c>
      <c r="AR1201" s="11">
        <f t="shared" si="170"/>
        <v>1.0368275485442041E-3</v>
      </c>
    </row>
    <row r="1202" spans="2:44" x14ac:dyDescent="0.35">
      <c r="B1202" s="1">
        <v>43887</v>
      </c>
      <c r="C1202">
        <v>3569.71</v>
      </c>
      <c r="D1202" s="1">
        <v>43895</v>
      </c>
      <c r="E1202">
        <v>4.6200999999999999</v>
      </c>
      <c r="F1202" s="1">
        <v>43878</v>
      </c>
      <c r="G1202">
        <v>130.99199999999999</v>
      </c>
      <c r="H1202" s="4">
        <f t="shared" si="162"/>
        <v>605196.13919999998</v>
      </c>
      <c r="I1202" s="5">
        <v>43887</v>
      </c>
      <c r="J1202" s="4">
        <v>5412.01</v>
      </c>
      <c r="K1202" s="4">
        <f t="shared" si="163"/>
        <v>54120.100000000006</v>
      </c>
      <c r="L1202" s="1">
        <v>43887</v>
      </c>
      <c r="M1202">
        <v>2.72</v>
      </c>
      <c r="P1202" s="1">
        <v>43880</v>
      </c>
      <c r="Q1202">
        <v>2.87</v>
      </c>
      <c r="R1202" s="1">
        <v>42950</v>
      </c>
      <c r="S1202">
        <v>5.16</v>
      </c>
      <c r="X1202" s="1">
        <v>43887</v>
      </c>
      <c r="Y1202">
        <f>NETWORKDAYS(X1202,$Z$1,FERIADO!$A$2:$A$408)</f>
        <v>2743</v>
      </c>
      <c r="Z1202">
        <v>7.13</v>
      </c>
      <c r="AA1202" s="6">
        <f t="shared" si="164"/>
        <v>47251.978417415914</v>
      </c>
      <c r="AB1202" s="2">
        <f t="shared" si="165"/>
        <v>-6.2747573881967679E-3</v>
      </c>
      <c r="AJ1202" s="1">
        <v>43887</v>
      </c>
      <c r="AK1202">
        <f>NETWORKDAYS(AJ1202,$AJ$1,FERIADO!$A$2:$A$408)</f>
        <v>1730</v>
      </c>
      <c r="AL1202">
        <v>6.63</v>
      </c>
      <c r="AM1202" s="6">
        <f t="shared" si="166"/>
        <v>64358.459940081819</v>
      </c>
      <c r="AN1202" s="2">
        <f t="shared" si="167"/>
        <v>-4.152962817125282E-3</v>
      </c>
      <c r="AP1202" s="11">
        <f t="shared" si="168"/>
        <v>-3.1373786940983839E-3</v>
      </c>
      <c r="AQ1202" s="11">
        <f t="shared" si="169"/>
        <v>-1.2458888451375846E-3</v>
      </c>
      <c r="AR1202" s="11">
        <f t="shared" si="170"/>
        <v>-4.3832675392359681E-3</v>
      </c>
    </row>
    <row r="1203" spans="2:44" x14ac:dyDescent="0.35">
      <c r="B1203" s="1">
        <v>43882</v>
      </c>
      <c r="C1203">
        <v>3810.23</v>
      </c>
      <c r="D1203" s="1">
        <v>43894</v>
      </c>
      <c r="E1203">
        <v>4.5251999999999999</v>
      </c>
      <c r="F1203" s="1">
        <v>43875</v>
      </c>
      <c r="G1203">
        <v>131.08600000000001</v>
      </c>
      <c r="H1203" s="4">
        <f t="shared" si="162"/>
        <v>593190.3672000001</v>
      </c>
      <c r="I1203" s="5">
        <v>43882</v>
      </c>
      <c r="J1203" s="4">
        <v>5337.85</v>
      </c>
      <c r="K1203" s="4">
        <f t="shared" si="163"/>
        <v>53378.5</v>
      </c>
      <c r="L1203" s="1">
        <v>43882</v>
      </c>
      <c r="M1203">
        <v>2.63</v>
      </c>
      <c r="P1203" s="1">
        <v>43879</v>
      </c>
      <c r="Q1203">
        <v>2.91</v>
      </c>
      <c r="R1203" s="1">
        <v>42907</v>
      </c>
      <c r="S1203">
        <v>5.55</v>
      </c>
      <c r="X1203" s="1">
        <v>43882</v>
      </c>
      <c r="Y1203">
        <f>NETWORKDAYS(X1203,$Z$1,FERIADO!$A$2:$A$408)</f>
        <v>2746</v>
      </c>
      <c r="Z1203">
        <v>6.98</v>
      </c>
      <c r="AA1203" s="6">
        <f t="shared" si="164"/>
        <v>47939.638445036726</v>
      </c>
      <c r="AB1203" s="2">
        <f t="shared" si="165"/>
        <v>-3.4252607321272684E-3</v>
      </c>
      <c r="AJ1203" s="1">
        <v>43882</v>
      </c>
      <c r="AK1203">
        <f>NETWORKDAYS(AJ1203,$AJ$1,FERIADO!$A$2:$A$408)</f>
        <v>1733</v>
      </c>
      <c r="AL1203">
        <v>6.47</v>
      </c>
      <c r="AM1203" s="6">
        <f t="shared" si="166"/>
        <v>64976.842895704445</v>
      </c>
      <c r="AN1203" s="2">
        <f t="shared" si="167"/>
        <v>-1.5764873186900556E-3</v>
      </c>
      <c r="AP1203" s="11">
        <f t="shared" si="168"/>
        <v>-1.7126303660636342E-3</v>
      </c>
      <c r="AQ1203" s="11">
        <f t="shared" si="169"/>
        <v>-4.7294619560701666E-4</v>
      </c>
      <c r="AR1203" s="11">
        <f t="shared" si="170"/>
        <v>-2.1855765616706508E-3</v>
      </c>
    </row>
    <row r="1204" spans="2:44" x14ac:dyDescent="0.35">
      <c r="B1204" s="1">
        <v>43881</v>
      </c>
      <c r="C1204">
        <v>3854</v>
      </c>
      <c r="D1204" s="1">
        <v>43893</v>
      </c>
      <c r="E1204">
        <v>4.4877000000000002</v>
      </c>
      <c r="F1204" s="1">
        <v>43874</v>
      </c>
      <c r="G1204">
        <v>130.78700000000001</v>
      </c>
      <c r="H1204" s="4">
        <f t="shared" si="162"/>
        <v>586932.8199</v>
      </c>
      <c r="I1204" s="5">
        <v>43881</v>
      </c>
      <c r="J1204" s="4">
        <v>5343.32</v>
      </c>
      <c r="K1204" s="4">
        <f t="shared" si="163"/>
        <v>53433.2</v>
      </c>
      <c r="L1204" s="1">
        <v>43881</v>
      </c>
      <c r="M1204">
        <v>2.57</v>
      </c>
      <c r="P1204" s="1">
        <v>43878</v>
      </c>
      <c r="Q1204">
        <v>2.86</v>
      </c>
      <c r="R1204" s="1">
        <v>42804</v>
      </c>
      <c r="S1204">
        <v>5.25</v>
      </c>
      <c r="X1204" s="1">
        <v>43881</v>
      </c>
      <c r="Y1204">
        <f>NETWORKDAYS(X1204,$Z$1,FERIADO!$A$2:$A$408)</f>
        <v>2747</v>
      </c>
      <c r="Z1204">
        <v>6.9</v>
      </c>
      <c r="AA1204" s="6">
        <f t="shared" si="164"/>
        <v>48319.231130077649</v>
      </c>
      <c r="AB1204" s="2">
        <f t="shared" si="165"/>
        <v>-2.5438720497616644E-3</v>
      </c>
      <c r="AJ1204" s="1">
        <v>43881</v>
      </c>
      <c r="AK1204">
        <f>NETWORKDAYS(AJ1204,$AJ$1,FERIADO!$A$2:$A$408)</f>
        <v>1734</v>
      </c>
      <c r="AL1204">
        <v>6.41</v>
      </c>
      <c r="AM1204" s="6">
        <f t="shared" si="166"/>
        <v>65213.137202708909</v>
      </c>
      <c r="AN1204" s="2">
        <f t="shared" si="167"/>
        <v>-1.0171238520436997E-3</v>
      </c>
      <c r="AP1204" s="11">
        <f t="shared" si="168"/>
        <v>-1.2719360248808322E-3</v>
      </c>
      <c r="AQ1204" s="11">
        <f t="shared" si="169"/>
        <v>-3.0513715561310988E-4</v>
      </c>
      <c r="AR1204" s="11">
        <f t="shared" si="170"/>
        <v>-1.5770731804939421E-3</v>
      </c>
    </row>
    <row r="1205" spans="2:44" x14ac:dyDescent="0.35">
      <c r="B1205" s="1">
        <v>43880</v>
      </c>
      <c r="C1205">
        <v>3872.91</v>
      </c>
      <c r="D1205" s="1">
        <v>43892</v>
      </c>
      <c r="E1205">
        <v>4.4939999999999998</v>
      </c>
      <c r="F1205" s="1">
        <v>43873</v>
      </c>
      <c r="G1205">
        <v>130.66300000000001</v>
      </c>
      <c r="H1205" s="4">
        <f t="shared" si="162"/>
        <v>587199.522</v>
      </c>
      <c r="I1205" s="5">
        <v>43880</v>
      </c>
      <c r="J1205" s="4">
        <v>5307.46</v>
      </c>
      <c r="K1205" s="4">
        <f t="shared" si="163"/>
        <v>53074.6</v>
      </c>
      <c r="L1205" s="1">
        <v>43880</v>
      </c>
      <c r="M1205">
        <v>2.5499999999999998</v>
      </c>
      <c r="P1205" s="1">
        <v>43875</v>
      </c>
      <c r="Q1205">
        <v>2.82</v>
      </c>
      <c r="R1205" s="1">
        <v>42772</v>
      </c>
      <c r="S1205">
        <v>5.47</v>
      </c>
      <c r="X1205" s="1">
        <v>43880</v>
      </c>
      <c r="Y1205">
        <f>NETWORKDAYS(X1205,$Z$1,FERIADO!$A$2:$A$408)</f>
        <v>2748</v>
      </c>
      <c r="Z1205">
        <v>6.84</v>
      </c>
      <c r="AA1205" s="6">
        <f t="shared" si="164"/>
        <v>48603.090689430392</v>
      </c>
      <c r="AB1205" s="2">
        <f t="shared" si="165"/>
        <v>-3.2942697261050257E-4</v>
      </c>
      <c r="AJ1205" s="1">
        <v>43880</v>
      </c>
      <c r="AK1205">
        <f>NETWORKDAYS(AJ1205,$AJ$1,FERIADO!$A$2:$A$408)</f>
        <v>1735</v>
      </c>
      <c r="AL1205">
        <v>6.37</v>
      </c>
      <c r="AM1205" s="6">
        <f t="shared" si="166"/>
        <v>65366.046285062243</v>
      </c>
      <c r="AN1205" s="2">
        <f t="shared" si="167"/>
        <v>6.6890059505805941E-4</v>
      </c>
      <c r="AP1205" s="11">
        <f t="shared" si="168"/>
        <v>-1.6471348630525128E-4</v>
      </c>
      <c r="AQ1205" s="11">
        <f t="shared" si="169"/>
        <v>2.0067017851741782E-4</v>
      </c>
      <c r="AR1205" s="11">
        <f t="shared" si="170"/>
        <v>3.5956692212166539E-5</v>
      </c>
    </row>
    <row r="1206" spans="2:44" x14ac:dyDescent="0.35">
      <c r="B1206" s="1">
        <v>43879</v>
      </c>
      <c r="C1206">
        <v>3852.58</v>
      </c>
      <c r="D1206" s="1">
        <v>43889</v>
      </c>
      <c r="E1206">
        <v>4.4981</v>
      </c>
      <c r="F1206" s="1">
        <v>43872</v>
      </c>
      <c r="G1206">
        <v>131.05600000000001</v>
      </c>
      <c r="H1206" s="4">
        <f t="shared" si="162"/>
        <v>589502.99360000005</v>
      </c>
      <c r="I1206" s="5">
        <v>43879</v>
      </c>
      <c r="J1206" s="4">
        <v>5297.13</v>
      </c>
      <c r="K1206" s="4">
        <f t="shared" si="163"/>
        <v>52971.3</v>
      </c>
      <c r="L1206" s="1">
        <v>43879</v>
      </c>
      <c r="M1206">
        <v>2.61</v>
      </c>
      <c r="P1206" s="1">
        <v>43874</v>
      </c>
      <c r="Q1206">
        <v>2.92</v>
      </c>
      <c r="R1206" s="1">
        <v>42747</v>
      </c>
      <c r="S1206">
        <v>5.63</v>
      </c>
      <c r="X1206" s="1">
        <v>43879</v>
      </c>
      <c r="Y1206">
        <f>NETWORKDAYS(X1206,$Z$1,FERIADO!$A$2:$A$408)</f>
        <v>2749</v>
      </c>
      <c r="Z1206">
        <v>6.83</v>
      </c>
      <c r="AA1206" s="6">
        <f t="shared" si="164"/>
        <v>48639.971754545382</v>
      </c>
      <c r="AB1206" s="2">
        <f t="shared" si="165"/>
        <v>-1.6609997965134104E-3</v>
      </c>
      <c r="AJ1206" s="1">
        <v>43879</v>
      </c>
      <c r="AK1206">
        <f>NETWORKDAYS(AJ1206,$AJ$1,FERIADO!$A$2:$A$408)</f>
        <v>1736</v>
      </c>
      <c r="AL1206">
        <v>6.39</v>
      </c>
      <c r="AM1206" s="6">
        <f t="shared" si="166"/>
        <v>65265.446956806576</v>
      </c>
      <c r="AN1206" s="2">
        <f t="shared" si="167"/>
        <v>-4.5605012488959557E-4</v>
      </c>
      <c r="AP1206" s="11">
        <f t="shared" si="168"/>
        <v>-8.3049989825670519E-4</v>
      </c>
      <c r="AQ1206" s="11">
        <f t="shared" si="169"/>
        <v>-1.3681503746687868E-4</v>
      </c>
      <c r="AR1206" s="11">
        <f t="shared" si="170"/>
        <v>-9.6731493572358384E-4</v>
      </c>
    </row>
    <row r="1207" spans="2:44" x14ac:dyDescent="0.35">
      <c r="B1207" s="1">
        <v>43878</v>
      </c>
      <c r="C1207">
        <v>3873.21</v>
      </c>
      <c r="D1207" s="1">
        <v>43888</v>
      </c>
      <c r="E1207">
        <v>4.4757999999999996</v>
      </c>
      <c r="F1207" s="1">
        <v>43871</v>
      </c>
      <c r="G1207">
        <v>131.226</v>
      </c>
      <c r="H1207" s="4">
        <f t="shared" si="162"/>
        <v>587341.33079999988</v>
      </c>
      <c r="I1207" s="5">
        <v>43878</v>
      </c>
      <c r="J1207" s="4">
        <v>5263.09</v>
      </c>
      <c r="K1207" s="4">
        <f t="shared" si="163"/>
        <v>52630.9</v>
      </c>
      <c r="L1207" s="1">
        <v>43878</v>
      </c>
      <c r="M1207">
        <v>2.57</v>
      </c>
      <c r="P1207" s="1">
        <v>43873</v>
      </c>
      <c r="Q1207">
        <v>2.92</v>
      </c>
      <c r="R1207" s="1">
        <v>42732</v>
      </c>
      <c r="S1207">
        <v>5.83</v>
      </c>
      <c r="X1207" s="1">
        <v>43878</v>
      </c>
      <c r="Y1207">
        <f>NETWORKDAYS(X1207,$Z$1,FERIADO!$A$2:$A$408)</f>
        <v>2750</v>
      </c>
      <c r="Z1207">
        <v>6.79</v>
      </c>
      <c r="AA1207" s="6">
        <f t="shared" si="164"/>
        <v>48826.356062979816</v>
      </c>
      <c r="AB1207" s="2">
        <f t="shared" si="165"/>
        <v>-2.1071028645742226E-3</v>
      </c>
      <c r="AJ1207" s="1">
        <v>43878</v>
      </c>
      <c r="AK1207">
        <f>NETWORKDAYS(AJ1207,$AJ$1,FERIADO!$A$2:$A$408)</f>
        <v>1737</v>
      </c>
      <c r="AL1207">
        <v>6.37</v>
      </c>
      <c r="AM1207" s="6">
        <f t="shared" si="166"/>
        <v>65334.017822004804</v>
      </c>
      <c r="AN1207" s="2">
        <f t="shared" si="167"/>
        <v>-1.0201392210710033E-3</v>
      </c>
      <c r="AP1207" s="11">
        <f t="shared" si="168"/>
        <v>-1.0535514322871113E-3</v>
      </c>
      <c r="AQ1207" s="11">
        <f t="shared" si="169"/>
        <v>-3.0604176632130096E-4</v>
      </c>
      <c r="AR1207" s="11">
        <f t="shared" si="170"/>
        <v>-1.3595931986084124E-3</v>
      </c>
    </row>
    <row r="1208" spans="2:44" x14ac:dyDescent="0.35">
      <c r="B1208" s="1">
        <v>43875</v>
      </c>
      <c r="C1208">
        <v>3859.2</v>
      </c>
      <c r="D1208" s="1">
        <v>43887</v>
      </c>
      <c r="E1208">
        <v>4.4352999999999998</v>
      </c>
      <c r="F1208" s="1">
        <v>43868</v>
      </c>
      <c r="G1208">
        <v>131.023</v>
      </c>
      <c r="H1208" s="4">
        <f t="shared" si="162"/>
        <v>581126.31189999986</v>
      </c>
      <c r="I1208" s="5">
        <v>43875</v>
      </c>
      <c r="J1208" s="4">
        <v>5227.2299999999996</v>
      </c>
      <c r="K1208" s="4">
        <f t="shared" si="163"/>
        <v>52272.299999999996</v>
      </c>
      <c r="L1208" s="1">
        <v>43875</v>
      </c>
      <c r="M1208">
        <v>2.5299999999999998</v>
      </c>
      <c r="P1208" s="1">
        <v>43872</v>
      </c>
      <c r="Q1208">
        <v>2.97</v>
      </c>
      <c r="R1208" s="1">
        <v>42711</v>
      </c>
      <c r="S1208">
        <v>6.17</v>
      </c>
      <c r="X1208" s="1">
        <v>43875</v>
      </c>
      <c r="Y1208">
        <f>NETWORKDAYS(X1208,$Z$1,FERIADO!$A$2:$A$408)</f>
        <v>2751</v>
      </c>
      <c r="Z1208">
        <v>6.74</v>
      </c>
      <c r="AA1208" s="6">
        <f t="shared" si="164"/>
        <v>49063.82659076689</v>
      </c>
      <c r="AB1208" s="2">
        <f t="shared" si="165"/>
        <v>3.2216955475532685E-3</v>
      </c>
      <c r="AJ1208" s="1">
        <v>43875</v>
      </c>
      <c r="AK1208">
        <f>NETWORKDAYS(AJ1208,$AJ$1,FERIADO!$A$2:$A$408)</f>
        <v>1738</v>
      </c>
      <c r="AL1208">
        <v>6.33</v>
      </c>
      <c r="AM1208" s="6">
        <f t="shared" si="166"/>
        <v>65487.665028958399</v>
      </c>
      <c r="AN1208" s="2">
        <f t="shared" si="167"/>
        <v>3.2045922455983854E-3</v>
      </c>
      <c r="AP1208" s="11">
        <f t="shared" si="168"/>
        <v>1.6108477737766342E-3</v>
      </c>
      <c r="AQ1208" s="11">
        <f t="shared" si="169"/>
        <v>9.6137767367951562E-4</v>
      </c>
      <c r="AR1208" s="11">
        <f t="shared" si="170"/>
        <v>2.5722254474561499E-3</v>
      </c>
    </row>
    <row r="1209" spans="2:44" x14ac:dyDescent="0.35">
      <c r="B1209" s="1">
        <v>43874</v>
      </c>
      <c r="C1209">
        <v>3855.94</v>
      </c>
      <c r="D1209" s="1">
        <v>43882</v>
      </c>
      <c r="E1209">
        <v>4.3917999999999999</v>
      </c>
      <c r="F1209" s="1">
        <v>43867</v>
      </c>
      <c r="G1209">
        <v>130.53800000000001</v>
      </c>
      <c r="H1209" s="4">
        <f t="shared" si="162"/>
        <v>573296.78840000008</v>
      </c>
      <c r="I1209" s="5">
        <v>43874</v>
      </c>
      <c r="J1209" s="4">
        <v>5292.27</v>
      </c>
      <c r="K1209" s="4">
        <f t="shared" si="163"/>
        <v>52922.700000000004</v>
      </c>
      <c r="L1209" s="1">
        <v>43874</v>
      </c>
      <c r="M1209">
        <v>2.61</v>
      </c>
      <c r="P1209" s="1">
        <v>43871</v>
      </c>
      <c r="Q1209">
        <v>3</v>
      </c>
      <c r="R1209" s="1">
        <v>42668</v>
      </c>
      <c r="S1209">
        <v>5.7</v>
      </c>
      <c r="X1209" s="1">
        <v>43874</v>
      </c>
      <c r="Y1209">
        <f>NETWORKDAYS(X1209,$Z$1,FERIADO!$A$2:$A$408)</f>
        <v>2752</v>
      </c>
      <c r="Z1209">
        <v>6.81</v>
      </c>
      <c r="AA1209" s="6">
        <f t="shared" si="164"/>
        <v>48701.206593450042</v>
      </c>
      <c r="AB1209" s="2">
        <f t="shared" si="165"/>
        <v>-3.3068095122473833E-4</v>
      </c>
      <c r="AJ1209" s="1">
        <v>43874</v>
      </c>
      <c r="AK1209">
        <f>NETWORKDAYS(AJ1209,$AJ$1,FERIADO!$A$2:$A$408)</f>
        <v>1739</v>
      </c>
      <c r="AL1209">
        <v>6.44</v>
      </c>
      <c r="AM1209" s="6">
        <f t="shared" si="166"/>
        <v>65006.220050653552</v>
      </c>
      <c r="AN1209" s="2">
        <f t="shared" si="167"/>
        <v>-1.3014059331257159E-3</v>
      </c>
      <c r="AP1209" s="11">
        <f t="shared" si="168"/>
        <v>-1.6534047561236916E-4</v>
      </c>
      <c r="AQ1209" s="11">
        <f t="shared" si="169"/>
        <v>-3.9042177993771473E-4</v>
      </c>
      <c r="AR1209" s="11">
        <f t="shared" si="170"/>
        <v>-5.5576225555008392E-4</v>
      </c>
    </row>
    <row r="1210" spans="2:44" x14ac:dyDescent="0.35">
      <c r="B1210" s="1">
        <v>43873</v>
      </c>
      <c r="C1210">
        <v>3863.16</v>
      </c>
      <c r="D1210" s="1">
        <v>43881</v>
      </c>
      <c r="E1210">
        <v>4.3867000000000003</v>
      </c>
      <c r="F1210" s="1">
        <v>43866</v>
      </c>
      <c r="G1210">
        <v>130.541</v>
      </c>
      <c r="H1210" s="4">
        <f t="shared" si="162"/>
        <v>572644.2047</v>
      </c>
      <c r="I1210" s="5">
        <v>43873</v>
      </c>
      <c r="J1210" s="4">
        <v>5298.95</v>
      </c>
      <c r="K1210" s="4">
        <f t="shared" si="163"/>
        <v>52989.5</v>
      </c>
      <c r="L1210" s="1">
        <v>43873</v>
      </c>
      <c r="M1210">
        <v>2.6</v>
      </c>
      <c r="P1210" s="1">
        <v>43868</v>
      </c>
      <c r="Q1210">
        <v>3.05</v>
      </c>
      <c r="R1210" s="1">
        <v>42635</v>
      </c>
      <c r="S1210">
        <v>5.85</v>
      </c>
      <c r="X1210" s="1">
        <v>43873</v>
      </c>
      <c r="Y1210">
        <f>NETWORKDAYS(X1210,$Z$1,FERIADO!$A$2:$A$408)</f>
        <v>2753</v>
      </c>
      <c r="Z1210">
        <v>6.8</v>
      </c>
      <c r="AA1210" s="6">
        <f t="shared" si="164"/>
        <v>48738.302837417425</v>
      </c>
      <c r="AB1210" s="2">
        <f t="shared" si="165"/>
        <v>1.4463981519399107E-3</v>
      </c>
      <c r="AJ1210" s="1">
        <v>43873</v>
      </c>
      <c r="AK1210">
        <f>NETWORKDAYS(AJ1210,$AJ$1,FERIADO!$A$2:$A$408)</f>
        <v>1740</v>
      </c>
      <c r="AL1210">
        <v>6.39</v>
      </c>
      <c r="AM1210" s="6">
        <f t="shared" si="166"/>
        <v>65201.309709891182</v>
      </c>
      <c r="AN1210" s="2">
        <f t="shared" si="167"/>
        <v>9.5269353130526954E-4</v>
      </c>
      <c r="AP1210" s="11">
        <f t="shared" si="168"/>
        <v>7.2319907596995537E-4</v>
      </c>
      <c r="AQ1210" s="11">
        <f t="shared" si="169"/>
        <v>2.8580805939158087E-4</v>
      </c>
      <c r="AR1210" s="11">
        <f t="shared" si="170"/>
        <v>1.0090071353615363E-3</v>
      </c>
    </row>
    <row r="1211" spans="2:44" x14ac:dyDescent="0.35">
      <c r="B1211" s="1">
        <v>43872</v>
      </c>
      <c r="C1211">
        <v>3834.79</v>
      </c>
      <c r="D1211" s="1">
        <v>43880</v>
      </c>
      <c r="E1211">
        <v>4.3722000000000003</v>
      </c>
      <c r="F1211" s="1">
        <v>43865</v>
      </c>
      <c r="G1211">
        <v>130.96100000000001</v>
      </c>
      <c r="H1211" s="4">
        <f t="shared" si="162"/>
        <v>572587.68420000013</v>
      </c>
      <c r="I1211" s="5">
        <v>43872</v>
      </c>
      <c r="J1211" s="4">
        <v>5269.17</v>
      </c>
      <c r="K1211" s="4">
        <f t="shared" si="163"/>
        <v>52691.7</v>
      </c>
      <c r="L1211" s="1">
        <v>43872</v>
      </c>
      <c r="M1211">
        <v>2.66</v>
      </c>
      <c r="P1211" s="1">
        <v>43867</v>
      </c>
      <c r="Q1211">
        <v>3</v>
      </c>
      <c r="R1211" s="1">
        <v>42634</v>
      </c>
      <c r="S1211">
        <v>5.93</v>
      </c>
      <c r="X1211" s="1">
        <v>43872</v>
      </c>
      <c r="Y1211">
        <f>NETWORKDAYS(X1211,$Z$1,FERIADO!$A$2:$A$408)</f>
        <v>2754</v>
      </c>
      <c r="Z1211">
        <v>6.83</v>
      </c>
      <c r="AA1211" s="6">
        <f t="shared" si="164"/>
        <v>48576.252122738457</v>
      </c>
      <c r="AB1211" s="2">
        <f t="shared" si="165"/>
        <v>3.223916084676252E-3</v>
      </c>
      <c r="AJ1211" s="1">
        <v>43872</v>
      </c>
      <c r="AK1211">
        <f>NETWORKDAYS(AJ1211,$AJ$1,FERIADO!$A$2:$A$408)</f>
        <v>1741</v>
      </c>
      <c r="AL1211">
        <v>6.42</v>
      </c>
      <c r="AM1211" s="6">
        <f t="shared" si="166"/>
        <v>65058.437104336757</v>
      </c>
      <c r="AN1211" s="2">
        <f t="shared" si="167"/>
        <v>1.7993799123681125E-3</v>
      </c>
      <c r="AP1211" s="11">
        <f t="shared" si="168"/>
        <v>1.611958042338126E-3</v>
      </c>
      <c r="AQ1211" s="11">
        <f t="shared" si="169"/>
        <v>5.3981397371043378E-4</v>
      </c>
      <c r="AR1211" s="11">
        <f t="shared" si="170"/>
        <v>2.1517720160485598E-3</v>
      </c>
    </row>
    <row r="1212" spans="2:44" x14ac:dyDescent="0.35">
      <c r="B1212" s="1">
        <v>43871</v>
      </c>
      <c r="C1212">
        <v>3827.28</v>
      </c>
      <c r="D1212" s="1">
        <v>43879</v>
      </c>
      <c r="E1212">
        <v>4.3464999999999998</v>
      </c>
      <c r="F1212" s="1">
        <v>43864</v>
      </c>
      <c r="G1212">
        <v>131.51</v>
      </c>
      <c r="H1212" s="4">
        <f t="shared" si="162"/>
        <v>571608.21499999997</v>
      </c>
      <c r="I1212" s="5">
        <v>43871</v>
      </c>
      <c r="J1212" s="4">
        <v>5264.31</v>
      </c>
      <c r="K1212" s="4">
        <f t="shared" si="163"/>
        <v>52643.100000000006</v>
      </c>
      <c r="L1212" s="1">
        <v>43871</v>
      </c>
      <c r="M1212">
        <v>2.69</v>
      </c>
      <c r="P1212" s="1">
        <v>43866</v>
      </c>
      <c r="Q1212">
        <v>2.97</v>
      </c>
      <c r="R1212" s="1">
        <v>42615</v>
      </c>
      <c r="S1212">
        <v>5.75</v>
      </c>
      <c r="X1212" s="1">
        <v>43871</v>
      </c>
      <c r="Y1212">
        <f>NETWORKDAYS(X1212,$Z$1,FERIADO!$A$2:$A$408)</f>
        <v>2755</v>
      </c>
      <c r="Z1212">
        <v>6.9</v>
      </c>
      <c r="AA1212" s="6">
        <f t="shared" si="164"/>
        <v>48216.9891486126</v>
      </c>
      <c r="AB1212" s="2">
        <f t="shared" si="165"/>
        <v>4.1120910812480769E-3</v>
      </c>
      <c r="AJ1212" s="1">
        <v>43871</v>
      </c>
      <c r="AK1212">
        <f>NETWORKDAYS(AJ1212,$AJ$1,FERIADO!$A$2:$A$408)</f>
        <v>1742</v>
      </c>
      <c r="AL1212">
        <v>6.48</v>
      </c>
      <c r="AM1212" s="6">
        <f t="shared" si="166"/>
        <v>64789.442974113066</v>
      </c>
      <c r="AN1212" s="2">
        <f t="shared" si="167"/>
        <v>2.0823033043060892E-3</v>
      </c>
      <c r="AP1212" s="11">
        <f t="shared" si="168"/>
        <v>2.0560455406240384E-3</v>
      </c>
      <c r="AQ1212" s="11">
        <f t="shared" si="169"/>
        <v>6.2469099129182674E-4</v>
      </c>
      <c r="AR1212" s="11">
        <f t="shared" si="170"/>
        <v>2.6807365319158651E-3</v>
      </c>
    </row>
    <row r="1213" spans="2:44" x14ac:dyDescent="0.35">
      <c r="B1213" s="1">
        <v>43868</v>
      </c>
      <c r="C1213">
        <v>3802.39</v>
      </c>
      <c r="D1213" s="1">
        <v>43878</v>
      </c>
      <c r="E1213">
        <v>4.3151000000000002</v>
      </c>
      <c r="F1213" s="1">
        <v>43861</v>
      </c>
      <c r="G1213">
        <v>131.75899999999999</v>
      </c>
      <c r="H1213" s="4">
        <f t="shared" si="162"/>
        <v>568553.26089999999</v>
      </c>
      <c r="I1213" s="5">
        <v>43868</v>
      </c>
      <c r="J1213" s="4">
        <v>5260.05</v>
      </c>
      <c r="K1213" s="4">
        <f t="shared" si="163"/>
        <v>52600.5</v>
      </c>
      <c r="L1213" s="1">
        <v>43868</v>
      </c>
      <c r="M1213">
        <v>2.74</v>
      </c>
      <c r="P1213" s="1">
        <v>43865</v>
      </c>
      <c r="Q1213">
        <v>3.03</v>
      </c>
      <c r="X1213" s="1">
        <v>43868</v>
      </c>
      <c r="Y1213">
        <f>NETWORKDAYS(X1213,$Z$1,FERIADO!$A$2:$A$408)</f>
        <v>2756</v>
      </c>
      <c r="Z1213">
        <v>6.99</v>
      </c>
      <c r="AA1213" s="6">
        <f t="shared" si="164"/>
        <v>47762.604051583519</v>
      </c>
      <c r="AB1213" s="2">
        <f t="shared" si="165"/>
        <v>-4.3266004714233195E-3</v>
      </c>
      <c r="AJ1213" s="1">
        <v>43868</v>
      </c>
      <c r="AK1213">
        <f>NETWORKDAYS(AJ1213,$AJ$1,FERIADO!$A$2:$A$408)</f>
        <v>1743</v>
      </c>
      <c r="AL1213">
        <v>6.55</v>
      </c>
      <c r="AM1213" s="6">
        <f t="shared" si="166"/>
        <v>64479.541824395077</v>
      </c>
      <c r="AN1213" s="2">
        <f t="shared" si="167"/>
        <v>-2.1481718898482688E-3</v>
      </c>
      <c r="AP1213" s="11">
        <f t="shared" si="168"/>
        <v>-2.1633002357116598E-3</v>
      </c>
      <c r="AQ1213" s="11">
        <f t="shared" si="169"/>
        <v>-6.4445156695448064E-4</v>
      </c>
      <c r="AR1213" s="11">
        <f t="shared" si="170"/>
        <v>-2.8077518026661404E-3</v>
      </c>
    </row>
    <row r="1214" spans="2:44" x14ac:dyDescent="0.35">
      <c r="B1214" s="1">
        <v>43867</v>
      </c>
      <c r="C1214">
        <v>3822.74</v>
      </c>
      <c r="D1214" s="1">
        <v>43875</v>
      </c>
      <c r="E1214">
        <v>4.3156999999999996</v>
      </c>
      <c r="F1214" s="1">
        <v>43860</v>
      </c>
      <c r="G1214">
        <v>131.25399999999999</v>
      </c>
      <c r="H1214" s="4">
        <f t="shared" si="162"/>
        <v>566452.88779999991</v>
      </c>
      <c r="I1214" s="5">
        <v>43867</v>
      </c>
      <c r="J1214" s="4">
        <v>5212.6400000000003</v>
      </c>
      <c r="K1214" s="4">
        <f t="shared" si="163"/>
        <v>52126.400000000001</v>
      </c>
      <c r="L1214" s="1">
        <v>43867</v>
      </c>
      <c r="M1214">
        <v>2.69</v>
      </c>
      <c r="P1214" s="1">
        <v>43864</v>
      </c>
      <c r="Q1214">
        <v>3.05</v>
      </c>
      <c r="X1214" s="1">
        <v>43867</v>
      </c>
      <c r="Y1214">
        <f>NETWORKDAYS(X1214,$Z$1,FERIADO!$A$2:$A$408)</f>
        <v>2757</v>
      </c>
      <c r="Z1214">
        <v>6.89</v>
      </c>
      <c r="AA1214" s="6">
        <f t="shared" si="164"/>
        <v>48240.810661729258</v>
      </c>
      <c r="AB1214" s="2">
        <f t="shared" si="165"/>
        <v>-1.6641960183171379E-3</v>
      </c>
      <c r="AJ1214" s="1">
        <v>43867</v>
      </c>
      <c r="AK1214">
        <f>NETWORKDAYS(AJ1214,$AJ$1,FERIADO!$A$2:$A$408)</f>
        <v>1744</v>
      </c>
      <c r="AL1214">
        <v>6.47</v>
      </c>
      <c r="AM1214" s="6">
        <f t="shared" si="166"/>
        <v>64799.270206070556</v>
      </c>
      <c r="AN1214" s="2">
        <f t="shared" si="167"/>
        <v>-2.1524586499911923E-3</v>
      </c>
      <c r="AP1214" s="11">
        <f t="shared" si="168"/>
        <v>-8.3209800915856895E-4</v>
      </c>
      <c r="AQ1214" s="11">
        <f t="shared" si="169"/>
        <v>-6.4573759499735766E-4</v>
      </c>
      <c r="AR1214" s="11">
        <f t="shared" si="170"/>
        <v>-1.4778356041559265E-3</v>
      </c>
    </row>
    <row r="1215" spans="2:44" x14ac:dyDescent="0.35">
      <c r="B1215" s="1">
        <v>43866</v>
      </c>
      <c r="C1215">
        <v>3808.78</v>
      </c>
      <c r="D1215" s="1">
        <v>43874</v>
      </c>
      <c r="E1215">
        <v>4.3383000000000003</v>
      </c>
      <c r="F1215" s="1">
        <v>43859</v>
      </c>
      <c r="G1215">
        <v>131.00700000000001</v>
      </c>
      <c r="H1215" s="4">
        <f t="shared" si="162"/>
        <v>568347.66810000013</v>
      </c>
      <c r="I1215" s="5">
        <v>43866</v>
      </c>
      <c r="J1215" s="4">
        <v>5155.51</v>
      </c>
      <c r="K1215" s="4">
        <f t="shared" si="163"/>
        <v>51555.100000000006</v>
      </c>
      <c r="L1215" s="1">
        <v>43866</v>
      </c>
      <c r="M1215">
        <v>2.66</v>
      </c>
      <c r="P1215" s="1">
        <v>43861</v>
      </c>
      <c r="Q1215">
        <v>3.06</v>
      </c>
      <c r="X1215" s="1">
        <v>43866</v>
      </c>
      <c r="Y1215">
        <f>NETWORKDAYS(X1215,$Z$1,FERIADO!$A$2:$A$408)</f>
        <v>2758</v>
      </c>
      <c r="Z1215">
        <v>6.85</v>
      </c>
      <c r="AA1215" s="6">
        <f t="shared" si="164"/>
        <v>48426.021811717124</v>
      </c>
      <c r="AB1215" s="2">
        <f t="shared" si="165"/>
        <v>4.5621131296764055E-3</v>
      </c>
      <c r="AJ1215" s="1">
        <v>43866</v>
      </c>
      <c r="AK1215">
        <f>NETWORKDAYS(AJ1215,$AJ$1,FERIADO!$A$2:$A$408)</f>
        <v>1745</v>
      </c>
      <c r="AL1215">
        <v>6.39</v>
      </c>
      <c r="AM1215" s="6">
        <f t="shared" si="166"/>
        <v>65121.226777884614</v>
      </c>
      <c r="AN1215" s="2">
        <f t="shared" si="167"/>
        <v>2.3685479679852253E-3</v>
      </c>
      <c r="AP1215" s="11">
        <f t="shared" si="168"/>
        <v>2.2810565648382027E-3</v>
      </c>
      <c r="AQ1215" s="11">
        <f t="shared" si="169"/>
        <v>7.1056439039556755E-4</v>
      </c>
      <c r="AR1215" s="11">
        <f t="shared" si="170"/>
        <v>2.9916209552337701E-3</v>
      </c>
    </row>
    <row r="1216" spans="2:44" x14ac:dyDescent="0.35">
      <c r="B1216" s="1">
        <v>43865</v>
      </c>
      <c r="C1216">
        <v>3769.52</v>
      </c>
      <c r="D1216" s="1">
        <v>43873</v>
      </c>
      <c r="E1216">
        <v>4.3360000000000003</v>
      </c>
      <c r="F1216" s="1">
        <v>43858</v>
      </c>
      <c r="G1216">
        <v>130.56899999999999</v>
      </c>
      <c r="H1216" s="4">
        <f t="shared" si="162"/>
        <v>566147.18400000001</v>
      </c>
      <c r="I1216" s="5">
        <v>43865</v>
      </c>
      <c r="J1216" s="4">
        <v>5179.82</v>
      </c>
      <c r="K1216" s="4">
        <f t="shared" si="163"/>
        <v>51798.2</v>
      </c>
      <c r="L1216" s="1">
        <v>43865</v>
      </c>
      <c r="M1216">
        <v>2.71</v>
      </c>
      <c r="P1216" s="1">
        <v>43860</v>
      </c>
      <c r="Q1216">
        <v>3.04</v>
      </c>
      <c r="X1216" s="1">
        <v>43865</v>
      </c>
      <c r="Y1216">
        <f>NETWORKDAYS(X1216,$Z$1,FERIADO!$A$2:$A$408)</f>
        <v>2759</v>
      </c>
      <c r="Z1216">
        <v>6.95</v>
      </c>
      <c r="AA1216" s="6">
        <f t="shared" si="164"/>
        <v>47919.985743390229</v>
      </c>
      <c r="AB1216" s="2">
        <f t="shared" si="165"/>
        <v>2.3390072034005344E-3</v>
      </c>
      <c r="AJ1216" s="1">
        <v>43865</v>
      </c>
      <c r="AK1216">
        <f>NETWORKDAYS(AJ1216,$AJ$1,FERIADO!$A$2:$A$408)</f>
        <v>1746</v>
      </c>
      <c r="AL1216">
        <v>6.47</v>
      </c>
      <c r="AM1216" s="6">
        <f t="shared" si="166"/>
        <v>64767.036439091011</v>
      </c>
      <c r="AN1216" s="2">
        <f t="shared" si="167"/>
        <v>1.5216151482259582E-3</v>
      </c>
      <c r="AP1216" s="11">
        <f t="shared" si="168"/>
        <v>1.1695036017002672E-3</v>
      </c>
      <c r="AQ1216" s="11">
        <f t="shared" si="169"/>
        <v>4.5648454446778743E-4</v>
      </c>
      <c r="AR1216" s="11">
        <f t="shared" si="170"/>
        <v>1.6259881461680547E-3</v>
      </c>
    </row>
    <row r="1217" spans="2:44" x14ac:dyDescent="0.35">
      <c r="B1217" s="1">
        <v>43864</v>
      </c>
      <c r="C1217">
        <v>3706.27</v>
      </c>
      <c r="D1217" s="1">
        <v>43872</v>
      </c>
      <c r="E1217">
        <v>4.3141999999999996</v>
      </c>
      <c r="F1217" s="1">
        <v>43857</v>
      </c>
      <c r="G1217">
        <v>130.91399999999999</v>
      </c>
      <c r="H1217" s="4">
        <f t="shared" si="162"/>
        <v>564789.17879999999</v>
      </c>
      <c r="I1217" s="5">
        <v>43864</v>
      </c>
      <c r="J1217" s="4">
        <v>5170.7</v>
      </c>
      <c r="K1217" s="4">
        <f t="shared" si="163"/>
        <v>51707</v>
      </c>
      <c r="L1217" s="1">
        <v>43864</v>
      </c>
      <c r="M1217">
        <v>2.74</v>
      </c>
      <c r="P1217" s="1">
        <v>43859</v>
      </c>
      <c r="Q1217">
        <v>3.06</v>
      </c>
      <c r="X1217" s="1">
        <v>43864</v>
      </c>
      <c r="Y1217">
        <f>NETWORKDAYS(X1217,$Z$1,FERIADO!$A$2:$A$408)</f>
        <v>2760</v>
      </c>
      <c r="Z1217">
        <v>7</v>
      </c>
      <c r="AA1217" s="6">
        <f t="shared" si="164"/>
        <v>47662.593799699775</v>
      </c>
      <c r="AB1217" s="2">
        <f t="shared" si="165"/>
        <v>4.1172133010229641E-3</v>
      </c>
      <c r="AJ1217" s="1">
        <v>43864</v>
      </c>
      <c r="AK1217">
        <f>NETWORKDAYS(AJ1217,$AJ$1,FERIADO!$A$2:$A$408)</f>
        <v>1747</v>
      </c>
      <c r="AL1217">
        <v>6.52</v>
      </c>
      <c r="AM1217" s="6">
        <f t="shared" si="166"/>
        <v>64540.512579944858</v>
      </c>
      <c r="AN1217" s="2">
        <f t="shared" si="167"/>
        <v>2.3704808742336914E-3</v>
      </c>
      <c r="AP1217" s="11">
        <f t="shared" si="168"/>
        <v>2.0586066505114821E-3</v>
      </c>
      <c r="AQ1217" s="11">
        <f t="shared" si="169"/>
        <v>7.1114426227010736E-4</v>
      </c>
      <c r="AR1217" s="11">
        <f t="shared" si="170"/>
        <v>2.7697509127815895E-3</v>
      </c>
    </row>
    <row r="1218" spans="2:44" x14ac:dyDescent="0.35">
      <c r="B1218" s="1">
        <v>43861</v>
      </c>
      <c r="C1218">
        <v>3682.16</v>
      </c>
      <c r="D1218" s="1">
        <v>43871</v>
      </c>
      <c r="E1218">
        <v>4.3189000000000002</v>
      </c>
      <c r="F1218" s="1">
        <v>43854</v>
      </c>
      <c r="G1218">
        <v>130.21100000000001</v>
      </c>
      <c r="H1218" s="4">
        <f t="shared" si="162"/>
        <v>562368.2879</v>
      </c>
      <c r="I1218" s="5">
        <v>43861</v>
      </c>
      <c r="J1218" s="4">
        <v>5213.8599999999997</v>
      </c>
      <c r="K1218" s="4">
        <f t="shared" si="163"/>
        <v>52138.6</v>
      </c>
      <c r="L1218" s="1">
        <v>43861</v>
      </c>
      <c r="M1218">
        <v>2.77</v>
      </c>
      <c r="P1218" s="1">
        <v>43858</v>
      </c>
      <c r="Q1218">
        <v>3.09</v>
      </c>
      <c r="X1218" s="1">
        <v>43861</v>
      </c>
      <c r="Y1218">
        <f>NETWORKDAYS(X1218,$Z$1,FERIADO!$A$2:$A$408)</f>
        <v>2761</v>
      </c>
      <c r="Z1218">
        <v>7.09</v>
      </c>
      <c r="AA1218" s="6">
        <f t="shared" si="164"/>
        <v>47212.87634033784</v>
      </c>
      <c r="AB1218" s="2">
        <f t="shared" si="165"/>
        <v>5.6251696249508135E-4</v>
      </c>
      <c r="AJ1218" s="1">
        <v>43861</v>
      </c>
      <c r="AK1218">
        <f>NETWORKDAYS(AJ1218,$AJ$1,FERIADO!$A$2:$A$408)</f>
        <v>1748</v>
      </c>
      <c r="AL1218">
        <v>6.6</v>
      </c>
      <c r="AM1218" s="6">
        <f t="shared" si="166"/>
        <v>64189.195023608627</v>
      </c>
      <c r="AN1218" s="2">
        <f t="shared" si="167"/>
        <v>-1.7262458556854921E-4</v>
      </c>
      <c r="AP1218" s="11">
        <f t="shared" si="168"/>
        <v>2.8125848124754067E-4</v>
      </c>
      <c r="AQ1218" s="11">
        <f t="shared" si="169"/>
        <v>-5.1787375670564763E-5</v>
      </c>
      <c r="AR1218" s="11">
        <f t="shared" si="170"/>
        <v>2.294711055769759E-4</v>
      </c>
    </row>
    <row r="1219" spans="2:44" x14ac:dyDescent="0.35">
      <c r="B1219" s="1">
        <v>43860</v>
      </c>
      <c r="C1219">
        <v>3747.66</v>
      </c>
      <c r="D1219" s="1">
        <v>43868</v>
      </c>
      <c r="E1219">
        <v>4.3070000000000004</v>
      </c>
      <c r="F1219" s="1">
        <v>43853</v>
      </c>
      <c r="G1219">
        <v>129.804</v>
      </c>
      <c r="H1219" s="4">
        <f t="shared" si="162"/>
        <v>559065.82799999998</v>
      </c>
      <c r="I1219" s="5">
        <v>43860</v>
      </c>
      <c r="J1219" s="4">
        <v>5165.2299999999996</v>
      </c>
      <c r="K1219" s="4">
        <f t="shared" si="163"/>
        <v>51652.299999999996</v>
      </c>
      <c r="L1219" s="1">
        <v>43860</v>
      </c>
      <c r="M1219">
        <v>2.74</v>
      </c>
      <c r="P1219" s="1">
        <v>43857</v>
      </c>
      <c r="Q1219">
        <v>3.14</v>
      </c>
      <c r="X1219" s="1">
        <v>43860</v>
      </c>
      <c r="Y1219">
        <f>NETWORKDAYS(X1219,$Z$1,FERIADO!$A$2:$A$408)</f>
        <v>2762</v>
      </c>
      <c r="Z1219">
        <v>7.1</v>
      </c>
      <c r="AA1219" s="6">
        <f t="shared" si="164"/>
        <v>47151.763770971702</v>
      </c>
      <c r="AB1219" s="2">
        <f t="shared" si="165"/>
        <v>5.6279729271546447E-4</v>
      </c>
      <c r="AJ1219" s="1">
        <v>43860</v>
      </c>
      <c r="AK1219">
        <f>NETWORKDAYS(AJ1219,$AJ$1,FERIADO!$A$2:$A$408)</f>
        <v>1749</v>
      </c>
      <c r="AL1219">
        <v>6.59</v>
      </c>
      <c r="AM1219" s="6">
        <f t="shared" si="166"/>
        <v>64214.71419579038</v>
      </c>
      <c r="AN1219" s="2">
        <f t="shared" si="167"/>
        <v>-1.7297448397387489E-4</v>
      </c>
      <c r="AP1219" s="11">
        <f t="shared" si="168"/>
        <v>2.8139864635773223E-4</v>
      </c>
      <c r="AQ1219" s="11">
        <f t="shared" si="169"/>
        <v>-5.1892345192162469E-5</v>
      </c>
      <c r="AR1219" s="11">
        <f t="shared" si="170"/>
        <v>2.2950630116556976E-4</v>
      </c>
    </row>
    <row r="1220" spans="2:44" x14ac:dyDescent="0.35">
      <c r="B1220" s="1">
        <v>43859</v>
      </c>
      <c r="C1220">
        <v>3739.4</v>
      </c>
      <c r="D1220" s="1">
        <v>43867</v>
      </c>
      <c r="E1220">
        <v>4.2470999999999997</v>
      </c>
      <c r="F1220" s="1">
        <v>43852</v>
      </c>
      <c r="G1220">
        <v>129.571</v>
      </c>
      <c r="H1220" s="4">
        <f t="shared" ref="H1220:H1283" si="171">G1220*E1220*1000</f>
        <v>550300.99409999989</v>
      </c>
      <c r="I1220" s="5">
        <v>43859</v>
      </c>
      <c r="J1220" s="4">
        <v>5150.0200000000004</v>
      </c>
      <c r="K1220" s="4">
        <f t="shared" si="163"/>
        <v>51500.200000000004</v>
      </c>
      <c r="L1220" s="1">
        <v>43859</v>
      </c>
      <c r="M1220">
        <v>2.76</v>
      </c>
      <c r="P1220" s="1">
        <v>43854</v>
      </c>
      <c r="Q1220">
        <v>3.13</v>
      </c>
      <c r="X1220" s="1">
        <v>43859</v>
      </c>
      <c r="Y1220">
        <f>NETWORKDAYS(X1220,$Z$1,FERIADO!$A$2:$A$408)</f>
        <v>2763</v>
      </c>
      <c r="Z1220">
        <v>7.11</v>
      </c>
      <c r="AA1220" s="6">
        <f t="shared" si="164"/>
        <v>47090.699909691066</v>
      </c>
      <c r="AB1220" s="2">
        <f t="shared" si="165"/>
        <v>1.4523620415781726E-3</v>
      </c>
      <c r="AJ1220" s="1">
        <v>43859</v>
      </c>
      <c r="AK1220">
        <f>NETWORKDAYS(AJ1220,$AJ$1,FERIADO!$A$2:$A$408)</f>
        <v>1750</v>
      </c>
      <c r="AL1220">
        <v>6.58</v>
      </c>
      <c r="AM1220" s="6">
        <f t="shared" si="166"/>
        <v>64240.295269932845</v>
      </c>
      <c r="AN1220" s="2">
        <f t="shared" si="167"/>
        <v>6.7604198252525977E-4</v>
      </c>
      <c r="AP1220" s="11">
        <f t="shared" si="168"/>
        <v>7.2618102078908628E-4</v>
      </c>
      <c r="AQ1220" s="11">
        <f t="shared" si="169"/>
        <v>2.0281259475757793E-4</v>
      </c>
      <c r="AR1220" s="11">
        <f t="shared" si="170"/>
        <v>9.2899361554666423E-4</v>
      </c>
    </row>
    <row r="1221" spans="2:44" x14ac:dyDescent="0.35">
      <c r="B1221" s="1">
        <v>43858</v>
      </c>
      <c r="C1221">
        <v>3746.47</v>
      </c>
      <c r="D1221" s="1">
        <v>43866</v>
      </c>
      <c r="E1221">
        <v>4.2443</v>
      </c>
      <c r="F1221" s="1">
        <v>43851</v>
      </c>
      <c r="G1221">
        <v>129.6</v>
      </c>
      <c r="H1221" s="4">
        <f t="shared" si="171"/>
        <v>550061.28</v>
      </c>
      <c r="I1221" s="5">
        <v>43858</v>
      </c>
      <c r="J1221" s="4">
        <v>5105</v>
      </c>
      <c r="K1221" s="4">
        <f t="shared" ref="K1221:K1284" si="172">J1221*10</f>
        <v>51050</v>
      </c>
      <c r="L1221" s="1">
        <v>43858</v>
      </c>
      <c r="M1221">
        <v>2.8</v>
      </c>
      <c r="P1221" s="1">
        <v>43853</v>
      </c>
      <c r="Q1221">
        <v>3.14</v>
      </c>
      <c r="X1221" s="1">
        <v>43858</v>
      </c>
      <c r="Y1221">
        <f>NETWORKDAYS(X1221,$Z$1,FERIADO!$A$2:$A$408)</f>
        <v>2764</v>
      </c>
      <c r="Z1221">
        <v>7.14</v>
      </c>
      <c r="AA1221" s="6">
        <f t="shared" ref="AA1221:AA1238" si="173">$Z$2/(1+Z1221/100)^(Y1221/252)</f>
        <v>46933.482822651436</v>
      </c>
      <c r="AB1221" s="2">
        <f t="shared" ref="AB1221:AB1237" si="174">LOG(AA1221/AA1222)</f>
        <v>5.635965473051826E-4</v>
      </c>
      <c r="AJ1221" s="1">
        <v>43858</v>
      </c>
      <c r="AK1221">
        <f>NETWORKDAYS(AJ1221,$AJ$1,FERIADO!$A$2:$A$408)</f>
        <v>1751</v>
      </c>
      <c r="AL1221">
        <v>6.6</v>
      </c>
      <c r="AM1221" s="6">
        <f t="shared" ref="AM1221:AM1284" si="175">$Z$2/(1+AL1221/100)^(AK1221/252)</f>
        <v>64140.37377874129</v>
      </c>
      <c r="AN1221" s="2">
        <f t="shared" ref="AN1221:AN1284" si="176">LOG(AM1221/AM1222)</f>
        <v>1.8091333433958782E-3</v>
      </c>
      <c r="AP1221" s="11">
        <f t="shared" ref="AP1221:AP1237" si="177">AB1221*$AF$4</f>
        <v>2.817982736525913E-4</v>
      </c>
      <c r="AQ1221" s="11">
        <f t="shared" ref="AQ1221:AQ1237" si="178">AN1221*$AF$7</f>
        <v>5.4274000301876341E-4</v>
      </c>
      <c r="AR1221" s="11">
        <f t="shared" ref="AR1221:AR1237" si="179">AQ1221+AP1221</f>
        <v>8.2453827667135476E-4</v>
      </c>
    </row>
    <row r="1222" spans="2:44" x14ac:dyDescent="0.35">
      <c r="B1222" s="1">
        <v>43857</v>
      </c>
      <c r="C1222">
        <v>3703.54</v>
      </c>
      <c r="D1222" s="1">
        <v>43865</v>
      </c>
      <c r="E1222">
        <v>4.2374999999999998</v>
      </c>
      <c r="F1222" s="1">
        <v>43850</v>
      </c>
      <c r="G1222">
        <v>129.15</v>
      </c>
      <c r="H1222" s="4">
        <f t="shared" si="171"/>
        <v>547273.125</v>
      </c>
      <c r="I1222" s="5">
        <v>43857</v>
      </c>
      <c r="J1222" s="4">
        <v>5122.03</v>
      </c>
      <c r="K1222" s="4">
        <f t="shared" si="172"/>
        <v>51220.299999999996</v>
      </c>
      <c r="L1222" s="1">
        <v>43857</v>
      </c>
      <c r="M1222">
        <v>2.83</v>
      </c>
      <c r="P1222" s="1">
        <v>43851</v>
      </c>
      <c r="Q1222">
        <v>3.18</v>
      </c>
      <c r="X1222" s="1">
        <v>43857</v>
      </c>
      <c r="Y1222">
        <f>NETWORKDAYS(X1222,$Z$1,FERIADO!$A$2:$A$408)</f>
        <v>2765</v>
      </c>
      <c r="Z1222">
        <v>7.15</v>
      </c>
      <c r="AA1222" s="6">
        <f t="shared" si="173"/>
        <v>46872.615383795273</v>
      </c>
      <c r="AB1222" s="2">
        <f t="shared" si="174"/>
        <v>1.4534724978345057E-3</v>
      </c>
      <c r="AJ1222" s="1">
        <v>43857</v>
      </c>
      <c r="AK1222">
        <f>NETWORKDAYS(AJ1222,$AJ$1,FERIADO!$A$2:$A$408)</f>
        <v>1752</v>
      </c>
      <c r="AL1222">
        <v>6.66</v>
      </c>
      <c r="AM1222" s="6">
        <f t="shared" si="175"/>
        <v>63873.741023477953</v>
      </c>
      <c r="AN1222" s="2">
        <f t="shared" si="176"/>
        <v>6.7755669276180598E-4</v>
      </c>
      <c r="AP1222" s="11">
        <f t="shared" si="177"/>
        <v>7.2673624891725287E-4</v>
      </c>
      <c r="AQ1222" s="11">
        <f t="shared" si="178"/>
        <v>2.032670078285418E-4</v>
      </c>
      <c r="AR1222" s="11">
        <f t="shared" si="179"/>
        <v>9.3000325674579465E-4</v>
      </c>
    </row>
    <row r="1223" spans="2:44" x14ac:dyDescent="0.35">
      <c r="B1223" s="1">
        <v>43854</v>
      </c>
      <c r="C1223">
        <v>3758.45</v>
      </c>
      <c r="D1223" s="1">
        <v>43864</v>
      </c>
      <c r="E1223">
        <v>4.2469000000000001</v>
      </c>
      <c r="F1223" s="1">
        <v>43847</v>
      </c>
      <c r="G1223">
        <v>129.054</v>
      </c>
      <c r="H1223" s="4">
        <f t="shared" si="171"/>
        <v>548079.43260000006</v>
      </c>
      <c r="I1223" s="5">
        <v>43854</v>
      </c>
      <c r="J1223" s="4">
        <v>5091</v>
      </c>
      <c r="K1223" s="4">
        <f t="shared" si="172"/>
        <v>50910</v>
      </c>
      <c r="L1223" s="1">
        <v>43854</v>
      </c>
      <c r="M1223">
        <v>2.84</v>
      </c>
      <c r="P1223" s="1">
        <v>43850</v>
      </c>
      <c r="Q1223">
        <v>3.2</v>
      </c>
      <c r="X1223" s="1">
        <v>43854</v>
      </c>
      <c r="Y1223">
        <f>NETWORKDAYS(X1223,$Z$1,FERIADO!$A$2:$A$408)</f>
        <v>2766</v>
      </c>
      <c r="Z1223">
        <v>7.18</v>
      </c>
      <c r="AA1223" s="6">
        <f t="shared" si="173"/>
        <v>46716.006944861023</v>
      </c>
      <c r="AB1223" s="2">
        <f t="shared" si="174"/>
        <v>-3.2543891930728741E-4</v>
      </c>
      <c r="AJ1223" s="1">
        <v>43854</v>
      </c>
      <c r="AK1223">
        <f>NETWORKDAYS(AJ1223,$AJ$1,FERIADO!$A$2:$A$408)</f>
        <v>1753</v>
      </c>
      <c r="AL1223">
        <v>6.68</v>
      </c>
      <c r="AM1223" s="6">
        <f t="shared" si="175"/>
        <v>63774.167254259504</v>
      </c>
      <c r="AN1223" s="2">
        <f t="shared" si="176"/>
        <v>9.6138496776065863E-4</v>
      </c>
      <c r="AP1223" s="11">
        <f t="shared" si="177"/>
        <v>-1.627194596536437E-4</v>
      </c>
      <c r="AQ1223" s="11">
        <f t="shared" si="178"/>
        <v>2.8841549032819757E-4</v>
      </c>
      <c r="AR1223" s="11">
        <f t="shared" si="179"/>
        <v>1.2569603067455386E-4</v>
      </c>
    </row>
    <row r="1224" spans="2:44" x14ac:dyDescent="0.35">
      <c r="B1224" s="1">
        <v>43853</v>
      </c>
      <c r="C1224">
        <v>3798.49</v>
      </c>
      <c r="D1224" s="1">
        <v>43861</v>
      </c>
      <c r="E1224">
        <v>4.2689000000000004</v>
      </c>
      <c r="F1224" s="1">
        <v>43846</v>
      </c>
      <c r="G1224">
        <v>129.19900000000001</v>
      </c>
      <c r="H1224" s="4">
        <f t="shared" si="171"/>
        <v>551537.6111000001</v>
      </c>
      <c r="I1224" s="5">
        <v>43853</v>
      </c>
      <c r="J1224" s="4">
        <v>5078.22</v>
      </c>
      <c r="K1224" s="4">
        <f t="shared" si="172"/>
        <v>50782.200000000004</v>
      </c>
      <c r="L1224" s="1">
        <v>43853</v>
      </c>
      <c r="M1224">
        <v>2.85</v>
      </c>
      <c r="P1224" s="1">
        <v>43847</v>
      </c>
      <c r="Q1224">
        <v>3.16</v>
      </c>
      <c r="X1224" s="1">
        <v>43853</v>
      </c>
      <c r="Y1224">
        <f>NETWORKDAYS(X1224,$Z$1,FERIADO!$A$2:$A$408)</f>
        <v>2767</v>
      </c>
      <c r="Z1224">
        <v>7.17</v>
      </c>
      <c r="AA1224" s="6">
        <f t="shared" si="173"/>
        <v>46751.0267416555</v>
      </c>
      <c r="AB1224" s="2">
        <f t="shared" si="174"/>
        <v>1.4545098648826114E-3</v>
      </c>
      <c r="AJ1224" s="1">
        <v>43853</v>
      </c>
      <c r="AK1224">
        <f>NETWORKDAYS(AJ1224,$AJ$1,FERIADO!$A$2:$A$408)</f>
        <v>1754</v>
      </c>
      <c r="AL1224">
        <v>6.71</v>
      </c>
      <c r="AM1224" s="6">
        <f t="shared" si="175"/>
        <v>63633.148391334427</v>
      </c>
      <c r="AN1224" s="2">
        <f t="shared" si="176"/>
        <v>-1.7152469921407457E-4</v>
      </c>
      <c r="AP1224" s="11">
        <f t="shared" si="177"/>
        <v>7.2725493244130569E-4</v>
      </c>
      <c r="AQ1224" s="11">
        <f t="shared" si="178"/>
        <v>-5.1457409764222369E-5</v>
      </c>
      <c r="AR1224" s="11">
        <f t="shared" si="179"/>
        <v>6.7579752267708337E-4</v>
      </c>
    </row>
    <row r="1225" spans="2:44" x14ac:dyDescent="0.35">
      <c r="B1225" s="1">
        <v>43852</v>
      </c>
      <c r="C1225">
        <v>3795.34</v>
      </c>
      <c r="D1225" s="1">
        <v>43860</v>
      </c>
      <c r="E1225">
        <v>4.2516999999999996</v>
      </c>
      <c r="F1225" s="1">
        <v>43845</v>
      </c>
      <c r="G1225">
        <v>129.39699999999999</v>
      </c>
      <c r="H1225" s="4">
        <f t="shared" si="171"/>
        <v>550157.22489999991</v>
      </c>
      <c r="I1225" s="5">
        <v>43852</v>
      </c>
      <c r="J1225" s="4">
        <v>5092.83</v>
      </c>
      <c r="K1225" s="4">
        <f t="shared" si="172"/>
        <v>50928.3</v>
      </c>
      <c r="L1225" s="1">
        <v>43852</v>
      </c>
      <c r="M1225">
        <v>2.84</v>
      </c>
      <c r="P1225" s="1">
        <v>43846</v>
      </c>
      <c r="Q1225">
        <v>3.18</v>
      </c>
      <c r="X1225" s="1">
        <v>43852</v>
      </c>
      <c r="Y1225">
        <f>NETWORKDAYS(X1225,$Z$1,FERIADO!$A$2:$A$408)</f>
        <v>2768</v>
      </c>
      <c r="Z1225">
        <v>7.2</v>
      </c>
      <c r="AA1225" s="6">
        <f t="shared" si="173"/>
        <v>46594.713251141213</v>
      </c>
      <c r="AB1225" s="2">
        <f t="shared" si="174"/>
        <v>2.3450801781196486E-3</v>
      </c>
      <c r="AJ1225" s="1">
        <v>43852</v>
      </c>
      <c r="AK1225">
        <f>NETWORKDAYS(AJ1225,$AJ$1,FERIADO!$A$2:$A$408)</f>
        <v>1755</v>
      </c>
      <c r="AL1225">
        <v>6.7</v>
      </c>
      <c r="AM1225" s="6">
        <f t="shared" si="175"/>
        <v>63658.285280587093</v>
      </c>
      <c r="AN1225" s="2">
        <f t="shared" si="176"/>
        <v>9.6251770872488637E-4</v>
      </c>
      <c r="AP1225" s="11">
        <f t="shared" si="177"/>
        <v>1.1725400890598243E-3</v>
      </c>
      <c r="AQ1225" s="11">
        <f t="shared" si="178"/>
        <v>2.887553126174659E-4</v>
      </c>
      <c r="AR1225" s="11">
        <f t="shared" si="179"/>
        <v>1.4612954016772902E-3</v>
      </c>
    </row>
    <row r="1226" spans="2:44" x14ac:dyDescent="0.35">
      <c r="B1226" s="1">
        <v>43851</v>
      </c>
      <c r="C1226">
        <v>3796.75</v>
      </c>
      <c r="D1226" s="1">
        <v>43859</v>
      </c>
      <c r="E1226">
        <v>4.2007000000000003</v>
      </c>
      <c r="F1226" s="1">
        <v>43844</v>
      </c>
      <c r="G1226">
        <v>129.16499999999999</v>
      </c>
      <c r="H1226" s="4">
        <f t="shared" si="171"/>
        <v>542583.4155</v>
      </c>
      <c r="I1226" s="5">
        <v>43851</v>
      </c>
      <c r="J1226" s="4">
        <v>5129.9399999999996</v>
      </c>
      <c r="K1226" s="4">
        <f t="shared" si="172"/>
        <v>51299.399999999994</v>
      </c>
      <c r="L1226" s="1">
        <v>43851</v>
      </c>
      <c r="M1226">
        <v>2.91</v>
      </c>
      <c r="P1226" s="1">
        <v>43845</v>
      </c>
      <c r="Q1226">
        <v>3.14</v>
      </c>
      <c r="X1226" s="1">
        <v>43851</v>
      </c>
      <c r="Y1226">
        <f>NETWORKDAYS(X1226,$Z$1,FERIADO!$A$2:$A$408)</f>
        <v>2769</v>
      </c>
      <c r="Z1226">
        <v>7.25</v>
      </c>
      <c r="AA1226" s="6">
        <f t="shared" si="173"/>
        <v>46343.791670055682</v>
      </c>
      <c r="AB1226" s="2">
        <f t="shared" si="174"/>
        <v>1.0107589353065146E-3</v>
      </c>
      <c r="AJ1226" s="1">
        <v>43851</v>
      </c>
      <c r="AK1226">
        <f>NETWORKDAYS(AJ1226,$AJ$1,FERIADO!$A$2:$A$408)</f>
        <v>1756</v>
      </c>
      <c r="AL1226">
        <v>6.73</v>
      </c>
      <c r="AM1226" s="6">
        <f t="shared" si="175"/>
        <v>63517.356990222012</v>
      </c>
      <c r="AN1226" s="2">
        <f t="shared" si="176"/>
        <v>1.2468607645274566E-3</v>
      </c>
      <c r="AP1226" s="11">
        <f t="shared" si="177"/>
        <v>5.0537946765325729E-4</v>
      </c>
      <c r="AQ1226" s="11">
        <f t="shared" si="178"/>
        <v>3.7405822935823697E-4</v>
      </c>
      <c r="AR1226" s="11">
        <f t="shared" si="179"/>
        <v>8.7943769701149426E-4</v>
      </c>
    </row>
    <row r="1227" spans="2:44" x14ac:dyDescent="0.35">
      <c r="B1227" s="1">
        <v>43850</v>
      </c>
      <c r="C1227">
        <v>3799.56</v>
      </c>
      <c r="D1227" s="1">
        <v>43858</v>
      </c>
      <c r="E1227">
        <v>4.2058</v>
      </c>
      <c r="F1227" s="1">
        <v>43843</v>
      </c>
      <c r="G1227">
        <v>128.94800000000001</v>
      </c>
      <c r="H1227" s="4">
        <f t="shared" si="171"/>
        <v>542329.49840000004</v>
      </c>
      <c r="I1227" s="5">
        <v>43850</v>
      </c>
      <c r="J1227" s="4">
        <v>5104.3900000000003</v>
      </c>
      <c r="K1227" s="4">
        <f t="shared" si="172"/>
        <v>51043.9</v>
      </c>
      <c r="L1227" s="1">
        <v>43850</v>
      </c>
      <c r="M1227">
        <v>2.91</v>
      </c>
      <c r="P1227" s="1">
        <v>43844</v>
      </c>
      <c r="Q1227">
        <v>3.14</v>
      </c>
      <c r="X1227" s="1">
        <v>43850</v>
      </c>
      <c r="Y1227">
        <f>NETWORKDAYS(X1227,$Z$1,FERIADO!$A$2:$A$408)</f>
        <v>2770</v>
      </c>
      <c r="Z1227">
        <v>7.27</v>
      </c>
      <c r="AA1227" s="6">
        <f t="shared" si="173"/>
        <v>46236.058470096694</v>
      </c>
      <c r="AB1227" s="2">
        <f t="shared" si="174"/>
        <v>-3.2426172427476815E-4</v>
      </c>
      <c r="AJ1227" s="1">
        <v>43850</v>
      </c>
      <c r="AK1227">
        <f>NETWORKDAYS(AJ1227,$AJ$1,FERIADO!$A$2:$A$408)</f>
        <v>1757</v>
      </c>
      <c r="AL1227">
        <v>6.77</v>
      </c>
      <c r="AM1227" s="6">
        <f t="shared" si="175"/>
        <v>63335.259992745552</v>
      </c>
      <c r="AN1227" s="2">
        <f t="shared" si="176"/>
        <v>-4.546822451199322E-4</v>
      </c>
      <c r="AP1227" s="11">
        <f t="shared" si="177"/>
        <v>-1.6213086213738407E-4</v>
      </c>
      <c r="AQ1227" s="11">
        <f t="shared" si="178"/>
        <v>-1.3640467353597967E-4</v>
      </c>
      <c r="AR1227" s="11">
        <f t="shared" si="179"/>
        <v>-2.9853553567336374E-4</v>
      </c>
    </row>
    <row r="1228" spans="2:44" x14ac:dyDescent="0.35">
      <c r="B1228" s="1">
        <v>43847</v>
      </c>
      <c r="C1228">
        <v>3802.42</v>
      </c>
      <c r="D1228" s="1">
        <v>43857</v>
      </c>
      <c r="E1228">
        <v>4.2190000000000003</v>
      </c>
      <c r="F1228" s="1">
        <v>43840</v>
      </c>
      <c r="G1228">
        <v>129.11799999999999</v>
      </c>
      <c r="H1228" s="4">
        <f t="shared" si="171"/>
        <v>544748.84199999995</v>
      </c>
      <c r="I1228" s="5">
        <v>43847</v>
      </c>
      <c r="J1228" s="4">
        <v>5069.7</v>
      </c>
      <c r="K1228" s="4">
        <f t="shared" si="172"/>
        <v>50697</v>
      </c>
      <c r="L1228" s="1">
        <v>43847</v>
      </c>
      <c r="M1228">
        <v>2.86</v>
      </c>
      <c r="P1228" s="1">
        <v>43843</v>
      </c>
      <c r="Q1228">
        <v>3.19</v>
      </c>
      <c r="X1228" s="1">
        <v>43847</v>
      </c>
      <c r="Y1228">
        <f>NETWORKDAYS(X1228,$Z$1,FERIADO!$A$2:$A$408)</f>
        <v>2771</v>
      </c>
      <c r="Z1228">
        <v>7.26</v>
      </c>
      <c r="AA1228" s="6">
        <f t="shared" si="173"/>
        <v>46270.593061472973</v>
      </c>
      <c r="AB1228" s="2">
        <f t="shared" si="174"/>
        <v>1.9020076192964729E-3</v>
      </c>
      <c r="AJ1228" s="1">
        <v>43847</v>
      </c>
      <c r="AK1228">
        <f>NETWORKDAYS(AJ1228,$AJ$1,FERIADO!$A$2:$A$408)</f>
        <v>1758</v>
      </c>
      <c r="AL1228">
        <v>6.75</v>
      </c>
      <c r="AM1228" s="6">
        <f t="shared" si="175"/>
        <v>63401.603221411046</v>
      </c>
      <c r="AN1228" s="2">
        <f t="shared" si="176"/>
        <v>2.0997519096089151E-3</v>
      </c>
      <c r="AP1228" s="11">
        <f t="shared" si="177"/>
        <v>9.5100380964823644E-4</v>
      </c>
      <c r="AQ1228" s="11">
        <f t="shared" si="178"/>
        <v>6.299255728826745E-4</v>
      </c>
      <c r="AR1228" s="11">
        <f t="shared" si="179"/>
        <v>1.580929382530911E-3</v>
      </c>
    </row>
    <row r="1229" spans="2:44" x14ac:dyDescent="0.35">
      <c r="B1229" s="1">
        <v>43846</v>
      </c>
      <c r="C1229">
        <v>3788.07</v>
      </c>
      <c r="D1229" s="1">
        <v>43854</v>
      </c>
      <c r="E1229">
        <v>4.1763000000000003</v>
      </c>
      <c r="F1229" s="1">
        <v>43839</v>
      </c>
      <c r="G1229">
        <v>128.91</v>
      </c>
      <c r="H1229" s="4">
        <f t="shared" si="171"/>
        <v>538366.8330000001</v>
      </c>
      <c r="I1229" s="5">
        <v>43846</v>
      </c>
      <c r="J1229" s="4">
        <v>5097.6899999999996</v>
      </c>
      <c r="K1229" s="4">
        <f t="shared" si="172"/>
        <v>50976.899999999994</v>
      </c>
      <c r="L1229" s="1">
        <v>43846</v>
      </c>
      <c r="M1229">
        <v>2.86</v>
      </c>
      <c r="P1229" s="1">
        <v>43840</v>
      </c>
      <c r="Q1229">
        <v>3.13</v>
      </c>
      <c r="X1229" s="1">
        <v>43846</v>
      </c>
      <c r="Y1229">
        <f>NETWORKDAYS(X1229,$Z$1,FERIADO!$A$2:$A$408)</f>
        <v>2772</v>
      </c>
      <c r="Z1229">
        <v>7.3</v>
      </c>
      <c r="AA1229" s="6">
        <f t="shared" si="173"/>
        <v>46068.392503209048</v>
      </c>
      <c r="AB1229" s="2">
        <f t="shared" si="174"/>
        <v>-4.3344821243853091E-3</v>
      </c>
      <c r="AJ1229" s="1">
        <v>43846</v>
      </c>
      <c r="AK1229">
        <f>NETWORKDAYS(AJ1229,$AJ$1,FERIADO!$A$2:$A$408)</f>
        <v>1759</v>
      </c>
      <c r="AL1229">
        <v>6.82</v>
      </c>
      <c r="AM1229" s="6">
        <f t="shared" si="175"/>
        <v>63095.805348236579</v>
      </c>
      <c r="AN1229" s="2">
        <f t="shared" si="176"/>
        <v>-3.0113729645881303E-3</v>
      </c>
      <c r="AP1229" s="11">
        <f t="shared" si="177"/>
        <v>-2.1672410621926545E-3</v>
      </c>
      <c r="AQ1229" s="11">
        <f t="shared" si="178"/>
        <v>-9.0341188937643905E-4</v>
      </c>
      <c r="AR1229" s="11">
        <f t="shared" si="179"/>
        <v>-3.0706529515690936E-3</v>
      </c>
    </row>
    <row r="1230" spans="2:44" x14ac:dyDescent="0.35">
      <c r="B1230" s="1">
        <v>43845</v>
      </c>
      <c r="C1230">
        <v>3756.13</v>
      </c>
      <c r="D1230" s="1">
        <v>43853</v>
      </c>
      <c r="E1230">
        <v>4.1656000000000004</v>
      </c>
      <c r="F1230" s="1">
        <v>43838</v>
      </c>
      <c r="G1230">
        <v>128.874</v>
      </c>
      <c r="H1230" s="4">
        <f t="shared" si="171"/>
        <v>536837.5344</v>
      </c>
      <c r="I1230" s="5">
        <v>43845</v>
      </c>
      <c r="J1230" s="4">
        <v>5086.74</v>
      </c>
      <c r="K1230" s="4">
        <f t="shared" si="172"/>
        <v>50867.399999999994</v>
      </c>
      <c r="L1230" s="1">
        <v>43845</v>
      </c>
      <c r="M1230">
        <v>2.82</v>
      </c>
      <c r="P1230" s="1">
        <v>43839</v>
      </c>
      <c r="Q1230">
        <v>3.15</v>
      </c>
      <c r="X1230" s="1">
        <v>43845</v>
      </c>
      <c r="Y1230">
        <f>NETWORKDAYS(X1230,$Z$1,FERIADO!$A$2:$A$408)</f>
        <v>2773</v>
      </c>
      <c r="Z1230">
        <v>7.2</v>
      </c>
      <c r="AA1230" s="6">
        <f t="shared" si="173"/>
        <v>46530.480839913216</v>
      </c>
      <c r="AB1230" s="2">
        <f t="shared" si="174"/>
        <v>1.1982057681245499E-4</v>
      </c>
      <c r="AJ1230" s="1">
        <v>43845</v>
      </c>
      <c r="AK1230">
        <f>NETWORKDAYS(AJ1230,$AJ$1,FERIADO!$A$2:$A$408)</f>
        <v>1760</v>
      </c>
      <c r="AL1230">
        <v>6.71</v>
      </c>
      <c r="AM1230" s="6">
        <f t="shared" si="175"/>
        <v>63534.82835551021</v>
      </c>
      <c r="AN1230" s="2">
        <f t="shared" si="176"/>
        <v>1.2493339561346641E-3</v>
      </c>
      <c r="AP1230" s="11">
        <f t="shared" si="177"/>
        <v>5.9910288406227496E-5</v>
      </c>
      <c r="AQ1230" s="11">
        <f t="shared" si="178"/>
        <v>3.7480018684039922E-4</v>
      </c>
      <c r="AR1230" s="11">
        <f t="shared" si="179"/>
        <v>4.3471047524662671E-4</v>
      </c>
    </row>
    <row r="1231" spans="2:44" x14ac:dyDescent="0.35">
      <c r="B1231" s="1">
        <v>43844</v>
      </c>
      <c r="C1231">
        <v>3751.8</v>
      </c>
      <c r="D1231" s="1">
        <v>43852</v>
      </c>
      <c r="E1231">
        <v>4.1882999999999999</v>
      </c>
      <c r="F1231" s="1">
        <v>43837</v>
      </c>
      <c r="G1231">
        <v>129.18299999999999</v>
      </c>
      <c r="H1231" s="4">
        <f t="shared" si="171"/>
        <v>541057.15890000004</v>
      </c>
      <c r="I1231" s="5">
        <v>43844</v>
      </c>
      <c r="J1231" s="4">
        <v>5035.0200000000004</v>
      </c>
      <c r="K1231" s="4">
        <f t="shared" si="172"/>
        <v>50350.200000000004</v>
      </c>
      <c r="L1231" s="1">
        <v>43844</v>
      </c>
      <c r="M1231">
        <v>2.83</v>
      </c>
      <c r="P1231" s="1">
        <v>43838</v>
      </c>
      <c r="Q1231">
        <v>3.16</v>
      </c>
      <c r="X1231" s="1">
        <v>43844</v>
      </c>
      <c r="Y1231">
        <f>NETWORKDAYS(X1231,$Z$1,FERIADO!$A$2:$A$408)</f>
        <v>2774</v>
      </c>
      <c r="Z1231">
        <v>7.2</v>
      </c>
      <c r="AA1231" s="6">
        <f t="shared" si="173"/>
        <v>46517.644987166088</v>
      </c>
      <c r="AB1231" s="2">
        <f t="shared" si="174"/>
        <v>3.2416434426782701E-3</v>
      </c>
      <c r="AJ1231" s="1">
        <v>43844</v>
      </c>
      <c r="AK1231">
        <f>NETWORKDAYS(AJ1231,$AJ$1,FERIADO!$A$2:$A$408)</f>
        <v>1761</v>
      </c>
      <c r="AL1231">
        <v>6.75</v>
      </c>
      <c r="AM1231" s="6">
        <f t="shared" si="175"/>
        <v>63352.320493979016</v>
      </c>
      <c r="AN1231" s="2">
        <f t="shared" si="176"/>
        <v>1.8188537943330972E-3</v>
      </c>
      <c r="AP1231" s="11">
        <f t="shared" si="177"/>
        <v>1.6208217213391351E-3</v>
      </c>
      <c r="AQ1231" s="11">
        <f t="shared" si="178"/>
        <v>5.4565613829992918E-4</v>
      </c>
      <c r="AR1231" s="11">
        <f t="shared" si="179"/>
        <v>2.1664778596390643E-3</v>
      </c>
    </row>
    <row r="1232" spans="2:44" x14ac:dyDescent="0.35">
      <c r="B1232" s="1">
        <v>43843</v>
      </c>
      <c r="C1232">
        <v>3752.6</v>
      </c>
      <c r="D1232" s="1">
        <v>43851</v>
      </c>
      <c r="E1232">
        <v>4.2008000000000001</v>
      </c>
      <c r="F1232" s="1">
        <v>43836</v>
      </c>
      <c r="G1232">
        <v>129.28100000000001</v>
      </c>
      <c r="H1232" s="4">
        <f t="shared" si="171"/>
        <v>543083.62480000011</v>
      </c>
      <c r="I1232" s="5">
        <v>43843</v>
      </c>
      <c r="J1232" s="4">
        <v>5052.67</v>
      </c>
      <c r="K1232" s="4">
        <f t="shared" si="172"/>
        <v>50526.7</v>
      </c>
      <c r="L1232" s="1">
        <v>43843</v>
      </c>
      <c r="M1232">
        <v>2.87</v>
      </c>
      <c r="P1232" s="1">
        <v>43837</v>
      </c>
      <c r="Q1232">
        <v>3.18</v>
      </c>
      <c r="X1232" s="1">
        <v>43843</v>
      </c>
      <c r="Y1232">
        <f>NETWORKDAYS(X1232,$Z$1,FERIADO!$A$2:$A$408)</f>
        <v>2775</v>
      </c>
      <c r="Z1232">
        <v>7.27</v>
      </c>
      <c r="AA1232" s="6">
        <f t="shared" si="173"/>
        <v>46171.722464857252</v>
      </c>
      <c r="AB1232" s="2">
        <f t="shared" si="174"/>
        <v>-3.0020022890533109E-3</v>
      </c>
      <c r="AJ1232" s="1">
        <v>43843</v>
      </c>
      <c r="AK1232">
        <f>NETWORKDAYS(AJ1232,$AJ$1,FERIADO!$A$2:$A$408)</f>
        <v>1762</v>
      </c>
      <c r="AL1232">
        <v>6.81</v>
      </c>
      <c r="AM1232" s="6">
        <f t="shared" si="175"/>
        <v>63087.551639408426</v>
      </c>
      <c r="AN1232" s="2">
        <f t="shared" si="176"/>
        <v>-1.8783470173556181E-3</v>
      </c>
      <c r="AP1232" s="11">
        <f t="shared" si="177"/>
        <v>-1.5010011445266555E-3</v>
      </c>
      <c r="AQ1232" s="11">
        <f t="shared" si="178"/>
        <v>-5.6350410520668542E-4</v>
      </c>
      <c r="AR1232" s="11">
        <f t="shared" si="179"/>
        <v>-2.0645052497333411E-3</v>
      </c>
    </row>
    <row r="1233" spans="2:44" x14ac:dyDescent="0.35">
      <c r="B1233" s="1">
        <v>43840</v>
      </c>
      <c r="C1233">
        <v>3729.79</v>
      </c>
      <c r="D1233" s="1">
        <v>43850</v>
      </c>
      <c r="E1233">
        <v>4.1822999999999997</v>
      </c>
      <c r="F1233" s="1">
        <v>43833</v>
      </c>
      <c r="G1233">
        <v>129.37</v>
      </c>
      <c r="H1233" s="4">
        <f t="shared" si="171"/>
        <v>541064.15099999995</v>
      </c>
      <c r="I1233" s="5">
        <v>43840</v>
      </c>
      <c r="J1233" s="4">
        <v>4990.6000000000004</v>
      </c>
      <c r="K1233" s="4">
        <f t="shared" si="172"/>
        <v>49906</v>
      </c>
      <c r="L1233" s="1">
        <v>43840</v>
      </c>
      <c r="M1233">
        <v>2.81</v>
      </c>
      <c r="P1233" s="1">
        <v>43836</v>
      </c>
      <c r="Q1233">
        <v>3.2</v>
      </c>
      <c r="X1233" s="1">
        <v>43840</v>
      </c>
      <c r="Y1233">
        <f>NETWORKDAYS(X1233,$Z$1,FERIADO!$A$2:$A$408)</f>
        <v>2776</v>
      </c>
      <c r="Z1233">
        <v>7.2</v>
      </c>
      <c r="AA1233" s="6">
        <f t="shared" si="173"/>
        <v>46491.983903352251</v>
      </c>
      <c r="AB1233" s="2">
        <f t="shared" si="174"/>
        <v>-7.731463545850852E-4</v>
      </c>
      <c r="AJ1233" s="1">
        <v>43840</v>
      </c>
      <c r="AK1233">
        <f>NETWORKDAYS(AJ1233,$AJ$1,FERIADO!$A$2:$A$408)</f>
        <v>1763</v>
      </c>
      <c r="AL1233">
        <v>6.74</v>
      </c>
      <c r="AM1233" s="6">
        <f t="shared" si="175"/>
        <v>63360.999609320294</v>
      </c>
      <c r="AN1233" s="2">
        <f t="shared" si="176"/>
        <v>-1.7241377130944251E-4</v>
      </c>
      <c r="AP1233" s="11">
        <f t="shared" si="177"/>
        <v>-3.865731772925426E-4</v>
      </c>
      <c r="AQ1233" s="11">
        <f t="shared" si="178"/>
        <v>-5.1724131392832752E-5</v>
      </c>
      <c r="AR1233" s="11">
        <f t="shared" si="179"/>
        <v>-4.3829730868537537E-4</v>
      </c>
    </row>
    <row r="1234" spans="2:44" x14ac:dyDescent="0.35">
      <c r="B1234" s="1">
        <v>43839</v>
      </c>
      <c r="C1234">
        <v>3741.51</v>
      </c>
      <c r="D1234" s="1">
        <v>43847</v>
      </c>
      <c r="E1234">
        <v>4.1830999999999996</v>
      </c>
      <c r="F1234" s="1">
        <v>43832</v>
      </c>
      <c r="G1234">
        <v>128.64699999999999</v>
      </c>
      <c r="H1234" s="4">
        <f t="shared" si="171"/>
        <v>538143.26569999987</v>
      </c>
      <c r="I1234" s="5">
        <v>43839</v>
      </c>
      <c r="J1234" s="4">
        <v>4987.5600000000004</v>
      </c>
      <c r="K1234" s="4">
        <f t="shared" si="172"/>
        <v>49875.600000000006</v>
      </c>
      <c r="L1234" s="1">
        <v>43839</v>
      </c>
      <c r="M1234">
        <v>2.83</v>
      </c>
      <c r="P1234" s="1">
        <v>43833</v>
      </c>
      <c r="Q1234">
        <v>3.14</v>
      </c>
      <c r="X1234" s="1">
        <v>43839</v>
      </c>
      <c r="Y1234">
        <f>NETWORKDAYS(X1234,$Z$1,FERIADO!$A$2:$A$408)</f>
        <v>2777</v>
      </c>
      <c r="Z1234">
        <v>7.18</v>
      </c>
      <c r="AA1234" s="6">
        <f t="shared" si="173"/>
        <v>46574.824288714612</v>
      </c>
      <c r="AB1234" s="2">
        <f t="shared" si="174"/>
        <v>1.0127875082101723E-3</v>
      </c>
      <c r="AJ1234" s="1">
        <v>43839</v>
      </c>
      <c r="AK1234">
        <f>NETWORKDAYS(AJ1234,$AJ$1,FERIADO!$A$2:$A$408)</f>
        <v>1764</v>
      </c>
      <c r="AL1234">
        <v>6.73</v>
      </c>
      <c r="AM1234" s="6">
        <f t="shared" si="175"/>
        <v>63386.158753863609</v>
      </c>
      <c r="AN1234" s="2">
        <f t="shared" si="176"/>
        <v>9.6712222559999881E-4</v>
      </c>
      <c r="AP1234" s="11">
        <f t="shared" si="177"/>
        <v>5.0639375410508616E-4</v>
      </c>
      <c r="AQ1234" s="11">
        <f t="shared" si="178"/>
        <v>2.9013666767999964E-4</v>
      </c>
      <c r="AR1234" s="11">
        <f t="shared" si="179"/>
        <v>7.9653042178508575E-4</v>
      </c>
    </row>
    <row r="1235" spans="2:44" x14ac:dyDescent="0.35">
      <c r="B1235" s="1">
        <v>43838</v>
      </c>
      <c r="C1235">
        <v>3722.88</v>
      </c>
      <c r="D1235" s="1">
        <v>43846</v>
      </c>
      <c r="E1235">
        <v>4.1719999999999997</v>
      </c>
      <c r="F1235" s="1">
        <v>43829</v>
      </c>
      <c r="G1235">
        <v>128.5</v>
      </c>
      <c r="H1235" s="4">
        <f t="shared" si="171"/>
        <v>536102</v>
      </c>
      <c r="I1235" s="5">
        <v>43838</v>
      </c>
      <c r="J1235" s="4">
        <v>4951.66</v>
      </c>
      <c r="K1235" s="4">
        <f t="shared" si="172"/>
        <v>49516.6</v>
      </c>
      <c r="L1235" s="1">
        <v>43838</v>
      </c>
      <c r="M1235">
        <v>2.85</v>
      </c>
      <c r="P1235" s="1">
        <v>43832</v>
      </c>
      <c r="Q1235">
        <v>3.11</v>
      </c>
      <c r="X1235" s="1">
        <v>43838</v>
      </c>
      <c r="Y1235">
        <f>NETWORKDAYS(X1235,$Z$1,FERIADO!$A$2:$A$408)</f>
        <v>2778</v>
      </c>
      <c r="Z1235">
        <v>7.2</v>
      </c>
      <c r="AA1235" s="6">
        <f t="shared" si="173"/>
        <v>46466.336975268394</v>
      </c>
      <c r="AB1235" s="2">
        <f t="shared" si="174"/>
        <v>1.0132639217305887E-3</v>
      </c>
      <c r="AJ1235" s="1">
        <v>43838</v>
      </c>
      <c r="AK1235">
        <f>NETWORKDAYS(AJ1235,$AJ$1,FERIADO!$A$2:$A$408)</f>
        <v>1765</v>
      </c>
      <c r="AL1235">
        <v>6.76</v>
      </c>
      <c r="AM1235" s="6">
        <f t="shared" si="175"/>
        <v>63245.162356722467</v>
      </c>
      <c r="AN1235" s="2">
        <f t="shared" si="176"/>
        <v>9.6785059603889047E-4</v>
      </c>
      <c r="AP1235" s="11">
        <f t="shared" si="177"/>
        <v>5.0663196086529435E-4</v>
      </c>
      <c r="AQ1235" s="11">
        <f t="shared" si="178"/>
        <v>2.9035517881166714E-4</v>
      </c>
      <c r="AR1235" s="11">
        <f t="shared" si="179"/>
        <v>7.9698713967696149E-4</v>
      </c>
    </row>
    <row r="1236" spans="2:44" x14ac:dyDescent="0.35">
      <c r="B1236" s="1">
        <v>43837</v>
      </c>
      <c r="C1236">
        <v>3702.27</v>
      </c>
      <c r="D1236" s="1">
        <v>43845</v>
      </c>
      <c r="E1236">
        <v>4.1616</v>
      </c>
      <c r="F1236" s="1">
        <v>43826</v>
      </c>
      <c r="G1236">
        <v>128.68600000000001</v>
      </c>
      <c r="H1236" s="4">
        <f t="shared" si="171"/>
        <v>535539.65760000004</v>
      </c>
      <c r="I1236" s="5">
        <v>43837</v>
      </c>
      <c r="J1236" s="4">
        <v>4958.3599999999997</v>
      </c>
      <c r="K1236" s="4">
        <f t="shared" si="172"/>
        <v>49583.6</v>
      </c>
      <c r="L1236" s="1">
        <v>43837</v>
      </c>
      <c r="M1236">
        <v>2.88</v>
      </c>
      <c r="P1236" s="1">
        <v>43829</v>
      </c>
      <c r="Q1236">
        <v>3.06</v>
      </c>
      <c r="X1236" s="1">
        <v>43837</v>
      </c>
      <c r="Y1236">
        <f>NETWORKDAYS(X1236,$Z$1,FERIADO!$A$2:$A$408)</f>
        <v>2779</v>
      </c>
      <c r="Z1236">
        <v>7.22</v>
      </c>
      <c r="AA1236" s="6">
        <f t="shared" si="173"/>
        <v>46358.051508654258</v>
      </c>
      <c r="AB1236" s="2">
        <f t="shared" si="174"/>
        <v>-3.4559181226761064E-3</v>
      </c>
      <c r="AJ1236" s="1">
        <v>43837</v>
      </c>
      <c r="AK1236">
        <f>NETWORKDAYS(AJ1236,$AJ$1,FERIADO!$A$2:$A$408)</f>
        <v>1766</v>
      </c>
      <c r="AL1236">
        <v>6.79</v>
      </c>
      <c r="AM1236" s="6">
        <f t="shared" si="175"/>
        <v>63104.373757831709</v>
      </c>
      <c r="AN1236" s="2">
        <f t="shared" si="176"/>
        <v>1.1321661314020981E-4</v>
      </c>
      <c r="AP1236" s="11">
        <f t="shared" si="177"/>
        <v>-1.7279590613380532E-3</v>
      </c>
      <c r="AQ1236" s="11">
        <f t="shared" si="178"/>
        <v>3.396498394206294E-5</v>
      </c>
      <c r="AR1236" s="11">
        <f t="shared" si="179"/>
        <v>-1.6939940773959903E-3</v>
      </c>
    </row>
    <row r="1237" spans="2:44" x14ac:dyDescent="0.35">
      <c r="B1237" s="1">
        <v>43836</v>
      </c>
      <c r="C1237">
        <v>3705.7</v>
      </c>
      <c r="D1237" s="1">
        <v>43844</v>
      </c>
      <c r="E1237">
        <v>4.1436999999999999</v>
      </c>
      <c r="F1237" s="1">
        <v>43825</v>
      </c>
      <c r="G1237">
        <v>128.48099999999999</v>
      </c>
      <c r="H1237" s="4">
        <f t="shared" si="171"/>
        <v>532386.71970000002</v>
      </c>
      <c r="I1237" s="5">
        <v>43836</v>
      </c>
      <c r="J1237" s="4">
        <v>4949.84</v>
      </c>
      <c r="K1237" s="4">
        <f t="shared" si="172"/>
        <v>49498.400000000001</v>
      </c>
      <c r="L1237" s="1">
        <v>43836</v>
      </c>
      <c r="M1237">
        <v>2.89</v>
      </c>
      <c r="P1237" s="1">
        <v>43826</v>
      </c>
      <c r="Q1237">
        <v>3.2</v>
      </c>
      <c r="X1237" s="1">
        <v>43836</v>
      </c>
      <c r="Y1237">
        <f>NETWORKDAYS(X1237,$Z$1,FERIADO!$A$2:$A$408)</f>
        <v>2780</v>
      </c>
      <c r="Z1237">
        <v>7.14</v>
      </c>
      <c r="AA1237" s="6">
        <f t="shared" si="173"/>
        <v>46728.419470811437</v>
      </c>
      <c r="AB1237" s="2">
        <f t="shared" si="174"/>
        <v>-3.0176234686054253E-4</v>
      </c>
      <c r="AJ1237" s="1">
        <v>43836</v>
      </c>
      <c r="AK1237">
        <f>NETWORKDAYS(AJ1237,$AJ$1,FERIADO!$A$2:$A$408)</f>
        <v>1767</v>
      </c>
      <c r="AL1237">
        <v>6.79</v>
      </c>
      <c r="AM1237" s="6">
        <f t="shared" si="175"/>
        <v>63087.925166837529</v>
      </c>
      <c r="AN1237" s="2">
        <f t="shared" si="176"/>
        <v>-1.0282856710843442E-3</v>
      </c>
      <c r="AP1237" s="11">
        <f t="shared" si="177"/>
        <v>-1.5088117343027126E-4</v>
      </c>
      <c r="AQ1237" s="11">
        <f t="shared" si="178"/>
        <v>-3.0848570132530328E-4</v>
      </c>
      <c r="AR1237" s="11">
        <f t="shared" si="179"/>
        <v>-4.5936687475557451E-4</v>
      </c>
    </row>
    <row r="1238" spans="2:44" x14ac:dyDescent="0.35">
      <c r="B1238" s="1">
        <v>43833</v>
      </c>
      <c r="C1238">
        <v>3696.85</v>
      </c>
      <c r="D1238" s="1">
        <v>43843</v>
      </c>
      <c r="E1238">
        <v>4.1303000000000001</v>
      </c>
      <c r="F1238" s="1">
        <v>43822</v>
      </c>
      <c r="G1238">
        <v>128.149</v>
      </c>
      <c r="H1238" s="4">
        <f t="shared" si="171"/>
        <v>529293.81469999999</v>
      </c>
      <c r="I1238" s="5">
        <v>43833</v>
      </c>
      <c r="J1238" s="4">
        <v>4943.75</v>
      </c>
      <c r="K1238" s="4">
        <f t="shared" si="172"/>
        <v>49437.5</v>
      </c>
      <c r="L1238" s="1">
        <v>43833</v>
      </c>
      <c r="M1238">
        <v>2.83</v>
      </c>
      <c r="P1238" s="1">
        <v>43825</v>
      </c>
      <c r="Q1238">
        <v>3.17</v>
      </c>
      <c r="X1238" s="1">
        <v>43829</v>
      </c>
      <c r="Y1238">
        <f>NETWORKDAYS(X1238,$Z$1,FERIADO!$A$2:$A$408)</f>
        <v>2785</v>
      </c>
      <c r="Z1238">
        <v>7.12</v>
      </c>
      <c r="AA1238" s="6">
        <f t="shared" si="173"/>
        <v>46760.899223900917</v>
      </c>
      <c r="AB1238" s="2" t="e">
        <f>LOG(AA1238/AA1239)</f>
        <v>#DIV/0!</v>
      </c>
      <c r="AJ1238" s="1">
        <v>43833</v>
      </c>
      <c r="AK1238">
        <f>NETWORKDAYS(AJ1238,$AJ$1,FERIADO!$A$2:$A$408)</f>
        <v>1768</v>
      </c>
      <c r="AL1238">
        <v>6.75</v>
      </c>
      <c r="AM1238" s="6">
        <f t="shared" si="175"/>
        <v>63237.476387310977</v>
      </c>
      <c r="AN1238" s="2">
        <f t="shared" si="176"/>
        <v>-1.0300050145888111E-3</v>
      </c>
    </row>
    <row r="1239" spans="2:44" x14ac:dyDescent="0.35">
      <c r="B1239" s="1">
        <v>43832</v>
      </c>
      <c r="C1239">
        <v>3718.33</v>
      </c>
      <c r="D1239" s="1">
        <v>43840</v>
      </c>
      <c r="E1239">
        <v>4.0739000000000001</v>
      </c>
      <c r="F1239" s="1">
        <v>43819</v>
      </c>
      <c r="G1239">
        <v>128.24199999999999</v>
      </c>
      <c r="H1239" s="4">
        <f t="shared" si="171"/>
        <v>522445.08380000002</v>
      </c>
      <c r="I1239" s="5">
        <v>43832</v>
      </c>
      <c r="J1239" s="4">
        <v>4904.8100000000004</v>
      </c>
      <c r="K1239" s="4">
        <f t="shared" si="172"/>
        <v>49048.100000000006</v>
      </c>
      <c r="L1239" s="1">
        <v>43832</v>
      </c>
      <c r="M1239">
        <v>2.81</v>
      </c>
      <c r="P1239" s="1">
        <v>43822</v>
      </c>
      <c r="Q1239">
        <v>3.26</v>
      </c>
      <c r="X1239" s="1"/>
      <c r="AA1239" s="6"/>
      <c r="AB1239" s="2"/>
      <c r="AJ1239" s="1">
        <v>43832</v>
      </c>
      <c r="AK1239">
        <f>NETWORKDAYS(AJ1239,$AJ$1,FERIADO!$A$2:$A$408)</f>
        <v>1769</v>
      </c>
      <c r="AL1239">
        <v>6.71</v>
      </c>
      <c r="AM1239" s="6">
        <f t="shared" si="175"/>
        <v>63387.633069024523</v>
      </c>
      <c r="AN1239" s="2">
        <f t="shared" si="176"/>
        <v>-0.19799546473304849</v>
      </c>
    </row>
    <row r="1240" spans="2:44" x14ac:dyDescent="0.35">
      <c r="B1240" s="1">
        <v>43829</v>
      </c>
      <c r="C1240">
        <v>3697.41</v>
      </c>
      <c r="D1240" s="1">
        <v>43839</v>
      </c>
      <c r="E1240">
        <v>4.0738000000000003</v>
      </c>
      <c r="F1240" s="1">
        <v>43818</v>
      </c>
      <c r="G1240">
        <v>128.351</v>
      </c>
      <c r="H1240" s="4">
        <f t="shared" si="171"/>
        <v>522876.30380000005</v>
      </c>
      <c r="I1240" s="5">
        <v>43829</v>
      </c>
      <c r="J1240" s="4">
        <v>4898.12</v>
      </c>
      <c r="K1240" s="4">
        <f t="shared" si="172"/>
        <v>48981.2</v>
      </c>
      <c r="L1240" s="1">
        <v>43829</v>
      </c>
      <c r="M1240">
        <v>2.84</v>
      </c>
      <c r="P1240" s="1">
        <v>43819</v>
      </c>
      <c r="Q1240">
        <v>3.28</v>
      </c>
      <c r="AJ1240" s="1">
        <v>43829</v>
      </c>
      <c r="AL1240">
        <v>6.76</v>
      </c>
      <c r="AM1240" s="6">
        <f t="shared" si="175"/>
        <v>100000</v>
      </c>
      <c r="AN1240" s="2">
        <f t="shared" si="176"/>
        <v>0</v>
      </c>
    </row>
    <row r="1241" spans="2:44" x14ac:dyDescent="0.35">
      <c r="B1241" s="1">
        <v>43826</v>
      </c>
      <c r="C1241">
        <v>3702.77</v>
      </c>
      <c r="D1241" s="1">
        <v>43838</v>
      </c>
      <c r="E1241">
        <v>4.0666000000000002</v>
      </c>
      <c r="F1241" s="1">
        <v>43817</v>
      </c>
      <c r="G1241">
        <v>128.214</v>
      </c>
      <c r="H1241" s="4">
        <f t="shared" si="171"/>
        <v>521395.05240000004</v>
      </c>
      <c r="I1241" s="5">
        <v>43826</v>
      </c>
      <c r="J1241" s="4">
        <v>4929.76</v>
      </c>
      <c r="K1241" s="4">
        <f t="shared" si="172"/>
        <v>49297.600000000006</v>
      </c>
      <c r="L1241" s="1">
        <v>43826</v>
      </c>
      <c r="M1241">
        <v>2.85</v>
      </c>
      <c r="P1241" s="1">
        <v>43818</v>
      </c>
      <c r="Q1241">
        <v>3.35</v>
      </c>
      <c r="AJ1241" s="1">
        <v>43826</v>
      </c>
      <c r="AL1241">
        <v>6.84</v>
      </c>
      <c r="AM1241" s="6">
        <f t="shared" si="175"/>
        <v>100000</v>
      </c>
      <c r="AN1241" s="2">
        <f t="shared" si="176"/>
        <v>0</v>
      </c>
    </row>
    <row r="1242" spans="2:44" x14ac:dyDescent="0.35">
      <c r="B1242" s="1">
        <v>43825</v>
      </c>
      <c r="C1242">
        <v>3699.32</v>
      </c>
      <c r="D1242" s="1">
        <v>43837</v>
      </c>
      <c r="E1242">
        <v>4.0834999999999999</v>
      </c>
      <c r="F1242" s="1">
        <v>43816</v>
      </c>
      <c r="G1242">
        <v>128.47200000000001</v>
      </c>
      <c r="H1242" s="4">
        <f t="shared" si="171"/>
        <v>524615.41200000001</v>
      </c>
      <c r="I1242" s="5">
        <v>43825</v>
      </c>
      <c r="J1242" s="4">
        <v>4945</v>
      </c>
      <c r="K1242" s="4">
        <f t="shared" si="172"/>
        <v>49450</v>
      </c>
      <c r="L1242" s="1">
        <v>43825</v>
      </c>
      <c r="M1242">
        <v>2.88</v>
      </c>
      <c r="P1242" s="1">
        <v>43817</v>
      </c>
      <c r="Q1242">
        <v>3.2</v>
      </c>
      <c r="AJ1242" s="1">
        <v>43825</v>
      </c>
      <c r="AL1242">
        <v>6.85</v>
      </c>
      <c r="AM1242" s="6">
        <f t="shared" si="175"/>
        <v>100000</v>
      </c>
      <c r="AN1242" s="2">
        <f t="shared" si="176"/>
        <v>0</v>
      </c>
    </row>
    <row r="1243" spans="2:44" x14ac:dyDescent="0.35">
      <c r="B1243" s="1">
        <v>43822</v>
      </c>
      <c r="C1243">
        <v>3684.93</v>
      </c>
      <c r="D1243" s="1">
        <v>43836</v>
      </c>
      <c r="E1243">
        <v>4.0548000000000002</v>
      </c>
      <c r="F1243" s="1">
        <v>43815</v>
      </c>
      <c r="G1243">
        <v>128.46299999999999</v>
      </c>
      <c r="H1243" s="4">
        <f t="shared" si="171"/>
        <v>520891.77240000002</v>
      </c>
      <c r="I1243" s="5">
        <v>43822</v>
      </c>
      <c r="J1243" s="4">
        <v>4978.53</v>
      </c>
      <c r="K1243" s="4">
        <f t="shared" si="172"/>
        <v>49785.299999999996</v>
      </c>
      <c r="L1243" s="1">
        <v>43822</v>
      </c>
      <c r="M1243">
        <v>2.92</v>
      </c>
      <c r="P1243" s="1">
        <v>43816</v>
      </c>
      <c r="Q1243">
        <v>3.17</v>
      </c>
      <c r="AJ1243" s="1">
        <v>43822</v>
      </c>
      <c r="AL1243">
        <v>6.93</v>
      </c>
      <c r="AM1243" s="6">
        <f t="shared" si="175"/>
        <v>100000</v>
      </c>
      <c r="AN1243" s="2">
        <f t="shared" si="176"/>
        <v>0</v>
      </c>
    </row>
    <row r="1244" spans="2:44" x14ac:dyDescent="0.35">
      <c r="B1244" s="1">
        <v>43819</v>
      </c>
      <c r="C1244">
        <v>3686.02</v>
      </c>
      <c r="D1244" s="1">
        <v>43833</v>
      </c>
      <c r="E1244">
        <v>4.0515999999999996</v>
      </c>
      <c r="F1244" s="1">
        <v>43812</v>
      </c>
      <c r="G1244">
        <v>129.012</v>
      </c>
      <c r="H1244" s="4">
        <f t="shared" si="171"/>
        <v>522705.01919999992</v>
      </c>
      <c r="I1244" s="5">
        <v>43819</v>
      </c>
      <c r="J1244" s="4">
        <v>5004.13</v>
      </c>
      <c r="K1244" s="4">
        <f t="shared" si="172"/>
        <v>50041.3</v>
      </c>
      <c r="L1244" s="1">
        <v>43819</v>
      </c>
      <c r="M1244">
        <v>2.95</v>
      </c>
      <c r="P1244" s="1">
        <v>43815</v>
      </c>
      <c r="Q1244">
        <v>3.08</v>
      </c>
      <c r="AJ1244" s="1">
        <v>43819</v>
      </c>
      <c r="AL1244">
        <v>6.99</v>
      </c>
      <c r="AM1244" s="6">
        <f t="shared" si="175"/>
        <v>100000</v>
      </c>
      <c r="AN1244" s="2">
        <f t="shared" si="176"/>
        <v>0</v>
      </c>
    </row>
    <row r="1245" spans="2:44" x14ac:dyDescent="0.35">
      <c r="B1245" s="1">
        <v>43818</v>
      </c>
      <c r="C1245">
        <v>3668.51</v>
      </c>
      <c r="D1245" s="1">
        <v>43832</v>
      </c>
      <c r="E1245">
        <v>4.0206999999999997</v>
      </c>
      <c r="F1245" s="1">
        <v>43811</v>
      </c>
      <c r="G1245">
        <v>128.36000000000001</v>
      </c>
      <c r="H1245" s="4">
        <f t="shared" si="171"/>
        <v>516097.05199999997</v>
      </c>
      <c r="I1245" s="5">
        <v>43818</v>
      </c>
      <c r="J1245" s="4">
        <v>4963.29</v>
      </c>
      <c r="K1245" s="4">
        <f t="shared" si="172"/>
        <v>49632.9</v>
      </c>
      <c r="L1245" s="1">
        <v>43818</v>
      </c>
      <c r="M1245">
        <v>3.02</v>
      </c>
      <c r="P1245" s="1">
        <v>43812</v>
      </c>
      <c r="Q1245">
        <v>3.04</v>
      </c>
      <c r="AJ1245" s="1">
        <v>43818</v>
      </c>
      <c r="AL1245">
        <v>7.06</v>
      </c>
      <c r="AM1245" s="6">
        <f t="shared" si="175"/>
        <v>100000</v>
      </c>
      <c r="AN1245" s="2">
        <f t="shared" si="176"/>
        <v>0</v>
      </c>
    </row>
    <row r="1246" spans="2:44" x14ac:dyDescent="0.35">
      <c r="B1246" s="1">
        <v>43817</v>
      </c>
      <c r="C1246">
        <v>3656.05</v>
      </c>
      <c r="D1246" s="1">
        <v>43830</v>
      </c>
      <c r="E1246">
        <v>4.0301</v>
      </c>
      <c r="F1246" s="1">
        <v>43810</v>
      </c>
      <c r="G1246">
        <v>129.26400000000001</v>
      </c>
      <c r="H1246" s="4">
        <f t="shared" si="171"/>
        <v>520946.84640000004</v>
      </c>
      <c r="I1246" s="5">
        <v>43817</v>
      </c>
      <c r="J1246" s="4">
        <v>4954.75</v>
      </c>
      <c r="K1246" s="4">
        <f t="shared" si="172"/>
        <v>49547.5</v>
      </c>
      <c r="L1246" s="1">
        <v>43817</v>
      </c>
      <c r="M1246">
        <v>2.86</v>
      </c>
      <c r="P1246" s="1">
        <v>43811</v>
      </c>
      <c r="Q1246">
        <v>3.04</v>
      </c>
      <c r="AJ1246" s="1">
        <v>43817</v>
      </c>
      <c r="AL1246">
        <v>6.9</v>
      </c>
      <c r="AM1246" s="6">
        <f t="shared" si="175"/>
        <v>100000</v>
      </c>
      <c r="AN1246" s="2">
        <f t="shared" si="176"/>
        <v>0</v>
      </c>
    </row>
    <row r="1247" spans="2:44" x14ac:dyDescent="0.35">
      <c r="B1247" s="1">
        <v>43816</v>
      </c>
      <c r="C1247">
        <v>3660.32</v>
      </c>
      <c r="D1247" s="1">
        <v>43829</v>
      </c>
      <c r="E1247">
        <v>4.0301</v>
      </c>
      <c r="F1247" s="1">
        <v>43809</v>
      </c>
      <c r="G1247">
        <v>128.88</v>
      </c>
      <c r="H1247" s="4">
        <f t="shared" si="171"/>
        <v>519399.28799999994</v>
      </c>
      <c r="I1247" s="5">
        <v>43816</v>
      </c>
      <c r="J1247" s="4">
        <v>4961.46</v>
      </c>
      <c r="K1247" s="4">
        <f t="shared" si="172"/>
        <v>49614.6</v>
      </c>
      <c r="L1247" s="1">
        <v>43816</v>
      </c>
      <c r="M1247">
        <v>2.82</v>
      </c>
      <c r="P1247" s="1">
        <v>43810</v>
      </c>
      <c r="Q1247">
        <v>3.03</v>
      </c>
      <c r="AJ1247" s="1">
        <v>43816</v>
      </c>
      <c r="AL1247">
        <v>6.93</v>
      </c>
      <c r="AM1247" s="6">
        <f t="shared" si="175"/>
        <v>100000</v>
      </c>
      <c r="AN1247" s="2">
        <f t="shared" si="176"/>
        <v>0</v>
      </c>
    </row>
    <row r="1248" spans="2:44" x14ac:dyDescent="0.35">
      <c r="B1248" s="1">
        <v>43815</v>
      </c>
      <c r="C1248">
        <v>3657.86</v>
      </c>
      <c r="D1248" s="1">
        <v>43826</v>
      </c>
      <c r="E1248">
        <v>4.0538999999999996</v>
      </c>
      <c r="F1248" s="1">
        <v>43808</v>
      </c>
      <c r="G1248">
        <v>128.98699999999999</v>
      </c>
      <c r="H1248" s="4">
        <f t="shared" si="171"/>
        <v>522900.39929999987</v>
      </c>
      <c r="I1248" s="5">
        <v>43815</v>
      </c>
      <c r="J1248" s="4">
        <v>4952.92</v>
      </c>
      <c r="K1248" s="4">
        <f t="shared" si="172"/>
        <v>49529.2</v>
      </c>
      <c r="L1248" s="1">
        <v>43815</v>
      </c>
      <c r="M1248">
        <v>2.72</v>
      </c>
      <c r="P1248" s="1">
        <v>43809</v>
      </c>
      <c r="Q1248">
        <v>3.05</v>
      </c>
      <c r="AJ1248" s="1">
        <v>43815</v>
      </c>
      <c r="AL1248">
        <v>6.81</v>
      </c>
      <c r="AM1248" s="6">
        <f t="shared" si="175"/>
        <v>100000</v>
      </c>
      <c r="AN1248" s="2">
        <f t="shared" si="176"/>
        <v>0</v>
      </c>
    </row>
    <row r="1249" spans="2:40" x14ac:dyDescent="0.35">
      <c r="B1249" s="1">
        <v>43812</v>
      </c>
      <c r="C1249">
        <v>3631.31</v>
      </c>
      <c r="D1249" s="1">
        <v>43825</v>
      </c>
      <c r="E1249">
        <v>4.0594999999999999</v>
      </c>
      <c r="F1249" s="1">
        <v>43805</v>
      </c>
      <c r="G1249">
        <v>128.92099999999999</v>
      </c>
      <c r="H1249" s="4">
        <f t="shared" si="171"/>
        <v>523354.79949999991</v>
      </c>
      <c r="I1249" s="5">
        <v>43812</v>
      </c>
      <c r="J1249" s="4">
        <v>5012.05</v>
      </c>
      <c r="K1249" s="4">
        <f t="shared" si="172"/>
        <v>50120.5</v>
      </c>
      <c r="L1249" s="1">
        <v>43812</v>
      </c>
      <c r="M1249">
        <v>2.68</v>
      </c>
      <c r="P1249" s="1">
        <v>43808</v>
      </c>
      <c r="Q1249">
        <v>3.04</v>
      </c>
      <c r="AJ1249" s="1">
        <v>43812</v>
      </c>
      <c r="AL1249">
        <v>6.7</v>
      </c>
      <c r="AM1249" s="6">
        <f t="shared" si="175"/>
        <v>100000</v>
      </c>
      <c r="AN1249" s="2">
        <f t="shared" si="176"/>
        <v>0</v>
      </c>
    </row>
    <row r="1250" spans="2:40" x14ac:dyDescent="0.35">
      <c r="B1250" s="1">
        <v>43811</v>
      </c>
      <c r="C1250">
        <v>3630.17</v>
      </c>
      <c r="D1250" s="1">
        <v>43823</v>
      </c>
      <c r="E1250">
        <v>4.0792999999999999</v>
      </c>
      <c r="F1250" s="1">
        <v>43804</v>
      </c>
      <c r="G1250">
        <v>129.274</v>
      </c>
      <c r="H1250" s="4">
        <f t="shared" si="171"/>
        <v>527347.42819999997</v>
      </c>
      <c r="I1250" s="5">
        <v>43811</v>
      </c>
      <c r="J1250" s="4">
        <v>4989.5</v>
      </c>
      <c r="K1250" s="4">
        <f t="shared" si="172"/>
        <v>49895</v>
      </c>
      <c r="L1250" s="1">
        <v>43811</v>
      </c>
      <c r="M1250">
        <v>2.67</v>
      </c>
      <c r="P1250" s="1">
        <v>43805</v>
      </c>
      <c r="Q1250">
        <v>3.04</v>
      </c>
      <c r="AJ1250" s="1">
        <v>43811</v>
      </c>
      <c r="AL1250">
        <v>6.68</v>
      </c>
      <c r="AM1250" s="6">
        <f t="shared" si="175"/>
        <v>100000</v>
      </c>
      <c r="AN1250" s="2">
        <f t="shared" si="176"/>
        <v>0</v>
      </c>
    </row>
    <row r="1251" spans="2:40" x14ac:dyDescent="0.35">
      <c r="B1251" s="1">
        <v>43810</v>
      </c>
      <c r="C1251">
        <v>3603.8</v>
      </c>
      <c r="D1251" s="1">
        <v>43822</v>
      </c>
      <c r="E1251">
        <v>4.0750999999999999</v>
      </c>
      <c r="F1251" s="1">
        <v>43803</v>
      </c>
      <c r="G1251">
        <v>129.50200000000001</v>
      </c>
      <c r="H1251" s="4">
        <f t="shared" si="171"/>
        <v>527733.6002000001</v>
      </c>
      <c r="I1251" s="5">
        <v>43810</v>
      </c>
      <c r="J1251" s="4">
        <v>5031.5600000000004</v>
      </c>
      <c r="K1251" s="4">
        <f t="shared" si="172"/>
        <v>50315.600000000006</v>
      </c>
      <c r="L1251" s="1">
        <v>43810</v>
      </c>
      <c r="M1251">
        <v>2.67</v>
      </c>
      <c r="P1251" s="1">
        <v>43804</v>
      </c>
      <c r="Q1251">
        <v>3.08</v>
      </c>
      <c r="AJ1251" s="1">
        <v>43810</v>
      </c>
      <c r="AL1251">
        <v>6.7</v>
      </c>
      <c r="AM1251" s="6">
        <f t="shared" si="175"/>
        <v>100000</v>
      </c>
      <c r="AN1251" s="2">
        <f t="shared" si="176"/>
        <v>0</v>
      </c>
    </row>
    <row r="1252" spans="2:40" x14ac:dyDescent="0.35">
      <c r="B1252" s="1">
        <v>43809</v>
      </c>
      <c r="C1252">
        <v>3584.59</v>
      </c>
      <c r="D1252" s="1">
        <v>43819</v>
      </c>
      <c r="E1252">
        <v>4.0770999999999997</v>
      </c>
      <c r="F1252" s="1">
        <v>43802</v>
      </c>
      <c r="G1252">
        <v>129.959</v>
      </c>
      <c r="H1252" s="4">
        <f t="shared" si="171"/>
        <v>529855.83889999997</v>
      </c>
      <c r="I1252" s="5">
        <v>43809</v>
      </c>
      <c r="J1252" s="4">
        <v>5060.21</v>
      </c>
      <c r="K1252" s="4">
        <f t="shared" si="172"/>
        <v>50602.1</v>
      </c>
      <c r="L1252" s="1">
        <v>43809</v>
      </c>
      <c r="M1252">
        <v>2.7</v>
      </c>
      <c r="P1252" s="1">
        <v>43803</v>
      </c>
      <c r="Q1252">
        <v>3.07</v>
      </c>
      <c r="AJ1252" s="1">
        <v>43809</v>
      </c>
      <c r="AL1252">
        <v>6.71</v>
      </c>
      <c r="AM1252" s="6">
        <f t="shared" si="175"/>
        <v>100000</v>
      </c>
      <c r="AN1252" s="2">
        <f t="shared" si="176"/>
        <v>0</v>
      </c>
    </row>
    <row r="1253" spans="2:40" x14ac:dyDescent="0.35">
      <c r="B1253" s="1">
        <v>43808</v>
      </c>
      <c r="C1253">
        <v>3594.07</v>
      </c>
      <c r="D1253" s="1">
        <v>43818</v>
      </c>
      <c r="E1253">
        <v>4.0627000000000004</v>
      </c>
      <c r="F1253" s="1">
        <v>43801</v>
      </c>
      <c r="G1253">
        <v>129.01400000000001</v>
      </c>
      <c r="H1253" s="4">
        <f t="shared" si="171"/>
        <v>524145.17780000006</v>
      </c>
      <c r="I1253" s="5">
        <v>43808</v>
      </c>
      <c r="J1253" s="4">
        <v>5054.12</v>
      </c>
      <c r="K1253" s="4">
        <f t="shared" si="172"/>
        <v>50541.2</v>
      </c>
      <c r="L1253" s="1">
        <v>43808</v>
      </c>
      <c r="M1253">
        <v>2.7</v>
      </c>
      <c r="P1253" s="1">
        <v>43802</v>
      </c>
      <c r="Q1253">
        <v>3.15</v>
      </c>
      <c r="AJ1253" s="1">
        <v>43808</v>
      </c>
      <c r="AL1253">
        <v>6.7</v>
      </c>
      <c r="AM1253" s="6">
        <f t="shared" si="175"/>
        <v>100000</v>
      </c>
      <c r="AN1253" s="2">
        <f t="shared" si="176"/>
        <v>0</v>
      </c>
    </row>
    <row r="1254" spans="2:40" x14ac:dyDescent="0.35">
      <c r="B1254" s="1">
        <v>43805</v>
      </c>
      <c r="C1254">
        <v>3602.65</v>
      </c>
      <c r="D1254" s="1">
        <v>43817</v>
      </c>
      <c r="E1254">
        <v>4.0541999999999998</v>
      </c>
      <c r="F1254" s="1">
        <v>43798</v>
      </c>
      <c r="G1254">
        <v>129.31899999999999</v>
      </c>
      <c r="H1254" s="4">
        <f t="shared" si="171"/>
        <v>524285.0897999999</v>
      </c>
      <c r="I1254" s="5">
        <v>43805</v>
      </c>
      <c r="J1254" s="4">
        <v>5054.12</v>
      </c>
      <c r="K1254" s="4">
        <f t="shared" si="172"/>
        <v>50541.2</v>
      </c>
      <c r="L1254" s="1">
        <v>43805</v>
      </c>
      <c r="M1254">
        <v>2.7</v>
      </c>
      <c r="P1254" s="1">
        <v>43801</v>
      </c>
      <c r="Q1254">
        <v>3.2</v>
      </c>
      <c r="AJ1254" s="1">
        <v>43805</v>
      </c>
      <c r="AL1254">
        <v>6.7</v>
      </c>
      <c r="AM1254" s="6">
        <f t="shared" si="175"/>
        <v>100000</v>
      </c>
      <c r="AN1254" s="2">
        <f t="shared" si="176"/>
        <v>0</v>
      </c>
    </row>
    <row r="1255" spans="2:40" x14ac:dyDescent="0.35">
      <c r="B1255" s="1">
        <v>43804</v>
      </c>
      <c r="C1255">
        <v>3569.88</v>
      </c>
      <c r="D1255" s="1">
        <v>43816</v>
      </c>
      <c r="E1255">
        <v>4.0681000000000003</v>
      </c>
      <c r="F1255" s="1">
        <v>43797</v>
      </c>
      <c r="G1255">
        <v>129.41499999999999</v>
      </c>
      <c r="H1255" s="4">
        <f t="shared" si="171"/>
        <v>526473.16149999993</v>
      </c>
      <c r="I1255" s="5">
        <v>43804</v>
      </c>
      <c r="J1255" s="4">
        <v>5107.1499999999996</v>
      </c>
      <c r="K1255" s="4">
        <f t="shared" si="172"/>
        <v>51071.5</v>
      </c>
      <c r="L1255" s="1">
        <v>43804</v>
      </c>
      <c r="M1255">
        <v>2.76</v>
      </c>
      <c r="P1255" s="1">
        <v>43798</v>
      </c>
      <c r="Q1255">
        <v>3.2</v>
      </c>
      <c r="AJ1255" s="1">
        <v>43804</v>
      </c>
      <c r="AL1255">
        <v>6.77</v>
      </c>
      <c r="AM1255" s="6">
        <f t="shared" si="175"/>
        <v>100000</v>
      </c>
      <c r="AN1255" s="2">
        <f t="shared" si="176"/>
        <v>0</v>
      </c>
    </row>
    <row r="1256" spans="2:40" x14ac:dyDescent="0.35">
      <c r="B1256" s="1">
        <v>43803</v>
      </c>
      <c r="C1256">
        <v>3564.2</v>
      </c>
      <c r="D1256" s="1">
        <v>43815</v>
      </c>
      <c r="E1256">
        <v>4.0795000000000003</v>
      </c>
      <c r="F1256" s="1">
        <v>43796</v>
      </c>
      <c r="G1256">
        <v>129.47800000000001</v>
      </c>
      <c r="H1256" s="4">
        <f t="shared" si="171"/>
        <v>528205.50100000005</v>
      </c>
      <c r="I1256" s="5">
        <v>43803</v>
      </c>
      <c r="J1256" s="4">
        <v>5136.41</v>
      </c>
      <c r="K1256" s="4">
        <f t="shared" si="172"/>
        <v>51364.1</v>
      </c>
      <c r="L1256" s="1">
        <v>43803</v>
      </c>
      <c r="M1256">
        <v>2.76</v>
      </c>
      <c r="P1256" s="1">
        <v>43797</v>
      </c>
      <c r="Q1256">
        <v>3.2</v>
      </c>
      <c r="AJ1256" s="1">
        <v>43803</v>
      </c>
      <c r="AL1256">
        <v>6.75</v>
      </c>
      <c r="AM1256" s="6">
        <f t="shared" si="175"/>
        <v>100000</v>
      </c>
      <c r="AN1256" s="2">
        <f t="shared" si="176"/>
        <v>0</v>
      </c>
    </row>
    <row r="1257" spans="2:40" x14ac:dyDescent="0.35">
      <c r="B1257" s="1">
        <v>43802</v>
      </c>
      <c r="C1257">
        <v>3543.48</v>
      </c>
      <c r="D1257" s="1">
        <v>43812</v>
      </c>
      <c r="E1257">
        <v>4.0942999999999996</v>
      </c>
      <c r="F1257" s="1">
        <v>43795</v>
      </c>
      <c r="G1257">
        <v>129.71899999999999</v>
      </c>
      <c r="H1257" s="4">
        <f t="shared" si="171"/>
        <v>531108.50169999991</v>
      </c>
      <c r="I1257" s="5">
        <v>43802</v>
      </c>
      <c r="J1257" s="4">
        <v>5135.1899999999996</v>
      </c>
      <c r="K1257" s="4">
        <f t="shared" si="172"/>
        <v>51351.899999999994</v>
      </c>
      <c r="L1257" s="1">
        <v>43802</v>
      </c>
      <c r="M1257">
        <v>2.83</v>
      </c>
      <c r="P1257" s="1">
        <v>43796</v>
      </c>
      <c r="Q1257">
        <v>3.21</v>
      </c>
      <c r="AJ1257" s="1">
        <v>43802</v>
      </c>
      <c r="AL1257">
        <v>6.8</v>
      </c>
      <c r="AM1257" s="6">
        <f t="shared" si="175"/>
        <v>100000</v>
      </c>
      <c r="AN1257" s="2">
        <f t="shared" si="176"/>
        <v>0</v>
      </c>
    </row>
    <row r="1258" spans="2:40" x14ac:dyDescent="0.35">
      <c r="B1258" s="1">
        <v>43801</v>
      </c>
      <c r="C1258">
        <v>3562.91</v>
      </c>
      <c r="D1258" s="1">
        <v>43811</v>
      </c>
      <c r="E1258">
        <v>4.1086</v>
      </c>
      <c r="F1258" s="1">
        <v>43794</v>
      </c>
      <c r="G1258">
        <v>129.517</v>
      </c>
      <c r="H1258" s="4">
        <f t="shared" si="171"/>
        <v>532133.54619999998</v>
      </c>
      <c r="I1258" s="5">
        <v>43801</v>
      </c>
      <c r="J1258" s="4">
        <v>5157.1400000000003</v>
      </c>
      <c r="K1258" s="4">
        <f t="shared" si="172"/>
        <v>51571.4</v>
      </c>
      <c r="L1258" s="1">
        <v>43801</v>
      </c>
      <c r="M1258">
        <v>2.9</v>
      </c>
      <c r="P1258" s="1">
        <v>43795</v>
      </c>
      <c r="Q1258">
        <v>3.17</v>
      </c>
      <c r="AJ1258" s="1">
        <v>43801</v>
      </c>
      <c r="AL1258">
        <v>6.88</v>
      </c>
      <c r="AM1258" s="6">
        <f t="shared" si="175"/>
        <v>100000</v>
      </c>
      <c r="AN1258" s="2">
        <f t="shared" si="176"/>
        <v>0</v>
      </c>
    </row>
    <row r="1259" spans="2:40" x14ac:dyDescent="0.35">
      <c r="B1259" s="1">
        <v>43798</v>
      </c>
      <c r="C1259">
        <v>3601.92</v>
      </c>
      <c r="D1259" s="1">
        <v>43810</v>
      </c>
      <c r="E1259">
        <v>4.1147</v>
      </c>
      <c r="F1259" s="1">
        <v>43791</v>
      </c>
      <c r="G1259">
        <v>129.43799999999999</v>
      </c>
      <c r="H1259" s="4">
        <f t="shared" si="171"/>
        <v>532598.53859999997</v>
      </c>
      <c r="I1259" s="5">
        <v>43798</v>
      </c>
      <c r="J1259" s="4">
        <v>5173.59</v>
      </c>
      <c r="K1259" s="4">
        <f t="shared" si="172"/>
        <v>51735.9</v>
      </c>
      <c r="L1259" s="1">
        <v>43798</v>
      </c>
      <c r="M1259">
        <v>2.9</v>
      </c>
      <c r="P1259" s="1">
        <v>43794</v>
      </c>
      <c r="Q1259">
        <v>3.13</v>
      </c>
      <c r="AJ1259" s="1">
        <v>43798</v>
      </c>
      <c r="AL1259">
        <v>6.85</v>
      </c>
      <c r="AM1259" s="6">
        <f t="shared" si="175"/>
        <v>100000</v>
      </c>
      <c r="AN1259" s="2">
        <f t="shared" si="176"/>
        <v>0</v>
      </c>
    </row>
    <row r="1260" spans="2:40" x14ac:dyDescent="0.35">
      <c r="B1260" s="1">
        <v>43797</v>
      </c>
      <c r="C1260">
        <v>3611.09</v>
      </c>
      <c r="D1260" s="1">
        <v>43809</v>
      </c>
      <c r="E1260">
        <v>4.1421000000000001</v>
      </c>
      <c r="F1260" s="1">
        <v>43790</v>
      </c>
      <c r="G1260">
        <v>129.47</v>
      </c>
      <c r="H1260" s="4">
        <f t="shared" si="171"/>
        <v>536277.68700000003</v>
      </c>
      <c r="I1260" s="5">
        <v>43797</v>
      </c>
      <c r="J1260" s="4">
        <v>5118.12</v>
      </c>
      <c r="K1260" s="4">
        <f t="shared" si="172"/>
        <v>51181.2</v>
      </c>
      <c r="L1260" s="1">
        <v>43797</v>
      </c>
      <c r="M1260">
        <v>2.89</v>
      </c>
      <c r="P1260" s="1">
        <v>43791</v>
      </c>
      <c r="Q1260">
        <v>3.08</v>
      </c>
      <c r="AJ1260" s="1">
        <v>43797</v>
      </c>
      <c r="AL1260">
        <v>6.84</v>
      </c>
      <c r="AM1260" s="6">
        <f t="shared" si="175"/>
        <v>100000</v>
      </c>
      <c r="AN1260" s="2">
        <f t="shared" si="176"/>
        <v>0</v>
      </c>
    </row>
    <row r="1261" spans="2:40" x14ac:dyDescent="0.35">
      <c r="B1261" s="1">
        <v>43796</v>
      </c>
      <c r="C1261">
        <v>3611</v>
      </c>
      <c r="D1261" s="1">
        <v>43808</v>
      </c>
      <c r="E1261">
        <v>4.1497000000000002</v>
      </c>
      <c r="F1261" s="1">
        <v>43788</v>
      </c>
      <c r="G1261">
        <v>129.44</v>
      </c>
      <c r="H1261" s="4">
        <f t="shared" si="171"/>
        <v>537137.16799999995</v>
      </c>
      <c r="I1261" s="5">
        <v>43796</v>
      </c>
      <c r="J1261" s="4">
        <v>5209.12</v>
      </c>
      <c r="K1261" s="4">
        <f t="shared" si="172"/>
        <v>52091.199999999997</v>
      </c>
      <c r="L1261" s="1">
        <v>43796</v>
      </c>
      <c r="M1261">
        <v>2.91</v>
      </c>
      <c r="P1261" s="1">
        <v>43790</v>
      </c>
      <c r="Q1261">
        <v>3.1</v>
      </c>
      <c r="AJ1261" s="1">
        <v>43796</v>
      </c>
      <c r="AL1261">
        <v>6.96</v>
      </c>
      <c r="AM1261" s="6">
        <f t="shared" si="175"/>
        <v>100000</v>
      </c>
      <c r="AN1261" s="2">
        <f t="shared" si="176"/>
        <v>0</v>
      </c>
    </row>
    <row r="1262" spans="2:40" x14ac:dyDescent="0.35">
      <c r="B1262" s="1">
        <v>43795</v>
      </c>
      <c r="C1262">
        <v>3596.69</v>
      </c>
      <c r="D1262" s="1">
        <v>43805</v>
      </c>
      <c r="E1262">
        <v>4.1776999999999997</v>
      </c>
      <c r="F1262" s="1">
        <v>43787</v>
      </c>
      <c r="G1262">
        <v>129.345</v>
      </c>
      <c r="H1262" s="4">
        <f t="shared" si="171"/>
        <v>540364.60649999988</v>
      </c>
      <c r="I1262" s="5">
        <v>43795</v>
      </c>
      <c r="J1262" s="4">
        <v>5171.26</v>
      </c>
      <c r="K1262" s="4">
        <f t="shared" si="172"/>
        <v>51712.600000000006</v>
      </c>
      <c r="L1262" s="1">
        <v>43795</v>
      </c>
      <c r="M1262">
        <v>2.86</v>
      </c>
      <c r="P1262" s="1">
        <v>43788</v>
      </c>
      <c r="Q1262">
        <v>3.05</v>
      </c>
      <c r="AJ1262" s="1">
        <v>43795</v>
      </c>
      <c r="AL1262">
        <v>6.93</v>
      </c>
      <c r="AM1262" s="6">
        <f t="shared" si="175"/>
        <v>100000</v>
      </c>
      <c r="AN1262" s="2">
        <f t="shared" si="176"/>
        <v>0</v>
      </c>
    </row>
    <row r="1263" spans="2:40" x14ac:dyDescent="0.35">
      <c r="B1263" s="1">
        <v>43794</v>
      </c>
      <c r="C1263">
        <v>3582.98</v>
      </c>
      <c r="D1263" s="1">
        <v>43804</v>
      </c>
      <c r="E1263">
        <v>4.2130000000000001</v>
      </c>
      <c r="F1263" s="1">
        <v>43783</v>
      </c>
      <c r="G1263">
        <v>129.28100000000001</v>
      </c>
      <c r="H1263" s="4">
        <f t="shared" si="171"/>
        <v>544660.85300000012</v>
      </c>
      <c r="I1263" s="5">
        <v>43794</v>
      </c>
      <c r="J1263" s="4">
        <v>5165.76</v>
      </c>
      <c r="K1263" s="4">
        <f t="shared" si="172"/>
        <v>51657.600000000006</v>
      </c>
      <c r="L1263" s="1">
        <v>43794</v>
      </c>
      <c r="M1263">
        <v>2.82</v>
      </c>
      <c r="P1263" s="1">
        <v>43787</v>
      </c>
      <c r="Q1263">
        <v>3.04</v>
      </c>
      <c r="AJ1263" s="1">
        <v>43794</v>
      </c>
      <c r="AL1263">
        <v>6.89</v>
      </c>
      <c r="AM1263" s="6">
        <f t="shared" si="175"/>
        <v>100000</v>
      </c>
      <c r="AN1263" s="2">
        <f t="shared" si="176"/>
        <v>0</v>
      </c>
    </row>
    <row r="1264" spans="2:40" x14ac:dyDescent="0.35">
      <c r="B1264" s="1">
        <v>43791</v>
      </c>
      <c r="C1264">
        <v>3557.85</v>
      </c>
      <c r="D1264" s="1">
        <v>43803</v>
      </c>
      <c r="E1264">
        <v>4.1920000000000002</v>
      </c>
      <c r="F1264" s="1">
        <v>43782</v>
      </c>
      <c r="G1264">
        <v>128.875</v>
      </c>
      <c r="H1264" s="4">
        <f t="shared" si="171"/>
        <v>540244</v>
      </c>
      <c r="I1264" s="5">
        <v>43791</v>
      </c>
      <c r="J1264" s="4">
        <v>5130.34</v>
      </c>
      <c r="K1264" s="4">
        <f t="shared" si="172"/>
        <v>51303.4</v>
      </c>
      <c r="L1264" s="1">
        <v>43791</v>
      </c>
      <c r="M1264">
        <v>2.76</v>
      </c>
      <c r="P1264" s="1">
        <v>43783</v>
      </c>
      <c r="Q1264">
        <v>3.02</v>
      </c>
      <c r="AJ1264" s="1">
        <v>43791</v>
      </c>
      <c r="AL1264">
        <v>6.77</v>
      </c>
      <c r="AM1264" s="6">
        <f t="shared" si="175"/>
        <v>100000</v>
      </c>
      <c r="AN1264" s="2">
        <f t="shared" si="176"/>
        <v>0</v>
      </c>
    </row>
    <row r="1265" spans="2:40" x14ac:dyDescent="0.35">
      <c r="B1265" s="1">
        <v>43790</v>
      </c>
      <c r="C1265">
        <v>3555.24</v>
      </c>
      <c r="D1265" s="1">
        <v>43802</v>
      </c>
      <c r="E1265">
        <v>4.2001999999999997</v>
      </c>
      <c r="F1265" s="1">
        <v>43781</v>
      </c>
      <c r="G1265">
        <v>128.488</v>
      </c>
      <c r="H1265" s="4">
        <f t="shared" si="171"/>
        <v>539675.29759999993</v>
      </c>
      <c r="I1265" s="5">
        <v>43790</v>
      </c>
      <c r="J1265" s="4">
        <v>5127.28</v>
      </c>
      <c r="K1265" s="4">
        <f t="shared" si="172"/>
        <v>51272.799999999996</v>
      </c>
      <c r="L1265" s="1">
        <v>43790</v>
      </c>
      <c r="M1265">
        <v>2.79</v>
      </c>
      <c r="P1265" s="1">
        <v>43782</v>
      </c>
      <c r="Q1265">
        <v>2.99</v>
      </c>
      <c r="AJ1265" s="1">
        <v>43790</v>
      </c>
      <c r="AL1265">
        <v>6.77</v>
      </c>
      <c r="AM1265" s="6">
        <f t="shared" si="175"/>
        <v>100000</v>
      </c>
      <c r="AN1265" s="2">
        <f t="shared" si="176"/>
        <v>0</v>
      </c>
    </row>
    <row r="1266" spans="2:40" x14ac:dyDescent="0.35">
      <c r="B1266" s="1">
        <v>43788</v>
      </c>
      <c r="C1266">
        <v>3570.52</v>
      </c>
      <c r="D1266" s="1">
        <v>43801</v>
      </c>
      <c r="E1266">
        <v>4.2255000000000003</v>
      </c>
      <c r="F1266" s="1">
        <v>43780</v>
      </c>
      <c r="G1266">
        <v>128.37700000000001</v>
      </c>
      <c r="H1266" s="4">
        <f t="shared" si="171"/>
        <v>542457.0135</v>
      </c>
      <c r="I1266" s="5">
        <v>43788</v>
      </c>
      <c r="J1266" s="4">
        <v>5127.8900000000003</v>
      </c>
      <c r="K1266" s="4">
        <f t="shared" si="172"/>
        <v>51278.9</v>
      </c>
      <c r="L1266" s="1">
        <v>43788</v>
      </c>
      <c r="M1266">
        <v>2.74</v>
      </c>
      <c r="P1266" s="1">
        <v>43781</v>
      </c>
      <c r="Q1266">
        <v>2.96</v>
      </c>
      <c r="AJ1266" s="1">
        <v>43788</v>
      </c>
      <c r="AL1266">
        <v>6.71</v>
      </c>
      <c r="AM1266" s="6">
        <f t="shared" si="175"/>
        <v>100000</v>
      </c>
      <c r="AN1266" s="2">
        <f t="shared" si="176"/>
        <v>0</v>
      </c>
    </row>
    <row r="1267" spans="2:40" x14ac:dyDescent="0.35">
      <c r="B1267" s="1">
        <v>43787</v>
      </c>
      <c r="C1267">
        <v>3571.12</v>
      </c>
      <c r="D1267" s="1">
        <v>43798</v>
      </c>
      <c r="E1267">
        <v>4.2233999999999998</v>
      </c>
      <c r="F1267" s="1">
        <v>43777</v>
      </c>
      <c r="G1267">
        <v>128.41900000000001</v>
      </c>
      <c r="H1267" s="4">
        <f t="shared" si="171"/>
        <v>542364.80460000003</v>
      </c>
      <c r="I1267" s="5">
        <v>43787</v>
      </c>
      <c r="J1267" s="4">
        <v>5160.26</v>
      </c>
      <c r="K1267" s="4">
        <f t="shared" si="172"/>
        <v>51602.600000000006</v>
      </c>
      <c r="L1267" s="1">
        <v>43787</v>
      </c>
      <c r="M1267">
        <v>2.7</v>
      </c>
      <c r="P1267" s="1">
        <v>43780</v>
      </c>
      <c r="Q1267">
        <v>2.91</v>
      </c>
      <c r="AJ1267" s="1">
        <v>43787</v>
      </c>
      <c r="AL1267">
        <v>6.67</v>
      </c>
      <c r="AM1267" s="6">
        <f t="shared" si="175"/>
        <v>100000</v>
      </c>
      <c r="AN1267" s="2">
        <f t="shared" si="176"/>
        <v>0</v>
      </c>
    </row>
    <row r="1268" spans="2:40" x14ac:dyDescent="0.35">
      <c r="B1268" s="1">
        <v>43783</v>
      </c>
      <c r="C1268">
        <v>3539.64</v>
      </c>
      <c r="D1268" s="1">
        <v>43797</v>
      </c>
      <c r="E1268">
        <v>4.2473999999999998</v>
      </c>
      <c r="F1268" s="1">
        <v>43776</v>
      </c>
      <c r="G1268">
        <v>128.453</v>
      </c>
      <c r="H1268" s="4">
        <f t="shared" si="171"/>
        <v>545591.27220000001</v>
      </c>
      <c r="I1268" s="5">
        <v>43783</v>
      </c>
      <c r="J1268" s="4">
        <v>5129.7299999999996</v>
      </c>
      <c r="K1268" s="4">
        <f t="shared" si="172"/>
        <v>51297.299999999996</v>
      </c>
      <c r="L1268" s="1">
        <v>43783</v>
      </c>
      <c r="M1268">
        <v>2.69</v>
      </c>
      <c r="P1268" s="1">
        <v>43777</v>
      </c>
      <c r="Q1268">
        <v>2.95</v>
      </c>
      <c r="AJ1268" s="1">
        <v>43783</v>
      </c>
      <c r="AL1268">
        <v>6.63</v>
      </c>
      <c r="AM1268" s="6">
        <f t="shared" si="175"/>
        <v>100000</v>
      </c>
      <c r="AN1268" s="2">
        <f t="shared" si="176"/>
        <v>0</v>
      </c>
    </row>
    <row r="1269" spans="2:40" x14ac:dyDescent="0.35">
      <c r="B1269" s="1">
        <v>43782</v>
      </c>
      <c r="C1269">
        <v>3539.62</v>
      </c>
      <c r="D1269" s="1">
        <v>43796</v>
      </c>
      <c r="E1269">
        <v>4.2595999999999998</v>
      </c>
      <c r="F1269" s="1">
        <v>43775</v>
      </c>
      <c r="G1269">
        <v>129.29400000000001</v>
      </c>
      <c r="H1269" s="4">
        <f t="shared" si="171"/>
        <v>550740.72239999997</v>
      </c>
      <c r="I1269" s="5">
        <v>43782</v>
      </c>
      <c r="J1269" s="4">
        <v>5102.24</v>
      </c>
      <c r="K1269" s="4">
        <f t="shared" si="172"/>
        <v>51022.399999999994</v>
      </c>
      <c r="L1269" s="1">
        <v>43782</v>
      </c>
      <c r="M1269">
        <v>2.68</v>
      </c>
      <c r="P1269" s="1">
        <v>43776</v>
      </c>
      <c r="Q1269">
        <v>2.89</v>
      </c>
      <c r="AJ1269" s="1">
        <v>43782</v>
      </c>
      <c r="AL1269">
        <v>6.67</v>
      </c>
      <c r="AM1269" s="6">
        <f t="shared" si="175"/>
        <v>100000</v>
      </c>
      <c r="AN1269" s="2">
        <f t="shared" si="176"/>
        <v>0</v>
      </c>
    </row>
    <row r="1270" spans="2:40" x14ac:dyDescent="0.35">
      <c r="B1270" s="1">
        <v>43781</v>
      </c>
      <c r="C1270">
        <v>3535.29</v>
      </c>
      <c r="D1270" s="1">
        <v>43795</v>
      </c>
      <c r="E1270">
        <v>4.2553000000000001</v>
      </c>
      <c r="F1270" s="1">
        <v>43774</v>
      </c>
      <c r="G1270">
        <v>128.91999999999999</v>
      </c>
      <c r="H1270" s="4">
        <f t="shared" si="171"/>
        <v>548593.27599999995</v>
      </c>
      <c r="I1270" s="5">
        <v>43781</v>
      </c>
      <c r="J1270" s="4">
        <v>5098.58</v>
      </c>
      <c r="K1270" s="4">
        <f t="shared" si="172"/>
        <v>50985.8</v>
      </c>
      <c r="L1270" s="1">
        <v>43781</v>
      </c>
      <c r="M1270">
        <v>2.66</v>
      </c>
      <c r="P1270" s="1">
        <v>43775</v>
      </c>
      <c r="Q1270">
        <v>2.84</v>
      </c>
      <c r="AJ1270" s="1">
        <v>43781</v>
      </c>
      <c r="AL1270">
        <v>6.68</v>
      </c>
      <c r="AM1270" s="6">
        <f t="shared" si="175"/>
        <v>100000</v>
      </c>
      <c r="AN1270" s="2">
        <f t="shared" si="176"/>
        <v>0</v>
      </c>
    </row>
    <row r="1271" spans="2:40" x14ac:dyDescent="0.35">
      <c r="B1271" s="1">
        <v>43780</v>
      </c>
      <c r="C1271">
        <v>3532.84</v>
      </c>
      <c r="D1271" s="1">
        <v>43794</v>
      </c>
      <c r="E1271">
        <v>4.2083000000000004</v>
      </c>
      <c r="F1271" s="1">
        <v>43773</v>
      </c>
      <c r="G1271">
        <v>129.54499999999999</v>
      </c>
      <c r="H1271" s="4">
        <f t="shared" si="171"/>
        <v>545164.22350000008</v>
      </c>
      <c r="I1271" s="5">
        <v>43780</v>
      </c>
      <c r="J1271" s="4">
        <v>5080.26</v>
      </c>
      <c r="K1271" s="4">
        <f t="shared" si="172"/>
        <v>50802.600000000006</v>
      </c>
      <c r="L1271" s="1">
        <v>43780</v>
      </c>
      <c r="M1271">
        <v>2.61</v>
      </c>
      <c r="P1271" s="1">
        <v>43774</v>
      </c>
      <c r="Q1271">
        <v>2.8</v>
      </c>
      <c r="AJ1271" s="1">
        <v>43780</v>
      </c>
      <c r="AL1271">
        <v>6.58</v>
      </c>
      <c r="AM1271" s="6">
        <f t="shared" si="175"/>
        <v>100000</v>
      </c>
      <c r="AN1271" s="2">
        <f t="shared" si="176"/>
        <v>0</v>
      </c>
    </row>
    <row r="1272" spans="2:40" x14ac:dyDescent="0.35">
      <c r="B1272" s="1">
        <v>43777</v>
      </c>
      <c r="C1272">
        <v>3536.51</v>
      </c>
      <c r="D1272" s="1">
        <v>43791</v>
      </c>
      <c r="E1272">
        <v>4.1825999999999999</v>
      </c>
      <c r="F1272" s="1">
        <v>43770</v>
      </c>
      <c r="G1272">
        <v>130.06</v>
      </c>
      <c r="H1272" s="4">
        <f t="shared" si="171"/>
        <v>543988.95600000001</v>
      </c>
      <c r="I1272" s="5">
        <v>43777</v>
      </c>
      <c r="J1272" s="4">
        <v>5093.08</v>
      </c>
      <c r="K1272" s="4">
        <f t="shared" si="172"/>
        <v>50930.8</v>
      </c>
      <c r="L1272" s="1">
        <v>43777</v>
      </c>
      <c r="M1272">
        <v>2.66</v>
      </c>
      <c r="P1272" s="1">
        <v>43773</v>
      </c>
      <c r="Q1272">
        <v>2.79</v>
      </c>
      <c r="AJ1272" s="1">
        <v>43777</v>
      </c>
      <c r="AL1272">
        <v>6.61</v>
      </c>
      <c r="AM1272" s="6">
        <f t="shared" si="175"/>
        <v>100000</v>
      </c>
      <c r="AN1272" s="2">
        <f t="shared" si="176"/>
        <v>0</v>
      </c>
    </row>
    <row r="1273" spans="2:40" x14ac:dyDescent="0.35">
      <c r="B1273" s="1">
        <v>43776</v>
      </c>
      <c r="C1273">
        <v>3528.55</v>
      </c>
      <c r="D1273" s="1">
        <v>43790</v>
      </c>
      <c r="E1273">
        <v>4.2005999999999997</v>
      </c>
      <c r="F1273" s="1">
        <v>43769</v>
      </c>
      <c r="G1273">
        <v>130.28399999999999</v>
      </c>
      <c r="H1273" s="4">
        <f t="shared" si="171"/>
        <v>547270.97039999987</v>
      </c>
      <c r="I1273" s="5">
        <v>43776</v>
      </c>
      <c r="J1273" s="4">
        <v>5016.13</v>
      </c>
      <c r="K1273" s="4">
        <f t="shared" si="172"/>
        <v>50161.3</v>
      </c>
      <c r="L1273" s="1">
        <v>43776</v>
      </c>
      <c r="M1273">
        <v>2.59</v>
      </c>
      <c r="P1273" s="1">
        <v>43770</v>
      </c>
      <c r="Q1273">
        <v>2.79</v>
      </c>
      <c r="AJ1273" s="1">
        <v>43776</v>
      </c>
      <c r="AL1273">
        <v>6.56</v>
      </c>
      <c r="AM1273" s="6">
        <f t="shared" si="175"/>
        <v>100000</v>
      </c>
      <c r="AN1273" s="2">
        <f t="shared" si="176"/>
        <v>0</v>
      </c>
    </row>
    <row r="1274" spans="2:40" x14ac:dyDescent="0.35">
      <c r="B1274" s="1">
        <v>43775</v>
      </c>
      <c r="C1274">
        <v>3517.76</v>
      </c>
      <c r="D1274" s="1">
        <v>43789</v>
      </c>
      <c r="E1274">
        <v>4.2027000000000001</v>
      </c>
      <c r="F1274" s="1">
        <v>43768</v>
      </c>
      <c r="G1274">
        <v>129.69</v>
      </c>
      <c r="H1274" s="4">
        <f t="shared" si="171"/>
        <v>545048.16300000006</v>
      </c>
      <c r="I1274" s="5">
        <v>43775</v>
      </c>
      <c r="J1274" s="4">
        <v>4991.7</v>
      </c>
      <c r="K1274" s="4">
        <f t="shared" si="172"/>
        <v>49917</v>
      </c>
      <c r="L1274" s="1">
        <v>43775</v>
      </c>
      <c r="M1274">
        <v>2.5499999999999998</v>
      </c>
      <c r="P1274" s="1">
        <v>43769</v>
      </c>
      <c r="Q1274">
        <v>2.82</v>
      </c>
      <c r="AJ1274" s="1">
        <v>43775</v>
      </c>
      <c r="AL1274">
        <v>6.44</v>
      </c>
      <c r="AM1274" s="6">
        <f t="shared" si="175"/>
        <v>100000</v>
      </c>
      <c r="AN1274" s="2">
        <f t="shared" si="176"/>
        <v>0</v>
      </c>
    </row>
    <row r="1275" spans="2:40" x14ac:dyDescent="0.35">
      <c r="B1275" s="1">
        <v>43774</v>
      </c>
      <c r="C1275">
        <v>3518.68</v>
      </c>
      <c r="D1275" s="1">
        <v>43788</v>
      </c>
      <c r="E1275">
        <v>4.2077999999999998</v>
      </c>
      <c r="F1275" s="1">
        <v>43767</v>
      </c>
      <c r="G1275">
        <v>129.232</v>
      </c>
      <c r="H1275" s="4">
        <f t="shared" si="171"/>
        <v>543782.4095999999</v>
      </c>
      <c r="I1275" s="5">
        <v>43774</v>
      </c>
      <c r="J1275" s="4">
        <v>4886.04</v>
      </c>
      <c r="K1275" s="4">
        <f t="shared" si="172"/>
        <v>48860.4</v>
      </c>
      <c r="L1275" s="1">
        <v>43774</v>
      </c>
      <c r="M1275">
        <v>2.5</v>
      </c>
      <c r="P1275" s="1">
        <v>43768</v>
      </c>
      <c r="Q1275">
        <v>2.86</v>
      </c>
      <c r="AJ1275" s="1">
        <v>43774</v>
      </c>
      <c r="AL1275">
        <v>6.39</v>
      </c>
      <c r="AM1275" s="6">
        <f t="shared" si="175"/>
        <v>100000</v>
      </c>
      <c r="AN1275" s="2">
        <f t="shared" si="176"/>
        <v>0</v>
      </c>
    </row>
    <row r="1276" spans="2:40" x14ac:dyDescent="0.35">
      <c r="B1276" s="1">
        <v>43773</v>
      </c>
      <c r="C1276">
        <v>3523.61</v>
      </c>
      <c r="D1276" s="1">
        <v>43787</v>
      </c>
      <c r="E1276">
        <v>4.1821000000000002</v>
      </c>
      <c r="F1276" s="1">
        <v>43766</v>
      </c>
      <c r="G1276">
        <v>129.13800000000001</v>
      </c>
      <c r="H1276" s="4">
        <f t="shared" si="171"/>
        <v>540068.02980000013</v>
      </c>
      <c r="I1276" s="5">
        <v>43773</v>
      </c>
      <c r="J1276" s="4">
        <v>4909.8500000000004</v>
      </c>
      <c r="K1276" s="4">
        <f t="shared" si="172"/>
        <v>49098.5</v>
      </c>
      <c r="L1276" s="1">
        <v>43773</v>
      </c>
      <c r="M1276">
        <v>2.5</v>
      </c>
      <c r="P1276" s="1">
        <v>43767</v>
      </c>
      <c r="Q1276">
        <v>2.87</v>
      </c>
      <c r="AJ1276" s="1">
        <v>43773</v>
      </c>
      <c r="AL1276">
        <v>6.35</v>
      </c>
      <c r="AM1276" s="6">
        <f t="shared" si="175"/>
        <v>100000</v>
      </c>
      <c r="AN1276" s="2">
        <f t="shared" si="176"/>
        <v>0</v>
      </c>
    </row>
    <row r="1277" spans="2:40" x14ac:dyDescent="0.35">
      <c r="B1277" s="1">
        <v>43770</v>
      </c>
      <c r="C1277">
        <v>3507.3</v>
      </c>
      <c r="D1277" s="1">
        <v>43783</v>
      </c>
      <c r="E1277">
        <v>4.1825000000000001</v>
      </c>
      <c r="F1277" s="1">
        <v>43763</v>
      </c>
      <c r="G1277">
        <v>129.51300000000001</v>
      </c>
      <c r="H1277" s="4">
        <f t="shared" si="171"/>
        <v>541688.12250000006</v>
      </c>
      <c r="I1277" s="5">
        <v>43770</v>
      </c>
      <c r="J1277" s="4">
        <v>4882.37</v>
      </c>
      <c r="K1277" s="4">
        <f t="shared" si="172"/>
        <v>48823.7</v>
      </c>
      <c r="L1277" s="1">
        <v>43770</v>
      </c>
      <c r="M1277">
        <v>2.48</v>
      </c>
      <c r="P1277" s="1">
        <v>43766</v>
      </c>
      <c r="Q1277">
        <v>2.9</v>
      </c>
      <c r="AJ1277" s="1">
        <v>43770</v>
      </c>
      <c r="AL1277">
        <v>6.32</v>
      </c>
      <c r="AM1277" s="6">
        <f t="shared" si="175"/>
        <v>100000</v>
      </c>
      <c r="AN1277" s="2">
        <f t="shared" si="176"/>
        <v>0</v>
      </c>
    </row>
    <row r="1278" spans="2:40" x14ac:dyDescent="0.35">
      <c r="B1278" s="1">
        <v>43769</v>
      </c>
      <c r="C1278">
        <v>3476.28</v>
      </c>
      <c r="D1278" s="1">
        <v>43782</v>
      </c>
      <c r="E1278">
        <v>4.1760999999999999</v>
      </c>
      <c r="F1278" s="1">
        <v>43762</v>
      </c>
      <c r="G1278">
        <v>129.798</v>
      </c>
      <c r="H1278" s="4">
        <f t="shared" si="171"/>
        <v>542049.42779999995</v>
      </c>
      <c r="I1278" s="5">
        <v>43769</v>
      </c>
      <c r="J1278" s="4">
        <v>4915.3500000000004</v>
      </c>
      <c r="K1278" s="4">
        <f t="shared" si="172"/>
        <v>49153.5</v>
      </c>
      <c r="L1278" s="1">
        <v>43769</v>
      </c>
      <c r="M1278">
        <v>2.52</v>
      </c>
      <c r="P1278" s="1">
        <v>43763</v>
      </c>
      <c r="Q1278">
        <v>2.94</v>
      </c>
      <c r="AJ1278" s="1">
        <v>43769</v>
      </c>
      <c r="AL1278">
        <v>6.41</v>
      </c>
      <c r="AM1278" s="6">
        <f t="shared" si="175"/>
        <v>100000</v>
      </c>
      <c r="AN1278" s="2">
        <f t="shared" si="176"/>
        <v>0</v>
      </c>
    </row>
    <row r="1279" spans="2:40" x14ac:dyDescent="0.35">
      <c r="B1279" s="1">
        <v>43768</v>
      </c>
      <c r="C1279">
        <v>3492.05</v>
      </c>
      <c r="D1279" s="1">
        <v>43781</v>
      </c>
      <c r="E1279">
        <v>4.1749999999999998</v>
      </c>
      <c r="F1279" s="1">
        <v>43761</v>
      </c>
      <c r="G1279">
        <v>129.84100000000001</v>
      </c>
      <c r="H1279" s="4">
        <f t="shared" si="171"/>
        <v>542086.17500000005</v>
      </c>
      <c r="I1279" s="5">
        <v>43768</v>
      </c>
      <c r="J1279" s="4">
        <v>4886.04</v>
      </c>
      <c r="K1279" s="4">
        <f t="shared" si="172"/>
        <v>48860.4</v>
      </c>
      <c r="L1279" s="1">
        <v>43768</v>
      </c>
      <c r="M1279">
        <v>2.52</v>
      </c>
      <c r="P1279" s="1">
        <v>43762</v>
      </c>
      <c r="Q1279">
        <v>3.01</v>
      </c>
      <c r="AJ1279" s="1">
        <v>43768</v>
      </c>
      <c r="AL1279">
        <v>6.4</v>
      </c>
      <c r="AM1279" s="6">
        <f t="shared" si="175"/>
        <v>100000</v>
      </c>
      <c r="AN1279" s="2">
        <f t="shared" si="176"/>
        <v>0</v>
      </c>
    </row>
    <row r="1280" spans="2:40" x14ac:dyDescent="0.35">
      <c r="B1280" s="1">
        <v>43767</v>
      </c>
      <c r="C1280">
        <v>3476.82</v>
      </c>
      <c r="D1280" s="1">
        <v>43780</v>
      </c>
      <c r="E1280">
        <v>4.1553000000000004</v>
      </c>
      <c r="F1280" s="1">
        <v>43760</v>
      </c>
      <c r="G1280">
        <v>129.81</v>
      </c>
      <c r="H1280" s="4">
        <f t="shared" si="171"/>
        <v>539399.49300000013</v>
      </c>
      <c r="I1280" s="5">
        <v>43767</v>
      </c>
      <c r="J1280" s="4">
        <v>4895.22</v>
      </c>
      <c r="K1280" s="4">
        <f t="shared" si="172"/>
        <v>48952.200000000004</v>
      </c>
      <c r="L1280" s="1">
        <v>43767</v>
      </c>
      <c r="M1280">
        <v>2.56</v>
      </c>
      <c r="P1280" s="1">
        <v>43761</v>
      </c>
      <c r="Q1280">
        <v>2.99</v>
      </c>
      <c r="AJ1280" s="1">
        <v>43767</v>
      </c>
      <c r="AL1280">
        <v>6.43</v>
      </c>
      <c r="AM1280" s="6">
        <f t="shared" si="175"/>
        <v>100000</v>
      </c>
      <c r="AN1280" s="2">
        <f t="shared" si="176"/>
        <v>0</v>
      </c>
    </row>
    <row r="1281" spans="2:40" x14ac:dyDescent="0.35">
      <c r="B1281" s="1">
        <v>43766</v>
      </c>
      <c r="C1281">
        <v>3476.24</v>
      </c>
      <c r="D1281" s="1">
        <v>43777</v>
      </c>
      <c r="E1281">
        <v>4.1359000000000004</v>
      </c>
      <c r="F1281" s="1">
        <v>43759</v>
      </c>
      <c r="G1281">
        <v>129.565</v>
      </c>
      <c r="H1281" s="4">
        <f t="shared" si="171"/>
        <v>535867.88350000011</v>
      </c>
      <c r="I1281" s="5">
        <v>43766</v>
      </c>
      <c r="J1281" s="4">
        <v>4886.04</v>
      </c>
      <c r="K1281" s="4">
        <f t="shared" si="172"/>
        <v>48860.4</v>
      </c>
      <c r="L1281" s="1">
        <v>43766</v>
      </c>
      <c r="M1281">
        <v>2.6</v>
      </c>
      <c r="P1281" s="1">
        <v>43760</v>
      </c>
      <c r="Q1281">
        <v>3.01</v>
      </c>
      <c r="AJ1281" s="1">
        <v>43766</v>
      </c>
      <c r="AL1281">
        <v>6.44</v>
      </c>
      <c r="AM1281" s="6">
        <f t="shared" si="175"/>
        <v>100000</v>
      </c>
      <c r="AN1281" s="2">
        <f t="shared" si="176"/>
        <v>0</v>
      </c>
    </row>
    <row r="1282" spans="2:40" x14ac:dyDescent="0.35">
      <c r="B1282" s="1">
        <v>43763</v>
      </c>
      <c r="C1282">
        <v>3458.42</v>
      </c>
      <c r="D1282" s="1">
        <v>43776</v>
      </c>
      <c r="E1282">
        <v>4.0921000000000003</v>
      </c>
      <c r="F1282" s="1">
        <v>43756</v>
      </c>
      <c r="G1282">
        <v>130.001</v>
      </c>
      <c r="H1282" s="4">
        <f t="shared" si="171"/>
        <v>531977.09210000001</v>
      </c>
      <c r="I1282" s="5">
        <v>43763</v>
      </c>
      <c r="J1282" s="4">
        <v>4902.5600000000004</v>
      </c>
      <c r="K1282" s="4">
        <f t="shared" si="172"/>
        <v>49025.600000000006</v>
      </c>
      <c r="L1282" s="1">
        <v>43763</v>
      </c>
      <c r="M1282">
        <v>2.65</v>
      </c>
      <c r="P1282" s="1">
        <v>43759</v>
      </c>
      <c r="Q1282">
        <v>2.97</v>
      </c>
      <c r="AJ1282" s="1">
        <v>43763</v>
      </c>
      <c r="AL1282">
        <v>6.46</v>
      </c>
      <c r="AM1282" s="6">
        <f t="shared" si="175"/>
        <v>100000</v>
      </c>
      <c r="AN1282" s="2">
        <f t="shared" si="176"/>
        <v>0</v>
      </c>
    </row>
    <row r="1283" spans="2:40" x14ac:dyDescent="0.35">
      <c r="B1283" s="1">
        <v>43762</v>
      </c>
      <c r="C1283">
        <v>3439.71</v>
      </c>
      <c r="D1283" s="1">
        <v>43775</v>
      </c>
      <c r="E1283">
        <v>4.0345000000000004</v>
      </c>
      <c r="F1283" s="1">
        <v>43755</v>
      </c>
      <c r="G1283">
        <v>129.857</v>
      </c>
      <c r="H1283" s="4">
        <f t="shared" si="171"/>
        <v>523908.06650000002</v>
      </c>
      <c r="I1283" s="5">
        <v>43762</v>
      </c>
      <c r="J1283" s="4">
        <v>4946.62</v>
      </c>
      <c r="K1283" s="4">
        <f t="shared" si="172"/>
        <v>49466.2</v>
      </c>
      <c r="L1283" s="1">
        <v>43762</v>
      </c>
      <c r="M1283">
        <v>2.7</v>
      </c>
      <c r="P1283" s="1">
        <v>43756</v>
      </c>
      <c r="Q1283">
        <v>2.96</v>
      </c>
      <c r="AJ1283" s="1">
        <v>43762</v>
      </c>
      <c r="AL1283">
        <v>6.53</v>
      </c>
      <c r="AM1283" s="6">
        <f t="shared" si="175"/>
        <v>100000</v>
      </c>
      <c r="AN1283" s="2">
        <f t="shared" si="176"/>
        <v>0</v>
      </c>
    </row>
    <row r="1284" spans="2:40" x14ac:dyDescent="0.35">
      <c r="B1284" s="1">
        <v>43761</v>
      </c>
      <c r="C1284">
        <v>3440.3</v>
      </c>
      <c r="D1284" s="1">
        <v>43774</v>
      </c>
      <c r="E1284">
        <v>4.0037000000000003</v>
      </c>
      <c r="F1284" s="1">
        <v>43754</v>
      </c>
      <c r="G1284">
        <v>130.001</v>
      </c>
      <c r="H1284" s="4">
        <f t="shared" ref="H1284:H1347" si="180">G1284*E1284*1000</f>
        <v>520485.00370000012</v>
      </c>
      <c r="I1284" s="5">
        <v>43761</v>
      </c>
      <c r="J1284" s="4">
        <v>4940.5</v>
      </c>
      <c r="K1284" s="4">
        <f t="shared" si="172"/>
        <v>49405</v>
      </c>
      <c r="L1284" s="1">
        <v>43761</v>
      </c>
      <c r="M1284">
        <v>2.7</v>
      </c>
      <c r="P1284" s="1">
        <v>43755</v>
      </c>
      <c r="Q1284">
        <v>2.94</v>
      </c>
      <c r="AJ1284" s="1">
        <v>43761</v>
      </c>
      <c r="AL1284">
        <v>6.5</v>
      </c>
      <c r="AM1284" s="6">
        <f t="shared" si="175"/>
        <v>100000</v>
      </c>
      <c r="AN1284" s="2">
        <f t="shared" si="176"/>
        <v>0</v>
      </c>
    </row>
    <row r="1285" spans="2:40" x14ac:dyDescent="0.35">
      <c r="B1285" s="1">
        <v>43760</v>
      </c>
      <c r="C1285">
        <v>3421.93</v>
      </c>
      <c r="D1285" s="1">
        <v>43773</v>
      </c>
      <c r="E1285">
        <v>3.9916</v>
      </c>
      <c r="F1285" s="1">
        <v>43753</v>
      </c>
      <c r="G1285">
        <v>129.78399999999999</v>
      </c>
      <c r="H1285" s="4">
        <f t="shared" si="180"/>
        <v>518045.81439999992</v>
      </c>
      <c r="I1285" s="5">
        <v>43760</v>
      </c>
      <c r="J1285" s="4">
        <v>4998.6400000000003</v>
      </c>
      <c r="K1285" s="4">
        <f t="shared" ref="K1285:K1348" si="181">J1285*10</f>
        <v>49986.400000000001</v>
      </c>
      <c r="L1285" s="1">
        <v>43760</v>
      </c>
      <c r="M1285">
        <v>2.73</v>
      </c>
      <c r="P1285" s="1">
        <v>43754</v>
      </c>
      <c r="Q1285">
        <v>2.98</v>
      </c>
      <c r="AJ1285" s="1">
        <v>43760</v>
      </c>
      <c r="AL1285">
        <v>6.56</v>
      </c>
      <c r="AM1285" s="6">
        <f t="shared" ref="AM1285:AM1348" si="182">$Z$2/(1+AL1285/100)^(AK1285/252)</f>
        <v>100000</v>
      </c>
      <c r="AN1285" s="2">
        <f t="shared" ref="AN1285:AN1348" si="183">LOG(AM1285/AM1286)</f>
        <v>0</v>
      </c>
    </row>
    <row r="1286" spans="2:40" x14ac:dyDescent="0.35">
      <c r="B1286" s="1">
        <v>43759</v>
      </c>
      <c r="C1286">
        <v>3441.2</v>
      </c>
      <c r="D1286" s="1">
        <v>43770</v>
      </c>
      <c r="E1286">
        <v>3.9780000000000002</v>
      </c>
      <c r="F1286" s="1">
        <v>43752</v>
      </c>
      <c r="G1286">
        <v>130.23699999999999</v>
      </c>
      <c r="H1286" s="4">
        <f t="shared" si="180"/>
        <v>518082.78600000008</v>
      </c>
      <c r="I1286" s="5">
        <v>43759</v>
      </c>
      <c r="J1286" s="4">
        <v>5059.2299999999996</v>
      </c>
      <c r="K1286" s="4">
        <f t="shared" si="181"/>
        <v>50592.299999999996</v>
      </c>
      <c r="L1286" s="1">
        <v>43759</v>
      </c>
      <c r="M1286">
        <v>2.68</v>
      </c>
      <c r="P1286" s="1">
        <v>43753</v>
      </c>
      <c r="Q1286">
        <v>3.07</v>
      </c>
      <c r="AJ1286" s="1">
        <v>43759</v>
      </c>
      <c r="AL1286">
        <v>6.46</v>
      </c>
      <c r="AM1286" s="6">
        <f t="shared" si="182"/>
        <v>100000</v>
      </c>
      <c r="AN1286" s="2">
        <f t="shared" si="183"/>
        <v>0</v>
      </c>
    </row>
    <row r="1287" spans="2:40" x14ac:dyDescent="0.35">
      <c r="B1287" s="1">
        <v>43756</v>
      </c>
      <c r="C1287">
        <v>3425.7</v>
      </c>
      <c r="D1287" s="1">
        <v>43769</v>
      </c>
      <c r="E1287">
        <v>4.0034999999999998</v>
      </c>
      <c r="F1287" s="1">
        <v>43749</v>
      </c>
      <c r="G1287">
        <v>130.03399999999999</v>
      </c>
      <c r="H1287" s="4">
        <f t="shared" si="180"/>
        <v>520591.11899999995</v>
      </c>
      <c r="I1287" s="5">
        <v>43756</v>
      </c>
      <c r="J1287" s="4">
        <v>5039.6400000000003</v>
      </c>
      <c r="K1287" s="4">
        <f t="shared" si="181"/>
        <v>50396.4</v>
      </c>
      <c r="L1287" s="1">
        <v>43756</v>
      </c>
      <c r="M1287">
        <v>2.67</v>
      </c>
      <c r="P1287" s="1">
        <v>43752</v>
      </c>
      <c r="Q1287">
        <v>3.03</v>
      </c>
      <c r="AJ1287" s="1">
        <v>43756</v>
      </c>
      <c r="AL1287">
        <v>6.5</v>
      </c>
      <c r="AM1287" s="6">
        <f t="shared" si="182"/>
        <v>100000</v>
      </c>
      <c r="AN1287" s="2">
        <f t="shared" si="183"/>
        <v>0</v>
      </c>
    </row>
    <row r="1288" spans="2:40" x14ac:dyDescent="0.35">
      <c r="B1288" s="1">
        <v>43755</v>
      </c>
      <c r="C1288">
        <v>3431.44</v>
      </c>
      <c r="D1288" s="1">
        <v>43768</v>
      </c>
      <c r="E1288">
        <v>4.0179999999999998</v>
      </c>
      <c r="F1288" s="1">
        <v>43748</v>
      </c>
      <c r="G1288">
        <v>130.66</v>
      </c>
      <c r="H1288" s="4">
        <f t="shared" si="180"/>
        <v>524991.87999999989</v>
      </c>
      <c r="I1288" s="5">
        <v>43755</v>
      </c>
      <c r="J1288" s="4">
        <v>5101.45</v>
      </c>
      <c r="K1288" s="4">
        <f t="shared" si="181"/>
        <v>51014.5</v>
      </c>
      <c r="L1288" s="1">
        <v>43755</v>
      </c>
      <c r="M1288">
        <v>2.65</v>
      </c>
      <c r="P1288" s="1">
        <v>43749</v>
      </c>
      <c r="Q1288">
        <v>3.08</v>
      </c>
      <c r="AJ1288" s="1">
        <v>43755</v>
      </c>
      <c r="AL1288">
        <v>6.51</v>
      </c>
      <c r="AM1288" s="6">
        <f t="shared" si="182"/>
        <v>100000</v>
      </c>
      <c r="AN1288" s="2">
        <f t="shared" si="183"/>
        <v>0</v>
      </c>
    </row>
    <row r="1289" spans="2:40" x14ac:dyDescent="0.35">
      <c r="B1289" s="1">
        <v>43754</v>
      </c>
      <c r="C1289">
        <v>3422.2</v>
      </c>
      <c r="D1289" s="1">
        <v>43767</v>
      </c>
      <c r="E1289">
        <v>3.9940000000000002</v>
      </c>
      <c r="F1289" s="1">
        <v>43747</v>
      </c>
      <c r="G1289">
        <v>131.30000000000001</v>
      </c>
      <c r="H1289" s="4">
        <f t="shared" si="180"/>
        <v>524412.20000000007</v>
      </c>
      <c r="I1289" s="5">
        <v>43754</v>
      </c>
      <c r="J1289" s="4">
        <v>5087.38</v>
      </c>
      <c r="K1289" s="4">
        <f t="shared" si="181"/>
        <v>50873.8</v>
      </c>
      <c r="L1289" s="1">
        <v>43754</v>
      </c>
      <c r="M1289">
        <v>2.68</v>
      </c>
      <c r="P1289" s="1">
        <v>43748</v>
      </c>
      <c r="Q1289">
        <v>3.21</v>
      </c>
      <c r="AJ1289" s="1">
        <v>43754</v>
      </c>
      <c r="AL1289">
        <v>6.57</v>
      </c>
      <c r="AM1289" s="6">
        <f t="shared" si="182"/>
        <v>100000</v>
      </c>
      <c r="AN1289" s="2">
        <f t="shared" si="183"/>
        <v>0</v>
      </c>
    </row>
    <row r="1290" spans="2:40" x14ac:dyDescent="0.35">
      <c r="B1290" s="1">
        <v>43753</v>
      </c>
      <c r="C1290">
        <v>3429.53</v>
      </c>
      <c r="D1290" s="1">
        <v>43766</v>
      </c>
      <c r="E1290">
        <v>3.9786000000000001</v>
      </c>
      <c r="F1290" s="1">
        <v>43746</v>
      </c>
      <c r="G1290">
        <v>131.75200000000001</v>
      </c>
      <c r="H1290" s="4">
        <f t="shared" si="180"/>
        <v>524188.50719999999</v>
      </c>
      <c r="I1290" s="5">
        <v>43753</v>
      </c>
      <c r="J1290" s="4">
        <v>5122.26</v>
      </c>
      <c r="K1290" s="4">
        <f t="shared" si="181"/>
        <v>51222.600000000006</v>
      </c>
      <c r="L1290" s="1">
        <v>43753</v>
      </c>
      <c r="M1290">
        <v>2.78</v>
      </c>
      <c r="P1290" s="1">
        <v>43747</v>
      </c>
      <c r="Q1290">
        <v>3.25</v>
      </c>
      <c r="AJ1290" s="1">
        <v>43753</v>
      </c>
      <c r="AL1290">
        <v>6.7</v>
      </c>
      <c r="AM1290" s="6">
        <f t="shared" si="182"/>
        <v>100000</v>
      </c>
      <c r="AN1290" s="2">
        <f t="shared" si="183"/>
        <v>0</v>
      </c>
    </row>
    <row r="1291" spans="2:40" x14ac:dyDescent="0.35">
      <c r="B1291" s="1">
        <v>43752</v>
      </c>
      <c r="C1291">
        <v>3391.5</v>
      </c>
      <c r="D1291" s="1">
        <v>43763</v>
      </c>
      <c r="E1291">
        <v>4.0126999999999997</v>
      </c>
      <c r="F1291" s="1">
        <v>43745</v>
      </c>
      <c r="G1291">
        <v>131.41900000000001</v>
      </c>
      <c r="H1291" s="4">
        <f t="shared" si="180"/>
        <v>527345.02130000002</v>
      </c>
      <c r="I1291" s="5">
        <v>43752</v>
      </c>
      <c r="J1291" s="4">
        <v>5056.78</v>
      </c>
      <c r="K1291" s="4">
        <f t="shared" si="181"/>
        <v>50567.799999999996</v>
      </c>
      <c r="L1291" s="1">
        <v>43752</v>
      </c>
      <c r="M1291">
        <v>2.73</v>
      </c>
      <c r="P1291" s="1">
        <v>43746</v>
      </c>
      <c r="Q1291">
        <v>3.29</v>
      </c>
      <c r="AJ1291" s="1">
        <v>43752</v>
      </c>
      <c r="AL1291">
        <v>6.6</v>
      </c>
      <c r="AM1291" s="6">
        <f t="shared" si="182"/>
        <v>100000</v>
      </c>
      <c r="AN1291" s="2">
        <f t="shared" si="183"/>
        <v>0</v>
      </c>
    </row>
    <row r="1292" spans="2:40" x14ac:dyDescent="0.35">
      <c r="B1292" s="1">
        <v>43749</v>
      </c>
      <c r="C1292">
        <v>3398.04</v>
      </c>
      <c r="D1292" s="1">
        <v>43762</v>
      </c>
      <c r="E1292">
        <v>4.0083000000000002</v>
      </c>
      <c r="F1292" s="1">
        <v>43742</v>
      </c>
      <c r="G1292">
        <v>131.85</v>
      </c>
      <c r="H1292" s="4">
        <f t="shared" si="180"/>
        <v>528494.3550000001</v>
      </c>
      <c r="I1292" s="5">
        <v>43749</v>
      </c>
      <c r="J1292" s="4">
        <v>5031.07</v>
      </c>
      <c r="K1292" s="4">
        <f t="shared" si="181"/>
        <v>50310.7</v>
      </c>
      <c r="L1292" s="1">
        <v>43749</v>
      </c>
      <c r="M1292">
        <v>2.83</v>
      </c>
      <c r="P1292" s="1">
        <v>43745</v>
      </c>
      <c r="Q1292">
        <v>3.29</v>
      </c>
      <c r="AJ1292" s="1">
        <v>43749</v>
      </c>
      <c r="AL1292">
        <v>6.61</v>
      </c>
      <c r="AM1292" s="6">
        <f t="shared" si="182"/>
        <v>100000</v>
      </c>
      <c r="AN1292" s="2">
        <f t="shared" si="183"/>
        <v>0</v>
      </c>
    </row>
    <row r="1293" spans="2:40" x14ac:dyDescent="0.35">
      <c r="B1293" s="1">
        <v>43748</v>
      </c>
      <c r="C1293">
        <v>3365.78</v>
      </c>
      <c r="D1293" s="1">
        <v>43761</v>
      </c>
      <c r="E1293">
        <v>4.0715000000000003</v>
      </c>
      <c r="F1293" s="1">
        <v>43741</v>
      </c>
      <c r="G1293">
        <v>131.721</v>
      </c>
      <c r="H1293" s="4">
        <f t="shared" si="180"/>
        <v>536302.05150000006</v>
      </c>
      <c r="I1293" s="5">
        <v>43748</v>
      </c>
      <c r="J1293" s="4">
        <v>5037.1899999999996</v>
      </c>
      <c r="K1293" s="4">
        <f t="shared" si="181"/>
        <v>50371.899999999994</v>
      </c>
      <c r="L1293" s="1">
        <v>43748</v>
      </c>
      <c r="M1293">
        <v>2.93</v>
      </c>
      <c r="P1293" s="1">
        <v>43742</v>
      </c>
      <c r="Q1293">
        <v>3.24</v>
      </c>
      <c r="AJ1293" s="1">
        <v>43748</v>
      </c>
      <c r="AL1293">
        <v>6.78</v>
      </c>
      <c r="AM1293" s="6">
        <f t="shared" si="182"/>
        <v>100000</v>
      </c>
      <c r="AN1293" s="2">
        <f t="shared" si="183"/>
        <v>0</v>
      </c>
    </row>
    <row r="1294" spans="2:40" x14ac:dyDescent="0.35">
      <c r="B1294" s="1">
        <v>43747</v>
      </c>
      <c r="C1294">
        <v>3338.19</v>
      </c>
      <c r="D1294" s="1">
        <v>43760</v>
      </c>
      <c r="E1294">
        <v>4.1369999999999996</v>
      </c>
      <c r="F1294" s="1">
        <v>43740</v>
      </c>
      <c r="G1294">
        <v>131.11099999999999</v>
      </c>
      <c r="H1294" s="4">
        <f t="shared" si="180"/>
        <v>542406.20699999994</v>
      </c>
      <c r="I1294" s="5">
        <v>43747</v>
      </c>
      <c r="J1294" s="4">
        <v>5037.1899999999996</v>
      </c>
      <c r="K1294" s="4">
        <f t="shared" si="181"/>
        <v>50371.899999999994</v>
      </c>
      <c r="L1294" s="1">
        <v>43747</v>
      </c>
      <c r="M1294">
        <v>2.95</v>
      </c>
      <c r="P1294" s="1">
        <v>43741</v>
      </c>
      <c r="Q1294">
        <v>3.25</v>
      </c>
      <c r="AJ1294" s="1">
        <v>43747</v>
      </c>
      <c r="AL1294">
        <v>6.86</v>
      </c>
      <c r="AM1294" s="6">
        <f t="shared" si="182"/>
        <v>100000</v>
      </c>
      <c r="AN1294" s="2">
        <f t="shared" si="183"/>
        <v>0</v>
      </c>
    </row>
    <row r="1295" spans="2:40" x14ac:dyDescent="0.35">
      <c r="B1295" s="1">
        <v>43746</v>
      </c>
      <c r="C1295">
        <v>3316.31</v>
      </c>
      <c r="D1295" s="1">
        <v>43759</v>
      </c>
      <c r="E1295">
        <v>4.1313000000000004</v>
      </c>
      <c r="F1295" s="1">
        <v>43739</v>
      </c>
      <c r="G1295">
        <v>130.57599999999999</v>
      </c>
      <c r="H1295" s="4">
        <f t="shared" si="180"/>
        <v>539448.62880000006</v>
      </c>
      <c r="I1295" s="5">
        <v>43746</v>
      </c>
      <c r="J1295" s="4">
        <v>5020.67</v>
      </c>
      <c r="K1295" s="4">
        <f t="shared" si="181"/>
        <v>50206.7</v>
      </c>
      <c r="L1295" s="1">
        <v>43746</v>
      </c>
      <c r="M1295">
        <v>3.01</v>
      </c>
      <c r="P1295" s="1">
        <v>43740</v>
      </c>
      <c r="Q1295">
        <v>3.26</v>
      </c>
      <c r="AJ1295" s="1">
        <v>43746</v>
      </c>
      <c r="AL1295">
        <v>6.95</v>
      </c>
      <c r="AM1295" s="6">
        <f t="shared" si="182"/>
        <v>100000</v>
      </c>
      <c r="AN1295" s="2">
        <f t="shared" si="183"/>
        <v>0</v>
      </c>
    </row>
    <row r="1296" spans="2:40" x14ac:dyDescent="0.35">
      <c r="B1296" s="1">
        <v>43745</v>
      </c>
      <c r="C1296">
        <v>3358.69</v>
      </c>
      <c r="D1296" s="1">
        <v>43756</v>
      </c>
      <c r="E1296">
        <v>4.1369999999999996</v>
      </c>
      <c r="F1296" s="1">
        <v>43738</v>
      </c>
      <c r="G1296">
        <v>130.279</v>
      </c>
      <c r="H1296" s="4">
        <f t="shared" si="180"/>
        <v>538964.223</v>
      </c>
      <c r="I1296" s="5">
        <v>43745</v>
      </c>
      <c r="J1296" s="4">
        <v>5036.58</v>
      </c>
      <c r="K1296" s="4">
        <f t="shared" si="181"/>
        <v>50365.8</v>
      </c>
      <c r="L1296" s="1">
        <v>43745</v>
      </c>
      <c r="M1296">
        <v>3.02</v>
      </c>
      <c r="P1296" s="1">
        <v>43739</v>
      </c>
      <c r="Q1296">
        <v>3.26</v>
      </c>
      <c r="AJ1296" s="1">
        <v>43745</v>
      </c>
      <c r="AL1296">
        <v>6.98</v>
      </c>
      <c r="AM1296" s="6">
        <f t="shared" si="182"/>
        <v>100000</v>
      </c>
      <c r="AN1296" s="2">
        <f t="shared" si="183"/>
        <v>0</v>
      </c>
    </row>
    <row r="1297" spans="2:40" x14ac:dyDescent="0.35">
      <c r="B1297" s="1">
        <v>43742</v>
      </c>
      <c r="C1297">
        <v>3376.24</v>
      </c>
      <c r="D1297" s="1">
        <v>43755</v>
      </c>
      <c r="E1297">
        <v>4.1452</v>
      </c>
      <c r="F1297" s="1">
        <v>43735</v>
      </c>
      <c r="G1297">
        <v>130.268</v>
      </c>
      <c r="H1297" s="4">
        <f t="shared" si="180"/>
        <v>539986.91359999997</v>
      </c>
      <c r="I1297" s="5">
        <v>43742</v>
      </c>
      <c r="J1297" s="4">
        <v>4975.38</v>
      </c>
      <c r="K1297" s="4">
        <f t="shared" si="181"/>
        <v>49753.8</v>
      </c>
      <c r="L1297" s="1">
        <v>43742</v>
      </c>
      <c r="M1297">
        <v>2.94</v>
      </c>
      <c r="P1297" s="1">
        <v>43738</v>
      </c>
      <c r="Q1297">
        <v>3.27</v>
      </c>
      <c r="AJ1297" s="1">
        <v>43742</v>
      </c>
      <c r="AL1297">
        <v>6.93</v>
      </c>
      <c r="AM1297" s="6">
        <f t="shared" si="182"/>
        <v>100000</v>
      </c>
      <c r="AN1297" s="2">
        <f t="shared" si="183"/>
        <v>0</v>
      </c>
    </row>
    <row r="1298" spans="2:40" x14ac:dyDescent="0.35">
      <c r="B1298" s="1">
        <v>43741</v>
      </c>
      <c r="C1298">
        <v>3336.08</v>
      </c>
      <c r="D1298" s="1">
        <v>43754</v>
      </c>
      <c r="E1298">
        <v>4.1707999999999998</v>
      </c>
      <c r="F1298" s="1">
        <v>43734</v>
      </c>
      <c r="G1298">
        <v>130.22</v>
      </c>
      <c r="H1298" s="4">
        <f t="shared" si="180"/>
        <v>543121.576</v>
      </c>
      <c r="I1298" s="5">
        <v>43741</v>
      </c>
      <c r="J1298" s="4">
        <v>5009.04</v>
      </c>
      <c r="K1298" s="4">
        <f t="shared" si="181"/>
        <v>50090.400000000001</v>
      </c>
      <c r="L1298" s="1">
        <v>43741</v>
      </c>
      <c r="M1298">
        <v>2.97</v>
      </c>
      <c r="P1298" s="1">
        <v>43735</v>
      </c>
      <c r="Q1298">
        <v>3.27</v>
      </c>
      <c r="AJ1298" s="1">
        <v>43741</v>
      </c>
      <c r="AL1298">
        <v>6.94</v>
      </c>
      <c r="AM1298" s="6">
        <f t="shared" si="182"/>
        <v>100000</v>
      </c>
      <c r="AN1298" s="2">
        <f t="shared" si="183"/>
        <v>0</v>
      </c>
    </row>
    <row r="1299" spans="2:40" x14ac:dyDescent="0.35">
      <c r="B1299" s="1">
        <v>43740</v>
      </c>
      <c r="C1299">
        <v>3301.32</v>
      </c>
      <c r="D1299" s="1">
        <v>43753</v>
      </c>
      <c r="E1299">
        <v>4.1482000000000001</v>
      </c>
      <c r="F1299" s="1">
        <v>43733</v>
      </c>
      <c r="G1299">
        <v>129.905</v>
      </c>
      <c r="H1299" s="4">
        <f t="shared" si="180"/>
        <v>538871.92100000009</v>
      </c>
      <c r="I1299" s="5">
        <v>43740</v>
      </c>
      <c r="J1299" s="4">
        <v>5062.8999999999996</v>
      </c>
      <c r="K1299" s="4">
        <f t="shared" si="181"/>
        <v>50629</v>
      </c>
      <c r="L1299" s="1">
        <v>43740</v>
      </c>
      <c r="M1299">
        <v>2.99</v>
      </c>
      <c r="P1299" s="1">
        <v>43734</v>
      </c>
      <c r="Q1299">
        <v>3.26</v>
      </c>
      <c r="AJ1299" s="1">
        <v>43740</v>
      </c>
      <c r="AL1299">
        <v>7.02</v>
      </c>
      <c r="AM1299" s="6">
        <f t="shared" si="182"/>
        <v>100000</v>
      </c>
      <c r="AN1299" s="2">
        <f t="shared" si="183"/>
        <v>0</v>
      </c>
    </row>
    <row r="1300" spans="2:40" x14ac:dyDescent="0.35">
      <c r="B1300" s="1">
        <v>43739</v>
      </c>
      <c r="C1300">
        <v>3367.29</v>
      </c>
      <c r="D1300" s="1">
        <v>43752</v>
      </c>
      <c r="E1300">
        <v>4.1257000000000001</v>
      </c>
      <c r="F1300" s="1">
        <v>43732</v>
      </c>
      <c r="G1300">
        <v>130.673</v>
      </c>
      <c r="H1300" s="4">
        <f t="shared" si="180"/>
        <v>539117.59609999997</v>
      </c>
      <c r="I1300" s="5">
        <v>43739</v>
      </c>
      <c r="J1300" s="4">
        <v>5098.3900000000003</v>
      </c>
      <c r="K1300" s="4">
        <f t="shared" si="181"/>
        <v>50983.9</v>
      </c>
      <c r="L1300" s="1">
        <v>43739</v>
      </c>
      <c r="M1300">
        <v>2.97</v>
      </c>
      <c r="P1300" s="1">
        <v>43733</v>
      </c>
      <c r="Q1300">
        <v>3.3</v>
      </c>
      <c r="AJ1300" s="1">
        <v>43739</v>
      </c>
      <c r="AL1300">
        <v>6.95</v>
      </c>
      <c r="AM1300" s="6">
        <f t="shared" si="182"/>
        <v>100000</v>
      </c>
      <c r="AN1300" s="2">
        <f t="shared" si="183"/>
        <v>0</v>
      </c>
    </row>
    <row r="1301" spans="2:40" x14ac:dyDescent="0.35">
      <c r="B1301" s="1">
        <v>43738</v>
      </c>
      <c r="C1301">
        <v>3412.57</v>
      </c>
      <c r="D1301" s="1">
        <v>43749</v>
      </c>
      <c r="E1301">
        <v>4.1054000000000004</v>
      </c>
      <c r="F1301" s="1">
        <v>43731</v>
      </c>
      <c r="G1301">
        <v>130.017</v>
      </c>
      <c r="H1301" s="4">
        <f t="shared" si="180"/>
        <v>533771.79180000012</v>
      </c>
      <c r="I1301" s="5">
        <v>43738</v>
      </c>
      <c r="J1301" s="4">
        <v>5094.72</v>
      </c>
      <c r="K1301" s="4">
        <f t="shared" si="181"/>
        <v>50947.200000000004</v>
      </c>
      <c r="L1301" s="1">
        <v>43738</v>
      </c>
      <c r="M1301">
        <v>2.98</v>
      </c>
      <c r="P1301" s="1">
        <v>43732</v>
      </c>
      <c r="Q1301">
        <v>3.37</v>
      </c>
      <c r="AJ1301" s="1">
        <v>43738</v>
      </c>
      <c r="AL1301">
        <v>7.01</v>
      </c>
      <c r="AM1301" s="6">
        <f t="shared" si="182"/>
        <v>100000</v>
      </c>
      <c r="AN1301" s="2">
        <f t="shared" si="183"/>
        <v>0</v>
      </c>
    </row>
    <row r="1302" spans="2:40" x14ac:dyDescent="0.35">
      <c r="B1302" s="1">
        <v>43735</v>
      </c>
      <c r="C1302">
        <v>3393.37</v>
      </c>
      <c r="D1302" s="1">
        <v>43748</v>
      </c>
      <c r="E1302">
        <v>4.1139000000000001</v>
      </c>
      <c r="F1302" s="1">
        <v>43728</v>
      </c>
      <c r="G1302">
        <v>129.95500000000001</v>
      </c>
      <c r="H1302" s="4">
        <f t="shared" si="180"/>
        <v>534621.87450000015</v>
      </c>
      <c r="I1302" s="5">
        <v>43735</v>
      </c>
      <c r="J1302" s="4">
        <v>5099.62</v>
      </c>
      <c r="K1302" s="4">
        <f t="shared" si="181"/>
        <v>50996.2</v>
      </c>
      <c r="L1302" s="1">
        <v>43735</v>
      </c>
      <c r="M1302">
        <v>2.99</v>
      </c>
      <c r="P1302" s="1">
        <v>43731</v>
      </c>
      <c r="Q1302">
        <v>3.36</v>
      </c>
      <c r="AJ1302" s="1">
        <v>43735</v>
      </c>
      <c r="AL1302">
        <v>6.99</v>
      </c>
      <c r="AM1302" s="6">
        <f t="shared" si="182"/>
        <v>100000</v>
      </c>
      <c r="AN1302" s="2">
        <f t="shared" si="183"/>
        <v>0</v>
      </c>
    </row>
    <row r="1303" spans="2:40" x14ac:dyDescent="0.35">
      <c r="B1303" s="1">
        <v>43734</v>
      </c>
      <c r="C1303">
        <v>3416.87</v>
      </c>
      <c r="D1303" s="1">
        <v>43747</v>
      </c>
      <c r="E1303">
        <v>4.0948000000000002</v>
      </c>
      <c r="F1303" s="1">
        <v>43727</v>
      </c>
      <c r="G1303">
        <v>129.596</v>
      </c>
      <c r="H1303" s="4">
        <f t="shared" si="180"/>
        <v>530669.70079999999</v>
      </c>
      <c r="I1303" s="5">
        <v>43734</v>
      </c>
      <c r="J1303" s="4">
        <v>5119.8599999999997</v>
      </c>
      <c r="K1303" s="4">
        <f t="shared" si="181"/>
        <v>51198.6</v>
      </c>
      <c r="L1303" s="1">
        <v>43734</v>
      </c>
      <c r="M1303">
        <v>3</v>
      </c>
      <c r="P1303" s="1">
        <v>43728</v>
      </c>
      <c r="Q1303">
        <v>3.32</v>
      </c>
      <c r="AJ1303" s="1">
        <v>43734</v>
      </c>
      <c r="AL1303">
        <v>7.01</v>
      </c>
      <c r="AM1303" s="6">
        <f t="shared" si="182"/>
        <v>100000</v>
      </c>
      <c r="AN1303" s="2">
        <f t="shared" si="183"/>
        <v>0</v>
      </c>
    </row>
    <row r="1304" spans="2:40" x14ac:dyDescent="0.35">
      <c r="B1304" s="1">
        <v>43733</v>
      </c>
      <c r="C1304">
        <v>3417.69</v>
      </c>
      <c r="D1304" s="1">
        <v>43746</v>
      </c>
      <c r="E1304">
        <v>4.0861999999999998</v>
      </c>
      <c r="F1304" s="1">
        <v>43726</v>
      </c>
      <c r="G1304">
        <v>129.20099999999999</v>
      </c>
      <c r="H1304" s="4">
        <f t="shared" si="180"/>
        <v>527941.12619999994</v>
      </c>
      <c r="I1304" s="5">
        <v>43733</v>
      </c>
      <c r="J1304" s="4">
        <v>5091.6400000000003</v>
      </c>
      <c r="K1304" s="4">
        <f t="shared" si="181"/>
        <v>50916.4</v>
      </c>
      <c r="L1304" s="1">
        <v>43733</v>
      </c>
      <c r="M1304">
        <v>3.03</v>
      </c>
      <c r="P1304" s="1">
        <v>43727</v>
      </c>
      <c r="Q1304">
        <v>3.37</v>
      </c>
      <c r="AJ1304" s="1">
        <v>43733</v>
      </c>
      <c r="AL1304">
        <v>7.06</v>
      </c>
      <c r="AM1304" s="6">
        <f t="shared" si="182"/>
        <v>100000</v>
      </c>
      <c r="AN1304" s="2">
        <f t="shared" si="183"/>
        <v>0</v>
      </c>
    </row>
    <row r="1305" spans="2:40" x14ac:dyDescent="0.35">
      <c r="B1305" s="1">
        <v>43732</v>
      </c>
      <c r="C1305">
        <v>3402.71</v>
      </c>
      <c r="D1305" s="1">
        <v>43745</v>
      </c>
      <c r="E1305">
        <v>4.0682</v>
      </c>
      <c r="F1305" s="1">
        <v>43725</v>
      </c>
      <c r="G1305">
        <v>129.33000000000001</v>
      </c>
      <c r="H1305" s="4">
        <f t="shared" si="180"/>
        <v>526140.30599999998</v>
      </c>
      <c r="I1305" s="5">
        <v>43732</v>
      </c>
      <c r="J1305" s="4">
        <v>5111.2700000000004</v>
      </c>
      <c r="K1305" s="4">
        <f t="shared" si="181"/>
        <v>51112.700000000004</v>
      </c>
      <c r="L1305" s="1">
        <v>43732</v>
      </c>
      <c r="M1305">
        <v>3.09</v>
      </c>
      <c r="P1305" s="1">
        <v>43726</v>
      </c>
      <c r="Q1305">
        <v>3.44</v>
      </c>
      <c r="AJ1305" s="1">
        <v>43732</v>
      </c>
      <c r="AL1305">
        <v>7.11</v>
      </c>
      <c r="AM1305" s="6">
        <f t="shared" si="182"/>
        <v>100000</v>
      </c>
      <c r="AN1305" s="2">
        <f t="shared" si="183"/>
        <v>0</v>
      </c>
    </row>
    <row r="1306" spans="2:40" x14ac:dyDescent="0.35">
      <c r="B1306" s="1">
        <v>43731</v>
      </c>
      <c r="C1306">
        <v>3432.57</v>
      </c>
      <c r="D1306" s="1">
        <v>43742</v>
      </c>
      <c r="E1306">
        <v>4.0603999999999996</v>
      </c>
      <c r="F1306" s="1">
        <v>43724</v>
      </c>
      <c r="G1306">
        <v>129.01300000000001</v>
      </c>
      <c r="H1306" s="4">
        <f t="shared" si="180"/>
        <v>523844.3851999999</v>
      </c>
      <c r="I1306" s="5">
        <v>43731</v>
      </c>
      <c r="J1306" s="4">
        <v>5111.8900000000003</v>
      </c>
      <c r="K1306" s="4">
        <f t="shared" si="181"/>
        <v>51118.9</v>
      </c>
      <c r="L1306" s="1">
        <v>43731</v>
      </c>
      <c r="M1306">
        <v>3.05</v>
      </c>
      <c r="P1306" s="1">
        <v>43725</v>
      </c>
      <c r="Q1306">
        <v>3.45</v>
      </c>
      <c r="AJ1306" s="1">
        <v>43731</v>
      </c>
      <c r="AL1306">
        <v>7.07</v>
      </c>
      <c r="AM1306" s="6">
        <f t="shared" si="182"/>
        <v>100000</v>
      </c>
      <c r="AN1306" s="2">
        <f t="shared" si="183"/>
        <v>0</v>
      </c>
    </row>
    <row r="1307" spans="2:40" x14ac:dyDescent="0.35">
      <c r="B1307" s="1">
        <v>43728</v>
      </c>
      <c r="C1307">
        <v>3420.57</v>
      </c>
      <c r="D1307" s="1">
        <v>43741</v>
      </c>
      <c r="E1307">
        <v>4.1006</v>
      </c>
      <c r="F1307" s="1">
        <v>43721</v>
      </c>
      <c r="G1307">
        <v>128.57599999999999</v>
      </c>
      <c r="H1307" s="4">
        <f t="shared" si="180"/>
        <v>527238.74560000002</v>
      </c>
      <c r="I1307" s="5">
        <v>43728</v>
      </c>
      <c r="J1307" s="4">
        <v>5094.09</v>
      </c>
      <c r="K1307" s="4">
        <f t="shared" si="181"/>
        <v>50940.9</v>
      </c>
      <c r="L1307" s="1">
        <v>43728</v>
      </c>
      <c r="M1307">
        <v>3.04</v>
      </c>
      <c r="P1307" s="1">
        <v>43724</v>
      </c>
      <c r="Q1307">
        <v>3.51</v>
      </c>
      <c r="AJ1307" s="1">
        <v>43728</v>
      </c>
      <c r="AL1307">
        <v>7.03</v>
      </c>
      <c r="AM1307" s="6">
        <f t="shared" si="182"/>
        <v>100000</v>
      </c>
      <c r="AN1307" s="2">
        <f t="shared" si="183"/>
        <v>0</v>
      </c>
    </row>
    <row r="1308" spans="2:40" x14ac:dyDescent="0.35">
      <c r="B1308" s="1">
        <v>43727</v>
      </c>
      <c r="C1308">
        <v>3441.09</v>
      </c>
      <c r="D1308" s="1">
        <v>43740</v>
      </c>
      <c r="E1308">
        <v>4.1539999999999999</v>
      </c>
      <c r="F1308" s="1">
        <v>43720</v>
      </c>
      <c r="G1308">
        <v>129.56200000000001</v>
      </c>
      <c r="H1308" s="4">
        <f t="shared" si="180"/>
        <v>538200.54800000007</v>
      </c>
      <c r="I1308" s="5">
        <v>43727</v>
      </c>
      <c r="J1308" s="4">
        <v>5118.0200000000004</v>
      </c>
      <c r="K1308" s="4">
        <f t="shared" si="181"/>
        <v>51180.200000000004</v>
      </c>
      <c r="L1308" s="1">
        <v>43727</v>
      </c>
      <c r="M1308">
        <v>3.11</v>
      </c>
      <c r="P1308" s="1">
        <v>43721</v>
      </c>
      <c r="Q1308">
        <v>3.57</v>
      </c>
      <c r="AJ1308" s="1">
        <v>43727</v>
      </c>
      <c r="AL1308">
        <v>7.16</v>
      </c>
      <c r="AM1308" s="6">
        <f t="shared" si="182"/>
        <v>100000</v>
      </c>
      <c r="AN1308" s="2">
        <f t="shared" si="183"/>
        <v>0</v>
      </c>
    </row>
    <row r="1309" spans="2:40" x14ac:dyDescent="0.35">
      <c r="B1309" s="1">
        <v>43726</v>
      </c>
      <c r="C1309">
        <v>3444.25</v>
      </c>
      <c r="D1309" s="1">
        <v>43739</v>
      </c>
      <c r="E1309">
        <v>4.1734</v>
      </c>
      <c r="F1309" s="1">
        <v>43719</v>
      </c>
      <c r="G1309">
        <v>129.86199999999999</v>
      </c>
      <c r="H1309" s="4">
        <f t="shared" si="180"/>
        <v>541966.07079999999</v>
      </c>
      <c r="I1309" s="5">
        <v>43726</v>
      </c>
      <c r="J1309" s="4">
        <v>5048.6899999999996</v>
      </c>
      <c r="K1309" s="4">
        <f t="shared" si="181"/>
        <v>50486.899999999994</v>
      </c>
      <c r="L1309" s="1">
        <v>43726</v>
      </c>
      <c r="M1309">
        <v>3.15</v>
      </c>
      <c r="P1309" s="1">
        <v>43720</v>
      </c>
      <c r="Q1309">
        <v>3.55</v>
      </c>
      <c r="AJ1309" s="1">
        <v>43726</v>
      </c>
      <c r="AL1309">
        <v>7.14</v>
      </c>
      <c r="AM1309" s="6">
        <f t="shared" si="182"/>
        <v>100000</v>
      </c>
      <c r="AN1309" s="2">
        <f t="shared" si="183"/>
        <v>0</v>
      </c>
    </row>
    <row r="1310" spans="2:40" x14ac:dyDescent="0.35">
      <c r="B1310" s="1">
        <v>43725</v>
      </c>
      <c r="C1310">
        <v>3441.36</v>
      </c>
      <c r="D1310" s="1">
        <v>43738</v>
      </c>
      <c r="E1310">
        <v>4.1638000000000002</v>
      </c>
      <c r="F1310" s="1">
        <v>43718</v>
      </c>
      <c r="G1310">
        <v>129.846</v>
      </c>
      <c r="H1310" s="4">
        <f t="shared" si="180"/>
        <v>540652.77480000013</v>
      </c>
      <c r="I1310" s="5">
        <v>43725</v>
      </c>
      <c r="J1310" s="4">
        <v>5006.3500000000004</v>
      </c>
      <c r="K1310" s="4">
        <f t="shared" si="181"/>
        <v>50063.5</v>
      </c>
      <c r="L1310" s="1">
        <v>43725</v>
      </c>
      <c r="M1310">
        <v>3.19</v>
      </c>
      <c r="P1310" s="1">
        <v>43719</v>
      </c>
      <c r="Q1310">
        <v>3.55</v>
      </c>
      <c r="AJ1310" s="1">
        <v>43725</v>
      </c>
      <c r="AL1310">
        <v>7.16</v>
      </c>
      <c r="AM1310" s="6">
        <f t="shared" si="182"/>
        <v>100000</v>
      </c>
      <c r="AN1310" s="2">
        <f t="shared" si="183"/>
        <v>0</v>
      </c>
    </row>
    <row r="1311" spans="2:40" x14ac:dyDescent="0.35">
      <c r="B1311" s="1">
        <v>43724</v>
      </c>
      <c r="C1311">
        <v>3436.06</v>
      </c>
      <c r="D1311" s="1">
        <v>43735</v>
      </c>
      <c r="E1311">
        <v>4.1581000000000001</v>
      </c>
      <c r="F1311" s="1">
        <v>43717</v>
      </c>
      <c r="G1311">
        <v>130.798</v>
      </c>
      <c r="H1311" s="4">
        <f t="shared" si="180"/>
        <v>543871.16379999998</v>
      </c>
      <c r="I1311" s="5">
        <v>43724</v>
      </c>
      <c r="J1311" s="4">
        <v>5011.87</v>
      </c>
      <c r="K1311" s="4">
        <f t="shared" si="181"/>
        <v>50118.7</v>
      </c>
      <c r="L1311" s="1">
        <v>43724</v>
      </c>
      <c r="M1311">
        <v>3.27</v>
      </c>
      <c r="P1311" s="1">
        <v>43718</v>
      </c>
      <c r="Q1311">
        <v>3.59</v>
      </c>
      <c r="AJ1311" s="1">
        <v>43724</v>
      </c>
      <c r="AL1311">
        <v>7.27</v>
      </c>
      <c r="AM1311" s="6">
        <f t="shared" si="182"/>
        <v>100000</v>
      </c>
      <c r="AN1311" s="2">
        <f t="shared" si="183"/>
        <v>0</v>
      </c>
    </row>
    <row r="1312" spans="2:40" x14ac:dyDescent="0.35">
      <c r="B1312" s="1">
        <v>43721</v>
      </c>
      <c r="C1312">
        <v>3444.03</v>
      </c>
      <c r="D1312" s="1">
        <v>43734</v>
      </c>
      <c r="E1312">
        <v>4.1463000000000001</v>
      </c>
      <c r="F1312" s="1">
        <v>43714</v>
      </c>
      <c r="G1312">
        <v>131.376</v>
      </c>
      <c r="H1312" s="4">
        <f t="shared" si="180"/>
        <v>544724.3088</v>
      </c>
      <c r="I1312" s="5">
        <v>43721</v>
      </c>
      <c r="J1312" s="4">
        <v>5017.3900000000003</v>
      </c>
      <c r="K1312" s="4">
        <f t="shared" si="181"/>
        <v>50173.9</v>
      </c>
      <c r="L1312" s="1">
        <v>43721</v>
      </c>
      <c r="M1312">
        <v>3.33</v>
      </c>
      <c r="P1312" s="1">
        <v>43717</v>
      </c>
      <c r="Q1312">
        <v>3.58</v>
      </c>
      <c r="AJ1312" s="1">
        <v>43721</v>
      </c>
      <c r="AL1312">
        <v>7.35</v>
      </c>
      <c r="AM1312" s="6">
        <f t="shared" si="182"/>
        <v>100000</v>
      </c>
      <c r="AN1312" s="2">
        <f t="shared" si="183"/>
        <v>0</v>
      </c>
    </row>
    <row r="1313" spans="2:40" x14ac:dyDescent="0.35">
      <c r="B1313" s="1">
        <v>43720</v>
      </c>
      <c r="C1313">
        <v>3442.37</v>
      </c>
      <c r="D1313" s="1">
        <v>43733</v>
      </c>
      <c r="E1313">
        <v>4.1821000000000002</v>
      </c>
      <c r="F1313" s="1">
        <v>43713</v>
      </c>
      <c r="G1313">
        <v>131.26400000000001</v>
      </c>
      <c r="H1313" s="4">
        <f t="shared" si="180"/>
        <v>548959.17440000002</v>
      </c>
      <c r="I1313" s="5">
        <v>43720</v>
      </c>
      <c r="J1313" s="4">
        <v>4987.9399999999996</v>
      </c>
      <c r="K1313" s="4">
        <f t="shared" si="181"/>
        <v>49879.399999999994</v>
      </c>
      <c r="L1313" s="1">
        <v>43720</v>
      </c>
      <c r="M1313">
        <v>3.3</v>
      </c>
      <c r="P1313" s="1">
        <v>43714</v>
      </c>
      <c r="Q1313">
        <v>3.56</v>
      </c>
      <c r="AJ1313" s="1">
        <v>43720</v>
      </c>
      <c r="AL1313">
        <v>7.26</v>
      </c>
      <c r="AM1313" s="6">
        <f t="shared" si="182"/>
        <v>100000</v>
      </c>
      <c r="AN1313" s="2">
        <f t="shared" si="183"/>
        <v>0</v>
      </c>
    </row>
    <row r="1314" spans="2:40" x14ac:dyDescent="0.35">
      <c r="B1314" s="1">
        <v>43719</v>
      </c>
      <c r="C1314">
        <v>3439.8</v>
      </c>
      <c r="D1314" s="1">
        <v>43732</v>
      </c>
      <c r="E1314">
        <v>4.1715</v>
      </c>
      <c r="F1314" s="1">
        <v>43712</v>
      </c>
      <c r="G1314">
        <v>132.20099999999999</v>
      </c>
      <c r="H1314" s="4">
        <f t="shared" si="180"/>
        <v>551476.47149999999</v>
      </c>
      <c r="I1314" s="5">
        <v>43719</v>
      </c>
      <c r="J1314" s="4">
        <v>4997.1400000000003</v>
      </c>
      <c r="K1314" s="4">
        <f t="shared" si="181"/>
        <v>49971.4</v>
      </c>
      <c r="L1314" s="1">
        <v>43719</v>
      </c>
      <c r="M1314">
        <v>3.31</v>
      </c>
      <c r="P1314" s="1">
        <v>43713</v>
      </c>
      <c r="Q1314">
        <v>3.57</v>
      </c>
      <c r="AJ1314" s="1">
        <v>43719</v>
      </c>
      <c r="AL1314">
        <v>7.31</v>
      </c>
      <c r="AM1314" s="6">
        <f t="shared" si="182"/>
        <v>100000</v>
      </c>
      <c r="AN1314" s="2">
        <f t="shared" si="183"/>
        <v>0</v>
      </c>
    </row>
    <row r="1315" spans="2:40" x14ac:dyDescent="0.35">
      <c r="B1315" s="1">
        <v>43718</v>
      </c>
      <c r="C1315">
        <v>3415.96</v>
      </c>
      <c r="D1315" s="1">
        <v>43731</v>
      </c>
      <c r="E1315">
        <v>4.1727999999999996</v>
      </c>
      <c r="F1315" s="1">
        <v>43711</v>
      </c>
      <c r="G1315">
        <v>132.10900000000001</v>
      </c>
      <c r="H1315" s="4">
        <f t="shared" si="180"/>
        <v>551264.43519999995</v>
      </c>
      <c r="I1315" s="5">
        <v>43718</v>
      </c>
      <c r="J1315" s="4">
        <v>5014.9399999999996</v>
      </c>
      <c r="K1315" s="4">
        <f t="shared" si="181"/>
        <v>50149.399999999994</v>
      </c>
      <c r="L1315" s="1">
        <v>43718</v>
      </c>
      <c r="M1315">
        <v>3.33</v>
      </c>
      <c r="P1315" s="1">
        <v>43712</v>
      </c>
      <c r="Q1315">
        <v>3.57</v>
      </c>
      <c r="AJ1315" s="1">
        <v>43718</v>
      </c>
      <c r="AL1315">
        <v>7.3</v>
      </c>
      <c r="AM1315" s="6">
        <f t="shared" si="182"/>
        <v>100000</v>
      </c>
      <c r="AN1315" s="2">
        <f t="shared" si="183"/>
        <v>0</v>
      </c>
    </row>
    <row r="1316" spans="2:40" x14ac:dyDescent="0.35">
      <c r="B1316" s="1">
        <v>43717</v>
      </c>
      <c r="C1316">
        <v>3411.94</v>
      </c>
      <c r="D1316" s="1">
        <v>43728</v>
      </c>
      <c r="E1316">
        <v>4.1680999999999999</v>
      </c>
      <c r="F1316" s="1">
        <v>43710</v>
      </c>
      <c r="G1316">
        <v>131.619</v>
      </c>
      <c r="H1316" s="4">
        <f t="shared" si="180"/>
        <v>548601.15390000003</v>
      </c>
      <c r="I1316" s="5">
        <v>43717</v>
      </c>
      <c r="J1316" s="4">
        <v>5032.7299999999996</v>
      </c>
      <c r="K1316" s="4">
        <f t="shared" si="181"/>
        <v>50327.299999999996</v>
      </c>
      <c r="L1316" s="1">
        <v>43717</v>
      </c>
      <c r="M1316">
        <v>3.33</v>
      </c>
      <c r="P1316" s="1">
        <v>43711</v>
      </c>
      <c r="Q1316">
        <v>3.63</v>
      </c>
      <c r="AJ1316" s="1">
        <v>43717</v>
      </c>
      <c r="AL1316">
        <v>7.32</v>
      </c>
      <c r="AM1316" s="6">
        <f t="shared" si="182"/>
        <v>100000</v>
      </c>
      <c r="AN1316" s="2">
        <f t="shared" si="183"/>
        <v>0</v>
      </c>
    </row>
    <row r="1317" spans="2:40" x14ac:dyDescent="0.35">
      <c r="B1317" s="1">
        <v>43714</v>
      </c>
      <c r="C1317">
        <v>3415.69</v>
      </c>
      <c r="D1317" s="1">
        <v>43727</v>
      </c>
      <c r="E1317">
        <v>4.1387</v>
      </c>
      <c r="F1317" s="1">
        <v>43707</v>
      </c>
      <c r="G1317">
        <v>131.75200000000001</v>
      </c>
      <c r="H1317" s="4">
        <f t="shared" si="180"/>
        <v>545282.0024</v>
      </c>
      <c r="I1317" s="5">
        <v>43714</v>
      </c>
      <c r="J1317" s="4">
        <v>4992.24</v>
      </c>
      <c r="K1317" s="4">
        <f t="shared" si="181"/>
        <v>49922.399999999994</v>
      </c>
      <c r="L1317" s="1">
        <v>43714</v>
      </c>
      <c r="M1317">
        <v>3.31</v>
      </c>
      <c r="P1317" s="1">
        <v>43710</v>
      </c>
      <c r="Q1317">
        <v>3.66</v>
      </c>
      <c r="AJ1317" s="1">
        <v>43714</v>
      </c>
      <c r="AL1317">
        <v>7.3</v>
      </c>
      <c r="AM1317" s="6">
        <f t="shared" si="182"/>
        <v>100000</v>
      </c>
      <c r="AN1317" s="2">
        <f t="shared" si="183"/>
        <v>0</v>
      </c>
    </row>
    <row r="1318" spans="2:40" x14ac:dyDescent="0.35">
      <c r="B1318" s="1">
        <v>43713</v>
      </c>
      <c r="C1318">
        <v>3402.23</v>
      </c>
      <c r="D1318" s="1">
        <v>43726</v>
      </c>
      <c r="E1318">
        <v>4.0965999999999996</v>
      </c>
      <c r="F1318" s="1">
        <v>43706</v>
      </c>
      <c r="G1318">
        <v>131.79</v>
      </c>
      <c r="H1318" s="4">
        <f t="shared" si="180"/>
        <v>539890.91399999999</v>
      </c>
      <c r="I1318" s="5">
        <v>43713</v>
      </c>
      <c r="J1318" s="4">
        <v>5050.53</v>
      </c>
      <c r="K1318" s="4">
        <f t="shared" si="181"/>
        <v>50505.299999999996</v>
      </c>
      <c r="L1318" s="1">
        <v>43713</v>
      </c>
      <c r="M1318">
        <v>3.34</v>
      </c>
      <c r="P1318" s="1">
        <v>43707</v>
      </c>
      <c r="Q1318">
        <v>3.62</v>
      </c>
      <c r="AJ1318" s="1">
        <v>43713</v>
      </c>
      <c r="AL1318">
        <v>7.3</v>
      </c>
      <c r="AM1318" s="6">
        <f t="shared" si="182"/>
        <v>100000</v>
      </c>
      <c r="AN1318" s="2">
        <f t="shared" si="183"/>
        <v>0</v>
      </c>
    </row>
    <row r="1319" spans="2:40" x14ac:dyDescent="0.35">
      <c r="B1319" s="1">
        <v>43712</v>
      </c>
      <c r="C1319">
        <v>3362.35</v>
      </c>
      <c r="D1319" s="1">
        <v>43725</v>
      </c>
      <c r="E1319">
        <v>4.0991999999999997</v>
      </c>
      <c r="F1319" s="1">
        <v>43705</v>
      </c>
      <c r="G1319">
        <v>131.38800000000001</v>
      </c>
      <c r="H1319" s="4">
        <f t="shared" si="180"/>
        <v>538585.68960000004</v>
      </c>
      <c r="I1319" s="5">
        <v>43712</v>
      </c>
      <c r="J1319" s="4">
        <v>5032.7299999999996</v>
      </c>
      <c r="K1319" s="4">
        <f t="shared" si="181"/>
        <v>50327.299999999996</v>
      </c>
      <c r="L1319" s="1">
        <v>43712</v>
      </c>
      <c r="M1319">
        <v>3.34</v>
      </c>
      <c r="P1319" s="1">
        <v>43706</v>
      </c>
      <c r="Q1319">
        <v>3.7</v>
      </c>
      <c r="AJ1319" s="1">
        <v>43712</v>
      </c>
      <c r="AL1319">
        <v>7.28</v>
      </c>
      <c r="AM1319" s="6">
        <f t="shared" si="182"/>
        <v>100000</v>
      </c>
      <c r="AN1319" s="2">
        <f t="shared" si="183"/>
        <v>0</v>
      </c>
    </row>
    <row r="1320" spans="2:40" x14ac:dyDescent="0.35">
      <c r="B1320" s="1">
        <v>43711</v>
      </c>
      <c r="C1320">
        <v>3326.7</v>
      </c>
      <c r="D1320" s="1">
        <v>43724</v>
      </c>
      <c r="E1320">
        <v>4.0865999999999998</v>
      </c>
      <c r="F1320" s="1">
        <v>43704</v>
      </c>
      <c r="G1320">
        <v>131.13900000000001</v>
      </c>
      <c r="H1320" s="4">
        <f t="shared" si="180"/>
        <v>535912.63740000001</v>
      </c>
      <c r="I1320" s="5">
        <v>43711</v>
      </c>
      <c r="J1320" s="4">
        <v>5123.55</v>
      </c>
      <c r="K1320" s="4">
        <f t="shared" si="181"/>
        <v>51235.5</v>
      </c>
      <c r="L1320" s="1">
        <v>43711</v>
      </c>
      <c r="M1320">
        <v>3.4</v>
      </c>
      <c r="P1320" s="1">
        <v>43705</v>
      </c>
      <c r="Q1320">
        <v>3.69</v>
      </c>
      <c r="AJ1320" s="1">
        <v>43711</v>
      </c>
      <c r="AL1320">
        <v>7.36</v>
      </c>
      <c r="AM1320" s="6">
        <f t="shared" si="182"/>
        <v>100000</v>
      </c>
      <c r="AN1320" s="2">
        <f t="shared" si="183"/>
        <v>0</v>
      </c>
    </row>
    <row r="1321" spans="2:40" x14ac:dyDescent="0.35">
      <c r="B1321" s="1">
        <v>43710</v>
      </c>
      <c r="C1321">
        <v>3323.19</v>
      </c>
      <c r="D1321" s="1">
        <v>43721</v>
      </c>
      <c r="E1321">
        <v>4.0609999999999999</v>
      </c>
      <c r="F1321" s="1">
        <v>43703</v>
      </c>
      <c r="G1321">
        <v>130.84100000000001</v>
      </c>
      <c r="H1321" s="4">
        <f t="shared" si="180"/>
        <v>531345.30100000009</v>
      </c>
      <c r="I1321" s="5">
        <v>43710</v>
      </c>
      <c r="J1321" s="4">
        <v>5146.25</v>
      </c>
      <c r="K1321" s="4">
        <f t="shared" si="181"/>
        <v>51462.5</v>
      </c>
      <c r="L1321" s="1">
        <v>43710</v>
      </c>
      <c r="M1321">
        <v>3.44</v>
      </c>
      <c r="P1321" s="1">
        <v>43704</v>
      </c>
      <c r="Q1321">
        <v>3.6</v>
      </c>
      <c r="AJ1321" s="1">
        <v>43710</v>
      </c>
      <c r="AL1321">
        <v>7.47</v>
      </c>
      <c r="AM1321" s="6">
        <f t="shared" si="182"/>
        <v>100000</v>
      </c>
      <c r="AN1321" s="2">
        <f t="shared" si="183"/>
        <v>0</v>
      </c>
    </row>
    <row r="1322" spans="2:40" x14ac:dyDescent="0.35">
      <c r="B1322" s="1">
        <v>43707</v>
      </c>
      <c r="C1322">
        <v>3345.01</v>
      </c>
      <c r="D1322" s="1">
        <v>43720</v>
      </c>
      <c r="E1322">
        <v>4.0488</v>
      </c>
      <c r="F1322" s="1">
        <v>43700</v>
      </c>
      <c r="G1322">
        <v>130.94</v>
      </c>
      <c r="H1322" s="4">
        <f t="shared" si="180"/>
        <v>530149.87199999997</v>
      </c>
      <c r="I1322" s="5">
        <v>43707</v>
      </c>
      <c r="J1322" s="4">
        <v>5089.8</v>
      </c>
      <c r="K1322" s="4">
        <f t="shared" si="181"/>
        <v>50898</v>
      </c>
      <c r="L1322" s="1">
        <v>43707</v>
      </c>
      <c r="M1322">
        <v>3.4</v>
      </c>
      <c r="P1322" s="1">
        <v>43703</v>
      </c>
      <c r="Q1322">
        <v>3.57</v>
      </c>
      <c r="AJ1322" s="1">
        <v>43707</v>
      </c>
      <c r="AL1322">
        <v>7.41</v>
      </c>
      <c r="AM1322" s="6">
        <f t="shared" si="182"/>
        <v>100000</v>
      </c>
      <c r="AN1322" s="2">
        <f t="shared" si="183"/>
        <v>0</v>
      </c>
    </row>
    <row r="1323" spans="2:40" x14ac:dyDescent="0.35">
      <c r="B1323" s="1">
        <v>43706</v>
      </c>
      <c r="C1323">
        <v>3348.36</v>
      </c>
      <c r="D1323" s="1">
        <v>43719</v>
      </c>
      <c r="E1323">
        <v>4.0625</v>
      </c>
      <c r="F1323" s="1">
        <v>43699</v>
      </c>
      <c r="G1323">
        <v>130.26300000000001</v>
      </c>
      <c r="H1323" s="4">
        <f t="shared" si="180"/>
        <v>529193.43750000012</v>
      </c>
      <c r="I1323" s="5">
        <v>43706</v>
      </c>
      <c r="J1323" s="4">
        <v>5127.84</v>
      </c>
      <c r="K1323" s="4">
        <f t="shared" si="181"/>
        <v>51278.400000000001</v>
      </c>
      <c r="L1323" s="1">
        <v>43706</v>
      </c>
      <c r="M1323">
        <v>3.47</v>
      </c>
      <c r="P1323" s="1">
        <v>43700</v>
      </c>
      <c r="Q1323">
        <v>3.51</v>
      </c>
      <c r="AJ1323" s="1">
        <v>43706</v>
      </c>
      <c r="AL1323">
        <v>7.53</v>
      </c>
      <c r="AM1323" s="6">
        <f t="shared" si="182"/>
        <v>100000</v>
      </c>
      <c r="AN1323" s="2">
        <f t="shared" si="183"/>
        <v>0</v>
      </c>
    </row>
    <row r="1324" spans="2:40" x14ac:dyDescent="0.35">
      <c r="B1324" s="1">
        <v>43705</v>
      </c>
      <c r="C1324">
        <v>3296.72</v>
      </c>
      <c r="D1324" s="1">
        <v>43718</v>
      </c>
      <c r="E1324">
        <v>4.1101999999999999</v>
      </c>
      <c r="F1324" s="1">
        <v>43698</v>
      </c>
      <c r="G1324">
        <v>130.46600000000001</v>
      </c>
      <c r="H1324" s="4">
        <f t="shared" si="180"/>
        <v>536241.35320000001</v>
      </c>
      <c r="I1324" s="5">
        <v>43705</v>
      </c>
      <c r="J1324" s="4">
        <v>5125.38</v>
      </c>
      <c r="K1324" s="4">
        <f t="shared" si="181"/>
        <v>51253.8</v>
      </c>
      <c r="L1324" s="1">
        <v>43705</v>
      </c>
      <c r="M1324">
        <v>3.49</v>
      </c>
      <c r="P1324" s="1">
        <v>43699</v>
      </c>
      <c r="Q1324">
        <v>3.47</v>
      </c>
      <c r="AJ1324" s="1">
        <v>43705</v>
      </c>
      <c r="AL1324">
        <v>7.58</v>
      </c>
      <c r="AM1324" s="6">
        <f t="shared" si="182"/>
        <v>100000</v>
      </c>
      <c r="AN1324" s="2">
        <f t="shared" si="183"/>
        <v>0</v>
      </c>
    </row>
    <row r="1325" spans="2:40" x14ac:dyDescent="0.35">
      <c r="B1325" s="1">
        <v>43704</v>
      </c>
      <c r="C1325">
        <v>3279.6</v>
      </c>
      <c r="D1325" s="1">
        <v>43717</v>
      </c>
      <c r="E1325">
        <v>4.0759999999999996</v>
      </c>
      <c r="F1325" s="1">
        <v>43697</v>
      </c>
      <c r="G1325">
        <v>130.81100000000001</v>
      </c>
      <c r="H1325" s="4">
        <f t="shared" si="180"/>
        <v>533185.63599999994</v>
      </c>
      <c r="I1325" s="5">
        <v>43704</v>
      </c>
      <c r="J1325" s="4">
        <v>5077.4399999999996</v>
      </c>
      <c r="K1325" s="4">
        <f t="shared" si="181"/>
        <v>50774.399999999994</v>
      </c>
      <c r="L1325" s="1">
        <v>43704</v>
      </c>
      <c r="M1325">
        <v>3.39</v>
      </c>
      <c r="P1325" s="1">
        <v>43698</v>
      </c>
      <c r="Q1325">
        <v>3.44</v>
      </c>
      <c r="AJ1325" s="1">
        <v>43704</v>
      </c>
      <c r="AL1325">
        <v>7.4</v>
      </c>
      <c r="AM1325" s="6">
        <f t="shared" si="182"/>
        <v>100000</v>
      </c>
      <c r="AN1325" s="2">
        <f t="shared" si="183"/>
        <v>0</v>
      </c>
    </row>
    <row r="1326" spans="2:40" x14ac:dyDescent="0.35">
      <c r="B1326" s="1">
        <v>43703</v>
      </c>
      <c r="C1326">
        <v>3291.37</v>
      </c>
      <c r="D1326" s="1">
        <v>43714</v>
      </c>
      <c r="E1326">
        <v>4.0644</v>
      </c>
      <c r="F1326" s="1">
        <v>43696</v>
      </c>
      <c r="G1326">
        <v>130.34200000000001</v>
      </c>
      <c r="H1326" s="4">
        <f t="shared" si="180"/>
        <v>529762.02480000001</v>
      </c>
      <c r="I1326" s="5">
        <v>43703</v>
      </c>
      <c r="J1326" s="4">
        <v>5110.0200000000004</v>
      </c>
      <c r="K1326" s="4">
        <f t="shared" si="181"/>
        <v>51100.200000000004</v>
      </c>
      <c r="L1326" s="1">
        <v>43703</v>
      </c>
      <c r="M1326">
        <v>3.34</v>
      </c>
      <c r="P1326" s="1">
        <v>43697</v>
      </c>
      <c r="Q1326">
        <v>3.46</v>
      </c>
      <c r="AJ1326" s="1">
        <v>43703</v>
      </c>
      <c r="AL1326">
        <v>7.38</v>
      </c>
      <c r="AM1326" s="6">
        <f t="shared" si="182"/>
        <v>100000</v>
      </c>
      <c r="AN1326" s="2">
        <f t="shared" si="183"/>
        <v>0</v>
      </c>
    </row>
    <row r="1327" spans="2:40" x14ac:dyDescent="0.35">
      <c r="B1327" s="1">
        <v>43700</v>
      </c>
      <c r="C1327">
        <v>3264.6</v>
      </c>
      <c r="D1327" s="1">
        <v>43713</v>
      </c>
      <c r="E1327">
        <v>4.0853000000000002</v>
      </c>
      <c r="F1327" s="1">
        <v>43693</v>
      </c>
      <c r="G1327">
        <v>130.733</v>
      </c>
      <c r="H1327" s="4">
        <f t="shared" si="180"/>
        <v>534083.52490000008</v>
      </c>
      <c r="I1327" s="5">
        <v>43700</v>
      </c>
      <c r="J1327" s="4">
        <v>5068.22</v>
      </c>
      <c r="K1327" s="4">
        <f t="shared" si="181"/>
        <v>50682.200000000004</v>
      </c>
      <c r="L1327" s="1">
        <v>43700</v>
      </c>
      <c r="M1327">
        <v>3.27</v>
      </c>
      <c r="P1327" s="1">
        <v>43696</v>
      </c>
      <c r="Q1327">
        <v>3.46</v>
      </c>
      <c r="AJ1327" s="1">
        <v>43700</v>
      </c>
      <c r="AL1327">
        <v>7.24</v>
      </c>
      <c r="AM1327" s="6">
        <f t="shared" si="182"/>
        <v>100000</v>
      </c>
      <c r="AN1327" s="2">
        <f t="shared" si="183"/>
        <v>0</v>
      </c>
    </row>
    <row r="1328" spans="2:40" x14ac:dyDescent="0.35">
      <c r="B1328" s="1">
        <v>43699</v>
      </c>
      <c r="C1328">
        <v>3343.52</v>
      </c>
      <c r="D1328" s="1">
        <v>43712</v>
      </c>
      <c r="E1328">
        <v>4.1242999999999999</v>
      </c>
      <c r="F1328" s="1">
        <v>43692</v>
      </c>
      <c r="G1328">
        <v>131.06</v>
      </c>
      <c r="H1328" s="4">
        <f t="shared" si="180"/>
        <v>540530.75800000003</v>
      </c>
      <c r="I1328" s="5">
        <v>43699</v>
      </c>
      <c r="J1328" s="4">
        <v>5006.75</v>
      </c>
      <c r="K1328" s="4">
        <f t="shared" si="181"/>
        <v>50067.5</v>
      </c>
      <c r="L1328" s="1">
        <v>43699</v>
      </c>
      <c r="M1328">
        <v>3.23</v>
      </c>
      <c r="P1328" s="1">
        <v>43693</v>
      </c>
      <c r="Q1328">
        <v>3.44</v>
      </c>
      <c r="AJ1328" s="1">
        <v>43699</v>
      </c>
      <c r="AL1328">
        <v>7.2</v>
      </c>
      <c r="AM1328" s="6">
        <f t="shared" si="182"/>
        <v>100000</v>
      </c>
      <c r="AN1328" s="2">
        <f t="shared" si="183"/>
        <v>0</v>
      </c>
    </row>
    <row r="1329" spans="2:40" x14ac:dyDescent="0.35">
      <c r="B1329" s="1">
        <v>43698</v>
      </c>
      <c r="C1329">
        <v>3357.3</v>
      </c>
      <c r="D1329" s="1">
        <v>43711</v>
      </c>
      <c r="E1329">
        <v>4.1650999999999998</v>
      </c>
      <c r="F1329" s="1">
        <v>43691</v>
      </c>
      <c r="G1329">
        <v>130.46600000000001</v>
      </c>
      <c r="H1329" s="4">
        <f t="shared" si="180"/>
        <v>543403.9365999999</v>
      </c>
      <c r="I1329" s="5">
        <v>43698</v>
      </c>
      <c r="J1329" s="4">
        <v>4953.2700000000004</v>
      </c>
      <c r="K1329" s="4">
        <f t="shared" si="181"/>
        <v>49532.700000000004</v>
      </c>
      <c r="L1329" s="1">
        <v>43698</v>
      </c>
      <c r="M1329">
        <v>3.21</v>
      </c>
      <c r="P1329" s="1">
        <v>43692</v>
      </c>
      <c r="Q1329">
        <v>3.48</v>
      </c>
      <c r="AJ1329" s="1">
        <v>43698</v>
      </c>
      <c r="AL1329">
        <v>7.18</v>
      </c>
      <c r="AM1329" s="6">
        <f t="shared" si="182"/>
        <v>100000</v>
      </c>
      <c r="AN1329" s="2">
        <f t="shared" si="183"/>
        <v>0</v>
      </c>
    </row>
    <row r="1330" spans="2:40" x14ac:dyDescent="0.35">
      <c r="B1330" s="1">
        <v>43697</v>
      </c>
      <c r="C1330">
        <v>3314.21</v>
      </c>
      <c r="D1330" s="1">
        <v>43710</v>
      </c>
      <c r="E1330">
        <v>4.1574999999999998</v>
      </c>
      <c r="F1330" s="1">
        <v>43690</v>
      </c>
      <c r="G1330">
        <v>129.67400000000001</v>
      </c>
      <c r="H1330" s="4">
        <f t="shared" si="180"/>
        <v>539119.65499999991</v>
      </c>
      <c r="I1330" s="5">
        <v>43697</v>
      </c>
      <c r="J1330" s="4">
        <v>4988.3</v>
      </c>
      <c r="K1330" s="4">
        <f t="shared" si="181"/>
        <v>49883</v>
      </c>
      <c r="L1330" s="1">
        <v>43697</v>
      </c>
      <c r="M1330">
        <v>3.22</v>
      </c>
      <c r="P1330" s="1">
        <v>43691</v>
      </c>
      <c r="Q1330">
        <v>3.51</v>
      </c>
      <c r="AJ1330" s="1">
        <v>43697</v>
      </c>
      <c r="AL1330">
        <v>7.25</v>
      </c>
      <c r="AM1330" s="6">
        <f t="shared" si="182"/>
        <v>100000</v>
      </c>
      <c r="AN1330" s="2">
        <f t="shared" si="183"/>
        <v>0</v>
      </c>
    </row>
    <row r="1331" spans="2:40" x14ac:dyDescent="0.35">
      <c r="B1331" s="1">
        <v>43696</v>
      </c>
      <c r="C1331">
        <v>3342.89</v>
      </c>
      <c r="D1331" s="1">
        <v>43707</v>
      </c>
      <c r="E1331">
        <v>4.1379000000000001</v>
      </c>
      <c r="F1331" s="1">
        <v>43689</v>
      </c>
      <c r="G1331">
        <v>130.232</v>
      </c>
      <c r="H1331" s="4">
        <f t="shared" si="180"/>
        <v>538886.99280000001</v>
      </c>
      <c r="I1331" s="5">
        <v>43696</v>
      </c>
      <c r="J1331" s="4">
        <v>5014.74</v>
      </c>
      <c r="K1331" s="4">
        <f t="shared" si="181"/>
        <v>50147.399999999994</v>
      </c>
      <c r="L1331" s="1">
        <v>43696</v>
      </c>
      <c r="M1331">
        <v>3.23</v>
      </c>
      <c r="P1331" s="1">
        <v>43690</v>
      </c>
      <c r="Q1331">
        <v>3.47</v>
      </c>
      <c r="AJ1331" s="1">
        <v>43696</v>
      </c>
      <c r="AL1331">
        <v>7.25</v>
      </c>
      <c r="AM1331" s="6">
        <f t="shared" si="182"/>
        <v>100000</v>
      </c>
      <c r="AN1331" s="2">
        <f t="shared" si="183"/>
        <v>0</v>
      </c>
    </row>
    <row r="1332" spans="2:40" x14ac:dyDescent="0.35">
      <c r="B1332" s="1">
        <v>43693</v>
      </c>
      <c r="C1332">
        <v>3309.1</v>
      </c>
      <c r="D1332" s="1">
        <v>43706</v>
      </c>
      <c r="E1332">
        <v>4.1673999999999998</v>
      </c>
      <c r="F1332" s="1">
        <v>43686</v>
      </c>
      <c r="G1332">
        <v>129.624</v>
      </c>
      <c r="H1332" s="4">
        <f t="shared" si="180"/>
        <v>540195.05759999994</v>
      </c>
      <c r="I1332" s="5">
        <v>43693</v>
      </c>
      <c r="J1332" s="4">
        <v>4931.1400000000003</v>
      </c>
      <c r="K1332" s="4">
        <f t="shared" si="181"/>
        <v>49311.4</v>
      </c>
      <c r="L1332" s="1">
        <v>43693</v>
      </c>
      <c r="M1332">
        <v>3.19</v>
      </c>
      <c r="P1332" s="1">
        <v>43689</v>
      </c>
      <c r="Q1332">
        <v>3.47</v>
      </c>
      <c r="AJ1332" s="1">
        <v>43693</v>
      </c>
      <c r="AL1332">
        <v>7.15</v>
      </c>
      <c r="AM1332" s="6">
        <f t="shared" si="182"/>
        <v>100000</v>
      </c>
      <c r="AN1332" s="2">
        <f t="shared" si="183"/>
        <v>0</v>
      </c>
    </row>
    <row r="1333" spans="2:40" x14ac:dyDescent="0.35">
      <c r="B1333" s="1">
        <v>43692</v>
      </c>
      <c r="C1333">
        <v>3259.17</v>
      </c>
      <c r="D1333" s="1">
        <v>43705</v>
      </c>
      <c r="E1333">
        <v>4.1553000000000004</v>
      </c>
      <c r="F1333" s="1">
        <v>43685</v>
      </c>
      <c r="G1333">
        <v>129.86099999999999</v>
      </c>
      <c r="H1333" s="4">
        <f t="shared" si="180"/>
        <v>539611.41330000001</v>
      </c>
      <c r="I1333" s="5">
        <v>43692</v>
      </c>
      <c r="J1333" s="4">
        <v>4914.54</v>
      </c>
      <c r="K1333" s="4">
        <f t="shared" si="181"/>
        <v>49145.4</v>
      </c>
      <c r="L1333" s="1">
        <v>43692</v>
      </c>
      <c r="M1333">
        <v>3.21</v>
      </c>
      <c r="P1333" s="1">
        <v>43686</v>
      </c>
      <c r="Q1333">
        <v>3.44</v>
      </c>
      <c r="AJ1333" s="1">
        <v>43692</v>
      </c>
      <c r="AL1333">
        <v>7.22</v>
      </c>
      <c r="AM1333" s="6">
        <f t="shared" si="182"/>
        <v>100000</v>
      </c>
      <c r="AN1333" s="2">
        <f t="shared" si="183"/>
        <v>0</v>
      </c>
    </row>
    <row r="1334" spans="2:40" x14ac:dyDescent="0.35">
      <c r="B1334" s="1">
        <v>43691</v>
      </c>
      <c r="C1334">
        <v>3248.52</v>
      </c>
      <c r="D1334" s="1">
        <v>43704</v>
      </c>
      <c r="E1334">
        <v>4.1551</v>
      </c>
      <c r="F1334" s="1">
        <v>43684</v>
      </c>
      <c r="G1334">
        <v>129.767</v>
      </c>
      <c r="H1334" s="4">
        <f t="shared" si="180"/>
        <v>539194.86169999989</v>
      </c>
      <c r="I1334" s="5">
        <v>43691</v>
      </c>
      <c r="J1334" s="4">
        <v>4988.3</v>
      </c>
      <c r="K1334" s="4">
        <f t="shared" si="181"/>
        <v>49883</v>
      </c>
      <c r="L1334" s="1">
        <v>43691</v>
      </c>
      <c r="M1334">
        <v>3.24</v>
      </c>
      <c r="P1334" s="1">
        <v>43685</v>
      </c>
      <c r="Q1334">
        <v>3.43</v>
      </c>
      <c r="AJ1334" s="1">
        <v>43691</v>
      </c>
      <c r="AL1334">
        <v>7.24</v>
      </c>
      <c r="AM1334" s="6">
        <f t="shared" si="182"/>
        <v>100000</v>
      </c>
      <c r="AN1334" s="2">
        <f t="shared" si="183"/>
        <v>0</v>
      </c>
    </row>
    <row r="1335" spans="2:40" x14ac:dyDescent="0.35">
      <c r="B1335" s="1">
        <v>43690</v>
      </c>
      <c r="C1335">
        <v>3356.73</v>
      </c>
      <c r="D1335" s="1">
        <v>43703</v>
      </c>
      <c r="E1335">
        <v>4.1360999999999999</v>
      </c>
      <c r="F1335" s="1">
        <v>43683</v>
      </c>
      <c r="G1335">
        <v>129.91999999999999</v>
      </c>
      <c r="H1335" s="4">
        <f t="shared" si="180"/>
        <v>537362.11199999996</v>
      </c>
      <c r="I1335" s="5">
        <v>43690</v>
      </c>
      <c r="J1335" s="4">
        <v>4880.12</v>
      </c>
      <c r="K1335" s="4">
        <f t="shared" si="181"/>
        <v>48801.2</v>
      </c>
      <c r="L1335" s="1">
        <v>43690</v>
      </c>
      <c r="M1335">
        <v>3.19</v>
      </c>
      <c r="P1335" s="1">
        <v>43684</v>
      </c>
      <c r="Q1335">
        <v>3.49</v>
      </c>
      <c r="AJ1335" s="1">
        <v>43690</v>
      </c>
      <c r="AL1335">
        <v>7.17</v>
      </c>
      <c r="AM1335" s="6">
        <f t="shared" si="182"/>
        <v>100000</v>
      </c>
      <c r="AN1335" s="2">
        <f t="shared" si="183"/>
        <v>0</v>
      </c>
    </row>
    <row r="1336" spans="2:40" x14ac:dyDescent="0.35">
      <c r="B1336" s="1">
        <v>43689</v>
      </c>
      <c r="C1336">
        <v>3295.9</v>
      </c>
      <c r="D1336" s="1">
        <v>43700</v>
      </c>
      <c r="E1336">
        <v>4.0845000000000002</v>
      </c>
      <c r="F1336" s="1">
        <v>43682</v>
      </c>
      <c r="G1336">
        <v>129.95500000000001</v>
      </c>
      <c r="H1336" s="4">
        <f t="shared" si="180"/>
        <v>530801.19750000001</v>
      </c>
      <c r="I1336" s="5">
        <v>43689</v>
      </c>
      <c r="J1336" s="4">
        <v>4907.78</v>
      </c>
      <c r="K1336" s="4">
        <f t="shared" si="181"/>
        <v>49077.799999999996</v>
      </c>
      <c r="L1336" s="1">
        <v>43689</v>
      </c>
      <c r="M1336">
        <v>3.19</v>
      </c>
      <c r="P1336" s="1">
        <v>43683</v>
      </c>
      <c r="Q1336">
        <v>3.55</v>
      </c>
      <c r="AJ1336" s="1">
        <v>43689</v>
      </c>
      <c r="AL1336">
        <v>7.16</v>
      </c>
      <c r="AM1336" s="6">
        <f t="shared" si="182"/>
        <v>100000</v>
      </c>
      <c r="AN1336" s="2">
        <f t="shared" si="183"/>
        <v>0</v>
      </c>
    </row>
    <row r="1337" spans="2:40" x14ac:dyDescent="0.35">
      <c r="B1337" s="1">
        <v>43686</v>
      </c>
      <c r="C1337">
        <v>3345.3</v>
      </c>
      <c r="D1337" s="1">
        <v>43699</v>
      </c>
      <c r="E1337">
        <v>4.0438000000000001</v>
      </c>
      <c r="F1337" s="1">
        <v>43679</v>
      </c>
      <c r="G1337">
        <v>128.97</v>
      </c>
      <c r="H1337" s="4">
        <f t="shared" si="180"/>
        <v>521528.88600000006</v>
      </c>
      <c r="I1337" s="5">
        <v>43686</v>
      </c>
      <c r="J1337" s="4">
        <v>4854.91</v>
      </c>
      <c r="K1337" s="4">
        <f t="shared" si="181"/>
        <v>48549.1</v>
      </c>
      <c r="L1337" s="1">
        <v>43686</v>
      </c>
      <c r="M1337">
        <v>3.15</v>
      </c>
      <c r="P1337" s="1">
        <v>43682</v>
      </c>
      <c r="Q1337">
        <v>3.61</v>
      </c>
      <c r="AJ1337" s="1">
        <v>43686</v>
      </c>
      <c r="AL1337">
        <v>7.14</v>
      </c>
      <c r="AM1337" s="6">
        <f t="shared" si="182"/>
        <v>100000</v>
      </c>
      <c r="AN1337" s="2">
        <f t="shared" si="183"/>
        <v>0</v>
      </c>
    </row>
    <row r="1338" spans="2:40" x14ac:dyDescent="0.35">
      <c r="B1338" s="1">
        <v>43685</v>
      </c>
      <c r="C1338">
        <v>3365.1</v>
      </c>
      <c r="D1338" s="1">
        <v>43698</v>
      </c>
      <c r="E1338">
        <v>4.0247999999999999</v>
      </c>
      <c r="F1338" s="1">
        <v>43678</v>
      </c>
      <c r="G1338">
        <v>128.66200000000001</v>
      </c>
      <c r="H1338" s="4">
        <f t="shared" si="180"/>
        <v>517838.81759999995</v>
      </c>
      <c r="I1338" s="5">
        <v>43685</v>
      </c>
      <c r="J1338" s="4">
        <v>4829.1000000000004</v>
      </c>
      <c r="K1338" s="4">
        <f t="shared" si="181"/>
        <v>48291</v>
      </c>
      <c r="L1338" s="1">
        <v>43685</v>
      </c>
      <c r="M1338">
        <v>3.15</v>
      </c>
      <c r="P1338" s="1">
        <v>43679</v>
      </c>
      <c r="Q1338">
        <v>3.53</v>
      </c>
      <c r="AJ1338" s="1">
        <v>43685</v>
      </c>
      <c r="AL1338">
        <v>7.13</v>
      </c>
      <c r="AM1338" s="6">
        <f t="shared" si="182"/>
        <v>100000</v>
      </c>
      <c r="AN1338" s="2">
        <f t="shared" si="183"/>
        <v>0</v>
      </c>
    </row>
    <row r="1339" spans="2:40" x14ac:dyDescent="0.35">
      <c r="B1339" s="1">
        <v>43684</v>
      </c>
      <c r="C1339">
        <v>3299.66</v>
      </c>
      <c r="D1339" s="1">
        <v>43697</v>
      </c>
      <c r="E1339">
        <v>4.0419</v>
      </c>
      <c r="F1339" s="1">
        <v>43677</v>
      </c>
      <c r="G1339">
        <v>127.46</v>
      </c>
      <c r="H1339" s="4">
        <f t="shared" si="180"/>
        <v>515180.57399999996</v>
      </c>
      <c r="I1339" s="5">
        <v>43684</v>
      </c>
      <c r="J1339" s="4">
        <v>4888.1099999999997</v>
      </c>
      <c r="K1339" s="4">
        <f t="shared" si="181"/>
        <v>48881.1</v>
      </c>
      <c r="L1339" s="1">
        <v>43684</v>
      </c>
      <c r="M1339">
        <v>3.21</v>
      </c>
      <c r="P1339" s="1">
        <v>43678</v>
      </c>
      <c r="Q1339">
        <v>3.54</v>
      </c>
      <c r="AJ1339" s="1">
        <v>43684</v>
      </c>
      <c r="AL1339">
        <v>7.16</v>
      </c>
      <c r="AM1339" s="6">
        <f t="shared" si="182"/>
        <v>100000</v>
      </c>
      <c r="AN1339" s="2">
        <f t="shared" si="183"/>
        <v>0</v>
      </c>
    </row>
    <row r="1340" spans="2:40" x14ac:dyDescent="0.35">
      <c r="B1340" s="1">
        <v>43683</v>
      </c>
      <c r="C1340">
        <v>3294.7</v>
      </c>
      <c r="D1340" s="1">
        <v>43696</v>
      </c>
      <c r="E1340">
        <v>4.0267999999999997</v>
      </c>
      <c r="F1340" s="1">
        <v>43676</v>
      </c>
      <c r="G1340">
        <v>127.342</v>
      </c>
      <c r="H1340" s="4">
        <f t="shared" si="180"/>
        <v>512780.76559999998</v>
      </c>
      <c r="I1340" s="5">
        <v>43683</v>
      </c>
      <c r="J1340" s="4">
        <v>4879.5</v>
      </c>
      <c r="K1340" s="4">
        <f t="shared" si="181"/>
        <v>48795</v>
      </c>
      <c r="L1340" s="1">
        <v>43683</v>
      </c>
      <c r="M1340">
        <v>3.26</v>
      </c>
      <c r="P1340" s="1">
        <v>43677</v>
      </c>
      <c r="Q1340">
        <v>3.59</v>
      </c>
      <c r="AJ1340" s="1">
        <v>43683</v>
      </c>
      <c r="AL1340">
        <v>7.25</v>
      </c>
      <c r="AM1340" s="6">
        <f t="shared" si="182"/>
        <v>100000</v>
      </c>
      <c r="AN1340" s="2">
        <f t="shared" si="183"/>
        <v>0</v>
      </c>
    </row>
    <row r="1341" spans="2:40" x14ac:dyDescent="0.35">
      <c r="B1341" s="1">
        <v>43682</v>
      </c>
      <c r="C1341">
        <v>3235.81</v>
      </c>
      <c r="D1341" s="1">
        <v>43693</v>
      </c>
      <c r="E1341">
        <v>3.9927000000000001</v>
      </c>
      <c r="F1341" s="1">
        <v>43675</v>
      </c>
      <c r="G1341">
        <v>127.395</v>
      </c>
      <c r="H1341" s="4">
        <f t="shared" si="180"/>
        <v>508650.01649999997</v>
      </c>
      <c r="I1341" s="5">
        <v>43682</v>
      </c>
      <c r="J1341" s="4">
        <v>4897.33</v>
      </c>
      <c r="K1341" s="4">
        <f t="shared" si="181"/>
        <v>48973.3</v>
      </c>
      <c r="L1341" s="1">
        <v>43682</v>
      </c>
      <c r="M1341">
        <v>3.34</v>
      </c>
      <c r="P1341" s="1">
        <v>43676</v>
      </c>
      <c r="Q1341">
        <v>3.55</v>
      </c>
      <c r="AJ1341" s="1">
        <v>43682</v>
      </c>
      <c r="AL1341">
        <v>7.36</v>
      </c>
      <c r="AM1341" s="6">
        <f t="shared" si="182"/>
        <v>100000</v>
      </c>
      <c r="AN1341" s="2">
        <f t="shared" si="183"/>
        <v>0</v>
      </c>
    </row>
    <row r="1342" spans="2:40" x14ac:dyDescent="0.35">
      <c r="B1342" s="1">
        <v>43679</v>
      </c>
      <c r="C1342">
        <v>3361.28</v>
      </c>
      <c r="D1342" s="1">
        <v>43692</v>
      </c>
      <c r="E1342">
        <v>4.0182000000000002</v>
      </c>
      <c r="F1342" s="1">
        <v>43672</v>
      </c>
      <c r="G1342">
        <v>127.233</v>
      </c>
      <c r="H1342" s="4">
        <f t="shared" si="180"/>
        <v>511247.64060000004</v>
      </c>
      <c r="I1342" s="5">
        <v>43679</v>
      </c>
      <c r="J1342" s="4">
        <v>4787.91</v>
      </c>
      <c r="K1342" s="4">
        <f t="shared" si="181"/>
        <v>47879.1</v>
      </c>
      <c r="L1342" s="1">
        <v>43679</v>
      </c>
      <c r="M1342">
        <v>3.27</v>
      </c>
      <c r="P1342" s="1">
        <v>43675</v>
      </c>
      <c r="Q1342">
        <v>3.54</v>
      </c>
      <c r="AJ1342" s="1">
        <v>43679</v>
      </c>
      <c r="AL1342">
        <v>7.21</v>
      </c>
      <c r="AM1342" s="6">
        <f t="shared" si="182"/>
        <v>100000</v>
      </c>
      <c r="AN1342" s="2">
        <f t="shared" si="183"/>
        <v>0</v>
      </c>
    </row>
    <row r="1343" spans="2:40" x14ac:dyDescent="0.35">
      <c r="B1343" s="1">
        <v>43678</v>
      </c>
      <c r="C1343">
        <v>3377.91</v>
      </c>
      <c r="D1343" s="1">
        <v>43691</v>
      </c>
      <c r="E1343">
        <v>4.0068000000000001</v>
      </c>
      <c r="F1343" s="1">
        <v>43671</v>
      </c>
      <c r="G1343">
        <v>127.29900000000001</v>
      </c>
      <c r="H1343" s="4">
        <f t="shared" si="180"/>
        <v>510061.63320000004</v>
      </c>
      <c r="I1343" s="5">
        <v>43678</v>
      </c>
      <c r="J1343" s="4">
        <v>4733.2</v>
      </c>
      <c r="K1343" s="4">
        <f t="shared" si="181"/>
        <v>47332</v>
      </c>
      <c r="L1343" s="1">
        <v>43678</v>
      </c>
      <c r="M1343">
        <v>3.27</v>
      </c>
      <c r="P1343" s="1">
        <v>43672</v>
      </c>
      <c r="Q1343">
        <v>3.56</v>
      </c>
      <c r="AJ1343" s="1">
        <v>43678</v>
      </c>
      <c r="AL1343">
        <v>7.23</v>
      </c>
      <c r="AM1343" s="6">
        <f t="shared" si="182"/>
        <v>100000</v>
      </c>
      <c r="AN1343" s="2">
        <f t="shared" si="183"/>
        <v>0</v>
      </c>
    </row>
    <row r="1344" spans="2:40" x14ac:dyDescent="0.35">
      <c r="B1344" s="1">
        <v>43677</v>
      </c>
      <c r="C1344">
        <v>3405.45</v>
      </c>
      <c r="D1344" s="1">
        <v>43690</v>
      </c>
      <c r="E1344">
        <v>3.9729999999999999</v>
      </c>
      <c r="F1344" s="1">
        <v>43670</v>
      </c>
      <c r="G1344">
        <v>127.54900000000001</v>
      </c>
      <c r="H1344" s="4">
        <f t="shared" si="180"/>
        <v>506752.17700000003</v>
      </c>
      <c r="I1344" s="5">
        <v>43677</v>
      </c>
      <c r="J1344" s="4">
        <v>4700.01</v>
      </c>
      <c r="K1344" s="4">
        <f t="shared" si="181"/>
        <v>47000.100000000006</v>
      </c>
      <c r="L1344" s="1">
        <v>43677</v>
      </c>
      <c r="M1344">
        <v>3.32</v>
      </c>
      <c r="P1344" s="1">
        <v>43671</v>
      </c>
      <c r="Q1344">
        <v>3.57</v>
      </c>
      <c r="AJ1344" s="1">
        <v>43677</v>
      </c>
      <c r="AL1344">
        <v>7.19</v>
      </c>
      <c r="AM1344" s="6">
        <f t="shared" si="182"/>
        <v>100000</v>
      </c>
      <c r="AN1344" s="2">
        <f t="shared" si="183"/>
        <v>0</v>
      </c>
    </row>
    <row r="1345" spans="2:40" x14ac:dyDescent="0.35">
      <c r="B1345" s="1">
        <v>43676</v>
      </c>
      <c r="C1345">
        <v>3452.85</v>
      </c>
      <c r="D1345" s="1">
        <v>43689</v>
      </c>
      <c r="E1345">
        <v>3.996</v>
      </c>
      <c r="F1345" s="1">
        <v>43669</v>
      </c>
      <c r="G1345">
        <v>127.345</v>
      </c>
      <c r="H1345" s="4">
        <f t="shared" si="180"/>
        <v>508870.62</v>
      </c>
      <c r="I1345" s="5">
        <v>43676</v>
      </c>
      <c r="J1345" s="4">
        <v>4671.7299999999996</v>
      </c>
      <c r="K1345" s="4">
        <f t="shared" si="181"/>
        <v>46717.299999999996</v>
      </c>
      <c r="L1345" s="1">
        <v>43676</v>
      </c>
      <c r="M1345">
        <v>3.3</v>
      </c>
      <c r="P1345" s="1">
        <v>43669</v>
      </c>
      <c r="Q1345">
        <v>3.57</v>
      </c>
      <c r="AJ1345" s="1">
        <v>43676</v>
      </c>
      <c r="AL1345">
        <v>7.16</v>
      </c>
      <c r="AM1345" s="6">
        <f t="shared" si="182"/>
        <v>100000</v>
      </c>
      <c r="AN1345" s="2">
        <f t="shared" si="183"/>
        <v>0</v>
      </c>
    </row>
    <row r="1346" spans="2:40" x14ac:dyDescent="0.35">
      <c r="B1346" s="1">
        <v>43675</v>
      </c>
      <c r="C1346">
        <v>3460.28</v>
      </c>
      <c r="D1346" s="1">
        <v>43686</v>
      </c>
      <c r="E1346">
        <v>3.9356</v>
      </c>
      <c r="F1346" s="1">
        <v>43668</v>
      </c>
      <c r="G1346">
        <v>127.544</v>
      </c>
      <c r="H1346" s="4">
        <f t="shared" si="180"/>
        <v>501962.16639999999</v>
      </c>
      <c r="I1346" s="5">
        <v>43675</v>
      </c>
      <c r="J1346" s="4">
        <v>4661.26</v>
      </c>
      <c r="K1346" s="4">
        <f t="shared" si="181"/>
        <v>46612.600000000006</v>
      </c>
      <c r="L1346" s="1">
        <v>43675</v>
      </c>
      <c r="M1346">
        <v>3.3</v>
      </c>
      <c r="P1346" s="1">
        <v>43668</v>
      </c>
      <c r="Q1346">
        <v>3.61</v>
      </c>
      <c r="AJ1346" s="1">
        <v>43675</v>
      </c>
      <c r="AL1346">
        <v>7.18</v>
      </c>
      <c r="AM1346" s="6">
        <f t="shared" si="182"/>
        <v>100000</v>
      </c>
      <c r="AN1346" s="2">
        <f t="shared" si="183"/>
        <v>0</v>
      </c>
    </row>
    <row r="1347" spans="2:40" x14ac:dyDescent="0.35">
      <c r="B1347" s="1">
        <v>43672</v>
      </c>
      <c r="C1347">
        <v>3461.7</v>
      </c>
      <c r="D1347" s="1">
        <v>43685</v>
      </c>
      <c r="E1347">
        <v>3.9403000000000001</v>
      </c>
      <c r="F1347" s="1">
        <v>43665</v>
      </c>
      <c r="G1347">
        <v>127.46</v>
      </c>
      <c r="H1347" s="4">
        <f t="shared" si="180"/>
        <v>502230.63799999998</v>
      </c>
      <c r="I1347" s="5">
        <v>43672</v>
      </c>
      <c r="J1347" s="4">
        <v>4653.87</v>
      </c>
      <c r="K1347" s="4">
        <f t="shared" si="181"/>
        <v>46538.7</v>
      </c>
      <c r="L1347" s="1">
        <v>43672</v>
      </c>
      <c r="M1347">
        <v>3.32</v>
      </c>
      <c r="P1347" s="1">
        <v>43665</v>
      </c>
      <c r="Q1347">
        <v>3.59</v>
      </c>
      <c r="AJ1347" s="1">
        <v>43672</v>
      </c>
      <c r="AL1347">
        <v>7.19</v>
      </c>
      <c r="AM1347" s="6">
        <f t="shared" si="182"/>
        <v>100000</v>
      </c>
      <c r="AN1347" s="2">
        <f t="shared" si="183"/>
        <v>0</v>
      </c>
    </row>
    <row r="1348" spans="2:40" x14ac:dyDescent="0.35">
      <c r="B1348" s="1">
        <v>43671</v>
      </c>
      <c r="C1348">
        <v>3441.29</v>
      </c>
      <c r="D1348" s="1">
        <v>43684</v>
      </c>
      <c r="E1348">
        <v>3.9843999999999999</v>
      </c>
      <c r="F1348" s="1">
        <v>43664</v>
      </c>
      <c r="G1348">
        <v>127.748</v>
      </c>
      <c r="H1348" s="4">
        <f t="shared" ref="H1348:H1411" si="184">G1348*E1348*1000</f>
        <v>508999.1312</v>
      </c>
      <c r="I1348" s="5">
        <v>43671</v>
      </c>
      <c r="J1348" s="4">
        <v>4657.5600000000004</v>
      </c>
      <c r="K1348" s="4">
        <f t="shared" si="181"/>
        <v>46575.600000000006</v>
      </c>
      <c r="L1348" s="1">
        <v>43671</v>
      </c>
      <c r="M1348">
        <v>3.32</v>
      </c>
      <c r="P1348" s="1">
        <v>43664</v>
      </c>
      <c r="Q1348">
        <v>3.57</v>
      </c>
      <c r="AJ1348" s="1">
        <v>43671</v>
      </c>
      <c r="AL1348">
        <v>7.23</v>
      </c>
      <c r="AM1348" s="6">
        <f t="shared" si="182"/>
        <v>100000</v>
      </c>
      <c r="AN1348" s="2">
        <f t="shared" si="183"/>
        <v>0</v>
      </c>
    </row>
    <row r="1349" spans="2:40" x14ac:dyDescent="0.35">
      <c r="B1349" s="1">
        <v>43670</v>
      </c>
      <c r="C1349">
        <v>3456.27</v>
      </c>
      <c r="D1349" s="1">
        <v>43683</v>
      </c>
      <c r="E1349">
        <v>3.9636999999999998</v>
      </c>
      <c r="F1349" s="1">
        <v>43663</v>
      </c>
      <c r="G1349">
        <v>127.518</v>
      </c>
      <c r="H1349" s="4">
        <f t="shared" si="184"/>
        <v>505443.09659999999</v>
      </c>
      <c r="I1349" s="5">
        <v>43670</v>
      </c>
      <c r="J1349" s="4">
        <v>4650.79</v>
      </c>
      <c r="K1349" s="4">
        <f t="shared" ref="K1349:K1412" si="185">J1349*10</f>
        <v>46507.9</v>
      </c>
      <c r="L1349" s="1">
        <v>43670</v>
      </c>
      <c r="M1349">
        <v>3.3</v>
      </c>
      <c r="P1349" s="1">
        <v>43663</v>
      </c>
      <c r="Q1349">
        <v>3.56</v>
      </c>
      <c r="AJ1349" s="1">
        <v>43670</v>
      </c>
      <c r="AL1349">
        <v>7.16</v>
      </c>
      <c r="AM1349" s="6">
        <f t="shared" ref="AM1349:AM1412" si="186">$Z$2/(1+AL1349/100)^(AK1349/252)</f>
        <v>100000</v>
      </c>
      <c r="AN1349" s="2">
        <f t="shared" ref="AN1349:AN1412" si="187">LOG(AM1349/AM1350)</f>
        <v>0</v>
      </c>
    </row>
    <row r="1350" spans="2:40" x14ac:dyDescent="0.35">
      <c r="B1350" s="1">
        <v>43669</v>
      </c>
      <c r="C1350">
        <v>3437.02</v>
      </c>
      <c r="D1350" s="1">
        <v>43682</v>
      </c>
      <c r="E1350">
        <v>3.9398</v>
      </c>
      <c r="F1350" s="1">
        <v>43662</v>
      </c>
      <c r="G1350">
        <v>127.018</v>
      </c>
      <c r="H1350" s="4">
        <f t="shared" si="184"/>
        <v>500425.51639999996</v>
      </c>
      <c r="I1350" s="5">
        <v>43669</v>
      </c>
      <c r="J1350" s="4">
        <v>4652.63</v>
      </c>
      <c r="K1350" s="4">
        <f t="shared" si="185"/>
        <v>46526.3</v>
      </c>
      <c r="L1350" s="1">
        <v>43669</v>
      </c>
      <c r="M1350">
        <v>3.33</v>
      </c>
      <c r="P1350" s="1">
        <v>43662</v>
      </c>
      <c r="Q1350">
        <v>3.55</v>
      </c>
      <c r="AJ1350" s="1">
        <v>43669</v>
      </c>
      <c r="AL1350">
        <v>7.2</v>
      </c>
      <c r="AM1350" s="6">
        <f t="shared" si="186"/>
        <v>100000</v>
      </c>
      <c r="AN1350" s="2">
        <f t="shared" si="187"/>
        <v>0</v>
      </c>
    </row>
    <row r="1351" spans="2:40" x14ac:dyDescent="0.35">
      <c r="B1351" s="1">
        <v>43668</v>
      </c>
      <c r="C1351">
        <v>3428.9</v>
      </c>
      <c r="D1351" s="1">
        <v>43679</v>
      </c>
      <c r="E1351">
        <v>3.8733</v>
      </c>
      <c r="F1351" s="1">
        <v>43661</v>
      </c>
      <c r="G1351">
        <v>127.21899999999999</v>
      </c>
      <c r="H1351" s="4">
        <f t="shared" si="184"/>
        <v>492757.35269999993</v>
      </c>
      <c r="I1351" s="5">
        <v>43668</v>
      </c>
      <c r="J1351" s="4">
        <v>4613.21</v>
      </c>
      <c r="K1351" s="4">
        <f t="shared" si="185"/>
        <v>46132.1</v>
      </c>
      <c r="L1351" s="1">
        <v>43668</v>
      </c>
      <c r="M1351">
        <v>3.33</v>
      </c>
      <c r="P1351" s="1">
        <v>43661</v>
      </c>
      <c r="Q1351">
        <v>3.53</v>
      </c>
      <c r="AJ1351" s="1">
        <v>43668</v>
      </c>
      <c r="AL1351">
        <v>7.29</v>
      </c>
      <c r="AM1351" s="6">
        <f t="shared" si="186"/>
        <v>100000</v>
      </c>
      <c r="AN1351" s="2">
        <f t="shared" si="187"/>
        <v>0</v>
      </c>
    </row>
    <row r="1352" spans="2:40" x14ac:dyDescent="0.35">
      <c r="B1352" s="1">
        <v>43665</v>
      </c>
      <c r="C1352">
        <v>3403.38</v>
      </c>
      <c r="D1352" s="1">
        <v>43678</v>
      </c>
      <c r="E1352">
        <v>3.8290000000000002</v>
      </c>
      <c r="F1352" s="1">
        <v>43658</v>
      </c>
      <c r="G1352">
        <v>127.06</v>
      </c>
      <c r="H1352" s="4">
        <f t="shared" si="184"/>
        <v>486512.74</v>
      </c>
      <c r="I1352" s="5">
        <v>43665</v>
      </c>
      <c r="J1352" s="4">
        <v>4620.6000000000004</v>
      </c>
      <c r="K1352" s="4">
        <f t="shared" si="185"/>
        <v>46206</v>
      </c>
      <c r="L1352" s="1">
        <v>43665</v>
      </c>
      <c r="M1352">
        <v>3.33</v>
      </c>
      <c r="P1352" s="1">
        <v>43658</v>
      </c>
      <c r="Q1352">
        <v>3.5</v>
      </c>
      <c r="AJ1352" s="1">
        <v>43665</v>
      </c>
      <c r="AL1352">
        <v>7.31</v>
      </c>
      <c r="AM1352" s="6">
        <f t="shared" si="186"/>
        <v>100000</v>
      </c>
      <c r="AN1352" s="2">
        <f t="shared" si="187"/>
        <v>0</v>
      </c>
    </row>
    <row r="1353" spans="2:40" x14ac:dyDescent="0.35">
      <c r="B1353" s="1">
        <v>43664</v>
      </c>
      <c r="C1353">
        <v>3442.42</v>
      </c>
      <c r="D1353" s="1">
        <v>43677</v>
      </c>
      <c r="E1353">
        <v>3.7643</v>
      </c>
      <c r="F1353" s="1">
        <v>43657</v>
      </c>
      <c r="G1353">
        <v>126.81399999999999</v>
      </c>
      <c r="H1353" s="4">
        <f t="shared" si="184"/>
        <v>477365.94019999995</v>
      </c>
      <c r="I1353" s="5">
        <v>43664</v>
      </c>
      <c r="J1353" s="4">
        <v>4585.4799999999996</v>
      </c>
      <c r="K1353" s="4">
        <f t="shared" si="185"/>
        <v>45854.799999999996</v>
      </c>
      <c r="L1353" s="1">
        <v>43664</v>
      </c>
      <c r="M1353">
        <v>3.31</v>
      </c>
      <c r="P1353" s="1">
        <v>43657</v>
      </c>
      <c r="Q1353">
        <v>3.48</v>
      </c>
      <c r="AJ1353" s="1">
        <v>43664</v>
      </c>
      <c r="AL1353">
        <v>7.26</v>
      </c>
      <c r="AM1353" s="6">
        <f t="shared" si="186"/>
        <v>100000</v>
      </c>
      <c r="AN1353" s="2">
        <f t="shared" si="187"/>
        <v>0</v>
      </c>
    </row>
    <row r="1354" spans="2:40" x14ac:dyDescent="0.35">
      <c r="B1354" s="1">
        <v>43663</v>
      </c>
      <c r="C1354">
        <v>3415.15</v>
      </c>
      <c r="D1354" s="1">
        <v>43676</v>
      </c>
      <c r="E1354">
        <v>3.7894000000000001</v>
      </c>
      <c r="F1354" s="1">
        <v>43656</v>
      </c>
      <c r="G1354">
        <v>127.423</v>
      </c>
      <c r="H1354" s="4">
        <f t="shared" si="184"/>
        <v>482856.71619999997</v>
      </c>
      <c r="I1354" s="5">
        <v>43663</v>
      </c>
      <c r="J1354" s="4">
        <v>4642.78</v>
      </c>
      <c r="K1354" s="4">
        <f t="shared" si="185"/>
        <v>46427.799999999996</v>
      </c>
      <c r="L1354" s="1">
        <v>43663</v>
      </c>
      <c r="M1354">
        <v>3.3</v>
      </c>
      <c r="P1354" s="1">
        <v>43656</v>
      </c>
      <c r="Q1354">
        <v>3.47</v>
      </c>
      <c r="AJ1354" s="1">
        <v>43663</v>
      </c>
      <c r="AL1354">
        <v>7.31</v>
      </c>
      <c r="AM1354" s="6">
        <f t="shared" si="186"/>
        <v>100000</v>
      </c>
      <c r="AN1354" s="2">
        <f t="shared" si="187"/>
        <v>0</v>
      </c>
    </row>
    <row r="1355" spans="2:40" x14ac:dyDescent="0.35">
      <c r="B1355" s="1">
        <v>43662</v>
      </c>
      <c r="C1355">
        <v>3442.08</v>
      </c>
      <c r="D1355" s="1">
        <v>43675</v>
      </c>
      <c r="E1355">
        <v>3.7902999999999998</v>
      </c>
      <c r="F1355" s="1">
        <v>43654</v>
      </c>
      <c r="G1355">
        <v>127.392</v>
      </c>
      <c r="H1355" s="4">
        <f t="shared" si="184"/>
        <v>482853.89759999997</v>
      </c>
      <c r="I1355" s="5">
        <v>43662</v>
      </c>
      <c r="J1355" s="4">
        <v>4649.55</v>
      </c>
      <c r="K1355" s="4">
        <f t="shared" si="185"/>
        <v>46495.5</v>
      </c>
      <c r="L1355" s="1">
        <v>43662</v>
      </c>
      <c r="M1355">
        <v>3.28</v>
      </c>
      <c r="P1355" s="1">
        <v>43654</v>
      </c>
      <c r="Q1355">
        <v>3.54</v>
      </c>
      <c r="AJ1355" s="1">
        <v>43662</v>
      </c>
      <c r="AL1355">
        <v>7.31</v>
      </c>
      <c r="AM1355" s="6">
        <f t="shared" si="186"/>
        <v>100000</v>
      </c>
      <c r="AN1355" s="2">
        <f t="shared" si="187"/>
        <v>0</v>
      </c>
    </row>
    <row r="1356" spans="2:40" x14ac:dyDescent="0.35">
      <c r="B1356" s="1">
        <v>43661</v>
      </c>
      <c r="C1356">
        <v>3453.07</v>
      </c>
      <c r="D1356" s="1">
        <v>43672</v>
      </c>
      <c r="E1356">
        <v>3.7734999999999999</v>
      </c>
      <c r="F1356" s="1">
        <v>43651</v>
      </c>
      <c r="G1356">
        <v>127.53400000000001</v>
      </c>
      <c r="H1356" s="4">
        <f t="shared" si="184"/>
        <v>481249.549</v>
      </c>
      <c r="I1356" s="5">
        <v>43661</v>
      </c>
      <c r="J1356" s="4">
        <v>4634.7700000000004</v>
      </c>
      <c r="K1356" s="4">
        <f t="shared" si="185"/>
        <v>46347.700000000004</v>
      </c>
      <c r="L1356" s="1">
        <v>43661</v>
      </c>
      <c r="M1356">
        <v>3.25</v>
      </c>
      <c r="P1356" s="1">
        <v>43651</v>
      </c>
      <c r="Q1356">
        <v>3.6</v>
      </c>
      <c r="AJ1356" s="1">
        <v>43661</v>
      </c>
      <c r="AL1356">
        <v>7.24</v>
      </c>
      <c r="AM1356" s="6">
        <f t="shared" si="186"/>
        <v>100000</v>
      </c>
      <c r="AN1356" s="2">
        <f t="shared" si="187"/>
        <v>0</v>
      </c>
    </row>
    <row r="1357" spans="2:40" x14ac:dyDescent="0.35">
      <c r="B1357" s="1">
        <v>43658</v>
      </c>
      <c r="C1357">
        <v>3454.5</v>
      </c>
      <c r="D1357" s="1">
        <v>43671</v>
      </c>
      <c r="E1357">
        <v>3.7843</v>
      </c>
      <c r="F1357" s="1">
        <v>43650</v>
      </c>
      <c r="G1357">
        <v>128.279</v>
      </c>
      <c r="H1357" s="4">
        <f t="shared" si="184"/>
        <v>485446.21969999996</v>
      </c>
      <c r="I1357" s="5">
        <v>43658</v>
      </c>
      <c r="J1357" s="4">
        <v>4610.74</v>
      </c>
      <c r="K1357" s="4">
        <f t="shared" si="185"/>
        <v>46107.399999999994</v>
      </c>
      <c r="L1357" s="1">
        <v>43658</v>
      </c>
      <c r="M1357">
        <v>3.21</v>
      </c>
      <c r="P1357" s="1">
        <v>43650</v>
      </c>
      <c r="Q1357">
        <v>3.64</v>
      </c>
      <c r="AJ1357" s="1">
        <v>43658</v>
      </c>
      <c r="AL1357">
        <v>7.26</v>
      </c>
      <c r="AM1357" s="6">
        <f t="shared" si="186"/>
        <v>100000</v>
      </c>
      <c r="AN1357" s="2">
        <f t="shared" si="187"/>
        <v>0</v>
      </c>
    </row>
    <row r="1358" spans="2:40" x14ac:dyDescent="0.35">
      <c r="B1358" s="1">
        <v>43657</v>
      </c>
      <c r="C1358">
        <v>3439.07</v>
      </c>
      <c r="D1358" s="1">
        <v>43670</v>
      </c>
      <c r="E1358">
        <v>3.7589999999999999</v>
      </c>
      <c r="F1358" s="1">
        <v>43649</v>
      </c>
      <c r="G1358">
        <v>128.23599999999999</v>
      </c>
      <c r="H1358" s="4">
        <f t="shared" si="184"/>
        <v>482039.12399999995</v>
      </c>
      <c r="I1358" s="5">
        <v>43657</v>
      </c>
      <c r="J1358" s="4">
        <v>4634.1499999999996</v>
      </c>
      <c r="K1358" s="4">
        <f t="shared" si="185"/>
        <v>46341.5</v>
      </c>
      <c r="L1358" s="1">
        <v>43657</v>
      </c>
      <c r="M1358">
        <v>3.16</v>
      </c>
      <c r="P1358" s="1">
        <v>43649</v>
      </c>
      <c r="Q1358">
        <v>3.64</v>
      </c>
      <c r="AJ1358" s="1">
        <v>43657</v>
      </c>
      <c r="AL1358">
        <v>7.17</v>
      </c>
      <c r="AM1358" s="6">
        <f t="shared" si="186"/>
        <v>100000</v>
      </c>
      <c r="AN1358" s="2">
        <f t="shared" si="187"/>
        <v>0</v>
      </c>
    </row>
    <row r="1359" spans="2:40" x14ac:dyDescent="0.35">
      <c r="B1359" s="1">
        <v>43656</v>
      </c>
      <c r="C1359">
        <v>3434.18</v>
      </c>
      <c r="D1359" s="1">
        <v>43669</v>
      </c>
      <c r="E1359">
        <v>3.7614999999999998</v>
      </c>
      <c r="F1359" s="1">
        <v>43648</v>
      </c>
      <c r="G1359">
        <v>128.124</v>
      </c>
      <c r="H1359" s="4">
        <f t="shared" si="184"/>
        <v>481938.42599999992</v>
      </c>
      <c r="I1359" s="5">
        <v>43656</v>
      </c>
      <c r="J1359" s="4">
        <v>4631.6899999999996</v>
      </c>
      <c r="K1359" s="4">
        <f t="shared" si="185"/>
        <v>46316.899999999994</v>
      </c>
      <c r="L1359" s="1">
        <v>43656</v>
      </c>
      <c r="M1359">
        <v>3.19</v>
      </c>
      <c r="P1359" s="1">
        <v>43648</v>
      </c>
      <c r="Q1359">
        <v>3.67</v>
      </c>
      <c r="AJ1359" s="1">
        <v>43656</v>
      </c>
      <c r="AL1359">
        <v>7.2</v>
      </c>
      <c r="AM1359" s="6">
        <f t="shared" si="186"/>
        <v>100000</v>
      </c>
      <c r="AN1359" s="2">
        <f t="shared" si="187"/>
        <v>0</v>
      </c>
    </row>
    <row r="1360" spans="2:40" x14ac:dyDescent="0.35">
      <c r="B1360" s="1">
        <v>43654</v>
      </c>
      <c r="C1360">
        <v>3408.83</v>
      </c>
      <c r="D1360" s="1">
        <v>43668</v>
      </c>
      <c r="E1360">
        <v>3.7393999999999998</v>
      </c>
      <c r="F1360" s="1">
        <v>43647</v>
      </c>
      <c r="G1360">
        <v>127.673</v>
      </c>
      <c r="H1360" s="4">
        <f t="shared" si="184"/>
        <v>477420.41619999998</v>
      </c>
      <c r="I1360" s="5">
        <v>43654</v>
      </c>
      <c r="J1360" s="4">
        <v>4694.53</v>
      </c>
      <c r="K1360" s="4">
        <f t="shared" si="185"/>
        <v>46945.299999999996</v>
      </c>
      <c r="L1360" s="1">
        <v>43654</v>
      </c>
      <c r="M1360">
        <v>3.25</v>
      </c>
      <c r="P1360" s="1">
        <v>43647</v>
      </c>
      <c r="Q1360">
        <v>3.66</v>
      </c>
      <c r="AJ1360" s="1">
        <v>43654</v>
      </c>
      <c r="AL1360">
        <v>7.28</v>
      </c>
      <c r="AM1360" s="6">
        <f t="shared" si="186"/>
        <v>100000</v>
      </c>
      <c r="AN1360" s="2">
        <f t="shared" si="187"/>
        <v>0</v>
      </c>
    </row>
    <row r="1361" spans="2:40" x14ac:dyDescent="0.35">
      <c r="B1361" s="1">
        <v>43651</v>
      </c>
      <c r="C1361">
        <v>3422.52</v>
      </c>
      <c r="D1361" s="1">
        <v>43665</v>
      </c>
      <c r="E1361">
        <v>3.7402000000000002</v>
      </c>
      <c r="F1361" s="1">
        <v>43644</v>
      </c>
      <c r="G1361">
        <v>127.923</v>
      </c>
      <c r="H1361" s="4">
        <f t="shared" si="184"/>
        <v>478457.60460000002</v>
      </c>
      <c r="I1361" s="5">
        <v>43651</v>
      </c>
      <c r="J1361" s="4">
        <v>4718.55</v>
      </c>
      <c r="K1361" s="4">
        <f t="shared" si="185"/>
        <v>47185.5</v>
      </c>
      <c r="L1361" s="1">
        <v>43651</v>
      </c>
      <c r="M1361">
        <v>3.31</v>
      </c>
      <c r="P1361" s="1">
        <v>43644</v>
      </c>
      <c r="Q1361">
        <v>3.67</v>
      </c>
      <c r="AJ1361" s="1">
        <v>43651</v>
      </c>
      <c r="AL1361">
        <v>7.38</v>
      </c>
      <c r="AM1361" s="6">
        <f t="shared" si="186"/>
        <v>100000</v>
      </c>
      <c r="AN1361" s="2">
        <f t="shared" si="187"/>
        <v>0</v>
      </c>
    </row>
    <row r="1362" spans="2:40" x14ac:dyDescent="0.35">
      <c r="B1362" s="1">
        <v>43650</v>
      </c>
      <c r="C1362">
        <v>3438.07</v>
      </c>
      <c r="D1362" s="1">
        <v>43664</v>
      </c>
      <c r="E1362">
        <v>3.7483</v>
      </c>
      <c r="F1362" s="1">
        <v>43643</v>
      </c>
      <c r="G1362">
        <v>127.94</v>
      </c>
      <c r="H1362" s="4">
        <f t="shared" si="184"/>
        <v>479557.50199999998</v>
      </c>
      <c r="I1362" s="5">
        <v>43650</v>
      </c>
      <c r="J1362" s="4">
        <v>4693.91</v>
      </c>
      <c r="K1362" s="4">
        <f t="shared" si="185"/>
        <v>46939.1</v>
      </c>
      <c r="L1362" s="1">
        <v>43650</v>
      </c>
      <c r="M1362">
        <v>3.33</v>
      </c>
      <c r="P1362" s="1">
        <v>43643</v>
      </c>
      <c r="Q1362">
        <v>3.72</v>
      </c>
      <c r="AJ1362" s="1">
        <v>43650</v>
      </c>
      <c r="AL1362">
        <v>7.3</v>
      </c>
      <c r="AM1362" s="6">
        <f t="shared" si="186"/>
        <v>100000</v>
      </c>
      <c r="AN1362" s="2">
        <f t="shared" si="187"/>
        <v>0</v>
      </c>
    </row>
    <row r="1363" spans="2:40" x14ac:dyDescent="0.35">
      <c r="B1363" s="1">
        <v>43649</v>
      </c>
      <c r="C1363">
        <v>3435.39</v>
      </c>
      <c r="D1363" s="1">
        <v>43663</v>
      </c>
      <c r="E1363">
        <v>3.7612000000000001</v>
      </c>
      <c r="F1363" s="1">
        <v>43642</v>
      </c>
      <c r="G1363">
        <v>127.627</v>
      </c>
      <c r="H1363" s="4">
        <f t="shared" si="184"/>
        <v>480030.67240000004</v>
      </c>
      <c r="I1363" s="5">
        <v>43649</v>
      </c>
      <c r="J1363" s="4">
        <v>4725.95</v>
      </c>
      <c r="K1363" s="4">
        <f t="shared" si="185"/>
        <v>47259.5</v>
      </c>
      <c r="L1363" s="1">
        <v>43649</v>
      </c>
      <c r="M1363">
        <v>3.41</v>
      </c>
      <c r="P1363" s="1">
        <v>43642</v>
      </c>
      <c r="Q1363">
        <v>3.78</v>
      </c>
      <c r="AJ1363" s="1">
        <v>43649</v>
      </c>
      <c r="AL1363">
        <v>7.36</v>
      </c>
      <c r="AM1363" s="6">
        <f t="shared" si="186"/>
        <v>100000</v>
      </c>
      <c r="AN1363" s="2">
        <f t="shared" si="187"/>
        <v>0</v>
      </c>
    </row>
    <row r="1364" spans="2:40" x14ac:dyDescent="0.35">
      <c r="B1364" s="1">
        <v>43648</v>
      </c>
      <c r="C1364">
        <v>3410.99</v>
      </c>
      <c r="D1364" s="1">
        <v>43662</v>
      </c>
      <c r="E1364">
        <v>3.7618</v>
      </c>
      <c r="F1364" s="1">
        <v>43641</v>
      </c>
      <c r="G1364">
        <v>128.15899999999999</v>
      </c>
      <c r="H1364" s="4">
        <f t="shared" si="184"/>
        <v>482108.52619999996</v>
      </c>
      <c r="I1364" s="5">
        <v>43648</v>
      </c>
      <c r="J1364" s="4">
        <v>4748.74</v>
      </c>
      <c r="K1364" s="4">
        <f t="shared" si="185"/>
        <v>47487.399999999994</v>
      </c>
      <c r="L1364" s="1">
        <v>43648</v>
      </c>
      <c r="M1364">
        <v>3.44</v>
      </c>
      <c r="P1364" s="1">
        <v>43641</v>
      </c>
      <c r="Q1364">
        <v>3.82</v>
      </c>
      <c r="AJ1364" s="1">
        <v>43648</v>
      </c>
      <c r="AL1364">
        <v>7.39</v>
      </c>
      <c r="AM1364" s="6">
        <f t="shared" si="186"/>
        <v>100000</v>
      </c>
      <c r="AN1364" s="2">
        <f t="shared" si="187"/>
        <v>0</v>
      </c>
    </row>
    <row r="1365" spans="2:40" x14ac:dyDescent="0.35">
      <c r="B1365" s="1">
        <v>43647</v>
      </c>
      <c r="C1365">
        <v>3395.55</v>
      </c>
      <c r="D1365" s="1">
        <v>43661</v>
      </c>
      <c r="E1365">
        <v>3.7456999999999998</v>
      </c>
      <c r="F1365" s="1">
        <v>43640</v>
      </c>
      <c r="G1365">
        <v>127.94</v>
      </c>
      <c r="H1365" s="4">
        <f t="shared" si="184"/>
        <v>479224.85800000001</v>
      </c>
      <c r="I1365" s="5">
        <v>43647</v>
      </c>
      <c r="J1365" s="4">
        <v>4746.8900000000003</v>
      </c>
      <c r="K1365" s="4">
        <f t="shared" si="185"/>
        <v>47468.9</v>
      </c>
      <c r="L1365" s="1">
        <v>43647</v>
      </c>
      <c r="M1365">
        <v>3.41</v>
      </c>
      <c r="P1365" s="1">
        <v>43640</v>
      </c>
      <c r="Q1365">
        <v>3.72</v>
      </c>
      <c r="AJ1365" s="1">
        <v>43647</v>
      </c>
      <c r="AL1365">
        <v>7.33</v>
      </c>
      <c r="AM1365" s="6">
        <f t="shared" si="186"/>
        <v>100000</v>
      </c>
      <c r="AN1365" s="2">
        <f t="shared" si="187"/>
        <v>0</v>
      </c>
    </row>
    <row r="1366" spans="2:40" x14ac:dyDescent="0.35">
      <c r="B1366" s="1">
        <v>43644</v>
      </c>
      <c r="C1366">
        <v>3381.7</v>
      </c>
      <c r="D1366" s="1">
        <v>43658</v>
      </c>
      <c r="E1366">
        <v>3.7446000000000002</v>
      </c>
      <c r="F1366" s="1">
        <v>43637</v>
      </c>
      <c r="G1366">
        <v>127.61199999999999</v>
      </c>
      <c r="H1366" s="4">
        <f t="shared" si="184"/>
        <v>477855.89520000003</v>
      </c>
      <c r="I1366" s="5">
        <v>43644</v>
      </c>
      <c r="J1366" s="4">
        <v>4757.9799999999996</v>
      </c>
      <c r="K1366" s="4">
        <f t="shared" si="185"/>
        <v>47579.799999999996</v>
      </c>
      <c r="L1366" s="1">
        <v>43644</v>
      </c>
      <c r="M1366">
        <v>3.5</v>
      </c>
      <c r="P1366" s="1">
        <v>43637</v>
      </c>
      <c r="Q1366">
        <v>3.76</v>
      </c>
      <c r="AJ1366" s="1">
        <v>43644</v>
      </c>
      <c r="AL1366">
        <v>7.47</v>
      </c>
      <c r="AM1366" s="6">
        <f t="shared" si="186"/>
        <v>100000</v>
      </c>
      <c r="AN1366" s="2">
        <f t="shared" si="187"/>
        <v>0</v>
      </c>
    </row>
    <row r="1367" spans="2:40" x14ac:dyDescent="0.35">
      <c r="B1367" s="1">
        <v>43643</v>
      </c>
      <c r="C1367">
        <v>3357.24</v>
      </c>
      <c r="D1367" s="1">
        <v>43657</v>
      </c>
      <c r="E1367">
        <v>3.7526999999999999</v>
      </c>
      <c r="F1367" s="1">
        <v>43635</v>
      </c>
      <c r="G1367">
        <v>127.857</v>
      </c>
      <c r="H1367" s="4">
        <f t="shared" si="184"/>
        <v>479808.96389999997</v>
      </c>
      <c r="I1367" s="5">
        <v>43643</v>
      </c>
      <c r="J1367" s="4">
        <v>4723.4799999999996</v>
      </c>
      <c r="K1367" s="4">
        <f t="shared" si="185"/>
        <v>47234.799999999996</v>
      </c>
      <c r="L1367" s="1">
        <v>43643</v>
      </c>
      <c r="M1367">
        <v>3.49</v>
      </c>
      <c r="P1367" s="1">
        <v>43635</v>
      </c>
      <c r="Q1367">
        <v>3.87</v>
      </c>
      <c r="AJ1367" s="1">
        <v>43643</v>
      </c>
      <c r="AL1367">
        <v>7.56</v>
      </c>
      <c r="AM1367" s="6">
        <f t="shared" si="186"/>
        <v>100000</v>
      </c>
      <c r="AN1367" s="2">
        <f t="shared" si="187"/>
        <v>0</v>
      </c>
    </row>
    <row r="1368" spans="2:40" x14ac:dyDescent="0.35">
      <c r="B1368" s="1">
        <v>43642</v>
      </c>
      <c r="C1368">
        <v>3338.54</v>
      </c>
      <c r="D1368" s="1">
        <v>43656</v>
      </c>
      <c r="E1368">
        <v>3.7690999999999999</v>
      </c>
      <c r="F1368" s="1">
        <v>43634</v>
      </c>
      <c r="G1368">
        <v>127.533</v>
      </c>
      <c r="H1368" s="4">
        <f t="shared" si="184"/>
        <v>480684.63029999996</v>
      </c>
      <c r="I1368" s="5">
        <v>43642</v>
      </c>
      <c r="J1368" s="4">
        <v>4752.54</v>
      </c>
      <c r="K1368" s="4">
        <f t="shared" si="185"/>
        <v>47525.4</v>
      </c>
      <c r="L1368" s="1">
        <v>43642</v>
      </c>
      <c r="M1368">
        <v>3.47</v>
      </c>
      <c r="P1368" s="1">
        <v>43634</v>
      </c>
      <c r="Q1368">
        <v>3.91</v>
      </c>
      <c r="AJ1368" s="1">
        <v>43642</v>
      </c>
      <c r="AL1368">
        <v>7.6</v>
      </c>
      <c r="AM1368" s="6">
        <f t="shared" si="186"/>
        <v>100000</v>
      </c>
      <c r="AN1368" s="2">
        <f t="shared" si="187"/>
        <v>0</v>
      </c>
    </row>
    <row r="1369" spans="2:40" x14ac:dyDescent="0.35">
      <c r="B1369" s="1">
        <v>43641</v>
      </c>
      <c r="C1369">
        <v>3345.05</v>
      </c>
      <c r="D1369" s="1">
        <v>43655</v>
      </c>
      <c r="E1369">
        <v>3.7846000000000002</v>
      </c>
      <c r="F1369" s="1">
        <v>43633</v>
      </c>
      <c r="G1369">
        <v>127.358</v>
      </c>
      <c r="H1369" s="4">
        <f t="shared" si="184"/>
        <v>481999.08680000005</v>
      </c>
      <c r="I1369" s="5">
        <v>43641</v>
      </c>
      <c r="J1369" s="4">
        <v>4756.87</v>
      </c>
      <c r="K1369" s="4">
        <f t="shared" si="185"/>
        <v>47568.7</v>
      </c>
      <c r="L1369" s="1">
        <v>43641</v>
      </c>
      <c r="M1369">
        <v>3.54</v>
      </c>
      <c r="P1369" s="1">
        <v>43633</v>
      </c>
      <c r="Q1369">
        <v>3.9</v>
      </c>
      <c r="AJ1369" s="1">
        <v>43641</v>
      </c>
      <c r="AL1369">
        <v>7.68</v>
      </c>
      <c r="AM1369" s="6">
        <f t="shared" si="186"/>
        <v>100000</v>
      </c>
      <c r="AN1369" s="2">
        <f t="shared" si="187"/>
        <v>0</v>
      </c>
    </row>
    <row r="1370" spans="2:40" x14ac:dyDescent="0.35">
      <c r="B1370" s="1">
        <v>43640</v>
      </c>
      <c r="C1370">
        <v>3379.28</v>
      </c>
      <c r="D1370" s="1">
        <v>43654</v>
      </c>
      <c r="E1370">
        <v>3.8058999999999998</v>
      </c>
      <c r="F1370" s="1">
        <v>43630</v>
      </c>
      <c r="G1370">
        <v>127.392</v>
      </c>
      <c r="H1370" s="4">
        <f t="shared" si="184"/>
        <v>484841.21279999992</v>
      </c>
      <c r="I1370" s="5">
        <v>43640</v>
      </c>
      <c r="J1370" s="4">
        <v>4730.8999999999996</v>
      </c>
      <c r="K1370" s="4">
        <f t="shared" si="185"/>
        <v>47309</v>
      </c>
      <c r="L1370" s="1">
        <v>43640</v>
      </c>
      <c r="M1370">
        <v>3.42</v>
      </c>
      <c r="P1370" s="1">
        <v>43630</v>
      </c>
      <c r="Q1370">
        <v>3.92</v>
      </c>
      <c r="AJ1370" s="1">
        <v>43640</v>
      </c>
      <c r="AL1370">
        <v>7.6</v>
      </c>
      <c r="AM1370" s="6">
        <f t="shared" si="186"/>
        <v>100000</v>
      </c>
      <c r="AN1370" s="2">
        <f t="shared" si="187"/>
        <v>0</v>
      </c>
    </row>
    <row r="1371" spans="2:40" x14ac:dyDescent="0.35">
      <c r="B1371" s="1">
        <v>43637</v>
      </c>
      <c r="C1371">
        <v>3382.73</v>
      </c>
      <c r="D1371" s="1">
        <v>43651</v>
      </c>
      <c r="E1371">
        <v>3.8197999999999999</v>
      </c>
      <c r="F1371" s="1">
        <v>43629</v>
      </c>
      <c r="G1371">
        <v>127.361</v>
      </c>
      <c r="H1371" s="4">
        <f t="shared" si="184"/>
        <v>486493.5478</v>
      </c>
      <c r="I1371" s="5">
        <v>43637</v>
      </c>
      <c r="J1371" s="4">
        <v>4727.8100000000004</v>
      </c>
      <c r="K1371" s="4">
        <f t="shared" si="185"/>
        <v>47278.100000000006</v>
      </c>
      <c r="L1371" s="1">
        <v>43637</v>
      </c>
      <c r="M1371">
        <v>3.4</v>
      </c>
      <c r="P1371" s="1">
        <v>43629</v>
      </c>
      <c r="Q1371">
        <v>3.96</v>
      </c>
      <c r="AJ1371" s="1">
        <v>43637</v>
      </c>
      <c r="AL1371">
        <v>7.59</v>
      </c>
      <c r="AM1371" s="6">
        <f t="shared" si="186"/>
        <v>100000</v>
      </c>
      <c r="AN1371" s="2">
        <f t="shared" si="187"/>
        <v>0</v>
      </c>
    </row>
    <row r="1372" spans="2:40" x14ac:dyDescent="0.35">
      <c r="B1372" s="1">
        <v>43635</v>
      </c>
      <c r="C1372">
        <v>3357.63</v>
      </c>
      <c r="D1372" s="1">
        <v>43650</v>
      </c>
      <c r="E1372">
        <v>3.7934000000000001</v>
      </c>
      <c r="F1372" s="1">
        <v>43628</v>
      </c>
      <c r="G1372">
        <v>127.048</v>
      </c>
      <c r="H1372" s="4">
        <f t="shared" si="184"/>
        <v>481943.88320000004</v>
      </c>
      <c r="I1372" s="5">
        <v>43635</v>
      </c>
      <c r="J1372" s="4">
        <v>4750.07</v>
      </c>
      <c r="K1372" s="4">
        <f t="shared" si="185"/>
        <v>47500.7</v>
      </c>
      <c r="L1372" s="1">
        <v>43635</v>
      </c>
      <c r="M1372">
        <v>3.57</v>
      </c>
      <c r="P1372" s="1">
        <v>43628</v>
      </c>
      <c r="Q1372">
        <v>4</v>
      </c>
      <c r="AJ1372" s="1">
        <v>43635</v>
      </c>
      <c r="AL1372">
        <v>7.75</v>
      </c>
      <c r="AM1372" s="6">
        <f t="shared" si="186"/>
        <v>100000</v>
      </c>
      <c r="AN1372" s="2">
        <f t="shared" si="187"/>
        <v>0</v>
      </c>
    </row>
    <row r="1373" spans="2:40" x14ac:dyDescent="0.35">
      <c r="B1373" s="1">
        <v>43634</v>
      </c>
      <c r="C1373">
        <v>3348.32</v>
      </c>
      <c r="D1373" s="1">
        <v>43649</v>
      </c>
      <c r="E1373">
        <v>3.8469000000000002</v>
      </c>
      <c r="F1373" s="1">
        <v>43627</v>
      </c>
      <c r="G1373">
        <v>126.768</v>
      </c>
      <c r="H1373" s="4">
        <f t="shared" si="184"/>
        <v>487663.81920000003</v>
      </c>
      <c r="I1373" s="5">
        <v>43634</v>
      </c>
      <c r="J1373" s="4">
        <v>4776.6499999999996</v>
      </c>
      <c r="K1373" s="4">
        <f t="shared" si="185"/>
        <v>47766.5</v>
      </c>
      <c r="L1373" s="1">
        <v>43634</v>
      </c>
      <c r="M1373">
        <v>3.62</v>
      </c>
      <c r="P1373" s="1">
        <v>43627</v>
      </c>
      <c r="Q1373">
        <v>3.94</v>
      </c>
      <c r="AJ1373" s="1">
        <v>43634</v>
      </c>
      <c r="AL1373">
        <v>7.89</v>
      </c>
      <c r="AM1373" s="6">
        <f t="shared" si="186"/>
        <v>100000</v>
      </c>
      <c r="AN1373" s="2">
        <f t="shared" si="187"/>
        <v>0</v>
      </c>
    </row>
    <row r="1374" spans="2:40" x14ac:dyDescent="0.35">
      <c r="B1374" s="1">
        <v>43633</v>
      </c>
      <c r="C1374">
        <v>3314.66</v>
      </c>
      <c r="D1374" s="1">
        <v>43648</v>
      </c>
      <c r="E1374">
        <v>3.8557999999999999</v>
      </c>
      <c r="F1374" s="1">
        <v>43626</v>
      </c>
      <c r="G1374">
        <v>126.70099999999999</v>
      </c>
      <c r="H1374" s="4">
        <f t="shared" si="184"/>
        <v>488533.71580000001</v>
      </c>
      <c r="I1374" s="5">
        <v>43633</v>
      </c>
      <c r="J1374" s="4">
        <v>4811.8900000000003</v>
      </c>
      <c r="K1374" s="4">
        <f t="shared" si="185"/>
        <v>48118.9</v>
      </c>
      <c r="L1374" s="1">
        <v>43633</v>
      </c>
      <c r="M1374">
        <v>3.66</v>
      </c>
      <c r="P1374" s="1">
        <v>43626</v>
      </c>
      <c r="Q1374">
        <v>3.97</v>
      </c>
      <c r="AJ1374" s="1">
        <v>43633</v>
      </c>
      <c r="AL1374">
        <v>7.91</v>
      </c>
      <c r="AM1374" s="6">
        <f t="shared" si="186"/>
        <v>100000</v>
      </c>
      <c r="AN1374" s="2">
        <f t="shared" si="187"/>
        <v>0</v>
      </c>
    </row>
    <row r="1375" spans="2:40" x14ac:dyDescent="0.35">
      <c r="B1375" s="1">
        <v>43630</v>
      </c>
      <c r="C1375">
        <v>3312.73</v>
      </c>
      <c r="D1375" s="1">
        <v>43647</v>
      </c>
      <c r="E1375">
        <v>3.8187000000000002</v>
      </c>
      <c r="F1375" s="1">
        <v>43623</v>
      </c>
      <c r="G1375">
        <v>127.274</v>
      </c>
      <c r="H1375" s="4">
        <f t="shared" si="184"/>
        <v>486021.22380000004</v>
      </c>
      <c r="I1375" s="5">
        <v>43630</v>
      </c>
      <c r="J1375" s="4">
        <v>4821.17</v>
      </c>
      <c r="K1375" s="4">
        <f t="shared" si="185"/>
        <v>48211.7</v>
      </c>
      <c r="L1375" s="1">
        <v>43630</v>
      </c>
      <c r="M1375">
        <v>3.64</v>
      </c>
      <c r="P1375" s="1">
        <v>43623</v>
      </c>
      <c r="Q1375">
        <v>4.01</v>
      </c>
      <c r="AJ1375" s="1">
        <v>43630</v>
      </c>
      <c r="AL1375">
        <v>7.85</v>
      </c>
      <c r="AM1375" s="6">
        <f t="shared" si="186"/>
        <v>100000</v>
      </c>
      <c r="AN1375" s="2">
        <f t="shared" si="187"/>
        <v>0</v>
      </c>
    </row>
    <row r="1376" spans="2:40" x14ac:dyDescent="0.35">
      <c r="B1376" s="1">
        <v>43629</v>
      </c>
      <c r="C1376">
        <v>3321.3</v>
      </c>
      <c r="D1376" s="1">
        <v>43644</v>
      </c>
      <c r="E1376">
        <v>3.8315999999999999</v>
      </c>
      <c r="F1376" s="1">
        <v>43622</v>
      </c>
      <c r="G1376">
        <v>126.971</v>
      </c>
      <c r="H1376" s="4">
        <f t="shared" si="184"/>
        <v>486502.08360000001</v>
      </c>
      <c r="I1376" s="5">
        <v>43629</v>
      </c>
      <c r="J1376" s="4">
        <v>4764.29</v>
      </c>
      <c r="K1376" s="4">
        <f t="shared" si="185"/>
        <v>47642.9</v>
      </c>
      <c r="L1376" s="1">
        <v>43629</v>
      </c>
      <c r="M1376">
        <v>3.69</v>
      </c>
      <c r="P1376" s="1">
        <v>43621</v>
      </c>
      <c r="Q1376">
        <v>4.1399999999999997</v>
      </c>
      <c r="AJ1376" s="1">
        <v>43629</v>
      </c>
      <c r="AL1376">
        <v>7.86</v>
      </c>
      <c r="AM1376" s="6">
        <f t="shared" si="186"/>
        <v>100000</v>
      </c>
      <c r="AN1376" s="2">
        <f t="shared" si="187"/>
        <v>0</v>
      </c>
    </row>
    <row r="1377" spans="2:40" x14ac:dyDescent="0.35">
      <c r="B1377" s="1">
        <v>43628</v>
      </c>
      <c r="C1377">
        <v>3302.21</v>
      </c>
      <c r="D1377" s="1">
        <v>43643</v>
      </c>
      <c r="E1377">
        <v>3.8635999999999999</v>
      </c>
      <c r="F1377" s="1">
        <v>43621</v>
      </c>
      <c r="G1377">
        <v>126.983</v>
      </c>
      <c r="H1377" s="4">
        <f t="shared" si="184"/>
        <v>490611.51880000002</v>
      </c>
      <c r="I1377" s="5">
        <v>43628</v>
      </c>
      <c r="J1377" s="4">
        <v>4786.55</v>
      </c>
      <c r="K1377" s="4">
        <f t="shared" si="185"/>
        <v>47865.5</v>
      </c>
      <c r="L1377" s="1">
        <v>43628</v>
      </c>
      <c r="M1377">
        <v>3.76</v>
      </c>
      <c r="P1377" s="1">
        <v>43620</v>
      </c>
      <c r="Q1377">
        <v>4.1500000000000004</v>
      </c>
      <c r="AJ1377" s="1">
        <v>43628</v>
      </c>
      <c r="AL1377">
        <v>8.0299999999999994</v>
      </c>
      <c r="AM1377" s="6">
        <f t="shared" si="186"/>
        <v>100000</v>
      </c>
      <c r="AN1377" s="2">
        <f t="shared" si="187"/>
        <v>0</v>
      </c>
    </row>
    <row r="1378" spans="2:40" x14ac:dyDescent="0.35">
      <c r="B1378" s="1">
        <v>43627</v>
      </c>
      <c r="C1378">
        <v>3306.86</v>
      </c>
      <c r="D1378" s="1">
        <v>43642</v>
      </c>
      <c r="E1378">
        <v>3.8435000000000001</v>
      </c>
      <c r="F1378" s="1">
        <v>43620</v>
      </c>
      <c r="G1378">
        <v>126.904</v>
      </c>
      <c r="H1378" s="4">
        <f t="shared" si="184"/>
        <v>487755.52399999998</v>
      </c>
      <c r="I1378" s="5">
        <v>43627</v>
      </c>
      <c r="J1378" s="4">
        <v>4776.04</v>
      </c>
      <c r="K1378" s="4">
        <f t="shared" si="185"/>
        <v>47760.4</v>
      </c>
      <c r="L1378" s="1">
        <v>43627</v>
      </c>
      <c r="M1378">
        <v>3.7</v>
      </c>
      <c r="P1378" s="1">
        <v>43619</v>
      </c>
      <c r="Q1378">
        <v>4.1100000000000003</v>
      </c>
      <c r="AJ1378" s="1">
        <v>43627</v>
      </c>
      <c r="AL1378">
        <v>7.99</v>
      </c>
      <c r="AM1378" s="6">
        <f t="shared" si="186"/>
        <v>100000</v>
      </c>
      <c r="AN1378" s="2">
        <f t="shared" si="187"/>
        <v>0</v>
      </c>
    </row>
    <row r="1379" spans="2:40" x14ac:dyDescent="0.35">
      <c r="B1379" s="1">
        <v>43626</v>
      </c>
      <c r="C1379">
        <v>3311.57</v>
      </c>
      <c r="D1379" s="1">
        <v>43641</v>
      </c>
      <c r="E1379">
        <v>3.8296999999999999</v>
      </c>
      <c r="F1379" s="1">
        <v>43619</v>
      </c>
      <c r="G1379">
        <v>127.31</v>
      </c>
      <c r="H1379" s="4">
        <f t="shared" si="184"/>
        <v>487559.10699999996</v>
      </c>
      <c r="I1379" s="5">
        <v>43626</v>
      </c>
      <c r="J1379" s="4">
        <v>4815.6000000000004</v>
      </c>
      <c r="K1379" s="4">
        <f t="shared" si="185"/>
        <v>48156</v>
      </c>
      <c r="L1379" s="1">
        <v>43626</v>
      </c>
      <c r="M1379">
        <v>3.74</v>
      </c>
      <c r="P1379" s="1">
        <v>43616</v>
      </c>
      <c r="Q1379">
        <v>4.13</v>
      </c>
      <c r="AJ1379" s="1">
        <v>43626</v>
      </c>
      <c r="AL1379">
        <v>8.17</v>
      </c>
      <c r="AM1379" s="6">
        <f t="shared" si="186"/>
        <v>100000</v>
      </c>
      <c r="AN1379" s="2">
        <f t="shared" si="187"/>
        <v>0</v>
      </c>
    </row>
    <row r="1380" spans="2:40" x14ac:dyDescent="0.35">
      <c r="B1380" s="1">
        <v>43623</v>
      </c>
      <c r="C1380">
        <v>3295.81</v>
      </c>
      <c r="D1380" s="1">
        <v>43640</v>
      </c>
      <c r="E1380">
        <v>3.8228</v>
      </c>
      <c r="F1380" s="1">
        <v>43616</v>
      </c>
      <c r="G1380">
        <v>126.82599999999999</v>
      </c>
      <c r="H1380" s="4">
        <f t="shared" si="184"/>
        <v>484830.43280000001</v>
      </c>
      <c r="I1380" s="5">
        <v>43623</v>
      </c>
      <c r="J1380" s="4">
        <v>4803.8599999999997</v>
      </c>
      <c r="K1380" s="4">
        <f t="shared" si="185"/>
        <v>48038.6</v>
      </c>
      <c r="L1380" s="1">
        <v>43623</v>
      </c>
      <c r="M1380">
        <v>3.76</v>
      </c>
      <c r="P1380" s="1">
        <v>43615</v>
      </c>
      <c r="Q1380">
        <v>4.16</v>
      </c>
      <c r="AJ1380" s="1">
        <v>43623</v>
      </c>
      <c r="AL1380">
        <v>8.1300000000000008</v>
      </c>
      <c r="AM1380" s="6">
        <f t="shared" si="186"/>
        <v>100000</v>
      </c>
      <c r="AN1380" s="2">
        <f t="shared" si="187"/>
        <v>0</v>
      </c>
    </row>
    <row r="1381" spans="2:40" x14ac:dyDescent="0.35">
      <c r="B1381" s="1">
        <v>43622</v>
      </c>
      <c r="C1381">
        <v>3253.21</v>
      </c>
      <c r="D1381" s="1">
        <v>43637</v>
      </c>
      <c r="E1381">
        <v>3.8249</v>
      </c>
      <c r="F1381" s="1">
        <v>43615</v>
      </c>
      <c r="G1381">
        <v>126.092</v>
      </c>
      <c r="H1381" s="4">
        <f t="shared" si="184"/>
        <v>482289.29080000002</v>
      </c>
      <c r="I1381" s="5">
        <v>43622</v>
      </c>
      <c r="J1381" s="4">
        <v>4806.33</v>
      </c>
      <c r="K1381" s="4">
        <f t="shared" si="185"/>
        <v>48063.3</v>
      </c>
      <c r="L1381" s="1">
        <v>43622</v>
      </c>
      <c r="M1381">
        <v>3.87</v>
      </c>
      <c r="P1381" s="1">
        <v>43614</v>
      </c>
      <c r="Q1381">
        <v>4.22</v>
      </c>
      <c r="AJ1381" s="1">
        <v>43622</v>
      </c>
      <c r="AL1381">
        <v>8.24</v>
      </c>
      <c r="AM1381" s="6">
        <f t="shared" si="186"/>
        <v>100000</v>
      </c>
      <c r="AN1381" s="2">
        <f t="shared" si="187"/>
        <v>0</v>
      </c>
    </row>
    <row r="1382" spans="2:40" x14ac:dyDescent="0.35">
      <c r="B1382" s="1">
        <v>43621</v>
      </c>
      <c r="C1382">
        <v>3240.48</v>
      </c>
      <c r="D1382" s="1">
        <v>43635</v>
      </c>
      <c r="E1382">
        <v>3.8717000000000001</v>
      </c>
      <c r="F1382" s="1">
        <v>43614</v>
      </c>
      <c r="G1382">
        <v>125.407</v>
      </c>
      <c r="H1382" s="4">
        <f t="shared" si="184"/>
        <v>485538.2819</v>
      </c>
      <c r="I1382" s="5">
        <v>43621</v>
      </c>
      <c r="J1382" s="4">
        <v>4808.8</v>
      </c>
      <c r="K1382" s="4">
        <f t="shared" si="185"/>
        <v>48088</v>
      </c>
      <c r="L1382" s="1">
        <v>43621</v>
      </c>
      <c r="M1382">
        <v>3.94</v>
      </c>
      <c r="P1382" s="1">
        <v>43613</v>
      </c>
      <c r="Q1382">
        <v>4.28</v>
      </c>
      <c r="AJ1382" s="1">
        <v>43621</v>
      </c>
      <c r="AL1382">
        <v>8.31</v>
      </c>
      <c r="AM1382" s="6">
        <f t="shared" si="186"/>
        <v>100000</v>
      </c>
      <c r="AN1382" s="2">
        <f t="shared" si="187"/>
        <v>0</v>
      </c>
    </row>
    <row r="1383" spans="2:40" x14ac:dyDescent="0.35">
      <c r="B1383" s="1">
        <v>43620</v>
      </c>
      <c r="C1383">
        <v>3215.87</v>
      </c>
      <c r="D1383" s="1">
        <v>43634</v>
      </c>
      <c r="E1383">
        <v>3.8601999999999999</v>
      </c>
      <c r="F1383" s="1">
        <v>43613</v>
      </c>
      <c r="G1383">
        <v>125.44</v>
      </c>
      <c r="H1383" s="4">
        <f t="shared" si="184"/>
        <v>484223.48799999995</v>
      </c>
      <c r="I1383" s="5">
        <v>43620</v>
      </c>
      <c r="J1383" s="4">
        <v>4776.04</v>
      </c>
      <c r="K1383" s="4">
        <f t="shared" si="185"/>
        <v>47760.4</v>
      </c>
      <c r="L1383" s="1">
        <v>43620</v>
      </c>
      <c r="M1383">
        <v>3.91</v>
      </c>
      <c r="P1383" s="1">
        <v>43609</v>
      </c>
      <c r="Q1383">
        <v>4.4400000000000004</v>
      </c>
      <c r="AJ1383" s="1">
        <v>43620</v>
      </c>
      <c r="AL1383">
        <v>8.24</v>
      </c>
      <c r="AM1383" s="6">
        <f t="shared" si="186"/>
        <v>100000</v>
      </c>
      <c r="AN1383" s="2">
        <f t="shared" si="187"/>
        <v>0</v>
      </c>
    </row>
    <row r="1384" spans="2:40" x14ac:dyDescent="0.35">
      <c r="B1384" s="1">
        <v>43619</v>
      </c>
      <c r="C1384">
        <v>3153.29</v>
      </c>
      <c r="D1384" s="1">
        <v>43633</v>
      </c>
      <c r="E1384">
        <v>3.8889</v>
      </c>
      <c r="F1384" s="1">
        <v>43612</v>
      </c>
      <c r="G1384">
        <v>125.068</v>
      </c>
      <c r="H1384" s="4">
        <f t="shared" si="184"/>
        <v>486376.94520000002</v>
      </c>
      <c r="I1384" s="5">
        <v>43619</v>
      </c>
      <c r="J1384" s="4">
        <v>4815.6000000000004</v>
      </c>
      <c r="K1384" s="4">
        <f t="shared" si="185"/>
        <v>48156</v>
      </c>
      <c r="L1384" s="1">
        <v>43619</v>
      </c>
      <c r="M1384">
        <v>3.9</v>
      </c>
      <c r="P1384" s="1">
        <v>43608</v>
      </c>
      <c r="Q1384">
        <v>4.43</v>
      </c>
      <c r="AJ1384" s="1">
        <v>43619</v>
      </c>
      <c r="AL1384">
        <v>8.24</v>
      </c>
      <c r="AM1384" s="6">
        <f t="shared" si="186"/>
        <v>100000</v>
      </c>
      <c r="AN1384" s="2">
        <f t="shared" si="187"/>
        <v>0</v>
      </c>
    </row>
    <row r="1385" spans="2:40" x14ac:dyDescent="0.35">
      <c r="B1385" s="1">
        <v>43616</v>
      </c>
      <c r="C1385">
        <v>3151.88</v>
      </c>
      <c r="D1385" s="1">
        <v>43630</v>
      </c>
      <c r="E1385">
        <v>3.8807</v>
      </c>
      <c r="F1385" s="1">
        <v>43609</v>
      </c>
      <c r="G1385">
        <v>125</v>
      </c>
      <c r="H1385" s="4">
        <f t="shared" si="184"/>
        <v>485087.5</v>
      </c>
      <c r="I1385" s="5">
        <v>43616</v>
      </c>
      <c r="J1385" s="4">
        <v>4865.0600000000004</v>
      </c>
      <c r="K1385" s="4">
        <f t="shared" si="185"/>
        <v>48650.600000000006</v>
      </c>
      <c r="L1385" s="1">
        <v>43616</v>
      </c>
      <c r="M1385">
        <v>3.9</v>
      </c>
      <c r="P1385" s="1">
        <v>43607</v>
      </c>
      <c r="Q1385">
        <v>4.45</v>
      </c>
      <c r="AJ1385" s="1">
        <v>43616</v>
      </c>
      <c r="AL1385">
        <v>8.49</v>
      </c>
      <c r="AM1385" s="6">
        <f t="shared" si="186"/>
        <v>100000</v>
      </c>
      <c r="AN1385" s="2">
        <f t="shared" si="187"/>
        <v>0</v>
      </c>
    </row>
    <row r="1386" spans="2:40" x14ac:dyDescent="0.35">
      <c r="B1386" s="1">
        <v>43615</v>
      </c>
      <c r="C1386">
        <v>3203.57</v>
      </c>
      <c r="D1386" s="1">
        <v>43629</v>
      </c>
      <c r="E1386">
        <v>3.8422999999999998</v>
      </c>
      <c r="F1386" s="1">
        <v>43608</v>
      </c>
      <c r="G1386">
        <v>125.03100000000001</v>
      </c>
      <c r="H1386" s="4">
        <f t="shared" si="184"/>
        <v>480406.61129999999</v>
      </c>
      <c r="I1386" s="5">
        <v>43615</v>
      </c>
      <c r="J1386" s="4">
        <v>4934.93</v>
      </c>
      <c r="K1386" s="4">
        <f t="shared" si="185"/>
        <v>49349.3</v>
      </c>
      <c r="L1386" s="1">
        <v>43615</v>
      </c>
      <c r="M1386">
        <v>3.91</v>
      </c>
      <c r="P1386" s="1">
        <v>43606</v>
      </c>
      <c r="Q1386">
        <v>4.47</v>
      </c>
      <c r="AJ1386" s="1">
        <v>43615</v>
      </c>
      <c r="AL1386">
        <v>8.48</v>
      </c>
      <c r="AM1386" s="6">
        <f t="shared" si="186"/>
        <v>100000</v>
      </c>
      <c r="AN1386" s="2">
        <f t="shared" si="187"/>
        <v>0</v>
      </c>
    </row>
    <row r="1387" spans="2:40" x14ac:dyDescent="0.35">
      <c r="B1387" s="1">
        <v>43614</v>
      </c>
      <c r="C1387">
        <v>3189.75</v>
      </c>
      <c r="D1387" s="1">
        <v>43628</v>
      </c>
      <c r="E1387">
        <v>3.8431000000000002</v>
      </c>
      <c r="F1387" s="1">
        <v>43607</v>
      </c>
      <c r="G1387">
        <v>124.438</v>
      </c>
      <c r="H1387" s="4">
        <f t="shared" si="184"/>
        <v>478227.67780000006</v>
      </c>
      <c r="I1387" s="5">
        <v>43614</v>
      </c>
      <c r="J1387" s="4">
        <v>4925.0200000000004</v>
      </c>
      <c r="K1387" s="4">
        <f t="shared" si="185"/>
        <v>49250.200000000004</v>
      </c>
      <c r="L1387" s="1">
        <v>43614</v>
      </c>
      <c r="M1387">
        <v>4.01</v>
      </c>
      <c r="P1387" s="1">
        <v>43605</v>
      </c>
      <c r="Q1387">
        <v>4.55</v>
      </c>
      <c r="AJ1387" s="1">
        <v>43614</v>
      </c>
      <c r="AL1387">
        <v>8.56</v>
      </c>
      <c r="AM1387" s="6">
        <f t="shared" si="186"/>
        <v>100000</v>
      </c>
      <c r="AN1387" s="2">
        <f t="shared" si="187"/>
        <v>0</v>
      </c>
    </row>
    <row r="1388" spans="2:40" x14ac:dyDescent="0.35">
      <c r="B1388" s="1">
        <v>43613</v>
      </c>
      <c r="C1388">
        <v>3211.27</v>
      </c>
      <c r="D1388" s="1">
        <v>43627</v>
      </c>
      <c r="E1388">
        <v>3.8658000000000001</v>
      </c>
      <c r="F1388" s="1">
        <v>43606</v>
      </c>
      <c r="G1388">
        <v>124.123</v>
      </c>
      <c r="H1388" s="4">
        <f t="shared" si="184"/>
        <v>479834.69340000005</v>
      </c>
      <c r="I1388" s="5">
        <v>43613</v>
      </c>
      <c r="J1388" s="4">
        <v>4986.3500000000004</v>
      </c>
      <c r="K1388" s="4">
        <f t="shared" si="185"/>
        <v>49863.5</v>
      </c>
      <c r="L1388" s="1">
        <v>43613</v>
      </c>
      <c r="M1388">
        <v>4.0199999999999996</v>
      </c>
      <c r="P1388" s="1">
        <v>43602</v>
      </c>
      <c r="Q1388">
        <v>4.55</v>
      </c>
      <c r="AJ1388" s="1">
        <v>43613</v>
      </c>
      <c r="AL1388">
        <v>8.69</v>
      </c>
      <c r="AM1388" s="6">
        <f t="shared" si="186"/>
        <v>100000</v>
      </c>
      <c r="AN1388" s="2">
        <f t="shared" si="187"/>
        <v>0</v>
      </c>
    </row>
    <row r="1389" spans="2:40" x14ac:dyDescent="0.35">
      <c r="B1389" s="1">
        <v>43612</v>
      </c>
      <c r="C1389">
        <v>3243.09</v>
      </c>
      <c r="D1389" s="1">
        <v>43626</v>
      </c>
      <c r="E1389">
        <v>3.8784000000000001</v>
      </c>
      <c r="F1389" s="1">
        <v>43605</v>
      </c>
      <c r="G1389">
        <v>124.295</v>
      </c>
      <c r="H1389" s="4">
        <f t="shared" si="184"/>
        <v>482065.72800000006</v>
      </c>
      <c r="I1389" s="5">
        <v>43612</v>
      </c>
      <c r="J1389" s="4">
        <v>5011.75</v>
      </c>
      <c r="K1389" s="4">
        <f t="shared" si="185"/>
        <v>50117.5</v>
      </c>
      <c r="L1389" s="1">
        <v>43612</v>
      </c>
      <c r="M1389">
        <v>4.1399999999999997</v>
      </c>
      <c r="P1389" s="1">
        <v>43601</v>
      </c>
      <c r="Q1389">
        <v>4.47</v>
      </c>
      <c r="AJ1389" s="1">
        <v>43612</v>
      </c>
      <c r="AL1389">
        <v>8.8699999999999992</v>
      </c>
      <c r="AM1389" s="6">
        <f t="shared" si="186"/>
        <v>100000</v>
      </c>
      <c r="AN1389" s="2">
        <f t="shared" si="187"/>
        <v>0</v>
      </c>
    </row>
    <row r="1390" spans="2:40" x14ac:dyDescent="0.35">
      <c r="B1390" s="1">
        <v>43609</v>
      </c>
      <c r="C1390">
        <v>3248.81</v>
      </c>
      <c r="D1390" s="1">
        <v>43623</v>
      </c>
      <c r="E1390">
        <v>3.8565</v>
      </c>
      <c r="F1390" s="1">
        <v>43602</v>
      </c>
      <c r="G1390">
        <v>124.499</v>
      </c>
      <c r="H1390" s="4">
        <f t="shared" si="184"/>
        <v>480130.39349999995</v>
      </c>
      <c r="I1390" s="5">
        <v>43609</v>
      </c>
      <c r="J1390" s="4">
        <v>4988.82</v>
      </c>
      <c r="K1390" s="4">
        <f t="shared" si="185"/>
        <v>49888.2</v>
      </c>
      <c r="L1390" s="1">
        <v>43609</v>
      </c>
      <c r="M1390">
        <v>4.1900000000000004</v>
      </c>
      <c r="P1390" s="1">
        <v>43600</v>
      </c>
      <c r="Q1390">
        <v>4.42</v>
      </c>
      <c r="AJ1390" s="1">
        <v>43609</v>
      </c>
      <c r="AL1390">
        <v>8.94</v>
      </c>
      <c r="AM1390" s="6">
        <f t="shared" si="186"/>
        <v>100000</v>
      </c>
      <c r="AN1390" s="2">
        <f t="shared" si="187"/>
        <v>0</v>
      </c>
    </row>
    <row r="1391" spans="2:40" x14ac:dyDescent="0.35">
      <c r="B1391" s="1">
        <v>43608</v>
      </c>
      <c r="C1391">
        <v>3232.99</v>
      </c>
      <c r="D1391" s="1">
        <v>43622</v>
      </c>
      <c r="E1391">
        <v>3.8719999999999999</v>
      </c>
      <c r="F1391" s="1">
        <v>43601</v>
      </c>
      <c r="G1391">
        <v>124.423</v>
      </c>
      <c r="H1391" s="4">
        <f t="shared" si="184"/>
        <v>481765.85599999997</v>
      </c>
      <c r="I1391" s="5">
        <v>43608</v>
      </c>
      <c r="J1391" s="4">
        <v>5009.8900000000003</v>
      </c>
      <c r="K1391" s="4">
        <f t="shared" si="185"/>
        <v>50098.9</v>
      </c>
      <c r="L1391" s="1">
        <v>43608</v>
      </c>
      <c r="M1391">
        <v>4.21</v>
      </c>
      <c r="P1391" s="1">
        <v>43599</v>
      </c>
      <c r="Q1391">
        <v>4.42</v>
      </c>
      <c r="AJ1391" s="1">
        <v>43608</v>
      </c>
      <c r="AL1391">
        <v>8.9</v>
      </c>
      <c r="AM1391" s="6">
        <f t="shared" si="186"/>
        <v>100000</v>
      </c>
      <c r="AN1391" s="2">
        <f t="shared" si="187"/>
        <v>0</v>
      </c>
    </row>
    <row r="1392" spans="2:40" x14ac:dyDescent="0.35">
      <c r="B1392" s="1">
        <v>43607</v>
      </c>
      <c r="C1392">
        <v>3270.85</v>
      </c>
      <c r="D1392" s="1">
        <v>43621</v>
      </c>
      <c r="E1392">
        <v>3.8605</v>
      </c>
      <c r="F1392" s="1">
        <v>43600</v>
      </c>
      <c r="G1392">
        <v>124.68899999999999</v>
      </c>
      <c r="H1392" s="4">
        <f t="shared" si="184"/>
        <v>481361.88449999999</v>
      </c>
      <c r="I1392" s="5">
        <v>43607</v>
      </c>
      <c r="J1392" s="4">
        <v>5010.51</v>
      </c>
      <c r="K1392" s="4">
        <f t="shared" si="185"/>
        <v>50105.100000000006</v>
      </c>
      <c r="L1392" s="1">
        <v>43607</v>
      </c>
      <c r="M1392">
        <v>4.22</v>
      </c>
      <c r="P1392" s="1">
        <v>43598</v>
      </c>
      <c r="Q1392">
        <v>4.43</v>
      </c>
      <c r="AJ1392" s="1">
        <v>43607</v>
      </c>
      <c r="AL1392">
        <v>8.9499999999999993</v>
      </c>
      <c r="AM1392" s="6">
        <f t="shared" si="186"/>
        <v>100000</v>
      </c>
      <c r="AN1392" s="2">
        <f t="shared" si="187"/>
        <v>0</v>
      </c>
    </row>
    <row r="1393" spans="2:40" x14ac:dyDescent="0.35">
      <c r="B1393" s="1">
        <v>43606</v>
      </c>
      <c r="C1393">
        <v>3283.48</v>
      </c>
      <c r="D1393" s="1">
        <v>43620</v>
      </c>
      <c r="E1393">
        <v>3.8704000000000001</v>
      </c>
      <c r="F1393" s="1">
        <v>43599</v>
      </c>
      <c r="G1393">
        <v>124.33</v>
      </c>
      <c r="H1393" s="4">
        <f t="shared" si="184"/>
        <v>481206.83199999999</v>
      </c>
      <c r="I1393" s="5">
        <v>43606</v>
      </c>
      <c r="J1393" s="4">
        <v>5009.8900000000003</v>
      </c>
      <c r="K1393" s="4">
        <f t="shared" si="185"/>
        <v>50098.9</v>
      </c>
      <c r="L1393" s="1">
        <v>43606</v>
      </c>
      <c r="M1393">
        <v>4.2</v>
      </c>
      <c r="P1393" s="1">
        <v>43595</v>
      </c>
      <c r="Q1393">
        <v>4.4000000000000004</v>
      </c>
      <c r="AJ1393" s="1">
        <v>43606</v>
      </c>
      <c r="AL1393">
        <v>8.92</v>
      </c>
      <c r="AM1393" s="6">
        <f t="shared" si="186"/>
        <v>100000</v>
      </c>
      <c r="AN1393" s="2">
        <f t="shared" si="187"/>
        <v>0</v>
      </c>
    </row>
    <row r="1394" spans="2:40" x14ac:dyDescent="0.35">
      <c r="B1394" s="1">
        <v>43605</v>
      </c>
      <c r="C1394">
        <v>3257.94</v>
      </c>
      <c r="D1394" s="1">
        <v>43619</v>
      </c>
      <c r="E1394">
        <v>3.8997000000000002</v>
      </c>
      <c r="F1394" s="1">
        <v>43598</v>
      </c>
      <c r="G1394">
        <v>124.482</v>
      </c>
      <c r="H1394" s="4">
        <f t="shared" si="184"/>
        <v>485442.45540000004</v>
      </c>
      <c r="I1394" s="5">
        <v>43605</v>
      </c>
      <c r="J1394" s="4">
        <v>5082.99</v>
      </c>
      <c r="K1394" s="4">
        <f t="shared" si="185"/>
        <v>50829.899999999994</v>
      </c>
      <c r="L1394" s="1">
        <v>43605</v>
      </c>
      <c r="M1394">
        <v>4.3499999999999996</v>
      </c>
      <c r="P1394" s="1">
        <v>43594</v>
      </c>
      <c r="Q1394">
        <v>4.47</v>
      </c>
      <c r="AJ1394" s="1">
        <v>43605</v>
      </c>
      <c r="AL1394">
        <v>9.11</v>
      </c>
      <c r="AM1394" s="6">
        <f t="shared" si="186"/>
        <v>100000</v>
      </c>
      <c r="AN1394" s="2">
        <f t="shared" si="187"/>
        <v>0</v>
      </c>
    </row>
    <row r="1395" spans="2:40" x14ac:dyDescent="0.35">
      <c r="B1395" s="1">
        <v>43602</v>
      </c>
      <c r="C1395">
        <v>3274.03</v>
      </c>
      <c r="D1395" s="1">
        <v>43616</v>
      </c>
      <c r="E1395">
        <v>3.9401000000000002</v>
      </c>
      <c r="F1395" s="1">
        <v>43595</v>
      </c>
      <c r="G1395">
        <v>123.84</v>
      </c>
      <c r="H1395" s="4">
        <f t="shared" si="184"/>
        <v>487941.98400000005</v>
      </c>
      <c r="I1395" s="5">
        <v>43602</v>
      </c>
      <c r="J1395" s="4">
        <v>5086.7</v>
      </c>
      <c r="K1395" s="4">
        <f t="shared" si="185"/>
        <v>50867</v>
      </c>
      <c r="L1395" s="1">
        <v>43602</v>
      </c>
      <c r="M1395">
        <v>4.3099999999999996</v>
      </c>
      <c r="P1395" s="1">
        <v>43593</v>
      </c>
      <c r="Q1395">
        <v>4.4800000000000004</v>
      </c>
      <c r="AJ1395" s="1">
        <v>43602</v>
      </c>
      <c r="AL1395">
        <v>9.1999999999999993</v>
      </c>
      <c r="AM1395" s="6">
        <f t="shared" si="186"/>
        <v>100000</v>
      </c>
      <c r="AN1395" s="2">
        <f t="shared" si="187"/>
        <v>0</v>
      </c>
    </row>
    <row r="1396" spans="2:40" x14ac:dyDescent="0.35">
      <c r="B1396" s="1">
        <v>43601</v>
      </c>
      <c r="C1396">
        <v>3302.86</v>
      </c>
      <c r="D1396" s="1">
        <v>43615</v>
      </c>
      <c r="E1396">
        <v>3.9714</v>
      </c>
      <c r="F1396" s="1">
        <v>43594</v>
      </c>
      <c r="G1396">
        <v>123.97799999999999</v>
      </c>
      <c r="H1396" s="4">
        <f t="shared" si="184"/>
        <v>492366.22919999994</v>
      </c>
      <c r="I1396" s="5">
        <v>43601</v>
      </c>
      <c r="J1396" s="4">
        <v>5022.8999999999996</v>
      </c>
      <c r="K1396" s="4">
        <f t="shared" si="185"/>
        <v>50229</v>
      </c>
      <c r="L1396" s="1">
        <v>43601</v>
      </c>
      <c r="M1396">
        <v>4.24</v>
      </c>
      <c r="P1396" s="1">
        <v>43592</v>
      </c>
      <c r="Q1396">
        <v>4.49</v>
      </c>
      <c r="AJ1396" s="1">
        <v>43601</v>
      </c>
      <c r="AL1396">
        <v>9.09</v>
      </c>
      <c r="AM1396" s="6">
        <f t="shared" si="186"/>
        <v>100000</v>
      </c>
      <c r="AN1396" s="2">
        <f t="shared" si="187"/>
        <v>0</v>
      </c>
    </row>
    <row r="1397" spans="2:40" x14ac:dyDescent="0.35">
      <c r="B1397" s="1">
        <v>43600</v>
      </c>
      <c r="C1397">
        <v>3270.85</v>
      </c>
      <c r="D1397" s="1">
        <v>43614</v>
      </c>
      <c r="E1397">
        <v>3.9958999999999998</v>
      </c>
      <c r="F1397" s="1">
        <v>43593</v>
      </c>
      <c r="G1397">
        <v>123.7</v>
      </c>
      <c r="H1397" s="4">
        <f t="shared" si="184"/>
        <v>494292.82999999996</v>
      </c>
      <c r="I1397" s="5">
        <v>43600</v>
      </c>
      <c r="J1397" s="4">
        <v>4968.38</v>
      </c>
      <c r="K1397" s="4">
        <f t="shared" si="185"/>
        <v>49683.8</v>
      </c>
      <c r="L1397" s="1">
        <v>43600</v>
      </c>
      <c r="M1397">
        <v>4.16</v>
      </c>
      <c r="P1397" s="1">
        <v>43591</v>
      </c>
      <c r="Q1397">
        <v>4.47</v>
      </c>
      <c r="AJ1397" s="1">
        <v>43600</v>
      </c>
      <c r="AL1397">
        <v>8.9700000000000006</v>
      </c>
      <c r="AM1397" s="6">
        <f t="shared" si="186"/>
        <v>100000</v>
      </c>
      <c r="AN1397" s="2">
        <f t="shared" si="187"/>
        <v>0</v>
      </c>
    </row>
    <row r="1398" spans="2:40" x14ac:dyDescent="0.35">
      <c r="B1398" s="1">
        <v>43599</v>
      </c>
      <c r="C1398">
        <v>3250.54</v>
      </c>
      <c r="D1398" s="1">
        <v>43613</v>
      </c>
      <c r="E1398">
        <v>4.0269000000000004</v>
      </c>
      <c r="F1398" s="1">
        <v>43592</v>
      </c>
      <c r="G1398">
        <v>123.94</v>
      </c>
      <c r="H1398" s="4">
        <f t="shared" si="184"/>
        <v>499093.98600000003</v>
      </c>
      <c r="I1398" s="5">
        <v>43599</v>
      </c>
      <c r="J1398" s="4">
        <v>4933.6899999999996</v>
      </c>
      <c r="K1398" s="4">
        <f t="shared" si="185"/>
        <v>49336.899999999994</v>
      </c>
      <c r="L1398" s="1">
        <v>43599</v>
      </c>
      <c r="M1398">
        <v>4.17</v>
      </c>
      <c r="P1398" s="1">
        <v>43588</v>
      </c>
      <c r="Q1398">
        <v>4.47</v>
      </c>
      <c r="AJ1398" s="1">
        <v>43599</v>
      </c>
      <c r="AL1398">
        <v>8.89</v>
      </c>
      <c r="AM1398" s="6">
        <f t="shared" si="186"/>
        <v>100000</v>
      </c>
      <c r="AN1398" s="2">
        <f t="shared" si="187"/>
        <v>0</v>
      </c>
    </row>
    <row r="1399" spans="2:40" x14ac:dyDescent="0.35">
      <c r="B1399" s="1">
        <v>43598</v>
      </c>
      <c r="C1399">
        <v>3212.23</v>
      </c>
      <c r="D1399" s="1">
        <v>43612</v>
      </c>
      <c r="E1399">
        <v>4.0204000000000004</v>
      </c>
      <c r="F1399" s="1">
        <v>43591</v>
      </c>
      <c r="G1399">
        <v>123.624</v>
      </c>
      <c r="H1399" s="4">
        <f t="shared" si="184"/>
        <v>497017.92960000003</v>
      </c>
      <c r="I1399" s="5">
        <v>43598</v>
      </c>
      <c r="J1399" s="4">
        <v>4960.33</v>
      </c>
      <c r="K1399" s="4">
        <f t="shared" si="185"/>
        <v>49603.3</v>
      </c>
      <c r="L1399" s="1">
        <v>43598</v>
      </c>
      <c r="M1399">
        <v>4.2</v>
      </c>
      <c r="P1399" s="1">
        <v>43587</v>
      </c>
      <c r="Q1399">
        <v>4.45</v>
      </c>
      <c r="AJ1399" s="1">
        <v>43598</v>
      </c>
      <c r="AL1399">
        <v>8.98</v>
      </c>
      <c r="AM1399" s="6">
        <f t="shared" si="186"/>
        <v>100000</v>
      </c>
      <c r="AN1399" s="2">
        <f t="shared" si="187"/>
        <v>0</v>
      </c>
    </row>
    <row r="1400" spans="2:40" x14ac:dyDescent="0.35">
      <c r="B1400" s="1">
        <v>43595</v>
      </c>
      <c r="C1400">
        <v>3309.41</v>
      </c>
      <c r="D1400" s="1">
        <v>43609</v>
      </c>
      <c r="E1400">
        <v>4.0316000000000001</v>
      </c>
      <c r="F1400" s="1">
        <v>43588</v>
      </c>
      <c r="G1400">
        <v>123.378</v>
      </c>
      <c r="H1400" s="4">
        <f t="shared" si="184"/>
        <v>497410.74480000004</v>
      </c>
      <c r="I1400" s="5">
        <v>43595</v>
      </c>
      <c r="J1400" s="4">
        <v>4906.43</v>
      </c>
      <c r="K1400" s="4">
        <f t="shared" si="185"/>
        <v>49064.3</v>
      </c>
      <c r="L1400" s="1">
        <v>43595</v>
      </c>
      <c r="M1400">
        <v>4.2</v>
      </c>
      <c r="P1400" s="1">
        <v>43585</v>
      </c>
      <c r="Q1400">
        <v>4.49</v>
      </c>
      <c r="AJ1400" s="1">
        <v>43595</v>
      </c>
      <c r="AL1400">
        <v>8.8699999999999992</v>
      </c>
      <c r="AM1400" s="6">
        <f t="shared" si="186"/>
        <v>100000</v>
      </c>
      <c r="AN1400" s="2">
        <f t="shared" si="187"/>
        <v>0</v>
      </c>
    </row>
    <row r="1401" spans="2:40" x14ac:dyDescent="0.35">
      <c r="B1401" s="1">
        <v>43594</v>
      </c>
      <c r="C1401">
        <v>3297.57</v>
      </c>
      <c r="D1401" s="1">
        <v>43608</v>
      </c>
      <c r="E1401">
        <v>4.0507</v>
      </c>
      <c r="F1401" s="1">
        <v>43587</v>
      </c>
      <c r="G1401">
        <v>123.236</v>
      </c>
      <c r="H1401" s="4">
        <f t="shared" si="184"/>
        <v>499192.06520000001</v>
      </c>
      <c r="I1401" s="5">
        <v>43594</v>
      </c>
      <c r="J1401" s="4">
        <v>4900.24</v>
      </c>
      <c r="K1401" s="4">
        <f t="shared" si="185"/>
        <v>49002.399999999994</v>
      </c>
      <c r="L1401" s="1">
        <v>43594</v>
      </c>
      <c r="M1401">
        <v>4.2300000000000004</v>
      </c>
      <c r="P1401" s="1">
        <v>43584</v>
      </c>
      <c r="Q1401">
        <v>4.49</v>
      </c>
      <c r="AJ1401" s="1">
        <v>43594</v>
      </c>
      <c r="AL1401">
        <v>8.89</v>
      </c>
      <c r="AM1401" s="6">
        <f t="shared" si="186"/>
        <v>100000</v>
      </c>
      <c r="AN1401" s="2">
        <f t="shared" si="187"/>
        <v>0</v>
      </c>
    </row>
    <row r="1402" spans="2:40" x14ac:dyDescent="0.35">
      <c r="B1402" s="1">
        <v>43593</v>
      </c>
      <c r="C1402">
        <v>3303.31</v>
      </c>
      <c r="D1402" s="1">
        <v>43607</v>
      </c>
      <c r="E1402">
        <v>4.0221999999999998</v>
      </c>
      <c r="F1402" s="1">
        <v>43585</v>
      </c>
      <c r="G1402">
        <v>123.68</v>
      </c>
      <c r="H1402" s="4">
        <f t="shared" si="184"/>
        <v>497465.696</v>
      </c>
      <c r="I1402" s="5">
        <v>43593</v>
      </c>
      <c r="J1402" s="4">
        <v>4877.93</v>
      </c>
      <c r="K1402" s="4">
        <f t="shared" si="185"/>
        <v>48779.3</v>
      </c>
      <c r="L1402" s="1">
        <v>43593</v>
      </c>
      <c r="M1402">
        <v>4.3</v>
      </c>
      <c r="P1402" s="1">
        <v>43581</v>
      </c>
      <c r="Q1402">
        <v>4.51</v>
      </c>
      <c r="AJ1402" s="1">
        <v>43593</v>
      </c>
      <c r="AL1402">
        <v>8.93</v>
      </c>
      <c r="AM1402" s="6">
        <f t="shared" si="186"/>
        <v>100000</v>
      </c>
      <c r="AN1402" s="2">
        <f t="shared" si="187"/>
        <v>0</v>
      </c>
    </row>
    <row r="1403" spans="2:40" x14ac:dyDescent="0.35">
      <c r="B1403" s="1">
        <v>43592</v>
      </c>
      <c r="C1403">
        <v>3307.27</v>
      </c>
      <c r="D1403" s="1">
        <v>43606</v>
      </c>
      <c r="E1403">
        <v>4.0804</v>
      </c>
      <c r="F1403" s="1">
        <v>43584</v>
      </c>
      <c r="G1403">
        <v>123.456</v>
      </c>
      <c r="H1403" s="4">
        <f t="shared" si="184"/>
        <v>503749.86240000004</v>
      </c>
      <c r="I1403" s="5">
        <v>43592</v>
      </c>
      <c r="J1403" s="4">
        <v>4929.97</v>
      </c>
      <c r="K1403" s="4">
        <f t="shared" si="185"/>
        <v>49299.700000000004</v>
      </c>
      <c r="L1403" s="1">
        <v>43592</v>
      </c>
      <c r="M1403">
        <v>4.28</v>
      </c>
      <c r="P1403" s="1">
        <v>43580</v>
      </c>
      <c r="Q1403">
        <v>4.57</v>
      </c>
      <c r="AJ1403" s="1">
        <v>43592</v>
      </c>
      <c r="AL1403">
        <v>8.98</v>
      </c>
      <c r="AM1403" s="6">
        <f t="shared" si="186"/>
        <v>100000</v>
      </c>
      <c r="AN1403" s="2">
        <f t="shared" si="187"/>
        <v>0</v>
      </c>
    </row>
    <row r="1404" spans="2:40" x14ac:dyDescent="0.35">
      <c r="B1404" s="1">
        <v>43591</v>
      </c>
      <c r="C1404">
        <v>3358.65</v>
      </c>
      <c r="D1404" s="1">
        <v>43605</v>
      </c>
      <c r="E1404">
        <v>4.1050000000000004</v>
      </c>
      <c r="F1404" s="1">
        <v>43581</v>
      </c>
      <c r="G1404">
        <v>123.68</v>
      </c>
      <c r="H1404" s="4">
        <f t="shared" si="184"/>
        <v>507706.40000000008</v>
      </c>
      <c r="I1404" s="5">
        <v>43591</v>
      </c>
      <c r="J1404" s="4">
        <v>4926.25</v>
      </c>
      <c r="K1404" s="4">
        <f t="shared" si="185"/>
        <v>49262.5</v>
      </c>
      <c r="L1404" s="1">
        <v>43591</v>
      </c>
      <c r="M1404">
        <v>4.25</v>
      </c>
      <c r="P1404" s="1">
        <v>43579</v>
      </c>
      <c r="Q1404">
        <v>4.5999999999999996</v>
      </c>
      <c r="AJ1404" s="1">
        <v>43591</v>
      </c>
      <c r="AL1404">
        <v>8.99</v>
      </c>
      <c r="AM1404" s="6">
        <f t="shared" si="186"/>
        <v>100000</v>
      </c>
      <c r="AN1404" s="2">
        <f t="shared" si="187"/>
        <v>0</v>
      </c>
    </row>
    <row r="1405" spans="2:40" x14ac:dyDescent="0.35">
      <c r="B1405" s="1">
        <v>43588</v>
      </c>
      <c r="C1405">
        <v>3378.73</v>
      </c>
      <c r="D1405" s="1">
        <v>43602</v>
      </c>
      <c r="E1405">
        <v>4.0838000000000001</v>
      </c>
      <c r="F1405" s="1">
        <v>43580</v>
      </c>
      <c r="G1405">
        <v>123.392</v>
      </c>
      <c r="H1405" s="4">
        <f t="shared" si="184"/>
        <v>503908.24959999998</v>
      </c>
      <c r="I1405" s="5">
        <v>43588</v>
      </c>
      <c r="J1405" s="4">
        <v>4892.18</v>
      </c>
      <c r="K1405" s="4">
        <f t="shared" si="185"/>
        <v>48921.8</v>
      </c>
      <c r="L1405" s="1">
        <v>43588</v>
      </c>
      <c r="M1405">
        <v>4.24</v>
      </c>
      <c r="P1405" s="1">
        <v>43578</v>
      </c>
      <c r="Q1405">
        <v>4.59</v>
      </c>
      <c r="AJ1405" s="1">
        <v>43588</v>
      </c>
      <c r="AL1405">
        <v>8.99</v>
      </c>
      <c r="AM1405" s="6">
        <f t="shared" si="186"/>
        <v>100000</v>
      </c>
      <c r="AN1405" s="2">
        <f t="shared" si="187"/>
        <v>0</v>
      </c>
    </row>
    <row r="1406" spans="2:40" x14ac:dyDescent="0.35">
      <c r="B1406" s="1">
        <v>43587</v>
      </c>
      <c r="C1406">
        <v>3343.92</v>
      </c>
      <c r="D1406" s="1">
        <v>43601</v>
      </c>
      <c r="E1406">
        <v>4.0132000000000003</v>
      </c>
      <c r="F1406" s="1">
        <v>43579</v>
      </c>
      <c r="G1406">
        <v>123.551</v>
      </c>
      <c r="H1406" s="4">
        <f t="shared" si="184"/>
        <v>495834.87320000009</v>
      </c>
      <c r="I1406" s="5">
        <v>43587</v>
      </c>
      <c r="J1406" s="4">
        <v>4928.1099999999997</v>
      </c>
      <c r="K1406" s="4">
        <f t="shared" si="185"/>
        <v>49281.1</v>
      </c>
      <c r="L1406" s="1">
        <v>43587</v>
      </c>
      <c r="M1406">
        <v>4.3</v>
      </c>
      <c r="P1406" s="1">
        <v>43577</v>
      </c>
      <c r="Q1406">
        <v>4.66</v>
      </c>
      <c r="AJ1406" s="1">
        <v>43587</v>
      </c>
      <c r="AL1406">
        <v>9.07</v>
      </c>
      <c r="AM1406" s="6">
        <f t="shared" si="186"/>
        <v>100000</v>
      </c>
      <c r="AN1406" s="2">
        <f t="shared" si="187"/>
        <v>0</v>
      </c>
    </row>
    <row r="1407" spans="2:40" x14ac:dyDescent="0.35">
      <c r="B1407" s="1">
        <v>43585</v>
      </c>
      <c r="C1407">
        <v>3384.39</v>
      </c>
      <c r="D1407" s="1">
        <v>43600</v>
      </c>
      <c r="E1407">
        <v>4.0025000000000004</v>
      </c>
      <c r="F1407" s="1">
        <v>43578</v>
      </c>
      <c r="G1407">
        <v>123.15900000000001</v>
      </c>
      <c r="H1407" s="4">
        <f t="shared" si="184"/>
        <v>492943.89750000002</v>
      </c>
      <c r="I1407" s="5">
        <v>43585</v>
      </c>
      <c r="J1407" s="4">
        <v>4869.88</v>
      </c>
      <c r="K1407" s="4">
        <f t="shared" si="185"/>
        <v>48698.8</v>
      </c>
      <c r="L1407" s="1">
        <v>43585</v>
      </c>
      <c r="M1407">
        <v>4.28</v>
      </c>
      <c r="P1407" s="1">
        <v>43573</v>
      </c>
      <c r="Q1407">
        <v>4.63</v>
      </c>
      <c r="AJ1407" s="1">
        <v>43585</v>
      </c>
      <c r="AL1407">
        <v>9.0500000000000007</v>
      </c>
      <c r="AM1407" s="6">
        <f t="shared" si="186"/>
        <v>100000</v>
      </c>
      <c r="AN1407" s="2">
        <f t="shared" si="187"/>
        <v>0</v>
      </c>
    </row>
    <row r="1408" spans="2:40" x14ac:dyDescent="0.35">
      <c r="B1408" s="1">
        <v>43584</v>
      </c>
      <c r="C1408">
        <v>3370.31</v>
      </c>
      <c r="D1408" s="1">
        <v>43599</v>
      </c>
      <c r="E1408">
        <v>3.9782000000000002</v>
      </c>
      <c r="F1408" s="1">
        <v>43577</v>
      </c>
      <c r="G1408">
        <v>122.919</v>
      </c>
      <c r="H1408" s="4">
        <f t="shared" si="184"/>
        <v>488996.36580000003</v>
      </c>
      <c r="I1408" s="5">
        <v>43584</v>
      </c>
      <c r="J1408" s="4">
        <v>4899</v>
      </c>
      <c r="K1408" s="4">
        <f t="shared" si="185"/>
        <v>48990</v>
      </c>
      <c r="L1408" s="1">
        <v>43584</v>
      </c>
      <c r="M1408">
        <v>4.34</v>
      </c>
      <c r="P1408" s="1">
        <v>43572</v>
      </c>
      <c r="Q1408">
        <v>4.6900000000000004</v>
      </c>
      <c r="AJ1408" s="1">
        <v>43584</v>
      </c>
      <c r="AL1408">
        <v>9.1</v>
      </c>
      <c r="AM1408" s="6">
        <f t="shared" si="186"/>
        <v>100000</v>
      </c>
      <c r="AN1408" s="2">
        <f t="shared" si="187"/>
        <v>0</v>
      </c>
    </row>
    <row r="1409" spans="2:40" x14ac:dyDescent="0.35">
      <c r="B1409" s="1">
        <v>43581</v>
      </c>
      <c r="C1409">
        <v>3369.48</v>
      </c>
      <c r="D1409" s="1">
        <v>43598</v>
      </c>
      <c r="E1409">
        <v>3.9883999999999999</v>
      </c>
      <c r="F1409" s="1">
        <v>43573</v>
      </c>
      <c r="G1409">
        <v>123.111</v>
      </c>
      <c r="H1409" s="4">
        <f t="shared" si="184"/>
        <v>491015.91239999997</v>
      </c>
      <c r="I1409" s="5">
        <v>43581</v>
      </c>
      <c r="J1409" s="4">
        <v>4877.8900000000003</v>
      </c>
      <c r="K1409" s="4">
        <f t="shared" si="185"/>
        <v>48778.9</v>
      </c>
      <c r="L1409" s="1">
        <v>43581</v>
      </c>
      <c r="M1409">
        <v>4.3499999999999996</v>
      </c>
      <c r="P1409" s="1">
        <v>43571</v>
      </c>
      <c r="Q1409">
        <v>4.66</v>
      </c>
      <c r="AJ1409" s="1">
        <v>43581</v>
      </c>
      <c r="AL1409">
        <v>9.08</v>
      </c>
      <c r="AM1409" s="6">
        <f t="shared" si="186"/>
        <v>100000</v>
      </c>
      <c r="AN1409" s="2">
        <f t="shared" si="187"/>
        <v>0</v>
      </c>
    </row>
    <row r="1410" spans="2:40" x14ac:dyDescent="0.35">
      <c r="B1410" s="1">
        <v>43580</v>
      </c>
      <c r="C1410">
        <v>3348.21</v>
      </c>
      <c r="D1410" s="1">
        <v>43595</v>
      </c>
      <c r="E1410">
        <v>3.9571999999999998</v>
      </c>
      <c r="F1410" s="1">
        <v>43572</v>
      </c>
      <c r="G1410">
        <v>122.91200000000001</v>
      </c>
      <c r="H1410" s="4">
        <f t="shared" si="184"/>
        <v>486387.3664</v>
      </c>
      <c r="I1410" s="5">
        <v>43580</v>
      </c>
      <c r="J1410" s="4">
        <v>4906.4399999999996</v>
      </c>
      <c r="K1410" s="4">
        <f t="shared" si="185"/>
        <v>49064.399999999994</v>
      </c>
      <c r="L1410" s="1">
        <v>43580</v>
      </c>
      <c r="M1410">
        <v>4.38</v>
      </c>
      <c r="P1410" s="1">
        <v>43570</v>
      </c>
      <c r="Q1410">
        <v>4.6500000000000004</v>
      </c>
      <c r="AJ1410" s="1">
        <v>43580</v>
      </c>
      <c r="AL1410">
        <v>9.08</v>
      </c>
      <c r="AM1410" s="6">
        <f t="shared" si="186"/>
        <v>100000</v>
      </c>
      <c r="AN1410" s="2">
        <f t="shared" si="187"/>
        <v>0</v>
      </c>
    </row>
    <row r="1411" spans="2:40" x14ac:dyDescent="0.35">
      <c r="B1411" s="1">
        <v>43579</v>
      </c>
      <c r="C1411">
        <v>3353.96</v>
      </c>
      <c r="D1411" s="1">
        <v>43594</v>
      </c>
      <c r="E1411">
        <v>3.9666999999999999</v>
      </c>
      <c r="F1411" s="1">
        <v>43571</v>
      </c>
      <c r="G1411">
        <v>122.86199999999999</v>
      </c>
      <c r="H1411" s="4">
        <f t="shared" si="184"/>
        <v>487356.69539999997</v>
      </c>
      <c r="I1411" s="5">
        <v>43579</v>
      </c>
      <c r="J1411" s="4">
        <v>4957.96</v>
      </c>
      <c r="K1411" s="4">
        <f t="shared" si="185"/>
        <v>49579.6</v>
      </c>
      <c r="L1411" s="1">
        <v>43579</v>
      </c>
      <c r="M1411">
        <v>4.38</v>
      </c>
      <c r="P1411" s="1">
        <v>43566</v>
      </c>
      <c r="Q1411">
        <v>4.63</v>
      </c>
      <c r="AJ1411" s="1">
        <v>43579</v>
      </c>
      <c r="AL1411">
        <v>9.1</v>
      </c>
      <c r="AM1411" s="6">
        <f t="shared" si="186"/>
        <v>100000</v>
      </c>
      <c r="AN1411" s="2">
        <f t="shared" si="187"/>
        <v>0</v>
      </c>
    </row>
    <row r="1412" spans="2:40" x14ac:dyDescent="0.35">
      <c r="B1412" s="1">
        <v>43578</v>
      </c>
      <c r="C1412">
        <v>3366.87</v>
      </c>
      <c r="D1412" s="1">
        <v>43593</v>
      </c>
      <c r="E1412">
        <v>3.9338000000000002</v>
      </c>
      <c r="F1412" s="1">
        <v>43570</v>
      </c>
      <c r="G1412">
        <v>123.196</v>
      </c>
      <c r="H1412" s="4">
        <f t="shared" ref="H1412:H1475" si="188">G1412*E1412*1000</f>
        <v>484628.42479999998</v>
      </c>
      <c r="I1412" s="5">
        <v>43578</v>
      </c>
      <c r="J1412" s="4">
        <v>4869.82</v>
      </c>
      <c r="K1412" s="4">
        <f t="shared" si="185"/>
        <v>48698.2</v>
      </c>
      <c r="L1412" s="1">
        <v>43578</v>
      </c>
      <c r="M1412">
        <v>4.37</v>
      </c>
      <c r="P1412" s="1">
        <v>43565</v>
      </c>
      <c r="Q1412">
        <v>4.6100000000000003</v>
      </c>
      <c r="AJ1412" s="1">
        <v>43578</v>
      </c>
      <c r="AL1412">
        <v>8.9700000000000006</v>
      </c>
      <c r="AM1412" s="6">
        <f t="shared" si="186"/>
        <v>100000</v>
      </c>
      <c r="AN1412" s="2">
        <f t="shared" si="187"/>
        <v>0</v>
      </c>
    </row>
    <row r="1413" spans="2:40" x14ac:dyDescent="0.35">
      <c r="B1413" s="1">
        <v>43577</v>
      </c>
      <c r="C1413">
        <v>3335.87</v>
      </c>
      <c r="D1413" s="1">
        <v>43592</v>
      </c>
      <c r="E1413">
        <v>3.9874000000000001</v>
      </c>
      <c r="F1413" s="1">
        <v>43567</v>
      </c>
      <c r="G1413">
        <v>123.04</v>
      </c>
      <c r="H1413" s="4">
        <f t="shared" si="188"/>
        <v>490609.69600000005</v>
      </c>
      <c r="I1413" s="5">
        <v>43577</v>
      </c>
      <c r="J1413" s="4">
        <v>4889.6899999999996</v>
      </c>
      <c r="K1413" s="4">
        <f t="shared" ref="K1413:K1476" si="189">J1413*10</f>
        <v>48896.899999999994</v>
      </c>
      <c r="L1413" s="1">
        <v>43577</v>
      </c>
      <c r="M1413">
        <v>4.45</v>
      </c>
      <c r="P1413" s="1">
        <v>43564</v>
      </c>
      <c r="Q1413">
        <v>4.62</v>
      </c>
      <c r="AJ1413" s="1">
        <v>43577</v>
      </c>
      <c r="AL1413">
        <v>9.11</v>
      </c>
      <c r="AM1413" s="6">
        <f t="shared" ref="AM1413:AM1476" si="190">$Z$2/(1+AL1413/100)^(AK1413/252)</f>
        <v>100000</v>
      </c>
      <c r="AN1413" s="2">
        <f t="shared" ref="AN1413:AN1476" si="191">LOG(AM1413/AM1414)</f>
        <v>0</v>
      </c>
    </row>
    <row r="1414" spans="2:40" x14ac:dyDescent="0.35">
      <c r="B1414" s="1">
        <v>43573</v>
      </c>
      <c r="C1414">
        <v>3333.88</v>
      </c>
      <c r="D1414" s="1">
        <v>43591</v>
      </c>
      <c r="E1414">
        <v>3.9618000000000002</v>
      </c>
      <c r="F1414" s="1">
        <v>43566</v>
      </c>
      <c r="G1414">
        <v>123.539</v>
      </c>
      <c r="H1414" s="4">
        <f t="shared" si="188"/>
        <v>489436.81020000001</v>
      </c>
      <c r="I1414" s="5">
        <v>43573</v>
      </c>
      <c r="J1414" s="4">
        <v>4872.3100000000004</v>
      </c>
      <c r="K1414" s="4">
        <f t="shared" si="189"/>
        <v>48723.100000000006</v>
      </c>
      <c r="L1414" s="1">
        <v>43573</v>
      </c>
      <c r="M1414">
        <v>4.4400000000000004</v>
      </c>
      <c r="P1414" s="1">
        <v>43563</v>
      </c>
      <c r="Q1414">
        <v>4.57</v>
      </c>
      <c r="AJ1414" s="1">
        <v>43573</v>
      </c>
      <c r="AL1414">
        <v>9.08</v>
      </c>
      <c r="AM1414" s="6">
        <f t="shared" si="190"/>
        <v>100000</v>
      </c>
      <c r="AN1414" s="2">
        <f t="shared" si="191"/>
        <v>0</v>
      </c>
    </row>
    <row r="1415" spans="2:40" x14ac:dyDescent="0.35">
      <c r="B1415" s="1">
        <v>43572</v>
      </c>
      <c r="C1415">
        <v>3323.18</v>
      </c>
      <c r="D1415" s="1">
        <v>43588</v>
      </c>
      <c r="E1415">
        <v>3.9382000000000001</v>
      </c>
      <c r="F1415" s="1">
        <v>43565</v>
      </c>
      <c r="G1415">
        <v>123.899</v>
      </c>
      <c r="H1415" s="4">
        <f t="shared" si="188"/>
        <v>487939.04180000006</v>
      </c>
      <c r="I1415" s="5">
        <v>43572</v>
      </c>
      <c r="J1415" s="4">
        <v>4893.41</v>
      </c>
      <c r="K1415" s="4">
        <f t="shared" si="189"/>
        <v>48934.1</v>
      </c>
      <c r="L1415" s="1">
        <v>43572</v>
      </c>
      <c r="M1415">
        <v>4.5</v>
      </c>
      <c r="P1415" s="1">
        <v>43560</v>
      </c>
      <c r="Q1415">
        <v>4.5</v>
      </c>
      <c r="AJ1415" s="1">
        <v>43572</v>
      </c>
      <c r="AL1415">
        <v>9.14</v>
      </c>
      <c r="AM1415" s="6">
        <f t="shared" si="190"/>
        <v>100000</v>
      </c>
      <c r="AN1415" s="2">
        <f t="shared" si="191"/>
        <v>0</v>
      </c>
    </row>
    <row r="1416" spans="2:40" x14ac:dyDescent="0.35">
      <c r="B1416" s="1">
        <v>43571</v>
      </c>
      <c r="C1416">
        <v>3334.12</v>
      </c>
      <c r="D1416" s="1">
        <v>43587</v>
      </c>
      <c r="E1416">
        <v>3.9643999999999999</v>
      </c>
      <c r="F1416" s="1">
        <v>43564</v>
      </c>
      <c r="G1416">
        <v>123.676</v>
      </c>
      <c r="H1416" s="4">
        <f t="shared" si="188"/>
        <v>490301.13440000004</v>
      </c>
      <c r="I1416" s="5">
        <v>43571</v>
      </c>
      <c r="J1416" s="4">
        <v>4849.96</v>
      </c>
      <c r="K1416" s="4">
        <f t="shared" si="189"/>
        <v>48499.6</v>
      </c>
      <c r="L1416" s="1">
        <v>43571</v>
      </c>
      <c r="M1416">
        <v>4.4400000000000004</v>
      </c>
      <c r="P1416" s="1">
        <v>43559</v>
      </c>
      <c r="Q1416">
        <v>4.51</v>
      </c>
      <c r="AJ1416" s="1">
        <v>43571</v>
      </c>
      <c r="AL1416">
        <v>9.1</v>
      </c>
      <c r="AM1416" s="6">
        <f t="shared" si="190"/>
        <v>100000</v>
      </c>
      <c r="AN1416" s="2">
        <f t="shared" si="191"/>
        <v>0</v>
      </c>
    </row>
    <row r="1417" spans="2:40" x14ac:dyDescent="0.35">
      <c r="B1417" s="1">
        <v>43570</v>
      </c>
      <c r="C1417">
        <v>3334.47</v>
      </c>
      <c r="D1417" s="1">
        <v>43585</v>
      </c>
      <c r="E1417">
        <v>3.9447000000000001</v>
      </c>
      <c r="F1417" s="1">
        <v>43563</v>
      </c>
      <c r="G1417">
        <v>123.432</v>
      </c>
      <c r="H1417" s="4">
        <f t="shared" si="188"/>
        <v>486902.21039999998</v>
      </c>
      <c r="I1417" s="5">
        <v>43570</v>
      </c>
      <c r="J1417" s="4">
        <v>4811.4799999999996</v>
      </c>
      <c r="K1417" s="4">
        <f t="shared" si="189"/>
        <v>48114.799999999996</v>
      </c>
      <c r="L1417" s="1">
        <v>43570</v>
      </c>
      <c r="M1417">
        <v>4.49</v>
      </c>
      <c r="P1417" s="1">
        <v>43558</v>
      </c>
      <c r="Q1417">
        <v>4.57</v>
      </c>
      <c r="AJ1417" s="1">
        <v>43570</v>
      </c>
      <c r="AL1417">
        <v>9.0399999999999991</v>
      </c>
      <c r="AM1417" s="6">
        <f t="shared" si="190"/>
        <v>100000</v>
      </c>
      <c r="AN1417" s="2">
        <f t="shared" si="191"/>
        <v>0</v>
      </c>
    </row>
    <row r="1418" spans="2:40" x14ac:dyDescent="0.35">
      <c r="B1418" s="1">
        <v>43567</v>
      </c>
      <c r="C1418">
        <v>3333.84</v>
      </c>
      <c r="D1418" s="1">
        <v>43584</v>
      </c>
      <c r="E1418">
        <v>3.9358</v>
      </c>
      <c r="F1418" s="1">
        <v>43560</v>
      </c>
      <c r="G1418">
        <v>123.6</v>
      </c>
      <c r="H1418" s="4">
        <f t="shared" si="188"/>
        <v>486464.88</v>
      </c>
      <c r="I1418" s="5">
        <v>43567</v>
      </c>
      <c r="J1418" s="4">
        <v>4823.8900000000003</v>
      </c>
      <c r="K1418" s="4">
        <f t="shared" si="189"/>
        <v>48238.9</v>
      </c>
      <c r="L1418" s="1">
        <v>43567</v>
      </c>
      <c r="M1418">
        <v>4.47</v>
      </c>
      <c r="P1418" s="1">
        <v>43553</v>
      </c>
      <c r="Q1418">
        <v>4.5199999999999996</v>
      </c>
      <c r="AJ1418" s="1">
        <v>43567</v>
      </c>
      <c r="AL1418">
        <v>9.11</v>
      </c>
      <c r="AM1418" s="6">
        <f t="shared" si="190"/>
        <v>100000</v>
      </c>
      <c r="AN1418" s="2">
        <f t="shared" si="191"/>
        <v>0</v>
      </c>
    </row>
    <row r="1419" spans="2:40" x14ac:dyDescent="0.35">
      <c r="B1419" s="1">
        <v>43566</v>
      </c>
      <c r="C1419">
        <v>3311.51</v>
      </c>
      <c r="D1419" s="1">
        <v>43581</v>
      </c>
      <c r="E1419">
        <v>3.9346999999999999</v>
      </c>
      <c r="F1419" s="1">
        <v>43559</v>
      </c>
      <c r="G1419">
        <v>123.523</v>
      </c>
      <c r="H1419" s="4">
        <f t="shared" si="188"/>
        <v>486025.94809999998</v>
      </c>
      <c r="I1419" s="5">
        <v>43566</v>
      </c>
      <c r="J1419" s="4">
        <v>4795.34</v>
      </c>
      <c r="K1419" s="4">
        <f t="shared" si="189"/>
        <v>47953.4</v>
      </c>
      <c r="L1419" s="1">
        <v>43566</v>
      </c>
      <c r="M1419">
        <v>4.42</v>
      </c>
      <c r="P1419" s="1">
        <v>43552</v>
      </c>
      <c r="Q1419">
        <v>4.54</v>
      </c>
      <c r="AJ1419" s="1">
        <v>43566</v>
      </c>
      <c r="AL1419">
        <v>9.0399999999999991</v>
      </c>
      <c r="AM1419" s="6">
        <f t="shared" si="190"/>
        <v>100000</v>
      </c>
      <c r="AN1419" s="2">
        <f t="shared" si="191"/>
        <v>0</v>
      </c>
    </row>
    <row r="1420" spans="2:40" x14ac:dyDescent="0.35">
      <c r="B1420" s="1">
        <v>43565</v>
      </c>
      <c r="C1420">
        <v>3317.88</v>
      </c>
      <c r="D1420" s="1">
        <v>43580</v>
      </c>
      <c r="E1420">
        <v>3.9719000000000002</v>
      </c>
      <c r="F1420" s="1">
        <v>43558</v>
      </c>
      <c r="G1420">
        <v>123.509</v>
      </c>
      <c r="H1420" s="4">
        <f t="shared" si="188"/>
        <v>490565.39710000006</v>
      </c>
      <c r="I1420" s="5">
        <v>43565</v>
      </c>
      <c r="J1420" s="4">
        <v>4755.62</v>
      </c>
      <c r="K1420" s="4">
        <f t="shared" si="189"/>
        <v>47556.2</v>
      </c>
      <c r="L1420" s="1">
        <v>43565</v>
      </c>
      <c r="M1420">
        <v>4.37</v>
      </c>
      <c r="P1420" s="1">
        <v>43551</v>
      </c>
      <c r="Q1420">
        <v>4.5999999999999996</v>
      </c>
      <c r="AJ1420" s="1">
        <v>43565</v>
      </c>
      <c r="AL1420">
        <v>9.0299999999999994</v>
      </c>
      <c r="AM1420" s="6">
        <f t="shared" si="190"/>
        <v>100000</v>
      </c>
      <c r="AN1420" s="2">
        <f t="shared" si="191"/>
        <v>0</v>
      </c>
    </row>
    <row r="1421" spans="2:40" x14ac:dyDescent="0.35">
      <c r="B1421" s="1">
        <v>43564</v>
      </c>
      <c r="C1421">
        <v>3300.22</v>
      </c>
      <c r="D1421" s="1">
        <v>43579</v>
      </c>
      <c r="E1421">
        <v>3.9624000000000001</v>
      </c>
      <c r="F1421" s="1">
        <v>43557</v>
      </c>
      <c r="G1421">
        <v>123.85299999999999</v>
      </c>
      <c r="H1421" s="4">
        <f t="shared" si="188"/>
        <v>490755.12719999999</v>
      </c>
      <c r="I1421" s="5">
        <v>43564</v>
      </c>
      <c r="J1421" s="4">
        <v>4786.6499999999996</v>
      </c>
      <c r="K1421" s="4">
        <f t="shared" si="189"/>
        <v>47866.5</v>
      </c>
      <c r="L1421" s="1">
        <v>43564</v>
      </c>
      <c r="M1421">
        <v>4.38</v>
      </c>
      <c r="P1421" s="1">
        <v>43550</v>
      </c>
      <c r="Q1421">
        <v>4.5</v>
      </c>
      <c r="AJ1421" s="1">
        <v>43564</v>
      </c>
      <c r="AL1421">
        <v>9.09</v>
      </c>
      <c r="AM1421" s="6">
        <f t="shared" si="190"/>
        <v>100000</v>
      </c>
      <c r="AN1421" s="2">
        <f t="shared" si="191"/>
        <v>0</v>
      </c>
    </row>
    <row r="1422" spans="2:40" x14ac:dyDescent="0.35">
      <c r="B1422" s="1">
        <v>43563</v>
      </c>
      <c r="C1422">
        <v>3318.96</v>
      </c>
      <c r="D1422" s="1">
        <v>43578</v>
      </c>
      <c r="E1422">
        <v>3.9430000000000001</v>
      </c>
      <c r="F1422" s="1">
        <v>43556</v>
      </c>
      <c r="G1422">
        <v>123.61799999999999</v>
      </c>
      <c r="H1422" s="4">
        <f t="shared" si="188"/>
        <v>487425.77399999998</v>
      </c>
      <c r="I1422" s="5">
        <v>43563</v>
      </c>
      <c r="J1422" s="4">
        <v>4786.03</v>
      </c>
      <c r="K1422" s="4">
        <f t="shared" si="189"/>
        <v>47860.299999999996</v>
      </c>
      <c r="L1422" s="1">
        <v>43563</v>
      </c>
      <c r="M1422">
        <v>4.32</v>
      </c>
      <c r="P1422" s="1">
        <v>43549</v>
      </c>
      <c r="Q1422">
        <v>4.45</v>
      </c>
      <c r="AJ1422" s="1">
        <v>43563</v>
      </c>
      <c r="AL1422">
        <v>9.07</v>
      </c>
      <c r="AM1422" s="6">
        <f t="shared" si="190"/>
        <v>100000</v>
      </c>
      <c r="AN1422" s="2">
        <f t="shared" si="191"/>
        <v>0</v>
      </c>
    </row>
    <row r="1423" spans="2:40" x14ac:dyDescent="0.35">
      <c r="B1423" s="1">
        <v>43560</v>
      </c>
      <c r="C1423">
        <v>3316.43</v>
      </c>
      <c r="D1423" s="1">
        <v>43577</v>
      </c>
      <c r="E1423">
        <v>3.9224000000000001</v>
      </c>
      <c r="F1423" s="1">
        <v>43553</v>
      </c>
      <c r="G1423">
        <v>124.274</v>
      </c>
      <c r="H1423" s="4">
        <f t="shared" si="188"/>
        <v>487452.33760000003</v>
      </c>
      <c r="I1423" s="5">
        <v>43560</v>
      </c>
      <c r="J1423" s="4">
        <v>4815.21</v>
      </c>
      <c r="K1423" s="4">
        <f t="shared" si="189"/>
        <v>48152.1</v>
      </c>
      <c r="L1423" s="1">
        <v>43560</v>
      </c>
      <c r="M1423">
        <v>4.3</v>
      </c>
      <c r="P1423" s="1">
        <v>43546</v>
      </c>
      <c r="Q1423">
        <v>4.46</v>
      </c>
      <c r="AJ1423" s="1">
        <v>43560</v>
      </c>
      <c r="AL1423">
        <v>9.02</v>
      </c>
      <c r="AM1423" s="6">
        <f t="shared" si="190"/>
        <v>100000</v>
      </c>
      <c r="AN1423" s="2">
        <f t="shared" si="191"/>
        <v>0</v>
      </c>
    </row>
    <row r="1424" spans="2:40" x14ac:dyDescent="0.35">
      <c r="B1424" s="1">
        <v>43559</v>
      </c>
      <c r="C1424">
        <v>3302.35</v>
      </c>
      <c r="D1424" s="1">
        <v>43573</v>
      </c>
      <c r="E1424">
        <v>3.9363999999999999</v>
      </c>
      <c r="F1424" s="1">
        <v>43552</v>
      </c>
      <c r="G1424">
        <v>124.398</v>
      </c>
      <c r="H1424" s="4">
        <f t="shared" si="188"/>
        <v>489680.28719999996</v>
      </c>
      <c r="I1424" s="5">
        <v>43559</v>
      </c>
      <c r="J1424" s="4">
        <v>4792.24</v>
      </c>
      <c r="K1424" s="4">
        <f t="shared" si="189"/>
        <v>47922.399999999994</v>
      </c>
      <c r="L1424" s="1">
        <v>43559</v>
      </c>
      <c r="M1424">
        <v>4.29</v>
      </c>
      <c r="P1424" s="1">
        <v>43545</v>
      </c>
      <c r="Q1424">
        <v>4.3099999999999996</v>
      </c>
      <c r="AJ1424" s="1">
        <v>43559</v>
      </c>
      <c r="AL1424">
        <v>9.01</v>
      </c>
      <c r="AM1424" s="6">
        <f t="shared" si="190"/>
        <v>100000</v>
      </c>
      <c r="AN1424" s="2">
        <f t="shared" si="191"/>
        <v>0</v>
      </c>
    </row>
    <row r="1425" spans="2:40" x14ac:dyDescent="0.35">
      <c r="B1425" s="1">
        <v>43558</v>
      </c>
      <c r="C1425">
        <v>3293.12</v>
      </c>
      <c r="D1425" s="1">
        <v>43572</v>
      </c>
      <c r="E1425">
        <v>3.9218999999999999</v>
      </c>
      <c r="F1425" s="1">
        <v>43551</v>
      </c>
      <c r="G1425">
        <v>124.554</v>
      </c>
      <c r="H1425" s="4">
        <f t="shared" si="188"/>
        <v>488488.33259999997</v>
      </c>
      <c r="I1425" s="5">
        <v>43558</v>
      </c>
      <c r="J1425" s="4">
        <v>4812.1000000000004</v>
      </c>
      <c r="K1425" s="4">
        <f t="shared" si="189"/>
        <v>48121</v>
      </c>
      <c r="L1425" s="1">
        <v>43558</v>
      </c>
      <c r="M1425">
        <v>4.32</v>
      </c>
      <c r="P1425" s="1">
        <v>43544</v>
      </c>
      <c r="Q1425">
        <v>4.3</v>
      </c>
      <c r="AJ1425" s="1">
        <v>43558</v>
      </c>
      <c r="AL1425">
        <v>9.11</v>
      </c>
      <c r="AM1425" s="6">
        <f t="shared" si="190"/>
        <v>100000</v>
      </c>
      <c r="AN1425" s="2">
        <f t="shared" si="191"/>
        <v>0</v>
      </c>
    </row>
    <row r="1426" spans="2:40" x14ac:dyDescent="0.35">
      <c r="B1426" s="1">
        <v>43557</v>
      </c>
      <c r="C1426">
        <v>3286.03</v>
      </c>
      <c r="D1426" s="1">
        <v>43571</v>
      </c>
      <c r="E1426">
        <v>3.8906999999999998</v>
      </c>
      <c r="F1426" s="1">
        <v>43550</v>
      </c>
      <c r="G1426">
        <v>124.304</v>
      </c>
      <c r="H1426" s="4">
        <f t="shared" si="188"/>
        <v>483629.57280000002</v>
      </c>
      <c r="I1426" s="5">
        <v>43557</v>
      </c>
      <c r="J1426" s="4">
        <v>4792.24</v>
      </c>
      <c r="K1426" s="4">
        <f t="shared" si="189"/>
        <v>47922.399999999994</v>
      </c>
      <c r="L1426" s="1">
        <v>43557</v>
      </c>
      <c r="M1426">
        <v>4.29</v>
      </c>
      <c r="P1426" s="1">
        <v>43543</v>
      </c>
      <c r="Q1426">
        <v>4.2699999999999996</v>
      </c>
      <c r="AJ1426" s="1">
        <v>43557</v>
      </c>
      <c r="AL1426">
        <v>8.99</v>
      </c>
      <c r="AM1426" s="6">
        <f t="shared" si="190"/>
        <v>100000</v>
      </c>
      <c r="AN1426" s="2">
        <f t="shared" si="191"/>
        <v>0</v>
      </c>
    </row>
    <row r="1427" spans="2:40" x14ac:dyDescent="0.35">
      <c r="B1427" s="1">
        <v>43556</v>
      </c>
      <c r="C1427">
        <v>3288.89</v>
      </c>
      <c r="D1427" s="1">
        <v>43570</v>
      </c>
      <c r="E1427">
        <v>3.8723999999999998</v>
      </c>
      <c r="F1427" s="1">
        <v>43549</v>
      </c>
      <c r="G1427">
        <v>124.27200000000001</v>
      </c>
      <c r="H1427" s="4">
        <f t="shared" si="188"/>
        <v>481230.89279999997</v>
      </c>
      <c r="I1427" s="5">
        <v>43556</v>
      </c>
      <c r="J1427" s="4">
        <v>4791</v>
      </c>
      <c r="K1427" s="4">
        <f t="shared" si="189"/>
        <v>47910</v>
      </c>
      <c r="L1427" s="1">
        <v>43556</v>
      </c>
      <c r="M1427">
        <v>4.2300000000000004</v>
      </c>
      <c r="P1427" s="1">
        <v>43538</v>
      </c>
      <c r="Q1427">
        <v>4.3600000000000003</v>
      </c>
      <c r="AJ1427" s="1">
        <v>43556</v>
      </c>
      <c r="AL1427">
        <v>8.94</v>
      </c>
      <c r="AM1427" s="6">
        <f t="shared" si="190"/>
        <v>100000</v>
      </c>
      <c r="AN1427" s="2">
        <f t="shared" si="191"/>
        <v>0</v>
      </c>
    </row>
    <row r="1428" spans="2:40" x14ac:dyDescent="0.35">
      <c r="B1428" s="1">
        <v>43553</v>
      </c>
      <c r="C1428">
        <v>3250.94</v>
      </c>
      <c r="D1428" s="1">
        <v>43567</v>
      </c>
      <c r="E1428">
        <v>3.8679000000000001</v>
      </c>
      <c r="F1428" s="1">
        <v>43546</v>
      </c>
      <c r="G1428">
        <v>124.18</v>
      </c>
      <c r="H1428" s="4">
        <f t="shared" si="188"/>
        <v>480315.82200000004</v>
      </c>
      <c r="I1428" s="5">
        <v>43553</v>
      </c>
      <c r="J1428" s="4">
        <v>4878.51</v>
      </c>
      <c r="K1428" s="4">
        <f t="shared" si="189"/>
        <v>48785.100000000006</v>
      </c>
      <c r="L1428" s="1">
        <v>43553</v>
      </c>
      <c r="M1428">
        <v>4.3499999999999996</v>
      </c>
      <c r="P1428" s="1">
        <v>43537</v>
      </c>
      <c r="Q1428">
        <v>4.3499999999999996</v>
      </c>
      <c r="AJ1428" s="1">
        <v>43553</v>
      </c>
      <c r="AL1428">
        <v>9.06</v>
      </c>
      <c r="AM1428" s="6">
        <f t="shared" si="190"/>
        <v>100000</v>
      </c>
      <c r="AN1428" s="2">
        <f t="shared" si="191"/>
        <v>0</v>
      </c>
    </row>
    <row r="1429" spans="2:40" x14ac:dyDescent="0.35">
      <c r="B1429" s="1">
        <v>43552</v>
      </c>
      <c r="C1429">
        <v>3236.31</v>
      </c>
      <c r="D1429" s="1">
        <v>43566</v>
      </c>
      <c r="E1429">
        <v>3.8393000000000002</v>
      </c>
      <c r="F1429" s="1">
        <v>43545</v>
      </c>
      <c r="G1429">
        <v>123.35</v>
      </c>
      <c r="H1429" s="4">
        <f t="shared" si="188"/>
        <v>473577.65499999997</v>
      </c>
      <c r="I1429" s="5">
        <v>43552</v>
      </c>
      <c r="J1429" s="4">
        <v>4851.2</v>
      </c>
      <c r="K1429" s="4">
        <f t="shared" si="189"/>
        <v>48512</v>
      </c>
      <c r="L1429" s="1">
        <v>43552</v>
      </c>
      <c r="M1429">
        <v>4.32</v>
      </c>
      <c r="P1429" s="1">
        <v>43536</v>
      </c>
      <c r="Q1429">
        <v>4.42</v>
      </c>
      <c r="AJ1429" s="1">
        <v>43552</v>
      </c>
      <c r="AL1429">
        <v>9.0399999999999991</v>
      </c>
      <c r="AM1429" s="6">
        <f t="shared" si="190"/>
        <v>100000</v>
      </c>
      <c r="AN1429" s="2">
        <f t="shared" si="191"/>
        <v>0</v>
      </c>
    </row>
    <row r="1430" spans="2:40" x14ac:dyDescent="0.35">
      <c r="B1430" s="1">
        <v>43551</v>
      </c>
      <c r="C1430">
        <v>3216.34</v>
      </c>
      <c r="D1430" s="1">
        <v>43565</v>
      </c>
      <c r="E1430">
        <v>3.8338999999999999</v>
      </c>
      <c r="F1430" s="1">
        <v>43544</v>
      </c>
      <c r="G1430">
        <v>123.494</v>
      </c>
      <c r="H1430" s="4">
        <f t="shared" si="188"/>
        <v>473463.64659999998</v>
      </c>
      <c r="I1430" s="5">
        <v>43551</v>
      </c>
      <c r="J1430" s="4">
        <v>4966.24</v>
      </c>
      <c r="K1430" s="4">
        <f t="shared" si="189"/>
        <v>49662.399999999994</v>
      </c>
      <c r="L1430" s="1">
        <v>43551</v>
      </c>
      <c r="M1430">
        <v>4.49</v>
      </c>
      <c r="P1430" s="1">
        <v>43535</v>
      </c>
      <c r="Q1430">
        <v>4.37</v>
      </c>
      <c r="AJ1430" s="1">
        <v>43551</v>
      </c>
      <c r="AL1430">
        <v>9.49</v>
      </c>
      <c r="AM1430" s="6">
        <f t="shared" si="190"/>
        <v>100000</v>
      </c>
      <c r="AN1430" s="2">
        <f t="shared" si="191"/>
        <v>0</v>
      </c>
    </row>
    <row r="1431" spans="2:40" x14ac:dyDescent="0.35">
      <c r="B1431" s="1">
        <v>43550</v>
      </c>
      <c r="C1431">
        <v>3233.3</v>
      </c>
      <c r="D1431" s="1">
        <v>43564</v>
      </c>
      <c r="E1431">
        <v>3.8557000000000001</v>
      </c>
      <c r="F1431" s="1">
        <v>43543</v>
      </c>
      <c r="G1431">
        <v>122.726</v>
      </c>
      <c r="H1431" s="4">
        <f t="shared" si="188"/>
        <v>473194.63819999999</v>
      </c>
      <c r="I1431" s="5">
        <v>43550</v>
      </c>
      <c r="J1431" s="4">
        <v>4821.9799999999996</v>
      </c>
      <c r="K1431" s="4">
        <f t="shared" si="189"/>
        <v>48219.799999999996</v>
      </c>
      <c r="L1431" s="1">
        <v>43550</v>
      </c>
      <c r="M1431">
        <v>4.3499999999999996</v>
      </c>
      <c r="P1431" s="1">
        <v>43532</v>
      </c>
      <c r="Q1431">
        <v>4.4800000000000004</v>
      </c>
      <c r="AJ1431" s="1">
        <v>43550</v>
      </c>
      <c r="AL1431">
        <v>9.17</v>
      </c>
      <c r="AM1431" s="6">
        <f t="shared" si="190"/>
        <v>100000</v>
      </c>
      <c r="AN1431" s="2">
        <f t="shared" si="191"/>
        <v>0</v>
      </c>
    </row>
    <row r="1432" spans="2:40" x14ac:dyDescent="0.35">
      <c r="B1432" s="1">
        <v>43549</v>
      </c>
      <c r="C1432">
        <v>3217.59</v>
      </c>
      <c r="D1432" s="1">
        <v>43563</v>
      </c>
      <c r="E1432">
        <v>3.8652000000000002</v>
      </c>
      <c r="F1432" s="1">
        <v>43542</v>
      </c>
      <c r="G1432">
        <v>122.85299999999999</v>
      </c>
      <c r="H1432" s="4">
        <f t="shared" si="188"/>
        <v>474851.41560000001</v>
      </c>
      <c r="I1432" s="5">
        <v>43549</v>
      </c>
      <c r="J1432" s="4">
        <v>4789.03</v>
      </c>
      <c r="K1432" s="4">
        <f t="shared" si="189"/>
        <v>47890.299999999996</v>
      </c>
      <c r="L1432" s="1">
        <v>43549</v>
      </c>
      <c r="M1432">
        <v>4.26</v>
      </c>
      <c r="P1432" s="1">
        <v>43531</v>
      </c>
      <c r="Q1432">
        <v>4.51</v>
      </c>
      <c r="AJ1432" s="1">
        <v>43549</v>
      </c>
      <c r="AL1432">
        <v>9.1</v>
      </c>
      <c r="AM1432" s="6">
        <f t="shared" si="190"/>
        <v>100000</v>
      </c>
      <c r="AN1432" s="2">
        <f t="shared" si="191"/>
        <v>0</v>
      </c>
    </row>
    <row r="1433" spans="2:40" x14ac:dyDescent="0.35">
      <c r="B1433" s="1">
        <v>43546</v>
      </c>
      <c r="C1433">
        <v>3215.47</v>
      </c>
      <c r="D1433" s="1">
        <v>43560</v>
      </c>
      <c r="E1433">
        <v>3.8616000000000001</v>
      </c>
      <c r="F1433" s="1">
        <v>43539</v>
      </c>
      <c r="G1433">
        <v>122.944</v>
      </c>
      <c r="H1433" s="4">
        <f t="shared" si="188"/>
        <v>474760.55040000001</v>
      </c>
      <c r="I1433" s="5">
        <v>43546</v>
      </c>
      <c r="J1433" s="4">
        <v>4859.91</v>
      </c>
      <c r="K1433" s="4">
        <f t="shared" si="189"/>
        <v>48599.1</v>
      </c>
      <c r="L1433" s="1">
        <v>43546</v>
      </c>
      <c r="M1433">
        <v>4.29</v>
      </c>
      <c r="P1433" s="1">
        <v>43530</v>
      </c>
      <c r="Q1433">
        <v>4.49</v>
      </c>
      <c r="AJ1433" s="1">
        <v>43546</v>
      </c>
      <c r="AL1433">
        <v>9.1999999999999993</v>
      </c>
      <c r="AM1433" s="6">
        <f t="shared" si="190"/>
        <v>100000</v>
      </c>
      <c r="AN1433" s="2">
        <f t="shared" si="191"/>
        <v>0</v>
      </c>
    </row>
    <row r="1434" spans="2:40" x14ac:dyDescent="0.35">
      <c r="B1434" s="1">
        <v>43545</v>
      </c>
      <c r="C1434">
        <v>3278.96</v>
      </c>
      <c r="D1434" s="1">
        <v>43559</v>
      </c>
      <c r="E1434">
        <v>3.8706999999999998</v>
      </c>
      <c r="F1434" s="1">
        <v>43538</v>
      </c>
      <c r="G1434">
        <v>122.727</v>
      </c>
      <c r="H1434" s="4">
        <f t="shared" si="188"/>
        <v>475039.39889999997</v>
      </c>
      <c r="I1434" s="5">
        <v>43545</v>
      </c>
      <c r="J1434" s="4">
        <v>4719.38</v>
      </c>
      <c r="K1434" s="4">
        <f t="shared" si="189"/>
        <v>47193.8</v>
      </c>
      <c r="L1434" s="1">
        <v>43545</v>
      </c>
      <c r="M1434">
        <v>4.1100000000000003</v>
      </c>
      <c r="P1434" s="1">
        <v>43525</v>
      </c>
      <c r="Q1434">
        <v>4.5</v>
      </c>
      <c r="AJ1434" s="1">
        <v>43545</v>
      </c>
      <c r="AL1434">
        <v>8.86</v>
      </c>
      <c r="AM1434" s="6">
        <f t="shared" si="190"/>
        <v>100000</v>
      </c>
      <c r="AN1434" s="2">
        <f t="shared" si="191"/>
        <v>0</v>
      </c>
    </row>
    <row r="1435" spans="2:40" x14ac:dyDescent="0.35">
      <c r="B1435" s="1">
        <v>43544</v>
      </c>
      <c r="C1435">
        <v>3235.7</v>
      </c>
      <c r="D1435" s="1">
        <v>43558</v>
      </c>
      <c r="E1435">
        <v>3.843</v>
      </c>
      <c r="F1435" s="1">
        <v>43537</v>
      </c>
      <c r="G1435">
        <v>122.883</v>
      </c>
      <c r="H1435" s="4">
        <f t="shared" si="188"/>
        <v>472239.36899999995</v>
      </c>
      <c r="I1435" s="5">
        <v>43544</v>
      </c>
      <c r="J1435" s="4">
        <v>4697</v>
      </c>
      <c r="K1435" s="4">
        <f t="shared" si="189"/>
        <v>46970</v>
      </c>
      <c r="L1435" s="1">
        <v>43544</v>
      </c>
      <c r="M1435">
        <v>4.05</v>
      </c>
      <c r="P1435" s="1">
        <v>43524</v>
      </c>
      <c r="Q1435">
        <v>4.4800000000000004</v>
      </c>
      <c r="AJ1435" s="1">
        <v>43544</v>
      </c>
      <c r="AL1435">
        <v>8.7899999999999991</v>
      </c>
      <c r="AM1435" s="6">
        <f t="shared" si="190"/>
        <v>100000</v>
      </c>
      <c r="AN1435" s="2">
        <f t="shared" si="191"/>
        <v>0</v>
      </c>
    </row>
    <row r="1436" spans="2:40" x14ac:dyDescent="0.35">
      <c r="B1436" s="1">
        <v>43543</v>
      </c>
      <c r="C1436">
        <v>3247.98</v>
      </c>
      <c r="D1436" s="1">
        <v>43557</v>
      </c>
      <c r="E1436">
        <v>3.8654999999999999</v>
      </c>
      <c r="F1436" s="1">
        <v>43536</v>
      </c>
      <c r="G1436">
        <v>122.93</v>
      </c>
      <c r="H1436" s="4">
        <f t="shared" si="188"/>
        <v>475185.91500000004</v>
      </c>
      <c r="I1436" s="5">
        <v>43543</v>
      </c>
      <c r="J1436" s="4">
        <v>4715.03</v>
      </c>
      <c r="K1436" s="4">
        <f t="shared" si="189"/>
        <v>47150.299999999996</v>
      </c>
      <c r="L1436" s="1">
        <v>43543</v>
      </c>
      <c r="M1436">
        <v>4.0999999999999996</v>
      </c>
      <c r="P1436" s="1">
        <v>43523</v>
      </c>
      <c r="Q1436">
        <v>4.5</v>
      </c>
      <c r="AJ1436" s="1">
        <v>43543</v>
      </c>
      <c r="AL1436">
        <v>8.86</v>
      </c>
      <c r="AM1436" s="6">
        <f t="shared" si="190"/>
        <v>100000</v>
      </c>
      <c r="AN1436" s="2">
        <f t="shared" si="191"/>
        <v>0</v>
      </c>
    </row>
    <row r="1437" spans="2:40" x14ac:dyDescent="0.35">
      <c r="B1437" s="1">
        <v>43542</v>
      </c>
      <c r="C1437">
        <v>3255.41</v>
      </c>
      <c r="D1437" s="1">
        <v>43556</v>
      </c>
      <c r="E1437">
        <v>3.8675999999999999</v>
      </c>
      <c r="F1437" s="1">
        <v>43535</v>
      </c>
      <c r="G1437">
        <v>122.616</v>
      </c>
      <c r="H1437" s="4">
        <f t="shared" si="188"/>
        <v>474229.64159999997</v>
      </c>
      <c r="I1437" s="5">
        <v>43542</v>
      </c>
      <c r="J1437" s="4">
        <v>4717.5200000000004</v>
      </c>
      <c r="K1437" s="4">
        <f t="shared" si="189"/>
        <v>47175.200000000004</v>
      </c>
      <c r="L1437" s="1">
        <v>43542</v>
      </c>
      <c r="M1437">
        <v>4.1100000000000003</v>
      </c>
      <c r="P1437" s="1">
        <v>43522</v>
      </c>
      <c r="Q1437">
        <v>4.5</v>
      </c>
      <c r="AJ1437" s="1">
        <v>43542</v>
      </c>
      <c r="AL1437">
        <v>8.8699999999999992</v>
      </c>
      <c r="AM1437" s="6">
        <f t="shared" si="190"/>
        <v>100000</v>
      </c>
      <c r="AN1437" s="2">
        <f t="shared" si="191"/>
        <v>0</v>
      </c>
    </row>
    <row r="1438" spans="2:40" x14ac:dyDescent="0.35">
      <c r="B1438" s="1">
        <v>43539</v>
      </c>
      <c r="C1438">
        <v>3239.89</v>
      </c>
      <c r="D1438" s="1">
        <v>43553</v>
      </c>
      <c r="E1438">
        <v>3.8961000000000001</v>
      </c>
      <c r="F1438" s="1">
        <v>43532</v>
      </c>
      <c r="G1438">
        <v>122.794</v>
      </c>
      <c r="H1438" s="4">
        <f t="shared" si="188"/>
        <v>478417.7034</v>
      </c>
      <c r="I1438" s="5">
        <v>43539</v>
      </c>
      <c r="J1438" s="4">
        <v>4745.5</v>
      </c>
      <c r="K1438" s="4">
        <f t="shared" si="189"/>
        <v>47455</v>
      </c>
      <c r="L1438" s="1">
        <v>43539</v>
      </c>
      <c r="M1438">
        <v>4.2</v>
      </c>
      <c r="P1438" s="1">
        <v>43521</v>
      </c>
      <c r="Q1438">
        <v>4.4800000000000004</v>
      </c>
      <c r="AJ1438" s="1">
        <v>43539</v>
      </c>
      <c r="AL1438">
        <v>8.91</v>
      </c>
      <c r="AM1438" s="6">
        <f t="shared" si="190"/>
        <v>100000</v>
      </c>
      <c r="AN1438" s="2">
        <f t="shared" si="191"/>
        <v>0</v>
      </c>
    </row>
    <row r="1439" spans="2:40" x14ac:dyDescent="0.35">
      <c r="B1439" s="1">
        <v>43538</v>
      </c>
      <c r="C1439">
        <v>3218.3</v>
      </c>
      <c r="D1439" s="1">
        <v>43552</v>
      </c>
      <c r="E1439">
        <v>3.9676</v>
      </c>
      <c r="F1439" s="1">
        <v>43531</v>
      </c>
      <c r="G1439">
        <v>122.687</v>
      </c>
      <c r="H1439" s="4">
        <f t="shared" si="188"/>
        <v>486772.9412</v>
      </c>
      <c r="I1439" s="5">
        <v>43538</v>
      </c>
      <c r="J1439" s="4">
        <v>4784.05</v>
      </c>
      <c r="K1439" s="4">
        <f t="shared" si="189"/>
        <v>47840.5</v>
      </c>
      <c r="L1439" s="1">
        <v>43538</v>
      </c>
      <c r="M1439">
        <v>4.16</v>
      </c>
      <c r="P1439" s="1">
        <v>43518</v>
      </c>
      <c r="Q1439">
        <v>4.49</v>
      </c>
      <c r="AJ1439" s="1">
        <v>43538</v>
      </c>
      <c r="AL1439">
        <v>8.92</v>
      </c>
      <c r="AM1439" s="6">
        <f t="shared" si="190"/>
        <v>100000</v>
      </c>
      <c r="AN1439" s="2">
        <f t="shared" si="191"/>
        <v>0</v>
      </c>
    </row>
    <row r="1440" spans="2:40" x14ac:dyDescent="0.35">
      <c r="B1440" s="1">
        <v>43537</v>
      </c>
      <c r="C1440">
        <v>3233.37</v>
      </c>
      <c r="D1440" s="1">
        <v>43551</v>
      </c>
      <c r="E1440">
        <v>3.9382999999999999</v>
      </c>
      <c r="F1440" s="1">
        <v>43530</v>
      </c>
      <c r="G1440">
        <v>122.169</v>
      </c>
      <c r="H1440" s="4">
        <f t="shared" si="188"/>
        <v>481138.1727</v>
      </c>
      <c r="I1440" s="5">
        <v>43537</v>
      </c>
      <c r="J1440" s="4">
        <v>4748.6099999999997</v>
      </c>
      <c r="K1440" s="4">
        <f t="shared" si="189"/>
        <v>47486.1</v>
      </c>
      <c r="L1440" s="1">
        <v>43537</v>
      </c>
      <c r="M1440">
        <v>4.2</v>
      </c>
      <c r="P1440" s="1">
        <v>43517</v>
      </c>
      <c r="Q1440">
        <v>4.6399999999999997</v>
      </c>
      <c r="AJ1440" s="1">
        <v>43537</v>
      </c>
      <c r="AL1440">
        <v>8.83</v>
      </c>
      <c r="AM1440" s="6">
        <f t="shared" si="190"/>
        <v>100000</v>
      </c>
      <c r="AN1440" s="2">
        <f t="shared" si="191"/>
        <v>0</v>
      </c>
    </row>
    <row r="1441" spans="2:40" x14ac:dyDescent="0.35">
      <c r="B1441" s="1">
        <v>43536</v>
      </c>
      <c r="C1441">
        <v>3207.66</v>
      </c>
      <c r="D1441" s="1">
        <v>43550</v>
      </c>
      <c r="E1441">
        <v>3.8639999999999999</v>
      </c>
      <c r="F1441" s="1">
        <v>43525</v>
      </c>
      <c r="G1441">
        <v>121.60599999999999</v>
      </c>
      <c r="H1441" s="4">
        <f t="shared" si="188"/>
        <v>469885.58399999992</v>
      </c>
      <c r="I1441" s="5">
        <v>43536</v>
      </c>
      <c r="J1441" s="4">
        <v>4746.12</v>
      </c>
      <c r="K1441" s="4">
        <f t="shared" si="189"/>
        <v>47461.2</v>
      </c>
      <c r="L1441" s="1">
        <v>43536</v>
      </c>
      <c r="M1441">
        <v>4.21</v>
      </c>
      <c r="P1441" s="1">
        <v>43515</v>
      </c>
      <c r="Q1441">
        <v>4.3899999999999997</v>
      </c>
      <c r="AJ1441" s="1">
        <v>43536</v>
      </c>
      <c r="AL1441">
        <v>8.91</v>
      </c>
      <c r="AM1441" s="6">
        <f t="shared" si="190"/>
        <v>100000</v>
      </c>
      <c r="AN1441" s="2">
        <f t="shared" si="191"/>
        <v>0</v>
      </c>
    </row>
    <row r="1442" spans="2:40" x14ac:dyDescent="0.35">
      <c r="B1442" s="1">
        <v>43535</v>
      </c>
      <c r="C1442">
        <v>3196.4</v>
      </c>
      <c r="D1442" s="1">
        <v>43549</v>
      </c>
      <c r="E1442">
        <v>3.8763999999999998</v>
      </c>
      <c r="F1442" s="1">
        <v>43524</v>
      </c>
      <c r="G1442">
        <v>121.831</v>
      </c>
      <c r="H1442" s="4">
        <f t="shared" si="188"/>
        <v>472265.68839999998</v>
      </c>
      <c r="I1442" s="5">
        <v>43535</v>
      </c>
      <c r="J1442" s="4">
        <v>4781.5600000000004</v>
      </c>
      <c r="K1442" s="4">
        <f t="shared" si="189"/>
        <v>47815.600000000006</v>
      </c>
      <c r="L1442" s="1">
        <v>43535</v>
      </c>
      <c r="M1442">
        <v>4.21</v>
      </c>
      <c r="P1442" s="1">
        <v>43514</v>
      </c>
      <c r="Q1442">
        <v>4.3899999999999997</v>
      </c>
      <c r="AJ1442" s="1">
        <v>43535</v>
      </c>
      <c r="AL1442">
        <v>8.99</v>
      </c>
      <c r="AM1442" s="6">
        <f t="shared" si="190"/>
        <v>100000</v>
      </c>
      <c r="AN1442" s="2">
        <f t="shared" si="191"/>
        <v>0</v>
      </c>
    </row>
    <row r="1443" spans="2:40" x14ac:dyDescent="0.35">
      <c r="B1443" s="1">
        <v>43532</v>
      </c>
      <c r="C1443">
        <v>3136.46</v>
      </c>
      <c r="D1443" s="1">
        <v>43546</v>
      </c>
      <c r="E1443">
        <v>3.8809</v>
      </c>
      <c r="F1443" s="1">
        <v>43523</v>
      </c>
      <c r="G1443">
        <v>122.227</v>
      </c>
      <c r="H1443" s="4">
        <f t="shared" si="188"/>
        <v>474350.76430000004</v>
      </c>
      <c r="I1443" s="5">
        <v>43532</v>
      </c>
      <c r="J1443" s="4">
        <v>4817.01</v>
      </c>
      <c r="K1443" s="4">
        <f t="shared" si="189"/>
        <v>48170.100000000006</v>
      </c>
      <c r="L1443" s="1">
        <v>43532</v>
      </c>
      <c r="M1443">
        <v>4.3</v>
      </c>
      <c r="P1443" s="1">
        <v>43511</v>
      </c>
      <c r="Q1443">
        <v>4.34</v>
      </c>
      <c r="AJ1443" s="1">
        <v>43532</v>
      </c>
      <c r="AL1443">
        <v>9.1199999999999992</v>
      </c>
      <c r="AM1443" s="6">
        <f t="shared" si="190"/>
        <v>100000</v>
      </c>
      <c r="AN1443" s="2">
        <f t="shared" si="191"/>
        <v>0</v>
      </c>
    </row>
    <row r="1444" spans="2:40" x14ac:dyDescent="0.35">
      <c r="B1444" s="1">
        <v>43531</v>
      </c>
      <c r="C1444">
        <v>3149.04</v>
      </c>
      <c r="D1444" s="1">
        <v>43545</v>
      </c>
      <c r="E1444">
        <v>3.7961</v>
      </c>
      <c r="F1444" s="1">
        <v>43522</v>
      </c>
      <c r="G1444">
        <v>122.27200000000001</v>
      </c>
      <c r="H1444" s="4">
        <f t="shared" si="188"/>
        <v>464156.73920000001</v>
      </c>
      <c r="I1444" s="5">
        <v>43531</v>
      </c>
      <c r="J1444" s="4">
        <v>4820.74</v>
      </c>
      <c r="K1444" s="4">
        <f t="shared" si="189"/>
        <v>48207.399999999994</v>
      </c>
      <c r="L1444" s="1">
        <v>43531</v>
      </c>
      <c r="M1444">
        <v>4.32</v>
      </c>
      <c r="P1444" s="1">
        <v>43510</v>
      </c>
      <c r="Q1444">
        <v>4.43</v>
      </c>
      <c r="AJ1444" s="1">
        <v>43531</v>
      </c>
      <c r="AL1444">
        <v>9.18</v>
      </c>
      <c r="AM1444" s="6">
        <f t="shared" si="190"/>
        <v>100000</v>
      </c>
      <c r="AN1444" s="2">
        <f t="shared" si="191"/>
        <v>0</v>
      </c>
    </row>
    <row r="1445" spans="2:40" x14ac:dyDescent="0.35">
      <c r="B1445" s="1">
        <v>43530</v>
      </c>
      <c r="C1445">
        <v>3183.52</v>
      </c>
      <c r="D1445" s="1">
        <v>43544</v>
      </c>
      <c r="E1445">
        <v>3.7890999999999999</v>
      </c>
      <c r="F1445" s="1">
        <v>43521</v>
      </c>
      <c r="G1445">
        <v>122.023</v>
      </c>
      <c r="H1445" s="4">
        <f t="shared" si="188"/>
        <v>462357.34929999994</v>
      </c>
      <c r="I1445" s="5">
        <v>43530</v>
      </c>
      <c r="J1445" s="4">
        <v>4783.43</v>
      </c>
      <c r="K1445" s="4">
        <f t="shared" si="189"/>
        <v>47834.3</v>
      </c>
      <c r="L1445" s="1">
        <v>43530</v>
      </c>
      <c r="M1445">
        <v>4.32</v>
      </c>
      <c r="P1445" s="1">
        <v>43509</v>
      </c>
      <c r="Q1445">
        <v>4.46</v>
      </c>
      <c r="AJ1445" s="1">
        <v>43530</v>
      </c>
      <c r="AL1445">
        <v>9.2200000000000006</v>
      </c>
      <c r="AM1445" s="6">
        <f t="shared" si="190"/>
        <v>100000</v>
      </c>
      <c r="AN1445" s="2">
        <f t="shared" si="191"/>
        <v>0</v>
      </c>
    </row>
    <row r="1446" spans="2:40" x14ac:dyDescent="0.35">
      <c r="B1446" s="1">
        <v>43525</v>
      </c>
      <c r="C1446">
        <v>3220.98</v>
      </c>
      <c r="D1446" s="1">
        <v>43543</v>
      </c>
      <c r="E1446">
        <v>3.7755999999999998</v>
      </c>
      <c r="F1446" s="1">
        <v>43518</v>
      </c>
      <c r="G1446">
        <v>122.178</v>
      </c>
      <c r="H1446" s="4">
        <f t="shared" si="188"/>
        <v>461295.25679999997</v>
      </c>
      <c r="I1446" s="5">
        <v>43525</v>
      </c>
      <c r="J1446" s="4">
        <v>4701.97</v>
      </c>
      <c r="K1446" s="4">
        <f t="shared" si="189"/>
        <v>47019.700000000004</v>
      </c>
      <c r="L1446" s="1">
        <v>43525</v>
      </c>
      <c r="M1446">
        <v>4.34</v>
      </c>
      <c r="P1446" s="1">
        <v>43508</v>
      </c>
      <c r="Q1446">
        <v>4.53</v>
      </c>
      <c r="AJ1446" s="1">
        <v>43525</v>
      </c>
      <c r="AL1446">
        <v>9.15</v>
      </c>
      <c r="AM1446" s="6">
        <f t="shared" si="190"/>
        <v>100000</v>
      </c>
      <c r="AN1446" s="2">
        <f t="shared" si="191"/>
        <v>0</v>
      </c>
    </row>
    <row r="1447" spans="2:40" x14ac:dyDescent="0.35">
      <c r="B1447" s="1">
        <v>43524</v>
      </c>
      <c r="C1447">
        <v>3194.58</v>
      </c>
      <c r="D1447" s="1">
        <v>43542</v>
      </c>
      <c r="E1447">
        <v>3.8105000000000002</v>
      </c>
      <c r="F1447" s="1">
        <v>43517</v>
      </c>
      <c r="G1447">
        <v>121.88200000000001</v>
      </c>
      <c r="H1447" s="4">
        <f t="shared" si="188"/>
        <v>464431.36100000003</v>
      </c>
      <c r="I1447" s="5">
        <v>43524</v>
      </c>
      <c r="J1447" s="4">
        <v>4673.99</v>
      </c>
      <c r="K1447" s="4">
        <f t="shared" si="189"/>
        <v>46739.899999999994</v>
      </c>
      <c r="L1447" s="1">
        <v>43524</v>
      </c>
      <c r="M1447">
        <v>4.33</v>
      </c>
      <c r="P1447" s="1">
        <v>43504</v>
      </c>
      <c r="Q1447">
        <v>4.58</v>
      </c>
      <c r="AJ1447" s="1">
        <v>43524</v>
      </c>
      <c r="AL1447">
        <v>9.11</v>
      </c>
      <c r="AM1447" s="6">
        <f t="shared" si="190"/>
        <v>100000</v>
      </c>
      <c r="AN1447" s="2">
        <f t="shared" si="191"/>
        <v>0</v>
      </c>
    </row>
    <row r="1448" spans="2:40" x14ac:dyDescent="0.35">
      <c r="B1448" s="1">
        <v>43523</v>
      </c>
      <c r="C1448">
        <v>3203.25</v>
      </c>
      <c r="D1448" s="1">
        <v>43539</v>
      </c>
      <c r="E1448">
        <v>3.8338000000000001</v>
      </c>
      <c r="F1448" s="1">
        <v>43516</v>
      </c>
      <c r="G1448">
        <v>122.14700000000001</v>
      </c>
      <c r="H1448" s="4">
        <f t="shared" si="188"/>
        <v>468287.16860000003</v>
      </c>
      <c r="I1448" s="5">
        <v>43523</v>
      </c>
      <c r="J1448" s="4">
        <v>4646.01</v>
      </c>
      <c r="K1448" s="4">
        <f t="shared" si="189"/>
        <v>46460.100000000006</v>
      </c>
      <c r="L1448" s="1">
        <v>43523</v>
      </c>
      <c r="M1448">
        <v>4.3099999999999996</v>
      </c>
      <c r="P1448" s="1">
        <v>43502</v>
      </c>
      <c r="Q1448">
        <v>4.49</v>
      </c>
      <c r="AJ1448" s="1">
        <v>43523</v>
      </c>
      <c r="AL1448">
        <v>9.06</v>
      </c>
      <c r="AM1448" s="6">
        <f t="shared" si="190"/>
        <v>100000</v>
      </c>
      <c r="AN1448" s="2">
        <f t="shared" si="191"/>
        <v>0</v>
      </c>
    </row>
    <row r="1449" spans="2:40" x14ac:dyDescent="0.35">
      <c r="B1449" s="1">
        <v>43522</v>
      </c>
      <c r="C1449">
        <v>3208.38</v>
      </c>
      <c r="D1449" s="1">
        <v>43538</v>
      </c>
      <c r="E1449">
        <v>3.8321000000000001</v>
      </c>
      <c r="F1449" s="1">
        <v>43515</v>
      </c>
      <c r="G1449">
        <v>122.21299999999999</v>
      </c>
      <c r="H1449" s="4">
        <f t="shared" si="188"/>
        <v>468332.43729999999</v>
      </c>
      <c r="I1449" s="5">
        <v>43522</v>
      </c>
      <c r="J1449" s="4">
        <v>4665.95</v>
      </c>
      <c r="K1449" s="4">
        <f t="shared" si="189"/>
        <v>46659.5</v>
      </c>
      <c r="L1449" s="1">
        <v>43522</v>
      </c>
      <c r="M1449">
        <v>4.3499999999999996</v>
      </c>
      <c r="P1449" s="1">
        <v>43501</v>
      </c>
      <c r="Q1449">
        <v>4.43</v>
      </c>
      <c r="AJ1449" s="1">
        <v>43522</v>
      </c>
      <c r="AL1449">
        <v>9.09</v>
      </c>
      <c r="AM1449" s="6">
        <f t="shared" si="190"/>
        <v>100000</v>
      </c>
      <c r="AN1449" s="2">
        <f t="shared" si="191"/>
        <v>0</v>
      </c>
    </row>
    <row r="1450" spans="2:40" x14ac:dyDescent="0.35">
      <c r="B1450" s="1">
        <v>43521</v>
      </c>
      <c r="C1450">
        <v>3210.72</v>
      </c>
      <c r="D1450" s="1">
        <v>43537</v>
      </c>
      <c r="E1450">
        <v>3.8258999999999999</v>
      </c>
      <c r="F1450" s="1">
        <v>43514</v>
      </c>
      <c r="G1450">
        <v>121.94499999999999</v>
      </c>
      <c r="H1450" s="4">
        <f t="shared" si="188"/>
        <v>466549.37549999997</v>
      </c>
      <c r="I1450" s="5">
        <v>43521</v>
      </c>
      <c r="J1450" s="4">
        <v>4675.92</v>
      </c>
      <c r="K1450" s="4">
        <f t="shared" si="189"/>
        <v>46759.199999999997</v>
      </c>
      <c r="L1450" s="1">
        <v>43521</v>
      </c>
      <c r="M1450">
        <v>4.32</v>
      </c>
      <c r="P1450" s="1">
        <v>43500</v>
      </c>
      <c r="Q1450">
        <v>4.41</v>
      </c>
      <c r="AJ1450" s="1">
        <v>43521</v>
      </c>
      <c r="AL1450">
        <v>9.08</v>
      </c>
      <c r="AM1450" s="6">
        <f t="shared" si="190"/>
        <v>100000</v>
      </c>
      <c r="AN1450" s="2">
        <f t="shared" si="191"/>
        <v>0</v>
      </c>
    </row>
    <row r="1451" spans="2:40" x14ac:dyDescent="0.35">
      <c r="B1451" s="1">
        <v>43518</v>
      </c>
      <c r="C1451">
        <v>3198.96</v>
      </c>
      <c r="D1451" s="1">
        <v>43536</v>
      </c>
      <c r="E1451">
        <v>3.8123</v>
      </c>
      <c r="F1451" s="1">
        <v>43511</v>
      </c>
      <c r="G1451">
        <v>122.05500000000001</v>
      </c>
      <c r="H1451" s="4">
        <f t="shared" si="188"/>
        <v>465310.27650000004</v>
      </c>
      <c r="I1451" s="5">
        <v>43518</v>
      </c>
      <c r="J1451" s="4">
        <v>4672.8100000000004</v>
      </c>
      <c r="K1451" s="4">
        <f t="shared" si="189"/>
        <v>46728.100000000006</v>
      </c>
      <c r="L1451" s="1">
        <v>43518</v>
      </c>
      <c r="M1451">
        <v>4.33</v>
      </c>
      <c r="P1451" s="1">
        <v>43497</v>
      </c>
      <c r="Q1451">
        <v>4.4000000000000004</v>
      </c>
      <c r="AJ1451" s="1">
        <v>43518</v>
      </c>
      <c r="AL1451">
        <v>9.0399999999999991</v>
      </c>
      <c r="AM1451" s="6">
        <f t="shared" si="190"/>
        <v>100000</v>
      </c>
      <c r="AN1451" s="2">
        <f t="shared" si="191"/>
        <v>0</v>
      </c>
    </row>
    <row r="1452" spans="2:40" x14ac:dyDescent="0.35">
      <c r="B1452" s="1">
        <v>43517</v>
      </c>
      <c r="C1452">
        <v>3170.75</v>
      </c>
      <c r="D1452" s="1">
        <v>43535</v>
      </c>
      <c r="E1452">
        <v>3.8454999999999999</v>
      </c>
      <c r="F1452" s="1">
        <v>43510</v>
      </c>
      <c r="G1452">
        <v>122.196</v>
      </c>
      <c r="H1452" s="4">
        <f t="shared" si="188"/>
        <v>469904.71799999999</v>
      </c>
      <c r="I1452" s="5">
        <v>43517</v>
      </c>
      <c r="J1452" s="4">
        <v>4700.8500000000004</v>
      </c>
      <c r="K1452" s="4">
        <f t="shared" si="189"/>
        <v>47008.5</v>
      </c>
      <c r="L1452" s="1">
        <v>43517</v>
      </c>
      <c r="M1452">
        <v>4.37</v>
      </c>
      <c r="P1452" s="1">
        <v>43496</v>
      </c>
      <c r="Q1452">
        <v>4.58</v>
      </c>
      <c r="AJ1452" s="1">
        <v>43517</v>
      </c>
      <c r="AL1452">
        <v>9.07</v>
      </c>
      <c r="AM1452" s="6">
        <f t="shared" si="190"/>
        <v>100000</v>
      </c>
      <c r="AN1452" s="2">
        <f t="shared" si="191"/>
        <v>0</v>
      </c>
    </row>
    <row r="1453" spans="2:40" x14ac:dyDescent="0.35">
      <c r="B1453" s="1">
        <v>43516</v>
      </c>
      <c r="C1453">
        <v>3196.34</v>
      </c>
      <c r="D1453" s="1">
        <v>43532</v>
      </c>
      <c r="E1453">
        <v>3.8672</v>
      </c>
      <c r="F1453" s="1">
        <v>43509</v>
      </c>
      <c r="G1453">
        <v>121.80500000000001</v>
      </c>
      <c r="H1453" s="4">
        <f t="shared" si="188"/>
        <v>471044.29600000003</v>
      </c>
      <c r="I1453" s="5">
        <v>43516</v>
      </c>
      <c r="J1453" s="4">
        <v>4646.01</v>
      </c>
      <c r="K1453" s="4">
        <f t="shared" si="189"/>
        <v>46460.100000000006</v>
      </c>
      <c r="L1453" s="1">
        <v>43516</v>
      </c>
      <c r="M1453">
        <v>4.3</v>
      </c>
      <c r="P1453" s="1">
        <v>43495</v>
      </c>
      <c r="Q1453">
        <v>4.62</v>
      </c>
      <c r="AJ1453" s="1">
        <v>43516</v>
      </c>
      <c r="AL1453">
        <v>9.0500000000000007</v>
      </c>
      <c r="AM1453" s="6">
        <f t="shared" si="190"/>
        <v>100000</v>
      </c>
      <c r="AN1453" s="2">
        <f t="shared" si="191"/>
        <v>0</v>
      </c>
    </row>
    <row r="1454" spans="2:40" x14ac:dyDescent="0.35">
      <c r="B1454" s="1">
        <v>43515</v>
      </c>
      <c r="C1454">
        <v>3192.46</v>
      </c>
      <c r="D1454" s="1">
        <v>43531</v>
      </c>
      <c r="E1454">
        <v>3.8481000000000001</v>
      </c>
      <c r="F1454" s="1">
        <v>43508</v>
      </c>
      <c r="G1454">
        <v>121.96299999999999</v>
      </c>
      <c r="H1454" s="4">
        <f t="shared" si="188"/>
        <v>469325.82029999996</v>
      </c>
      <c r="I1454" s="5">
        <v>43515</v>
      </c>
      <c r="J1454" s="4">
        <v>4642.2700000000004</v>
      </c>
      <c r="K1454" s="4">
        <f t="shared" si="189"/>
        <v>46422.700000000004</v>
      </c>
      <c r="L1454" s="1">
        <v>43515</v>
      </c>
      <c r="M1454">
        <v>4.29</v>
      </c>
      <c r="P1454" s="1">
        <v>43494</v>
      </c>
      <c r="Q1454">
        <v>4.6100000000000003</v>
      </c>
      <c r="AJ1454" s="1">
        <v>43515</v>
      </c>
      <c r="AL1454">
        <v>8.98</v>
      </c>
      <c r="AM1454" s="6">
        <f t="shared" si="190"/>
        <v>100000</v>
      </c>
      <c r="AN1454" s="2">
        <f t="shared" si="191"/>
        <v>0</v>
      </c>
    </row>
    <row r="1455" spans="2:40" x14ac:dyDescent="0.35">
      <c r="B1455" s="1">
        <v>43514</v>
      </c>
      <c r="C1455">
        <v>3182.58</v>
      </c>
      <c r="D1455" s="1">
        <v>43530</v>
      </c>
      <c r="E1455">
        <v>3.8296999999999999</v>
      </c>
      <c r="F1455" s="1">
        <v>43507</v>
      </c>
      <c r="G1455">
        <v>122.13</v>
      </c>
      <c r="H1455" s="4">
        <f t="shared" si="188"/>
        <v>467721.261</v>
      </c>
      <c r="I1455" s="5">
        <v>43514</v>
      </c>
      <c r="J1455" s="4">
        <v>4657.2299999999996</v>
      </c>
      <c r="K1455" s="4">
        <f t="shared" si="189"/>
        <v>46572.299999999996</v>
      </c>
      <c r="L1455" s="1">
        <v>43514</v>
      </c>
      <c r="M1455">
        <v>4.32</v>
      </c>
      <c r="P1455" s="1">
        <v>43489</v>
      </c>
      <c r="Q1455">
        <v>4.66</v>
      </c>
      <c r="AJ1455" s="1">
        <v>43514</v>
      </c>
      <c r="AL1455">
        <v>9.02</v>
      </c>
      <c r="AM1455" s="6">
        <f t="shared" si="190"/>
        <v>100000</v>
      </c>
      <c r="AN1455" s="2">
        <f t="shared" si="191"/>
        <v>0</v>
      </c>
    </row>
    <row r="1456" spans="2:40" x14ac:dyDescent="0.35">
      <c r="B1456" s="1">
        <v>43511</v>
      </c>
      <c r="C1456">
        <v>3180.42</v>
      </c>
      <c r="D1456" s="1">
        <v>43525</v>
      </c>
      <c r="E1456">
        <v>3.7826</v>
      </c>
      <c r="F1456" s="1">
        <v>43504</v>
      </c>
      <c r="G1456">
        <v>122.351</v>
      </c>
      <c r="H1456" s="4">
        <f t="shared" si="188"/>
        <v>462804.89260000002</v>
      </c>
      <c r="I1456" s="5">
        <v>43511</v>
      </c>
      <c r="J1456" s="4">
        <v>4616.1000000000004</v>
      </c>
      <c r="K1456" s="4">
        <f t="shared" si="189"/>
        <v>46161</v>
      </c>
      <c r="L1456" s="1">
        <v>43511</v>
      </c>
      <c r="M1456">
        <v>4.22</v>
      </c>
      <c r="P1456" s="1">
        <v>43488</v>
      </c>
      <c r="Q1456">
        <v>4.57</v>
      </c>
      <c r="AJ1456" s="1">
        <v>43511</v>
      </c>
      <c r="AL1456">
        <v>8.89</v>
      </c>
      <c r="AM1456" s="6">
        <f t="shared" si="190"/>
        <v>100000</v>
      </c>
      <c r="AN1456" s="2">
        <f t="shared" si="191"/>
        <v>0</v>
      </c>
    </row>
    <row r="1457" spans="2:40" x14ac:dyDescent="0.35">
      <c r="B1457" s="1">
        <v>43510</v>
      </c>
      <c r="C1457">
        <v>3158.51</v>
      </c>
      <c r="D1457" s="1">
        <v>43524</v>
      </c>
      <c r="E1457">
        <v>3.7378999999999998</v>
      </c>
      <c r="F1457" s="1">
        <v>43503</v>
      </c>
      <c r="G1457">
        <v>122.21</v>
      </c>
      <c r="H1457" s="4">
        <f t="shared" si="188"/>
        <v>456808.75899999996</v>
      </c>
      <c r="I1457" s="5">
        <v>43510</v>
      </c>
      <c r="J1457" s="4">
        <v>4644.7700000000004</v>
      </c>
      <c r="K1457" s="4">
        <f t="shared" si="189"/>
        <v>46447.700000000004</v>
      </c>
      <c r="L1457" s="1">
        <v>43509</v>
      </c>
      <c r="M1457">
        <v>4.33</v>
      </c>
      <c r="P1457" s="1">
        <v>43487</v>
      </c>
      <c r="Q1457">
        <v>4.63</v>
      </c>
      <c r="AJ1457" s="1">
        <v>43510</v>
      </c>
      <c r="AL1457">
        <v>8.92</v>
      </c>
      <c r="AM1457" s="6">
        <f t="shared" si="190"/>
        <v>100000</v>
      </c>
      <c r="AN1457" s="2">
        <f t="shared" si="191"/>
        <v>0</v>
      </c>
    </row>
    <row r="1458" spans="2:40" x14ac:dyDescent="0.35">
      <c r="B1458" s="1">
        <v>43509</v>
      </c>
      <c r="C1458">
        <v>3163.84</v>
      </c>
      <c r="D1458" s="1">
        <v>43523</v>
      </c>
      <c r="E1458">
        <v>3.7345000000000002</v>
      </c>
      <c r="F1458" s="1">
        <v>43502</v>
      </c>
      <c r="G1458">
        <v>121.867</v>
      </c>
      <c r="H1458" s="4">
        <f t="shared" si="188"/>
        <v>455112.31150000001</v>
      </c>
      <c r="I1458" s="5">
        <v>43509</v>
      </c>
      <c r="J1458" s="4">
        <v>4685.2700000000004</v>
      </c>
      <c r="K1458" s="4">
        <f t="shared" si="189"/>
        <v>46852.700000000004</v>
      </c>
      <c r="L1458" s="1">
        <v>43508</v>
      </c>
      <c r="M1458">
        <v>4.3600000000000003</v>
      </c>
      <c r="P1458" s="1">
        <v>43486</v>
      </c>
      <c r="Q1458">
        <v>4.59</v>
      </c>
      <c r="AJ1458" s="1">
        <v>43509</v>
      </c>
      <c r="AL1458">
        <v>9.06</v>
      </c>
      <c r="AM1458" s="6">
        <f t="shared" si="190"/>
        <v>100000</v>
      </c>
      <c r="AN1458" s="2">
        <f t="shared" si="191"/>
        <v>0</v>
      </c>
    </row>
    <row r="1459" spans="2:40" x14ac:dyDescent="0.35">
      <c r="B1459" s="1">
        <v>43508</v>
      </c>
      <c r="C1459">
        <v>3154.28</v>
      </c>
      <c r="D1459" s="1">
        <v>43522</v>
      </c>
      <c r="E1459">
        <v>3.7589000000000001</v>
      </c>
      <c r="F1459" s="1">
        <v>43501</v>
      </c>
      <c r="G1459">
        <v>121.91500000000001</v>
      </c>
      <c r="H1459" s="4">
        <f t="shared" si="188"/>
        <v>458266.29350000003</v>
      </c>
      <c r="I1459" s="5">
        <v>43508</v>
      </c>
      <c r="J1459" s="4">
        <v>4629.1899999999996</v>
      </c>
      <c r="K1459" s="4">
        <f t="shared" si="189"/>
        <v>46291.899999999994</v>
      </c>
      <c r="L1459" s="1">
        <v>43507</v>
      </c>
      <c r="M1459">
        <v>4.42</v>
      </c>
      <c r="P1459" s="1">
        <v>43479</v>
      </c>
      <c r="Q1459">
        <v>4.67</v>
      </c>
      <c r="AJ1459" s="1">
        <v>43508</v>
      </c>
      <c r="AL1459">
        <v>9.09</v>
      </c>
      <c r="AM1459" s="6">
        <f t="shared" si="190"/>
        <v>100000</v>
      </c>
      <c r="AN1459" s="2">
        <f t="shared" si="191"/>
        <v>0</v>
      </c>
    </row>
    <row r="1460" spans="2:40" x14ac:dyDescent="0.35">
      <c r="B1460" s="1">
        <v>43507</v>
      </c>
      <c r="C1460">
        <v>3101.59</v>
      </c>
      <c r="D1460" s="1">
        <v>43521</v>
      </c>
      <c r="E1460">
        <v>3.7279</v>
      </c>
      <c r="F1460" s="1">
        <v>43500</v>
      </c>
      <c r="G1460">
        <v>121.709</v>
      </c>
      <c r="H1460" s="4">
        <f t="shared" si="188"/>
        <v>453718.98110000003</v>
      </c>
      <c r="I1460" s="5">
        <v>43507</v>
      </c>
      <c r="J1460" s="4">
        <v>4687.1400000000003</v>
      </c>
      <c r="K1460" s="4">
        <f t="shared" si="189"/>
        <v>46871.4</v>
      </c>
      <c r="L1460" s="1">
        <v>43504</v>
      </c>
      <c r="M1460">
        <v>4.46</v>
      </c>
      <c r="P1460" s="1">
        <v>43473</v>
      </c>
      <c r="Q1460">
        <v>4.7699999999999996</v>
      </c>
      <c r="AJ1460" s="1">
        <v>43507</v>
      </c>
      <c r="AL1460">
        <v>9.17</v>
      </c>
      <c r="AM1460" s="6">
        <f t="shared" si="190"/>
        <v>100000</v>
      </c>
      <c r="AN1460" s="2">
        <f t="shared" si="191"/>
        <v>0</v>
      </c>
    </row>
    <row r="1461" spans="2:40" x14ac:dyDescent="0.35">
      <c r="B1461" s="1">
        <v>43504</v>
      </c>
      <c r="C1461">
        <v>3094.98</v>
      </c>
      <c r="D1461" s="1">
        <v>43518</v>
      </c>
      <c r="E1461">
        <v>3.7423999999999999</v>
      </c>
      <c r="F1461" s="1">
        <v>43497</v>
      </c>
      <c r="G1461">
        <v>121.91</v>
      </c>
      <c r="H1461" s="4">
        <f t="shared" si="188"/>
        <v>456235.984</v>
      </c>
      <c r="I1461" s="5">
        <v>43504</v>
      </c>
      <c r="J1461" s="4">
        <v>4655.9799999999996</v>
      </c>
      <c r="K1461" s="4">
        <f t="shared" si="189"/>
        <v>46559.799999999996</v>
      </c>
      <c r="L1461" s="1">
        <v>43503</v>
      </c>
      <c r="M1461">
        <v>4.4000000000000004</v>
      </c>
      <c r="P1461" s="1">
        <v>43468</v>
      </c>
      <c r="Q1461">
        <v>4.8</v>
      </c>
      <c r="AJ1461" s="1">
        <v>43504</v>
      </c>
      <c r="AL1461">
        <v>9.18</v>
      </c>
      <c r="AM1461" s="6">
        <f t="shared" si="190"/>
        <v>100000</v>
      </c>
      <c r="AN1461" s="2">
        <f t="shared" si="191"/>
        <v>0</v>
      </c>
    </row>
    <row r="1462" spans="2:40" x14ac:dyDescent="0.35">
      <c r="B1462" s="1">
        <v>43503</v>
      </c>
      <c r="C1462">
        <v>3093.33</v>
      </c>
      <c r="D1462" s="1">
        <v>43517</v>
      </c>
      <c r="E1462">
        <v>3.7589000000000001</v>
      </c>
      <c r="F1462" s="1">
        <v>43496</v>
      </c>
      <c r="G1462">
        <v>122.541</v>
      </c>
      <c r="H1462" s="4">
        <f t="shared" si="188"/>
        <v>460619.36489999999</v>
      </c>
      <c r="I1462" s="5">
        <v>43503</v>
      </c>
      <c r="J1462" s="4">
        <v>4640.41</v>
      </c>
      <c r="K1462" s="4">
        <f t="shared" si="189"/>
        <v>46404.1</v>
      </c>
      <c r="L1462" s="1">
        <v>43502</v>
      </c>
      <c r="M1462">
        <v>4.3099999999999996</v>
      </c>
      <c r="P1462" s="1">
        <v>43461</v>
      </c>
      <c r="Q1462">
        <v>4.92</v>
      </c>
      <c r="AJ1462" s="1">
        <v>43503</v>
      </c>
      <c r="AL1462">
        <v>9.11</v>
      </c>
      <c r="AM1462" s="6">
        <f t="shared" si="190"/>
        <v>100000</v>
      </c>
      <c r="AN1462" s="2">
        <f t="shared" si="191"/>
        <v>0</v>
      </c>
    </row>
    <row r="1463" spans="2:40" x14ac:dyDescent="0.35">
      <c r="B1463" s="1">
        <v>43502</v>
      </c>
      <c r="C1463">
        <v>3130.18</v>
      </c>
      <c r="D1463" s="1">
        <v>43516</v>
      </c>
      <c r="E1463">
        <v>3.7094</v>
      </c>
      <c r="F1463" s="1">
        <v>43495</v>
      </c>
      <c r="G1463">
        <v>121.852</v>
      </c>
      <c r="H1463" s="4">
        <f t="shared" si="188"/>
        <v>451997.80880000006</v>
      </c>
      <c r="I1463" s="5">
        <v>43502</v>
      </c>
      <c r="J1463" s="4">
        <v>4614.8599999999997</v>
      </c>
      <c r="K1463" s="4">
        <f t="shared" si="189"/>
        <v>46148.6</v>
      </c>
      <c r="L1463" s="1">
        <v>43501</v>
      </c>
      <c r="M1463">
        <v>4.2699999999999996</v>
      </c>
      <c r="P1463" s="1">
        <v>43460</v>
      </c>
      <c r="Q1463">
        <v>4.93</v>
      </c>
      <c r="AJ1463" s="1">
        <v>43502</v>
      </c>
      <c r="AL1463">
        <v>9.06</v>
      </c>
      <c r="AM1463" s="6">
        <f t="shared" si="190"/>
        <v>100000</v>
      </c>
      <c r="AN1463" s="2">
        <f t="shared" si="191"/>
        <v>0</v>
      </c>
    </row>
    <row r="1464" spans="2:40" x14ac:dyDescent="0.35">
      <c r="B1464" s="1">
        <v>43501</v>
      </c>
      <c r="C1464">
        <v>3130.3</v>
      </c>
      <c r="D1464" s="1">
        <v>43515</v>
      </c>
      <c r="E1464">
        <v>3.72</v>
      </c>
      <c r="F1464" s="1">
        <v>43494</v>
      </c>
      <c r="G1464">
        <v>121.712</v>
      </c>
      <c r="H1464" s="4">
        <f t="shared" si="188"/>
        <v>452768.64000000007</v>
      </c>
      <c r="I1464" s="5">
        <v>43501</v>
      </c>
      <c r="J1464" s="4">
        <v>4578.72</v>
      </c>
      <c r="K1464" s="4">
        <f t="shared" si="189"/>
        <v>45787.200000000004</v>
      </c>
      <c r="L1464" s="1">
        <v>43500</v>
      </c>
      <c r="M1464">
        <v>4.2300000000000004</v>
      </c>
      <c r="P1464" s="1">
        <v>43455</v>
      </c>
      <c r="Q1464">
        <v>4.8899999999999997</v>
      </c>
      <c r="AJ1464" s="1">
        <v>43501</v>
      </c>
      <c r="AL1464">
        <v>8.93</v>
      </c>
      <c r="AM1464" s="6">
        <f t="shared" si="190"/>
        <v>100000</v>
      </c>
      <c r="AN1464" s="2">
        <f t="shared" si="191"/>
        <v>0</v>
      </c>
    </row>
    <row r="1465" spans="2:40" x14ac:dyDescent="0.35">
      <c r="B1465" s="1">
        <v>43500</v>
      </c>
      <c r="C1465">
        <v>3120.58</v>
      </c>
      <c r="D1465" s="1">
        <v>43514</v>
      </c>
      <c r="E1465">
        <v>3.7309999999999999</v>
      </c>
      <c r="F1465" s="1">
        <v>43493</v>
      </c>
      <c r="G1465">
        <v>121.571</v>
      </c>
      <c r="H1465" s="4">
        <f t="shared" si="188"/>
        <v>453581.40099999995</v>
      </c>
      <c r="I1465" s="5">
        <v>43500</v>
      </c>
      <c r="J1465" s="4">
        <v>4579.96</v>
      </c>
      <c r="K1465" s="4">
        <f t="shared" si="189"/>
        <v>45799.6</v>
      </c>
      <c r="L1465" s="1">
        <v>43497</v>
      </c>
      <c r="M1465">
        <v>4.3</v>
      </c>
      <c r="P1465" s="1">
        <v>43453</v>
      </c>
      <c r="Q1465">
        <v>4.9000000000000004</v>
      </c>
      <c r="AJ1465" s="1">
        <v>43500</v>
      </c>
      <c r="AL1465">
        <v>8.8699999999999992</v>
      </c>
      <c r="AM1465" s="6">
        <f t="shared" si="190"/>
        <v>100000</v>
      </c>
      <c r="AN1465" s="2">
        <f t="shared" si="191"/>
        <v>0</v>
      </c>
    </row>
    <row r="1466" spans="2:40" x14ac:dyDescent="0.35">
      <c r="B1466" s="1">
        <v>43497</v>
      </c>
      <c r="C1466">
        <v>3095.9</v>
      </c>
      <c r="D1466" s="1">
        <v>43511</v>
      </c>
      <c r="E1466">
        <v>3.7149000000000001</v>
      </c>
      <c r="F1466" s="1">
        <v>43489</v>
      </c>
      <c r="G1466">
        <v>121.806</v>
      </c>
      <c r="H1466" s="4">
        <f t="shared" si="188"/>
        <v>452497.10940000002</v>
      </c>
      <c r="I1466" s="5">
        <v>43497</v>
      </c>
      <c r="J1466" s="4">
        <v>4567.5</v>
      </c>
      <c r="K1466" s="4">
        <f t="shared" si="189"/>
        <v>45675</v>
      </c>
      <c r="L1466" s="1">
        <v>43496</v>
      </c>
      <c r="M1466">
        <v>4.3600000000000003</v>
      </c>
      <c r="P1466" s="1">
        <v>43452</v>
      </c>
      <c r="Q1466">
        <v>5</v>
      </c>
      <c r="AJ1466" s="1">
        <v>43497</v>
      </c>
      <c r="AL1466">
        <v>8.83</v>
      </c>
      <c r="AM1466" s="6">
        <f t="shared" si="190"/>
        <v>100000</v>
      </c>
      <c r="AN1466" s="2">
        <f t="shared" si="191"/>
        <v>0</v>
      </c>
    </row>
    <row r="1467" spans="2:40" x14ac:dyDescent="0.35">
      <c r="B1467" s="1">
        <v>43496</v>
      </c>
      <c r="C1467">
        <v>3100.37</v>
      </c>
      <c r="D1467" s="1">
        <v>43510</v>
      </c>
      <c r="E1467">
        <v>3.7749999999999999</v>
      </c>
      <c r="F1467" s="1">
        <v>43488</v>
      </c>
      <c r="G1467">
        <v>121.366</v>
      </c>
      <c r="H1467" s="4">
        <f t="shared" si="188"/>
        <v>458156.65</v>
      </c>
      <c r="I1467" s="5">
        <v>43496</v>
      </c>
      <c r="J1467" s="4">
        <v>4550.05</v>
      </c>
      <c r="K1467" s="4">
        <f t="shared" si="189"/>
        <v>45500.5</v>
      </c>
      <c r="L1467" s="1">
        <v>43495</v>
      </c>
      <c r="M1467">
        <v>4.45</v>
      </c>
      <c r="P1467" s="1">
        <v>43448</v>
      </c>
      <c r="Q1467">
        <v>4.97</v>
      </c>
      <c r="AJ1467" s="1">
        <v>43496</v>
      </c>
      <c r="AL1467">
        <v>8.9700000000000006</v>
      </c>
      <c r="AM1467" s="6">
        <f t="shared" si="190"/>
        <v>100000</v>
      </c>
      <c r="AN1467" s="2">
        <f t="shared" si="191"/>
        <v>0</v>
      </c>
    </row>
    <row r="1468" spans="2:40" x14ac:dyDescent="0.35">
      <c r="B1468" s="1">
        <v>43495</v>
      </c>
      <c r="C1468">
        <v>3083.76</v>
      </c>
      <c r="D1468" s="1">
        <v>43509</v>
      </c>
      <c r="E1468">
        <v>3.7271000000000001</v>
      </c>
      <c r="F1468" s="1">
        <v>43487</v>
      </c>
      <c r="G1468">
        <v>121.509</v>
      </c>
      <c r="H1468" s="4">
        <f t="shared" si="188"/>
        <v>452876.19390000001</v>
      </c>
      <c r="I1468" s="5">
        <v>43495</v>
      </c>
      <c r="J1468" s="4">
        <v>4598.03</v>
      </c>
      <c r="K1468" s="4">
        <f t="shared" si="189"/>
        <v>45980.299999999996</v>
      </c>
      <c r="L1468" s="1">
        <v>43494</v>
      </c>
      <c r="M1468">
        <v>4.46</v>
      </c>
      <c r="P1468" s="1">
        <v>43445</v>
      </c>
      <c r="Q1468">
        <v>5.04</v>
      </c>
      <c r="AJ1468" s="1">
        <v>43495</v>
      </c>
      <c r="AL1468">
        <v>9.17</v>
      </c>
      <c r="AM1468" s="6">
        <f t="shared" si="190"/>
        <v>100000</v>
      </c>
      <c r="AN1468" s="2">
        <f t="shared" si="191"/>
        <v>0</v>
      </c>
    </row>
    <row r="1469" spans="2:40" x14ac:dyDescent="0.35">
      <c r="B1469" s="1">
        <v>43494</v>
      </c>
      <c r="C1469">
        <v>3024.24</v>
      </c>
      <c r="D1469" s="1">
        <v>43508</v>
      </c>
      <c r="E1469">
        <v>3.7290000000000001</v>
      </c>
      <c r="F1469" s="1">
        <v>43483</v>
      </c>
      <c r="G1469">
        <v>121.22199999999999</v>
      </c>
      <c r="H1469" s="4">
        <f t="shared" si="188"/>
        <v>452036.83799999999</v>
      </c>
      <c r="I1469" s="5">
        <v>43494</v>
      </c>
      <c r="J1469" s="4">
        <v>4642.97</v>
      </c>
      <c r="K1469" s="4">
        <f t="shared" si="189"/>
        <v>46429.700000000004</v>
      </c>
      <c r="L1469" s="1">
        <v>43493</v>
      </c>
      <c r="M1469">
        <v>4.47</v>
      </c>
      <c r="P1469" s="1">
        <v>43444</v>
      </c>
      <c r="Q1469">
        <v>5.03</v>
      </c>
      <c r="AJ1469" s="1">
        <v>43494</v>
      </c>
      <c r="AL1469">
        <v>9.17</v>
      </c>
      <c r="AM1469" s="6">
        <f t="shared" si="190"/>
        <v>100000</v>
      </c>
      <c r="AN1469" s="2">
        <f t="shared" si="191"/>
        <v>0</v>
      </c>
    </row>
    <row r="1470" spans="2:40" x14ac:dyDescent="0.35">
      <c r="B1470" s="1">
        <v>43493</v>
      </c>
      <c r="C1470">
        <v>3022.71</v>
      </c>
      <c r="D1470" s="1">
        <v>43507</v>
      </c>
      <c r="E1470">
        <v>3.7385000000000002</v>
      </c>
      <c r="F1470" s="1">
        <v>43482</v>
      </c>
      <c r="G1470">
        <v>121.47799999999999</v>
      </c>
      <c r="H1470" s="4">
        <f t="shared" si="188"/>
        <v>454145.50300000003</v>
      </c>
      <c r="I1470" s="5">
        <v>43493</v>
      </c>
      <c r="J1470" s="4">
        <v>4695.3900000000003</v>
      </c>
      <c r="K1470" s="4">
        <f t="shared" si="189"/>
        <v>46953.9</v>
      </c>
      <c r="L1470" s="1">
        <v>43489</v>
      </c>
      <c r="M1470">
        <v>4.43</v>
      </c>
      <c r="P1470" s="1">
        <v>43441</v>
      </c>
      <c r="Q1470">
        <v>5.01</v>
      </c>
      <c r="AJ1470" s="1">
        <v>43493</v>
      </c>
      <c r="AL1470">
        <v>9.23</v>
      </c>
      <c r="AM1470" s="6">
        <f t="shared" si="190"/>
        <v>100000</v>
      </c>
      <c r="AN1470" s="2">
        <f t="shared" si="191"/>
        <v>0</v>
      </c>
    </row>
    <row r="1471" spans="2:40" x14ac:dyDescent="0.35">
      <c r="B1471" s="1">
        <v>43489</v>
      </c>
      <c r="C1471">
        <v>3024.19</v>
      </c>
      <c r="D1471" s="1">
        <v>43504</v>
      </c>
      <c r="E1471">
        <v>3.7178</v>
      </c>
      <c r="F1471" s="1">
        <v>43481</v>
      </c>
      <c r="G1471">
        <v>121.726</v>
      </c>
      <c r="H1471" s="4">
        <f t="shared" si="188"/>
        <v>452552.9228</v>
      </c>
      <c r="I1471" s="5">
        <v>43489</v>
      </c>
      <c r="J1471" s="4">
        <v>4710.99</v>
      </c>
      <c r="K1471" s="4">
        <f t="shared" si="189"/>
        <v>47109.899999999994</v>
      </c>
      <c r="L1471" s="1">
        <v>43487</v>
      </c>
      <c r="M1471">
        <v>4.4000000000000004</v>
      </c>
      <c r="P1471" s="1">
        <v>43440</v>
      </c>
      <c r="Q1471">
        <v>5.0599999999999996</v>
      </c>
      <c r="AJ1471" s="1">
        <v>43489</v>
      </c>
      <c r="AL1471">
        <v>9.2100000000000009</v>
      </c>
      <c r="AM1471" s="6">
        <f t="shared" si="190"/>
        <v>100000</v>
      </c>
      <c r="AN1471" s="2">
        <f t="shared" si="191"/>
        <v>0</v>
      </c>
    </row>
    <row r="1472" spans="2:40" x14ac:dyDescent="0.35">
      <c r="B1472" s="1">
        <v>43488</v>
      </c>
      <c r="C1472">
        <v>3018.26</v>
      </c>
      <c r="D1472" s="1">
        <v>43503</v>
      </c>
      <c r="E1472">
        <v>3.7187000000000001</v>
      </c>
      <c r="F1472" s="1">
        <v>43480</v>
      </c>
      <c r="G1472">
        <v>121.899</v>
      </c>
      <c r="H1472" s="4">
        <f t="shared" si="188"/>
        <v>453305.8113</v>
      </c>
      <c r="I1472" s="5">
        <v>43488</v>
      </c>
      <c r="J1472" s="4">
        <v>4704.12</v>
      </c>
      <c r="K1472" s="4">
        <f t="shared" si="189"/>
        <v>47041.2</v>
      </c>
      <c r="L1472" s="1">
        <v>43486</v>
      </c>
      <c r="M1472">
        <v>4.42</v>
      </c>
      <c r="P1472" s="1">
        <v>43438</v>
      </c>
      <c r="Q1472">
        <v>5.0599999999999996</v>
      </c>
      <c r="AJ1472" s="1">
        <v>43488</v>
      </c>
      <c r="AL1472">
        <v>9.1</v>
      </c>
      <c r="AM1472" s="6">
        <f t="shared" si="190"/>
        <v>100000</v>
      </c>
      <c r="AN1472" s="2">
        <f t="shared" si="191"/>
        <v>0</v>
      </c>
    </row>
    <row r="1473" spans="2:40" x14ac:dyDescent="0.35">
      <c r="B1473" s="1">
        <v>43487</v>
      </c>
      <c r="C1473">
        <v>3005.22</v>
      </c>
      <c r="D1473" s="1">
        <v>43502</v>
      </c>
      <c r="E1473">
        <v>3.7012999999999998</v>
      </c>
      <c r="F1473" s="1">
        <v>43479</v>
      </c>
      <c r="G1473">
        <v>121.913</v>
      </c>
      <c r="H1473" s="4">
        <f t="shared" si="188"/>
        <v>451236.58689999994</v>
      </c>
      <c r="I1473" s="5">
        <v>43487</v>
      </c>
      <c r="J1473" s="4">
        <v>4765.28</v>
      </c>
      <c r="K1473" s="4">
        <f t="shared" si="189"/>
        <v>47652.799999999996</v>
      </c>
      <c r="L1473" s="1">
        <v>43481</v>
      </c>
      <c r="M1473">
        <v>4.4000000000000004</v>
      </c>
      <c r="P1473" s="1">
        <v>43434</v>
      </c>
      <c r="Q1473">
        <v>5.0199999999999996</v>
      </c>
      <c r="AJ1473" s="1">
        <v>43487</v>
      </c>
      <c r="AL1473">
        <v>9.26</v>
      </c>
      <c r="AM1473" s="6">
        <f t="shared" si="190"/>
        <v>100000</v>
      </c>
      <c r="AN1473" s="2">
        <f t="shared" si="191"/>
        <v>0</v>
      </c>
    </row>
    <row r="1474" spans="2:40" x14ac:dyDescent="0.35">
      <c r="B1474" s="1">
        <v>43486</v>
      </c>
      <c r="C1474">
        <v>3060.4</v>
      </c>
      <c r="D1474" s="1">
        <v>43501</v>
      </c>
      <c r="E1474">
        <v>3.6735000000000002</v>
      </c>
      <c r="F1474" s="1">
        <v>43476</v>
      </c>
      <c r="G1474">
        <v>122.008</v>
      </c>
      <c r="H1474" s="4">
        <f t="shared" si="188"/>
        <v>448196.38800000004</v>
      </c>
      <c r="I1474" s="5">
        <v>43486</v>
      </c>
      <c r="J1474" s="4">
        <v>4688.5200000000004</v>
      </c>
      <c r="K1474" s="4">
        <f t="shared" si="189"/>
        <v>46885.200000000004</v>
      </c>
      <c r="L1474" s="1">
        <v>43479</v>
      </c>
      <c r="M1474">
        <v>4.41</v>
      </c>
      <c r="P1474" s="1">
        <v>43433</v>
      </c>
      <c r="Q1474">
        <v>5.0599999999999996</v>
      </c>
      <c r="AJ1474" s="1">
        <v>43486</v>
      </c>
      <c r="AL1474">
        <v>9.2100000000000009</v>
      </c>
      <c r="AM1474" s="6">
        <f t="shared" si="190"/>
        <v>100000</v>
      </c>
      <c r="AN1474" s="2">
        <f t="shared" si="191"/>
        <v>0</v>
      </c>
    </row>
    <row r="1475" spans="2:40" x14ac:dyDescent="0.35">
      <c r="B1475" s="1">
        <v>43483</v>
      </c>
      <c r="C1475">
        <v>3066.73</v>
      </c>
      <c r="D1475" s="1">
        <v>43500</v>
      </c>
      <c r="E1475">
        <v>3.6749999999999998</v>
      </c>
      <c r="F1475" s="1">
        <v>43475</v>
      </c>
      <c r="G1475">
        <v>121.83799999999999</v>
      </c>
      <c r="H1475" s="4">
        <f t="shared" si="188"/>
        <v>447754.64999999997</v>
      </c>
      <c r="I1475" s="5">
        <v>43483</v>
      </c>
      <c r="J1475" s="4">
        <v>4686.6499999999996</v>
      </c>
      <c r="K1475" s="4">
        <f t="shared" si="189"/>
        <v>46866.5</v>
      </c>
      <c r="L1475" s="1">
        <v>43476</v>
      </c>
      <c r="M1475">
        <v>4.46</v>
      </c>
      <c r="P1475" s="1">
        <v>43425</v>
      </c>
      <c r="Q1475">
        <v>5.07</v>
      </c>
      <c r="AJ1475" s="1">
        <v>43483</v>
      </c>
      <c r="AL1475">
        <v>9.2200000000000006</v>
      </c>
      <c r="AM1475" s="6">
        <f t="shared" si="190"/>
        <v>100000</v>
      </c>
      <c r="AN1475" s="2">
        <f t="shared" si="191"/>
        <v>0</v>
      </c>
    </row>
    <row r="1476" spans="2:40" x14ac:dyDescent="0.35">
      <c r="B1476" s="1">
        <v>43482</v>
      </c>
      <c r="C1476">
        <v>3025.82</v>
      </c>
      <c r="D1476" s="1">
        <v>43497</v>
      </c>
      <c r="E1476">
        <v>3.6688000000000001</v>
      </c>
      <c r="F1476" s="1">
        <v>43474</v>
      </c>
      <c r="G1476">
        <v>121.80500000000001</v>
      </c>
      <c r="H1476" s="4">
        <f t="shared" ref="H1476:H1539" si="192">G1476*E1476*1000</f>
        <v>446878.18400000001</v>
      </c>
      <c r="I1476" s="5">
        <v>43482</v>
      </c>
      <c r="J1476" s="4">
        <v>4681.03</v>
      </c>
      <c r="K1476" s="4">
        <f t="shared" si="189"/>
        <v>46810.299999999996</v>
      </c>
      <c r="L1476" s="1">
        <v>43475</v>
      </c>
      <c r="M1476">
        <v>4.46</v>
      </c>
      <c r="P1476" s="1">
        <v>43423</v>
      </c>
      <c r="Q1476">
        <v>5.08</v>
      </c>
      <c r="AJ1476" s="1">
        <v>43482</v>
      </c>
      <c r="AL1476">
        <v>9.3000000000000007</v>
      </c>
      <c r="AM1476" s="6">
        <f t="shared" si="190"/>
        <v>100000</v>
      </c>
      <c r="AN1476" s="2">
        <f t="shared" si="191"/>
        <v>0</v>
      </c>
    </row>
    <row r="1477" spans="2:40" x14ac:dyDescent="0.35">
      <c r="B1477" s="1">
        <v>43481</v>
      </c>
      <c r="C1477">
        <v>3011.13</v>
      </c>
      <c r="D1477" s="1">
        <v>43496</v>
      </c>
      <c r="E1477">
        <v>3.6513</v>
      </c>
      <c r="F1477" s="1">
        <v>43473</v>
      </c>
      <c r="G1477">
        <v>121.852</v>
      </c>
      <c r="H1477" s="4">
        <f t="shared" si="192"/>
        <v>444918.20760000002</v>
      </c>
      <c r="I1477" s="5">
        <v>43481</v>
      </c>
      <c r="J1477" s="4">
        <v>4665.43</v>
      </c>
      <c r="K1477" s="4">
        <f t="shared" ref="K1477:K1540" si="193">J1477*10</f>
        <v>46654.3</v>
      </c>
      <c r="L1477" s="1">
        <v>43474</v>
      </c>
      <c r="M1477">
        <v>4.43</v>
      </c>
      <c r="P1477" s="1">
        <v>43418</v>
      </c>
      <c r="Q1477">
        <v>5.2</v>
      </c>
      <c r="AJ1477" s="1">
        <v>43481</v>
      </c>
      <c r="AL1477">
        <v>9.35</v>
      </c>
      <c r="AM1477" s="6">
        <f t="shared" ref="AM1477:AM1540" si="194">$Z$2/(1+AL1477/100)^(AK1477/252)</f>
        <v>100000</v>
      </c>
      <c r="AN1477" s="2">
        <f t="shared" ref="AN1477:AN1540" si="195">LOG(AM1477/AM1478)</f>
        <v>0</v>
      </c>
    </row>
    <row r="1478" spans="2:40" x14ac:dyDescent="0.35">
      <c r="B1478" s="1">
        <v>43480</v>
      </c>
      <c r="C1478">
        <v>2988.71</v>
      </c>
      <c r="D1478" s="1">
        <v>43495</v>
      </c>
      <c r="E1478">
        <v>3.7145000000000001</v>
      </c>
      <c r="F1478" s="1">
        <v>43472</v>
      </c>
      <c r="G1478">
        <v>122.02200000000001</v>
      </c>
      <c r="H1478" s="4">
        <f t="shared" si="192"/>
        <v>453250.71900000004</v>
      </c>
      <c r="I1478" s="5">
        <v>43480</v>
      </c>
      <c r="J1478" s="4">
        <v>4642.34</v>
      </c>
      <c r="K1478" s="4">
        <f t="shared" si="193"/>
        <v>46423.4</v>
      </c>
      <c r="L1478" s="1">
        <v>43473</v>
      </c>
      <c r="M1478">
        <v>4.51</v>
      </c>
      <c r="P1478" s="1">
        <v>43412</v>
      </c>
      <c r="Q1478">
        <v>5.19</v>
      </c>
      <c r="AJ1478" s="1">
        <v>43480</v>
      </c>
      <c r="AL1478">
        <v>9.33</v>
      </c>
      <c r="AM1478" s="6">
        <f t="shared" si="194"/>
        <v>100000</v>
      </c>
      <c r="AN1478" s="2">
        <f t="shared" si="195"/>
        <v>0</v>
      </c>
    </row>
    <row r="1479" spans="2:40" x14ac:dyDescent="0.35">
      <c r="B1479" s="1">
        <v>43479</v>
      </c>
      <c r="C1479">
        <v>2970.65</v>
      </c>
      <c r="D1479" s="1">
        <v>43494</v>
      </c>
      <c r="E1479">
        <v>3.7364000000000002</v>
      </c>
      <c r="F1479" s="1">
        <v>43469</v>
      </c>
      <c r="G1479">
        <v>122.30500000000001</v>
      </c>
      <c r="H1479" s="4">
        <f t="shared" si="192"/>
        <v>456980.402</v>
      </c>
      <c r="I1479" s="5">
        <v>43479</v>
      </c>
      <c r="J1479" s="4">
        <v>4621.75</v>
      </c>
      <c r="K1479" s="4">
        <f t="shared" si="193"/>
        <v>46217.5</v>
      </c>
      <c r="L1479" s="1">
        <v>43472</v>
      </c>
      <c r="M1479">
        <v>4.5</v>
      </c>
      <c r="P1479" s="1">
        <v>43399</v>
      </c>
      <c r="Q1479">
        <v>5.07</v>
      </c>
      <c r="AJ1479" s="1">
        <v>43479</v>
      </c>
      <c r="AL1479">
        <v>9.2200000000000006</v>
      </c>
      <c r="AM1479" s="6">
        <f t="shared" si="194"/>
        <v>100000</v>
      </c>
      <c r="AN1479" s="2">
        <f t="shared" si="195"/>
        <v>0</v>
      </c>
    </row>
    <row r="1480" spans="2:40" x14ac:dyDescent="0.35">
      <c r="B1480" s="1">
        <v>43476</v>
      </c>
      <c r="C1480">
        <v>2973.8</v>
      </c>
      <c r="D1480" s="1">
        <v>43493</v>
      </c>
      <c r="E1480">
        <v>3.7669999999999999</v>
      </c>
      <c r="F1480" s="1">
        <v>43468</v>
      </c>
      <c r="G1480">
        <v>123.012</v>
      </c>
      <c r="H1480" s="4">
        <f t="shared" si="192"/>
        <v>463386.20399999997</v>
      </c>
      <c r="I1480" s="5">
        <v>43476</v>
      </c>
      <c r="J1480" s="4">
        <v>4637.3500000000004</v>
      </c>
      <c r="K1480" s="4">
        <f t="shared" si="193"/>
        <v>46373.5</v>
      </c>
      <c r="L1480" s="1">
        <v>43469</v>
      </c>
      <c r="M1480">
        <v>4.49</v>
      </c>
      <c r="P1480" s="1">
        <v>43398</v>
      </c>
      <c r="Q1480">
        <v>5.16</v>
      </c>
      <c r="AJ1480" s="1">
        <v>43476</v>
      </c>
      <c r="AL1480">
        <v>9.27</v>
      </c>
      <c r="AM1480" s="6">
        <f t="shared" si="194"/>
        <v>100000</v>
      </c>
      <c r="AN1480" s="2">
        <f t="shared" si="195"/>
        <v>0</v>
      </c>
    </row>
    <row r="1481" spans="2:40" x14ac:dyDescent="0.35">
      <c r="B1481" s="1">
        <v>43475</v>
      </c>
      <c r="C1481">
        <v>2977.8</v>
      </c>
      <c r="D1481" s="1">
        <v>43490</v>
      </c>
      <c r="E1481">
        <v>3.7612999999999999</v>
      </c>
      <c r="F1481" s="1">
        <v>43467</v>
      </c>
      <c r="G1481">
        <v>122.185</v>
      </c>
      <c r="H1481" s="4">
        <f t="shared" si="192"/>
        <v>459574.44049999997</v>
      </c>
      <c r="I1481" s="5">
        <v>43475</v>
      </c>
      <c r="J1481" s="4">
        <v>4637.97</v>
      </c>
      <c r="K1481" s="4">
        <f t="shared" si="193"/>
        <v>46379.700000000004</v>
      </c>
      <c r="L1481" s="1">
        <v>43468</v>
      </c>
      <c r="M1481">
        <v>4.55</v>
      </c>
      <c r="P1481" s="1">
        <v>43397</v>
      </c>
      <c r="Q1481">
        <v>5.1100000000000003</v>
      </c>
      <c r="AJ1481" s="1">
        <v>43475</v>
      </c>
      <c r="AL1481">
        <v>9.2899999999999991</v>
      </c>
      <c r="AM1481" s="6">
        <f t="shared" si="194"/>
        <v>100000</v>
      </c>
      <c r="AN1481" s="2">
        <f t="shared" si="195"/>
        <v>0</v>
      </c>
    </row>
    <row r="1482" spans="2:40" x14ac:dyDescent="0.35">
      <c r="B1482" s="1">
        <v>43474</v>
      </c>
      <c r="C1482">
        <v>2972.71</v>
      </c>
      <c r="D1482" s="1">
        <v>43489</v>
      </c>
      <c r="E1482">
        <v>3.7808999999999999</v>
      </c>
      <c r="F1482" s="1">
        <v>43462</v>
      </c>
      <c r="G1482">
        <v>121.61199999999999</v>
      </c>
      <c r="H1482" s="4">
        <f t="shared" si="192"/>
        <v>459802.81079999998</v>
      </c>
      <c r="I1482" s="5">
        <v>43474</v>
      </c>
      <c r="J1482" s="4">
        <v>4606.1499999999996</v>
      </c>
      <c r="K1482" s="4">
        <f t="shared" si="193"/>
        <v>46061.5</v>
      </c>
      <c r="L1482" s="1">
        <v>43462</v>
      </c>
      <c r="M1482">
        <v>4.75</v>
      </c>
      <c r="P1482" s="1">
        <v>43395</v>
      </c>
      <c r="Q1482">
        <v>5.0999999999999996</v>
      </c>
      <c r="AJ1482" s="1">
        <v>43474</v>
      </c>
      <c r="AL1482">
        <v>9.19</v>
      </c>
      <c r="AM1482" s="6">
        <f t="shared" si="194"/>
        <v>100000</v>
      </c>
      <c r="AN1482" s="2">
        <f t="shared" si="195"/>
        <v>0</v>
      </c>
    </row>
    <row r="1483" spans="2:40" x14ac:dyDescent="0.35">
      <c r="B1483" s="1">
        <v>43473</v>
      </c>
      <c r="C1483">
        <v>2947.93</v>
      </c>
      <c r="D1483" s="1">
        <v>43488</v>
      </c>
      <c r="E1483">
        <v>3.7988</v>
      </c>
      <c r="F1483" s="1">
        <v>43461</v>
      </c>
      <c r="G1483">
        <v>121.502</v>
      </c>
      <c r="H1483" s="4">
        <f t="shared" si="192"/>
        <v>461561.79759999999</v>
      </c>
      <c r="I1483" s="5">
        <v>43473</v>
      </c>
      <c r="J1483" s="4">
        <v>4640.47</v>
      </c>
      <c r="K1483" s="4">
        <f t="shared" si="193"/>
        <v>46404.700000000004</v>
      </c>
      <c r="L1483" s="1">
        <v>43461</v>
      </c>
      <c r="M1483">
        <v>4.78</v>
      </c>
      <c r="P1483" s="1">
        <v>43391</v>
      </c>
      <c r="Q1483">
        <v>5.27</v>
      </c>
      <c r="AJ1483" s="1">
        <v>43473</v>
      </c>
      <c r="AL1483">
        <v>9.24</v>
      </c>
      <c r="AM1483" s="6">
        <f t="shared" si="194"/>
        <v>100000</v>
      </c>
      <c r="AN1483" s="2">
        <f t="shared" si="195"/>
        <v>0</v>
      </c>
    </row>
    <row r="1484" spans="2:40" x14ac:dyDescent="0.35">
      <c r="B1484" s="1">
        <v>43472</v>
      </c>
      <c r="C1484">
        <v>2928.88</v>
      </c>
      <c r="D1484" s="1">
        <v>43487</v>
      </c>
      <c r="E1484">
        <v>3.7608999999999999</v>
      </c>
      <c r="F1484" s="1">
        <v>43460</v>
      </c>
      <c r="G1484">
        <v>121.05</v>
      </c>
      <c r="H1484" s="4">
        <f t="shared" si="192"/>
        <v>455256.94499999995</v>
      </c>
      <c r="I1484" s="5">
        <v>43472</v>
      </c>
      <c r="J1484" s="4">
        <v>4669.8</v>
      </c>
      <c r="K1484" s="4">
        <f t="shared" si="193"/>
        <v>46698</v>
      </c>
      <c r="L1484" s="1">
        <v>43460</v>
      </c>
      <c r="M1484">
        <v>4.8</v>
      </c>
      <c r="P1484" s="1">
        <v>43390</v>
      </c>
      <c r="Q1484">
        <v>5.26</v>
      </c>
      <c r="AJ1484" s="1">
        <v>43472</v>
      </c>
      <c r="AL1484">
        <v>9.31</v>
      </c>
      <c r="AM1484" s="6">
        <f t="shared" si="194"/>
        <v>100000</v>
      </c>
      <c r="AN1484" s="2">
        <f t="shared" si="195"/>
        <v>0</v>
      </c>
    </row>
    <row r="1485" spans="2:40" x14ac:dyDescent="0.35">
      <c r="B1485" s="1">
        <v>43469</v>
      </c>
      <c r="C1485">
        <v>2908.81</v>
      </c>
      <c r="D1485" s="1">
        <v>43486</v>
      </c>
      <c r="E1485">
        <v>3.7698999999999998</v>
      </c>
      <c r="F1485" s="1">
        <v>43455</v>
      </c>
      <c r="G1485">
        <v>121.05</v>
      </c>
      <c r="H1485" s="4">
        <f t="shared" si="192"/>
        <v>456346.39499999996</v>
      </c>
      <c r="I1485" s="5">
        <v>43469</v>
      </c>
      <c r="J1485" s="4">
        <v>4644.84</v>
      </c>
      <c r="K1485" s="4">
        <f t="shared" si="193"/>
        <v>46448.4</v>
      </c>
      <c r="L1485" s="1">
        <v>43455</v>
      </c>
      <c r="M1485">
        <v>4.79</v>
      </c>
      <c r="P1485" s="1">
        <v>43389</v>
      </c>
      <c r="Q1485">
        <v>5.35</v>
      </c>
      <c r="AJ1485" s="1">
        <v>43469</v>
      </c>
      <c r="AL1485">
        <v>9.26</v>
      </c>
      <c r="AM1485" s="6">
        <f t="shared" si="194"/>
        <v>100000</v>
      </c>
      <c r="AN1485" s="2">
        <f t="shared" si="195"/>
        <v>0</v>
      </c>
    </row>
    <row r="1486" spans="2:40" x14ac:dyDescent="0.35">
      <c r="B1486" s="1">
        <v>43468</v>
      </c>
      <c r="C1486">
        <v>2820.19</v>
      </c>
      <c r="D1486" s="1">
        <v>43483</v>
      </c>
      <c r="E1486">
        <v>3.7480000000000002</v>
      </c>
      <c r="F1486" s="1">
        <v>43454</v>
      </c>
      <c r="G1486">
        <v>121.17</v>
      </c>
      <c r="H1486" s="4">
        <f t="shared" si="192"/>
        <v>454145.16000000003</v>
      </c>
      <c r="I1486" s="5">
        <v>43468</v>
      </c>
      <c r="J1486" s="4">
        <v>4697.26</v>
      </c>
      <c r="K1486" s="4">
        <f t="shared" si="193"/>
        <v>46972.600000000006</v>
      </c>
      <c r="L1486" s="1">
        <v>43454</v>
      </c>
      <c r="M1486">
        <v>4.78</v>
      </c>
      <c r="P1486" s="1">
        <v>43383</v>
      </c>
      <c r="Q1486">
        <v>5.62</v>
      </c>
      <c r="AJ1486" s="1">
        <v>43468</v>
      </c>
      <c r="AL1486">
        <v>9.3000000000000007</v>
      </c>
      <c r="AM1486" s="6">
        <f t="shared" si="194"/>
        <v>100000</v>
      </c>
      <c r="AN1486" s="2">
        <f t="shared" si="195"/>
        <v>0</v>
      </c>
    </row>
    <row r="1487" spans="2:40" x14ac:dyDescent="0.35">
      <c r="B1487" s="1">
        <v>43467</v>
      </c>
      <c r="C1487">
        <v>2887.18</v>
      </c>
      <c r="D1487" s="1">
        <v>43482</v>
      </c>
      <c r="E1487">
        <v>3.7585000000000002</v>
      </c>
      <c r="F1487" s="1">
        <v>43453</v>
      </c>
      <c r="G1487">
        <v>121.185</v>
      </c>
      <c r="H1487" s="4">
        <f t="shared" si="192"/>
        <v>455473.82250000007</v>
      </c>
      <c r="I1487" s="5">
        <v>43467</v>
      </c>
      <c r="J1487" s="4">
        <v>4730.96</v>
      </c>
      <c r="K1487" s="4">
        <f t="shared" si="193"/>
        <v>47309.599999999999</v>
      </c>
      <c r="L1487" s="1">
        <v>43452</v>
      </c>
      <c r="M1487">
        <v>4.88</v>
      </c>
      <c r="P1487" s="1">
        <v>43381</v>
      </c>
      <c r="Q1487">
        <v>5.67</v>
      </c>
      <c r="AJ1487" s="1">
        <v>43467</v>
      </c>
      <c r="AL1487">
        <v>9.32</v>
      </c>
      <c r="AM1487" s="6">
        <f t="shared" si="194"/>
        <v>100000</v>
      </c>
      <c r="AN1487" s="2">
        <f t="shared" si="195"/>
        <v>0</v>
      </c>
    </row>
    <row r="1488" spans="2:40" x14ac:dyDescent="0.35">
      <c r="B1488" s="1">
        <v>43462</v>
      </c>
      <c r="C1488">
        <v>2884.17</v>
      </c>
      <c r="D1488" s="1">
        <v>43481</v>
      </c>
      <c r="E1488">
        <v>3.7191000000000001</v>
      </c>
      <c r="F1488" s="1">
        <v>43452</v>
      </c>
      <c r="G1488">
        <v>120.905</v>
      </c>
      <c r="H1488" s="4">
        <f t="shared" si="192"/>
        <v>449657.7855</v>
      </c>
      <c r="I1488" s="5">
        <v>43462</v>
      </c>
      <c r="J1488" s="4">
        <v>4846.41</v>
      </c>
      <c r="K1488" s="4">
        <f t="shared" si="193"/>
        <v>48464.1</v>
      </c>
      <c r="L1488" s="1">
        <v>43451</v>
      </c>
      <c r="M1488">
        <v>4.84</v>
      </c>
      <c r="P1488" s="1">
        <v>43378</v>
      </c>
      <c r="Q1488">
        <v>5.83</v>
      </c>
      <c r="AJ1488" s="1">
        <v>43462</v>
      </c>
      <c r="AL1488">
        <v>9.41</v>
      </c>
      <c r="AM1488" s="6">
        <f t="shared" si="194"/>
        <v>100000</v>
      </c>
      <c r="AN1488" s="2">
        <f t="shared" si="195"/>
        <v>0</v>
      </c>
    </row>
    <row r="1489" spans="2:40" x14ac:dyDescent="0.35">
      <c r="B1489" s="1">
        <v>43461</v>
      </c>
      <c r="C1489">
        <v>2775.42</v>
      </c>
      <c r="D1489" s="1">
        <v>43480</v>
      </c>
      <c r="E1489">
        <v>3.7042999999999999</v>
      </c>
      <c r="F1489" s="1">
        <v>43451</v>
      </c>
      <c r="G1489">
        <v>120.67</v>
      </c>
      <c r="H1489" s="4">
        <f t="shared" si="192"/>
        <v>446997.88099999999</v>
      </c>
      <c r="I1489" s="5">
        <v>43461</v>
      </c>
      <c r="J1489" s="4">
        <v>4840.79</v>
      </c>
      <c r="K1489" s="4">
        <f t="shared" si="193"/>
        <v>48407.9</v>
      </c>
      <c r="L1489" s="1">
        <v>43448</v>
      </c>
      <c r="M1489">
        <v>4.8600000000000003</v>
      </c>
      <c r="P1489" s="1">
        <v>43377</v>
      </c>
      <c r="Q1489">
        <v>5.95</v>
      </c>
      <c r="AJ1489" s="1">
        <v>43461</v>
      </c>
      <c r="AL1489">
        <v>9.44</v>
      </c>
      <c r="AM1489" s="6">
        <f t="shared" si="194"/>
        <v>100000</v>
      </c>
      <c r="AN1489" s="2">
        <f t="shared" si="195"/>
        <v>0</v>
      </c>
    </row>
    <row r="1490" spans="2:40" x14ac:dyDescent="0.35">
      <c r="B1490" s="1">
        <v>43460</v>
      </c>
      <c r="C1490">
        <v>2770.18</v>
      </c>
      <c r="D1490" s="1">
        <v>43479</v>
      </c>
      <c r="E1490">
        <v>3.7254999999999998</v>
      </c>
      <c r="F1490" s="1">
        <v>43448</v>
      </c>
      <c r="G1490">
        <v>120.467</v>
      </c>
      <c r="H1490" s="4">
        <f t="shared" si="192"/>
        <v>448799.80849999998</v>
      </c>
      <c r="I1490" s="5">
        <v>43460</v>
      </c>
      <c r="J1490" s="4">
        <v>4897.0200000000004</v>
      </c>
      <c r="K1490" s="4">
        <f t="shared" si="193"/>
        <v>48970.200000000004</v>
      </c>
      <c r="L1490" s="1">
        <v>43447</v>
      </c>
      <c r="M1490">
        <v>4.8499999999999996</v>
      </c>
      <c r="P1490" s="1">
        <v>43375</v>
      </c>
      <c r="Q1490">
        <v>6.04</v>
      </c>
      <c r="AJ1490" s="1">
        <v>43460</v>
      </c>
      <c r="AL1490">
        <v>9.5299999999999994</v>
      </c>
      <c r="AM1490" s="6">
        <f t="shared" si="194"/>
        <v>100000</v>
      </c>
      <c r="AN1490" s="2">
        <f t="shared" si="195"/>
        <v>0</v>
      </c>
    </row>
    <row r="1491" spans="2:40" x14ac:dyDescent="0.35">
      <c r="B1491" s="1">
        <v>43455</v>
      </c>
      <c r="C1491">
        <v>2793.74</v>
      </c>
      <c r="D1491" s="1">
        <v>43476</v>
      </c>
      <c r="E1491">
        <v>3.7134999999999998</v>
      </c>
      <c r="F1491" s="1">
        <v>43447</v>
      </c>
      <c r="G1491">
        <v>120.327</v>
      </c>
      <c r="H1491" s="4">
        <f t="shared" si="192"/>
        <v>446834.31449999992</v>
      </c>
      <c r="I1491" s="5">
        <v>43455</v>
      </c>
      <c r="J1491" s="4">
        <v>4876.3999999999996</v>
      </c>
      <c r="K1491" s="4">
        <f t="shared" si="193"/>
        <v>48764</v>
      </c>
      <c r="L1491" s="1">
        <v>43446</v>
      </c>
      <c r="M1491">
        <v>4.9000000000000004</v>
      </c>
      <c r="P1491" s="1">
        <v>43371</v>
      </c>
      <c r="Q1491">
        <v>6.12</v>
      </c>
      <c r="AJ1491" s="1">
        <v>43455</v>
      </c>
      <c r="AL1491">
        <v>9.56</v>
      </c>
      <c r="AM1491" s="6">
        <f t="shared" si="194"/>
        <v>100000</v>
      </c>
      <c r="AN1491" s="2">
        <f t="shared" si="195"/>
        <v>0</v>
      </c>
    </row>
    <row r="1492" spans="2:40" x14ac:dyDescent="0.35">
      <c r="B1492" s="1">
        <v>43454</v>
      </c>
      <c r="C1492">
        <v>2840.01</v>
      </c>
      <c r="D1492" s="1">
        <v>43475</v>
      </c>
      <c r="E1492">
        <v>3.6863000000000001</v>
      </c>
      <c r="F1492" s="1">
        <v>43446</v>
      </c>
      <c r="G1492">
        <v>120.277</v>
      </c>
      <c r="H1492" s="4">
        <f t="shared" si="192"/>
        <v>443377.10509999999</v>
      </c>
      <c r="I1492" s="5">
        <v>43454</v>
      </c>
      <c r="J1492" s="4">
        <v>4800.8</v>
      </c>
      <c r="K1492" s="4">
        <f t="shared" si="193"/>
        <v>48008</v>
      </c>
      <c r="L1492" s="1">
        <v>43445</v>
      </c>
      <c r="M1492">
        <v>4.91</v>
      </c>
      <c r="P1492" s="1">
        <v>43370</v>
      </c>
      <c r="Q1492">
        <v>6.06</v>
      </c>
      <c r="AJ1492" s="1">
        <v>43454</v>
      </c>
      <c r="AL1492">
        <v>9.57</v>
      </c>
      <c r="AM1492" s="6">
        <f t="shared" si="194"/>
        <v>100000</v>
      </c>
      <c r="AN1492" s="2">
        <f t="shared" si="195"/>
        <v>0</v>
      </c>
    </row>
    <row r="1493" spans="2:40" x14ac:dyDescent="0.35">
      <c r="B1493" s="1">
        <v>43453</v>
      </c>
      <c r="C1493">
        <v>2906.93</v>
      </c>
      <c r="D1493" s="1">
        <v>43474</v>
      </c>
      <c r="E1493">
        <v>3.6924999999999999</v>
      </c>
      <c r="F1493" s="1">
        <v>43445</v>
      </c>
      <c r="G1493">
        <v>120.39100000000001</v>
      </c>
      <c r="H1493" s="4">
        <f t="shared" si="192"/>
        <v>444543.76750000002</v>
      </c>
      <c r="I1493" s="5">
        <v>43453</v>
      </c>
      <c r="J1493" s="4">
        <v>4869.53</v>
      </c>
      <c r="K1493" s="4">
        <f t="shared" si="193"/>
        <v>48695.299999999996</v>
      </c>
      <c r="L1493" s="1">
        <v>43444</v>
      </c>
      <c r="M1493">
        <v>4.9800000000000004</v>
      </c>
      <c r="P1493" s="1">
        <v>43355</v>
      </c>
      <c r="Q1493">
        <v>6.05</v>
      </c>
      <c r="AJ1493" s="1">
        <v>43453</v>
      </c>
      <c r="AL1493">
        <v>9.7100000000000009</v>
      </c>
      <c r="AM1493" s="6">
        <f t="shared" si="194"/>
        <v>100000</v>
      </c>
      <c r="AN1493" s="2">
        <f t="shared" si="195"/>
        <v>0</v>
      </c>
    </row>
    <row r="1494" spans="2:40" x14ac:dyDescent="0.35">
      <c r="B1494" s="1">
        <v>43452</v>
      </c>
      <c r="C1494">
        <v>2919.98</v>
      </c>
      <c r="D1494" s="1">
        <v>43473</v>
      </c>
      <c r="E1494">
        <v>3.7202000000000002</v>
      </c>
      <c r="F1494" s="1">
        <v>43444</v>
      </c>
      <c r="G1494">
        <v>120.625</v>
      </c>
      <c r="H1494" s="4">
        <f t="shared" si="192"/>
        <v>448749.12500000006</v>
      </c>
      <c r="I1494" s="5">
        <v>43452</v>
      </c>
      <c r="J1494" s="4">
        <v>4890.1499999999996</v>
      </c>
      <c r="K1494" s="4">
        <f t="shared" si="193"/>
        <v>48901.5</v>
      </c>
      <c r="L1494" s="1">
        <v>43441</v>
      </c>
      <c r="M1494">
        <v>4.93</v>
      </c>
      <c r="P1494" s="1">
        <v>43354</v>
      </c>
      <c r="Q1494">
        <v>6.12</v>
      </c>
      <c r="AJ1494" s="1">
        <v>43452</v>
      </c>
      <c r="AL1494">
        <v>9.86</v>
      </c>
      <c r="AM1494" s="6">
        <f t="shared" si="194"/>
        <v>100000</v>
      </c>
      <c r="AN1494" s="2">
        <f t="shared" si="195"/>
        <v>0</v>
      </c>
    </row>
    <row r="1495" spans="2:40" x14ac:dyDescent="0.35">
      <c r="B1495" s="1">
        <v>43451</v>
      </c>
      <c r="C1495">
        <v>2931.29</v>
      </c>
      <c r="D1495" s="1">
        <v>43472</v>
      </c>
      <c r="E1495">
        <v>3.7056</v>
      </c>
      <c r="F1495" s="1">
        <v>43441</v>
      </c>
      <c r="G1495">
        <v>120.7</v>
      </c>
      <c r="H1495" s="4">
        <f t="shared" si="192"/>
        <v>447265.92</v>
      </c>
      <c r="I1495" s="5">
        <v>43451</v>
      </c>
      <c r="J1495" s="4">
        <v>4873.8999999999996</v>
      </c>
      <c r="K1495" s="4">
        <f t="shared" si="193"/>
        <v>48739</v>
      </c>
      <c r="L1495" s="1">
        <v>43440</v>
      </c>
      <c r="M1495">
        <v>4.96</v>
      </c>
      <c r="P1495" s="1">
        <v>43353</v>
      </c>
      <c r="Q1495">
        <v>6.02</v>
      </c>
      <c r="W1495" t="s">
        <v>10</v>
      </c>
      <c r="X1495" t="s">
        <v>10</v>
      </c>
      <c r="AJ1495" s="1">
        <v>43451</v>
      </c>
      <c r="AL1495">
        <v>9.8000000000000007</v>
      </c>
      <c r="AM1495" s="6">
        <f t="shared" si="194"/>
        <v>100000</v>
      </c>
      <c r="AN1495" s="2">
        <f t="shared" si="195"/>
        <v>0</v>
      </c>
    </row>
    <row r="1496" spans="2:40" x14ac:dyDescent="0.35">
      <c r="D1496" s="1">
        <v>43469</v>
      </c>
      <c r="E1496">
        <v>3.7621000000000002</v>
      </c>
      <c r="F1496" s="1">
        <v>43440</v>
      </c>
      <c r="G1496">
        <v>120.392</v>
      </c>
      <c r="H1496" s="4">
        <f t="shared" si="192"/>
        <v>452926.74320000003</v>
      </c>
      <c r="I1496" s="5">
        <v>43448</v>
      </c>
      <c r="J1496" s="4">
        <v>4894.5200000000004</v>
      </c>
      <c r="K1496" s="4">
        <f t="shared" si="193"/>
        <v>48945.200000000004</v>
      </c>
      <c r="L1496" s="1">
        <v>43439</v>
      </c>
      <c r="M1496">
        <v>5</v>
      </c>
      <c r="P1496" s="1">
        <v>43347</v>
      </c>
      <c r="Q1496">
        <v>6</v>
      </c>
      <c r="AJ1496" s="1">
        <v>43448</v>
      </c>
      <c r="AL1496">
        <v>9.7899999999999991</v>
      </c>
      <c r="AM1496" s="6">
        <f t="shared" si="194"/>
        <v>100000</v>
      </c>
      <c r="AN1496" s="2">
        <f t="shared" si="195"/>
        <v>0</v>
      </c>
    </row>
    <row r="1497" spans="2:40" x14ac:dyDescent="0.35">
      <c r="D1497" s="1">
        <v>43468</v>
      </c>
      <c r="E1497">
        <v>3.7677</v>
      </c>
      <c r="F1497" s="1">
        <v>43439</v>
      </c>
      <c r="G1497">
        <v>120.1</v>
      </c>
      <c r="H1497" s="4">
        <f t="shared" si="192"/>
        <v>452500.76999999996</v>
      </c>
      <c r="I1497" s="5">
        <v>43447</v>
      </c>
      <c r="J1497" s="4">
        <v>4865.16</v>
      </c>
      <c r="K1497" s="4">
        <f t="shared" si="193"/>
        <v>48651.6</v>
      </c>
      <c r="L1497" s="1">
        <v>43438</v>
      </c>
      <c r="M1497">
        <v>4.99</v>
      </c>
      <c r="P1497" s="1">
        <v>43346</v>
      </c>
      <c r="Q1497">
        <v>5.93</v>
      </c>
      <c r="AJ1497" s="1">
        <v>43447</v>
      </c>
      <c r="AL1497">
        <v>9.8800000000000008</v>
      </c>
      <c r="AM1497" s="6">
        <f t="shared" si="194"/>
        <v>100000</v>
      </c>
      <c r="AN1497" s="2">
        <f t="shared" si="195"/>
        <v>0</v>
      </c>
    </row>
    <row r="1498" spans="2:40" x14ac:dyDescent="0.35">
      <c r="D1498" s="1">
        <v>43467</v>
      </c>
      <c r="E1498">
        <v>3.8589000000000002</v>
      </c>
      <c r="F1498" s="1">
        <v>43438</v>
      </c>
      <c r="G1498">
        <v>120.265</v>
      </c>
      <c r="H1498" s="4">
        <f t="shared" si="192"/>
        <v>464090.60850000003</v>
      </c>
      <c r="I1498" s="5">
        <v>43446</v>
      </c>
      <c r="J1498" s="4">
        <v>4820.17</v>
      </c>
      <c r="K1498" s="4">
        <f t="shared" si="193"/>
        <v>48201.7</v>
      </c>
      <c r="L1498" s="1">
        <v>43437</v>
      </c>
      <c r="M1498">
        <v>4.9400000000000004</v>
      </c>
      <c r="P1498" s="1">
        <v>43342</v>
      </c>
      <c r="Q1498">
        <v>5.92</v>
      </c>
      <c r="AJ1498" s="1">
        <v>43446</v>
      </c>
      <c r="AL1498">
        <v>10.01</v>
      </c>
      <c r="AM1498" s="6">
        <f t="shared" si="194"/>
        <v>100000</v>
      </c>
      <c r="AN1498" s="2">
        <f t="shared" si="195"/>
        <v>0</v>
      </c>
    </row>
    <row r="1499" spans="2:40" x14ac:dyDescent="0.35">
      <c r="D1499" s="1">
        <v>43465</v>
      </c>
      <c r="E1499">
        <v>3.8742000000000001</v>
      </c>
      <c r="F1499" s="1">
        <v>43437</v>
      </c>
      <c r="G1499">
        <v>119.578</v>
      </c>
      <c r="H1499" s="4">
        <f t="shared" si="192"/>
        <v>463269.08760000003</v>
      </c>
      <c r="I1499" s="5">
        <v>43445</v>
      </c>
      <c r="J1499" s="4">
        <v>4878.8999999999996</v>
      </c>
      <c r="K1499" s="4">
        <f t="shared" si="193"/>
        <v>48789</v>
      </c>
      <c r="L1499" s="1">
        <v>43434</v>
      </c>
      <c r="M1499">
        <v>4.97</v>
      </c>
      <c r="P1499" s="1">
        <v>43329</v>
      </c>
      <c r="Q1499">
        <v>5.57</v>
      </c>
      <c r="AJ1499" s="1">
        <v>43445</v>
      </c>
      <c r="AL1499">
        <v>10.119999999999999</v>
      </c>
      <c r="AM1499" s="6">
        <f t="shared" si="194"/>
        <v>100000</v>
      </c>
      <c r="AN1499" s="2">
        <f t="shared" si="195"/>
        <v>0</v>
      </c>
    </row>
    <row r="1500" spans="2:40" x14ac:dyDescent="0.35">
      <c r="D1500" s="1">
        <v>43462</v>
      </c>
      <c r="E1500">
        <v>3.8742000000000001</v>
      </c>
      <c r="F1500" s="1">
        <v>43434</v>
      </c>
      <c r="G1500">
        <v>119.453</v>
      </c>
      <c r="H1500" s="4">
        <f t="shared" si="192"/>
        <v>462784.8126</v>
      </c>
      <c r="I1500" s="5">
        <v>43444</v>
      </c>
      <c r="J1500" s="4">
        <v>4900.7700000000004</v>
      </c>
      <c r="K1500" s="4">
        <f t="shared" si="193"/>
        <v>49007.700000000004</v>
      </c>
      <c r="L1500" s="1">
        <v>43433</v>
      </c>
      <c r="M1500">
        <v>5</v>
      </c>
      <c r="P1500" s="1">
        <v>43322</v>
      </c>
      <c r="Q1500">
        <v>5.89</v>
      </c>
      <c r="AJ1500" s="1">
        <v>43444</v>
      </c>
      <c r="AL1500">
        <v>10.17</v>
      </c>
      <c r="AM1500" s="6">
        <f t="shared" si="194"/>
        <v>100000</v>
      </c>
      <c r="AN1500" s="2">
        <f t="shared" si="195"/>
        <v>0</v>
      </c>
    </row>
    <row r="1501" spans="2:40" x14ac:dyDescent="0.35">
      <c r="D1501" s="1">
        <v>43461</v>
      </c>
      <c r="E1501">
        <v>3.9323999999999999</v>
      </c>
      <c r="F1501" s="1">
        <v>43433</v>
      </c>
      <c r="G1501">
        <v>119.313</v>
      </c>
      <c r="H1501" s="4">
        <f t="shared" si="192"/>
        <v>469186.4412</v>
      </c>
      <c r="I1501" s="5">
        <v>43441</v>
      </c>
      <c r="J1501" s="4">
        <v>4886.3999999999996</v>
      </c>
      <c r="K1501" s="4">
        <f t="shared" si="193"/>
        <v>48864</v>
      </c>
      <c r="L1501" s="1">
        <v>43432</v>
      </c>
      <c r="M1501">
        <v>5.05</v>
      </c>
      <c r="P1501" s="1">
        <v>43276</v>
      </c>
      <c r="Q1501">
        <v>5.99</v>
      </c>
      <c r="AJ1501" s="1">
        <v>43441</v>
      </c>
      <c r="AL1501">
        <v>10.039999999999999</v>
      </c>
      <c r="AM1501" s="6">
        <f t="shared" si="194"/>
        <v>100000</v>
      </c>
      <c r="AN1501" s="2">
        <f t="shared" si="195"/>
        <v>0</v>
      </c>
    </row>
    <row r="1502" spans="2:40" x14ac:dyDescent="0.35">
      <c r="D1502" s="1">
        <v>43460</v>
      </c>
      <c r="E1502">
        <v>3.9251999999999998</v>
      </c>
      <c r="F1502" s="1">
        <v>43432</v>
      </c>
      <c r="G1502">
        <v>119.405</v>
      </c>
      <c r="H1502" s="4">
        <f t="shared" si="192"/>
        <v>468688.50599999994</v>
      </c>
      <c r="I1502" s="5">
        <v>43440</v>
      </c>
      <c r="J1502" s="4">
        <v>4850.79</v>
      </c>
      <c r="K1502" s="4">
        <f t="shared" si="193"/>
        <v>48507.9</v>
      </c>
      <c r="L1502" s="1">
        <v>43431</v>
      </c>
      <c r="M1502">
        <v>5.1100000000000003</v>
      </c>
      <c r="P1502" s="1">
        <v>43237</v>
      </c>
      <c r="Q1502">
        <v>5.36</v>
      </c>
      <c r="AJ1502" s="1">
        <v>43440</v>
      </c>
      <c r="AL1502">
        <v>10.01</v>
      </c>
      <c r="AM1502" s="6">
        <f t="shared" si="194"/>
        <v>100000</v>
      </c>
      <c r="AN1502" s="2">
        <f t="shared" si="195"/>
        <v>0</v>
      </c>
    </row>
    <row r="1503" spans="2:40" x14ac:dyDescent="0.35">
      <c r="D1503" s="1">
        <v>43458</v>
      </c>
      <c r="E1503">
        <v>3.8839000000000001</v>
      </c>
      <c r="F1503" s="1">
        <v>43431</v>
      </c>
      <c r="G1503">
        <v>119.26</v>
      </c>
      <c r="H1503" s="4">
        <f t="shared" si="192"/>
        <v>463193.91400000005</v>
      </c>
      <c r="I1503" s="5">
        <v>43439</v>
      </c>
      <c r="J1503" s="4">
        <v>4838.92</v>
      </c>
      <c r="K1503" s="4">
        <f t="shared" si="193"/>
        <v>48389.2</v>
      </c>
      <c r="L1503" s="1">
        <v>43430</v>
      </c>
      <c r="M1503">
        <v>5.15</v>
      </c>
      <c r="P1503" s="1">
        <v>43235</v>
      </c>
      <c r="Q1503">
        <v>5.34</v>
      </c>
      <c r="AJ1503" s="1">
        <v>43439</v>
      </c>
      <c r="AL1503">
        <v>10.11</v>
      </c>
      <c r="AM1503" s="6">
        <f t="shared" si="194"/>
        <v>100000</v>
      </c>
      <c r="AN1503" s="2">
        <f t="shared" si="195"/>
        <v>0</v>
      </c>
    </row>
    <row r="1504" spans="2:40" x14ac:dyDescent="0.35">
      <c r="D1504" s="1">
        <v>43455</v>
      </c>
      <c r="E1504">
        <v>3.8664999999999998</v>
      </c>
      <c r="F1504" s="1">
        <v>43430</v>
      </c>
      <c r="G1504">
        <v>119.18600000000001</v>
      </c>
      <c r="H1504" s="4">
        <f t="shared" si="192"/>
        <v>460832.66899999999</v>
      </c>
      <c r="I1504" s="5">
        <v>43438</v>
      </c>
      <c r="J1504" s="4">
        <v>4818.92</v>
      </c>
      <c r="K1504" s="4">
        <f t="shared" si="193"/>
        <v>48189.2</v>
      </c>
      <c r="L1504" s="1">
        <v>43425</v>
      </c>
      <c r="M1504">
        <v>5</v>
      </c>
      <c r="P1504" s="1">
        <v>43230</v>
      </c>
      <c r="Q1504">
        <v>5.18</v>
      </c>
      <c r="AJ1504" s="1">
        <v>43438</v>
      </c>
      <c r="AL1504">
        <v>10.039999999999999</v>
      </c>
      <c r="AM1504" s="6">
        <f t="shared" si="194"/>
        <v>100000</v>
      </c>
      <c r="AN1504" s="2">
        <f t="shared" si="195"/>
        <v>0</v>
      </c>
    </row>
    <row r="1505" spans="4:40" x14ac:dyDescent="0.35">
      <c r="D1505" s="1">
        <v>43454</v>
      </c>
      <c r="E1505">
        <v>3.8437000000000001</v>
      </c>
      <c r="F1505" s="1">
        <v>43427</v>
      </c>
      <c r="G1505">
        <v>119.32</v>
      </c>
      <c r="H1505" s="4">
        <f t="shared" si="192"/>
        <v>458630.28399999999</v>
      </c>
      <c r="I1505" s="5">
        <v>43437</v>
      </c>
      <c r="J1505" s="4">
        <v>4804.55</v>
      </c>
      <c r="K1505" s="4">
        <f t="shared" si="193"/>
        <v>48045.5</v>
      </c>
      <c r="L1505" s="1">
        <v>43423</v>
      </c>
      <c r="M1505">
        <v>5.05</v>
      </c>
      <c r="P1505" s="1">
        <v>43223</v>
      </c>
      <c r="Q1505">
        <v>5.07</v>
      </c>
      <c r="AJ1505" s="1">
        <v>43437</v>
      </c>
      <c r="AL1505">
        <v>9.94</v>
      </c>
      <c r="AM1505" s="6">
        <f t="shared" si="194"/>
        <v>100000</v>
      </c>
      <c r="AN1505" s="2">
        <f t="shared" si="195"/>
        <v>0</v>
      </c>
    </row>
    <row r="1506" spans="4:40" x14ac:dyDescent="0.35">
      <c r="D1506" s="1">
        <v>43453</v>
      </c>
      <c r="E1506">
        <v>3.8900999999999999</v>
      </c>
      <c r="F1506" s="1">
        <v>43426</v>
      </c>
      <c r="G1506">
        <v>119.202</v>
      </c>
      <c r="H1506" s="4">
        <f t="shared" si="192"/>
        <v>463707.70019999996</v>
      </c>
      <c r="I1506" s="5">
        <v>43434</v>
      </c>
      <c r="J1506" s="4">
        <v>4831.42</v>
      </c>
      <c r="K1506" s="4">
        <f t="shared" si="193"/>
        <v>48314.2</v>
      </c>
      <c r="L1506" s="1">
        <v>43418</v>
      </c>
      <c r="M1506">
        <v>5.15</v>
      </c>
      <c r="P1506" s="1">
        <v>43217</v>
      </c>
      <c r="Q1506">
        <v>5.01</v>
      </c>
      <c r="AJ1506" s="1">
        <v>43434</v>
      </c>
      <c r="AL1506">
        <v>9.8699999999999992</v>
      </c>
      <c r="AM1506" s="6">
        <f t="shared" si="194"/>
        <v>100000</v>
      </c>
      <c r="AN1506" s="2">
        <f t="shared" si="195"/>
        <v>0</v>
      </c>
    </row>
    <row r="1507" spans="4:40" x14ac:dyDescent="0.35">
      <c r="D1507" s="1">
        <v>43452</v>
      </c>
      <c r="E1507">
        <v>3.8990999999999998</v>
      </c>
      <c r="F1507" s="1">
        <v>43425</v>
      </c>
      <c r="G1507">
        <v>119.173</v>
      </c>
      <c r="H1507" s="4">
        <f t="shared" si="192"/>
        <v>464667.44429999997</v>
      </c>
      <c r="I1507" s="5">
        <v>43433</v>
      </c>
      <c r="J1507" s="4">
        <v>4823.3</v>
      </c>
      <c r="K1507" s="4">
        <f t="shared" si="193"/>
        <v>48233</v>
      </c>
      <c r="L1507" s="1">
        <v>43417</v>
      </c>
      <c r="M1507">
        <v>5.21</v>
      </c>
      <c r="P1507" s="1">
        <v>43202</v>
      </c>
      <c r="Q1507">
        <v>4.99</v>
      </c>
      <c r="AJ1507" s="1">
        <v>43433</v>
      </c>
      <c r="AL1507">
        <v>9.9499999999999993</v>
      </c>
      <c r="AM1507" s="6">
        <f t="shared" si="194"/>
        <v>100000</v>
      </c>
      <c r="AN1507" s="2">
        <f t="shared" si="195"/>
        <v>0</v>
      </c>
    </row>
    <row r="1508" spans="4:40" x14ac:dyDescent="0.35">
      <c r="D1508" s="1">
        <v>43451</v>
      </c>
      <c r="E1508">
        <v>3.9115000000000002</v>
      </c>
      <c r="F1508" s="1">
        <v>43423</v>
      </c>
      <c r="G1508">
        <v>119.267</v>
      </c>
      <c r="H1508" s="4">
        <f t="shared" si="192"/>
        <v>466512.87050000002</v>
      </c>
      <c r="I1508" s="5">
        <v>43432</v>
      </c>
      <c r="J1508" s="4">
        <v>4820.79</v>
      </c>
      <c r="K1508" s="4">
        <f t="shared" si="193"/>
        <v>48207.9</v>
      </c>
      <c r="L1508" s="1">
        <v>43416</v>
      </c>
      <c r="M1508">
        <v>5.16</v>
      </c>
      <c r="P1508" s="1">
        <v>43194</v>
      </c>
      <c r="Q1508">
        <v>5.03</v>
      </c>
      <c r="AJ1508" s="1">
        <v>43432</v>
      </c>
      <c r="AL1508">
        <v>10.050000000000001</v>
      </c>
      <c r="AM1508" s="6">
        <f t="shared" si="194"/>
        <v>100000</v>
      </c>
      <c r="AN1508" s="2">
        <f t="shared" si="195"/>
        <v>0</v>
      </c>
    </row>
    <row r="1509" spans="4:40" x14ac:dyDescent="0.35">
      <c r="D1509" s="1">
        <v>43448</v>
      </c>
      <c r="E1509">
        <v>3.9083999999999999</v>
      </c>
      <c r="F1509" s="1">
        <v>43420</v>
      </c>
      <c r="G1509">
        <v>119.172</v>
      </c>
      <c r="H1509" s="4">
        <f t="shared" si="192"/>
        <v>465771.84480000002</v>
      </c>
      <c r="I1509" s="5">
        <v>43431</v>
      </c>
      <c r="J1509" s="4">
        <v>4855.8500000000004</v>
      </c>
      <c r="K1509" s="4">
        <f t="shared" si="193"/>
        <v>48558.5</v>
      </c>
      <c r="L1509" s="1">
        <v>43413</v>
      </c>
      <c r="M1509">
        <v>5.0599999999999996</v>
      </c>
      <c r="P1509" s="1">
        <v>43182</v>
      </c>
      <c r="Q1509">
        <v>4.95</v>
      </c>
      <c r="AJ1509" s="1">
        <v>43431</v>
      </c>
      <c r="AL1509">
        <v>10.06</v>
      </c>
      <c r="AM1509" s="6">
        <f t="shared" si="194"/>
        <v>100000</v>
      </c>
      <c r="AN1509" s="2">
        <f t="shared" si="195"/>
        <v>0</v>
      </c>
    </row>
    <row r="1510" spans="4:40" x14ac:dyDescent="0.35">
      <c r="D1510" s="1">
        <v>43447</v>
      </c>
      <c r="E1510">
        <v>3.8784000000000001</v>
      </c>
      <c r="F1510" s="1">
        <v>43418</v>
      </c>
      <c r="G1510">
        <v>118.923</v>
      </c>
      <c r="H1510" s="4">
        <f t="shared" si="192"/>
        <v>461230.9632</v>
      </c>
      <c r="I1510" s="5">
        <v>43430</v>
      </c>
      <c r="J1510" s="4">
        <v>4937.24</v>
      </c>
      <c r="K1510" s="4">
        <f t="shared" si="193"/>
        <v>49372.399999999994</v>
      </c>
      <c r="L1510" s="1">
        <v>43412</v>
      </c>
      <c r="M1510">
        <v>5</v>
      </c>
      <c r="P1510" s="1">
        <v>43154</v>
      </c>
      <c r="Q1510">
        <v>4.96</v>
      </c>
      <c r="AJ1510" s="1">
        <v>43430</v>
      </c>
      <c r="AL1510">
        <v>10.130000000000001</v>
      </c>
      <c r="AM1510" s="6">
        <f t="shared" si="194"/>
        <v>100000</v>
      </c>
      <c r="AN1510" s="2">
        <f t="shared" si="195"/>
        <v>0</v>
      </c>
    </row>
    <row r="1511" spans="4:40" x14ac:dyDescent="0.35">
      <c r="D1511" s="1">
        <v>43446</v>
      </c>
      <c r="E1511">
        <v>3.8622999999999998</v>
      </c>
      <c r="F1511" s="1">
        <v>43417</v>
      </c>
      <c r="G1511">
        <v>118.407</v>
      </c>
      <c r="H1511" s="4">
        <f t="shared" si="192"/>
        <v>457323.35609999998</v>
      </c>
      <c r="I1511" s="5">
        <v>43427</v>
      </c>
      <c r="J1511" s="4">
        <v>4795.75</v>
      </c>
      <c r="K1511" s="4">
        <f t="shared" si="193"/>
        <v>47957.5</v>
      </c>
      <c r="L1511" s="1">
        <v>43411</v>
      </c>
      <c r="M1511">
        <v>4.97</v>
      </c>
      <c r="P1511" s="1">
        <v>43153</v>
      </c>
      <c r="Q1511">
        <v>5</v>
      </c>
      <c r="AJ1511" s="1">
        <v>43427</v>
      </c>
      <c r="AL1511">
        <v>9.85</v>
      </c>
      <c r="AM1511" s="6">
        <f t="shared" si="194"/>
        <v>100000</v>
      </c>
      <c r="AN1511" s="2">
        <f t="shared" si="195"/>
        <v>0</v>
      </c>
    </row>
    <row r="1512" spans="4:40" x14ac:dyDescent="0.35">
      <c r="D1512" s="1">
        <v>43445</v>
      </c>
      <c r="E1512">
        <v>3.9007000000000001</v>
      </c>
      <c r="F1512" s="1">
        <v>43416</v>
      </c>
      <c r="G1512">
        <v>118.389</v>
      </c>
      <c r="H1512" s="4">
        <f t="shared" si="192"/>
        <v>461799.97229999996</v>
      </c>
      <c r="I1512" s="5">
        <v>43426</v>
      </c>
      <c r="J1512" s="4">
        <v>4761.3100000000004</v>
      </c>
      <c r="K1512" s="4">
        <f t="shared" si="193"/>
        <v>47613.100000000006</v>
      </c>
      <c r="L1512" s="1">
        <v>43410</v>
      </c>
      <c r="M1512">
        <v>4.95</v>
      </c>
      <c r="AJ1512" s="1">
        <v>43426</v>
      </c>
      <c r="AL1512">
        <v>9.9600000000000009</v>
      </c>
      <c r="AM1512" s="6">
        <f t="shared" si="194"/>
        <v>100000</v>
      </c>
      <c r="AN1512" s="2">
        <f t="shared" si="195"/>
        <v>0</v>
      </c>
    </row>
    <row r="1513" spans="4:40" x14ac:dyDescent="0.35">
      <c r="D1513" s="1">
        <v>43444</v>
      </c>
      <c r="E1513">
        <v>3.9104000000000001</v>
      </c>
      <c r="F1513" s="1">
        <v>43413</v>
      </c>
      <c r="G1513">
        <v>118.202</v>
      </c>
      <c r="H1513" s="4">
        <f t="shared" si="192"/>
        <v>462217.10080000001</v>
      </c>
      <c r="I1513" s="5">
        <v>43425</v>
      </c>
      <c r="J1513" s="4">
        <v>4756.93</v>
      </c>
      <c r="K1513" s="4">
        <f t="shared" si="193"/>
        <v>47569.3</v>
      </c>
      <c r="L1513" s="1">
        <v>43409</v>
      </c>
      <c r="M1513">
        <v>4.99</v>
      </c>
      <c r="AJ1513" s="1">
        <v>43425</v>
      </c>
      <c r="AL1513">
        <v>9.99</v>
      </c>
      <c r="AM1513" s="6">
        <f t="shared" si="194"/>
        <v>100000</v>
      </c>
      <c r="AN1513" s="2">
        <f t="shared" si="195"/>
        <v>0</v>
      </c>
    </row>
    <row r="1514" spans="4:40" x14ac:dyDescent="0.35">
      <c r="D1514" s="1">
        <v>43441</v>
      </c>
      <c r="E1514">
        <v>3.8957999999999999</v>
      </c>
      <c r="F1514" s="1">
        <v>43412</v>
      </c>
      <c r="G1514">
        <v>117.828</v>
      </c>
      <c r="H1514" s="4">
        <f t="shared" si="192"/>
        <v>459034.3224</v>
      </c>
      <c r="I1514" s="5">
        <v>43423</v>
      </c>
      <c r="J1514" s="4">
        <v>4708.1000000000004</v>
      </c>
      <c r="K1514" s="4">
        <f t="shared" si="193"/>
        <v>47081</v>
      </c>
      <c r="L1514" s="1">
        <v>43405</v>
      </c>
      <c r="M1514">
        <v>4.9000000000000004</v>
      </c>
      <c r="AJ1514" s="1">
        <v>43423</v>
      </c>
      <c r="AL1514">
        <v>10.039999999999999</v>
      </c>
      <c r="AM1514" s="6">
        <f t="shared" si="194"/>
        <v>100000</v>
      </c>
      <c r="AN1514" s="2">
        <f t="shared" si="195"/>
        <v>0</v>
      </c>
    </row>
    <row r="1515" spans="4:40" x14ac:dyDescent="0.35">
      <c r="D1515" s="1">
        <v>43440</v>
      </c>
      <c r="E1515">
        <v>3.9171999999999998</v>
      </c>
      <c r="F1515" s="1">
        <v>43411</v>
      </c>
      <c r="G1515">
        <v>118.001</v>
      </c>
      <c r="H1515" s="4">
        <f t="shared" si="192"/>
        <v>462233.5172</v>
      </c>
      <c r="I1515" s="5">
        <v>43420</v>
      </c>
      <c r="J1515" s="4">
        <v>4691.1899999999996</v>
      </c>
      <c r="K1515" s="4">
        <f t="shared" si="193"/>
        <v>46911.899999999994</v>
      </c>
      <c r="L1515" s="1">
        <v>43402</v>
      </c>
      <c r="M1515">
        <v>4.9800000000000004</v>
      </c>
      <c r="AJ1515" s="1">
        <v>43420</v>
      </c>
      <c r="AL1515">
        <v>10.039999999999999</v>
      </c>
      <c r="AM1515" s="6">
        <f t="shared" si="194"/>
        <v>100000</v>
      </c>
      <c r="AN1515" s="2">
        <f t="shared" si="195"/>
        <v>0</v>
      </c>
    </row>
    <row r="1516" spans="4:40" x14ac:dyDescent="0.35">
      <c r="D1516" s="1">
        <v>43439</v>
      </c>
      <c r="E1516">
        <v>3.8555000000000001</v>
      </c>
      <c r="F1516" s="1">
        <v>43410</v>
      </c>
      <c r="G1516">
        <v>118.06</v>
      </c>
      <c r="H1516" s="4">
        <f t="shared" si="192"/>
        <v>455180.33</v>
      </c>
      <c r="I1516" s="5">
        <v>43418</v>
      </c>
      <c r="J1516" s="4">
        <v>4743.16</v>
      </c>
      <c r="K1516" s="4">
        <f t="shared" si="193"/>
        <v>47431.6</v>
      </c>
      <c r="L1516" s="1">
        <v>43399</v>
      </c>
      <c r="M1516">
        <v>4.93</v>
      </c>
      <c r="AJ1516" s="1">
        <v>43418</v>
      </c>
      <c r="AL1516">
        <v>10.39</v>
      </c>
      <c r="AM1516" s="6">
        <f t="shared" si="194"/>
        <v>100000</v>
      </c>
      <c r="AN1516" s="2">
        <f t="shared" si="195"/>
        <v>0</v>
      </c>
    </row>
    <row r="1517" spans="4:40" x14ac:dyDescent="0.35">
      <c r="D1517" s="1">
        <v>43438</v>
      </c>
      <c r="E1517">
        <v>3.8307000000000002</v>
      </c>
      <c r="F1517" s="1">
        <v>43409</v>
      </c>
      <c r="G1517">
        <v>118.142</v>
      </c>
      <c r="H1517" s="4">
        <f t="shared" si="192"/>
        <v>452566.55940000003</v>
      </c>
      <c r="I1517" s="5">
        <v>43417</v>
      </c>
      <c r="J1517" s="4">
        <v>4770.71</v>
      </c>
      <c r="K1517" s="4">
        <f t="shared" si="193"/>
        <v>47707.1</v>
      </c>
      <c r="L1517" s="1">
        <v>43398</v>
      </c>
      <c r="M1517">
        <v>5.07</v>
      </c>
      <c r="AJ1517" s="1">
        <v>43417</v>
      </c>
      <c r="AL1517">
        <v>10.54</v>
      </c>
      <c r="AM1517" s="6">
        <f t="shared" si="194"/>
        <v>100000</v>
      </c>
      <c r="AN1517" s="2">
        <f t="shared" si="195"/>
        <v>0</v>
      </c>
    </row>
    <row r="1518" spans="4:40" x14ac:dyDescent="0.35">
      <c r="D1518" s="1">
        <v>43437</v>
      </c>
      <c r="E1518">
        <v>3.8279000000000001</v>
      </c>
      <c r="F1518" s="1">
        <v>43405</v>
      </c>
      <c r="G1518">
        <v>118.625</v>
      </c>
      <c r="H1518" s="4">
        <f t="shared" si="192"/>
        <v>454084.63750000001</v>
      </c>
      <c r="I1518" s="5">
        <v>43416</v>
      </c>
      <c r="J1518" s="4">
        <v>4719.37</v>
      </c>
      <c r="K1518" s="4">
        <f t="shared" si="193"/>
        <v>47193.7</v>
      </c>
      <c r="L1518" s="1">
        <v>43397</v>
      </c>
      <c r="M1518">
        <v>5.04</v>
      </c>
      <c r="AJ1518" s="1">
        <v>43416</v>
      </c>
      <c r="AL1518">
        <v>10.46</v>
      </c>
      <c r="AM1518" s="6">
        <f t="shared" si="194"/>
        <v>100000</v>
      </c>
      <c r="AN1518" s="2">
        <f t="shared" si="195"/>
        <v>0</v>
      </c>
    </row>
    <row r="1519" spans="4:40" x14ac:dyDescent="0.35">
      <c r="D1519" s="1">
        <v>43434</v>
      </c>
      <c r="E1519">
        <v>3.8626999999999998</v>
      </c>
      <c r="F1519" s="1">
        <v>43404</v>
      </c>
      <c r="G1519">
        <v>118.5</v>
      </c>
      <c r="H1519" s="4">
        <f t="shared" si="192"/>
        <v>457729.94999999995</v>
      </c>
      <c r="I1519" s="5">
        <v>43413</v>
      </c>
      <c r="J1519" s="4">
        <v>4681.8</v>
      </c>
      <c r="K1519" s="4">
        <f t="shared" si="193"/>
        <v>46818</v>
      </c>
      <c r="L1519" s="1">
        <v>43396</v>
      </c>
      <c r="M1519">
        <v>4.99</v>
      </c>
      <c r="AJ1519" s="1">
        <v>43413</v>
      </c>
      <c r="AL1519">
        <v>10.38</v>
      </c>
      <c r="AM1519" s="6">
        <f t="shared" si="194"/>
        <v>100000</v>
      </c>
      <c r="AN1519" s="2">
        <f t="shared" si="195"/>
        <v>0</v>
      </c>
    </row>
    <row r="1520" spans="4:40" x14ac:dyDescent="0.35">
      <c r="D1520" s="1">
        <v>43433</v>
      </c>
      <c r="E1520">
        <v>3.8561999999999999</v>
      </c>
      <c r="F1520" s="1">
        <v>43403</v>
      </c>
      <c r="G1520">
        <v>118.687</v>
      </c>
      <c r="H1520" s="4">
        <f t="shared" si="192"/>
        <v>457680.80939999997</v>
      </c>
      <c r="I1520" s="5">
        <v>43412</v>
      </c>
      <c r="J1520" s="4">
        <v>4713.7299999999996</v>
      </c>
      <c r="K1520" s="4">
        <f t="shared" si="193"/>
        <v>47137.299999999996</v>
      </c>
      <c r="L1520" s="1">
        <v>43395</v>
      </c>
      <c r="M1520">
        <v>5.01</v>
      </c>
      <c r="AJ1520" s="1">
        <v>43412</v>
      </c>
      <c r="AL1520">
        <v>10.44</v>
      </c>
      <c r="AM1520" s="6">
        <f t="shared" si="194"/>
        <v>100000</v>
      </c>
      <c r="AN1520" s="2">
        <f t="shared" si="195"/>
        <v>0</v>
      </c>
    </row>
    <row r="1521" spans="4:40" x14ac:dyDescent="0.35">
      <c r="D1521" s="1">
        <v>43432</v>
      </c>
      <c r="E1521">
        <v>3.8624999999999998</v>
      </c>
      <c r="F1521" s="1">
        <v>43402</v>
      </c>
      <c r="G1521">
        <v>119.04600000000001</v>
      </c>
      <c r="H1521" s="4">
        <f t="shared" si="192"/>
        <v>459815.17499999999</v>
      </c>
      <c r="I1521" s="5">
        <v>43411</v>
      </c>
      <c r="J1521" s="4">
        <v>4681.18</v>
      </c>
      <c r="K1521" s="4">
        <f t="shared" si="193"/>
        <v>46811.8</v>
      </c>
      <c r="L1521" s="1">
        <v>43392</v>
      </c>
      <c r="M1521">
        <v>5.1100000000000003</v>
      </c>
      <c r="AJ1521" s="1">
        <v>43411</v>
      </c>
      <c r="AL1521">
        <v>10.210000000000001</v>
      </c>
      <c r="AM1521" s="6">
        <f t="shared" si="194"/>
        <v>100000</v>
      </c>
      <c r="AN1521" s="2">
        <f t="shared" si="195"/>
        <v>0</v>
      </c>
    </row>
    <row r="1522" spans="4:40" x14ac:dyDescent="0.35">
      <c r="D1522" s="1">
        <v>43431</v>
      </c>
      <c r="E1522">
        <v>3.8919000000000001</v>
      </c>
      <c r="F1522" s="1">
        <v>43399</v>
      </c>
      <c r="G1522">
        <v>118.986</v>
      </c>
      <c r="H1522" s="4">
        <f t="shared" si="192"/>
        <v>463081.61340000003</v>
      </c>
      <c r="I1522" s="5">
        <v>43410</v>
      </c>
      <c r="J1522" s="4">
        <v>4717.49</v>
      </c>
      <c r="K1522" s="4">
        <f t="shared" si="193"/>
        <v>47174.899999999994</v>
      </c>
      <c r="L1522" s="1">
        <v>43391</v>
      </c>
      <c r="M1522">
        <v>5.09</v>
      </c>
      <c r="AJ1522" s="1">
        <v>43410</v>
      </c>
      <c r="AL1522">
        <v>10.24</v>
      </c>
      <c r="AM1522" s="6">
        <f t="shared" si="194"/>
        <v>100000</v>
      </c>
      <c r="AN1522" s="2">
        <f t="shared" si="195"/>
        <v>0</v>
      </c>
    </row>
    <row r="1523" spans="4:40" x14ac:dyDescent="0.35">
      <c r="D1523" s="1">
        <v>43430</v>
      </c>
      <c r="E1523">
        <v>3.8649</v>
      </c>
      <c r="F1523" s="1">
        <v>43398</v>
      </c>
      <c r="G1523">
        <v>118.624</v>
      </c>
      <c r="H1523" s="4">
        <f t="shared" si="192"/>
        <v>458469.89759999997</v>
      </c>
      <c r="I1523" s="5">
        <v>43409</v>
      </c>
      <c r="J1523" s="4">
        <v>4672.41</v>
      </c>
      <c r="K1523" s="4">
        <f t="shared" si="193"/>
        <v>46724.1</v>
      </c>
      <c r="L1523" s="1">
        <v>43390</v>
      </c>
      <c r="M1523">
        <v>5.04</v>
      </c>
      <c r="AJ1523" s="1">
        <v>43409</v>
      </c>
      <c r="AL1523">
        <v>10.08</v>
      </c>
      <c r="AM1523" s="6">
        <f t="shared" si="194"/>
        <v>100000</v>
      </c>
      <c r="AN1523" s="2">
        <f t="shared" si="195"/>
        <v>0</v>
      </c>
    </row>
    <row r="1524" spans="4:40" x14ac:dyDescent="0.35">
      <c r="D1524" s="1">
        <v>43427</v>
      </c>
      <c r="E1524">
        <v>3.8075000000000001</v>
      </c>
      <c r="F1524" s="1">
        <v>43397</v>
      </c>
      <c r="G1524">
        <v>118.68899999999999</v>
      </c>
      <c r="H1524" s="4">
        <f t="shared" si="192"/>
        <v>451908.36749999999</v>
      </c>
      <c r="I1524" s="5">
        <v>43405</v>
      </c>
      <c r="J1524" s="4">
        <v>4639.8599999999997</v>
      </c>
      <c r="K1524" s="4">
        <f t="shared" si="193"/>
        <v>46398.6</v>
      </c>
      <c r="L1524" s="1">
        <v>43389</v>
      </c>
      <c r="M1524">
        <v>5.14</v>
      </c>
      <c r="AJ1524" s="1">
        <v>43405</v>
      </c>
      <c r="AL1524">
        <v>10.1</v>
      </c>
      <c r="AM1524" s="6">
        <f t="shared" si="194"/>
        <v>100000</v>
      </c>
      <c r="AN1524" s="2">
        <f t="shared" si="195"/>
        <v>0</v>
      </c>
    </row>
    <row r="1525" spans="4:40" x14ac:dyDescent="0.35">
      <c r="D1525" s="1">
        <v>43426</v>
      </c>
      <c r="E1525">
        <v>3.8096999999999999</v>
      </c>
      <c r="F1525" s="1">
        <v>43396</v>
      </c>
      <c r="G1525">
        <v>118.25</v>
      </c>
      <c r="H1525" s="4">
        <f t="shared" si="192"/>
        <v>450497.02500000002</v>
      </c>
      <c r="I1525" s="5">
        <v>43404</v>
      </c>
      <c r="J1525" s="4">
        <v>4673.04</v>
      </c>
      <c r="K1525" s="4">
        <f t="shared" si="193"/>
        <v>46730.400000000001</v>
      </c>
      <c r="L1525" s="1">
        <v>43384</v>
      </c>
      <c r="M1525">
        <v>5.36</v>
      </c>
      <c r="AJ1525" s="1">
        <v>43404</v>
      </c>
      <c r="AL1525">
        <v>10.199999999999999</v>
      </c>
      <c r="AM1525" s="6">
        <f t="shared" si="194"/>
        <v>100000</v>
      </c>
      <c r="AN1525" s="2">
        <f t="shared" si="195"/>
        <v>0</v>
      </c>
    </row>
    <row r="1526" spans="4:40" x14ac:dyDescent="0.35">
      <c r="D1526" s="1">
        <v>43425</v>
      </c>
      <c r="E1526">
        <v>3.7866</v>
      </c>
      <c r="F1526" s="1">
        <v>43395</v>
      </c>
      <c r="G1526">
        <v>117.953</v>
      </c>
      <c r="H1526" s="4">
        <f t="shared" si="192"/>
        <v>446640.82980000001</v>
      </c>
      <c r="I1526" s="5">
        <v>43403</v>
      </c>
      <c r="J1526" s="4">
        <v>4644.24</v>
      </c>
      <c r="K1526" s="4">
        <f t="shared" si="193"/>
        <v>46442.399999999994</v>
      </c>
      <c r="L1526" s="1">
        <v>43383</v>
      </c>
      <c r="M1526">
        <v>5.4</v>
      </c>
      <c r="AJ1526" s="1">
        <v>43403</v>
      </c>
      <c r="AL1526">
        <v>10.119999999999999</v>
      </c>
      <c r="AM1526" s="6">
        <f t="shared" si="194"/>
        <v>100000</v>
      </c>
      <c r="AN1526" s="2">
        <f t="shared" si="195"/>
        <v>0</v>
      </c>
    </row>
    <row r="1527" spans="4:40" x14ac:dyDescent="0.35">
      <c r="D1527" s="1">
        <v>43424</v>
      </c>
      <c r="E1527">
        <v>3.7574000000000001</v>
      </c>
      <c r="F1527" s="1">
        <v>43392</v>
      </c>
      <c r="G1527">
        <v>117.89100000000001</v>
      </c>
      <c r="H1527" s="4">
        <f t="shared" si="192"/>
        <v>442963.6434</v>
      </c>
      <c r="I1527" s="5">
        <v>43402</v>
      </c>
      <c r="J1527" s="4">
        <v>4670.6000000000004</v>
      </c>
      <c r="K1527" s="4">
        <f t="shared" si="193"/>
        <v>46706</v>
      </c>
      <c r="L1527" s="1">
        <v>43382</v>
      </c>
      <c r="M1527">
        <v>5.38</v>
      </c>
      <c r="AJ1527" s="1">
        <v>43402</v>
      </c>
      <c r="AL1527">
        <v>10.38</v>
      </c>
      <c r="AM1527" s="6">
        <f t="shared" si="194"/>
        <v>100000</v>
      </c>
      <c r="AN1527" s="2">
        <f t="shared" si="195"/>
        <v>0</v>
      </c>
    </row>
    <row r="1528" spans="4:40" x14ac:dyDescent="0.35">
      <c r="D1528" s="1">
        <v>43423</v>
      </c>
      <c r="E1528">
        <v>3.7547000000000001</v>
      </c>
      <c r="F1528" s="1">
        <v>43391</v>
      </c>
      <c r="G1528">
        <v>118.218</v>
      </c>
      <c r="H1528" s="4">
        <f t="shared" si="192"/>
        <v>443873.12460000004</v>
      </c>
      <c r="I1528" s="5">
        <v>43399</v>
      </c>
      <c r="J1528" s="4">
        <v>4575.2</v>
      </c>
      <c r="K1528" s="4">
        <f t="shared" si="193"/>
        <v>45752</v>
      </c>
      <c r="L1528" s="1">
        <v>43381</v>
      </c>
      <c r="M1528">
        <v>5.52</v>
      </c>
      <c r="AJ1528" s="1">
        <v>43399</v>
      </c>
      <c r="AL1528">
        <v>10.25</v>
      </c>
      <c r="AM1528" s="6">
        <f t="shared" si="194"/>
        <v>100000</v>
      </c>
      <c r="AN1528" s="2">
        <f t="shared" si="195"/>
        <v>0</v>
      </c>
    </row>
    <row r="1529" spans="4:40" x14ac:dyDescent="0.35">
      <c r="D1529" s="1">
        <v>43420</v>
      </c>
      <c r="E1529">
        <v>3.7519</v>
      </c>
      <c r="F1529" s="1">
        <v>43390</v>
      </c>
      <c r="G1529">
        <v>117.82899999999999</v>
      </c>
      <c r="H1529" s="4">
        <f t="shared" si="192"/>
        <v>442082.62509999995</v>
      </c>
      <c r="I1529" s="5">
        <v>43398</v>
      </c>
      <c r="J1529" s="4">
        <v>4653.6499999999996</v>
      </c>
      <c r="K1529" s="4">
        <f t="shared" si="193"/>
        <v>46536.5</v>
      </c>
      <c r="L1529" s="1">
        <v>43378</v>
      </c>
      <c r="M1529">
        <v>5.81</v>
      </c>
      <c r="AJ1529" s="1">
        <v>43398</v>
      </c>
      <c r="AL1529">
        <v>10.59</v>
      </c>
      <c r="AM1529" s="6">
        <f t="shared" si="194"/>
        <v>100000</v>
      </c>
      <c r="AN1529" s="2">
        <f t="shared" si="195"/>
        <v>0</v>
      </c>
    </row>
    <row r="1530" spans="4:40" x14ac:dyDescent="0.35">
      <c r="D1530" s="1">
        <v>43418</v>
      </c>
      <c r="E1530">
        <v>3.7917999999999998</v>
      </c>
      <c r="F1530" s="1">
        <v>43389</v>
      </c>
      <c r="G1530">
        <v>118.233</v>
      </c>
      <c r="H1530" s="4">
        <f t="shared" si="192"/>
        <v>448315.88939999999</v>
      </c>
      <c r="I1530" s="5">
        <v>43397</v>
      </c>
      <c r="J1530" s="4">
        <v>4687.54</v>
      </c>
      <c r="K1530" s="4">
        <f t="shared" si="193"/>
        <v>46875.4</v>
      </c>
      <c r="L1530" s="1">
        <v>43377</v>
      </c>
      <c r="M1530">
        <v>5.79</v>
      </c>
      <c r="AJ1530" s="1">
        <v>43397</v>
      </c>
      <c r="AL1530">
        <v>10.51</v>
      </c>
      <c r="AM1530" s="6">
        <f t="shared" si="194"/>
        <v>100000</v>
      </c>
      <c r="AN1530" s="2">
        <f t="shared" si="195"/>
        <v>0</v>
      </c>
    </row>
    <row r="1531" spans="4:40" x14ac:dyDescent="0.35">
      <c r="D1531" s="1">
        <v>43417</v>
      </c>
      <c r="E1531">
        <v>3.7786</v>
      </c>
      <c r="F1531" s="1">
        <v>43388</v>
      </c>
      <c r="G1531">
        <v>118.249</v>
      </c>
      <c r="H1531" s="4">
        <f t="shared" si="192"/>
        <v>446815.67139999999</v>
      </c>
      <c r="I1531" s="5">
        <v>43396</v>
      </c>
      <c r="J1531" s="4">
        <v>4637.96</v>
      </c>
      <c r="K1531" s="4">
        <f t="shared" si="193"/>
        <v>46379.6</v>
      </c>
      <c r="L1531" s="1">
        <v>43376</v>
      </c>
      <c r="M1531">
        <v>5.88</v>
      </c>
      <c r="AJ1531" s="1">
        <v>43396</v>
      </c>
      <c r="AL1531">
        <v>10.32</v>
      </c>
      <c r="AM1531" s="6">
        <f t="shared" si="194"/>
        <v>100000</v>
      </c>
      <c r="AN1531" s="2">
        <f t="shared" si="195"/>
        <v>0</v>
      </c>
    </row>
    <row r="1532" spans="4:40" x14ac:dyDescent="0.35">
      <c r="D1532" s="1">
        <v>43416</v>
      </c>
      <c r="E1532">
        <v>3.7471999999999999</v>
      </c>
      <c r="F1532" s="1">
        <v>43384</v>
      </c>
      <c r="G1532">
        <v>118.28100000000001</v>
      </c>
      <c r="H1532" s="4">
        <f t="shared" si="192"/>
        <v>443222.56320000003</v>
      </c>
      <c r="I1532" s="5">
        <v>43395</v>
      </c>
      <c r="J1532" s="4">
        <v>4631.0600000000004</v>
      </c>
      <c r="K1532" s="4">
        <f t="shared" si="193"/>
        <v>46310.600000000006</v>
      </c>
      <c r="L1532" s="1">
        <v>43375</v>
      </c>
      <c r="M1532">
        <v>5.95</v>
      </c>
      <c r="AJ1532" s="1">
        <v>43395</v>
      </c>
      <c r="AL1532">
        <v>10.28</v>
      </c>
      <c r="AM1532" s="6">
        <f t="shared" si="194"/>
        <v>100000</v>
      </c>
      <c r="AN1532" s="2">
        <f t="shared" si="195"/>
        <v>0</v>
      </c>
    </row>
    <row r="1533" spans="4:40" x14ac:dyDescent="0.35">
      <c r="D1533" s="1">
        <v>43413</v>
      </c>
      <c r="E1533">
        <v>3.75</v>
      </c>
      <c r="F1533" s="1">
        <v>43383</v>
      </c>
      <c r="G1533">
        <v>118.125</v>
      </c>
      <c r="H1533" s="4">
        <f t="shared" si="192"/>
        <v>442968.75</v>
      </c>
      <c r="I1533" s="5">
        <v>43392</v>
      </c>
      <c r="J1533" s="4">
        <v>4666.83</v>
      </c>
      <c r="K1533" s="4">
        <f t="shared" si="193"/>
        <v>46668.3</v>
      </c>
      <c r="L1533" s="1">
        <v>43374</v>
      </c>
      <c r="M1533">
        <v>6.05</v>
      </c>
      <c r="AJ1533" s="1">
        <v>43392</v>
      </c>
      <c r="AL1533">
        <v>10.44</v>
      </c>
      <c r="AM1533" s="6">
        <f t="shared" si="194"/>
        <v>100000</v>
      </c>
      <c r="AN1533" s="2">
        <f t="shared" si="195"/>
        <v>0</v>
      </c>
    </row>
    <row r="1534" spans="4:40" x14ac:dyDescent="0.35">
      <c r="D1534" s="1">
        <v>43412</v>
      </c>
      <c r="E1534">
        <v>3.7385000000000002</v>
      </c>
      <c r="F1534" s="1">
        <v>43382</v>
      </c>
      <c r="G1534">
        <v>117.85899999999999</v>
      </c>
      <c r="H1534" s="4">
        <f t="shared" si="192"/>
        <v>440615.87150000001</v>
      </c>
      <c r="I1534" s="5">
        <v>43391</v>
      </c>
      <c r="J1534" s="4">
        <v>4675.62</v>
      </c>
      <c r="K1534" s="4">
        <f t="shared" si="193"/>
        <v>46756.2</v>
      </c>
      <c r="L1534" s="1">
        <v>43371</v>
      </c>
      <c r="M1534">
        <v>6.01</v>
      </c>
      <c r="AJ1534" s="1">
        <v>43391</v>
      </c>
      <c r="AL1534">
        <v>10.55</v>
      </c>
      <c r="AM1534" s="6">
        <f t="shared" si="194"/>
        <v>100000</v>
      </c>
      <c r="AN1534" s="2">
        <f t="shared" si="195"/>
        <v>0</v>
      </c>
    </row>
    <row r="1535" spans="4:40" x14ac:dyDescent="0.35">
      <c r="D1535" s="1">
        <v>43411</v>
      </c>
      <c r="E1535">
        <v>3.7585999999999999</v>
      </c>
      <c r="F1535" s="1">
        <v>43381</v>
      </c>
      <c r="G1535">
        <v>117.733</v>
      </c>
      <c r="H1535" s="4">
        <f t="shared" si="192"/>
        <v>442511.25380000001</v>
      </c>
      <c r="I1535" s="5">
        <v>43390</v>
      </c>
      <c r="J1535" s="4">
        <v>4632.3100000000004</v>
      </c>
      <c r="K1535" s="4">
        <f t="shared" si="193"/>
        <v>46323.100000000006</v>
      </c>
      <c r="L1535" s="1">
        <v>43370</v>
      </c>
      <c r="M1535">
        <v>5.94</v>
      </c>
      <c r="AJ1535" s="1">
        <v>43390</v>
      </c>
      <c r="AL1535">
        <v>10.33</v>
      </c>
      <c r="AM1535" s="6">
        <f t="shared" si="194"/>
        <v>100000</v>
      </c>
      <c r="AN1535" s="2">
        <f t="shared" si="195"/>
        <v>0</v>
      </c>
    </row>
    <row r="1536" spans="4:40" x14ac:dyDescent="0.35">
      <c r="D1536" s="1">
        <v>43410</v>
      </c>
      <c r="E1536">
        <v>3.7486000000000002</v>
      </c>
      <c r="F1536" s="1">
        <v>43378</v>
      </c>
      <c r="G1536">
        <v>117.625</v>
      </c>
      <c r="H1536" s="4">
        <f t="shared" si="192"/>
        <v>440929.07500000001</v>
      </c>
      <c r="I1536" s="5">
        <v>43389</v>
      </c>
      <c r="J1536" s="4">
        <v>4681.8900000000003</v>
      </c>
      <c r="K1536" s="4">
        <f t="shared" si="193"/>
        <v>46818.9</v>
      </c>
      <c r="L1536" s="1">
        <v>43369</v>
      </c>
      <c r="M1536">
        <v>6</v>
      </c>
      <c r="AJ1536" s="1">
        <v>43389</v>
      </c>
      <c r="AL1536">
        <v>10.48</v>
      </c>
      <c r="AM1536" s="6">
        <f t="shared" si="194"/>
        <v>100000</v>
      </c>
      <c r="AN1536" s="2">
        <f t="shared" si="195"/>
        <v>0</v>
      </c>
    </row>
    <row r="1537" spans="4:40" x14ac:dyDescent="0.35">
      <c r="D1537" s="1">
        <v>43409</v>
      </c>
      <c r="E1537">
        <v>3.7042000000000002</v>
      </c>
      <c r="F1537" s="1">
        <v>43377</v>
      </c>
      <c r="G1537">
        <v>117.952</v>
      </c>
      <c r="H1537" s="4">
        <f t="shared" si="192"/>
        <v>436917.79840000003</v>
      </c>
      <c r="I1537" s="5">
        <v>43388</v>
      </c>
      <c r="J1537" s="4">
        <v>4694.45</v>
      </c>
      <c r="K1537" s="4">
        <f t="shared" si="193"/>
        <v>46944.5</v>
      </c>
      <c r="L1537" s="1">
        <v>43367</v>
      </c>
      <c r="M1537">
        <v>5.98</v>
      </c>
      <c r="AJ1537" s="1">
        <v>43388</v>
      </c>
      <c r="AL1537">
        <v>10.74</v>
      </c>
      <c r="AM1537" s="6">
        <f t="shared" si="194"/>
        <v>100000</v>
      </c>
      <c r="AN1537" s="2">
        <f t="shared" si="195"/>
        <v>0</v>
      </c>
    </row>
    <row r="1538" spans="4:40" x14ac:dyDescent="0.35">
      <c r="D1538" s="1">
        <v>43405</v>
      </c>
      <c r="E1538">
        <v>3.6968000000000001</v>
      </c>
      <c r="F1538" s="1">
        <v>43376</v>
      </c>
      <c r="G1538">
        <v>117.96899999999999</v>
      </c>
      <c r="H1538" s="4">
        <f t="shared" si="192"/>
        <v>436107.79920000001</v>
      </c>
      <c r="I1538" s="5">
        <v>43384</v>
      </c>
      <c r="J1538" s="4">
        <v>4756.58</v>
      </c>
      <c r="K1538" s="4">
        <f t="shared" si="193"/>
        <v>47565.8</v>
      </c>
      <c r="L1538" s="1">
        <v>43363</v>
      </c>
      <c r="M1538">
        <v>5.99</v>
      </c>
      <c r="AJ1538" s="1">
        <v>43384</v>
      </c>
      <c r="AL1538">
        <v>11.04</v>
      </c>
      <c r="AM1538" s="6">
        <f t="shared" si="194"/>
        <v>100000</v>
      </c>
      <c r="AN1538" s="2">
        <f t="shared" si="195"/>
        <v>0</v>
      </c>
    </row>
    <row r="1539" spans="4:40" x14ac:dyDescent="0.35">
      <c r="D1539" s="1">
        <v>43404</v>
      </c>
      <c r="E1539">
        <v>3.7170999999999998</v>
      </c>
      <c r="F1539" s="1">
        <v>43375</v>
      </c>
      <c r="G1539">
        <v>118.797</v>
      </c>
      <c r="H1539" s="4">
        <f t="shared" si="192"/>
        <v>441580.32870000001</v>
      </c>
      <c r="I1539" s="5">
        <v>43383</v>
      </c>
      <c r="J1539" s="4">
        <v>4722.6899999999996</v>
      </c>
      <c r="K1539" s="4">
        <f t="shared" si="193"/>
        <v>47226.899999999994</v>
      </c>
      <c r="L1539" s="1">
        <v>43362</v>
      </c>
      <c r="M1539">
        <v>5.92</v>
      </c>
      <c r="AJ1539" s="1">
        <v>43383</v>
      </c>
      <c r="AL1539">
        <v>11.09</v>
      </c>
      <c r="AM1539" s="6">
        <f t="shared" si="194"/>
        <v>100000</v>
      </c>
      <c r="AN1539" s="2">
        <f t="shared" si="195"/>
        <v>0</v>
      </c>
    </row>
    <row r="1540" spans="4:40" x14ac:dyDescent="0.35">
      <c r="D1540" s="1">
        <v>43403</v>
      </c>
      <c r="E1540">
        <v>3.7012999999999998</v>
      </c>
      <c r="F1540" s="1">
        <v>43374</v>
      </c>
      <c r="G1540">
        <v>118.589</v>
      </c>
      <c r="H1540" s="4">
        <f t="shared" ref="H1540:H1603" si="196">G1540*E1540*1000</f>
        <v>438933.4657</v>
      </c>
      <c r="I1540" s="5">
        <v>43382</v>
      </c>
      <c r="J1540" s="4">
        <v>4671.2299999999996</v>
      </c>
      <c r="K1540" s="4">
        <f t="shared" si="193"/>
        <v>46712.299999999996</v>
      </c>
      <c r="L1540" s="1">
        <v>43361</v>
      </c>
      <c r="M1540">
        <v>5.96</v>
      </c>
      <c r="AJ1540" s="1">
        <v>43382</v>
      </c>
      <c r="AL1540">
        <v>10.97</v>
      </c>
      <c r="AM1540" s="6">
        <f t="shared" si="194"/>
        <v>100000</v>
      </c>
      <c r="AN1540" s="2">
        <f t="shared" si="195"/>
        <v>0</v>
      </c>
    </row>
    <row r="1541" spans="4:40" x14ac:dyDescent="0.35">
      <c r="D1541" s="1">
        <v>43402</v>
      </c>
      <c r="E1541">
        <v>3.6362000000000001</v>
      </c>
      <c r="F1541" s="1">
        <v>43371</v>
      </c>
      <c r="G1541">
        <v>118.857</v>
      </c>
      <c r="H1541" s="4">
        <f t="shared" si="196"/>
        <v>432187.82339999999</v>
      </c>
      <c r="I1541" s="5">
        <v>43381</v>
      </c>
      <c r="J1541" s="4">
        <v>4746.54</v>
      </c>
      <c r="K1541" s="4">
        <f t="shared" ref="K1541:K1604" si="197">J1541*10</f>
        <v>47465.4</v>
      </c>
      <c r="L1541" s="1">
        <v>43360</v>
      </c>
      <c r="M1541">
        <v>5.91</v>
      </c>
      <c r="AJ1541" s="1">
        <v>43381</v>
      </c>
      <c r="AL1541">
        <v>11.11</v>
      </c>
      <c r="AM1541" s="6">
        <f t="shared" ref="AM1541:AM1604" si="198">$Z$2/(1+AL1541/100)^(AK1541/252)</f>
        <v>100000</v>
      </c>
      <c r="AN1541" s="2">
        <f t="shared" ref="AN1541:AN1604" si="199">LOG(AM1541/AM1542)</f>
        <v>0</v>
      </c>
    </row>
    <row r="1542" spans="4:40" x14ac:dyDescent="0.35">
      <c r="D1542" s="1">
        <v>43399</v>
      </c>
      <c r="E1542">
        <v>3.6745999999999999</v>
      </c>
      <c r="F1542" s="1">
        <v>43370</v>
      </c>
      <c r="G1542">
        <v>118.78</v>
      </c>
      <c r="H1542" s="4">
        <f t="shared" si="196"/>
        <v>436468.98799999995</v>
      </c>
      <c r="I1542" s="5">
        <v>43378</v>
      </c>
      <c r="J1542" s="4">
        <v>4824.99</v>
      </c>
      <c r="K1542" s="4">
        <f t="shared" si="197"/>
        <v>48249.899999999994</v>
      </c>
      <c r="L1542" s="1">
        <v>43357</v>
      </c>
      <c r="M1542">
        <v>5.97</v>
      </c>
      <c r="AJ1542" s="1">
        <v>43378</v>
      </c>
      <c r="AL1542">
        <v>11.64</v>
      </c>
      <c r="AM1542" s="6">
        <f t="shared" si="198"/>
        <v>100000</v>
      </c>
      <c r="AN1542" s="2">
        <f t="shared" si="199"/>
        <v>0</v>
      </c>
    </row>
    <row r="1543" spans="4:40" x14ac:dyDescent="0.35">
      <c r="D1543" s="1">
        <v>43398</v>
      </c>
      <c r="E1543">
        <v>3.7008000000000001</v>
      </c>
      <c r="F1543" s="1">
        <v>43369</v>
      </c>
      <c r="G1543">
        <v>118.875</v>
      </c>
      <c r="H1543" s="4">
        <f t="shared" si="196"/>
        <v>439932.60000000003</v>
      </c>
      <c r="I1543" s="5">
        <v>43377</v>
      </c>
      <c r="J1543" s="4">
        <v>4872.0600000000004</v>
      </c>
      <c r="K1543" s="4">
        <f t="shared" si="197"/>
        <v>48720.600000000006</v>
      </c>
      <c r="L1543" s="1">
        <v>43356</v>
      </c>
      <c r="M1543">
        <v>6.09</v>
      </c>
      <c r="AJ1543" s="1">
        <v>43377</v>
      </c>
      <c r="AL1543">
        <v>11.52</v>
      </c>
      <c r="AM1543" s="6">
        <f t="shared" si="198"/>
        <v>100000</v>
      </c>
      <c r="AN1543" s="2">
        <f t="shared" si="199"/>
        <v>0</v>
      </c>
    </row>
    <row r="1544" spans="4:40" x14ac:dyDescent="0.35">
      <c r="D1544" s="1">
        <v>43397</v>
      </c>
      <c r="E1544">
        <v>3.7054</v>
      </c>
      <c r="F1544" s="1">
        <v>43368</v>
      </c>
      <c r="G1544">
        <v>118.434</v>
      </c>
      <c r="H1544" s="4">
        <f t="shared" si="196"/>
        <v>438845.34359999996</v>
      </c>
      <c r="I1544" s="5">
        <v>43376</v>
      </c>
      <c r="J1544" s="4">
        <v>4907.83</v>
      </c>
      <c r="K1544" s="4">
        <f t="shared" si="197"/>
        <v>49078.3</v>
      </c>
      <c r="L1544" s="1">
        <v>43355</v>
      </c>
      <c r="M1544">
        <v>6.01</v>
      </c>
      <c r="AJ1544" s="1">
        <v>43376</v>
      </c>
      <c r="AL1544">
        <v>11.63</v>
      </c>
      <c r="AM1544" s="6">
        <f t="shared" si="198"/>
        <v>100000</v>
      </c>
      <c r="AN1544" s="2">
        <f t="shared" si="199"/>
        <v>0</v>
      </c>
    </row>
    <row r="1545" spans="4:40" x14ac:dyDescent="0.35">
      <c r="D1545" s="1">
        <v>43396</v>
      </c>
      <c r="E1545">
        <v>3.7073999999999998</v>
      </c>
      <c r="F1545" s="1">
        <v>43367</v>
      </c>
      <c r="G1545">
        <v>118.502</v>
      </c>
      <c r="H1545" s="4">
        <f t="shared" si="196"/>
        <v>439334.31479999993</v>
      </c>
      <c r="I1545" s="5">
        <v>43375</v>
      </c>
      <c r="J1545" s="4">
        <v>4958.04</v>
      </c>
      <c r="K1545" s="4">
        <f t="shared" si="197"/>
        <v>49580.4</v>
      </c>
      <c r="L1545" s="1">
        <v>43354</v>
      </c>
      <c r="M1545">
        <v>6.08</v>
      </c>
      <c r="AJ1545" s="1">
        <v>43375</v>
      </c>
      <c r="AL1545">
        <v>11.76</v>
      </c>
      <c r="AM1545" s="6">
        <f t="shared" si="198"/>
        <v>100000</v>
      </c>
      <c r="AN1545" s="2">
        <f t="shared" si="199"/>
        <v>0</v>
      </c>
    </row>
    <row r="1546" spans="4:40" x14ac:dyDescent="0.35">
      <c r="D1546" s="1">
        <v>43395</v>
      </c>
      <c r="E1546">
        <v>3.6897000000000002</v>
      </c>
      <c r="F1546" s="1">
        <v>43364</v>
      </c>
      <c r="G1546">
        <v>118.59699999999999</v>
      </c>
      <c r="H1546" s="4">
        <f t="shared" si="196"/>
        <v>437587.35089999996</v>
      </c>
      <c r="I1546" s="5">
        <v>43374</v>
      </c>
      <c r="J1546" s="4">
        <v>5055.32</v>
      </c>
      <c r="K1546" s="4">
        <f t="shared" si="197"/>
        <v>50553.2</v>
      </c>
      <c r="L1546" s="1">
        <v>43353</v>
      </c>
      <c r="M1546">
        <v>6.04</v>
      </c>
      <c r="AJ1546" s="1">
        <v>43374</v>
      </c>
      <c r="AL1546">
        <v>11.97</v>
      </c>
      <c r="AM1546" s="6">
        <f t="shared" si="198"/>
        <v>100000</v>
      </c>
      <c r="AN1546" s="2">
        <f t="shared" si="199"/>
        <v>0</v>
      </c>
    </row>
    <row r="1547" spans="4:40" x14ac:dyDescent="0.35">
      <c r="D1547" s="1">
        <v>43392</v>
      </c>
      <c r="E1547">
        <v>3.7073</v>
      </c>
      <c r="F1547" s="1">
        <v>43363</v>
      </c>
      <c r="G1547">
        <v>118.568</v>
      </c>
      <c r="H1547" s="4">
        <f t="shared" si="196"/>
        <v>439567.14640000003</v>
      </c>
      <c r="I1547" s="5">
        <v>43371</v>
      </c>
      <c r="J1547" s="4">
        <v>5094.8599999999997</v>
      </c>
      <c r="K1547" s="4">
        <f t="shared" si="197"/>
        <v>50948.6</v>
      </c>
      <c r="L1547" s="1">
        <v>43349</v>
      </c>
      <c r="M1547">
        <v>6.02</v>
      </c>
      <c r="AJ1547" s="1">
        <v>43371</v>
      </c>
      <c r="AL1547">
        <v>12.11</v>
      </c>
      <c r="AM1547" s="6">
        <f t="shared" si="198"/>
        <v>100000</v>
      </c>
      <c r="AN1547" s="2">
        <f t="shared" si="199"/>
        <v>0</v>
      </c>
    </row>
    <row r="1548" spans="4:40" x14ac:dyDescent="0.35">
      <c r="D1548" s="1">
        <v>43391</v>
      </c>
      <c r="E1548">
        <v>3.6957</v>
      </c>
      <c r="F1548" s="1">
        <v>43362</v>
      </c>
      <c r="G1548">
        <v>118.71</v>
      </c>
      <c r="H1548" s="4">
        <f t="shared" si="196"/>
        <v>438716.54700000002</v>
      </c>
      <c r="I1548" s="5">
        <v>43370</v>
      </c>
      <c r="J1548" s="4">
        <v>5047.16</v>
      </c>
      <c r="K1548" s="4">
        <f t="shared" si="197"/>
        <v>50471.6</v>
      </c>
      <c r="L1548" s="1">
        <v>43348</v>
      </c>
      <c r="M1548">
        <v>6.14</v>
      </c>
      <c r="AJ1548" s="1">
        <v>43370</v>
      </c>
      <c r="AL1548">
        <v>11.98</v>
      </c>
      <c r="AM1548" s="6">
        <f t="shared" si="198"/>
        <v>100000</v>
      </c>
      <c r="AN1548" s="2">
        <f t="shared" si="199"/>
        <v>0</v>
      </c>
    </row>
    <row r="1549" spans="4:40" x14ac:dyDescent="0.35">
      <c r="D1549" s="1">
        <v>43390</v>
      </c>
      <c r="E1549">
        <v>3.7002000000000002</v>
      </c>
      <c r="F1549" s="1">
        <v>43361</v>
      </c>
      <c r="G1549">
        <v>118.754</v>
      </c>
      <c r="H1549" s="4">
        <f t="shared" si="196"/>
        <v>439413.55080000003</v>
      </c>
      <c r="I1549" s="5">
        <v>43369</v>
      </c>
      <c r="J1549" s="4">
        <v>5074.2</v>
      </c>
      <c r="K1549" s="4">
        <f t="shared" si="197"/>
        <v>50742</v>
      </c>
      <c r="L1549" s="1">
        <v>43347</v>
      </c>
      <c r="M1549">
        <v>6.02</v>
      </c>
      <c r="AJ1549" s="1">
        <v>43369</v>
      </c>
      <c r="AL1549">
        <v>12.11</v>
      </c>
      <c r="AM1549" s="6">
        <f t="shared" si="198"/>
        <v>100000</v>
      </c>
      <c r="AN1549" s="2">
        <f t="shared" si="199"/>
        <v>0</v>
      </c>
    </row>
    <row r="1550" spans="4:40" x14ac:dyDescent="0.35">
      <c r="D1550" s="1">
        <v>43389</v>
      </c>
      <c r="E1550">
        <v>3.7073</v>
      </c>
      <c r="F1550" s="1">
        <v>43360</v>
      </c>
      <c r="G1550">
        <v>119.176</v>
      </c>
      <c r="H1550" s="4">
        <f t="shared" si="196"/>
        <v>441821.18480000005</v>
      </c>
      <c r="I1550" s="5">
        <v>43368</v>
      </c>
      <c r="J1550" s="4">
        <v>5127.6499999999996</v>
      </c>
      <c r="K1550" s="4">
        <f t="shared" si="197"/>
        <v>51276.5</v>
      </c>
      <c r="L1550" s="1">
        <v>43346</v>
      </c>
      <c r="M1550">
        <v>5.82</v>
      </c>
      <c r="AJ1550" s="1">
        <v>43368</v>
      </c>
      <c r="AL1550">
        <v>12.24</v>
      </c>
      <c r="AM1550" s="6">
        <f t="shared" si="198"/>
        <v>100000</v>
      </c>
      <c r="AN1550" s="2">
        <f t="shared" si="199"/>
        <v>0</v>
      </c>
    </row>
    <row r="1551" spans="4:40" x14ac:dyDescent="0.35">
      <c r="D1551" s="1">
        <v>43388</v>
      </c>
      <c r="E1551">
        <v>3.7326000000000001</v>
      </c>
      <c r="F1551" s="1">
        <v>43357</v>
      </c>
      <c r="G1551">
        <v>119.121</v>
      </c>
      <c r="H1551" s="4">
        <f t="shared" si="196"/>
        <v>444631.04460000002</v>
      </c>
      <c r="I1551" s="5">
        <v>43367</v>
      </c>
      <c r="J1551" s="4">
        <v>5145.8900000000003</v>
      </c>
      <c r="K1551" s="4">
        <f t="shared" si="197"/>
        <v>51458.9</v>
      </c>
      <c r="L1551" s="1">
        <v>43343</v>
      </c>
      <c r="M1551">
        <v>5.77</v>
      </c>
      <c r="AJ1551" s="1">
        <v>43367</v>
      </c>
      <c r="AL1551">
        <v>12.25</v>
      </c>
      <c r="AM1551" s="6">
        <f t="shared" si="198"/>
        <v>100000</v>
      </c>
      <c r="AN1551" s="2">
        <f t="shared" si="199"/>
        <v>0</v>
      </c>
    </row>
    <row r="1552" spans="4:40" x14ac:dyDescent="0.35">
      <c r="D1552" s="1">
        <v>43384</v>
      </c>
      <c r="E1552">
        <v>3.7454000000000001</v>
      </c>
      <c r="F1552" s="1">
        <v>43356</v>
      </c>
      <c r="G1552">
        <v>119.30200000000001</v>
      </c>
      <c r="H1552" s="4">
        <f t="shared" si="196"/>
        <v>446833.7108</v>
      </c>
      <c r="I1552" s="5">
        <v>43364</v>
      </c>
      <c r="J1552" s="4">
        <v>5099.9799999999996</v>
      </c>
      <c r="K1552" s="4">
        <f t="shared" si="197"/>
        <v>50999.799999999996</v>
      </c>
      <c r="L1552" s="1">
        <v>43342</v>
      </c>
      <c r="M1552">
        <v>5.84</v>
      </c>
      <c r="AJ1552" s="1">
        <v>43364</v>
      </c>
      <c r="AL1552">
        <v>12.21</v>
      </c>
      <c r="AM1552" s="6">
        <f t="shared" si="198"/>
        <v>100000</v>
      </c>
      <c r="AN1552" s="2">
        <f t="shared" si="199"/>
        <v>0</v>
      </c>
    </row>
    <row r="1553" spans="4:40" x14ac:dyDescent="0.35">
      <c r="D1553" s="1">
        <v>43383</v>
      </c>
      <c r="E1553">
        <v>3.7504</v>
      </c>
      <c r="F1553" s="1">
        <v>43355</v>
      </c>
      <c r="G1553">
        <v>119.386</v>
      </c>
      <c r="H1553" s="4">
        <f t="shared" si="196"/>
        <v>447745.25439999998</v>
      </c>
      <c r="I1553" s="5">
        <v>43363</v>
      </c>
      <c r="J1553" s="4">
        <v>5130.17</v>
      </c>
      <c r="K1553" s="4">
        <f t="shared" si="197"/>
        <v>51301.7</v>
      </c>
      <c r="L1553" s="1">
        <v>43341</v>
      </c>
      <c r="M1553">
        <v>5.72</v>
      </c>
      <c r="AJ1553" s="1">
        <v>43363</v>
      </c>
      <c r="AL1553">
        <v>12.47</v>
      </c>
      <c r="AM1553" s="6">
        <f t="shared" si="198"/>
        <v>100000</v>
      </c>
      <c r="AN1553" s="2">
        <f t="shared" si="199"/>
        <v>0</v>
      </c>
    </row>
    <row r="1554" spans="4:40" x14ac:dyDescent="0.35">
      <c r="D1554" s="1">
        <v>43382</v>
      </c>
      <c r="E1554">
        <v>3.7385000000000002</v>
      </c>
      <c r="F1554" s="1">
        <v>43354</v>
      </c>
      <c r="G1554">
        <v>119.316</v>
      </c>
      <c r="H1554" s="4">
        <f t="shared" si="196"/>
        <v>446062.86600000004</v>
      </c>
      <c r="I1554" s="5">
        <v>43362</v>
      </c>
      <c r="J1554" s="4">
        <v>5194.9399999999996</v>
      </c>
      <c r="K1554" s="4">
        <f t="shared" si="197"/>
        <v>51949.399999999994</v>
      </c>
      <c r="L1554" s="1">
        <v>43340</v>
      </c>
      <c r="M1554">
        <v>5.74</v>
      </c>
      <c r="AJ1554" s="1">
        <v>43362</v>
      </c>
      <c r="AL1554">
        <v>12.56</v>
      </c>
      <c r="AM1554" s="6">
        <f t="shared" si="198"/>
        <v>100000</v>
      </c>
      <c r="AN1554" s="2">
        <f t="shared" si="199"/>
        <v>0</v>
      </c>
    </row>
    <row r="1555" spans="4:40" x14ac:dyDescent="0.35">
      <c r="D1555" s="1">
        <v>43381</v>
      </c>
      <c r="E1555">
        <v>3.7582</v>
      </c>
      <c r="F1555" s="1">
        <v>43353</v>
      </c>
      <c r="G1555">
        <v>119.636</v>
      </c>
      <c r="H1555" s="4">
        <f t="shared" si="196"/>
        <v>449616.01519999997</v>
      </c>
      <c r="I1555" s="5">
        <v>43361</v>
      </c>
      <c r="J1555" s="4">
        <v>5240.84</v>
      </c>
      <c r="K1555" s="4">
        <f t="shared" si="197"/>
        <v>52408.4</v>
      </c>
      <c r="L1555" s="1">
        <v>43339</v>
      </c>
      <c r="M1555">
        <v>5.71</v>
      </c>
      <c r="AJ1555" s="1">
        <v>43361</v>
      </c>
      <c r="AL1555">
        <v>12.69</v>
      </c>
      <c r="AM1555" s="6">
        <f t="shared" si="198"/>
        <v>100000</v>
      </c>
      <c r="AN1555" s="2">
        <f t="shared" si="199"/>
        <v>0</v>
      </c>
    </row>
    <row r="1556" spans="4:40" x14ac:dyDescent="0.35">
      <c r="D1556" s="1">
        <v>43378</v>
      </c>
      <c r="E1556">
        <v>3.8693</v>
      </c>
      <c r="F1556" s="1">
        <v>43349</v>
      </c>
      <c r="G1556">
        <v>120.136</v>
      </c>
      <c r="H1556" s="4">
        <f t="shared" si="196"/>
        <v>464842.22480000003</v>
      </c>
      <c r="I1556" s="5">
        <v>43360</v>
      </c>
      <c r="J1556" s="4">
        <v>5205.63</v>
      </c>
      <c r="K1556" s="4">
        <f t="shared" si="197"/>
        <v>52056.3</v>
      </c>
      <c r="L1556" s="1">
        <v>43336</v>
      </c>
      <c r="M1556">
        <v>5.72</v>
      </c>
      <c r="AJ1556" s="1">
        <v>43360</v>
      </c>
      <c r="AL1556">
        <v>12.7</v>
      </c>
      <c r="AM1556" s="6">
        <f t="shared" si="198"/>
        <v>100000</v>
      </c>
      <c r="AN1556" s="2">
        <f t="shared" si="199"/>
        <v>0</v>
      </c>
    </row>
    <row r="1557" spans="4:40" x14ac:dyDescent="0.35">
      <c r="D1557" s="1">
        <v>43377</v>
      </c>
      <c r="E1557">
        <v>3.9041000000000001</v>
      </c>
      <c r="F1557" s="1">
        <v>43348</v>
      </c>
      <c r="G1557">
        <v>120.01300000000001</v>
      </c>
      <c r="H1557" s="4">
        <f t="shared" si="196"/>
        <v>468542.75330000004</v>
      </c>
      <c r="I1557" s="5">
        <v>43357</v>
      </c>
      <c r="J1557" s="4">
        <v>5257.19</v>
      </c>
      <c r="K1557" s="4">
        <f t="shared" si="197"/>
        <v>52571.899999999994</v>
      </c>
      <c r="L1557" s="1">
        <v>43335</v>
      </c>
      <c r="M1557">
        <v>5.79</v>
      </c>
      <c r="AJ1557" s="1">
        <v>43357</v>
      </c>
      <c r="AL1557">
        <v>12.86</v>
      </c>
      <c r="AM1557" s="6">
        <f t="shared" si="198"/>
        <v>100000</v>
      </c>
      <c r="AN1557" s="2">
        <f t="shared" si="199"/>
        <v>0</v>
      </c>
    </row>
    <row r="1558" spans="4:40" x14ac:dyDescent="0.35">
      <c r="D1558" s="1">
        <v>43376</v>
      </c>
      <c r="E1558">
        <v>3.8536000000000001</v>
      </c>
      <c r="F1558" s="1">
        <v>43347</v>
      </c>
      <c r="G1558">
        <v>119.91800000000001</v>
      </c>
      <c r="H1558" s="4">
        <f t="shared" si="196"/>
        <v>462116.00480000005</v>
      </c>
      <c r="I1558" s="5">
        <v>43356</v>
      </c>
      <c r="J1558" s="4">
        <v>5298.7</v>
      </c>
      <c r="K1558" s="4">
        <f t="shared" si="197"/>
        <v>52987</v>
      </c>
      <c r="L1558" s="1">
        <v>43334</v>
      </c>
      <c r="M1558">
        <v>5.7</v>
      </c>
      <c r="AJ1558" s="1">
        <v>43356</v>
      </c>
      <c r="AL1558">
        <v>12.92</v>
      </c>
      <c r="AM1558" s="6">
        <f t="shared" si="198"/>
        <v>100000</v>
      </c>
      <c r="AN1558" s="2">
        <f t="shared" si="199"/>
        <v>0</v>
      </c>
    </row>
    <row r="1559" spans="4:40" x14ac:dyDescent="0.35">
      <c r="D1559" s="1">
        <v>43375</v>
      </c>
      <c r="E1559">
        <v>3.9499</v>
      </c>
      <c r="F1559" s="1">
        <v>43346</v>
      </c>
      <c r="G1559">
        <v>120.358</v>
      </c>
      <c r="H1559" s="4">
        <f t="shared" si="196"/>
        <v>475402.06419999996</v>
      </c>
      <c r="I1559" s="5">
        <v>43355</v>
      </c>
      <c r="J1559" s="4">
        <v>5241.47</v>
      </c>
      <c r="K1559" s="4">
        <f t="shared" si="197"/>
        <v>52414.700000000004</v>
      </c>
      <c r="L1559" s="1">
        <v>43332</v>
      </c>
      <c r="M1559">
        <v>5.59</v>
      </c>
      <c r="AJ1559" s="1">
        <v>43355</v>
      </c>
      <c r="AL1559">
        <v>12.84</v>
      </c>
      <c r="AM1559" s="6">
        <f t="shared" si="198"/>
        <v>100000</v>
      </c>
      <c r="AN1559" s="2">
        <f t="shared" si="199"/>
        <v>0</v>
      </c>
    </row>
    <row r="1560" spans="4:40" x14ac:dyDescent="0.35">
      <c r="D1560" s="1">
        <v>43374</v>
      </c>
      <c r="E1560">
        <v>4.0266999999999999</v>
      </c>
      <c r="F1560" s="1">
        <v>43343</v>
      </c>
      <c r="G1560">
        <v>120.176</v>
      </c>
      <c r="H1560" s="4">
        <f t="shared" si="196"/>
        <v>483912.69920000003</v>
      </c>
      <c r="I1560" s="5">
        <v>43354</v>
      </c>
      <c r="J1560" s="4">
        <v>5232.04</v>
      </c>
      <c r="K1560" s="4">
        <f t="shared" si="197"/>
        <v>52320.4</v>
      </c>
      <c r="L1560" s="1">
        <v>43329</v>
      </c>
      <c r="M1560">
        <v>5.5</v>
      </c>
      <c r="AJ1560" s="1">
        <v>43354</v>
      </c>
      <c r="AL1560">
        <v>12.84</v>
      </c>
      <c r="AM1560" s="6">
        <f t="shared" si="198"/>
        <v>100000</v>
      </c>
      <c r="AN1560" s="2">
        <f t="shared" si="199"/>
        <v>0</v>
      </c>
    </row>
    <row r="1561" spans="4:40" x14ac:dyDescent="0.35">
      <c r="D1561" s="1">
        <v>43371</v>
      </c>
      <c r="E1561">
        <v>4.0033000000000003</v>
      </c>
      <c r="F1561" s="1">
        <v>43342</v>
      </c>
      <c r="G1561">
        <v>120.127</v>
      </c>
      <c r="H1561" s="4">
        <f t="shared" si="196"/>
        <v>480904.41910000006</v>
      </c>
      <c r="I1561" s="5">
        <v>43353</v>
      </c>
      <c r="J1561" s="4">
        <v>5150.29</v>
      </c>
      <c r="K1561" s="4">
        <f t="shared" si="197"/>
        <v>51502.9</v>
      </c>
      <c r="L1561" s="1">
        <v>43328</v>
      </c>
      <c r="M1561">
        <v>5.53</v>
      </c>
      <c r="AJ1561" s="1">
        <v>43353</v>
      </c>
      <c r="AL1561">
        <v>12.65</v>
      </c>
      <c r="AM1561" s="6">
        <f t="shared" si="198"/>
        <v>100000</v>
      </c>
      <c r="AN1561" s="2">
        <f t="shared" si="199"/>
        <v>0</v>
      </c>
    </row>
    <row r="1562" spans="4:40" x14ac:dyDescent="0.35">
      <c r="D1562" s="1">
        <v>43370</v>
      </c>
      <c r="E1562">
        <v>4.0086000000000004</v>
      </c>
      <c r="F1562" s="1">
        <v>43341</v>
      </c>
      <c r="G1562">
        <v>120.123</v>
      </c>
      <c r="H1562" s="4">
        <f t="shared" si="196"/>
        <v>481525.05780000007</v>
      </c>
      <c r="I1562" s="5">
        <v>43349</v>
      </c>
      <c r="J1562" s="4">
        <v>5118.22</v>
      </c>
      <c r="K1562" s="4">
        <f t="shared" si="197"/>
        <v>51182.200000000004</v>
      </c>
      <c r="L1562" s="1">
        <v>43327</v>
      </c>
      <c r="M1562">
        <v>5.56</v>
      </c>
      <c r="AJ1562" s="1">
        <v>43349</v>
      </c>
      <c r="AL1562">
        <v>12.53</v>
      </c>
      <c r="AM1562" s="6">
        <f t="shared" si="198"/>
        <v>100000</v>
      </c>
      <c r="AN1562" s="2">
        <f t="shared" si="199"/>
        <v>0</v>
      </c>
    </row>
    <row r="1563" spans="4:40" x14ac:dyDescent="0.35">
      <c r="D1563" s="1">
        <v>43369</v>
      </c>
      <c r="E1563">
        <v>4.0564</v>
      </c>
      <c r="F1563" s="1">
        <v>43340</v>
      </c>
      <c r="G1563">
        <v>120.139</v>
      </c>
      <c r="H1563" s="4">
        <f t="shared" si="196"/>
        <v>487331.83959999995</v>
      </c>
      <c r="I1563" s="5">
        <v>43348</v>
      </c>
      <c r="J1563" s="4">
        <v>5225.75</v>
      </c>
      <c r="K1563" s="4">
        <f t="shared" si="197"/>
        <v>52257.5</v>
      </c>
      <c r="L1563" s="1">
        <v>43326</v>
      </c>
      <c r="M1563">
        <v>5.55</v>
      </c>
      <c r="AJ1563" s="1">
        <v>43348</v>
      </c>
      <c r="AL1563">
        <v>12.93</v>
      </c>
      <c r="AM1563" s="6">
        <f t="shared" si="198"/>
        <v>100000</v>
      </c>
      <c r="AN1563" s="2">
        <f t="shared" si="199"/>
        <v>0</v>
      </c>
    </row>
    <row r="1564" spans="4:40" x14ac:dyDescent="0.35">
      <c r="D1564" s="1">
        <v>43368</v>
      </c>
      <c r="E1564">
        <v>4.1280000000000001</v>
      </c>
      <c r="F1564" s="1">
        <v>43339</v>
      </c>
      <c r="G1564">
        <v>120.346</v>
      </c>
      <c r="H1564" s="4">
        <f t="shared" si="196"/>
        <v>496788.288</v>
      </c>
      <c r="I1564" s="5">
        <v>43347</v>
      </c>
      <c r="J1564" s="4">
        <v>5245.87</v>
      </c>
      <c r="K1564" s="4">
        <f t="shared" si="197"/>
        <v>52458.7</v>
      </c>
      <c r="L1564" s="1">
        <v>43325</v>
      </c>
      <c r="M1564">
        <v>5.79</v>
      </c>
      <c r="AJ1564" s="1">
        <v>43347</v>
      </c>
      <c r="AL1564">
        <v>12.88</v>
      </c>
      <c r="AM1564" s="6">
        <f t="shared" si="198"/>
        <v>100000</v>
      </c>
      <c r="AN1564" s="2">
        <f t="shared" si="199"/>
        <v>0</v>
      </c>
    </row>
    <row r="1565" spans="4:40" x14ac:dyDescent="0.35">
      <c r="D1565" s="1">
        <v>43367</v>
      </c>
      <c r="E1565">
        <v>4.0587999999999997</v>
      </c>
      <c r="F1565" s="1">
        <v>43336</v>
      </c>
      <c r="G1565">
        <v>120.57</v>
      </c>
      <c r="H1565" s="4">
        <f t="shared" si="196"/>
        <v>489369.51599999995</v>
      </c>
      <c r="I1565" s="5">
        <v>43346</v>
      </c>
      <c r="J1565" s="4">
        <v>5242.1000000000004</v>
      </c>
      <c r="K1565" s="4">
        <f t="shared" si="197"/>
        <v>52421</v>
      </c>
      <c r="L1565" s="1">
        <v>43322</v>
      </c>
      <c r="M1565">
        <v>5.81</v>
      </c>
      <c r="AJ1565" s="1">
        <v>43346</v>
      </c>
      <c r="AL1565">
        <v>12.68</v>
      </c>
      <c r="AM1565" s="6">
        <f t="shared" si="198"/>
        <v>100000</v>
      </c>
      <c r="AN1565" s="2">
        <f t="shared" si="199"/>
        <v>0</v>
      </c>
    </row>
    <row r="1566" spans="4:40" x14ac:dyDescent="0.35">
      <c r="D1566" s="1">
        <v>43364</v>
      </c>
      <c r="E1566">
        <v>4.0721999999999996</v>
      </c>
      <c r="F1566" s="1">
        <v>43335</v>
      </c>
      <c r="G1566">
        <v>120.518</v>
      </c>
      <c r="H1566" s="4">
        <f t="shared" si="196"/>
        <v>490773.39959999995</v>
      </c>
      <c r="I1566" s="5">
        <v>43343</v>
      </c>
      <c r="J1566" s="4">
        <v>5112.5600000000004</v>
      </c>
      <c r="K1566" s="4">
        <f t="shared" si="197"/>
        <v>51125.600000000006</v>
      </c>
      <c r="L1566" s="1">
        <v>43321</v>
      </c>
      <c r="M1566">
        <v>5.67</v>
      </c>
      <c r="AJ1566" s="1">
        <v>43343</v>
      </c>
      <c r="AL1566">
        <v>12.5</v>
      </c>
      <c r="AM1566" s="6">
        <f t="shared" si="198"/>
        <v>100000</v>
      </c>
      <c r="AN1566" s="2">
        <f t="shared" si="199"/>
        <v>0</v>
      </c>
    </row>
    <row r="1567" spans="4:40" x14ac:dyDescent="0.35">
      <c r="D1567" s="1">
        <v>43363</v>
      </c>
      <c r="E1567">
        <v>4.0991</v>
      </c>
      <c r="F1567" s="1">
        <v>43334</v>
      </c>
      <c r="G1567">
        <v>120.672</v>
      </c>
      <c r="H1567" s="4">
        <f t="shared" si="196"/>
        <v>494646.59519999998</v>
      </c>
      <c r="I1567" s="5">
        <v>43342</v>
      </c>
      <c r="J1567" s="4">
        <v>5232.04</v>
      </c>
      <c r="K1567" s="4">
        <f t="shared" si="197"/>
        <v>52320.4</v>
      </c>
      <c r="L1567" s="1">
        <v>43320</v>
      </c>
      <c r="M1567">
        <v>5.6</v>
      </c>
      <c r="AJ1567" s="1">
        <v>43342</v>
      </c>
      <c r="AL1567">
        <v>12.69</v>
      </c>
      <c r="AM1567" s="6">
        <f t="shared" si="198"/>
        <v>100000</v>
      </c>
      <c r="AN1567" s="2">
        <f t="shared" si="199"/>
        <v>0</v>
      </c>
    </row>
    <row r="1568" spans="4:40" x14ac:dyDescent="0.35">
      <c r="D1568" s="1">
        <v>43362</v>
      </c>
      <c r="E1568">
        <v>4.1345000000000001</v>
      </c>
      <c r="F1568" s="1">
        <v>43333</v>
      </c>
      <c r="G1568">
        <v>120.577</v>
      </c>
      <c r="H1568" s="4">
        <f t="shared" si="196"/>
        <v>498525.60649999999</v>
      </c>
      <c r="I1568" s="5">
        <v>43341</v>
      </c>
      <c r="J1568" s="4">
        <v>5180.3500000000004</v>
      </c>
      <c r="K1568" s="4">
        <f t="shared" si="197"/>
        <v>51803.5</v>
      </c>
      <c r="L1568" s="1">
        <v>43319</v>
      </c>
      <c r="M1568">
        <v>5.53</v>
      </c>
      <c r="AJ1568" s="1">
        <v>43341</v>
      </c>
      <c r="AL1568">
        <v>12.39</v>
      </c>
      <c r="AM1568" s="6">
        <f t="shared" si="198"/>
        <v>100000</v>
      </c>
      <c r="AN1568" s="2">
        <f t="shared" si="199"/>
        <v>0</v>
      </c>
    </row>
    <row r="1569" spans="4:40" x14ac:dyDescent="0.35">
      <c r="D1569" s="1">
        <v>43361</v>
      </c>
      <c r="E1569">
        <v>4.1363000000000003</v>
      </c>
      <c r="F1569" s="1">
        <v>43332</v>
      </c>
      <c r="G1569">
        <v>120.687</v>
      </c>
      <c r="H1569" s="4">
        <f t="shared" si="196"/>
        <v>499197.63809999998</v>
      </c>
      <c r="I1569" s="5">
        <v>43340</v>
      </c>
      <c r="J1569" s="4">
        <v>5220.6899999999996</v>
      </c>
      <c r="K1569" s="4">
        <f t="shared" si="197"/>
        <v>52206.899999999994</v>
      </c>
      <c r="L1569" s="1">
        <v>43318</v>
      </c>
      <c r="M1569">
        <v>5.52</v>
      </c>
      <c r="AJ1569" s="1">
        <v>43340</v>
      </c>
      <c r="AL1569">
        <v>12.4</v>
      </c>
      <c r="AM1569" s="6">
        <f t="shared" si="198"/>
        <v>100000</v>
      </c>
      <c r="AN1569" s="2">
        <f t="shared" si="199"/>
        <v>0</v>
      </c>
    </row>
    <row r="1570" spans="4:40" x14ac:dyDescent="0.35">
      <c r="D1570" s="1">
        <v>43360</v>
      </c>
      <c r="E1570">
        <v>4.1688999999999998</v>
      </c>
      <c r="F1570" s="1">
        <v>43329</v>
      </c>
      <c r="G1570">
        <v>120.327</v>
      </c>
      <c r="H1570" s="4">
        <f t="shared" si="196"/>
        <v>501631.2303</v>
      </c>
      <c r="I1570" s="5">
        <v>43339</v>
      </c>
      <c r="J1570" s="4">
        <v>5146.9399999999996</v>
      </c>
      <c r="K1570" s="4">
        <f t="shared" si="197"/>
        <v>51469.399999999994</v>
      </c>
      <c r="L1570" s="1">
        <v>43315</v>
      </c>
      <c r="M1570">
        <v>5.52</v>
      </c>
      <c r="AJ1570" s="1">
        <v>43339</v>
      </c>
      <c r="AL1570">
        <v>12.3</v>
      </c>
      <c r="AM1570" s="6">
        <f t="shared" si="198"/>
        <v>100000</v>
      </c>
      <c r="AN1570" s="2">
        <f t="shared" si="199"/>
        <v>0</v>
      </c>
    </row>
    <row r="1571" spans="4:40" x14ac:dyDescent="0.35">
      <c r="D1571" s="1">
        <v>43357</v>
      </c>
      <c r="E1571">
        <v>4.1872999999999996</v>
      </c>
      <c r="F1571" s="1">
        <v>43328</v>
      </c>
      <c r="G1571">
        <v>120.26600000000001</v>
      </c>
      <c r="H1571" s="4">
        <f t="shared" si="196"/>
        <v>503589.82179999998</v>
      </c>
      <c r="I1571" s="5">
        <v>43336</v>
      </c>
      <c r="J1571" s="4">
        <v>5179.09</v>
      </c>
      <c r="K1571" s="4">
        <f t="shared" si="197"/>
        <v>51790.9</v>
      </c>
      <c r="L1571" s="1">
        <v>43314</v>
      </c>
      <c r="M1571">
        <v>5.66</v>
      </c>
      <c r="AJ1571" s="1">
        <v>43336</v>
      </c>
      <c r="AL1571">
        <v>12.36</v>
      </c>
      <c r="AM1571" s="6">
        <f t="shared" si="198"/>
        <v>100000</v>
      </c>
      <c r="AN1571" s="2">
        <f t="shared" si="199"/>
        <v>0</v>
      </c>
    </row>
    <row r="1572" spans="4:40" x14ac:dyDescent="0.35">
      <c r="D1572" s="1">
        <v>43356</v>
      </c>
      <c r="E1572">
        <v>4.1631</v>
      </c>
      <c r="F1572" s="1">
        <v>43327</v>
      </c>
      <c r="G1572">
        <v>120.372</v>
      </c>
      <c r="H1572" s="4">
        <f t="shared" si="196"/>
        <v>501120.67320000002</v>
      </c>
      <c r="I1572" s="5">
        <v>43335</v>
      </c>
      <c r="J1572" s="4">
        <v>5192.33</v>
      </c>
      <c r="K1572" s="4">
        <f t="shared" si="197"/>
        <v>51923.3</v>
      </c>
      <c r="L1572" s="1">
        <v>43313</v>
      </c>
      <c r="M1572">
        <v>5.65</v>
      </c>
      <c r="AJ1572" s="1">
        <v>43335</v>
      </c>
      <c r="AL1572">
        <v>12.54</v>
      </c>
      <c r="AM1572" s="6">
        <f t="shared" si="198"/>
        <v>100000</v>
      </c>
      <c r="AN1572" s="2">
        <f t="shared" si="199"/>
        <v>0</v>
      </c>
    </row>
    <row r="1573" spans="4:40" x14ac:dyDescent="0.35">
      <c r="D1573" s="1">
        <v>43355</v>
      </c>
      <c r="E1573">
        <v>4.1253000000000002</v>
      </c>
      <c r="F1573" s="1">
        <v>43326</v>
      </c>
      <c r="G1573">
        <v>120.035</v>
      </c>
      <c r="H1573" s="4">
        <f t="shared" si="196"/>
        <v>495180.38549999997</v>
      </c>
      <c r="I1573" s="5">
        <v>43334</v>
      </c>
      <c r="J1573" s="4">
        <v>5100.92</v>
      </c>
      <c r="K1573" s="4">
        <f t="shared" si="197"/>
        <v>51009.2</v>
      </c>
      <c r="L1573" s="1">
        <v>43312</v>
      </c>
      <c r="M1573">
        <v>5.68</v>
      </c>
      <c r="AJ1573" s="1">
        <v>43334</v>
      </c>
      <c r="AL1573">
        <v>12.3</v>
      </c>
      <c r="AM1573" s="6">
        <f t="shared" si="198"/>
        <v>100000</v>
      </c>
      <c r="AN1573" s="2">
        <f t="shared" si="199"/>
        <v>0</v>
      </c>
    </row>
    <row r="1574" spans="4:40" x14ac:dyDescent="0.35">
      <c r="D1574" s="1">
        <v>43354</v>
      </c>
      <c r="E1574">
        <v>4.1635</v>
      </c>
      <c r="F1574" s="1">
        <v>43325</v>
      </c>
      <c r="G1574">
        <v>120.22499999999999</v>
      </c>
      <c r="H1574" s="4">
        <f t="shared" si="196"/>
        <v>500556.78749999998</v>
      </c>
      <c r="I1574" s="5">
        <v>43333</v>
      </c>
      <c r="J1574" s="4">
        <v>5112.2700000000004</v>
      </c>
      <c r="K1574" s="4">
        <f t="shared" si="197"/>
        <v>51122.700000000004</v>
      </c>
      <c r="L1574" s="1">
        <v>43308</v>
      </c>
      <c r="M1574">
        <v>5.66</v>
      </c>
      <c r="AJ1574" s="1">
        <v>43333</v>
      </c>
      <c r="AL1574">
        <v>12.57</v>
      </c>
      <c r="AM1574" s="6">
        <f t="shared" si="198"/>
        <v>100000</v>
      </c>
      <c r="AN1574" s="2">
        <f t="shared" si="199"/>
        <v>0</v>
      </c>
    </row>
    <row r="1575" spans="4:40" x14ac:dyDescent="0.35">
      <c r="D1575" s="1">
        <v>43353</v>
      </c>
      <c r="E1575">
        <v>4.1001000000000003</v>
      </c>
      <c r="F1575" s="1">
        <v>43322</v>
      </c>
      <c r="G1575">
        <v>120.249</v>
      </c>
      <c r="H1575" s="4">
        <f t="shared" si="196"/>
        <v>493032.92489999998</v>
      </c>
      <c r="I1575" s="5">
        <v>43332</v>
      </c>
      <c r="J1575" s="4">
        <v>5009.5200000000004</v>
      </c>
      <c r="K1575" s="4">
        <f t="shared" si="197"/>
        <v>50095.200000000004</v>
      </c>
      <c r="L1575" s="1">
        <v>43307</v>
      </c>
      <c r="M1575">
        <v>5.7</v>
      </c>
      <c r="AJ1575" s="1">
        <v>43332</v>
      </c>
      <c r="AL1575">
        <v>12.12</v>
      </c>
      <c r="AM1575" s="6">
        <f t="shared" si="198"/>
        <v>100000</v>
      </c>
      <c r="AN1575" s="2">
        <f t="shared" si="199"/>
        <v>0</v>
      </c>
    </row>
    <row r="1576" spans="4:40" x14ac:dyDescent="0.35">
      <c r="D1576" s="1">
        <v>43349</v>
      </c>
      <c r="E1576">
        <v>4.1454000000000004</v>
      </c>
      <c r="F1576" s="1">
        <v>43321</v>
      </c>
      <c r="G1576">
        <v>119.751</v>
      </c>
      <c r="H1576" s="4">
        <f t="shared" si="196"/>
        <v>496415.79540000012</v>
      </c>
      <c r="I1576" s="5">
        <v>43329</v>
      </c>
      <c r="J1576" s="4">
        <v>4940.8100000000004</v>
      </c>
      <c r="K1576" s="4">
        <f t="shared" si="197"/>
        <v>49408.100000000006</v>
      </c>
      <c r="L1576" s="1">
        <v>43306</v>
      </c>
      <c r="M1576">
        <v>5.65</v>
      </c>
      <c r="AJ1576" s="1">
        <v>43329</v>
      </c>
      <c r="AL1576">
        <v>12</v>
      </c>
      <c r="AM1576" s="6">
        <f t="shared" si="198"/>
        <v>100000</v>
      </c>
      <c r="AN1576" s="2">
        <f t="shared" si="199"/>
        <v>0</v>
      </c>
    </row>
    <row r="1577" spans="4:40" x14ac:dyDescent="0.35">
      <c r="D1577" s="1">
        <v>43348</v>
      </c>
      <c r="E1577">
        <v>4.1603000000000003</v>
      </c>
      <c r="F1577" s="1">
        <v>43320</v>
      </c>
      <c r="G1577">
        <v>119.52800000000001</v>
      </c>
      <c r="H1577" s="4">
        <f t="shared" si="196"/>
        <v>497272.33840000007</v>
      </c>
      <c r="I1577" s="5">
        <v>43328</v>
      </c>
      <c r="J1577" s="4">
        <v>4934.51</v>
      </c>
      <c r="K1577" s="4">
        <f t="shared" si="197"/>
        <v>49345.100000000006</v>
      </c>
      <c r="L1577" s="1">
        <v>43305</v>
      </c>
      <c r="M1577">
        <v>5.73</v>
      </c>
      <c r="AJ1577" s="1">
        <v>43328</v>
      </c>
      <c r="AL1577">
        <v>11.86</v>
      </c>
      <c r="AM1577" s="6">
        <f t="shared" si="198"/>
        <v>100000</v>
      </c>
      <c r="AN1577" s="2">
        <f t="shared" si="199"/>
        <v>0</v>
      </c>
    </row>
    <row r="1578" spans="4:40" x14ac:dyDescent="0.35">
      <c r="D1578" s="1">
        <v>43347</v>
      </c>
      <c r="E1578">
        <v>4.1646000000000001</v>
      </c>
      <c r="F1578" s="1">
        <v>43319</v>
      </c>
      <c r="G1578">
        <v>119.453</v>
      </c>
      <c r="H1578" s="4">
        <f t="shared" si="196"/>
        <v>497473.96380000003</v>
      </c>
      <c r="I1578" s="5">
        <v>43327</v>
      </c>
      <c r="J1578" s="4">
        <v>4930.09</v>
      </c>
      <c r="K1578" s="4">
        <f t="shared" si="197"/>
        <v>49300.9</v>
      </c>
      <c r="L1578" s="1">
        <v>43304</v>
      </c>
      <c r="M1578">
        <v>5.73</v>
      </c>
      <c r="AJ1578" s="1">
        <v>43327</v>
      </c>
      <c r="AL1578">
        <v>11.78</v>
      </c>
      <c r="AM1578" s="6">
        <f t="shared" si="198"/>
        <v>100000</v>
      </c>
      <c r="AN1578" s="2">
        <f t="shared" si="199"/>
        <v>0</v>
      </c>
    </row>
    <row r="1579" spans="4:40" x14ac:dyDescent="0.35">
      <c r="D1579" s="1">
        <v>43346</v>
      </c>
      <c r="E1579">
        <v>4.1273</v>
      </c>
      <c r="F1579" s="1">
        <v>43318</v>
      </c>
      <c r="G1579">
        <v>119.749</v>
      </c>
      <c r="H1579" s="4">
        <f t="shared" si="196"/>
        <v>494240.0477</v>
      </c>
      <c r="I1579" s="5">
        <v>43326</v>
      </c>
      <c r="J1579" s="4">
        <v>4884.71</v>
      </c>
      <c r="K1579" s="4">
        <f t="shared" si="197"/>
        <v>48847.1</v>
      </c>
      <c r="L1579" s="1">
        <v>43301</v>
      </c>
      <c r="M1579">
        <v>5.7</v>
      </c>
      <c r="AJ1579" s="1">
        <v>43326</v>
      </c>
      <c r="AL1579">
        <v>11.83</v>
      </c>
      <c r="AM1579" s="6">
        <f t="shared" si="198"/>
        <v>100000</v>
      </c>
      <c r="AN1579" s="2">
        <f t="shared" si="199"/>
        <v>0</v>
      </c>
    </row>
    <row r="1580" spans="4:40" x14ac:dyDescent="0.35">
      <c r="D1580" s="1">
        <v>43343</v>
      </c>
      <c r="E1580">
        <v>4.1346999999999996</v>
      </c>
      <c r="F1580" s="1">
        <v>43315</v>
      </c>
      <c r="G1580">
        <v>119.6</v>
      </c>
      <c r="H1580" s="4">
        <f t="shared" si="196"/>
        <v>494510.11999999994</v>
      </c>
      <c r="I1580" s="5">
        <v>43325</v>
      </c>
      <c r="J1580" s="4">
        <v>4908.03</v>
      </c>
      <c r="K1580" s="4">
        <f t="shared" si="197"/>
        <v>49080.299999999996</v>
      </c>
      <c r="L1580" s="1">
        <v>43300</v>
      </c>
      <c r="M1580">
        <v>5.82</v>
      </c>
      <c r="AJ1580" s="1">
        <v>43325</v>
      </c>
      <c r="AL1580">
        <v>11.98</v>
      </c>
      <c r="AM1580" s="6">
        <f t="shared" si="198"/>
        <v>100000</v>
      </c>
      <c r="AN1580" s="2">
        <f t="shared" si="199"/>
        <v>0</v>
      </c>
    </row>
    <row r="1581" spans="4:40" x14ac:dyDescent="0.35">
      <c r="D1581" s="1">
        <v>43342</v>
      </c>
      <c r="E1581">
        <v>4.1806000000000001</v>
      </c>
      <c r="F1581" s="1">
        <v>43314</v>
      </c>
      <c r="G1581">
        <v>119.32</v>
      </c>
      <c r="H1581" s="4">
        <f t="shared" si="196"/>
        <v>498829.19199999998</v>
      </c>
      <c r="I1581" s="5">
        <v>43322</v>
      </c>
      <c r="J1581" s="4">
        <v>4877.1400000000003</v>
      </c>
      <c r="K1581" s="4">
        <f t="shared" si="197"/>
        <v>48771.4</v>
      </c>
      <c r="L1581" s="1">
        <v>43299</v>
      </c>
      <c r="M1581">
        <v>5.88</v>
      </c>
      <c r="AJ1581" s="1">
        <v>43322</v>
      </c>
      <c r="AL1581">
        <v>11.99</v>
      </c>
      <c r="AM1581" s="6">
        <f t="shared" si="198"/>
        <v>100000</v>
      </c>
      <c r="AN1581" s="2">
        <f t="shared" si="199"/>
        <v>0</v>
      </c>
    </row>
    <row r="1582" spans="4:40" x14ac:dyDescent="0.35">
      <c r="D1582" s="1">
        <v>43341</v>
      </c>
      <c r="E1582">
        <v>4.1346999999999996</v>
      </c>
      <c r="F1582" s="1">
        <v>43313</v>
      </c>
      <c r="G1582">
        <v>119.126</v>
      </c>
      <c r="H1582" s="4">
        <f t="shared" si="196"/>
        <v>492550.27220000001</v>
      </c>
      <c r="I1582" s="5">
        <v>43321</v>
      </c>
      <c r="J1582" s="4">
        <v>4805.28</v>
      </c>
      <c r="K1582" s="4">
        <f t="shared" si="197"/>
        <v>48052.799999999996</v>
      </c>
      <c r="L1582" s="1">
        <v>43298</v>
      </c>
      <c r="M1582">
        <v>5.88</v>
      </c>
      <c r="AJ1582" s="1">
        <v>43321</v>
      </c>
      <c r="AL1582">
        <v>11.69</v>
      </c>
      <c r="AM1582" s="6">
        <f t="shared" si="198"/>
        <v>100000</v>
      </c>
      <c r="AN1582" s="2">
        <f t="shared" si="199"/>
        <v>0</v>
      </c>
    </row>
    <row r="1583" spans="4:40" x14ac:dyDescent="0.35">
      <c r="D1583" s="1">
        <v>43340</v>
      </c>
      <c r="E1583">
        <v>4.1185999999999998</v>
      </c>
      <c r="F1583" s="1">
        <v>43312</v>
      </c>
      <c r="G1583">
        <v>119.48399999999999</v>
      </c>
      <c r="H1583" s="4">
        <f t="shared" si="196"/>
        <v>492106.80239999993</v>
      </c>
      <c r="I1583" s="5">
        <v>43320</v>
      </c>
      <c r="J1583" s="4">
        <v>4767.46</v>
      </c>
      <c r="K1583" s="4">
        <f t="shared" si="197"/>
        <v>47674.6</v>
      </c>
      <c r="L1583" s="1">
        <v>43297</v>
      </c>
      <c r="M1583">
        <v>5.9</v>
      </c>
      <c r="AJ1583" s="1">
        <v>43320</v>
      </c>
      <c r="AL1583">
        <v>11.51</v>
      </c>
      <c r="AM1583" s="6">
        <f t="shared" si="198"/>
        <v>100000</v>
      </c>
      <c r="AN1583" s="2">
        <f t="shared" si="199"/>
        <v>0</v>
      </c>
    </row>
    <row r="1584" spans="4:40" x14ac:dyDescent="0.35">
      <c r="D1584" s="1">
        <v>43339</v>
      </c>
      <c r="E1584">
        <v>4.0681000000000003</v>
      </c>
      <c r="F1584" s="1">
        <v>43311</v>
      </c>
      <c r="G1584">
        <v>119.32</v>
      </c>
      <c r="H1584" s="4">
        <f t="shared" si="196"/>
        <v>485405.69199999998</v>
      </c>
      <c r="I1584" s="5">
        <v>43319</v>
      </c>
      <c r="J1584" s="4">
        <v>4741.6099999999997</v>
      </c>
      <c r="K1584" s="4">
        <f t="shared" si="197"/>
        <v>47416.1</v>
      </c>
      <c r="L1584" s="1">
        <v>43294</v>
      </c>
      <c r="M1584">
        <v>5.86</v>
      </c>
      <c r="AJ1584" s="1">
        <v>43319</v>
      </c>
      <c r="AL1584">
        <v>11.31</v>
      </c>
      <c r="AM1584" s="6">
        <f t="shared" si="198"/>
        <v>100000</v>
      </c>
      <c r="AN1584" s="2">
        <f t="shared" si="199"/>
        <v>0</v>
      </c>
    </row>
    <row r="1585" spans="4:40" x14ac:dyDescent="0.35">
      <c r="D1585" s="1">
        <v>43336</v>
      </c>
      <c r="E1585">
        <v>4.0848000000000004</v>
      </c>
      <c r="F1585" s="1">
        <v>43308</v>
      </c>
      <c r="G1585">
        <v>119.483</v>
      </c>
      <c r="H1585" s="4">
        <f t="shared" si="196"/>
        <v>488064.15840000007</v>
      </c>
      <c r="I1585" s="5">
        <v>43318</v>
      </c>
      <c r="J1585" s="4">
        <v>4725.8599999999997</v>
      </c>
      <c r="K1585" s="4">
        <f t="shared" si="197"/>
        <v>47258.6</v>
      </c>
      <c r="L1585" s="1">
        <v>43292</v>
      </c>
      <c r="M1585">
        <v>5.83</v>
      </c>
      <c r="AJ1585" s="1">
        <v>43318</v>
      </c>
      <c r="AL1585">
        <v>11.22</v>
      </c>
      <c r="AM1585" s="6">
        <f t="shared" si="198"/>
        <v>100000</v>
      </c>
      <c r="AN1585" s="2">
        <f t="shared" si="199"/>
        <v>0</v>
      </c>
    </row>
    <row r="1586" spans="4:40" x14ac:dyDescent="0.35">
      <c r="D1586" s="1">
        <v>43335</v>
      </c>
      <c r="E1586">
        <v>4.0720999999999998</v>
      </c>
      <c r="F1586" s="1">
        <v>43307</v>
      </c>
      <c r="G1586">
        <v>119.283</v>
      </c>
      <c r="H1586" s="4">
        <f t="shared" si="196"/>
        <v>485732.30430000002</v>
      </c>
      <c r="I1586" s="5">
        <v>43315</v>
      </c>
      <c r="J1586" s="4">
        <v>4689.92</v>
      </c>
      <c r="K1586" s="4">
        <f t="shared" si="197"/>
        <v>46899.199999999997</v>
      </c>
      <c r="L1586" s="1">
        <v>43287</v>
      </c>
      <c r="M1586">
        <v>5.77</v>
      </c>
      <c r="AJ1586" s="1">
        <v>43315</v>
      </c>
      <c r="AL1586">
        <v>11.22</v>
      </c>
      <c r="AM1586" s="6">
        <f t="shared" si="198"/>
        <v>100000</v>
      </c>
      <c r="AN1586" s="2">
        <f t="shared" si="199"/>
        <v>0</v>
      </c>
    </row>
    <row r="1587" spans="4:40" x14ac:dyDescent="0.35">
      <c r="D1587" s="1">
        <v>43334</v>
      </c>
      <c r="E1587">
        <v>4.0734000000000004</v>
      </c>
      <c r="F1587" s="1">
        <v>43306</v>
      </c>
      <c r="G1587">
        <v>119.367</v>
      </c>
      <c r="H1587" s="4">
        <f t="shared" si="196"/>
        <v>486229.53780000005</v>
      </c>
      <c r="I1587" s="5">
        <v>43314</v>
      </c>
      <c r="J1587" s="4">
        <v>4745.3999999999996</v>
      </c>
      <c r="K1587" s="4">
        <f t="shared" si="197"/>
        <v>47454</v>
      </c>
      <c r="L1587" s="1">
        <v>43286</v>
      </c>
      <c r="M1587">
        <v>5.83</v>
      </c>
      <c r="AJ1587" s="1">
        <v>43314</v>
      </c>
      <c r="AL1587">
        <v>11.4</v>
      </c>
      <c r="AM1587" s="6">
        <f t="shared" si="198"/>
        <v>100000</v>
      </c>
      <c r="AN1587" s="2">
        <f t="shared" si="199"/>
        <v>0</v>
      </c>
    </row>
    <row r="1588" spans="4:40" x14ac:dyDescent="0.35">
      <c r="D1588" s="1">
        <v>43333</v>
      </c>
      <c r="E1588">
        <v>3.9866999999999999</v>
      </c>
      <c r="F1588" s="1">
        <v>43305</v>
      </c>
      <c r="G1588">
        <v>119.455</v>
      </c>
      <c r="H1588" s="4">
        <f t="shared" si="196"/>
        <v>476231.24849999999</v>
      </c>
      <c r="I1588" s="5">
        <v>43313</v>
      </c>
      <c r="J1588" s="4">
        <v>4743.51</v>
      </c>
      <c r="K1588" s="4">
        <f t="shared" si="197"/>
        <v>47435.100000000006</v>
      </c>
      <c r="L1588" s="1">
        <v>43285</v>
      </c>
      <c r="M1588">
        <v>5.79</v>
      </c>
      <c r="AJ1588" s="1">
        <v>43313</v>
      </c>
      <c r="AL1588">
        <v>11.4</v>
      </c>
      <c r="AM1588" s="6">
        <f t="shared" si="198"/>
        <v>100000</v>
      </c>
      <c r="AN1588" s="2">
        <f t="shared" si="199"/>
        <v>0</v>
      </c>
    </row>
    <row r="1589" spans="4:40" x14ac:dyDescent="0.35">
      <c r="D1589" s="1">
        <v>43332</v>
      </c>
      <c r="E1589">
        <v>3.9424000000000001</v>
      </c>
      <c r="F1589" s="1">
        <v>43304</v>
      </c>
      <c r="G1589">
        <v>119.54600000000001</v>
      </c>
      <c r="H1589" s="4">
        <f t="shared" si="196"/>
        <v>471298.15040000004</v>
      </c>
      <c r="I1589" s="5">
        <v>43312</v>
      </c>
      <c r="J1589" s="4">
        <v>4751.7</v>
      </c>
      <c r="K1589" s="4">
        <f t="shared" si="197"/>
        <v>47517</v>
      </c>
      <c r="L1589" s="1">
        <v>43284</v>
      </c>
      <c r="M1589">
        <v>5.79</v>
      </c>
      <c r="AJ1589" s="1">
        <v>43312</v>
      </c>
      <c r="AL1589">
        <v>11.31</v>
      </c>
      <c r="AM1589" s="6">
        <f t="shared" si="198"/>
        <v>100000</v>
      </c>
      <c r="AN1589" s="2">
        <f t="shared" si="199"/>
        <v>0</v>
      </c>
    </row>
    <row r="1590" spans="4:40" x14ac:dyDescent="0.35">
      <c r="D1590" s="1">
        <v>43329</v>
      </c>
      <c r="E1590">
        <v>3.9382999999999999</v>
      </c>
      <c r="F1590" s="1">
        <v>43301</v>
      </c>
      <c r="G1590">
        <v>120.012</v>
      </c>
      <c r="H1590" s="4">
        <f t="shared" si="196"/>
        <v>472643.25959999999</v>
      </c>
      <c r="I1590" s="5">
        <v>43311</v>
      </c>
      <c r="J1590" s="4">
        <v>4723.33</v>
      </c>
      <c r="K1590" s="4">
        <f t="shared" si="197"/>
        <v>47233.3</v>
      </c>
      <c r="L1590" s="1">
        <v>43280</v>
      </c>
      <c r="M1590">
        <v>5.93</v>
      </c>
      <c r="AJ1590" s="1">
        <v>43311</v>
      </c>
      <c r="AL1590">
        <v>11.2</v>
      </c>
      <c r="AM1590" s="6">
        <f t="shared" si="198"/>
        <v>100000</v>
      </c>
      <c r="AN1590" s="2">
        <f t="shared" si="199"/>
        <v>0</v>
      </c>
    </row>
    <row r="1591" spans="4:40" x14ac:dyDescent="0.35">
      <c r="D1591" s="1">
        <v>43328</v>
      </c>
      <c r="E1591">
        <v>3.8803999999999998</v>
      </c>
      <c r="F1591" s="1">
        <v>43300</v>
      </c>
      <c r="G1591">
        <v>120.343</v>
      </c>
      <c r="H1591" s="4">
        <f t="shared" si="196"/>
        <v>466978.97719999996</v>
      </c>
      <c r="I1591" s="5">
        <v>43308</v>
      </c>
      <c r="J1591" s="4">
        <v>4698.01</v>
      </c>
      <c r="K1591" s="4">
        <f t="shared" si="197"/>
        <v>46980.100000000006</v>
      </c>
      <c r="L1591" s="1">
        <v>43279</v>
      </c>
      <c r="M1591">
        <v>5.9</v>
      </c>
      <c r="AJ1591" s="1">
        <v>43308</v>
      </c>
      <c r="AL1591">
        <v>11.2</v>
      </c>
      <c r="AM1591" s="6">
        <f t="shared" si="198"/>
        <v>100000</v>
      </c>
      <c r="AN1591" s="2">
        <f t="shared" si="199"/>
        <v>0</v>
      </c>
    </row>
    <row r="1592" spans="4:40" x14ac:dyDescent="0.35">
      <c r="D1592" s="1">
        <v>43327</v>
      </c>
      <c r="E1592">
        <v>3.9127999999999998</v>
      </c>
      <c r="F1592" s="1">
        <v>43299</v>
      </c>
      <c r="G1592">
        <v>120.03100000000001</v>
      </c>
      <c r="H1592" s="4">
        <f t="shared" si="196"/>
        <v>469657.29680000001</v>
      </c>
      <c r="I1592" s="5">
        <v>43307</v>
      </c>
      <c r="J1592" s="4">
        <v>4745.49</v>
      </c>
      <c r="K1592" s="4">
        <f t="shared" si="197"/>
        <v>47454.899999999994</v>
      </c>
      <c r="L1592" s="1">
        <v>43278</v>
      </c>
      <c r="M1592">
        <v>5.93</v>
      </c>
      <c r="AJ1592" s="1">
        <v>43307</v>
      </c>
      <c r="AL1592">
        <v>11.22</v>
      </c>
      <c r="AM1592" s="6">
        <f t="shared" si="198"/>
        <v>100000</v>
      </c>
      <c r="AN1592" s="2">
        <f t="shared" si="199"/>
        <v>0</v>
      </c>
    </row>
    <row r="1593" spans="4:40" x14ac:dyDescent="0.35">
      <c r="D1593" s="1">
        <v>43326</v>
      </c>
      <c r="E1593">
        <v>3.8805999999999998</v>
      </c>
      <c r="F1593" s="1">
        <v>43298</v>
      </c>
      <c r="G1593">
        <v>120.07299999999999</v>
      </c>
      <c r="H1593" s="4">
        <f t="shared" si="196"/>
        <v>465955.28379999998</v>
      </c>
      <c r="I1593" s="5">
        <v>43306</v>
      </c>
      <c r="J1593" s="4">
        <v>4672.0600000000004</v>
      </c>
      <c r="K1593" s="4">
        <f t="shared" si="197"/>
        <v>46720.600000000006</v>
      </c>
      <c r="L1593" s="1">
        <v>43273</v>
      </c>
      <c r="M1593">
        <v>5.94</v>
      </c>
      <c r="AJ1593" s="1">
        <v>43306</v>
      </c>
      <c r="AL1593">
        <v>11.08</v>
      </c>
      <c r="AM1593" s="6">
        <f t="shared" si="198"/>
        <v>100000</v>
      </c>
      <c r="AN1593" s="2">
        <f t="shared" si="199"/>
        <v>0</v>
      </c>
    </row>
    <row r="1594" spans="4:40" x14ac:dyDescent="0.35">
      <c r="D1594" s="1">
        <v>43325</v>
      </c>
      <c r="E1594">
        <v>3.8982000000000001</v>
      </c>
      <c r="F1594" s="1">
        <v>43297</v>
      </c>
      <c r="G1594">
        <v>120.143</v>
      </c>
      <c r="H1594" s="4">
        <f t="shared" si="196"/>
        <v>468341.44260000001</v>
      </c>
      <c r="I1594" s="5">
        <v>43305</v>
      </c>
      <c r="J1594" s="4">
        <v>4749.29</v>
      </c>
      <c r="K1594" s="4">
        <f t="shared" si="197"/>
        <v>47492.9</v>
      </c>
      <c r="L1594" s="1">
        <v>43270</v>
      </c>
      <c r="M1594">
        <v>5.83</v>
      </c>
      <c r="AJ1594" s="1">
        <v>43305</v>
      </c>
      <c r="AL1594">
        <v>11.22</v>
      </c>
      <c r="AM1594" s="6">
        <f t="shared" si="198"/>
        <v>100000</v>
      </c>
      <c r="AN1594" s="2">
        <f t="shared" si="199"/>
        <v>0</v>
      </c>
    </row>
    <row r="1595" spans="4:40" x14ac:dyDescent="0.35">
      <c r="D1595" s="1">
        <v>43322</v>
      </c>
      <c r="E1595">
        <v>3.8466</v>
      </c>
      <c r="F1595" s="1">
        <v>43294</v>
      </c>
      <c r="G1595">
        <v>120.419</v>
      </c>
      <c r="H1595" s="4">
        <f t="shared" si="196"/>
        <v>463203.7254</v>
      </c>
      <c r="I1595" s="5">
        <v>43304</v>
      </c>
      <c r="J1595" s="4">
        <v>4793.6000000000004</v>
      </c>
      <c r="K1595" s="4">
        <f t="shared" si="197"/>
        <v>47936</v>
      </c>
      <c r="L1595" s="1">
        <v>43266</v>
      </c>
      <c r="M1595">
        <v>5.95</v>
      </c>
      <c r="AJ1595" s="1">
        <v>43304</v>
      </c>
      <c r="AL1595">
        <v>11.22</v>
      </c>
      <c r="AM1595" s="6">
        <f t="shared" si="198"/>
        <v>100000</v>
      </c>
      <c r="AN1595" s="2">
        <f t="shared" si="199"/>
        <v>0</v>
      </c>
    </row>
    <row r="1596" spans="4:40" x14ac:dyDescent="0.35">
      <c r="D1596" s="1">
        <v>43321</v>
      </c>
      <c r="E1596">
        <v>3.8024</v>
      </c>
      <c r="F1596" s="1">
        <v>43293</v>
      </c>
      <c r="G1596">
        <v>120.258</v>
      </c>
      <c r="H1596" s="4">
        <f t="shared" si="196"/>
        <v>457269.01919999998</v>
      </c>
      <c r="I1596" s="5">
        <v>43301</v>
      </c>
      <c r="J1596" s="4">
        <v>4774.6099999999997</v>
      </c>
      <c r="K1596" s="4">
        <f t="shared" si="197"/>
        <v>47746.1</v>
      </c>
      <c r="L1596" s="1">
        <v>43265</v>
      </c>
      <c r="M1596">
        <v>6.3</v>
      </c>
      <c r="AJ1596" s="1">
        <v>43301</v>
      </c>
      <c r="AL1596">
        <v>11.18</v>
      </c>
      <c r="AM1596" s="6">
        <f t="shared" si="198"/>
        <v>100000</v>
      </c>
      <c r="AN1596" s="2">
        <f t="shared" si="199"/>
        <v>0</v>
      </c>
    </row>
    <row r="1597" spans="4:40" x14ac:dyDescent="0.35">
      <c r="D1597" s="1">
        <v>43320</v>
      </c>
      <c r="E1597">
        <v>3.7513000000000001</v>
      </c>
      <c r="F1597" s="1">
        <v>43292</v>
      </c>
      <c r="G1597">
        <v>120.327</v>
      </c>
      <c r="H1597" s="4">
        <f t="shared" si="196"/>
        <v>451382.67510000005</v>
      </c>
      <c r="I1597" s="5">
        <v>43300</v>
      </c>
      <c r="J1597" s="4">
        <v>4855.63</v>
      </c>
      <c r="K1597" s="4">
        <f t="shared" si="197"/>
        <v>48556.3</v>
      </c>
      <c r="L1597" s="1">
        <v>43264</v>
      </c>
      <c r="M1597">
        <v>5.9</v>
      </c>
      <c r="AJ1597" s="1">
        <v>43300</v>
      </c>
      <c r="AL1597">
        <v>11.34</v>
      </c>
      <c r="AM1597" s="6">
        <f t="shared" si="198"/>
        <v>100000</v>
      </c>
      <c r="AN1597" s="2">
        <f t="shared" si="199"/>
        <v>0</v>
      </c>
    </row>
    <row r="1598" spans="4:40" x14ac:dyDescent="0.35">
      <c r="D1598" s="1">
        <v>43319</v>
      </c>
      <c r="E1598">
        <v>3.7111999999999998</v>
      </c>
      <c r="F1598" s="1">
        <v>43291</v>
      </c>
      <c r="G1598">
        <v>120.199</v>
      </c>
      <c r="H1598" s="4">
        <f t="shared" si="196"/>
        <v>446082.52879999997</v>
      </c>
      <c r="I1598" s="5">
        <v>43299</v>
      </c>
      <c r="J1598" s="4">
        <v>4881.58</v>
      </c>
      <c r="K1598" s="4">
        <f t="shared" si="197"/>
        <v>48815.8</v>
      </c>
      <c r="L1598" s="1">
        <v>43263</v>
      </c>
      <c r="M1598">
        <v>5.95</v>
      </c>
      <c r="AJ1598" s="1">
        <v>43299</v>
      </c>
      <c r="AL1598">
        <v>11.58</v>
      </c>
      <c r="AM1598" s="6">
        <f t="shared" si="198"/>
        <v>100000</v>
      </c>
      <c r="AN1598" s="2">
        <f t="shared" si="199"/>
        <v>0</v>
      </c>
    </row>
    <row r="1599" spans="4:40" x14ac:dyDescent="0.35">
      <c r="D1599" s="1">
        <v>43318</v>
      </c>
      <c r="E1599">
        <v>3.7208000000000001</v>
      </c>
      <c r="F1599" s="1">
        <v>43287</v>
      </c>
      <c r="G1599">
        <v>120.399</v>
      </c>
      <c r="H1599" s="4">
        <f t="shared" si="196"/>
        <v>447980.59920000006</v>
      </c>
      <c r="I1599" s="5">
        <v>43298</v>
      </c>
      <c r="J1599" s="4">
        <v>4867.6499999999996</v>
      </c>
      <c r="K1599" s="4">
        <f t="shared" si="197"/>
        <v>48676.5</v>
      </c>
      <c r="L1599" s="1">
        <v>43262</v>
      </c>
      <c r="M1599">
        <v>5.77</v>
      </c>
      <c r="AJ1599" s="1">
        <v>43298</v>
      </c>
      <c r="AL1599">
        <v>11.6</v>
      </c>
      <c r="AM1599" s="6">
        <f t="shared" si="198"/>
        <v>100000</v>
      </c>
      <c r="AN1599" s="2">
        <f t="shared" si="199"/>
        <v>0</v>
      </c>
    </row>
    <row r="1600" spans="4:40" x14ac:dyDescent="0.35">
      <c r="D1600" s="1">
        <v>43315</v>
      </c>
      <c r="E1600">
        <v>3.7195</v>
      </c>
      <c r="F1600" s="1">
        <v>43286</v>
      </c>
      <c r="G1600">
        <v>120.312</v>
      </c>
      <c r="H1600" s="4">
        <f t="shared" si="196"/>
        <v>447500.484</v>
      </c>
      <c r="I1600" s="5">
        <v>43297</v>
      </c>
      <c r="J1600" s="4">
        <v>4897.41</v>
      </c>
      <c r="K1600" s="4">
        <f t="shared" si="197"/>
        <v>48974.1</v>
      </c>
      <c r="L1600" s="1">
        <v>43259</v>
      </c>
      <c r="M1600">
        <v>5.88</v>
      </c>
      <c r="AJ1600" s="1">
        <v>43297</v>
      </c>
      <c r="AL1600">
        <v>11.68</v>
      </c>
      <c r="AM1600" s="6">
        <f t="shared" si="198"/>
        <v>100000</v>
      </c>
      <c r="AN1600" s="2">
        <f t="shared" si="199"/>
        <v>0</v>
      </c>
    </row>
    <row r="1601" spans="4:40" x14ac:dyDescent="0.35">
      <c r="D1601" s="1">
        <v>43314</v>
      </c>
      <c r="E1601">
        <v>3.7639</v>
      </c>
      <c r="F1601" s="1">
        <v>43284</v>
      </c>
      <c r="G1601">
        <v>120.334</v>
      </c>
      <c r="H1601" s="4">
        <f t="shared" si="196"/>
        <v>452925.14260000002</v>
      </c>
      <c r="I1601" s="5">
        <v>43294</v>
      </c>
      <c r="J1601" s="4">
        <v>4887.28</v>
      </c>
      <c r="K1601" s="4">
        <f t="shared" si="197"/>
        <v>48872.799999999996</v>
      </c>
      <c r="L1601" s="1">
        <v>43258</v>
      </c>
      <c r="M1601">
        <v>5.89</v>
      </c>
      <c r="AJ1601" s="1">
        <v>43294</v>
      </c>
      <c r="AL1601">
        <v>11.61</v>
      </c>
      <c r="AM1601" s="6">
        <f t="shared" si="198"/>
        <v>100000</v>
      </c>
      <c r="AN1601" s="2">
        <f t="shared" si="199"/>
        <v>0</v>
      </c>
    </row>
    <row r="1602" spans="4:40" x14ac:dyDescent="0.35">
      <c r="D1602" s="1">
        <v>43313</v>
      </c>
      <c r="E1602">
        <v>3.7484999999999999</v>
      </c>
      <c r="F1602" s="1">
        <v>43283</v>
      </c>
      <c r="G1602">
        <v>120.038</v>
      </c>
      <c r="H1602" s="4">
        <f t="shared" si="196"/>
        <v>449962.44300000003</v>
      </c>
      <c r="I1602" s="5">
        <v>43293</v>
      </c>
      <c r="J1602" s="4">
        <v>4925.8900000000003</v>
      </c>
      <c r="K1602" s="4">
        <f t="shared" si="197"/>
        <v>49258.9</v>
      </c>
      <c r="L1602" s="1">
        <v>43257</v>
      </c>
      <c r="M1602">
        <v>5.74</v>
      </c>
      <c r="AJ1602" s="1">
        <v>43293</v>
      </c>
      <c r="AL1602">
        <v>11.67</v>
      </c>
      <c r="AM1602" s="6">
        <f t="shared" si="198"/>
        <v>100000</v>
      </c>
      <c r="AN1602" s="2">
        <f t="shared" si="199"/>
        <v>0</v>
      </c>
    </row>
    <row r="1603" spans="4:40" x14ac:dyDescent="0.35">
      <c r="D1603" s="1">
        <v>43312</v>
      </c>
      <c r="E1603">
        <v>3.7543000000000002</v>
      </c>
      <c r="F1603" s="1">
        <v>43280</v>
      </c>
      <c r="G1603">
        <v>120.096</v>
      </c>
      <c r="H1603" s="4">
        <f t="shared" si="196"/>
        <v>450876.41280000005</v>
      </c>
      <c r="I1603" s="5">
        <v>43292</v>
      </c>
      <c r="J1603" s="4">
        <v>4918.29</v>
      </c>
      <c r="K1603" s="4">
        <f t="shared" si="197"/>
        <v>49182.9</v>
      </c>
      <c r="L1603" s="1">
        <v>43256</v>
      </c>
      <c r="M1603">
        <v>5.7</v>
      </c>
      <c r="AJ1603" s="1">
        <v>43292</v>
      </c>
      <c r="AL1603">
        <v>11.52</v>
      </c>
      <c r="AM1603" s="6">
        <f t="shared" si="198"/>
        <v>100000</v>
      </c>
      <c r="AN1603" s="2">
        <f t="shared" si="199"/>
        <v>0</v>
      </c>
    </row>
    <row r="1604" spans="4:40" x14ac:dyDescent="0.35">
      <c r="D1604" s="1">
        <v>43311</v>
      </c>
      <c r="E1604">
        <v>3.7149000000000001</v>
      </c>
      <c r="F1604" s="1">
        <v>43279</v>
      </c>
      <c r="G1604">
        <v>120.279</v>
      </c>
      <c r="H1604" s="4">
        <f t="shared" ref="H1604:H1667" si="200">G1604*E1604*1000</f>
        <v>446824.4571</v>
      </c>
      <c r="I1604" s="5">
        <v>43291</v>
      </c>
      <c r="J1604" s="4">
        <v>4842.97</v>
      </c>
      <c r="K1604" s="4">
        <f t="shared" si="197"/>
        <v>48429.700000000004</v>
      </c>
      <c r="L1604" s="1">
        <v>43250</v>
      </c>
      <c r="M1604">
        <v>5.61</v>
      </c>
      <c r="AJ1604" s="1">
        <v>43291</v>
      </c>
      <c r="AL1604">
        <v>11.46</v>
      </c>
      <c r="AM1604" s="6">
        <f t="shared" si="198"/>
        <v>100000</v>
      </c>
      <c r="AN1604" s="2">
        <f t="shared" si="199"/>
        <v>0</v>
      </c>
    </row>
    <row r="1605" spans="4:40" x14ac:dyDescent="0.35">
      <c r="D1605" s="1">
        <v>43308</v>
      </c>
      <c r="E1605">
        <v>3.7158000000000002</v>
      </c>
      <c r="F1605" s="1">
        <v>43278</v>
      </c>
      <c r="G1605">
        <v>120.43600000000001</v>
      </c>
      <c r="H1605" s="4">
        <f t="shared" si="200"/>
        <v>447516.08880000003</v>
      </c>
      <c r="I1605" s="5">
        <v>43287</v>
      </c>
      <c r="J1605" s="4">
        <v>4903.7299999999996</v>
      </c>
      <c r="K1605" s="4">
        <f t="shared" ref="K1605:K1668" si="201">J1605*10</f>
        <v>49037.299999999996</v>
      </c>
      <c r="L1605" s="1">
        <v>43249</v>
      </c>
      <c r="M1605">
        <v>5.5</v>
      </c>
      <c r="AJ1605" s="1">
        <v>43287</v>
      </c>
      <c r="AL1605">
        <v>11.57</v>
      </c>
      <c r="AM1605" s="6">
        <f t="shared" ref="AM1605:AM1668" si="202">$Z$2/(1+AL1605/100)^(AK1605/252)</f>
        <v>100000</v>
      </c>
      <c r="AN1605" s="2">
        <f t="shared" ref="AN1605:AN1668" si="203">LOG(AM1605/AM1606)</f>
        <v>0</v>
      </c>
    </row>
    <row r="1606" spans="4:40" x14ac:dyDescent="0.35">
      <c r="D1606" s="1">
        <v>43307</v>
      </c>
      <c r="E1606">
        <v>3.7237</v>
      </c>
      <c r="F1606" s="1">
        <v>43277</v>
      </c>
      <c r="G1606">
        <v>119.971</v>
      </c>
      <c r="H1606" s="4">
        <f t="shared" si="200"/>
        <v>446736.01270000002</v>
      </c>
      <c r="I1606" s="5">
        <v>43286</v>
      </c>
      <c r="J1606" s="4">
        <v>4991.72</v>
      </c>
      <c r="K1606" s="4">
        <f t="shared" si="201"/>
        <v>49917.200000000004</v>
      </c>
      <c r="L1606" s="1">
        <v>43248</v>
      </c>
      <c r="M1606">
        <v>5.51</v>
      </c>
      <c r="AJ1606" s="1">
        <v>43286</v>
      </c>
      <c r="AL1606">
        <v>11.7</v>
      </c>
      <c r="AM1606" s="6">
        <f t="shared" si="202"/>
        <v>100000</v>
      </c>
      <c r="AN1606" s="2">
        <f t="shared" si="203"/>
        <v>0</v>
      </c>
    </row>
    <row r="1607" spans="4:40" x14ac:dyDescent="0.35">
      <c r="D1607" s="1">
        <v>43306</v>
      </c>
      <c r="E1607">
        <v>3.7113999999999998</v>
      </c>
      <c r="F1607" s="1">
        <v>43276</v>
      </c>
      <c r="G1607">
        <v>120.02</v>
      </c>
      <c r="H1607" s="4">
        <f t="shared" si="200"/>
        <v>445442.22799999994</v>
      </c>
      <c r="I1607" s="5">
        <v>43285</v>
      </c>
      <c r="J1607" s="4">
        <v>4967.67</v>
      </c>
      <c r="K1607" s="4">
        <f t="shared" si="201"/>
        <v>49676.7</v>
      </c>
      <c r="L1607" s="1">
        <v>43244</v>
      </c>
      <c r="M1607">
        <v>5.44</v>
      </c>
      <c r="AJ1607" s="1">
        <v>43285</v>
      </c>
      <c r="AL1607">
        <v>11.64</v>
      </c>
      <c r="AM1607" s="6">
        <f t="shared" si="202"/>
        <v>100000</v>
      </c>
      <c r="AN1607" s="2">
        <f t="shared" si="203"/>
        <v>0</v>
      </c>
    </row>
    <row r="1608" spans="4:40" x14ac:dyDescent="0.35">
      <c r="D1608" s="1">
        <v>43305</v>
      </c>
      <c r="E1608">
        <v>3.7452999999999999</v>
      </c>
      <c r="F1608" s="1">
        <v>43273</v>
      </c>
      <c r="G1608">
        <v>119.905</v>
      </c>
      <c r="H1608" s="4">
        <f t="shared" si="200"/>
        <v>449080.19650000002</v>
      </c>
      <c r="I1608" s="5">
        <v>43284</v>
      </c>
      <c r="J1608" s="4">
        <v>4946.78</v>
      </c>
      <c r="K1608" s="4">
        <f t="shared" si="201"/>
        <v>49467.799999999996</v>
      </c>
      <c r="L1608" s="1">
        <v>43243</v>
      </c>
      <c r="M1608">
        <v>5.42</v>
      </c>
      <c r="AJ1608" s="1">
        <v>43284</v>
      </c>
      <c r="AL1608">
        <v>11.73</v>
      </c>
      <c r="AM1608" s="6">
        <f t="shared" si="202"/>
        <v>100000</v>
      </c>
      <c r="AN1608" s="2">
        <f t="shared" si="203"/>
        <v>0</v>
      </c>
    </row>
    <row r="1609" spans="4:40" x14ac:dyDescent="0.35">
      <c r="D1609" s="1">
        <v>43304</v>
      </c>
      <c r="E1609">
        <v>3.7909000000000002</v>
      </c>
      <c r="F1609" s="1">
        <v>43272</v>
      </c>
      <c r="G1609">
        <v>119.83</v>
      </c>
      <c r="H1609" s="4">
        <f t="shared" si="200"/>
        <v>454263.54700000002</v>
      </c>
      <c r="I1609" s="5">
        <v>43283</v>
      </c>
      <c r="J1609" s="4">
        <v>4968.3</v>
      </c>
      <c r="K1609" s="4">
        <f t="shared" si="201"/>
        <v>49683</v>
      </c>
      <c r="L1609" s="1">
        <v>43242</v>
      </c>
      <c r="M1609">
        <v>5.35</v>
      </c>
      <c r="AJ1609" s="1">
        <v>43283</v>
      </c>
      <c r="AL1609">
        <v>11.68</v>
      </c>
      <c r="AM1609" s="6">
        <f t="shared" si="202"/>
        <v>100000</v>
      </c>
      <c r="AN1609" s="2">
        <f t="shared" si="203"/>
        <v>0</v>
      </c>
    </row>
    <row r="1610" spans="4:40" x14ac:dyDescent="0.35">
      <c r="D1610" s="1">
        <v>43301</v>
      </c>
      <c r="E1610">
        <v>3.7787000000000002</v>
      </c>
      <c r="F1610" s="1">
        <v>43271</v>
      </c>
      <c r="G1610">
        <v>119.502</v>
      </c>
      <c r="H1610" s="4">
        <f t="shared" si="200"/>
        <v>451562.20739999996</v>
      </c>
      <c r="I1610" s="5">
        <v>43280</v>
      </c>
      <c r="J1610" s="4">
        <v>4923.3599999999997</v>
      </c>
      <c r="K1610" s="4">
        <f t="shared" si="201"/>
        <v>49233.599999999999</v>
      </c>
      <c r="L1610" s="1">
        <v>43241</v>
      </c>
      <c r="M1610">
        <v>5.38</v>
      </c>
      <c r="AJ1610" s="1">
        <v>43280</v>
      </c>
      <c r="AL1610">
        <v>11.96</v>
      </c>
      <c r="AM1610" s="6">
        <f t="shared" si="202"/>
        <v>100000</v>
      </c>
      <c r="AN1610" s="2">
        <f t="shared" si="203"/>
        <v>0</v>
      </c>
    </row>
    <row r="1611" spans="4:40" x14ac:dyDescent="0.35">
      <c r="D1611" s="1">
        <v>43300</v>
      </c>
      <c r="E1611">
        <v>3.8841000000000001</v>
      </c>
      <c r="F1611" s="1">
        <v>43270</v>
      </c>
      <c r="G1611">
        <v>119.93</v>
      </c>
      <c r="H1611" s="4">
        <f t="shared" si="200"/>
        <v>465820.11300000007</v>
      </c>
      <c r="I1611" s="5">
        <v>43279</v>
      </c>
      <c r="J1611" s="4">
        <v>4903.1000000000004</v>
      </c>
      <c r="K1611" s="4">
        <f t="shared" si="201"/>
        <v>49031</v>
      </c>
      <c r="L1611" s="1">
        <v>43238</v>
      </c>
      <c r="M1611">
        <v>5.39</v>
      </c>
      <c r="AJ1611" s="1">
        <v>43279</v>
      </c>
      <c r="AL1611">
        <v>12.11</v>
      </c>
      <c r="AM1611" s="6">
        <f t="shared" si="202"/>
        <v>100000</v>
      </c>
      <c r="AN1611" s="2">
        <f t="shared" si="203"/>
        <v>0</v>
      </c>
    </row>
    <row r="1612" spans="4:40" x14ac:dyDescent="0.35">
      <c r="D1612" s="1">
        <v>43299</v>
      </c>
      <c r="E1612">
        <v>3.8468</v>
      </c>
      <c r="F1612" s="1">
        <v>43269</v>
      </c>
      <c r="G1612">
        <v>119.62</v>
      </c>
      <c r="H1612" s="4">
        <f t="shared" si="200"/>
        <v>460154.21600000001</v>
      </c>
      <c r="I1612" s="5">
        <v>43278</v>
      </c>
      <c r="J1612" s="4">
        <v>4901.2</v>
      </c>
      <c r="K1612" s="4">
        <f t="shared" si="201"/>
        <v>49012</v>
      </c>
      <c r="L1612" s="1">
        <v>43237</v>
      </c>
      <c r="M1612">
        <v>5.26</v>
      </c>
      <c r="AJ1612" s="1">
        <v>43278</v>
      </c>
      <c r="AL1612">
        <v>12.18</v>
      </c>
      <c r="AM1612" s="6">
        <f t="shared" si="202"/>
        <v>100000</v>
      </c>
      <c r="AN1612" s="2">
        <f t="shared" si="203"/>
        <v>0</v>
      </c>
    </row>
    <row r="1613" spans="4:40" x14ac:dyDescent="0.35">
      <c r="D1613" s="1">
        <v>43298</v>
      </c>
      <c r="E1613">
        <v>3.8664999999999998</v>
      </c>
      <c r="F1613" s="1">
        <v>43266</v>
      </c>
      <c r="G1613">
        <v>119.63800000000001</v>
      </c>
      <c r="H1613" s="4">
        <f t="shared" si="200"/>
        <v>462580.32699999999</v>
      </c>
      <c r="I1613" s="5">
        <v>43277</v>
      </c>
      <c r="J1613" s="4">
        <v>4822.5</v>
      </c>
      <c r="K1613" s="4">
        <f t="shared" si="201"/>
        <v>48225</v>
      </c>
      <c r="L1613" s="1">
        <v>43236</v>
      </c>
      <c r="M1613">
        <v>5.0999999999999996</v>
      </c>
      <c r="AJ1613" s="1">
        <v>43277</v>
      </c>
      <c r="AL1613">
        <v>12.16</v>
      </c>
      <c r="AM1613" s="6">
        <f t="shared" si="202"/>
        <v>100000</v>
      </c>
      <c r="AN1613" s="2">
        <f t="shared" si="203"/>
        <v>0</v>
      </c>
    </row>
    <row r="1614" spans="4:40" x14ac:dyDescent="0.35">
      <c r="D1614" s="1">
        <v>43297</v>
      </c>
      <c r="E1614">
        <v>3.8573</v>
      </c>
      <c r="F1614" s="1">
        <v>43265</v>
      </c>
      <c r="G1614">
        <v>119.455</v>
      </c>
      <c r="H1614" s="4">
        <f t="shared" si="200"/>
        <v>460773.77150000003</v>
      </c>
      <c r="I1614" s="5">
        <v>43276</v>
      </c>
      <c r="J1614" s="4">
        <v>4794.58</v>
      </c>
      <c r="K1614" s="4">
        <f t="shared" si="201"/>
        <v>47945.8</v>
      </c>
      <c r="L1614" s="1">
        <v>43235</v>
      </c>
      <c r="M1614">
        <v>5.09</v>
      </c>
      <c r="AJ1614" s="1">
        <v>43276</v>
      </c>
      <c r="AL1614">
        <v>12.18</v>
      </c>
      <c r="AM1614" s="6">
        <f t="shared" si="202"/>
        <v>100000</v>
      </c>
      <c r="AN1614" s="2">
        <f t="shared" si="203"/>
        <v>0</v>
      </c>
    </row>
    <row r="1615" spans="4:40" x14ac:dyDescent="0.35">
      <c r="D1615" s="1">
        <v>43294</v>
      </c>
      <c r="E1615">
        <v>3.8738999999999999</v>
      </c>
      <c r="F1615" s="1">
        <v>43264</v>
      </c>
      <c r="G1615">
        <v>118.98399999999999</v>
      </c>
      <c r="H1615" s="4">
        <f t="shared" si="200"/>
        <v>460932.1176</v>
      </c>
      <c r="I1615" s="5">
        <v>43273</v>
      </c>
      <c r="J1615" s="4">
        <v>4806.6400000000003</v>
      </c>
      <c r="K1615" s="4">
        <f t="shared" si="201"/>
        <v>48066.400000000001</v>
      </c>
      <c r="L1615" s="1">
        <v>43234</v>
      </c>
      <c r="M1615">
        <v>5.1100000000000003</v>
      </c>
      <c r="AJ1615" s="1">
        <v>43273</v>
      </c>
      <c r="AL1615">
        <v>12.37</v>
      </c>
      <c r="AM1615" s="6">
        <f t="shared" si="202"/>
        <v>100000</v>
      </c>
      <c r="AN1615" s="2">
        <f t="shared" si="203"/>
        <v>0</v>
      </c>
    </row>
    <row r="1616" spans="4:40" x14ac:dyDescent="0.35">
      <c r="D1616" s="1">
        <v>43293</v>
      </c>
      <c r="E1616">
        <v>3.8557999999999999</v>
      </c>
      <c r="F1616" s="1">
        <v>43263</v>
      </c>
      <c r="G1616">
        <v>119.41500000000001</v>
      </c>
      <c r="H1616" s="4">
        <f t="shared" si="200"/>
        <v>460440.35700000002</v>
      </c>
      <c r="I1616" s="5">
        <v>43272</v>
      </c>
      <c r="J1616" s="4">
        <v>4787.6000000000004</v>
      </c>
      <c r="K1616" s="4">
        <f t="shared" si="201"/>
        <v>47876</v>
      </c>
      <c r="L1616" s="1">
        <v>43231</v>
      </c>
      <c r="M1616">
        <v>5.0199999999999996</v>
      </c>
      <c r="AJ1616" s="1">
        <v>43272</v>
      </c>
      <c r="AL1616">
        <v>12.3</v>
      </c>
      <c r="AM1616" s="6">
        <f t="shared" si="202"/>
        <v>100000</v>
      </c>
      <c r="AN1616" s="2">
        <f t="shared" si="203"/>
        <v>0</v>
      </c>
    </row>
    <row r="1617" spans="4:40" x14ac:dyDescent="0.35">
      <c r="D1617" s="1">
        <v>43292</v>
      </c>
      <c r="E1617">
        <v>3.8411</v>
      </c>
      <c r="F1617" s="1">
        <v>43262</v>
      </c>
      <c r="G1617">
        <v>119.452</v>
      </c>
      <c r="H1617" s="4">
        <f t="shared" si="200"/>
        <v>458827.07719999994</v>
      </c>
      <c r="I1617" s="5">
        <v>43271</v>
      </c>
      <c r="J1617" s="4">
        <v>4791.41</v>
      </c>
      <c r="K1617" s="4">
        <f t="shared" si="201"/>
        <v>47914.1</v>
      </c>
      <c r="L1617" s="1">
        <v>43230</v>
      </c>
      <c r="M1617">
        <v>5</v>
      </c>
      <c r="AJ1617" s="1">
        <v>43271</v>
      </c>
      <c r="AL1617">
        <v>12.06</v>
      </c>
      <c r="AM1617" s="6">
        <f t="shared" si="202"/>
        <v>100000</v>
      </c>
      <c r="AN1617" s="2">
        <f t="shared" si="203"/>
        <v>0</v>
      </c>
    </row>
    <row r="1618" spans="4:40" x14ac:dyDescent="0.35">
      <c r="D1618" s="1">
        <v>43291</v>
      </c>
      <c r="E1618">
        <v>3.8445999999999998</v>
      </c>
      <c r="F1618" s="1">
        <v>43259</v>
      </c>
      <c r="G1618">
        <v>119.5</v>
      </c>
      <c r="H1618" s="4">
        <f t="shared" si="200"/>
        <v>459429.69999999995</v>
      </c>
      <c r="I1618" s="5">
        <v>43270</v>
      </c>
      <c r="J1618" s="4">
        <v>4760.95</v>
      </c>
      <c r="K1618" s="4">
        <f t="shared" si="201"/>
        <v>47609.5</v>
      </c>
      <c r="L1618" s="1">
        <v>43229</v>
      </c>
      <c r="M1618">
        <v>5.08</v>
      </c>
      <c r="AJ1618" s="1">
        <v>43270</v>
      </c>
      <c r="AL1618">
        <v>12.08</v>
      </c>
      <c r="AM1618" s="6">
        <f t="shared" si="202"/>
        <v>100000</v>
      </c>
      <c r="AN1618" s="2">
        <f t="shared" si="203"/>
        <v>0</v>
      </c>
    </row>
    <row r="1619" spans="4:40" x14ac:dyDescent="0.35">
      <c r="D1619" s="1">
        <v>43290</v>
      </c>
      <c r="E1619">
        <v>3.8679999999999999</v>
      </c>
      <c r="F1619" s="1">
        <v>43258</v>
      </c>
      <c r="G1619">
        <v>119.501</v>
      </c>
      <c r="H1619" s="4">
        <f t="shared" si="200"/>
        <v>462229.86800000002</v>
      </c>
      <c r="I1619" s="5">
        <v>43269</v>
      </c>
      <c r="J1619" s="4">
        <v>4761.58</v>
      </c>
      <c r="K1619" s="4">
        <f t="shared" si="201"/>
        <v>47615.8</v>
      </c>
      <c r="L1619" s="1">
        <v>43228</v>
      </c>
      <c r="M1619">
        <v>4.99</v>
      </c>
      <c r="AJ1619" s="1">
        <v>43269</v>
      </c>
      <c r="AL1619">
        <v>12.34</v>
      </c>
      <c r="AM1619" s="6">
        <f t="shared" si="202"/>
        <v>100000</v>
      </c>
      <c r="AN1619" s="2">
        <f t="shared" si="203"/>
        <v>0</v>
      </c>
    </row>
    <row r="1620" spans="4:40" x14ac:dyDescent="0.35">
      <c r="D1620" s="1">
        <v>43287</v>
      </c>
      <c r="E1620">
        <v>3.9258000000000002</v>
      </c>
      <c r="F1620" s="1">
        <v>43257</v>
      </c>
      <c r="G1620">
        <v>119.25</v>
      </c>
      <c r="H1620" s="4">
        <f t="shared" si="200"/>
        <v>468151.65</v>
      </c>
      <c r="I1620" s="5">
        <v>43266</v>
      </c>
      <c r="J1620" s="4">
        <v>4740.6400000000003</v>
      </c>
      <c r="K1620" s="4">
        <f t="shared" si="201"/>
        <v>47406.400000000001</v>
      </c>
      <c r="L1620" s="1">
        <v>43227</v>
      </c>
      <c r="M1620">
        <v>4.8899999999999997</v>
      </c>
      <c r="AJ1620" s="1">
        <v>43266</v>
      </c>
      <c r="AL1620">
        <v>12.47</v>
      </c>
      <c r="AM1620" s="6">
        <f t="shared" si="202"/>
        <v>100000</v>
      </c>
      <c r="AN1620" s="2">
        <f t="shared" si="203"/>
        <v>0</v>
      </c>
    </row>
    <row r="1621" spans="4:40" x14ac:dyDescent="0.35">
      <c r="D1621" s="1">
        <v>43286</v>
      </c>
      <c r="E1621">
        <v>3.9186000000000001</v>
      </c>
      <c r="F1621" s="1">
        <v>43256</v>
      </c>
      <c r="G1621">
        <v>119.663</v>
      </c>
      <c r="H1621" s="4">
        <f t="shared" si="200"/>
        <v>468911.43180000002</v>
      </c>
      <c r="I1621" s="5">
        <v>43265</v>
      </c>
      <c r="J1621" s="4">
        <v>4837.74</v>
      </c>
      <c r="K1621" s="4">
        <f t="shared" si="201"/>
        <v>48377.399999999994</v>
      </c>
      <c r="L1621" s="1">
        <v>43224</v>
      </c>
      <c r="M1621">
        <v>4.9000000000000004</v>
      </c>
      <c r="AJ1621" s="1">
        <v>43265</v>
      </c>
      <c r="AL1621">
        <v>12.77</v>
      </c>
      <c r="AM1621" s="6">
        <f t="shared" si="202"/>
        <v>100000</v>
      </c>
      <c r="AN1621" s="2">
        <f t="shared" si="203"/>
        <v>0</v>
      </c>
    </row>
    <row r="1622" spans="4:40" x14ac:dyDescent="0.35">
      <c r="D1622" s="1">
        <v>43285</v>
      </c>
      <c r="E1622">
        <v>3.9051999999999998</v>
      </c>
      <c r="F1622" s="1">
        <v>43255</v>
      </c>
      <c r="G1622">
        <v>119.41800000000001</v>
      </c>
      <c r="H1622" s="4">
        <f t="shared" si="200"/>
        <v>466351.17359999998</v>
      </c>
      <c r="I1622" s="5">
        <v>43264</v>
      </c>
      <c r="J1622" s="4">
        <v>4729.8500000000004</v>
      </c>
      <c r="K1622" s="4">
        <f t="shared" si="201"/>
        <v>47298.5</v>
      </c>
      <c r="L1622" s="1">
        <v>43223</v>
      </c>
      <c r="M1622">
        <v>4.87</v>
      </c>
      <c r="AJ1622" s="1">
        <v>43264</v>
      </c>
      <c r="AL1622">
        <v>12.25</v>
      </c>
      <c r="AM1622" s="6">
        <f t="shared" si="202"/>
        <v>100000</v>
      </c>
      <c r="AN1622" s="2">
        <f t="shared" si="203"/>
        <v>0</v>
      </c>
    </row>
    <row r="1623" spans="4:40" x14ac:dyDescent="0.35">
      <c r="D1623" s="1">
        <v>43284</v>
      </c>
      <c r="E1623">
        <v>3.8914</v>
      </c>
      <c r="F1623" s="1">
        <v>43252</v>
      </c>
      <c r="G1623">
        <v>119.821</v>
      </c>
      <c r="H1623" s="4">
        <f t="shared" si="200"/>
        <v>466271.43939999997</v>
      </c>
      <c r="I1623" s="5">
        <v>43263</v>
      </c>
      <c r="J1623" s="4">
        <v>4727.3100000000004</v>
      </c>
      <c r="K1623" s="4">
        <f t="shared" si="201"/>
        <v>47273.100000000006</v>
      </c>
      <c r="L1623" s="1">
        <v>43222</v>
      </c>
      <c r="M1623">
        <v>4.8499999999999996</v>
      </c>
      <c r="AJ1623" s="1">
        <v>43263</v>
      </c>
      <c r="AL1623">
        <v>12.18</v>
      </c>
      <c r="AM1623" s="6">
        <f t="shared" si="202"/>
        <v>100000</v>
      </c>
      <c r="AN1623" s="2">
        <f t="shared" si="203"/>
        <v>0</v>
      </c>
    </row>
    <row r="1624" spans="4:40" x14ac:dyDescent="0.35">
      <c r="D1624" s="1">
        <v>43283</v>
      </c>
      <c r="E1624">
        <v>3.9049</v>
      </c>
      <c r="F1624" s="1">
        <v>43250</v>
      </c>
      <c r="G1624">
        <v>120.3</v>
      </c>
      <c r="H1624" s="4">
        <f t="shared" si="200"/>
        <v>469759.47000000003</v>
      </c>
      <c r="I1624" s="5">
        <v>43262</v>
      </c>
      <c r="J1624" s="4">
        <v>4719.0600000000004</v>
      </c>
      <c r="K1624" s="4">
        <f t="shared" si="201"/>
        <v>47190.600000000006</v>
      </c>
      <c r="L1624" s="1">
        <v>43217</v>
      </c>
      <c r="M1624">
        <v>4.8</v>
      </c>
      <c r="AJ1624" s="1">
        <v>43262</v>
      </c>
      <c r="AL1624">
        <v>12.15</v>
      </c>
      <c r="AM1624" s="6">
        <f t="shared" si="202"/>
        <v>100000</v>
      </c>
      <c r="AN1624" s="2">
        <f t="shared" si="203"/>
        <v>0</v>
      </c>
    </row>
    <row r="1625" spans="4:40" x14ac:dyDescent="0.35">
      <c r="D1625" s="1">
        <v>43280</v>
      </c>
      <c r="E1625">
        <v>3.8552</v>
      </c>
      <c r="F1625" s="1">
        <v>43249</v>
      </c>
      <c r="G1625">
        <v>121.084</v>
      </c>
      <c r="H1625" s="4">
        <f t="shared" si="200"/>
        <v>466803.0368</v>
      </c>
      <c r="I1625" s="5">
        <v>43259</v>
      </c>
      <c r="J1625" s="4">
        <v>4719.7</v>
      </c>
      <c r="K1625" s="4">
        <f t="shared" si="201"/>
        <v>47197</v>
      </c>
      <c r="L1625" s="1">
        <v>43215</v>
      </c>
      <c r="M1625">
        <v>4.8899999999999997</v>
      </c>
      <c r="AJ1625" s="1">
        <v>43259</v>
      </c>
      <c r="AL1625">
        <v>12.09</v>
      </c>
      <c r="AM1625" s="6">
        <f t="shared" si="202"/>
        <v>100000</v>
      </c>
      <c r="AN1625" s="2">
        <f t="shared" si="203"/>
        <v>0</v>
      </c>
    </row>
    <row r="1626" spans="4:40" x14ac:dyDescent="0.35">
      <c r="D1626" s="1">
        <v>43279</v>
      </c>
      <c r="E1626">
        <v>3.8515000000000001</v>
      </c>
      <c r="F1626" s="1">
        <v>43245</v>
      </c>
      <c r="G1626">
        <v>119.944</v>
      </c>
      <c r="H1626" s="4">
        <f t="shared" si="200"/>
        <v>461964.31600000005</v>
      </c>
      <c r="I1626" s="5">
        <v>43258</v>
      </c>
      <c r="J1626" s="4">
        <v>4966.5600000000004</v>
      </c>
      <c r="K1626" s="4">
        <f t="shared" si="201"/>
        <v>49665.600000000006</v>
      </c>
      <c r="L1626" s="1">
        <v>43213</v>
      </c>
      <c r="M1626">
        <v>4.7699999999999996</v>
      </c>
      <c r="AJ1626" s="1">
        <v>43258</v>
      </c>
      <c r="AL1626">
        <v>12.6</v>
      </c>
      <c r="AM1626" s="6">
        <f t="shared" si="202"/>
        <v>100000</v>
      </c>
      <c r="AN1626" s="2">
        <f t="shared" si="203"/>
        <v>0</v>
      </c>
    </row>
    <row r="1627" spans="4:40" x14ac:dyDescent="0.35">
      <c r="D1627" s="1">
        <v>43278</v>
      </c>
      <c r="E1627">
        <v>3.8351999999999999</v>
      </c>
      <c r="F1627" s="1">
        <v>43244</v>
      </c>
      <c r="G1627">
        <v>119.49</v>
      </c>
      <c r="H1627" s="4">
        <f t="shared" si="200"/>
        <v>458268.04799999995</v>
      </c>
      <c r="I1627" s="5">
        <v>43257</v>
      </c>
      <c r="J1627" s="4">
        <v>4898.0200000000004</v>
      </c>
      <c r="K1627" s="4">
        <f t="shared" si="201"/>
        <v>48980.200000000004</v>
      </c>
      <c r="L1627" s="1">
        <v>43209</v>
      </c>
      <c r="M1627">
        <v>4.7300000000000004</v>
      </c>
      <c r="AJ1627" s="1">
        <v>43257</v>
      </c>
      <c r="AL1627">
        <v>12.82</v>
      </c>
      <c r="AM1627" s="6">
        <f t="shared" si="202"/>
        <v>100000</v>
      </c>
      <c r="AN1627" s="2">
        <f t="shared" si="203"/>
        <v>0</v>
      </c>
    </row>
    <row r="1628" spans="4:40" x14ac:dyDescent="0.35">
      <c r="D1628" s="1">
        <v>43277</v>
      </c>
      <c r="E1628">
        <v>3.7715000000000001</v>
      </c>
      <c r="F1628" s="1">
        <v>43243</v>
      </c>
      <c r="G1628">
        <v>119.43</v>
      </c>
      <c r="H1628" s="4">
        <f t="shared" si="200"/>
        <v>450430.245</v>
      </c>
      <c r="I1628" s="5">
        <v>43256</v>
      </c>
      <c r="J1628" s="4">
        <v>4846.62</v>
      </c>
      <c r="K1628" s="4">
        <f t="shared" si="201"/>
        <v>48466.2</v>
      </c>
      <c r="L1628" s="1">
        <v>43207</v>
      </c>
      <c r="M1628">
        <v>4.7699999999999996</v>
      </c>
      <c r="AJ1628" s="1">
        <v>43256</v>
      </c>
      <c r="AL1628">
        <v>12.35</v>
      </c>
      <c r="AM1628" s="6">
        <f t="shared" si="202"/>
        <v>100000</v>
      </c>
      <c r="AN1628" s="2">
        <f t="shared" si="203"/>
        <v>0</v>
      </c>
    </row>
    <row r="1629" spans="4:40" x14ac:dyDescent="0.35">
      <c r="D1629" s="1">
        <v>43276</v>
      </c>
      <c r="E1629">
        <v>3.7753999999999999</v>
      </c>
      <c r="F1629" s="1">
        <v>43242</v>
      </c>
      <c r="G1629">
        <v>118.837</v>
      </c>
      <c r="H1629" s="4">
        <f t="shared" si="200"/>
        <v>448657.20979999995</v>
      </c>
      <c r="I1629" s="5">
        <v>43255</v>
      </c>
      <c r="J1629" s="4">
        <v>4767.93</v>
      </c>
      <c r="K1629" s="4">
        <f t="shared" si="201"/>
        <v>47679.3</v>
      </c>
      <c r="L1629" s="1">
        <v>43206</v>
      </c>
      <c r="M1629">
        <v>4.78</v>
      </c>
      <c r="AJ1629" s="1">
        <v>43255</v>
      </c>
      <c r="AL1629">
        <v>11.73</v>
      </c>
      <c r="AM1629" s="6">
        <f t="shared" si="202"/>
        <v>100000</v>
      </c>
      <c r="AN1629" s="2">
        <f t="shared" si="203"/>
        <v>0</v>
      </c>
    </row>
    <row r="1630" spans="4:40" x14ac:dyDescent="0.35">
      <c r="D1630" s="1">
        <v>43273</v>
      </c>
      <c r="E1630">
        <v>3.7656999999999998</v>
      </c>
      <c r="F1630" s="1">
        <v>43241</v>
      </c>
      <c r="G1630">
        <v>118.80500000000001</v>
      </c>
      <c r="H1630" s="4">
        <f t="shared" si="200"/>
        <v>447383.98849999998</v>
      </c>
      <c r="I1630" s="5">
        <v>43252</v>
      </c>
      <c r="J1630" s="4">
        <v>4791.41</v>
      </c>
      <c r="K1630" s="4">
        <f t="shared" si="201"/>
        <v>47914.1</v>
      </c>
      <c r="L1630" s="1">
        <v>43202</v>
      </c>
      <c r="M1630">
        <v>4.7699999999999996</v>
      </c>
      <c r="AJ1630" s="1">
        <v>43252</v>
      </c>
      <c r="AL1630">
        <v>11.69</v>
      </c>
      <c r="AM1630" s="6">
        <f t="shared" si="202"/>
        <v>100000</v>
      </c>
      <c r="AN1630" s="2">
        <f t="shared" si="203"/>
        <v>0</v>
      </c>
    </row>
    <row r="1631" spans="4:40" x14ac:dyDescent="0.35">
      <c r="D1631" s="1">
        <v>43272</v>
      </c>
      <c r="E1631">
        <v>3.7888000000000002</v>
      </c>
      <c r="F1631" s="1">
        <v>43238</v>
      </c>
      <c r="G1631">
        <v>118.866</v>
      </c>
      <c r="H1631" s="4">
        <f t="shared" si="200"/>
        <v>450359.50080000004</v>
      </c>
      <c r="I1631" s="5">
        <v>43250</v>
      </c>
      <c r="J1631" s="4">
        <v>4741.2700000000004</v>
      </c>
      <c r="K1631" s="4">
        <f t="shared" si="201"/>
        <v>47412.700000000004</v>
      </c>
      <c r="L1631" s="1">
        <v>43201</v>
      </c>
      <c r="M1631">
        <v>4.8</v>
      </c>
      <c r="AJ1631" s="1">
        <v>43250</v>
      </c>
      <c r="AL1631">
        <v>11.57</v>
      </c>
      <c r="AM1631" s="6">
        <f t="shared" si="202"/>
        <v>100000</v>
      </c>
      <c r="AN1631" s="2">
        <f t="shared" si="203"/>
        <v>0</v>
      </c>
    </row>
    <row r="1632" spans="4:40" x14ac:dyDescent="0.35">
      <c r="D1632" s="1">
        <v>43271</v>
      </c>
      <c r="E1632">
        <v>3.7328999999999999</v>
      </c>
      <c r="F1632" s="1">
        <v>43237</v>
      </c>
      <c r="G1632">
        <v>118.55500000000001</v>
      </c>
      <c r="H1632" s="4">
        <f t="shared" si="200"/>
        <v>442553.9595</v>
      </c>
      <c r="I1632" s="5">
        <v>43249</v>
      </c>
      <c r="J1632" s="4">
        <v>4753.33</v>
      </c>
      <c r="K1632" s="4">
        <f t="shared" si="201"/>
        <v>47533.3</v>
      </c>
      <c r="L1632" s="1">
        <v>43200</v>
      </c>
      <c r="M1632">
        <v>4.8</v>
      </c>
      <c r="AJ1632" s="1">
        <v>43249</v>
      </c>
      <c r="AL1632">
        <v>11.61</v>
      </c>
      <c r="AM1632" s="6">
        <f t="shared" si="202"/>
        <v>100000</v>
      </c>
      <c r="AN1632" s="2">
        <f t="shared" si="203"/>
        <v>0</v>
      </c>
    </row>
    <row r="1633" spans="4:40" x14ac:dyDescent="0.35">
      <c r="D1633" s="1">
        <v>43270</v>
      </c>
      <c r="E1633">
        <v>3.7559999999999998</v>
      </c>
      <c r="F1633" s="1">
        <v>43236</v>
      </c>
      <c r="G1633">
        <v>118.523</v>
      </c>
      <c r="H1633" s="4">
        <f t="shared" si="200"/>
        <v>445172.38799999998</v>
      </c>
      <c r="I1633" s="5">
        <v>43248</v>
      </c>
      <c r="J1633" s="4">
        <v>4764.8100000000004</v>
      </c>
      <c r="K1633" s="4">
        <f t="shared" si="201"/>
        <v>47648.100000000006</v>
      </c>
      <c r="L1633" s="1">
        <v>43196</v>
      </c>
      <c r="M1633">
        <v>4.8099999999999996</v>
      </c>
      <c r="AJ1633" s="1">
        <v>43248</v>
      </c>
      <c r="AL1633">
        <v>11.37</v>
      </c>
      <c r="AM1633" s="6">
        <f t="shared" si="202"/>
        <v>100000</v>
      </c>
      <c r="AN1633" s="2">
        <f t="shared" si="203"/>
        <v>0</v>
      </c>
    </row>
    <row r="1634" spans="4:40" x14ac:dyDescent="0.35">
      <c r="D1634" s="1">
        <v>43269</v>
      </c>
      <c r="E1634">
        <v>3.7536999999999998</v>
      </c>
      <c r="F1634" s="1">
        <v>43235</v>
      </c>
      <c r="G1634">
        <v>118.646</v>
      </c>
      <c r="H1634" s="4">
        <f t="shared" si="200"/>
        <v>445361.4902</v>
      </c>
      <c r="I1634" s="5">
        <v>43245</v>
      </c>
      <c r="J1634" s="4">
        <v>4658.3</v>
      </c>
      <c r="K1634" s="4">
        <f t="shared" si="201"/>
        <v>46583</v>
      </c>
      <c r="L1634" s="1">
        <v>43194</v>
      </c>
      <c r="M1634">
        <v>4.8099999999999996</v>
      </c>
      <c r="AJ1634" s="1">
        <v>43245</v>
      </c>
      <c r="AL1634">
        <v>11.21</v>
      </c>
      <c r="AM1634" s="6">
        <f t="shared" si="202"/>
        <v>100000</v>
      </c>
      <c r="AN1634" s="2">
        <f t="shared" si="203"/>
        <v>0</v>
      </c>
    </row>
    <row r="1635" spans="4:40" x14ac:dyDescent="0.35">
      <c r="D1635" s="1">
        <v>43266</v>
      </c>
      <c r="E1635">
        <v>3.7732000000000001</v>
      </c>
      <c r="F1635" s="1">
        <v>43234</v>
      </c>
      <c r="G1635">
        <v>119.31100000000001</v>
      </c>
      <c r="H1635" s="4">
        <f t="shared" si="200"/>
        <v>450184.26520000002</v>
      </c>
      <c r="I1635" s="5">
        <v>43244</v>
      </c>
      <c r="J1635" s="4">
        <v>4652.5600000000004</v>
      </c>
      <c r="K1635" s="4">
        <f t="shared" si="201"/>
        <v>46525.600000000006</v>
      </c>
      <c r="L1635" s="1">
        <v>43193</v>
      </c>
      <c r="M1635">
        <v>4.82</v>
      </c>
      <c r="AJ1635" s="1">
        <v>43244</v>
      </c>
      <c r="AL1635">
        <v>11.04</v>
      </c>
      <c r="AM1635" s="6">
        <f t="shared" si="202"/>
        <v>100000</v>
      </c>
      <c r="AN1635" s="2">
        <f t="shared" si="203"/>
        <v>0</v>
      </c>
    </row>
    <row r="1636" spans="4:40" x14ac:dyDescent="0.35">
      <c r="D1636" s="1">
        <v>43265</v>
      </c>
      <c r="E1636">
        <v>3.7050999999999998</v>
      </c>
      <c r="F1636" s="1">
        <v>43231</v>
      </c>
      <c r="G1636">
        <v>119.32899999999999</v>
      </c>
      <c r="H1636" s="4">
        <f t="shared" si="200"/>
        <v>442125.87789999996</v>
      </c>
      <c r="I1636" s="5">
        <v>43243</v>
      </c>
      <c r="J1636" s="4">
        <v>4630.24</v>
      </c>
      <c r="K1636" s="4">
        <f t="shared" si="201"/>
        <v>46302.399999999994</v>
      </c>
      <c r="L1636" s="1">
        <v>43192</v>
      </c>
      <c r="M1636">
        <v>4.7</v>
      </c>
      <c r="AJ1636" s="1">
        <v>43243</v>
      </c>
      <c r="AL1636">
        <v>10.89</v>
      </c>
      <c r="AM1636" s="6">
        <f t="shared" si="202"/>
        <v>100000</v>
      </c>
      <c r="AN1636" s="2">
        <f t="shared" si="203"/>
        <v>0</v>
      </c>
    </row>
    <row r="1637" spans="4:40" x14ac:dyDescent="0.35">
      <c r="D1637" s="1">
        <v>43264</v>
      </c>
      <c r="E1637">
        <v>3.7048000000000001</v>
      </c>
      <c r="F1637" s="1">
        <v>43230</v>
      </c>
      <c r="G1637">
        <v>119.40600000000001</v>
      </c>
      <c r="H1637" s="4">
        <f t="shared" si="200"/>
        <v>442375.34880000004</v>
      </c>
      <c r="I1637" s="5">
        <v>43242</v>
      </c>
      <c r="J1637" s="4">
        <v>4655.75</v>
      </c>
      <c r="K1637" s="4">
        <f t="shared" si="201"/>
        <v>46557.5</v>
      </c>
      <c r="L1637" s="1">
        <v>43188</v>
      </c>
      <c r="M1637">
        <v>4.7</v>
      </c>
      <c r="AJ1637" s="1">
        <v>43242</v>
      </c>
      <c r="AL1637">
        <v>10.89</v>
      </c>
      <c r="AM1637" s="6">
        <f t="shared" si="202"/>
        <v>100000</v>
      </c>
      <c r="AN1637" s="2">
        <f t="shared" si="203"/>
        <v>0</v>
      </c>
    </row>
    <row r="1638" spans="4:40" x14ac:dyDescent="0.35">
      <c r="D1638" s="1">
        <v>43263</v>
      </c>
      <c r="E1638">
        <v>3.7038000000000002</v>
      </c>
      <c r="F1638" s="1">
        <v>43229</v>
      </c>
      <c r="G1638">
        <v>119.22199999999999</v>
      </c>
      <c r="H1638" s="4">
        <f t="shared" si="200"/>
        <v>441574.4436</v>
      </c>
      <c r="I1638" s="5">
        <v>43241</v>
      </c>
      <c r="J1638" s="4">
        <v>4694.66</v>
      </c>
      <c r="K1638" s="4">
        <f t="shared" si="201"/>
        <v>46946.6</v>
      </c>
      <c r="L1638" s="1">
        <v>43187</v>
      </c>
      <c r="M1638">
        <v>4.7300000000000004</v>
      </c>
      <c r="AJ1638" s="1">
        <v>43241</v>
      </c>
      <c r="AL1638">
        <v>10.79</v>
      </c>
      <c r="AM1638" s="6">
        <f t="shared" si="202"/>
        <v>100000</v>
      </c>
      <c r="AN1638" s="2">
        <f t="shared" si="203"/>
        <v>0</v>
      </c>
    </row>
    <row r="1639" spans="4:40" x14ac:dyDescent="0.35">
      <c r="D1639" s="1">
        <v>43262</v>
      </c>
      <c r="E1639">
        <v>3.6907000000000001</v>
      </c>
      <c r="F1639" s="1">
        <v>43228</v>
      </c>
      <c r="G1639">
        <v>119.553</v>
      </c>
      <c r="H1639" s="4">
        <f t="shared" si="200"/>
        <v>441234.25709999999</v>
      </c>
      <c r="I1639" s="5">
        <v>43238</v>
      </c>
      <c r="J1639" s="4">
        <v>4772.46</v>
      </c>
      <c r="K1639" s="4">
        <f t="shared" si="201"/>
        <v>47724.6</v>
      </c>
      <c r="L1639" s="1">
        <v>43186</v>
      </c>
      <c r="M1639">
        <v>4.66</v>
      </c>
      <c r="AJ1639" s="1">
        <v>43238</v>
      </c>
      <c r="AL1639">
        <v>10.9</v>
      </c>
      <c r="AM1639" s="6">
        <f t="shared" si="202"/>
        <v>100000</v>
      </c>
      <c r="AN1639" s="2">
        <f t="shared" si="203"/>
        <v>0</v>
      </c>
    </row>
    <row r="1640" spans="4:40" x14ac:dyDescent="0.35">
      <c r="D1640" s="1">
        <v>43259</v>
      </c>
      <c r="E1640">
        <v>3.7852999999999999</v>
      </c>
      <c r="F1640" s="1">
        <v>43227</v>
      </c>
      <c r="G1640">
        <v>119.723</v>
      </c>
      <c r="H1640" s="4">
        <f t="shared" si="200"/>
        <v>453187.4719</v>
      </c>
      <c r="I1640" s="5">
        <v>43237</v>
      </c>
      <c r="J1640" s="4">
        <v>4720.8</v>
      </c>
      <c r="K1640" s="4">
        <f t="shared" si="201"/>
        <v>47208</v>
      </c>
      <c r="L1640" s="1">
        <v>43185</v>
      </c>
      <c r="M1640">
        <v>4.6399999999999997</v>
      </c>
      <c r="AJ1640" s="1">
        <v>43237</v>
      </c>
      <c r="AL1640">
        <v>10.45</v>
      </c>
      <c r="AM1640" s="6">
        <f t="shared" si="202"/>
        <v>100000</v>
      </c>
      <c r="AN1640" s="2">
        <f t="shared" si="203"/>
        <v>0</v>
      </c>
    </row>
    <row r="1641" spans="4:40" x14ac:dyDescent="0.35">
      <c r="D1641" s="1">
        <v>43258</v>
      </c>
      <c r="E1641">
        <v>3.8994</v>
      </c>
      <c r="F1641" s="1">
        <v>43224</v>
      </c>
      <c r="G1641">
        <v>119.64100000000001</v>
      </c>
      <c r="H1641" s="4">
        <f t="shared" si="200"/>
        <v>466528.11540000001</v>
      </c>
      <c r="I1641" s="5">
        <v>43236</v>
      </c>
      <c r="J1641" s="4">
        <v>4694.66</v>
      </c>
      <c r="K1641" s="4">
        <f t="shared" si="201"/>
        <v>46946.6</v>
      </c>
      <c r="L1641" s="1">
        <v>43182</v>
      </c>
      <c r="M1641">
        <v>4.71</v>
      </c>
      <c r="AJ1641" s="1">
        <v>43236</v>
      </c>
      <c r="AL1641">
        <v>10.36</v>
      </c>
      <c r="AM1641" s="6">
        <f t="shared" si="202"/>
        <v>100000</v>
      </c>
      <c r="AN1641" s="2">
        <f t="shared" si="203"/>
        <v>0</v>
      </c>
    </row>
    <row r="1642" spans="4:40" x14ac:dyDescent="0.35">
      <c r="D1642" s="1">
        <v>43257</v>
      </c>
      <c r="E1642">
        <v>3.8187000000000002</v>
      </c>
      <c r="F1642" s="1">
        <v>43223</v>
      </c>
      <c r="G1642">
        <v>119.646</v>
      </c>
      <c r="H1642" s="4">
        <f t="shared" si="200"/>
        <v>456892.18020000006</v>
      </c>
      <c r="I1642" s="5">
        <v>43235</v>
      </c>
      <c r="J1642" s="4">
        <v>4667.2299999999996</v>
      </c>
      <c r="K1642" s="4">
        <f t="shared" si="201"/>
        <v>46672.299999999996</v>
      </c>
      <c r="L1642" s="1">
        <v>43180</v>
      </c>
      <c r="M1642">
        <v>4.83</v>
      </c>
      <c r="AJ1642" s="1">
        <v>43235</v>
      </c>
      <c r="AL1642">
        <v>10.35</v>
      </c>
      <c r="AM1642" s="6">
        <f t="shared" si="202"/>
        <v>100000</v>
      </c>
      <c r="AN1642" s="2">
        <f t="shared" si="203"/>
        <v>0</v>
      </c>
    </row>
    <row r="1643" spans="4:40" x14ac:dyDescent="0.35">
      <c r="D1643" s="1">
        <v>43256</v>
      </c>
      <c r="E1643">
        <v>3.7746</v>
      </c>
      <c r="F1643" s="1">
        <v>43222</v>
      </c>
      <c r="G1643">
        <v>119.474</v>
      </c>
      <c r="H1643" s="4">
        <f t="shared" si="200"/>
        <v>450966.56040000002</v>
      </c>
      <c r="I1643" s="5">
        <v>43234</v>
      </c>
      <c r="J1643" s="4">
        <v>4628.96</v>
      </c>
      <c r="K1643" s="4">
        <f t="shared" si="201"/>
        <v>46289.599999999999</v>
      </c>
      <c r="L1643" s="1">
        <v>43179</v>
      </c>
      <c r="M1643">
        <v>4.8600000000000003</v>
      </c>
      <c r="AJ1643" s="1">
        <v>43234</v>
      </c>
      <c r="AL1643">
        <v>10.33</v>
      </c>
      <c r="AM1643" s="6">
        <f t="shared" si="202"/>
        <v>100000</v>
      </c>
      <c r="AN1643" s="2">
        <f t="shared" si="203"/>
        <v>0</v>
      </c>
    </row>
    <row r="1644" spans="4:40" x14ac:dyDescent="0.35">
      <c r="D1644" s="1">
        <v>43255</v>
      </c>
      <c r="E1644">
        <v>3.7418</v>
      </c>
      <c r="F1644" s="1">
        <v>43220</v>
      </c>
      <c r="G1644">
        <v>119.538</v>
      </c>
      <c r="H1644" s="4">
        <f t="shared" si="200"/>
        <v>447287.28839999996</v>
      </c>
      <c r="I1644" s="5">
        <v>43231</v>
      </c>
      <c r="J1644" s="4">
        <v>4600.8999999999996</v>
      </c>
      <c r="K1644" s="4">
        <f t="shared" si="201"/>
        <v>46009</v>
      </c>
      <c r="L1644" s="1">
        <v>43175</v>
      </c>
      <c r="M1644">
        <v>4.82</v>
      </c>
      <c r="AJ1644" s="1">
        <v>43231</v>
      </c>
      <c r="AL1644">
        <v>10.27</v>
      </c>
      <c r="AM1644" s="6">
        <f t="shared" si="202"/>
        <v>100000</v>
      </c>
      <c r="AN1644" s="2">
        <f t="shared" si="203"/>
        <v>0</v>
      </c>
    </row>
    <row r="1645" spans="4:40" x14ac:dyDescent="0.35">
      <c r="D1645" s="1">
        <v>43252</v>
      </c>
      <c r="E1645">
        <v>3.7406999999999999</v>
      </c>
      <c r="F1645" s="1">
        <v>43217</v>
      </c>
      <c r="G1645">
        <v>119.462</v>
      </c>
      <c r="H1645" s="4">
        <f t="shared" si="200"/>
        <v>446871.50339999999</v>
      </c>
      <c r="I1645" s="5">
        <v>43230</v>
      </c>
      <c r="J1645" s="4">
        <v>4537.13</v>
      </c>
      <c r="K1645" s="4">
        <f t="shared" si="201"/>
        <v>45371.3</v>
      </c>
      <c r="L1645" s="1">
        <v>43174</v>
      </c>
      <c r="M1645">
        <v>4.8099999999999996</v>
      </c>
      <c r="AJ1645" s="1">
        <v>43230</v>
      </c>
      <c r="AL1645">
        <v>10.19</v>
      </c>
      <c r="AM1645" s="6">
        <f t="shared" si="202"/>
        <v>100000</v>
      </c>
      <c r="AN1645" s="2">
        <f t="shared" si="203"/>
        <v>0</v>
      </c>
    </row>
    <row r="1646" spans="4:40" x14ac:dyDescent="0.35">
      <c r="D1646" s="1">
        <v>43250</v>
      </c>
      <c r="E1646">
        <v>3.7364000000000002</v>
      </c>
      <c r="F1646" s="1">
        <v>43216</v>
      </c>
      <c r="G1646">
        <v>119.352</v>
      </c>
      <c r="H1646" s="4">
        <f t="shared" si="200"/>
        <v>445946.81280000001</v>
      </c>
      <c r="I1646" s="5">
        <v>43229</v>
      </c>
      <c r="J1646" s="4">
        <v>4590.7</v>
      </c>
      <c r="K1646" s="4">
        <f t="shared" si="201"/>
        <v>45907</v>
      </c>
      <c r="L1646" s="1">
        <v>43173</v>
      </c>
      <c r="M1646">
        <v>4.7699999999999996</v>
      </c>
      <c r="AJ1646" s="1">
        <v>43229</v>
      </c>
      <c r="AL1646">
        <v>10.45</v>
      </c>
      <c r="AM1646" s="6">
        <f t="shared" si="202"/>
        <v>100000</v>
      </c>
      <c r="AN1646" s="2">
        <f t="shared" si="203"/>
        <v>0</v>
      </c>
    </row>
    <row r="1647" spans="4:40" x14ac:dyDescent="0.35">
      <c r="D1647" s="1">
        <v>43249</v>
      </c>
      <c r="E1647">
        <v>3.7282999999999999</v>
      </c>
      <c r="F1647" s="1">
        <v>43215</v>
      </c>
      <c r="G1647">
        <v>119.087</v>
      </c>
      <c r="H1647" s="4">
        <f t="shared" si="200"/>
        <v>443992.06209999998</v>
      </c>
      <c r="I1647" s="5">
        <v>43228</v>
      </c>
      <c r="J1647" s="4">
        <v>4554.9799999999996</v>
      </c>
      <c r="K1647" s="4">
        <f t="shared" si="201"/>
        <v>45549.799999999996</v>
      </c>
      <c r="L1647" s="1">
        <v>43172</v>
      </c>
      <c r="M1647">
        <v>4.8099999999999996</v>
      </c>
      <c r="AJ1647" s="1">
        <v>43228</v>
      </c>
      <c r="AL1647">
        <v>10.199999999999999</v>
      </c>
      <c r="AM1647" s="6">
        <f t="shared" si="202"/>
        <v>100000</v>
      </c>
      <c r="AN1647" s="2">
        <f t="shared" si="203"/>
        <v>0</v>
      </c>
    </row>
    <row r="1648" spans="4:40" x14ac:dyDescent="0.35">
      <c r="D1648" s="1">
        <v>43248</v>
      </c>
      <c r="E1648">
        <v>3.7086000000000001</v>
      </c>
      <c r="F1648" s="1">
        <v>43214</v>
      </c>
      <c r="G1648">
        <v>119.3</v>
      </c>
      <c r="H1648" s="4">
        <f t="shared" si="200"/>
        <v>442435.98000000004</v>
      </c>
      <c r="I1648" s="5">
        <v>43227</v>
      </c>
      <c r="J1648" s="4">
        <v>4540.95</v>
      </c>
      <c r="K1648" s="4">
        <f t="shared" si="201"/>
        <v>45409.5</v>
      </c>
      <c r="L1648" s="1">
        <v>43171</v>
      </c>
      <c r="M1648">
        <v>4.83</v>
      </c>
      <c r="AJ1648" s="1">
        <v>43227</v>
      </c>
      <c r="AL1648">
        <v>10.11</v>
      </c>
      <c r="AM1648" s="6">
        <f t="shared" si="202"/>
        <v>100000</v>
      </c>
      <c r="AN1648" s="2">
        <f t="shared" si="203"/>
        <v>0</v>
      </c>
    </row>
    <row r="1649" spans="4:40" x14ac:dyDescent="0.35">
      <c r="D1649" s="1">
        <v>43245</v>
      </c>
      <c r="E1649">
        <v>3.6581000000000001</v>
      </c>
      <c r="F1649" s="1">
        <v>43213</v>
      </c>
      <c r="G1649">
        <v>119.315</v>
      </c>
      <c r="H1649" s="4">
        <f t="shared" si="200"/>
        <v>436466.20150000002</v>
      </c>
      <c r="I1649" s="5">
        <v>43224</v>
      </c>
      <c r="J1649" s="4">
        <v>4514.17</v>
      </c>
      <c r="K1649" s="4">
        <f t="shared" si="201"/>
        <v>45141.7</v>
      </c>
      <c r="L1649" s="1">
        <v>43168</v>
      </c>
      <c r="M1649">
        <v>4.8099999999999996</v>
      </c>
      <c r="AJ1649" s="1">
        <v>43224</v>
      </c>
      <c r="AL1649">
        <v>10.02</v>
      </c>
      <c r="AM1649" s="6">
        <f t="shared" si="202"/>
        <v>100000</v>
      </c>
      <c r="AN1649" s="2">
        <f t="shared" si="203"/>
        <v>0</v>
      </c>
    </row>
    <row r="1650" spans="4:40" x14ac:dyDescent="0.35">
      <c r="D1650" s="1">
        <v>43244</v>
      </c>
      <c r="E1650">
        <v>3.6429999999999998</v>
      </c>
      <c r="F1650" s="1">
        <v>43210</v>
      </c>
      <c r="G1650">
        <v>119.556</v>
      </c>
      <c r="H1650" s="4">
        <f t="shared" si="200"/>
        <v>435542.50799999991</v>
      </c>
      <c r="I1650" s="5">
        <v>43223</v>
      </c>
      <c r="J1650" s="4">
        <v>4512.8900000000003</v>
      </c>
      <c r="K1650" s="4">
        <f t="shared" si="201"/>
        <v>45128.9</v>
      </c>
      <c r="L1650" s="1">
        <v>43167</v>
      </c>
      <c r="M1650">
        <v>4.83</v>
      </c>
      <c r="AJ1650" s="1">
        <v>43223</v>
      </c>
      <c r="AL1650">
        <v>10.01</v>
      </c>
      <c r="AM1650" s="6">
        <f t="shared" si="202"/>
        <v>100000</v>
      </c>
      <c r="AN1650" s="2">
        <f t="shared" si="203"/>
        <v>0</v>
      </c>
    </row>
    <row r="1651" spans="4:40" x14ac:dyDescent="0.35">
      <c r="D1651" s="1">
        <v>43243</v>
      </c>
      <c r="E1651">
        <v>3.6501000000000001</v>
      </c>
      <c r="F1651" s="1">
        <v>43209</v>
      </c>
      <c r="G1651">
        <v>119.8</v>
      </c>
      <c r="H1651" s="4">
        <f t="shared" si="200"/>
        <v>437281.98</v>
      </c>
      <c r="I1651" s="5">
        <v>43222</v>
      </c>
      <c r="J1651" s="4">
        <v>4545.42</v>
      </c>
      <c r="K1651" s="4">
        <f t="shared" si="201"/>
        <v>45454.2</v>
      </c>
      <c r="L1651" s="1">
        <v>43166</v>
      </c>
      <c r="M1651">
        <v>4.83</v>
      </c>
      <c r="AJ1651" s="1">
        <v>43222</v>
      </c>
      <c r="AL1651">
        <v>10.039999999999999</v>
      </c>
      <c r="AM1651" s="6">
        <f t="shared" si="202"/>
        <v>100000</v>
      </c>
      <c r="AN1651" s="2">
        <f t="shared" si="203"/>
        <v>0</v>
      </c>
    </row>
    <row r="1652" spans="4:40" x14ac:dyDescent="0.35">
      <c r="D1652" s="1">
        <v>43242</v>
      </c>
      <c r="E1652">
        <v>3.6496</v>
      </c>
      <c r="F1652" s="1">
        <v>43208</v>
      </c>
      <c r="G1652">
        <v>120.09</v>
      </c>
      <c r="H1652" s="4">
        <f t="shared" si="200"/>
        <v>438280.46399999998</v>
      </c>
      <c r="I1652" s="5">
        <v>43220</v>
      </c>
      <c r="J1652" s="4">
        <v>4487.38</v>
      </c>
      <c r="K1652" s="4">
        <f t="shared" si="201"/>
        <v>44873.8</v>
      </c>
      <c r="L1652" s="1">
        <v>43165</v>
      </c>
      <c r="M1652">
        <v>4.8600000000000003</v>
      </c>
      <c r="AJ1652" s="1">
        <v>43220</v>
      </c>
      <c r="AL1652">
        <v>10.01</v>
      </c>
      <c r="AM1652" s="6">
        <f t="shared" si="202"/>
        <v>100000</v>
      </c>
      <c r="AN1652" s="2">
        <f t="shared" si="203"/>
        <v>0</v>
      </c>
    </row>
    <row r="1653" spans="4:40" x14ac:dyDescent="0.35">
      <c r="D1653" s="1">
        <v>43241</v>
      </c>
      <c r="E1653">
        <v>3.7065999999999999</v>
      </c>
      <c r="F1653" s="1">
        <v>43207</v>
      </c>
      <c r="G1653">
        <v>120.465</v>
      </c>
      <c r="H1653" s="4">
        <f t="shared" si="200"/>
        <v>446515.56900000002</v>
      </c>
      <c r="I1653" s="5">
        <v>43217</v>
      </c>
      <c r="J1653" s="4">
        <v>4423.6000000000004</v>
      </c>
      <c r="K1653" s="4">
        <f t="shared" si="201"/>
        <v>44236</v>
      </c>
      <c r="L1653" s="1">
        <v>43164</v>
      </c>
      <c r="M1653">
        <v>4.8499999999999996</v>
      </c>
      <c r="AJ1653" s="1">
        <v>43217</v>
      </c>
      <c r="AL1653">
        <v>9.94</v>
      </c>
      <c r="AM1653" s="6">
        <f t="shared" si="202"/>
        <v>100000</v>
      </c>
      <c r="AN1653" s="2">
        <f t="shared" si="203"/>
        <v>0</v>
      </c>
    </row>
    <row r="1654" spans="4:40" x14ac:dyDescent="0.35">
      <c r="D1654" s="1">
        <v>43238</v>
      </c>
      <c r="E1654">
        <v>3.7496999999999998</v>
      </c>
      <c r="F1654" s="1">
        <v>43206</v>
      </c>
      <c r="G1654">
        <v>120.483</v>
      </c>
      <c r="H1654" s="4">
        <f t="shared" si="200"/>
        <v>451775.10510000004</v>
      </c>
      <c r="I1654" s="5">
        <v>43216</v>
      </c>
      <c r="J1654" s="4">
        <v>4449.1899999999996</v>
      </c>
      <c r="K1654" s="4">
        <f t="shared" si="201"/>
        <v>44491.899999999994</v>
      </c>
      <c r="L1654" s="1">
        <v>43161</v>
      </c>
      <c r="M1654">
        <v>4.8099999999999996</v>
      </c>
      <c r="AJ1654" s="1">
        <v>43216</v>
      </c>
      <c r="AL1654">
        <v>10.02</v>
      </c>
      <c r="AM1654" s="6">
        <f t="shared" si="202"/>
        <v>100000</v>
      </c>
      <c r="AN1654" s="2">
        <f t="shared" si="203"/>
        <v>0</v>
      </c>
    </row>
    <row r="1655" spans="4:40" x14ac:dyDescent="0.35">
      <c r="D1655" s="1">
        <v>43237</v>
      </c>
      <c r="E1655">
        <v>3.6867999999999999</v>
      </c>
      <c r="F1655" s="1">
        <v>43203</v>
      </c>
      <c r="G1655">
        <v>120.586</v>
      </c>
      <c r="H1655" s="4">
        <f t="shared" si="200"/>
        <v>444576.46480000002</v>
      </c>
      <c r="I1655" s="5">
        <v>43215</v>
      </c>
      <c r="J1655" s="4">
        <v>4461.3500000000004</v>
      </c>
      <c r="K1655" s="4">
        <f t="shared" si="201"/>
        <v>44613.5</v>
      </c>
      <c r="L1655" s="1">
        <v>43160</v>
      </c>
      <c r="M1655">
        <v>4.8499999999999996</v>
      </c>
      <c r="AJ1655" s="1">
        <v>43215</v>
      </c>
      <c r="AL1655">
        <v>10.1</v>
      </c>
      <c r="AM1655" s="6">
        <f t="shared" si="202"/>
        <v>100000</v>
      </c>
      <c r="AN1655" s="2">
        <f t="shared" si="203"/>
        <v>0</v>
      </c>
    </row>
    <row r="1656" spans="4:40" x14ac:dyDescent="0.35">
      <c r="D1656" s="1">
        <v>43236</v>
      </c>
      <c r="E1656">
        <v>3.6797</v>
      </c>
      <c r="F1656" s="1">
        <v>43202</v>
      </c>
      <c r="G1656">
        <v>120.46899999999999</v>
      </c>
      <c r="H1656" s="4">
        <f t="shared" si="200"/>
        <v>443289.77929999994</v>
      </c>
      <c r="I1656" s="5">
        <v>43214</v>
      </c>
      <c r="J1656" s="4">
        <v>4447.2700000000004</v>
      </c>
      <c r="K1656" s="4">
        <f t="shared" si="201"/>
        <v>44472.700000000004</v>
      </c>
      <c r="L1656" s="1">
        <v>43159</v>
      </c>
      <c r="M1656">
        <v>4.82</v>
      </c>
      <c r="AJ1656" s="1">
        <v>43214</v>
      </c>
      <c r="AL1656">
        <v>10.08</v>
      </c>
      <c r="AM1656" s="6">
        <f t="shared" si="202"/>
        <v>100000</v>
      </c>
      <c r="AN1656" s="2">
        <f t="shared" si="203"/>
        <v>0</v>
      </c>
    </row>
    <row r="1657" spans="4:40" x14ac:dyDescent="0.35">
      <c r="D1657" s="1">
        <v>43235</v>
      </c>
      <c r="E1657">
        <v>3.6747000000000001</v>
      </c>
      <c r="F1657" s="1">
        <v>43201</v>
      </c>
      <c r="G1657">
        <v>120.89100000000001</v>
      </c>
      <c r="H1657" s="4">
        <f t="shared" si="200"/>
        <v>444238.15770000004</v>
      </c>
      <c r="I1657" s="5">
        <v>43213</v>
      </c>
      <c r="J1657" s="4">
        <v>4421.04</v>
      </c>
      <c r="K1657" s="4">
        <f t="shared" si="201"/>
        <v>44210.400000000001</v>
      </c>
      <c r="L1657" s="1">
        <v>43158</v>
      </c>
      <c r="M1657">
        <v>4.83</v>
      </c>
      <c r="AJ1657" s="1">
        <v>43213</v>
      </c>
      <c r="AL1657">
        <v>10.06</v>
      </c>
      <c r="AM1657" s="6">
        <f t="shared" si="202"/>
        <v>100000</v>
      </c>
      <c r="AN1657" s="2">
        <f t="shared" si="203"/>
        <v>0</v>
      </c>
    </row>
    <row r="1658" spans="4:40" x14ac:dyDescent="0.35">
      <c r="D1658" s="1">
        <v>43234</v>
      </c>
      <c r="E1658">
        <v>3.6091000000000002</v>
      </c>
      <c r="F1658" s="1">
        <v>43200</v>
      </c>
      <c r="G1658">
        <v>120.75</v>
      </c>
      <c r="H1658" s="4">
        <f t="shared" si="200"/>
        <v>435798.82500000001</v>
      </c>
      <c r="I1658" s="5">
        <v>43210</v>
      </c>
      <c r="J1658" s="4">
        <v>4371.1400000000003</v>
      </c>
      <c r="K1658" s="4">
        <f t="shared" si="201"/>
        <v>43711.4</v>
      </c>
      <c r="L1658" s="1">
        <v>43157</v>
      </c>
      <c r="M1658">
        <v>4.8</v>
      </c>
      <c r="AJ1658" s="1">
        <v>43210</v>
      </c>
      <c r="AL1658">
        <v>9.93</v>
      </c>
      <c r="AM1658" s="6">
        <f t="shared" si="202"/>
        <v>100000</v>
      </c>
      <c r="AN1658" s="2">
        <f t="shared" si="203"/>
        <v>0</v>
      </c>
    </row>
    <row r="1659" spans="4:40" x14ac:dyDescent="0.35">
      <c r="D1659" s="1">
        <v>43231</v>
      </c>
      <c r="E1659">
        <v>3.5710000000000002</v>
      </c>
      <c r="F1659" s="1">
        <v>43199</v>
      </c>
      <c r="G1659">
        <v>121.015</v>
      </c>
      <c r="H1659" s="4">
        <f t="shared" si="200"/>
        <v>432144.565</v>
      </c>
      <c r="I1659" s="5">
        <v>43209</v>
      </c>
      <c r="J1659" s="4">
        <v>4337.2299999999996</v>
      </c>
      <c r="K1659" s="4">
        <f t="shared" si="201"/>
        <v>43372.299999999996</v>
      </c>
      <c r="L1659" s="1">
        <v>43154</v>
      </c>
      <c r="M1659">
        <v>4.8600000000000003</v>
      </c>
      <c r="AJ1659" s="1">
        <v>43209</v>
      </c>
      <c r="AL1659">
        <v>9.89</v>
      </c>
      <c r="AM1659" s="6">
        <f t="shared" si="202"/>
        <v>100000</v>
      </c>
      <c r="AN1659" s="2">
        <f t="shared" si="203"/>
        <v>0</v>
      </c>
    </row>
    <row r="1660" spans="4:40" x14ac:dyDescent="0.35">
      <c r="D1660" s="1">
        <v>43230</v>
      </c>
      <c r="E1660">
        <v>3.5560999999999998</v>
      </c>
      <c r="F1660" s="1">
        <v>43196</v>
      </c>
      <c r="G1660">
        <v>120.95399999999999</v>
      </c>
      <c r="H1660" s="4">
        <f t="shared" si="200"/>
        <v>430124.51939999993</v>
      </c>
      <c r="I1660" s="5">
        <v>43208</v>
      </c>
      <c r="J1660" s="4">
        <v>4330.1899999999996</v>
      </c>
      <c r="K1660" s="4">
        <f t="shared" si="201"/>
        <v>43301.899999999994</v>
      </c>
      <c r="L1660" s="1">
        <v>43152</v>
      </c>
      <c r="M1660">
        <v>4.87</v>
      </c>
      <c r="AJ1660" s="1">
        <v>43208</v>
      </c>
      <c r="AL1660">
        <v>9.8699999999999992</v>
      </c>
      <c r="AM1660" s="6">
        <f t="shared" si="202"/>
        <v>100000</v>
      </c>
      <c r="AN1660" s="2">
        <f t="shared" si="203"/>
        <v>0</v>
      </c>
    </row>
    <row r="1661" spans="4:40" x14ac:dyDescent="0.35">
      <c r="D1661" s="1">
        <v>43229</v>
      </c>
      <c r="E1661">
        <v>3.5937000000000001</v>
      </c>
      <c r="F1661" s="1">
        <v>43195</v>
      </c>
      <c r="G1661">
        <v>120.622</v>
      </c>
      <c r="H1661" s="4">
        <f t="shared" si="200"/>
        <v>433479.28139999998</v>
      </c>
      <c r="I1661" s="5">
        <v>43207</v>
      </c>
      <c r="J1661" s="4">
        <v>4365.38</v>
      </c>
      <c r="K1661" s="4">
        <f t="shared" si="201"/>
        <v>43653.8</v>
      </c>
      <c r="L1661" s="1">
        <v>43151</v>
      </c>
      <c r="M1661">
        <v>4.8600000000000003</v>
      </c>
      <c r="AJ1661" s="1">
        <v>43207</v>
      </c>
      <c r="AL1661">
        <v>9.9700000000000006</v>
      </c>
      <c r="AM1661" s="6">
        <f t="shared" si="202"/>
        <v>100000</v>
      </c>
      <c r="AN1661" s="2">
        <f t="shared" si="203"/>
        <v>0</v>
      </c>
    </row>
    <row r="1662" spans="4:40" x14ac:dyDescent="0.35">
      <c r="D1662" s="1">
        <v>43228</v>
      </c>
      <c r="E1662">
        <v>3.5781999999999998</v>
      </c>
      <c r="F1662" s="1">
        <v>43194</v>
      </c>
      <c r="G1662">
        <v>120.742</v>
      </c>
      <c r="H1662" s="4">
        <f t="shared" si="200"/>
        <v>432039.02439999999</v>
      </c>
      <c r="I1662" s="5">
        <v>43206</v>
      </c>
      <c r="J1662" s="4">
        <v>4380.09</v>
      </c>
      <c r="K1662" s="4">
        <f t="shared" si="201"/>
        <v>43800.9</v>
      </c>
      <c r="L1662" s="1">
        <v>43150</v>
      </c>
      <c r="M1662">
        <v>5.0599999999999996</v>
      </c>
      <c r="AJ1662" s="1">
        <v>43206</v>
      </c>
      <c r="AL1662">
        <v>9.98</v>
      </c>
      <c r="AM1662" s="6">
        <f t="shared" si="202"/>
        <v>100000</v>
      </c>
      <c r="AN1662" s="2">
        <f t="shared" si="203"/>
        <v>0</v>
      </c>
    </row>
    <row r="1663" spans="4:40" x14ac:dyDescent="0.35">
      <c r="D1663" s="1">
        <v>43227</v>
      </c>
      <c r="E1663">
        <v>3.5451999999999999</v>
      </c>
      <c r="F1663" s="1">
        <v>43193</v>
      </c>
      <c r="G1663">
        <v>120.875</v>
      </c>
      <c r="H1663" s="4">
        <f t="shared" si="200"/>
        <v>428526.05</v>
      </c>
      <c r="I1663" s="5">
        <v>43203</v>
      </c>
      <c r="J1663" s="4">
        <v>4386.49</v>
      </c>
      <c r="K1663" s="4">
        <f t="shared" si="201"/>
        <v>43864.899999999994</v>
      </c>
      <c r="L1663" s="1">
        <v>43147</v>
      </c>
      <c r="M1663">
        <v>4.8099999999999996</v>
      </c>
      <c r="AJ1663" s="1">
        <v>43203</v>
      </c>
      <c r="AL1663">
        <v>10.039999999999999</v>
      </c>
      <c r="AM1663" s="6">
        <f t="shared" si="202"/>
        <v>100000</v>
      </c>
      <c r="AN1663" s="2">
        <f t="shared" si="203"/>
        <v>0</v>
      </c>
    </row>
    <row r="1664" spans="4:40" x14ac:dyDescent="0.35">
      <c r="D1664" s="1">
        <v>43224</v>
      </c>
      <c r="E1664">
        <v>3.5301999999999998</v>
      </c>
      <c r="F1664" s="1">
        <v>43192</v>
      </c>
      <c r="G1664">
        <v>121.2</v>
      </c>
      <c r="H1664" s="4">
        <f t="shared" si="200"/>
        <v>427860.24</v>
      </c>
      <c r="I1664" s="5">
        <v>43202</v>
      </c>
      <c r="J1664" s="4">
        <v>4373.7</v>
      </c>
      <c r="K1664" s="4">
        <f t="shared" si="201"/>
        <v>43737</v>
      </c>
      <c r="L1664" s="1">
        <v>43146</v>
      </c>
      <c r="M1664">
        <v>4.9000000000000004</v>
      </c>
      <c r="AJ1664" s="1">
        <v>43202</v>
      </c>
      <c r="AL1664">
        <v>9.9600000000000009</v>
      </c>
      <c r="AM1664" s="6">
        <f t="shared" si="202"/>
        <v>100000</v>
      </c>
      <c r="AN1664" s="2">
        <f t="shared" si="203"/>
        <v>0</v>
      </c>
    </row>
    <row r="1665" spans="4:40" x14ac:dyDescent="0.35">
      <c r="D1665" s="1">
        <v>43223</v>
      </c>
      <c r="E1665">
        <v>3.5478000000000001</v>
      </c>
      <c r="F1665" s="1">
        <v>43188</v>
      </c>
      <c r="G1665">
        <v>121.021</v>
      </c>
      <c r="H1665" s="4">
        <f t="shared" si="200"/>
        <v>429358.30379999999</v>
      </c>
      <c r="I1665" s="5">
        <v>43201</v>
      </c>
      <c r="J1665" s="4">
        <v>4325.71</v>
      </c>
      <c r="K1665" s="4">
        <f t="shared" si="201"/>
        <v>43257.1</v>
      </c>
      <c r="L1665" s="1">
        <v>43145</v>
      </c>
      <c r="M1665">
        <v>4.95</v>
      </c>
      <c r="AJ1665" s="1">
        <v>43201</v>
      </c>
      <c r="AL1665">
        <v>9.93</v>
      </c>
      <c r="AM1665" s="6">
        <f t="shared" si="202"/>
        <v>100000</v>
      </c>
      <c r="AN1665" s="2">
        <f t="shared" si="203"/>
        <v>0</v>
      </c>
    </row>
    <row r="1666" spans="4:40" x14ac:dyDescent="0.35">
      <c r="D1666" s="1">
        <v>43222</v>
      </c>
      <c r="E1666">
        <v>3.5417999999999998</v>
      </c>
      <c r="F1666" s="1">
        <v>43187</v>
      </c>
      <c r="G1666">
        <v>120.9</v>
      </c>
      <c r="H1666" s="4">
        <f t="shared" si="200"/>
        <v>428203.62</v>
      </c>
      <c r="I1666" s="5">
        <v>43200</v>
      </c>
      <c r="J1666" s="4">
        <v>4370.5</v>
      </c>
      <c r="K1666" s="4">
        <f t="shared" si="201"/>
        <v>43705</v>
      </c>
      <c r="L1666" s="1">
        <v>43140</v>
      </c>
      <c r="M1666">
        <v>4.92</v>
      </c>
      <c r="AJ1666" s="1">
        <v>43200</v>
      </c>
      <c r="AL1666">
        <v>10.01</v>
      </c>
      <c r="AM1666" s="6">
        <f t="shared" si="202"/>
        <v>100000</v>
      </c>
      <c r="AN1666" s="2">
        <f t="shared" si="203"/>
        <v>0</v>
      </c>
    </row>
    <row r="1667" spans="4:40" x14ac:dyDescent="0.35">
      <c r="D1667" s="1">
        <v>43220</v>
      </c>
      <c r="E1667">
        <v>3.4805000000000001</v>
      </c>
      <c r="F1667" s="1">
        <v>43186</v>
      </c>
      <c r="G1667">
        <v>121.04</v>
      </c>
      <c r="H1667" s="4">
        <f t="shared" si="200"/>
        <v>421279.72000000003</v>
      </c>
      <c r="I1667" s="5">
        <v>43199</v>
      </c>
      <c r="J1667" s="4">
        <v>4387.7700000000004</v>
      </c>
      <c r="K1667" s="4">
        <f t="shared" si="201"/>
        <v>43877.700000000004</v>
      </c>
      <c r="L1667" s="1">
        <v>43139</v>
      </c>
      <c r="M1667">
        <v>4.8600000000000003</v>
      </c>
      <c r="AJ1667" s="1">
        <v>43199</v>
      </c>
      <c r="AL1667">
        <v>10.039999999999999</v>
      </c>
      <c r="AM1667" s="6">
        <f t="shared" si="202"/>
        <v>100000</v>
      </c>
      <c r="AN1667" s="2">
        <f t="shared" si="203"/>
        <v>0</v>
      </c>
    </row>
    <row r="1668" spans="4:40" x14ac:dyDescent="0.35">
      <c r="D1668" s="1">
        <v>43217</v>
      </c>
      <c r="E1668">
        <v>3.4670000000000001</v>
      </c>
      <c r="F1668" s="1">
        <v>43185</v>
      </c>
      <c r="G1668">
        <v>120.381</v>
      </c>
      <c r="H1668" s="4">
        <f t="shared" ref="H1668:H1731" si="204">G1668*E1668*1000</f>
        <v>417360.92700000003</v>
      </c>
      <c r="I1668" s="5">
        <v>43196</v>
      </c>
      <c r="J1668" s="4">
        <v>4319.3100000000004</v>
      </c>
      <c r="K1668" s="4">
        <f t="shared" si="201"/>
        <v>43193.100000000006</v>
      </c>
      <c r="L1668" s="1">
        <v>43138</v>
      </c>
      <c r="M1668">
        <v>4.8499999999999996</v>
      </c>
      <c r="AJ1668" s="1">
        <v>43196</v>
      </c>
      <c r="AL1668">
        <v>9.91</v>
      </c>
      <c r="AM1668" s="6">
        <f t="shared" si="202"/>
        <v>100000</v>
      </c>
      <c r="AN1668" s="2">
        <f t="shared" si="203"/>
        <v>0</v>
      </c>
    </row>
    <row r="1669" spans="4:40" x14ac:dyDescent="0.35">
      <c r="D1669" s="1">
        <v>43216</v>
      </c>
      <c r="E1669">
        <v>3.4971000000000001</v>
      </c>
      <c r="F1669" s="1">
        <v>43182</v>
      </c>
      <c r="G1669">
        <v>120.72799999999999</v>
      </c>
      <c r="H1669" s="4">
        <f t="shared" si="204"/>
        <v>422197.88880000002</v>
      </c>
      <c r="I1669" s="5">
        <v>43195</v>
      </c>
      <c r="J1669" s="4">
        <v>4287.96</v>
      </c>
      <c r="K1669" s="4">
        <f t="shared" ref="K1669:K1732" si="205">J1669*10</f>
        <v>42879.6</v>
      </c>
      <c r="L1669" s="1">
        <v>43137</v>
      </c>
      <c r="M1669">
        <v>4.82</v>
      </c>
      <c r="AJ1669" s="1">
        <v>43195</v>
      </c>
      <c r="AL1669">
        <v>9.8699999999999992</v>
      </c>
      <c r="AM1669" s="6">
        <f t="shared" ref="AM1669:AM1732" si="206">$Z$2/(1+AL1669/100)^(AK1669/252)</f>
        <v>100000</v>
      </c>
      <c r="AN1669" s="2">
        <f t="shared" ref="AN1669:AN1732" si="207">LOG(AM1669/AM1670)</f>
        <v>0</v>
      </c>
    </row>
    <row r="1670" spans="4:40" x14ac:dyDescent="0.35">
      <c r="D1670" s="1">
        <v>43215</v>
      </c>
      <c r="E1670">
        <v>3.5034000000000001</v>
      </c>
      <c r="F1670" s="1">
        <v>43181</v>
      </c>
      <c r="G1670">
        <v>120.55</v>
      </c>
      <c r="H1670" s="4">
        <f t="shared" si="204"/>
        <v>422334.87</v>
      </c>
      <c r="I1670" s="5">
        <v>43194</v>
      </c>
      <c r="J1670" s="4">
        <v>4269.41</v>
      </c>
      <c r="K1670" s="4">
        <f t="shared" si="205"/>
        <v>42694.1</v>
      </c>
      <c r="L1670" s="1">
        <v>43136</v>
      </c>
      <c r="M1670">
        <v>4.84</v>
      </c>
      <c r="AJ1670" s="1">
        <v>43194</v>
      </c>
      <c r="AL1670">
        <v>9.8699999999999992</v>
      </c>
      <c r="AM1670" s="6">
        <f t="shared" si="206"/>
        <v>100000</v>
      </c>
      <c r="AN1670" s="2">
        <f t="shared" si="207"/>
        <v>0</v>
      </c>
    </row>
    <row r="1671" spans="4:40" x14ac:dyDescent="0.35">
      <c r="D1671" s="1">
        <v>43214</v>
      </c>
      <c r="E1671">
        <v>3.4661</v>
      </c>
      <c r="F1671" s="1">
        <v>43180</v>
      </c>
      <c r="G1671">
        <v>120.087</v>
      </c>
      <c r="H1671" s="4">
        <f t="shared" si="204"/>
        <v>416233.55070000002</v>
      </c>
      <c r="I1671" s="5">
        <v>43193</v>
      </c>
      <c r="J1671" s="4">
        <v>4284.12</v>
      </c>
      <c r="K1671" s="4">
        <f t="shared" si="205"/>
        <v>42841.2</v>
      </c>
      <c r="L1671" s="1">
        <v>43133</v>
      </c>
      <c r="M1671">
        <v>4.75</v>
      </c>
      <c r="AJ1671" s="1">
        <v>43193</v>
      </c>
      <c r="AL1671">
        <v>9.86</v>
      </c>
      <c r="AM1671" s="6">
        <f t="shared" si="206"/>
        <v>100000</v>
      </c>
      <c r="AN1671" s="2">
        <f t="shared" si="207"/>
        <v>0</v>
      </c>
    </row>
    <row r="1672" spans="4:40" x14ac:dyDescent="0.35">
      <c r="D1672" s="1">
        <v>43213</v>
      </c>
      <c r="E1672">
        <v>3.4415</v>
      </c>
      <c r="F1672" s="1">
        <v>43179</v>
      </c>
      <c r="G1672">
        <v>120</v>
      </c>
      <c r="H1672" s="4">
        <f t="shared" si="204"/>
        <v>412980</v>
      </c>
      <c r="I1672" s="5">
        <v>43192</v>
      </c>
      <c r="J1672" s="4">
        <v>4246.38</v>
      </c>
      <c r="K1672" s="4">
        <f t="shared" si="205"/>
        <v>42463.8</v>
      </c>
      <c r="L1672" s="1">
        <v>43132</v>
      </c>
      <c r="M1672">
        <v>4.72</v>
      </c>
      <c r="AJ1672" s="1">
        <v>43192</v>
      </c>
      <c r="AL1672">
        <v>9.7799999999999994</v>
      </c>
      <c r="AM1672" s="6">
        <f t="shared" si="206"/>
        <v>100000</v>
      </c>
      <c r="AN1672" s="2">
        <f t="shared" si="207"/>
        <v>0</v>
      </c>
    </row>
    <row r="1673" spans="4:40" x14ac:dyDescent="0.35">
      <c r="D1673" s="1">
        <v>43210</v>
      </c>
      <c r="E1673">
        <v>3.4096000000000002</v>
      </c>
      <c r="F1673" s="1">
        <v>43178</v>
      </c>
      <c r="G1673">
        <v>120.25</v>
      </c>
      <c r="H1673" s="4">
        <f t="shared" si="204"/>
        <v>410004.4</v>
      </c>
      <c r="I1673" s="5">
        <v>43188</v>
      </c>
      <c r="J1673" s="4">
        <v>4238.0600000000004</v>
      </c>
      <c r="K1673" s="4">
        <f t="shared" si="205"/>
        <v>42380.600000000006</v>
      </c>
      <c r="L1673" s="1">
        <v>43131</v>
      </c>
      <c r="M1673">
        <v>4.7300000000000004</v>
      </c>
      <c r="AJ1673" s="1">
        <v>43188</v>
      </c>
      <c r="AL1673">
        <v>9.76</v>
      </c>
      <c r="AM1673" s="6">
        <f t="shared" si="206"/>
        <v>100000</v>
      </c>
      <c r="AN1673" s="2">
        <f t="shared" si="207"/>
        <v>0</v>
      </c>
    </row>
    <row r="1674" spans="4:40" x14ac:dyDescent="0.35">
      <c r="D1674" s="1">
        <v>43209</v>
      </c>
      <c r="E1674">
        <v>3.3971</v>
      </c>
      <c r="F1674" s="1">
        <v>43175</v>
      </c>
      <c r="G1674">
        <v>120.319</v>
      </c>
      <c r="H1674" s="4">
        <f t="shared" si="204"/>
        <v>408735.67489999998</v>
      </c>
      <c r="I1674" s="5">
        <v>43187</v>
      </c>
      <c r="J1674" s="4">
        <v>4260.45</v>
      </c>
      <c r="K1674" s="4">
        <f t="shared" si="205"/>
        <v>42604.5</v>
      </c>
      <c r="L1674" s="1">
        <v>43130</v>
      </c>
      <c r="M1674">
        <v>4.75</v>
      </c>
      <c r="AJ1674" s="1">
        <v>43187</v>
      </c>
      <c r="AL1674">
        <v>9.7899999999999991</v>
      </c>
      <c r="AM1674" s="6">
        <f t="shared" si="206"/>
        <v>100000</v>
      </c>
      <c r="AN1674" s="2">
        <f t="shared" si="207"/>
        <v>0</v>
      </c>
    </row>
    <row r="1675" spans="4:40" x14ac:dyDescent="0.35">
      <c r="D1675" s="1">
        <v>43208</v>
      </c>
      <c r="E1675">
        <v>3.3837999999999999</v>
      </c>
      <c r="F1675" s="1">
        <v>43174</v>
      </c>
      <c r="G1675">
        <v>120.491</v>
      </c>
      <c r="H1675" s="4">
        <f t="shared" si="204"/>
        <v>407717.44579999999</v>
      </c>
      <c r="I1675" s="5">
        <v>43186</v>
      </c>
      <c r="J1675" s="4">
        <v>4265.58</v>
      </c>
      <c r="K1675" s="4">
        <f t="shared" si="205"/>
        <v>42655.8</v>
      </c>
      <c r="L1675" s="1">
        <v>43129</v>
      </c>
      <c r="M1675">
        <v>4.74</v>
      </c>
      <c r="AJ1675" s="1">
        <v>43186</v>
      </c>
      <c r="AL1675">
        <v>9.7799999999999994</v>
      </c>
      <c r="AM1675" s="6">
        <f t="shared" si="206"/>
        <v>100000</v>
      </c>
      <c r="AN1675" s="2">
        <f t="shared" si="207"/>
        <v>0</v>
      </c>
    </row>
    <row r="1676" spans="4:40" x14ac:dyDescent="0.35">
      <c r="D1676" s="1">
        <v>43207</v>
      </c>
      <c r="E1676">
        <v>3.4035000000000002</v>
      </c>
      <c r="F1676" s="1">
        <v>43173</v>
      </c>
      <c r="G1676">
        <v>120.571</v>
      </c>
      <c r="H1676" s="4">
        <f t="shared" si="204"/>
        <v>410363.39850000001</v>
      </c>
      <c r="I1676" s="5">
        <v>43185</v>
      </c>
      <c r="J1676" s="4">
        <v>4248.91</v>
      </c>
      <c r="K1676" s="4">
        <f t="shared" si="205"/>
        <v>42489.1</v>
      </c>
      <c r="L1676" s="1">
        <v>43126</v>
      </c>
      <c r="M1676">
        <v>4.7300000000000004</v>
      </c>
      <c r="AJ1676" s="1">
        <v>43185</v>
      </c>
      <c r="AL1676">
        <v>9.73</v>
      </c>
      <c r="AM1676" s="6">
        <f t="shared" si="206"/>
        <v>100000</v>
      </c>
      <c r="AN1676" s="2">
        <f t="shared" si="207"/>
        <v>0</v>
      </c>
    </row>
    <row r="1677" spans="4:40" x14ac:dyDescent="0.35">
      <c r="D1677" s="1">
        <v>43206</v>
      </c>
      <c r="E1677">
        <v>3.4257</v>
      </c>
      <c r="F1677" s="1">
        <v>43172</v>
      </c>
      <c r="G1677">
        <v>120.384</v>
      </c>
      <c r="H1677" s="4">
        <f t="shared" si="204"/>
        <v>412399.46880000003</v>
      </c>
      <c r="I1677" s="5">
        <v>43182</v>
      </c>
      <c r="J1677" s="4">
        <v>4250.1899999999996</v>
      </c>
      <c r="K1677" s="4">
        <f t="shared" si="205"/>
        <v>42501.899999999994</v>
      </c>
      <c r="L1677" s="1">
        <v>43124</v>
      </c>
      <c r="M1677">
        <v>4.8600000000000003</v>
      </c>
      <c r="AJ1677" s="1">
        <v>43182</v>
      </c>
      <c r="AL1677">
        <v>9.77</v>
      </c>
      <c r="AM1677" s="6">
        <f t="shared" si="206"/>
        <v>100000</v>
      </c>
      <c r="AN1677" s="2">
        <f t="shared" si="207"/>
        <v>0</v>
      </c>
    </row>
    <row r="1678" spans="4:40" x14ac:dyDescent="0.35">
      <c r="D1678" s="1">
        <v>43203</v>
      </c>
      <c r="E1678">
        <v>3.4098999999999999</v>
      </c>
      <c r="F1678" s="1">
        <v>43171</v>
      </c>
      <c r="G1678">
        <v>120.22799999999999</v>
      </c>
      <c r="H1678" s="4">
        <f t="shared" si="204"/>
        <v>409965.45719999995</v>
      </c>
      <c r="I1678" s="5">
        <v>43181</v>
      </c>
      <c r="J1678" s="4">
        <v>4255.96</v>
      </c>
      <c r="K1678" s="4">
        <f t="shared" si="205"/>
        <v>42559.6</v>
      </c>
      <c r="L1678" s="1">
        <v>43123</v>
      </c>
      <c r="M1678">
        <v>4.93</v>
      </c>
      <c r="AJ1678" s="1">
        <v>43181</v>
      </c>
      <c r="AL1678">
        <v>9.69</v>
      </c>
      <c r="AM1678" s="6">
        <f t="shared" si="206"/>
        <v>100000</v>
      </c>
      <c r="AN1678" s="2">
        <f t="shared" si="207"/>
        <v>0</v>
      </c>
    </row>
    <row r="1679" spans="4:40" x14ac:dyDescent="0.35">
      <c r="D1679" s="1">
        <v>43202</v>
      </c>
      <c r="E1679">
        <v>3.3852000000000002</v>
      </c>
      <c r="F1679" s="1">
        <v>43168</v>
      </c>
      <c r="G1679">
        <v>120.078</v>
      </c>
      <c r="H1679" s="4">
        <f t="shared" si="204"/>
        <v>406488.04560000001</v>
      </c>
      <c r="I1679" s="5">
        <v>43180</v>
      </c>
      <c r="J1679" s="4">
        <v>4201.4399999999996</v>
      </c>
      <c r="K1679" s="4">
        <f t="shared" si="205"/>
        <v>42014.399999999994</v>
      </c>
      <c r="L1679" s="1">
        <v>43122</v>
      </c>
      <c r="M1679">
        <v>4.8600000000000003</v>
      </c>
      <c r="AJ1679" s="1">
        <v>43180</v>
      </c>
      <c r="AL1679">
        <v>9.69</v>
      </c>
      <c r="AM1679" s="6">
        <f t="shared" si="206"/>
        <v>100000</v>
      </c>
      <c r="AN1679" s="2">
        <f t="shared" si="207"/>
        <v>0</v>
      </c>
    </row>
    <row r="1680" spans="4:40" x14ac:dyDescent="0.35">
      <c r="D1680" s="1">
        <v>43201</v>
      </c>
      <c r="E1680">
        <v>3.4045999999999998</v>
      </c>
      <c r="F1680" s="1">
        <v>43167</v>
      </c>
      <c r="G1680">
        <v>120.142</v>
      </c>
      <c r="H1680" s="4">
        <f t="shared" si="204"/>
        <v>409035.45319999993</v>
      </c>
      <c r="I1680" s="5">
        <v>43179</v>
      </c>
      <c r="J1680" s="4">
        <v>4251.47</v>
      </c>
      <c r="K1680" s="4">
        <f t="shared" si="205"/>
        <v>42514.700000000004</v>
      </c>
      <c r="L1680" s="1">
        <v>43118</v>
      </c>
      <c r="M1680">
        <v>4.83</v>
      </c>
      <c r="AJ1680" s="1">
        <v>43179</v>
      </c>
      <c r="AL1680">
        <v>9.7899999999999991</v>
      </c>
      <c r="AM1680" s="6">
        <f t="shared" si="206"/>
        <v>100000</v>
      </c>
      <c r="AN1680" s="2">
        <f t="shared" si="207"/>
        <v>0</v>
      </c>
    </row>
    <row r="1681" spans="4:40" x14ac:dyDescent="0.35">
      <c r="D1681" s="1">
        <v>43200</v>
      </c>
      <c r="E1681">
        <v>3.4188999999999998</v>
      </c>
      <c r="F1681" s="1">
        <v>43166</v>
      </c>
      <c r="G1681">
        <v>120.05</v>
      </c>
      <c r="H1681" s="4">
        <f t="shared" si="204"/>
        <v>410438.94500000001</v>
      </c>
      <c r="I1681" s="5">
        <v>43178</v>
      </c>
      <c r="J1681" s="4">
        <v>4220.04</v>
      </c>
      <c r="K1681" s="4">
        <f t="shared" si="205"/>
        <v>42200.4</v>
      </c>
      <c r="L1681" s="1">
        <v>43117</v>
      </c>
      <c r="M1681">
        <v>4.8499999999999996</v>
      </c>
      <c r="AJ1681" s="1">
        <v>43178</v>
      </c>
      <c r="AL1681">
        <v>9.74</v>
      </c>
      <c r="AM1681" s="6">
        <f t="shared" si="206"/>
        <v>100000</v>
      </c>
      <c r="AN1681" s="2">
        <f t="shared" si="207"/>
        <v>0</v>
      </c>
    </row>
    <row r="1682" spans="4:40" x14ac:dyDescent="0.35">
      <c r="D1682" s="1">
        <v>43199</v>
      </c>
      <c r="E1682">
        <v>3.3896999999999999</v>
      </c>
      <c r="F1682" s="1">
        <v>43165</v>
      </c>
      <c r="G1682">
        <v>120.02200000000001</v>
      </c>
      <c r="H1682" s="4">
        <f t="shared" si="204"/>
        <v>406838.57340000005</v>
      </c>
      <c r="I1682" s="5">
        <v>43175</v>
      </c>
      <c r="J1682" s="4">
        <v>4212.34</v>
      </c>
      <c r="K1682" s="4">
        <f t="shared" si="205"/>
        <v>42123.4</v>
      </c>
      <c r="L1682" s="1">
        <v>43116</v>
      </c>
      <c r="M1682">
        <v>4.84</v>
      </c>
      <c r="AJ1682" s="1">
        <v>43175</v>
      </c>
      <c r="AL1682">
        <v>9.6999999999999993</v>
      </c>
      <c r="AM1682" s="6">
        <f t="shared" si="206"/>
        <v>100000</v>
      </c>
      <c r="AN1682" s="2">
        <f t="shared" si="207"/>
        <v>0</v>
      </c>
    </row>
    <row r="1683" spans="4:40" x14ac:dyDescent="0.35">
      <c r="D1683" s="1">
        <v>43196</v>
      </c>
      <c r="E1683">
        <v>3.3660000000000001</v>
      </c>
      <c r="F1683" s="1">
        <v>43164</v>
      </c>
      <c r="G1683">
        <v>120</v>
      </c>
      <c r="H1683" s="4">
        <f t="shared" si="204"/>
        <v>403920</v>
      </c>
      <c r="I1683" s="5">
        <v>43174</v>
      </c>
      <c r="J1683" s="4">
        <v>4219.3999999999996</v>
      </c>
      <c r="K1683" s="4">
        <f t="shared" si="205"/>
        <v>42194</v>
      </c>
      <c r="L1683" s="1">
        <v>43115</v>
      </c>
      <c r="M1683">
        <v>4.84</v>
      </c>
      <c r="AJ1683" s="1">
        <v>43174</v>
      </c>
      <c r="AL1683">
        <v>9.7200000000000006</v>
      </c>
      <c r="AM1683" s="6">
        <f t="shared" si="206"/>
        <v>100000</v>
      </c>
      <c r="AN1683" s="2">
        <f t="shared" si="207"/>
        <v>0</v>
      </c>
    </row>
    <row r="1684" spans="4:40" x14ac:dyDescent="0.35">
      <c r="D1684" s="1">
        <v>43195</v>
      </c>
      <c r="E1684">
        <v>3.319</v>
      </c>
      <c r="F1684" s="1">
        <v>43161</v>
      </c>
      <c r="G1684">
        <v>120.166</v>
      </c>
      <c r="H1684" s="4">
        <f t="shared" si="204"/>
        <v>398830.95399999997</v>
      </c>
      <c r="I1684" s="5">
        <v>43173</v>
      </c>
      <c r="J1684" s="4">
        <v>4187.33</v>
      </c>
      <c r="K1684" s="4">
        <f t="shared" si="205"/>
        <v>41873.300000000003</v>
      </c>
      <c r="L1684" s="1">
        <v>43112</v>
      </c>
      <c r="M1684">
        <v>4.8499999999999996</v>
      </c>
      <c r="AJ1684" s="1">
        <v>43173</v>
      </c>
      <c r="AL1684">
        <v>9.76</v>
      </c>
      <c r="AM1684" s="6">
        <f t="shared" si="206"/>
        <v>100000</v>
      </c>
      <c r="AN1684" s="2">
        <f t="shared" si="207"/>
        <v>0</v>
      </c>
    </row>
    <row r="1685" spans="4:40" x14ac:dyDescent="0.35">
      <c r="D1685" s="1">
        <v>43194</v>
      </c>
      <c r="E1685">
        <v>3.3532000000000002</v>
      </c>
      <c r="F1685" s="1">
        <v>43160</v>
      </c>
      <c r="G1685">
        <v>120.611</v>
      </c>
      <c r="H1685" s="4">
        <f t="shared" si="204"/>
        <v>404432.8052</v>
      </c>
      <c r="I1685" s="5">
        <v>43172</v>
      </c>
      <c r="J1685" s="4">
        <v>4188.6099999999997</v>
      </c>
      <c r="K1685" s="4">
        <f t="shared" si="205"/>
        <v>41886.1</v>
      </c>
      <c r="L1685" s="1">
        <v>43110</v>
      </c>
      <c r="M1685">
        <v>4.9400000000000004</v>
      </c>
      <c r="AJ1685" s="1">
        <v>43172</v>
      </c>
      <c r="AL1685">
        <v>9.77</v>
      </c>
      <c r="AM1685" s="6">
        <f t="shared" si="206"/>
        <v>100000</v>
      </c>
      <c r="AN1685" s="2">
        <f t="shared" si="207"/>
        <v>0</v>
      </c>
    </row>
    <row r="1686" spans="4:40" x14ac:dyDescent="0.35">
      <c r="D1686" s="1">
        <v>43193</v>
      </c>
      <c r="E1686">
        <v>3.3132999999999999</v>
      </c>
      <c r="F1686" s="1">
        <v>43159</v>
      </c>
      <c r="G1686">
        <v>120.03700000000001</v>
      </c>
      <c r="H1686" s="4">
        <f t="shared" si="204"/>
        <v>397718.59210000001</v>
      </c>
      <c r="I1686" s="5">
        <v>43171</v>
      </c>
      <c r="J1686" s="4">
        <v>4191.82</v>
      </c>
      <c r="K1686" s="4">
        <f t="shared" si="205"/>
        <v>41918.199999999997</v>
      </c>
      <c r="L1686" s="1">
        <v>43109</v>
      </c>
      <c r="M1686">
        <v>4.99</v>
      </c>
      <c r="AJ1686" s="1">
        <v>43171</v>
      </c>
      <c r="AL1686">
        <v>9.8699999999999992</v>
      </c>
      <c r="AM1686" s="6">
        <f t="shared" si="206"/>
        <v>100000</v>
      </c>
      <c r="AN1686" s="2">
        <f t="shared" si="207"/>
        <v>0</v>
      </c>
    </row>
    <row r="1687" spans="4:40" x14ac:dyDescent="0.35">
      <c r="D1687" s="1">
        <v>43192</v>
      </c>
      <c r="E1687">
        <v>3.3098000000000001</v>
      </c>
      <c r="F1687" s="1">
        <v>43158</v>
      </c>
      <c r="G1687">
        <v>120.453</v>
      </c>
      <c r="H1687" s="4">
        <f t="shared" si="204"/>
        <v>398675.33940000006</v>
      </c>
      <c r="I1687" s="5">
        <v>43168</v>
      </c>
      <c r="J1687" s="4">
        <v>4186.6899999999996</v>
      </c>
      <c r="K1687" s="4">
        <f t="shared" si="205"/>
        <v>41866.899999999994</v>
      </c>
      <c r="L1687" s="1">
        <v>43108</v>
      </c>
      <c r="M1687">
        <v>4.97</v>
      </c>
      <c r="AJ1687" s="1">
        <v>43168</v>
      </c>
      <c r="AL1687">
        <v>9.8800000000000008</v>
      </c>
      <c r="AM1687" s="6">
        <f t="shared" si="206"/>
        <v>100000</v>
      </c>
      <c r="AN1687" s="2">
        <f t="shared" si="207"/>
        <v>0</v>
      </c>
    </row>
    <row r="1688" spans="4:40" x14ac:dyDescent="0.35">
      <c r="D1688" s="1">
        <v>43188</v>
      </c>
      <c r="E1688">
        <v>3.3231999999999999</v>
      </c>
      <c r="F1688" s="1">
        <v>43157</v>
      </c>
      <c r="G1688">
        <v>120.82</v>
      </c>
      <c r="H1688" s="4">
        <f t="shared" si="204"/>
        <v>401509.02399999998</v>
      </c>
      <c r="I1688" s="5">
        <v>43167</v>
      </c>
      <c r="J1688" s="4">
        <v>4200.16</v>
      </c>
      <c r="K1688" s="4">
        <f t="shared" si="205"/>
        <v>42001.599999999999</v>
      </c>
      <c r="L1688" s="1">
        <v>43105</v>
      </c>
      <c r="M1688">
        <v>5.03</v>
      </c>
      <c r="AJ1688" s="1">
        <v>43167</v>
      </c>
      <c r="AL1688">
        <v>9.83</v>
      </c>
      <c r="AM1688" s="6">
        <f t="shared" si="206"/>
        <v>100000</v>
      </c>
      <c r="AN1688" s="2">
        <f t="shared" si="207"/>
        <v>0</v>
      </c>
    </row>
    <row r="1689" spans="4:40" x14ac:dyDescent="0.35">
      <c r="D1689" s="1">
        <v>43187</v>
      </c>
      <c r="E1689">
        <v>3.3374000000000001</v>
      </c>
      <c r="F1689" s="1">
        <v>43154</v>
      </c>
      <c r="G1689">
        <v>120.8</v>
      </c>
      <c r="H1689" s="4">
        <f t="shared" si="204"/>
        <v>403157.92</v>
      </c>
      <c r="I1689" s="5">
        <v>43166</v>
      </c>
      <c r="J1689" s="4">
        <v>4171.93</v>
      </c>
      <c r="K1689" s="4">
        <f t="shared" si="205"/>
        <v>41719.300000000003</v>
      </c>
      <c r="L1689" s="1">
        <v>43104</v>
      </c>
      <c r="M1689">
        <v>5</v>
      </c>
      <c r="AJ1689" s="1">
        <v>43166</v>
      </c>
      <c r="AL1689">
        <v>9.83</v>
      </c>
      <c r="AM1689" s="6">
        <f t="shared" si="206"/>
        <v>100000</v>
      </c>
      <c r="AN1689" s="2">
        <f t="shared" si="207"/>
        <v>0</v>
      </c>
    </row>
    <row r="1690" spans="4:40" x14ac:dyDescent="0.35">
      <c r="D1690" s="1">
        <v>43186</v>
      </c>
      <c r="E1690">
        <v>3.3250000000000002</v>
      </c>
      <c r="F1690" s="1">
        <v>43153</v>
      </c>
      <c r="G1690">
        <v>120.446</v>
      </c>
      <c r="H1690" s="4">
        <f t="shared" si="204"/>
        <v>400482.95</v>
      </c>
      <c r="I1690" s="5">
        <v>43165</v>
      </c>
      <c r="J1690" s="4">
        <v>4127.67</v>
      </c>
      <c r="K1690" s="4">
        <f t="shared" si="205"/>
        <v>41276.699999999997</v>
      </c>
      <c r="L1690" s="1">
        <v>43103</v>
      </c>
      <c r="M1690">
        <v>5.04</v>
      </c>
      <c r="AJ1690" s="1">
        <v>43165</v>
      </c>
      <c r="AL1690">
        <v>9.7799999999999994</v>
      </c>
      <c r="AM1690" s="6">
        <f t="shared" si="206"/>
        <v>100000</v>
      </c>
      <c r="AN1690" s="2">
        <f t="shared" si="207"/>
        <v>0</v>
      </c>
    </row>
    <row r="1691" spans="4:40" x14ac:dyDescent="0.35">
      <c r="D1691" s="1">
        <v>43185</v>
      </c>
      <c r="E1691">
        <v>3.3028</v>
      </c>
      <c r="F1691" s="1">
        <v>43152</v>
      </c>
      <c r="G1691">
        <v>120.172</v>
      </c>
      <c r="H1691" s="4">
        <f t="shared" si="204"/>
        <v>396904.08159999998</v>
      </c>
      <c r="I1691" s="5">
        <v>43164</v>
      </c>
      <c r="J1691" s="4">
        <v>4170.6499999999996</v>
      </c>
      <c r="K1691" s="4">
        <f t="shared" si="205"/>
        <v>41706.5</v>
      </c>
      <c r="L1691" s="1">
        <v>43102</v>
      </c>
      <c r="M1691">
        <v>5.0999999999999996</v>
      </c>
      <c r="AJ1691" s="1">
        <v>43164</v>
      </c>
      <c r="AL1691">
        <v>9.77</v>
      </c>
      <c r="AM1691" s="6">
        <f t="shared" si="206"/>
        <v>100000</v>
      </c>
      <c r="AN1691" s="2">
        <f t="shared" si="207"/>
        <v>0</v>
      </c>
    </row>
    <row r="1692" spans="4:40" x14ac:dyDescent="0.35">
      <c r="D1692" s="1">
        <v>43182</v>
      </c>
      <c r="E1692">
        <v>3.3035000000000001</v>
      </c>
      <c r="F1692" s="1">
        <v>43151</v>
      </c>
      <c r="G1692">
        <v>120.562</v>
      </c>
      <c r="H1692" s="4">
        <f t="shared" si="204"/>
        <v>398276.56699999998</v>
      </c>
      <c r="I1692" s="5">
        <v>43161</v>
      </c>
      <c r="J1692" s="4">
        <v>4185.3999999999996</v>
      </c>
      <c r="K1692" s="4">
        <f t="shared" si="205"/>
        <v>41854</v>
      </c>
      <c r="L1692" s="1">
        <v>43097</v>
      </c>
      <c r="M1692">
        <v>5.17</v>
      </c>
      <c r="AJ1692" s="1">
        <v>43161</v>
      </c>
      <c r="AL1692">
        <v>9.84</v>
      </c>
      <c r="AM1692" s="6">
        <f t="shared" si="206"/>
        <v>100000</v>
      </c>
      <c r="AN1692" s="2">
        <f t="shared" si="207"/>
        <v>0</v>
      </c>
    </row>
    <row r="1693" spans="4:40" x14ac:dyDescent="0.35">
      <c r="D1693" s="1">
        <v>43181</v>
      </c>
      <c r="E1693">
        <v>3.3027000000000002</v>
      </c>
      <c r="F1693" s="1">
        <v>43150</v>
      </c>
      <c r="G1693">
        <v>120.39100000000001</v>
      </c>
      <c r="H1693" s="4">
        <f t="shared" si="204"/>
        <v>397615.35570000007</v>
      </c>
      <c r="I1693" s="5">
        <v>43160</v>
      </c>
      <c r="J1693" s="4">
        <v>4185.3999999999996</v>
      </c>
      <c r="K1693" s="4">
        <f t="shared" si="205"/>
        <v>41854</v>
      </c>
      <c r="L1693" s="1">
        <v>43096</v>
      </c>
      <c r="M1693">
        <v>5.17</v>
      </c>
      <c r="AJ1693" s="1">
        <v>43160</v>
      </c>
      <c r="AL1693">
        <v>9.8699999999999992</v>
      </c>
      <c r="AM1693" s="6">
        <f t="shared" si="206"/>
        <v>100000</v>
      </c>
      <c r="AN1693" s="2">
        <f t="shared" si="207"/>
        <v>0</v>
      </c>
    </row>
    <row r="1694" spans="4:40" x14ac:dyDescent="0.35">
      <c r="D1694" s="1">
        <v>43180</v>
      </c>
      <c r="E1694">
        <v>3.2915000000000001</v>
      </c>
      <c r="F1694" s="1">
        <v>43147</v>
      </c>
      <c r="G1694">
        <v>120.666</v>
      </c>
      <c r="H1694" s="4">
        <f t="shared" si="204"/>
        <v>397172.13900000002</v>
      </c>
      <c r="I1694" s="5">
        <v>43159</v>
      </c>
      <c r="J1694" s="4">
        <v>4178.99</v>
      </c>
      <c r="K1694" s="4">
        <f t="shared" si="205"/>
        <v>41789.899999999994</v>
      </c>
      <c r="L1694" s="1">
        <v>43091</v>
      </c>
      <c r="M1694">
        <v>5.25</v>
      </c>
      <c r="AJ1694" s="1">
        <v>43159</v>
      </c>
      <c r="AL1694">
        <v>9.89</v>
      </c>
      <c r="AM1694" s="6">
        <f t="shared" si="206"/>
        <v>100000</v>
      </c>
      <c r="AN1694" s="2">
        <f t="shared" si="207"/>
        <v>0</v>
      </c>
    </row>
    <row r="1695" spans="4:40" x14ac:dyDescent="0.35">
      <c r="D1695" s="1">
        <v>43179</v>
      </c>
      <c r="E1695">
        <v>3.2974999999999999</v>
      </c>
      <c r="F1695" s="1">
        <v>43146</v>
      </c>
      <c r="G1695">
        <v>120.524</v>
      </c>
      <c r="H1695" s="4">
        <f t="shared" si="204"/>
        <v>397427.89</v>
      </c>
      <c r="I1695" s="5">
        <v>43158</v>
      </c>
      <c r="J1695" s="4">
        <v>4184.76</v>
      </c>
      <c r="K1695" s="4">
        <f t="shared" si="205"/>
        <v>41847.600000000006</v>
      </c>
      <c r="L1695" s="1">
        <v>43089</v>
      </c>
      <c r="M1695">
        <v>5.26</v>
      </c>
      <c r="AJ1695" s="1">
        <v>43158</v>
      </c>
      <c r="AL1695">
        <v>9.93</v>
      </c>
      <c r="AM1695" s="6">
        <f t="shared" si="206"/>
        <v>100000</v>
      </c>
      <c r="AN1695" s="2">
        <f t="shared" si="207"/>
        <v>0</v>
      </c>
    </row>
    <row r="1696" spans="4:40" x14ac:dyDescent="0.35">
      <c r="D1696" s="1">
        <v>43178</v>
      </c>
      <c r="E1696">
        <v>3.2905000000000002</v>
      </c>
      <c r="F1696" s="1">
        <v>43145</v>
      </c>
      <c r="G1696">
        <v>120.369</v>
      </c>
      <c r="H1696" s="4">
        <f t="shared" si="204"/>
        <v>396074.19450000004</v>
      </c>
      <c r="I1696" s="5">
        <v>43157</v>
      </c>
      <c r="J1696" s="4">
        <v>4147.46</v>
      </c>
      <c r="K1696" s="4">
        <f t="shared" si="205"/>
        <v>41474.6</v>
      </c>
      <c r="L1696" s="1">
        <v>43088</v>
      </c>
      <c r="M1696">
        <v>5.29</v>
      </c>
      <c r="AJ1696" s="1">
        <v>43157</v>
      </c>
      <c r="AL1696">
        <v>9.85</v>
      </c>
      <c r="AM1696" s="6">
        <f t="shared" si="206"/>
        <v>100000</v>
      </c>
      <c r="AN1696" s="2">
        <f t="shared" si="207"/>
        <v>0</v>
      </c>
    </row>
    <row r="1697" spans="4:40" x14ac:dyDescent="0.35">
      <c r="D1697" s="1">
        <v>43175</v>
      </c>
      <c r="E1697">
        <v>3.2898999999999998</v>
      </c>
      <c r="F1697" s="1">
        <v>43140</v>
      </c>
      <c r="G1697">
        <v>121.125</v>
      </c>
      <c r="H1697" s="4">
        <f t="shared" si="204"/>
        <v>398489.13749999995</v>
      </c>
      <c r="I1697" s="5">
        <v>43154</v>
      </c>
      <c r="J1697" s="4">
        <v>4169.97</v>
      </c>
      <c r="K1697" s="4">
        <f t="shared" si="205"/>
        <v>41699.700000000004</v>
      </c>
      <c r="L1697" s="1">
        <v>43087</v>
      </c>
      <c r="M1697">
        <v>5.24</v>
      </c>
      <c r="AJ1697" s="1">
        <v>43154</v>
      </c>
      <c r="AL1697">
        <v>10</v>
      </c>
      <c r="AM1697" s="6">
        <f t="shared" si="206"/>
        <v>100000</v>
      </c>
      <c r="AN1697" s="2">
        <f t="shared" si="207"/>
        <v>0</v>
      </c>
    </row>
    <row r="1698" spans="4:40" x14ac:dyDescent="0.35">
      <c r="D1698" s="1">
        <v>43174</v>
      </c>
      <c r="E1698">
        <v>3.2852999999999999</v>
      </c>
      <c r="F1698" s="1">
        <v>43139</v>
      </c>
      <c r="G1698">
        <v>120.77</v>
      </c>
      <c r="H1698" s="4">
        <f t="shared" si="204"/>
        <v>396765.68099999998</v>
      </c>
      <c r="I1698" s="5">
        <v>43153</v>
      </c>
      <c r="J1698" s="4">
        <v>4182.1899999999996</v>
      </c>
      <c r="K1698" s="4">
        <f t="shared" si="205"/>
        <v>41821.899999999994</v>
      </c>
      <c r="L1698" s="1">
        <v>43084</v>
      </c>
      <c r="M1698">
        <v>5.25</v>
      </c>
      <c r="AJ1698" s="1">
        <v>43153</v>
      </c>
      <c r="AL1698">
        <v>10.15</v>
      </c>
      <c r="AM1698" s="6">
        <f t="shared" si="206"/>
        <v>100000</v>
      </c>
      <c r="AN1698" s="2">
        <f t="shared" si="207"/>
        <v>0</v>
      </c>
    </row>
    <row r="1699" spans="4:40" x14ac:dyDescent="0.35">
      <c r="D1699" s="1">
        <v>43173</v>
      </c>
      <c r="E1699">
        <v>3.2578</v>
      </c>
      <c r="F1699" s="1">
        <v>43138</v>
      </c>
      <c r="G1699">
        <v>121.04</v>
      </c>
      <c r="H1699" s="4">
        <f t="shared" si="204"/>
        <v>394324.11200000002</v>
      </c>
      <c r="I1699" s="5">
        <v>43152</v>
      </c>
      <c r="J1699" s="4">
        <v>4213.71</v>
      </c>
      <c r="K1699" s="4">
        <f t="shared" si="205"/>
        <v>42137.1</v>
      </c>
      <c r="L1699" s="1">
        <v>43083</v>
      </c>
      <c r="M1699">
        <v>5.32</v>
      </c>
      <c r="AJ1699" s="1">
        <v>43152</v>
      </c>
      <c r="AL1699">
        <v>10.199999999999999</v>
      </c>
      <c r="AM1699" s="6">
        <f t="shared" si="206"/>
        <v>100000</v>
      </c>
      <c r="AN1699" s="2">
        <f t="shared" si="207"/>
        <v>0</v>
      </c>
    </row>
    <row r="1700" spans="4:40" x14ac:dyDescent="0.35">
      <c r="D1700" s="1">
        <v>43172</v>
      </c>
      <c r="E1700">
        <v>3.2486000000000002</v>
      </c>
      <c r="F1700" s="1">
        <v>43137</v>
      </c>
      <c r="G1700">
        <v>121.54900000000001</v>
      </c>
      <c r="H1700" s="4">
        <f t="shared" si="204"/>
        <v>394864.08140000002</v>
      </c>
      <c r="I1700" s="5">
        <v>43151</v>
      </c>
      <c r="J1700" s="4">
        <v>4193.7700000000004</v>
      </c>
      <c r="K1700" s="4">
        <f t="shared" si="205"/>
        <v>41937.700000000004</v>
      </c>
      <c r="L1700" s="1">
        <v>43082</v>
      </c>
      <c r="M1700">
        <v>5.26</v>
      </c>
      <c r="AJ1700" s="1">
        <v>43151</v>
      </c>
      <c r="AL1700">
        <v>10.14</v>
      </c>
      <c r="AM1700" s="6">
        <f t="shared" si="206"/>
        <v>100000</v>
      </c>
      <c r="AN1700" s="2">
        <f t="shared" si="207"/>
        <v>0</v>
      </c>
    </row>
    <row r="1701" spans="4:40" x14ac:dyDescent="0.35">
      <c r="D1701" s="1">
        <v>43171</v>
      </c>
      <c r="E1701">
        <v>3.26</v>
      </c>
      <c r="F1701" s="1">
        <v>43136</v>
      </c>
      <c r="G1701">
        <v>121.179</v>
      </c>
      <c r="H1701" s="4">
        <f t="shared" si="204"/>
        <v>395043.54</v>
      </c>
      <c r="I1701" s="5">
        <v>43150</v>
      </c>
      <c r="J1701" s="4">
        <v>4170.6099999999997</v>
      </c>
      <c r="K1701" s="4">
        <f t="shared" si="205"/>
        <v>41706.1</v>
      </c>
      <c r="L1701" s="1">
        <v>43081</v>
      </c>
      <c r="M1701">
        <v>5.3</v>
      </c>
      <c r="AJ1701" s="1">
        <v>43150</v>
      </c>
      <c r="AL1701">
        <v>10.17</v>
      </c>
      <c r="AM1701" s="6">
        <f t="shared" si="206"/>
        <v>100000</v>
      </c>
      <c r="AN1701" s="2">
        <f t="shared" si="207"/>
        <v>0</v>
      </c>
    </row>
    <row r="1702" spans="4:40" x14ac:dyDescent="0.35">
      <c r="D1702" s="1">
        <v>43168</v>
      </c>
      <c r="E1702">
        <v>3.2490000000000001</v>
      </c>
      <c r="F1702" s="1">
        <v>43133</v>
      </c>
      <c r="G1702">
        <v>120.825</v>
      </c>
      <c r="H1702" s="4">
        <f t="shared" si="204"/>
        <v>392560.42499999999</v>
      </c>
      <c r="I1702" s="5">
        <v>43147</v>
      </c>
      <c r="J1702" s="4">
        <v>4161.6099999999997</v>
      </c>
      <c r="K1702" s="4">
        <f t="shared" si="205"/>
        <v>41616.1</v>
      </c>
      <c r="L1702" s="1">
        <v>43080</v>
      </c>
      <c r="M1702">
        <v>5.28</v>
      </c>
      <c r="AJ1702" s="1">
        <v>43147</v>
      </c>
      <c r="AL1702">
        <v>10.15</v>
      </c>
      <c r="AM1702" s="6">
        <f t="shared" si="206"/>
        <v>100000</v>
      </c>
      <c r="AN1702" s="2">
        <f t="shared" si="207"/>
        <v>0</v>
      </c>
    </row>
    <row r="1703" spans="4:40" x14ac:dyDescent="0.35">
      <c r="D1703" s="1">
        <v>43167</v>
      </c>
      <c r="E1703">
        <v>3.2511999999999999</v>
      </c>
      <c r="F1703" s="1">
        <v>43132</v>
      </c>
      <c r="G1703">
        <v>121.34699999999999</v>
      </c>
      <c r="H1703" s="4">
        <f t="shared" si="204"/>
        <v>394523.3664</v>
      </c>
      <c r="I1703" s="5">
        <v>43146</v>
      </c>
      <c r="J1703" s="4">
        <v>4165.47</v>
      </c>
      <c r="K1703" s="4">
        <f t="shared" si="205"/>
        <v>41654.700000000004</v>
      </c>
      <c r="L1703" s="1">
        <v>43077</v>
      </c>
      <c r="M1703">
        <v>5.24</v>
      </c>
      <c r="AJ1703" s="1">
        <v>43146</v>
      </c>
      <c r="AL1703">
        <v>10.199999999999999</v>
      </c>
      <c r="AM1703" s="6">
        <f t="shared" si="206"/>
        <v>100000</v>
      </c>
      <c r="AN1703" s="2">
        <f t="shared" si="207"/>
        <v>0</v>
      </c>
    </row>
    <row r="1704" spans="4:40" x14ac:dyDescent="0.35">
      <c r="D1704" s="1">
        <v>43166</v>
      </c>
      <c r="E1704">
        <v>3.2311999999999999</v>
      </c>
      <c r="F1704" s="1">
        <v>43131</v>
      </c>
      <c r="G1704">
        <v>121.346</v>
      </c>
      <c r="H1704" s="4">
        <f t="shared" si="204"/>
        <v>392093.19519999996</v>
      </c>
      <c r="I1704" s="5">
        <v>43145</v>
      </c>
      <c r="J1704" s="4">
        <v>4148.1000000000004</v>
      </c>
      <c r="K1704" s="4">
        <f t="shared" si="205"/>
        <v>41481</v>
      </c>
      <c r="L1704" s="1">
        <v>43076</v>
      </c>
      <c r="M1704">
        <v>5.29</v>
      </c>
      <c r="AJ1704" s="1">
        <v>43145</v>
      </c>
      <c r="AL1704">
        <v>10.23</v>
      </c>
      <c r="AM1704" s="6">
        <f t="shared" si="206"/>
        <v>100000</v>
      </c>
      <c r="AN1704" s="2">
        <f t="shared" si="207"/>
        <v>0</v>
      </c>
    </row>
    <row r="1705" spans="4:40" x14ac:dyDescent="0.35">
      <c r="D1705" s="1">
        <v>43165</v>
      </c>
      <c r="E1705">
        <v>3.2240000000000002</v>
      </c>
      <c r="F1705" s="1">
        <v>43130</v>
      </c>
      <c r="G1705">
        <v>121.98399999999999</v>
      </c>
      <c r="H1705" s="4">
        <f t="shared" si="204"/>
        <v>393276.41599999997</v>
      </c>
      <c r="I1705" s="5">
        <v>43140</v>
      </c>
      <c r="J1705" s="4">
        <v>4245.87</v>
      </c>
      <c r="K1705" s="4">
        <f t="shared" si="205"/>
        <v>42458.7</v>
      </c>
      <c r="L1705" s="1">
        <v>43075</v>
      </c>
      <c r="M1705">
        <v>5.23</v>
      </c>
      <c r="AJ1705" s="1">
        <v>43140</v>
      </c>
      <c r="AL1705">
        <v>10.26</v>
      </c>
      <c r="AM1705" s="6">
        <f t="shared" si="206"/>
        <v>100000</v>
      </c>
      <c r="AN1705" s="2">
        <f t="shared" si="207"/>
        <v>0</v>
      </c>
    </row>
    <row r="1706" spans="4:40" x14ac:dyDescent="0.35">
      <c r="D1706" s="1">
        <v>43164</v>
      </c>
      <c r="E1706">
        <v>3.2576000000000001</v>
      </c>
      <c r="F1706" s="1">
        <v>43129</v>
      </c>
      <c r="G1706">
        <v>121.79</v>
      </c>
      <c r="H1706" s="4">
        <f t="shared" si="204"/>
        <v>396743.10399999999</v>
      </c>
      <c r="I1706" s="5">
        <v>43139</v>
      </c>
      <c r="J1706" s="4">
        <v>4236.8599999999997</v>
      </c>
      <c r="K1706" s="4">
        <f t="shared" si="205"/>
        <v>42368.6</v>
      </c>
      <c r="L1706" s="1">
        <v>43074</v>
      </c>
      <c r="M1706">
        <v>5.21</v>
      </c>
      <c r="AJ1706" s="1">
        <v>43139</v>
      </c>
      <c r="AL1706">
        <v>10.17</v>
      </c>
      <c r="AM1706" s="6">
        <f t="shared" si="206"/>
        <v>100000</v>
      </c>
      <c r="AN1706" s="2">
        <f t="shared" si="207"/>
        <v>0</v>
      </c>
    </row>
    <row r="1707" spans="4:40" x14ac:dyDescent="0.35">
      <c r="D1707" s="1">
        <v>43161</v>
      </c>
      <c r="E1707">
        <v>3.2608000000000001</v>
      </c>
      <c r="F1707" s="1">
        <v>43126</v>
      </c>
      <c r="G1707">
        <v>121.971</v>
      </c>
      <c r="H1707" s="4">
        <f t="shared" si="204"/>
        <v>397723.03680000006</v>
      </c>
      <c r="I1707" s="5">
        <v>43138</v>
      </c>
      <c r="J1707" s="4">
        <v>4219.5</v>
      </c>
      <c r="K1707" s="4">
        <f t="shared" si="205"/>
        <v>42195</v>
      </c>
      <c r="L1707" s="1">
        <v>43073</v>
      </c>
      <c r="M1707">
        <v>5.24</v>
      </c>
      <c r="AJ1707" s="1">
        <v>43138</v>
      </c>
      <c r="AL1707">
        <v>10.08</v>
      </c>
      <c r="AM1707" s="6">
        <f t="shared" si="206"/>
        <v>100000</v>
      </c>
      <c r="AN1707" s="2">
        <f t="shared" si="207"/>
        <v>0</v>
      </c>
    </row>
    <row r="1708" spans="4:40" x14ac:dyDescent="0.35">
      <c r="D1708" s="1">
        <v>43160</v>
      </c>
      <c r="E1708">
        <v>3.2614000000000001</v>
      </c>
      <c r="F1708" s="1">
        <v>43124</v>
      </c>
      <c r="G1708">
        <v>122.15900000000001</v>
      </c>
      <c r="H1708" s="4">
        <f t="shared" si="204"/>
        <v>398409.36259999999</v>
      </c>
      <c r="I1708" s="5">
        <v>43137</v>
      </c>
      <c r="J1708" s="4">
        <v>4171.8999999999996</v>
      </c>
      <c r="K1708" s="4">
        <f t="shared" si="205"/>
        <v>41719</v>
      </c>
      <c r="L1708" s="1">
        <v>43070</v>
      </c>
      <c r="M1708">
        <v>5.24</v>
      </c>
      <c r="AJ1708" s="1">
        <v>43137</v>
      </c>
      <c r="AL1708">
        <v>10.1</v>
      </c>
      <c r="AM1708" s="6">
        <f t="shared" si="206"/>
        <v>100000</v>
      </c>
      <c r="AN1708" s="2">
        <f t="shared" si="207"/>
        <v>0</v>
      </c>
    </row>
    <row r="1709" spans="4:40" x14ac:dyDescent="0.35">
      <c r="D1709" s="1">
        <v>43159</v>
      </c>
      <c r="E1709">
        <v>3.2443</v>
      </c>
      <c r="F1709" s="1">
        <v>43123</v>
      </c>
      <c r="G1709">
        <v>122.45099999999999</v>
      </c>
      <c r="H1709" s="4">
        <f t="shared" si="204"/>
        <v>397267.77929999999</v>
      </c>
      <c r="I1709" s="5">
        <v>43136</v>
      </c>
      <c r="J1709" s="4">
        <v>4209.2</v>
      </c>
      <c r="K1709" s="4">
        <f t="shared" si="205"/>
        <v>42092</v>
      </c>
      <c r="L1709" s="1">
        <v>43069</v>
      </c>
      <c r="M1709">
        <v>5.24</v>
      </c>
      <c r="AJ1709" s="1">
        <v>43136</v>
      </c>
      <c r="AL1709">
        <v>10.19</v>
      </c>
      <c r="AM1709" s="6">
        <f t="shared" si="206"/>
        <v>100000</v>
      </c>
      <c r="AN1709" s="2">
        <f t="shared" si="207"/>
        <v>0</v>
      </c>
    </row>
    <row r="1710" spans="4:40" x14ac:dyDescent="0.35">
      <c r="D1710" s="1">
        <v>43158</v>
      </c>
      <c r="E1710">
        <v>3.2376999999999998</v>
      </c>
      <c r="F1710" s="1">
        <v>43122</v>
      </c>
      <c r="G1710">
        <v>122.172</v>
      </c>
      <c r="H1710" s="4">
        <f t="shared" si="204"/>
        <v>395556.2844</v>
      </c>
      <c r="I1710" s="5">
        <v>43133</v>
      </c>
      <c r="J1710" s="4">
        <v>4155.82</v>
      </c>
      <c r="K1710" s="4">
        <f t="shared" si="205"/>
        <v>41558.199999999997</v>
      </c>
      <c r="L1710" s="1">
        <v>43068</v>
      </c>
      <c r="M1710">
        <v>5.0999999999999996</v>
      </c>
      <c r="AJ1710" s="1">
        <v>43133</v>
      </c>
      <c r="AL1710">
        <v>10.130000000000001</v>
      </c>
      <c r="AM1710" s="6">
        <f t="shared" si="206"/>
        <v>100000</v>
      </c>
      <c r="AN1710" s="2">
        <f t="shared" si="207"/>
        <v>0</v>
      </c>
    </row>
    <row r="1711" spans="4:40" x14ac:dyDescent="0.35">
      <c r="D1711" s="1">
        <v>43157</v>
      </c>
      <c r="E1711">
        <v>3.2345000000000002</v>
      </c>
      <c r="F1711" s="1">
        <v>43119</v>
      </c>
      <c r="G1711">
        <v>122.399</v>
      </c>
      <c r="H1711" s="4">
        <f t="shared" si="204"/>
        <v>395899.56549999997</v>
      </c>
      <c r="I1711" s="5">
        <v>43132</v>
      </c>
      <c r="J1711" s="4">
        <v>4087.64</v>
      </c>
      <c r="K1711" s="4">
        <f t="shared" si="205"/>
        <v>40876.400000000001</v>
      </c>
      <c r="L1711" s="1">
        <v>43067</v>
      </c>
      <c r="M1711">
        <v>5.08</v>
      </c>
      <c r="AJ1711" s="1">
        <v>43132</v>
      </c>
      <c r="AL1711">
        <v>10.01</v>
      </c>
      <c r="AM1711" s="6">
        <f t="shared" si="206"/>
        <v>100000</v>
      </c>
      <c r="AN1711" s="2">
        <f t="shared" si="207"/>
        <v>0</v>
      </c>
    </row>
    <row r="1712" spans="4:40" x14ac:dyDescent="0.35">
      <c r="D1712" s="1">
        <v>43154</v>
      </c>
      <c r="E1712">
        <v>3.2410999999999999</v>
      </c>
      <c r="F1712" s="1">
        <v>43118</v>
      </c>
      <c r="G1712">
        <v>122.54</v>
      </c>
      <c r="H1712" s="4">
        <f t="shared" si="204"/>
        <v>397164.39400000003</v>
      </c>
      <c r="I1712" s="5">
        <v>43131</v>
      </c>
      <c r="J1712" s="4">
        <v>4111.4399999999996</v>
      </c>
      <c r="K1712" s="4">
        <f t="shared" si="205"/>
        <v>41114.399999999994</v>
      </c>
      <c r="L1712" s="1">
        <v>43066</v>
      </c>
      <c r="M1712">
        <v>5.0999999999999996</v>
      </c>
      <c r="AJ1712" s="1">
        <v>43131</v>
      </c>
      <c r="AL1712">
        <v>10.07</v>
      </c>
      <c r="AM1712" s="6">
        <f t="shared" si="206"/>
        <v>100000</v>
      </c>
      <c r="AN1712" s="2">
        <f t="shared" si="207"/>
        <v>0</v>
      </c>
    </row>
    <row r="1713" spans="4:40" x14ac:dyDescent="0.35">
      <c r="D1713" s="1">
        <v>43153</v>
      </c>
      <c r="E1713">
        <v>3.2591999999999999</v>
      </c>
      <c r="F1713" s="1">
        <v>43117</v>
      </c>
      <c r="G1713">
        <v>122.70399999999999</v>
      </c>
      <c r="H1713" s="4">
        <f t="shared" si="204"/>
        <v>399916.87679999997</v>
      </c>
      <c r="I1713" s="5">
        <v>43130</v>
      </c>
      <c r="J1713" s="4">
        <v>4106.93</v>
      </c>
      <c r="K1713" s="4">
        <f t="shared" si="205"/>
        <v>41069.300000000003</v>
      </c>
      <c r="L1713" s="1">
        <v>43063</v>
      </c>
      <c r="M1713">
        <v>5.1100000000000003</v>
      </c>
      <c r="AJ1713" s="1">
        <v>43130</v>
      </c>
      <c r="AL1713">
        <v>10.15</v>
      </c>
      <c r="AM1713" s="6">
        <f t="shared" si="206"/>
        <v>100000</v>
      </c>
      <c r="AN1713" s="2">
        <f t="shared" si="207"/>
        <v>0</v>
      </c>
    </row>
    <row r="1714" spans="4:40" x14ac:dyDescent="0.35">
      <c r="D1714" s="1">
        <v>43152</v>
      </c>
      <c r="E1714">
        <v>3.2549000000000001</v>
      </c>
      <c r="F1714" s="1">
        <v>43116</v>
      </c>
      <c r="G1714">
        <v>123.078</v>
      </c>
      <c r="H1714" s="4">
        <f t="shared" si="204"/>
        <v>400606.58220000006</v>
      </c>
      <c r="I1714" s="5">
        <v>43129</v>
      </c>
      <c r="J1714" s="4">
        <v>4075.31</v>
      </c>
      <c r="K1714" s="4">
        <f t="shared" si="205"/>
        <v>40753.1</v>
      </c>
      <c r="L1714" s="1">
        <v>43062</v>
      </c>
      <c r="M1714">
        <v>5.05</v>
      </c>
      <c r="AJ1714" s="1">
        <v>43129</v>
      </c>
      <c r="AL1714">
        <v>10.16</v>
      </c>
      <c r="AM1714" s="6">
        <f t="shared" si="206"/>
        <v>100000</v>
      </c>
      <c r="AN1714" s="2">
        <f t="shared" si="207"/>
        <v>0</v>
      </c>
    </row>
    <row r="1715" spans="4:40" x14ac:dyDescent="0.35">
      <c r="D1715" s="1">
        <v>43151</v>
      </c>
      <c r="E1715">
        <v>3.2501000000000002</v>
      </c>
      <c r="F1715" s="1">
        <v>43115</v>
      </c>
      <c r="G1715">
        <v>122.875</v>
      </c>
      <c r="H1715" s="4">
        <f t="shared" si="204"/>
        <v>399356.03750000003</v>
      </c>
      <c r="I1715" s="5">
        <v>43126</v>
      </c>
      <c r="J1715" s="4">
        <v>4072.08</v>
      </c>
      <c r="K1715" s="4">
        <f t="shared" si="205"/>
        <v>40720.800000000003</v>
      </c>
      <c r="L1715" s="1">
        <v>43060</v>
      </c>
      <c r="M1715">
        <v>5.08</v>
      </c>
      <c r="AJ1715" s="1">
        <v>43126</v>
      </c>
      <c r="AL1715">
        <v>10.09</v>
      </c>
      <c r="AM1715" s="6">
        <f t="shared" si="206"/>
        <v>100000</v>
      </c>
      <c r="AN1715" s="2">
        <f t="shared" si="207"/>
        <v>0</v>
      </c>
    </row>
    <row r="1716" spans="4:40" x14ac:dyDescent="0.35">
      <c r="D1716" s="1">
        <v>43150</v>
      </c>
      <c r="E1716">
        <v>3.2341000000000002</v>
      </c>
      <c r="F1716" s="1">
        <v>43112</v>
      </c>
      <c r="G1716">
        <v>122.846</v>
      </c>
      <c r="H1716" s="4">
        <f t="shared" si="204"/>
        <v>397296.24859999999</v>
      </c>
      <c r="I1716" s="5">
        <v>43124</v>
      </c>
      <c r="J1716" s="4">
        <v>4065.63</v>
      </c>
      <c r="K1716" s="4">
        <f t="shared" si="205"/>
        <v>40656.300000000003</v>
      </c>
      <c r="L1716" s="1">
        <v>43056</v>
      </c>
      <c r="M1716">
        <v>5.15</v>
      </c>
      <c r="AJ1716" s="1">
        <v>43124</v>
      </c>
      <c r="AL1716">
        <v>10.14</v>
      </c>
      <c r="AM1716" s="6">
        <f t="shared" si="206"/>
        <v>100000</v>
      </c>
      <c r="AN1716" s="2">
        <f t="shared" si="207"/>
        <v>0</v>
      </c>
    </row>
    <row r="1717" spans="4:40" x14ac:dyDescent="0.35">
      <c r="D1717" s="1">
        <v>43147</v>
      </c>
      <c r="E1717">
        <v>3.2374999999999998</v>
      </c>
      <c r="F1717" s="1">
        <v>43111</v>
      </c>
      <c r="G1717">
        <v>122.973</v>
      </c>
      <c r="H1717" s="4">
        <f t="shared" si="204"/>
        <v>398125.08749999997</v>
      </c>
      <c r="I1717" s="5">
        <v>43123</v>
      </c>
      <c r="J1717" s="4">
        <v>4183.7299999999996</v>
      </c>
      <c r="K1717" s="4">
        <f t="shared" si="205"/>
        <v>41837.299999999996</v>
      </c>
      <c r="L1717" s="1">
        <v>43055</v>
      </c>
      <c r="M1717">
        <v>5.19</v>
      </c>
      <c r="AJ1717" s="1">
        <v>43123</v>
      </c>
      <c r="AL1717">
        <v>10.43</v>
      </c>
      <c r="AM1717" s="6">
        <f t="shared" si="206"/>
        <v>100000</v>
      </c>
      <c r="AN1717" s="2">
        <f t="shared" si="207"/>
        <v>0</v>
      </c>
    </row>
    <row r="1718" spans="4:40" x14ac:dyDescent="0.35">
      <c r="D1718" s="1">
        <v>43146</v>
      </c>
      <c r="E1718">
        <v>3.2202000000000002</v>
      </c>
      <c r="F1718" s="1">
        <v>43110</v>
      </c>
      <c r="G1718">
        <v>122.926</v>
      </c>
      <c r="H1718" s="4">
        <f t="shared" si="204"/>
        <v>395846.3052</v>
      </c>
      <c r="I1718" s="5">
        <v>43122</v>
      </c>
      <c r="J1718" s="4">
        <v>4139.2</v>
      </c>
      <c r="K1718" s="4">
        <f t="shared" si="205"/>
        <v>41392</v>
      </c>
      <c r="L1718" s="1">
        <v>43053</v>
      </c>
      <c r="M1718">
        <v>5.29</v>
      </c>
      <c r="AJ1718" s="1">
        <v>43122</v>
      </c>
      <c r="AL1718">
        <v>10.31</v>
      </c>
      <c r="AM1718" s="6">
        <f t="shared" si="206"/>
        <v>100000</v>
      </c>
      <c r="AN1718" s="2">
        <f t="shared" si="207"/>
        <v>0</v>
      </c>
    </row>
    <row r="1719" spans="4:40" x14ac:dyDescent="0.35">
      <c r="D1719" s="1">
        <v>43145</v>
      </c>
      <c r="E1719">
        <v>3.2530999999999999</v>
      </c>
      <c r="F1719" s="1">
        <v>43109</v>
      </c>
      <c r="G1719">
        <v>123.17</v>
      </c>
      <c r="H1719" s="4">
        <f t="shared" si="204"/>
        <v>400684.32699999999</v>
      </c>
      <c r="I1719" s="5">
        <v>43119</v>
      </c>
      <c r="J1719" s="4">
        <v>4131.46</v>
      </c>
      <c r="K1719" s="4">
        <f t="shared" si="205"/>
        <v>41314.6</v>
      </c>
      <c r="L1719" s="1">
        <v>43052</v>
      </c>
      <c r="M1719">
        <v>5.24</v>
      </c>
      <c r="AJ1719" s="1">
        <v>43119</v>
      </c>
      <c r="AL1719">
        <v>10.3</v>
      </c>
      <c r="AM1719" s="6">
        <f t="shared" si="206"/>
        <v>100000</v>
      </c>
      <c r="AN1719" s="2">
        <f t="shared" si="207"/>
        <v>0</v>
      </c>
    </row>
    <row r="1720" spans="4:40" x14ac:dyDescent="0.35">
      <c r="D1720" s="1">
        <v>43140</v>
      </c>
      <c r="E1720">
        <v>3.2814999999999999</v>
      </c>
      <c r="F1720" s="1">
        <v>43108</v>
      </c>
      <c r="G1720">
        <v>123.54600000000001</v>
      </c>
      <c r="H1720" s="4">
        <f t="shared" si="204"/>
        <v>405416.19900000002</v>
      </c>
      <c r="I1720" s="5">
        <v>43118</v>
      </c>
      <c r="J1720" s="4">
        <v>4146.3</v>
      </c>
      <c r="K1720" s="4">
        <f t="shared" si="205"/>
        <v>41463</v>
      </c>
      <c r="L1720" s="1">
        <v>43049</v>
      </c>
      <c r="M1720">
        <v>5.19</v>
      </c>
      <c r="AJ1720" s="1">
        <v>43118</v>
      </c>
      <c r="AL1720">
        <v>10.24</v>
      </c>
      <c r="AM1720" s="6">
        <f t="shared" si="206"/>
        <v>100000</v>
      </c>
      <c r="AN1720" s="2">
        <f t="shared" si="207"/>
        <v>0</v>
      </c>
    </row>
    <row r="1721" spans="4:40" x14ac:dyDescent="0.35">
      <c r="D1721" s="1">
        <v>43139</v>
      </c>
      <c r="E1721">
        <v>3.2686000000000002</v>
      </c>
      <c r="F1721" s="1">
        <v>43105</v>
      </c>
      <c r="G1721">
        <v>123.529</v>
      </c>
      <c r="H1721" s="4">
        <f t="shared" si="204"/>
        <v>403766.88940000004</v>
      </c>
      <c r="I1721" s="5">
        <v>43117</v>
      </c>
      <c r="J1721" s="4">
        <v>4169.53</v>
      </c>
      <c r="K1721" s="4">
        <f t="shared" si="205"/>
        <v>41695.299999999996</v>
      </c>
      <c r="L1721" s="1">
        <v>43048</v>
      </c>
      <c r="M1721">
        <v>5.17</v>
      </c>
      <c r="AJ1721" s="1">
        <v>43117</v>
      </c>
      <c r="AL1721">
        <v>10.34</v>
      </c>
      <c r="AM1721" s="6">
        <f t="shared" si="206"/>
        <v>100000</v>
      </c>
      <c r="AN1721" s="2">
        <f t="shared" si="207"/>
        <v>0</v>
      </c>
    </row>
    <row r="1722" spans="4:40" x14ac:dyDescent="0.35">
      <c r="D1722" s="1">
        <v>43138</v>
      </c>
      <c r="E1722">
        <v>3.2461000000000002</v>
      </c>
      <c r="F1722" s="1">
        <v>43104</v>
      </c>
      <c r="G1722">
        <v>123.70099999999999</v>
      </c>
      <c r="H1722" s="4">
        <f t="shared" si="204"/>
        <v>401545.8161</v>
      </c>
      <c r="I1722" s="5">
        <v>43116</v>
      </c>
      <c r="J1722" s="4">
        <v>4169.53</v>
      </c>
      <c r="K1722" s="4">
        <f t="shared" si="205"/>
        <v>41695.299999999996</v>
      </c>
      <c r="L1722" s="1">
        <v>43046</v>
      </c>
      <c r="M1722">
        <v>5.21</v>
      </c>
      <c r="AJ1722" s="1">
        <v>43116</v>
      </c>
      <c r="AL1722">
        <v>10.36</v>
      </c>
      <c r="AM1722" s="6">
        <f t="shared" si="206"/>
        <v>100000</v>
      </c>
      <c r="AN1722" s="2">
        <f t="shared" si="207"/>
        <v>0</v>
      </c>
    </row>
    <row r="1723" spans="4:40" x14ac:dyDescent="0.35">
      <c r="D1723" s="1">
        <v>43137</v>
      </c>
      <c r="E1723">
        <v>3.2606999999999999</v>
      </c>
      <c r="F1723" s="1">
        <v>43103</v>
      </c>
      <c r="G1723">
        <v>123.873</v>
      </c>
      <c r="H1723" s="4">
        <f t="shared" si="204"/>
        <v>403912.6911</v>
      </c>
      <c r="I1723" s="5">
        <v>43115</v>
      </c>
      <c r="J1723" s="4">
        <v>4160.5</v>
      </c>
      <c r="K1723" s="4">
        <f t="shared" si="205"/>
        <v>41605</v>
      </c>
      <c r="L1723" s="1">
        <v>43045</v>
      </c>
      <c r="M1723">
        <v>5.17</v>
      </c>
      <c r="AJ1723" s="1">
        <v>43115</v>
      </c>
      <c r="AL1723">
        <v>10.35</v>
      </c>
      <c r="AM1723" s="6">
        <f t="shared" si="206"/>
        <v>100000</v>
      </c>
      <c r="AN1723" s="2">
        <f t="shared" si="207"/>
        <v>0</v>
      </c>
    </row>
    <row r="1724" spans="4:40" x14ac:dyDescent="0.35">
      <c r="D1724" s="1">
        <v>43136</v>
      </c>
      <c r="E1724">
        <v>3.2349000000000001</v>
      </c>
      <c r="F1724" s="1">
        <v>43102</v>
      </c>
      <c r="G1724">
        <v>123.64700000000001</v>
      </c>
      <c r="H1724" s="4">
        <f t="shared" si="204"/>
        <v>399985.68030000001</v>
      </c>
      <c r="I1724" s="5">
        <v>43112</v>
      </c>
      <c r="J1724" s="4">
        <v>4147.59</v>
      </c>
      <c r="K1724" s="4">
        <f t="shared" si="205"/>
        <v>41475.9</v>
      </c>
      <c r="L1724" s="1">
        <v>43042</v>
      </c>
      <c r="M1724">
        <v>5.14</v>
      </c>
      <c r="AJ1724" s="1">
        <v>43112</v>
      </c>
      <c r="AL1724">
        <v>10.29</v>
      </c>
      <c r="AM1724" s="6">
        <f t="shared" si="206"/>
        <v>100000</v>
      </c>
      <c r="AN1724" s="2">
        <f t="shared" si="207"/>
        <v>0</v>
      </c>
    </row>
    <row r="1725" spans="4:40" x14ac:dyDescent="0.35">
      <c r="D1725" s="1">
        <v>43133</v>
      </c>
      <c r="E1725">
        <v>3.2054</v>
      </c>
      <c r="F1725" s="1">
        <v>43097</v>
      </c>
      <c r="G1725">
        <v>123.872</v>
      </c>
      <c r="H1725" s="4">
        <f t="shared" si="204"/>
        <v>397059.3088</v>
      </c>
      <c r="I1725" s="5">
        <v>43111</v>
      </c>
      <c r="J1725" s="4">
        <v>4159.8500000000004</v>
      </c>
      <c r="K1725" s="4">
        <f t="shared" si="205"/>
        <v>41598.5</v>
      </c>
      <c r="L1725" s="1">
        <v>43040</v>
      </c>
      <c r="M1725">
        <v>5.08</v>
      </c>
      <c r="AJ1725" s="1">
        <v>43111</v>
      </c>
      <c r="AL1725">
        <v>10.36</v>
      </c>
      <c r="AM1725" s="6">
        <f t="shared" si="206"/>
        <v>100000</v>
      </c>
      <c r="AN1725" s="2">
        <f t="shared" si="207"/>
        <v>0</v>
      </c>
    </row>
    <row r="1726" spans="4:40" x14ac:dyDescent="0.35">
      <c r="D1726" s="1">
        <v>43132</v>
      </c>
      <c r="E1726">
        <v>3.1724000000000001</v>
      </c>
      <c r="F1726" s="1">
        <v>43096</v>
      </c>
      <c r="G1726">
        <v>123.956</v>
      </c>
      <c r="H1726" s="4">
        <f t="shared" si="204"/>
        <v>393238.01439999999</v>
      </c>
      <c r="I1726" s="5">
        <v>43110</v>
      </c>
      <c r="J1726" s="4">
        <v>4179.21</v>
      </c>
      <c r="K1726" s="4">
        <f t="shared" si="205"/>
        <v>41792.1</v>
      </c>
      <c r="L1726" s="1">
        <v>43039</v>
      </c>
      <c r="M1726">
        <v>4.99</v>
      </c>
      <c r="AJ1726" s="1">
        <v>43110</v>
      </c>
      <c r="AL1726">
        <v>10.44</v>
      </c>
      <c r="AM1726" s="6">
        <f t="shared" si="206"/>
        <v>100000</v>
      </c>
      <c r="AN1726" s="2">
        <f t="shared" si="207"/>
        <v>0</v>
      </c>
    </row>
    <row r="1727" spans="4:40" x14ac:dyDescent="0.35">
      <c r="D1727" s="1">
        <v>43131</v>
      </c>
      <c r="E1727">
        <v>3.1617999999999999</v>
      </c>
      <c r="F1727" s="1">
        <v>43095</v>
      </c>
      <c r="G1727">
        <v>123.655</v>
      </c>
      <c r="H1727" s="4">
        <f t="shared" si="204"/>
        <v>390972.37900000002</v>
      </c>
      <c r="I1727" s="5">
        <v>43109</v>
      </c>
      <c r="J1727" s="4">
        <v>4206.96</v>
      </c>
      <c r="K1727" s="4">
        <f t="shared" si="205"/>
        <v>42069.599999999999</v>
      </c>
      <c r="L1727" s="1">
        <v>43038</v>
      </c>
      <c r="M1727">
        <v>4.99</v>
      </c>
      <c r="AJ1727" s="1">
        <v>43109</v>
      </c>
      <c r="AL1727">
        <v>10.46</v>
      </c>
      <c r="AM1727" s="6">
        <f t="shared" si="206"/>
        <v>100000</v>
      </c>
      <c r="AN1727" s="2">
        <f t="shared" si="207"/>
        <v>0</v>
      </c>
    </row>
    <row r="1728" spans="4:40" x14ac:dyDescent="0.35">
      <c r="D1728" s="1">
        <v>43130</v>
      </c>
      <c r="E1728">
        <v>3.1655000000000002</v>
      </c>
      <c r="F1728" s="1">
        <v>43090</v>
      </c>
      <c r="G1728">
        <v>123.444</v>
      </c>
      <c r="H1728" s="4">
        <f t="shared" si="204"/>
        <v>390761.98200000002</v>
      </c>
      <c r="I1728" s="5">
        <v>43108</v>
      </c>
      <c r="J1728" s="4">
        <v>4195.99</v>
      </c>
      <c r="K1728" s="4">
        <f t="shared" si="205"/>
        <v>41959.899999999994</v>
      </c>
      <c r="L1728" s="1">
        <v>43035</v>
      </c>
      <c r="M1728">
        <v>4.96</v>
      </c>
      <c r="AJ1728" s="1">
        <v>43108</v>
      </c>
      <c r="AL1728">
        <v>10.45</v>
      </c>
      <c r="AM1728" s="6">
        <f t="shared" si="206"/>
        <v>100000</v>
      </c>
      <c r="AN1728" s="2">
        <f t="shared" si="207"/>
        <v>0</v>
      </c>
    </row>
    <row r="1729" spans="4:40" x14ac:dyDescent="0.35">
      <c r="D1729" s="1">
        <v>43129</v>
      </c>
      <c r="E1729">
        <v>3.1648000000000001</v>
      </c>
      <c r="F1729" s="1">
        <v>43089</v>
      </c>
      <c r="G1729">
        <v>123.49</v>
      </c>
      <c r="H1729" s="4">
        <f t="shared" si="204"/>
        <v>390821.152</v>
      </c>
      <c r="I1729" s="5">
        <v>43105</v>
      </c>
      <c r="J1729" s="4">
        <v>4181.1499999999996</v>
      </c>
      <c r="K1729" s="4">
        <f t="shared" si="205"/>
        <v>41811.5</v>
      </c>
      <c r="L1729" s="1">
        <v>43034</v>
      </c>
      <c r="M1729">
        <v>4.8099999999999996</v>
      </c>
      <c r="AJ1729" s="1">
        <v>43105</v>
      </c>
      <c r="AL1729">
        <v>10.52</v>
      </c>
      <c r="AM1729" s="6">
        <f t="shared" si="206"/>
        <v>100000</v>
      </c>
      <c r="AN1729" s="2">
        <f t="shared" si="207"/>
        <v>0</v>
      </c>
    </row>
    <row r="1730" spans="4:40" x14ac:dyDescent="0.35">
      <c r="D1730" s="1">
        <v>43126</v>
      </c>
      <c r="E1730">
        <v>3.1444000000000001</v>
      </c>
      <c r="F1730" s="1">
        <v>43088</v>
      </c>
      <c r="G1730">
        <v>123.69499999999999</v>
      </c>
      <c r="H1730" s="4">
        <f t="shared" si="204"/>
        <v>388946.55799999996</v>
      </c>
      <c r="I1730" s="5">
        <v>43104</v>
      </c>
      <c r="J1730" s="4">
        <v>4189.54</v>
      </c>
      <c r="K1730" s="4">
        <f t="shared" si="205"/>
        <v>41895.4</v>
      </c>
      <c r="L1730" s="1">
        <v>43027</v>
      </c>
      <c r="M1730">
        <v>4.7300000000000004</v>
      </c>
      <c r="AJ1730" s="1">
        <v>43104</v>
      </c>
      <c r="AL1730">
        <v>10.5</v>
      </c>
      <c r="AM1730" s="6">
        <f t="shared" si="206"/>
        <v>100000</v>
      </c>
      <c r="AN1730" s="2">
        <f t="shared" si="207"/>
        <v>0</v>
      </c>
    </row>
    <row r="1731" spans="4:40" x14ac:dyDescent="0.35">
      <c r="D1731" s="1">
        <v>43125</v>
      </c>
      <c r="E1731">
        <v>3.1379999999999999</v>
      </c>
      <c r="F1731" s="1">
        <v>43087</v>
      </c>
      <c r="G1731">
        <v>124.20099999999999</v>
      </c>
      <c r="H1731" s="4">
        <f t="shared" si="204"/>
        <v>389742.73799999995</v>
      </c>
      <c r="I1731" s="5">
        <v>43103</v>
      </c>
      <c r="J1731" s="4">
        <v>4191.47</v>
      </c>
      <c r="K1731" s="4">
        <f t="shared" si="205"/>
        <v>41914.700000000004</v>
      </c>
      <c r="L1731" s="1">
        <v>43026</v>
      </c>
      <c r="M1731">
        <v>4.75</v>
      </c>
      <c r="AJ1731" s="1">
        <v>43103</v>
      </c>
      <c r="AL1731">
        <v>10.49</v>
      </c>
      <c r="AM1731" s="6">
        <f t="shared" si="206"/>
        <v>100000</v>
      </c>
      <c r="AN1731" s="2">
        <f t="shared" si="207"/>
        <v>0</v>
      </c>
    </row>
    <row r="1732" spans="4:40" x14ac:dyDescent="0.35">
      <c r="D1732" s="1">
        <v>43124</v>
      </c>
      <c r="E1732">
        <v>3.1964000000000001</v>
      </c>
      <c r="F1732" s="1">
        <v>43083</v>
      </c>
      <c r="G1732">
        <v>124.6</v>
      </c>
      <c r="H1732" s="4">
        <f t="shared" ref="H1732:H1795" si="208">G1732*E1732*1000</f>
        <v>398271.44</v>
      </c>
      <c r="I1732" s="5">
        <v>43102</v>
      </c>
      <c r="J1732" s="4">
        <v>4221.16</v>
      </c>
      <c r="K1732" s="4">
        <f t="shared" si="205"/>
        <v>42211.6</v>
      </c>
      <c r="L1732" s="1">
        <v>43025</v>
      </c>
      <c r="M1732">
        <v>4.8099999999999996</v>
      </c>
      <c r="AJ1732" s="1">
        <v>43102</v>
      </c>
      <c r="AL1732">
        <v>10.53</v>
      </c>
      <c r="AM1732" s="6">
        <f t="shared" si="206"/>
        <v>100000</v>
      </c>
      <c r="AN1732" s="2">
        <f t="shared" si="207"/>
        <v>0</v>
      </c>
    </row>
    <row r="1733" spans="4:40" x14ac:dyDescent="0.35">
      <c r="D1733" s="1">
        <v>43123</v>
      </c>
      <c r="E1733">
        <v>3.2242999999999999</v>
      </c>
      <c r="F1733" s="1">
        <v>43082</v>
      </c>
      <c r="G1733">
        <v>124.578</v>
      </c>
      <c r="H1733" s="4">
        <f t="shared" si="208"/>
        <v>401676.84539999999</v>
      </c>
      <c r="I1733" s="5">
        <v>43097</v>
      </c>
      <c r="J1733" s="4">
        <v>4296.66</v>
      </c>
      <c r="K1733" s="4">
        <f t="shared" ref="K1733:K1796" si="209">J1733*10</f>
        <v>42966.6</v>
      </c>
      <c r="L1733" s="1">
        <v>43021</v>
      </c>
      <c r="M1733">
        <v>4.82</v>
      </c>
      <c r="AJ1733" s="1">
        <v>43097</v>
      </c>
      <c r="AL1733">
        <v>10.71</v>
      </c>
      <c r="AM1733" s="6">
        <f t="shared" ref="AM1733:AM1796" si="210">$Z$2/(1+AL1733/100)^(AK1733/252)</f>
        <v>100000</v>
      </c>
      <c r="AN1733" s="2">
        <f t="shared" ref="AN1733:AN1796" si="211">LOG(AM1733/AM1734)</f>
        <v>0</v>
      </c>
    </row>
    <row r="1734" spans="4:40" x14ac:dyDescent="0.35">
      <c r="D1734" s="1">
        <v>43122</v>
      </c>
      <c r="E1734">
        <v>3.1928000000000001</v>
      </c>
      <c r="F1734" s="1">
        <v>43081</v>
      </c>
      <c r="G1734">
        <v>123.99299999999999</v>
      </c>
      <c r="H1734" s="4">
        <f t="shared" si="208"/>
        <v>395884.8504</v>
      </c>
      <c r="I1734" s="5">
        <v>43096</v>
      </c>
      <c r="J1734" s="4">
        <v>4299.8900000000003</v>
      </c>
      <c r="K1734" s="4">
        <f t="shared" si="209"/>
        <v>42998.9</v>
      </c>
      <c r="L1734" s="1">
        <v>43018</v>
      </c>
      <c r="M1734">
        <v>4.79</v>
      </c>
      <c r="AJ1734" s="1">
        <v>43096</v>
      </c>
      <c r="AL1734">
        <v>10.79</v>
      </c>
      <c r="AM1734" s="6">
        <f t="shared" si="210"/>
        <v>100000</v>
      </c>
      <c r="AN1734" s="2">
        <f t="shared" si="211"/>
        <v>0</v>
      </c>
    </row>
    <row r="1735" spans="4:40" x14ac:dyDescent="0.35">
      <c r="D1735" s="1">
        <v>43119</v>
      </c>
      <c r="E1735">
        <v>3.2081</v>
      </c>
      <c r="F1735" s="1">
        <v>43080</v>
      </c>
      <c r="G1735">
        <v>124.339</v>
      </c>
      <c r="H1735" s="4">
        <f t="shared" si="208"/>
        <v>398891.94589999999</v>
      </c>
      <c r="I1735" s="5">
        <v>43095</v>
      </c>
      <c r="J1735" s="4">
        <v>4292.76</v>
      </c>
      <c r="K1735" s="4">
        <f t="shared" si="209"/>
        <v>42927.600000000006</v>
      </c>
      <c r="L1735" s="1">
        <v>43017</v>
      </c>
      <c r="M1735">
        <v>4.83</v>
      </c>
      <c r="AJ1735" s="1">
        <v>43095</v>
      </c>
      <c r="AL1735">
        <v>10.72</v>
      </c>
      <c r="AM1735" s="6">
        <f t="shared" si="210"/>
        <v>100000</v>
      </c>
      <c r="AN1735" s="2">
        <f t="shared" si="211"/>
        <v>0</v>
      </c>
    </row>
    <row r="1736" spans="4:40" x14ac:dyDescent="0.35">
      <c r="D1736" s="1">
        <v>43118</v>
      </c>
      <c r="E1736">
        <v>3.2122999999999999</v>
      </c>
      <c r="F1736" s="1">
        <v>43077</v>
      </c>
      <c r="G1736">
        <v>124.3</v>
      </c>
      <c r="H1736" s="4">
        <f t="shared" si="208"/>
        <v>399288.88999999996</v>
      </c>
      <c r="I1736" s="5">
        <v>43091</v>
      </c>
      <c r="J1736" s="4">
        <v>4328.42</v>
      </c>
      <c r="K1736" s="4">
        <f t="shared" si="209"/>
        <v>43284.2</v>
      </c>
      <c r="L1736" s="1">
        <v>43014</v>
      </c>
      <c r="M1736">
        <v>4.8</v>
      </c>
      <c r="AJ1736" s="1">
        <v>43091</v>
      </c>
      <c r="AL1736">
        <v>10.83</v>
      </c>
      <c r="AM1736" s="6">
        <f t="shared" si="210"/>
        <v>100000</v>
      </c>
      <c r="AN1736" s="2">
        <f t="shared" si="211"/>
        <v>0</v>
      </c>
    </row>
    <row r="1737" spans="4:40" x14ac:dyDescent="0.35">
      <c r="D1737" s="1">
        <v>43117</v>
      </c>
      <c r="E1737">
        <v>3.2317999999999998</v>
      </c>
      <c r="F1737" s="1">
        <v>43076</v>
      </c>
      <c r="G1737">
        <v>124.319</v>
      </c>
      <c r="H1737" s="4">
        <f t="shared" si="208"/>
        <v>401774.14419999998</v>
      </c>
      <c r="I1737" s="5">
        <v>43090</v>
      </c>
      <c r="J1737" s="4">
        <v>4293.3999999999996</v>
      </c>
      <c r="K1737" s="4">
        <f t="shared" si="209"/>
        <v>42934</v>
      </c>
      <c r="L1737" s="1">
        <v>43011</v>
      </c>
      <c r="M1737">
        <v>4.84</v>
      </c>
      <c r="AJ1737" s="1">
        <v>43090</v>
      </c>
      <c r="AL1737">
        <v>10.81</v>
      </c>
      <c r="AM1737" s="6">
        <f t="shared" si="210"/>
        <v>100000</v>
      </c>
      <c r="AN1737" s="2">
        <f t="shared" si="211"/>
        <v>0</v>
      </c>
    </row>
    <row r="1738" spans="4:40" x14ac:dyDescent="0.35">
      <c r="D1738" s="1">
        <v>43116</v>
      </c>
      <c r="E1738">
        <v>3.2212999999999998</v>
      </c>
      <c r="F1738" s="1">
        <v>43075</v>
      </c>
      <c r="G1738">
        <v>124.581</v>
      </c>
      <c r="H1738" s="4">
        <f t="shared" si="208"/>
        <v>401312.77529999998</v>
      </c>
      <c r="I1738" s="5">
        <v>43089</v>
      </c>
      <c r="J1738" s="4">
        <v>4279.79</v>
      </c>
      <c r="K1738" s="4">
        <f t="shared" si="209"/>
        <v>42797.9</v>
      </c>
      <c r="L1738" s="1">
        <v>43010</v>
      </c>
      <c r="M1738">
        <v>4.8099999999999996</v>
      </c>
      <c r="AJ1738" s="1">
        <v>43089</v>
      </c>
      <c r="AL1738">
        <v>10.96</v>
      </c>
      <c r="AM1738" s="6">
        <f t="shared" si="210"/>
        <v>100000</v>
      </c>
      <c r="AN1738" s="2">
        <f t="shared" si="211"/>
        <v>0</v>
      </c>
    </row>
    <row r="1739" spans="4:40" x14ac:dyDescent="0.35">
      <c r="D1739" s="1">
        <v>43115</v>
      </c>
      <c r="E1739">
        <v>3.1957</v>
      </c>
      <c r="F1739" s="1">
        <v>43074</v>
      </c>
      <c r="G1739">
        <v>124.28</v>
      </c>
      <c r="H1739" s="4">
        <f t="shared" si="208"/>
        <v>397161.59599999996</v>
      </c>
      <c r="I1739" s="5">
        <v>43088</v>
      </c>
      <c r="J1739" s="4">
        <v>4270.0600000000004</v>
      </c>
      <c r="K1739" s="4">
        <f t="shared" si="209"/>
        <v>42700.600000000006</v>
      </c>
      <c r="L1739" s="1">
        <v>43007</v>
      </c>
      <c r="M1739">
        <v>4.82</v>
      </c>
      <c r="AJ1739" s="1">
        <v>43088</v>
      </c>
      <c r="AL1739">
        <v>11.03</v>
      </c>
      <c r="AM1739" s="6">
        <f t="shared" si="210"/>
        <v>100000</v>
      </c>
      <c r="AN1739" s="2">
        <f t="shared" si="211"/>
        <v>0</v>
      </c>
    </row>
    <row r="1740" spans="4:40" x14ac:dyDescent="0.35">
      <c r="D1740" s="1">
        <v>43112</v>
      </c>
      <c r="E1740">
        <v>3.2191999999999998</v>
      </c>
      <c r="F1740" s="1">
        <v>43073</v>
      </c>
      <c r="G1740">
        <v>124.28</v>
      </c>
      <c r="H1740" s="4">
        <f t="shared" si="208"/>
        <v>400082.17599999998</v>
      </c>
      <c r="I1740" s="5">
        <v>43087</v>
      </c>
      <c r="J1740" s="4">
        <v>4273.3</v>
      </c>
      <c r="K1740" s="4">
        <f t="shared" si="209"/>
        <v>42733</v>
      </c>
      <c r="L1740" s="1">
        <v>43006</v>
      </c>
      <c r="M1740">
        <v>4.8</v>
      </c>
      <c r="AJ1740" s="1">
        <v>43087</v>
      </c>
      <c r="AL1740">
        <v>10.97</v>
      </c>
      <c r="AM1740" s="6">
        <f t="shared" si="210"/>
        <v>100000</v>
      </c>
      <c r="AN1740" s="2">
        <f t="shared" si="211"/>
        <v>0</v>
      </c>
    </row>
    <row r="1741" spans="4:40" x14ac:dyDescent="0.35">
      <c r="D1741" s="1">
        <v>43111</v>
      </c>
      <c r="E1741">
        <v>3.2294999999999998</v>
      </c>
      <c r="F1741" s="1">
        <v>43070</v>
      </c>
      <c r="G1741">
        <v>124.39100000000001</v>
      </c>
      <c r="H1741" s="4">
        <f t="shared" si="208"/>
        <v>401720.73450000002</v>
      </c>
      <c r="I1741" s="5">
        <v>43084</v>
      </c>
      <c r="J1741" s="4">
        <v>4277.1899999999996</v>
      </c>
      <c r="K1741" s="4">
        <f t="shared" si="209"/>
        <v>42771.899999999994</v>
      </c>
      <c r="L1741" s="1">
        <v>43005</v>
      </c>
      <c r="M1741">
        <v>4.7699999999999996</v>
      </c>
      <c r="AJ1741" s="1">
        <v>43084</v>
      </c>
      <c r="AL1741">
        <v>10.9</v>
      </c>
      <c r="AM1741" s="6">
        <f t="shared" si="210"/>
        <v>100000</v>
      </c>
      <c r="AN1741" s="2">
        <f t="shared" si="211"/>
        <v>0</v>
      </c>
    </row>
    <row r="1742" spans="4:40" x14ac:dyDescent="0.35">
      <c r="D1742" s="1">
        <v>43110</v>
      </c>
      <c r="E1742">
        <v>3.2461000000000002</v>
      </c>
      <c r="F1742" s="1">
        <v>43069</v>
      </c>
      <c r="G1742">
        <v>123.97</v>
      </c>
      <c r="H1742" s="4">
        <f t="shared" si="208"/>
        <v>402419.01699999999</v>
      </c>
      <c r="I1742" s="5">
        <v>43083</v>
      </c>
      <c r="J1742" s="4">
        <v>4340.09</v>
      </c>
      <c r="K1742" s="4">
        <f t="shared" si="209"/>
        <v>43400.9</v>
      </c>
      <c r="L1742" s="1">
        <v>43004</v>
      </c>
      <c r="M1742">
        <v>4.84</v>
      </c>
      <c r="AJ1742" s="1">
        <v>43083</v>
      </c>
      <c r="AL1742">
        <v>10.88</v>
      </c>
      <c r="AM1742" s="6">
        <f t="shared" si="210"/>
        <v>100000</v>
      </c>
      <c r="AN1742" s="2">
        <f t="shared" si="211"/>
        <v>0</v>
      </c>
    </row>
    <row r="1743" spans="4:40" x14ac:dyDescent="0.35">
      <c r="D1743" s="1">
        <v>43109</v>
      </c>
      <c r="E1743">
        <v>3.2391000000000001</v>
      </c>
      <c r="F1743" s="1">
        <v>43068</v>
      </c>
      <c r="G1743">
        <v>124.625</v>
      </c>
      <c r="H1743" s="4">
        <f t="shared" si="208"/>
        <v>403672.83750000002</v>
      </c>
      <c r="I1743" s="5">
        <v>43082</v>
      </c>
      <c r="J1743" s="4">
        <v>4300.54</v>
      </c>
      <c r="K1743" s="4">
        <f t="shared" si="209"/>
        <v>43005.4</v>
      </c>
      <c r="L1743" s="1">
        <v>42999</v>
      </c>
      <c r="M1743">
        <v>4.8099999999999996</v>
      </c>
      <c r="AJ1743" s="1">
        <v>43082</v>
      </c>
      <c r="AL1743">
        <v>10.83</v>
      </c>
      <c r="AM1743" s="6">
        <f t="shared" si="210"/>
        <v>100000</v>
      </c>
      <c r="AN1743" s="2">
        <f t="shared" si="211"/>
        <v>0</v>
      </c>
    </row>
    <row r="1744" spans="4:40" x14ac:dyDescent="0.35">
      <c r="D1744" s="1">
        <v>43108</v>
      </c>
      <c r="E1744">
        <v>3.2351000000000001</v>
      </c>
      <c r="F1744" s="1">
        <v>43067</v>
      </c>
      <c r="G1744">
        <v>125.08</v>
      </c>
      <c r="H1744" s="4">
        <f t="shared" si="208"/>
        <v>404646.30800000002</v>
      </c>
      <c r="I1744" s="5">
        <v>43081</v>
      </c>
      <c r="J1744" s="4">
        <v>4295.3500000000004</v>
      </c>
      <c r="K1744" s="4">
        <f t="shared" si="209"/>
        <v>42953.5</v>
      </c>
      <c r="L1744" s="1">
        <v>42998</v>
      </c>
      <c r="M1744">
        <v>4.9000000000000004</v>
      </c>
      <c r="AJ1744" s="1">
        <v>43081</v>
      </c>
      <c r="AL1744">
        <v>10.85</v>
      </c>
      <c r="AM1744" s="6">
        <f t="shared" si="210"/>
        <v>100000</v>
      </c>
      <c r="AN1744" s="2">
        <f t="shared" si="211"/>
        <v>0</v>
      </c>
    </row>
    <row r="1745" spans="4:40" x14ac:dyDescent="0.35">
      <c r="D1745" s="1">
        <v>43105</v>
      </c>
      <c r="E1745">
        <v>3.2403</v>
      </c>
      <c r="F1745" s="1">
        <v>43066</v>
      </c>
      <c r="G1745">
        <v>125.17100000000001</v>
      </c>
      <c r="H1745" s="4">
        <f t="shared" si="208"/>
        <v>405591.59130000003</v>
      </c>
      <c r="I1745" s="5">
        <v>43080</v>
      </c>
      <c r="J1745" s="4">
        <v>4294.7</v>
      </c>
      <c r="K1745" s="4">
        <f t="shared" si="209"/>
        <v>42947</v>
      </c>
      <c r="L1745" s="1">
        <v>42997</v>
      </c>
      <c r="M1745">
        <v>4.91</v>
      </c>
      <c r="AJ1745" s="1">
        <v>43080</v>
      </c>
      <c r="AL1745">
        <v>10.78</v>
      </c>
      <c r="AM1745" s="6">
        <f t="shared" si="210"/>
        <v>100000</v>
      </c>
      <c r="AN1745" s="2">
        <f t="shared" si="211"/>
        <v>0</v>
      </c>
    </row>
    <row r="1746" spans="4:40" x14ac:dyDescent="0.35">
      <c r="D1746" s="1">
        <v>43104</v>
      </c>
      <c r="E1746">
        <v>3.2311999999999999</v>
      </c>
      <c r="F1746" s="1">
        <v>43063</v>
      </c>
      <c r="G1746">
        <v>125.011</v>
      </c>
      <c r="H1746" s="4">
        <f t="shared" si="208"/>
        <v>403935.54319999996</v>
      </c>
      <c r="I1746" s="5">
        <v>43077</v>
      </c>
      <c r="J1746" s="4">
        <v>4278.49</v>
      </c>
      <c r="K1746" s="4">
        <f t="shared" si="209"/>
        <v>42784.899999999994</v>
      </c>
      <c r="L1746" s="1">
        <v>42992</v>
      </c>
      <c r="M1746">
        <v>4.91</v>
      </c>
      <c r="AJ1746" s="1">
        <v>43077</v>
      </c>
      <c r="AL1746">
        <v>10.68</v>
      </c>
      <c r="AM1746" s="6">
        <f t="shared" si="210"/>
        <v>100000</v>
      </c>
      <c r="AN1746" s="2">
        <f t="shared" si="211"/>
        <v>0</v>
      </c>
    </row>
    <row r="1747" spans="4:40" x14ac:dyDescent="0.35">
      <c r="D1747" s="1">
        <v>43103</v>
      </c>
      <c r="E1747">
        <v>3.2528999999999999</v>
      </c>
      <c r="F1747" s="1">
        <v>43062</v>
      </c>
      <c r="G1747">
        <v>125.187</v>
      </c>
      <c r="H1747" s="4">
        <f t="shared" si="208"/>
        <v>407220.79229999997</v>
      </c>
      <c r="I1747" s="5">
        <v>43076</v>
      </c>
      <c r="J1747" s="4">
        <v>4279.1400000000003</v>
      </c>
      <c r="K1747" s="4">
        <f t="shared" si="209"/>
        <v>42791.4</v>
      </c>
      <c r="L1747" s="1">
        <v>42991</v>
      </c>
      <c r="M1747">
        <v>4.93</v>
      </c>
      <c r="AJ1747" s="1">
        <v>43076</v>
      </c>
      <c r="AL1747">
        <v>10.72</v>
      </c>
      <c r="AM1747" s="6">
        <f t="shared" si="210"/>
        <v>100000</v>
      </c>
      <c r="AN1747" s="2">
        <f t="shared" si="211"/>
        <v>0</v>
      </c>
    </row>
    <row r="1748" spans="4:40" x14ac:dyDescent="0.35">
      <c r="D1748" s="1">
        <v>43102</v>
      </c>
      <c r="E1748">
        <v>3.2690999999999999</v>
      </c>
      <c r="F1748" s="1">
        <v>43061</v>
      </c>
      <c r="G1748">
        <v>124.953</v>
      </c>
      <c r="H1748" s="4">
        <f t="shared" si="208"/>
        <v>408483.85230000003</v>
      </c>
      <c r="I1748" s="5">
        <v>43075</v>
      </c>
      <c r="J1748" s="4">
        <v>4206.51</v>
      </c>
      <c r="K1748" s="4">
        <f t="shared" si="209"/>
        <v>42065.100000000006</v>
      </c>
      <c r="L1748" s="1">
        <v>42989</v>
      </c>
      <c r="M1748">
        <v>4.8600000000000003</v>
      </c>
      <c r="AJ1748" s="1">
        <v>43075</v>
      </c>
      <c r="AL1748">
        <v>10.61</v>
      </c>
      <c r="AM1748" s="6">
        <f t="shared" si="210"/>
        <v>100000</v>
      </c>
      <c r="AN1748" s="2">
        <f t="shared" si="211"/>
        <v>0</v>
      </c>
    </row>
    <row r="1749" spans="4:40" x14ac:dyDescent="0.35">
      <c r="D1749" s="1">
        <v>43098</v>
      </c>
      <c r="E1749">
        <v>3.3073999999999999</v>
      </c>
      <c r="F1749" s="1">
        <v>43060</v>
      </c>
      <c r="G1749">
        <v>124.73</v>
      </c>
      <c r="H1749" s="4">
        <f t="shared" si="208"/>
        <v>412532.00199999998</v>
      </c>
      <c r="I1749" s="5">
        <v>43074</v>
      </c>
      <c r="J1749" s="4">
        <v>4214.29</v>
      </c>
      <c r="K1749" s="4">
        <f t="shared" si="209"/>
        <v>42142.9</v>
      </c>
      <c r="L1749" s="1">
        <v>42986</v>
      </c>
      <c r="M1749">
        <v>4.8499999999999996</v>
      </c>
      <c r="AJ1749" s="1">
        <v>43074</v>
      </c>
      <c r="AL1749">
        <v>10.73</v>
      </c>
      <c r="AM1749" s="6">
        <f t="shared" si="210"/>
        <v>100000</v>
      </c>
      <c r="AN1749" s="2">
        <f t="shared" si="211"/>
        <v>0</v>
      </c>
    </row>
    <row r="1750" spans="4:40" x14ac:dyDescent="0.35">
      <c r="D1750" s="1">
        <v>43097</v>
      </c>
      <c r="E1750">
        <v>3.3073999999999999</v>
      </c>
      <c r="F1750" s="1">
        <v>43056</v>
      </c>
      <c r="G1750">
        <v>124.953</v>
      </c>
      <c r="H1750" s="4">
        <f t="shared" si="208"/>
        <v>413269.55220000003</v>
      </c>
      <c r="I1750" s="5">
        <v>43073</v>
      </c>
      <c r="J1750" s="4">
        <v>4217.54</v>
      </c>
      <c r="K1750" s="4">
        <f t="shared" si="209"/>
        <v>42175.4</v>
      </c>
      <c r="L1750" s="1">
        <v>42984</v>
      </c>
      <c r="M1750">
        <v>4.91</v>
      </c>
      <c r="AJ1750" s="1">
        <v>43073</v>
      </c>
      <c r="AL1750">
        <v>10.71</v>
      </c>
      <c r="AM1750" s="6">
        <f t="shared" si="210"/>
        <v>100000</v>
      </c>
      <c r="AN1750" s="2">
        <f t="shared" si="211"/>
        <v>0</v>
      </c>
    </row>
    <row r="1751" spans="4:40" x14ac:dyDescent="0.35">
      <c r="D1751" s="1">
        <v>43096</v>
      </c>
      <c r="E1751">
        <v>3.3024</v>
      </c>
      <c r="F1751" s="1">
        <v>43055</v>
      </c>
      <c r="G1751">
        <v>124.851</v>
      </c>
      <c r="H1751" s="4">
        <f t="shared" si="208"/>
        <v>412307.9424</v>
      </c>
      <c r="I1751" s="5">
        <v>43070</v>
      </c>
      <c r="J1751" s="4">
        <v>4236.99</v>
      </c>
      <c r="K1751" s="4">
        <f t="shared" si="209"/>
        <v>42369.899999999994</v>
      </c>
      <c r="L1751" s="1">
        <v>42983</v>
      </c>
      <c r="M1751">
        <v>4.97</v>
      </c>
      <c r="AJ1751" s="1">
        <v>43070</v>
      </c>
      <c r="AL1751">
        <v>10.81</v>
      </c>
      <c r="AM1751" s="6">
        <f t="shared" si="210"/>
        <v>100000</v>
      </c>
      <c r="AN1751" s="2">
        <f t="shared" si="211"/>
        <v>0</v>
      </c>
    </row>
    <row r="1752" spans="4:40" x14ac:dyDescent="0.35">
      <c r="D1752" s="1">
        <v>43095</v>
      </c>
      <c r="E1752">
        <v>3.3193999999999999</v>
      </c>
      <c r="F1752" s="1">
        <v>43053</v>
      </c>
      <c r="G1752">
        <v>124.721</v>
      </c>
      <c r="H1752" s="4">
        <f t="shared" si="208"/>
        <v>413998.88740000001</v>
      </c>
      <c r="I1752" s="5">
        <v>43069</v>
      </c>
      <c r="J1752" s="4">
        <v>4256.4399999999996</v>
      </c>
      <c r="K1752" s="4">
        <f t="shared" si="209"/>
        <v>42564.399999999994</v>
      </c>
      <c r="L1752" s="1">
        <v>42979</v>
      </c>
      <c r="M1752">
        <v>5.0199999999999996</v>
      </c>
      <c r="AJ1752" s="1">
        <v>43069</v>
      </c>
      <c r="AL1752">
        <v>10.85</v>
      </c>
      <c r="AM1752" s="6">
        <f t="shared" si="210"/>
        <v>100000</v>
      </c>
      <c r="AN1752" s="2">
        <f t="shared" si="211"/>
        <v>0</v>
      </c>
    </row>
    <row r="1753" spans="4:40" x14ac:dyDescent="0.35">
      <c r="D1753" s="1">
        <v>43091</v>
      </c>
      <c r="E1753">
        <v>3.3203</v>
      </c>
      <c r="F1753" s="1">
        <v>43052</v>
      </c>
      <c r="G1753">
        <v>124.643</v>
      </c>
      <c r="H1753" s="4">
        <f t="shared" si="208"/>
        <v>413852.15290000004</v>
      </c>
      <c r="I1753" s="5">
        <v>43068</v>
      </c>
      <c r="J1753" s="4">
        <v>4215.59</v>
      </c>
      <c r="K1753" s="4">
        <f t="shared" si="209"/>
        <v>42155.9</v>
      </c>
      <c r="L1753" s="1">
        <v>42978</v>
      </c>
      <c r="M1753">
        <v>4.9800000000000004</v>
      </c>
      <c r="AJ1753" s="1">
        <v>43068</v>
      </c>
      <c r="AL1753">
        <v>10.77</v>
      </c>
      <c r="AM1753" s="6">
        <f t="shared" si="210"/>
        <v>100000</v>
      </c>
      <c r="AN1753" s="2">
        <f t="shared" si="211"/>
        <v>0</v>
      </c>
    </row>
    <row r="1754" spans="4:40" x14ac:dyDescent="0.35">
      <c r="D1754" s="1">
        <v>43090</v>
      </c>
      <c r="E1754">
        <v>3.3039000000000001</v>
      </c>
      <c r="F1754" s="1">
        <v>43049</v>
      </c>
      <c r="G1754">
        <v>124.75</v>
      </c>
      <c r="H1754" s="4">
        <f t="shared" si="208"/>
        <v>412161.52499999997</v>
      </c>
      <c r="I1754" s="5">
        <v>43067</v>
      </c>
      <c r="J1754" s="4">
        <v>4172.75</v>
      </c>
      <c r="K1754" s="4">
        <f t="shared" si="209"/>
        <v>41727.5</v>
      </c>
      <c r="L1754" s="1">
        <v>42977</v>
      </c>
      <c r="M1754">
        <v>4.97</v>
      </c>
      <c r="AJ1754" s="1">
        <v>43067</v>
      </c>
      <c r="AL1754">
        <v>10.61</v>
      </c>
      <c r="AM1754" s="6">
        <f t="shared" si="210"/>
        <v>100000</v>
      </c>
      <c r="AN1754" s="2">
        <f t="shared" si="211"/>
        <v>0</v>
      </c>
    </row>
    <row r="1755" spans="4:40" x14ac:dyDescent="0.35">
      <c r="D1755" s="1">
        <v>43089</v>
      </c>
      <c r="E1755">
        <v>3.2902999999999998</v>
      </c>
      <c r="F1755" s="1">
        <v>43048</v>
      </c>
      <c r="G1755">
        <v>125.32599999999999</v>
      </c>
      <c r="H1755" s="4">
        <f t="shared" si="208"/>
        <v>412360.13779999997</v>
      </c>
      <c r="I1755" s="5">
        <v>43066</v>
      </c>
      <c r="J1755" s="4">
        <v>4192.22</v>
      </c>
      <c r="K1755" s="4">
        <f t="shared" si="209"/>
        <v>41922.200000000004</v>
      </c>
      <c r="L1755" s="1">
        <v>42975</v>
      </c>
      <c r="M1755">
        <v>5.04</v>
      </c>
      <c r="AJ1755" s="1">
        <v>43066</v>
      </c>
      <c r="AL1755">
        <v>10.63</v>
      </c>
      <c r="AM1755" s="6">
        <f t="shared" si="210"/>
        <v>100000</v>
      </c>
      <c r="AN1755" s="2">
        <f t="shared" si="211"/>
        <v>0</v>
      </c>
    </row>
    <row r="1756" spans="4:40" x14ac:dyDescent="0.35">
      <c r="D1756" s="1">
        <v>43088</v>
      </c>
      <c r="E1756">
        <v>3.2877000000000001</v>
      </c>
      <c r="F1756" s="1">
        <v>43047</v>
      </c>
      <c r="G1756">
        <v>125.32599999999999</v>
      </c>
      <c r="H1756" s="4">
        <f t="shared" si="208"/>
        <v>412034.29019999999</v>
      </c>
      <c r="I1756" s="5">
        <v>43063</v>
      </c>
      <c r="J1756" s="4">
        <v>4200.01</v>
      </c>
      <c r="K1756" s="4">
        <f t="shared" si="209"/>
        <v>42000.100000000006</v>
      </c>
      <c r="L1756" s="1">
        <v>42971</v>
      </c>
      <c r="M1756">
        <v>5.0199999999999996</v>
      </c>
      <c r="AJ1756" s="1">
        <v>43063</v>
      </c>
      <c r="AL1756">
        <v>10.64</v>
      </c>
      <c r="AM1756" s="6">
        <f t="shared" si="210"/>
        <v>100000</v>
      </c>
      <c r="AN1756" s="2">
        <f t="shared" si="211"/>
        <v>0</v>
      </c>
    </row>
    <row r="1757" spans="4:40" x14ac:dyDescent="0.35">
      <c r="D1757" s="1">
        <v>43087</v>
      </c>
      <c r="E1757">
        <v>3.2875000000000001</v>
      </c>
      <c r="F1757" s="1">
        <v>43046</v>
      </c>
      <c r="G1757">
        <v>125.375</v>
      </c>
      <c r="H1757" s="4">
        <f t="shared" si="208"/>
        <v>412170.3125</v>
      </c>
      <c r="I1757" s="5">
        <v>43062</v>
      </c>
      <c r="J1757" s="4">
        <v>4186.38</v>
      </c>
      <c r="K1757" s="4">
        <f t="shared" si="209"/>
        <v>41863.800000000003</v>
      </c>
      <c r="L1757" s="1">
        <v>42970</v>
      </c>
      <c r="M1757">
        <v>5.0599999999999996</v>
      </c>
      <c r="AJ1757" s="1">
        <v>43062</v>
      </c>
      <c r="AL1757">
        <v>10.56</v>
      </c>
      <c r="AM1757" s="6">
        <f t="shared" si="210"/>
        <v>100000</v>
      </c>
      <c r="AN1757" s="2">
        <f t="shared" si="211"/>
        <v>0</v>
      </c>
    </row>
    <row r="1758" spans="4:40" x14ac:dyDescent="0.35">
      <c r="D1758" s="1">
        <v>43084</v>
      </c>
      <c r="E1758">
        <v>3.3176000000000001</v>
      </c>
      <c r="F1758" s="1">
        <v>43045</v>
      </c>
      <c r="G1758">
        <v>125.404</v>
      </c>
      <c r="H1758" s="4">
        <f t="shared" si="208"/>
        <v>416040.31040000002</v>
      </c>
      <c r="I1758" s="5">
        <v>43061</v>
      </c>
      <c r="J1758" s="4">
        <v>4188.33</v>
      </c>
      <c r="K1758" s="4">
        <f t="shared" si="209"/>
        <v>41883.300000000003</v>
      </c>
      <c r="L1758" s="1">
        <v>42968</v>
      </c>
      <c r="M1758">
        <v>5.1100000000000003</v>
      </c>
      <c r="AJ1758" s="1">
        <v>43061</v>
      </c>
      <c r="AL1758">
        <v>10.56</v>
      </c>
      <c r="AM1758" s="6">
        <f t="shared" si="210"/>
        <v>100000</v>
      </c>
      <c r="AN1758" s="2">
        <f t="shared" si="211"/>
        <v>0</v>
      </c>
    </row>
    <row r="1759" spans="4:40" x14ac:dyDescent="0.35">
      <c r="D1759" s="1">
        <v>43083</v>
      </c>
      <c r="E1759">
        <v>3.3325999999999998</v>
      </c>
      <c r="F1759" s="1">
        <v>43042</v>
      </c>
      <c r="G1759">
        <v>125.227</v>
      </c>
      <c r="H1759" s="4">
        <f t="shared" si="208"/>
        <v>417331.50020000001</v>
      </c>
      <c r="I1759" s="5">
        <v>43060</v>
      </c>
      <c r="J1759" s="4">
        <v>4235.0600000000004</v>
      </c>
      <c r="K1759" s="4">
        <f t="shared" si="209"/>
        <v>42350.600000000006</v>
      </c>
      <c r="L1759" s="1">
        <v>42965</v>
      </c>
      <c r="M1759">
        <v>5.0999999999999996</v>
      </c>
      <c r="AJ1759" s="1">
        <v>43060</v>
      </c>
      <c r="AL1759">
        <v>10.55</v>
      </c>
      <c r="AM1759" s="6">
        <f t="shared" si="210"/>
        <v>100000</v>
      </c>
      <c r="AN1759" s="2">
        <f t="shared" si="211"/>
        <v>0</v>
      </c>
    </row>
    <row r="1760" spans="4:40" x14ac:dyDescent="0.35">
      <c r="D1760" s="1">
        <v>43082</v>
      </c>
      <c r="E1760">
        <v>3.3029999999999999</v>
      </c>
      <c r="F1760" s="1">
        <v>43040</v>
      </c>
      <c r="G1760">
        <v>124.878</v>
      </c>
      <c r="H1760" s="4">
        <f t="shared" si="208"/>
        <v>412472.03399999999</v>
      </c>
      <c r="I1760" s="5">
        <v>43056</v>
      </c>
      <c r="J1760" s="4">
        <v>4235.0600000000004</v>
      </c>
      <c r="K1760" s="4">
        <f t="shared" si="209"/>
        <v>42350.600000000006</v>
      </c>
      <c r="L1760" s="1">
        <v>42964</v>
      </c>
      <c r="M1760">
        <v>5.14</v>
      </c>
      <c r="AJ1760" s="1">
        <v>43056</v>
      </c>
      <c r="AL1760">
        <v>10.66</v>
      </c>
      <c r="AM1760" s="6">
        <f t="shared" si="210"/>
        <v>100000</v>
      </c>
      <c r="AN1760" s="2">
        <f t="shared" si="211"/>
        <v>0</v>
      </c>
    </row>
    <row r="1761" spans="4:40" x14ac:dyDescent="0.35">
      <c r="D1761" s="1">
        <v>43081</v>
      </c>
      <c r="E1761">
        <v>3.3142999999999998</v>
      </c>
      <c r="F1761" s="1">
        <v>43039</v>
      </c>
      <c r="G1761">
        <v>124.896</v>
      </c>
      <c r="H1761" s="4">
        <f t="shared" si="208"/>
        <v>413942.81279999996</v>
      </c>
      <c r="I1761" s="5">
        <v>43055</v>
      </c>
      <c r="J1761" s="4">
        <v>4258.43</v>
      </c>
      <c r="K1761" s="4">
        <f t="shared" si="209"/>
        <v>42584.3</v>
      </c>
      <c r="L1761" s="1">
        <v>42963</v>
      </c>
      <c r="M1761">
        <v>5.0599999999999996</v>
      </c>
      <c r="AJ1761" s="1">
        <v>43055</v>
      </c>
      <c r="AL1761">
        <v>10.79</v>
      </c>
      <c r="AM1761" s="6">
        <f t="shared" si="210"/>
        <v>100000</v>
      </c>
      <c r="AN1761" s="2">
        <f t="shared" si="211"/>
        <v>0</v>
      </c>
    </row>
    <row r="1762" spans="4:40" x14ac:dyDescent="0.35">
      <c r="D1762" s="1">
        <v>43080</v>
      </c>
      <c r="E1762">
        <v>3.2839</v>
      </c>
      <c r="F1762" s="1">
        <v>43038</v>
      </c>
      <c r="G1762">
        <v>124.941</v>
      </c>
      <c r="H1762" s="4">
        <f t="shared" si="208"/>
        <v>410293.7499</v>
      </c>
      <c r="I1762" s="5">
        <v>43053</v>
      </c>
      <c r="J1762" s="4">
        <v>4309.07</v>
      </c>
      <c r="K1762" s="4">
        <f t="shared" si="209"/>
        <v>43090.7</v>
      </c>
      <c r="L1762" s="1">
        <v>42962</v>
      </c>
      <c r="M1762">
        <v>5.03</v>
      </c>
      <c r="AJ1762" s="1">
        <v>43053</v>
      </c>
      <c r="AL1762">
        <v>10.98</v>
      </c>
      <c r="AM1762" s="6">
        <f t="shared" si="210"/>
        <v>100000</v>
      </c>
      <c r="AN1762" s="2">
        <f t="shared" si="211"/>
        <v>0</v>
      </c>
    </row>
    <row r="1763" spans="4:40" x14ac:dyDescent="0.35">
      <c r="D1763" s="1">
        <v>43077</v>
      </c>
      <c r="E1763">
        <v>3.2805</v>
      </c>
      <c r="F1763" s="1">
        <v>43035</v>
      </c>
      <c r="G1763">
        <v>124.51600000000001</v>
      </c>
      <c r="H1763" s="4">
        <f t="shared" si="208"/>
        <v>408474.73800000001</v>
      </c>
      <c r="I1763" s="5">
        <v>43052</v>
      </c>
      <c r="J1763" s="4">
        <v>4266.22</v>
      </c>
      <c r="K1763" s="4">
        <f t="shared" si="209"/>
        <v>42662.200000000004</v>
      </c>
      <c r="L1763" s="1">
        <v>42957</v>
      </c>
      <c r="M1763">
        <v>5.0199999999999996</v>
      </c>
      <c r="AJ1763" s="1">
        <v>43052</v>
      </c>
      <c r="AL1763">
        <v>10.77</v>
      </c>
      <c r="AM1763" s="6">
        <f t="shared" si="210"/>
        <v>100000</v>
      </c>
      <c r="AN1763" s="2">
        <f t="shared" si="211"/>
        <v>0</v>
      </c>
    </row>
    <row r="1764" spans="4:40" x14ac:dyDescent="0.35">
      <c r="D1764" s="1">
        <v>43076</v>
      </c>
      <c r="E1764">
        <v>3.2886000000000002</v>
      </c>
      <c r="F1764" s="1">
        <v>43034</v>
      </c>
      <c r="G1764">
        <v>124.34399999999999</v>
      </c>
      <c r="H1764" s="4">
        <f t="shared" si="208"/>
        <v>408917.67839999998</v>
      </c>
      <c r="I1764" s="5">
        <v>43049</v>
      </c>
      <c r="J1764" s="4">
        <v>4265.57</v>
      </c>
      <c r="K1764" s="4">
        <f t="shared" si="209"/>
        <v>42655.7</v>
      </c>
      <c r="L1764" s="1">
        <v>42955</v>
      </c>
      <c r="M1764">
        <v>5.04</v>
      </c>
      <c r="AJ1764" s="1">
        <v>43049</v>
      </c>
      <c r="AL1764">
        <v>10.68</v>
      </c>
      <c r="AM1764" s="6">
        <f t="shared" si="210"/>
        <v>100000</v>
      </c>
      <c r="AN1764" s="2">
        <f t="shared" si="211"/>
        <v>0</v>
      </c>
    </row>
    <row r="1765" spans="4:40" x14ac:dyDescent="0.35">
      <c r="D1765" s="1">
        <v>43075</v>
      </c>
      <c r="E1765">
        <v>3.2347999999999999</v>
      </c>
      <c r="F1765" s="1">
        <v>43033</v>
      </c>
      <c r="G1765">
        <v>124.486</v>
      </c>
      <c r="H1765" s="4">
        <f t="shared" si="208"/>
        <v>402687.31280000001</v>
      </c>
      <c r="I1765" s="5">
        <v>43048</v>
      </c>
      <c r="J1765" s="4">
        <v>4233.12</v>
      </c>
      <c r="K1765" s="4">
        <f t="shared" si="209"/>
        <v>42331.199999999997</v>
      </c>
      <c r="L1765" s="1">
        <v>42954</v>
      </c>
      <c r="M1765">
        <v>4.9800000000000004</v>
      </c>
      <c r="AJ1765" s="1">
        <v>43048</v>
      </c>
      <c r="AL1765">
        <v>10.56</v>
      </c>
      <c r="AM1765" s="6">
        <f t="shared" si="210"/>
        <v>100000</v>
      </c>
      <c r="AN1765" s="2">
        <f t="shared" si="211"/>
        <v>0</v>
      </c>
    </row>
    <row r="1766" spans="4:40" x14ac:dyDescent="0.35">
      <c r="D1766" s="1">
        <v>43074</v>
      </c>
      <c r="E1766">
        <v>3.2315999999999998</v>
      </c>
      <c r="F1766" s="1">
        <v>43032</v>
      </c>
      <c r="G1766">
        <v>124.687</v>
      </c>
      <c r="H1766" s="4">
        <f t="shared" si="208"/>
        <v>402938.50919999991</v>
      </c>
      <c r="I1766" s="5">
        <v>43047</v>
      </c>
      <c r="J1766" s="4">
        <v>4237.66</v>
      </c>
      <c r="K1766" s="4">
        <f t="shared" si="209"/>
        <v>42376.6</v>
      </c>
      <c r="L1766" s="1">
        <v>42951</v>
      </c>
      <c r="M1766">
        <v>4.99</v>
      </c>
      <c r="AJ1766" s="1">
        <v>43047</v>
      </c>
      <c r="AL1766">
        <v>10.51</v>
      </c>
      <c r="AM1766" s="6">
        <f t="shared" si="210"/>
        <v>100000</v>
      </c>
      <c r="AN1766" s="2">
        <f t="shared" si="211"/>
        <v>0</v>
      </c>
    </row>
    <row r="1767" spans="4:40" x14ac:dyDescent="0.35">
      <c r="D1767" s="1">
        <v>43073</v>
      </c>
      <c r="E1767">
        <v>3.25</v>
      </c>
      <c r="F1767" s="1">
        <v>43031</v>
      </c>
      <c r="G1767">
        <v>125.047</v>
      </c>
      <c r="H1767" s="4">
        <f t="shared" si="208"/>
        <v>406402.74999999994</v>
      </c>
      <c r="I1767" s="5">
        <v>43046</v>
      </c>
      <c r="J1767" s="4">
        <v>4259.7299999999996</v>
      </c>
      <c r="K1767" s="4">
        <f t="shared" si="209"/>
        <v>42597.299999999996</v>
      </c>
      <c r="L1767" s="1">
        <v>42950</v>
      </c>
      <c r="M1767">
        <v>5.0199999999999996</v>
      </c>
      <c r="AJ1767" s="1">
        <v>43046</v>
      </c>
      <c r="AL1767">
        <v>10.56</v>
      </c>
      <c r="AM1767" s="6">
        <f t="shared" si="210"/>
        <v>100000</v>
      </c>
      <c r="AN1767" s="2">
        <f t="shared" si="211"/>
        <v>0</v>
      </c>
    </row>
    <row r="1768" spans="4:40" x14ac:dyDescent="0.35">
      <c r="D1768" s="1">
        <v>43070</v>
      </c>
      <c r="E1768">
        <v>3.2629999999999999</v>
      </c>
      <c r="F1768" s="1">
        <v>43028</v>
      </c>
      <c r="G1768">
        <v>124.938</v>
      </c>
      <c r="H1768" s="4">
        <f t="shared" si="208"/>
        <v>407672.69399999996</v>
      </c>
      <c r="I1768" s="5">
        <v>43045</v>
      </c>
      <c r="J1768" s="4">
        <v>4231.17</v>
      </c>
      <c r="K1768" s="4">
        <f t="shared" si="209"/>
        <v>42311.7</v>
      </c>
      <c r="L1768" s="1">
        <v>42949</v>
      </c>
      <c r="M1768">
        <v>5.07</v>
      </c>
      <c r="AJ1768" s="1">
        <v>43045</v>
      </c>
      <c r="AL1768">
        <v>10.48</v>
      </c>
      <c r="AM1768" s="6">
        <f t="shared" si="210"/>
        <v>100000</v>
      </c>
      <c r="AN1768" s="2">
        <f t="shared" si="211"/>
        <v>0</v>
      </c>
    </row>
    <row r="1769" spans="4:40" x14ac:dyDescent="0.35">
      <c r="D1769" s="1">
        <v>43069</v>
      </c>
      <c r="E1769">
        <v>3.2610000000000001</v>
      </c>
      <c r="F1769" s="1">
        <v>43027</v>
      </c>
      <c r="G1769">
        <v>125.373</v>
      </c>
      <c r="H1769" s="4">
        <f t="shared" si="208"/>
        <v>408841.353</v>
      </c>
      <c r="I1769" s="5">
        <v>43042</v>
      </c>
      <c r="J1769" s="4">
        <v>4319.45</v>
      </c>
      <c r="K1769" s="4">
        <f t="shared" si="209"/>
        <v>43194.5</v>
      </c>
      <c r="L1769" s="1">
        <v>42947</v>
      </c>
      <c r="M1769">
        <v>5.1100000000000003</v>
      </c>
      <c r="AJ1769" s="1">
        <v>43042</v>
      </c>
      <c r="AL1769">
        <v>10.61</v>
      </c>
      <c r="AM1769" s="6">
        <f t="shared" si="210"/>
        <v>100000</v>
      </c>
      <c r="AN1769" s="2">
        <f t="shared" si="211"/>
        <v>0</v>
      </c>
    </row>
    <row r="1770" spans="4:40" x14ac:dyDescent="0.35">
      <c r="D1770" s="1">
        <v>43068</v>
      </c>
      <c r="E1770">
        <v>3.2130000000000001</v>
      </c>
      <c r="F1770" s="1">
        <v>43026</v>
      </c>
      <c r="G1770">
        <v>125.20099999999999</v>
      </c>
      <c r="H1770" s="4">
        <f t="shared" si="208"/>
        <v>402270.81299999997</v>
      </c>
      <c r="I1770" s="5">
        <v>43040</v>
      </c>
      <c r="J1770" s="4">
        <v>4258.43</v>
      </c>
      <c r="K1770" s="4">
        <f t="shared" si="209"/>
        <v>42584.3</v>
      </c>
      <c r="L1770" s="1">
        <v>42936</v>
      </c>
      <c r="M1770">
        <v>5.25</v>
      </c>
      <c r="AJ1770" s="1">
        <v>43040</v>
      </c>
      <c r="AL1770">
        <v>10.5</v>
      </c>
      <c r="AM1770" s="6">
        <f t="shared" si="210"/>
        <v>100000</v>
      </c>
      <c r="AN1770" s="2">
        <f t="shared" si="211"/>
        <v>0</v>
      </c>
    </row>
    <row r="1771" spans="4:40" x14ac:dyDescent="0.35">
      <c r="D1771" s="1">
        <v>43067</v>
      </c>
      <c r="E1771">
        <v>3.2225999999999999</v>
      </c>
      <c r="F1771" s="1">
        <v>43025</v>
      </c>
      <c r="G1771">
        <v>125.42100000000001</v>
      </c>
      <c r="H1771" s="4">
        <f t="shared" si="208"/>
        <v>404181.71460000001</v>
      </c>
      <c r="I1771" s="5">
        <v>43039</v>
      </c>
      <c r="J1771" s="4">
        <v>4263.63</v>
      </c>
      <c r="K1771" s="4">
        <f t="shared" si="209"/>
        <v>42636.3</v>
      </c>
      <c r="L1771" s="1">
        <v>42928</v>
      </c>
      <c r="M1771">
        <v>5.54</v>
      </c>
      <c r="AJ1771" s="1">
        <v>43039</v>
      </c>
      <c r="AL1771">
        <v>10.35</v>
      </c>
      <c r="AM1771" s="6">
        <f t="shared" si="210"/>
        <v>100000</v>
      </c>
      <c r="AN1771" s="2">
        <f t="shared" si="211"/>
        <v>0</v>
      </c>
    </row>
    <row r="1772" spans="4:40" x14ac:dyDescent="0.35">
      <c r="D1772" s="1">
        <v>43066</v>
      </c>
      <c r="E1772">
        <v>3.2212000000000001</v>
      </c>
      <c r="F1772" s="1">
        <v>43024</v>
      </c>
      <c r="G1772">
        <v>125.575</v>
      </c>
      <c r="H1772" s="4">
        <f t="shared" si="208"/>
        <v>404502.19000000006</v>
      </c>
      <c r="I1772" s="5">
        <v>43038</v>
      </c>
      <c r="J1772" s="4">
        <v>4287.6499999999996</v>
      </c>
      <c r="K1772" s="4">
        <f t="shared" si="209"/>
        <v>42876.5</v>
      </c>
      <c r="L1772" s="1">
        <v>42926</v>
      </c>
      <c r="M1772">
        <v>5.72</v>
      </c>
      <c r="AJ1772" s="1">
        <v>43038</v>
      </c>
      <c r="AL1772">
        <v>10.31</v>
      </c>
      <c r="AM1772" s="6">
        <f t="shared" si="210"/>
        <v>100000</v>
      </c>
      <c r="AN1772" s="2">
        <f t="shared" si="211"/>
        <v>0</v>
      </c>
    </row>
    <row r="1773" spans="4:40" x14ac:dyDescent="0.35">
      <c r="D1773" s="1">
        <v>43063</v>
      </c>
      <c r="E1773">
        <v>3.2294</v>
      </c>
      <c r="F1773" s="1">
        <v>43021</v>
      </c>
      <c r="G1773">
        <v>125.813</v>
      </c>
      <c r="H1773" s="4">
        <f t="shared" si="208"/>
        <v>406300.50220000005</v>
      </c>
      <c r="I1773" s="5">
        <v>43035</v>
      </c>
      <c r="J1773" s="4">
        <v>4219.87</v>
      </c>
      <c r="K1773" s="4">
        <f t="shared" si="209"/>
        <v>42198.7</v>
      </c>
      <c r="L1773" s="1">
        <v>42923</v>
      </c>
      <c r="M1773">
        <v>5.68</v>
      </c>
      <c r="AJ1773" s="1">
        <v>43035</v>
      </c>
      <c r="AL1773">
        <v>10.220000000000001</v>
      </c>
      <c r="AM1773" s="6">
        <f t="shared" si="210"/>
        <v>100000</v>
      </c>
      <c r="AN1773" s="2">
        <f t="shared" si="211"/>
        <v>0</v>
      </c>
    </row>
    <row r="1774" spans="4:40" x14ac:dyDescent="0.35">
      <c r="D1774" s="1">
        <v>43062</v>
      </c>
      <c r="E1774">
        <v>3.2364999999999999</v>
      </c>
      <c r="F1774" s="1">
        <v>43019</v>
      </c>
      <c r="G1774">
        <v>125.328</v>
      </c>
      <c r="H1774" s="4">
        <f t="shared" si="208"/>
        <v>405624.07199999999</v>
      </c>
      <c r="I1774" s="5">
        <v>43034</v>
      </c>
      <c r="J1774" s="4">
        <v>4291.5600000000004</v>
      </c>
      <c r="K1774" s="4">
        <f t="shared" si="209"/>
        <v>42915.600000000006</v>
      </c>
      <c r="L1774" s="1">
        <v>42922</v>
      </c>
      <c r="M1774">
        <v>5.68</v>
      </c>
      <c r="AJ1774" s="1">
        <v>43034</v>
      </c>
      <c r="AL1774">
        <v>10.39</v>
      </c>
      <c r="AM1774" s="6">
        <f t="shared" si="210"/>
        <v>100000</v>
      </c>
      <c r="AN1774" s="2">
        <f t="shared" si="211"/>
        <v>0</v>
      </c>
    </row>
    <row r="1775" spans="4:40" x14ac:dyDescent="0.35">
      <c r="D1775" s="1">
        <v>43061</v>
      </c>
      <c r="E1775">
        <v>3.2555000000000001</v>
      </c>
      <c r="F1775" s="1">
        <v>43018</v>
      </c>
      <c r="G1775">
        <v>125.313</v>
      </c>
      <c r="H1775" s="4">
        <f t="shared" si="208"/>
        <v>407956.47150000004</v>
      </c>
      <c r="I1775" s="5">
        <v>43033</v>
      </c>
      <c r="J1775" s="4">
        <v>4217.26</v>
      </c>
      <c r="K1775" s="4">
        <f t="shared" si="209"/>
        <v>42172.600000000006</v>
      </c>
      <c r="L1775" s="1">
        <v>42915</v>
      </c>
      <c r="M1775">
        <v>5.66</v>
      </c>
      <c r="AJ1775" s="1">
        <v>43033</v>
      </c>
      <c r="AL1775">
        <v>10.1</v>
      </c>
      <c r="AM1775" s="6">
        <f t="shared" si="210"/>
        <v>100000</v>
      </c>
      <c r="AN1775" s="2">
        <f t="shared" si="211"/>
        <v>0</v>
      </c>
    </row>
    <row r="1776" spans="4:40" x14ac:dyDescent="0.35">
      <c r="D1776" s="1">
        <v>43060</v>
      </c>
      <c r="E1776">
        <v>3.2585000000000002</v>
      </c>
      <c r="F1776" s="1">
        <v>43017</v>
      </c>
      <c r="G1776">
        <v>125.03400000000001</v>
      </c>
      <c r="H1776" s="4">
        <f t="shared" si="208"/>
        <v>407423.28900000005</v>
      </c>
      <c r="I1776" s="5">
        <v>43032</v>
      </c>
      <c r="J1776" s="4">
        <v>4231.6000000000004</v>
      </c>
      <c r="K1776" s="4">
        <f t="shared" si="209"/>
        <v>42316</v>
      </c>
      <c r="L1776" s="1">
        <v>42912</v>
      </c>
      <c r="M1776">
        <v>5.62</v>
      </c>
      <c r="AJ1776" s="1">
        <v>43032</v>
      </c>
      <c r="AL1776">
        <v>10.130000000000001</v>
      </c>
      <c r="AM1776" s="6">
        <f t="shared" si="210"/>
        <v>100000</v>
      </c>
      <c r="AN1776" s="2">
        <f t="shared" si="211"/>
        <v>0</v>
      </c>
    </row>
    <row r="1777" spans="4:40" x14ac:dyDescent="0.35">
      <c r="D1777" s="1">
        <v>43059</v>
      </c>
      <c r="E1777">
        <v>3.2608000000000001</v>
      </c>
      <c r="F1777" s="1">
        <v>43014</v>
      </c>
      <c r="G1777">
        <v>125.10899999999999</v>
      </c>
      <c r="H1777" s="4">
        <f t="shared" si="208"/>
        <v>407955.42719999998</v>
      </c>
      <c r="I1777" s="5">
        <v>43031</v>
      </c>
      <c r="J1777" s="4">
        <v>4225.7299999999996</v>
      </c>
      <c r="K1777" s="4">
        <f t="shared" si="209"/>
        <v>42257.299999999996</v>
      </c>
      <c r="L1777" s="1">
        <v>42909</v>
      </c>
      <c r="M1777">
        <v>5.63</v>
      </c>
      <c r="AJ1777" s="1">
        <v>43031</v>
      </c>
      <c r="AL1777">
        <v>10.15</v>
      </c>
      <c r="AM1777" s="6">
        <f t="shared" si="210"/>
        <v>100000</v>
      </c>
      <c r="AN1777" s="2">
        <f t="shared" si="211"/>
        <v>0</v>
      </c>
    </row>
    <row r="1778" spans="4:40" x14ac:dyDescent="0.35">
      <c r="D1778" s="1">
        <v>43056</v>
      </c>
      <c r="E1778">
        <v>3.2782</v>
      </c>
      <c r="F1778" s="1">
        <v>43013</v>
      </c>
      <c r="G1778">
        <v>125.063</v>
      </c>
      <c r="H1778" s="4">
        <f t="shared" si="208"/>
        <v>409981.52659999998</v>
      </c>
      <c r="I1778" s="5">
        <v>43028</v>
      </c>
      <c r="J1778" s="4">
        <v>4167.7299999999996</v>
      </c>
      <c r="K1778" s="4">
        <f t="shared" si="209"/>
        <v>41677.299999999996</v>
      </c>
      <c r="L1778" s="1">
        <v>42908</v>
      </c>
      <c r="M1778">
        <v>5.59</v>
      </c>
      <c r="AJ1778" s="1">
        <v>43028</v>
      </c>
      <c r="AL1778">
        <v>10.039999999999999</v>
      </c>
      <c r="AM1778" s="6">
        <f t="shared" si="210"/>
        <v>100000</v>
      </c>
      <c r="AN1778" s="2">
        <f t="shared" si="211"/>
        <v>0</v>
      </c>
    </row>
    <row r="1779" spans="4:40" x14ac:dyDescent="0.35">
      <c r="D1779" s="1">
        <v>43055</v>
      </c>
      <c r="E1779">
        <v>3.2801999999999998</v>
      </c>
      <c r="F1779" s="1">
        <v>43012</v>
      </c>
      <c r="G1779">
        <v>125.25</v>
      </c>
      <c r="H1779" s="4">
        <f t="shared" si="208"/>
        <v>410845.04999999993</v>
      </c>
      <c r="I1779" s="5">
        <v>43027</v>
      </c>
      <c r="J1779" s="4">
        <v>4135.1400000000003</v>
      </c>
      <c r="K1779" s="4">
        <f t="shared" si="209"/>
        <v>41351.4</v>
      </c>
      <c r="L1779" s="1">
        <v>42907</v>
      </c>
      <c r="M1779">
        <v>5.59</v>
      </c>
      <c r="AJ1779" s="1">
        <v>43027</v>
      </c>
      <c r="AL1779">
        <v>10.029999999999999</v>
      </c>
      <c r="AM1779" s="6">
        <f t="shared" si="210"/>
        <v>100000</v>
      </c>
      <c r="AN1779" s="2">
        <f t="shared" si="211"/>
        <v>0</v>
      </c>
    </row>
    <row r="1780" spans="4:40" x14ac:dyDescent="0.35">
      <c r="D1780" s="1">
        <v>43053</v>
      </c>
      <c r="E1780">
        <v>3.2827999999999999</v>
      </c>
      <c r="F1780" s="1">
        <v>43011</v>
      </c>
      <c r="G1780">
        <v>125.23399999999999</v>
      </c>
      <c r="H1780" s="4">
        <f t="shared" si="208"/>
        <v>411118.1752</v>
      </c>
      <c r="I1780" s="5">
        <v>43026</v>
      </c>
      <c r="J1780" s="4">
        <v>4141.66</v>
      </c>
      <c r="K1780" s="4">
        <f t="shared" si="209"/>
        <v>41416.6</v>
      </c>
      <c r="L1780" s="1">
        <v>42906</v>
      </c>
      <c r="M1780">
        <v>5.54</v>
      </c>
      <c r="AJ1780" s="1">
        <v>43026</v>
      </c>
      <c r="AL1780">
        <v>10.11</v>
      </c>
      <c r="AM1780" s="6">
        <f t="shared" si="210"/>
        <v>100000</v>
      </c>
      <c r="AN1780" s="2">
        <f t="shared" si="211"/>
        <v>0</v>
      </c>
    </row>
    <row r="1781" spans="4:40" x14ac:dyDescent="0.35">
      <c r="D1781" s="1">
        <v>43052</v>
      </c>
      <c r="E1781">
        <v>3.2867000000000002</v>
      </c>
      <c r="F1781" s="1">
        <v>43010</v>
      </c>
      <c r="G1781">
        <v>125.17400000000001</v>
      </c>
      <c r="H1781" s="4">
        <f t="shared" si="208"/>
        <v>411409.38580000005</v>
      </c>
      <c r="I1781" s="5">
        <v>43025</v>
      </c>
      <c r="J1781" s="4">
        <v>4126.0200000000004</v>
      </c>
      <c r="K1781" s="4">
        <f t="shared" si="209"/>
        <v>41260.200000000004</v>
      </c>
      <c r="L1781" s="1">
        <v>42905</v>
      </c>
      <c r="M1781">
        <v>5.55</v>
      </c>
      <c r="AJ1781" s="1">
        <v>43025</v>
      </c>
      <c r="AL1781">
        <v>10.119999999999999</v>
      </c>
      <c r="AM1781" s="6">
        <f t="shared" si="210"/>
        <v>100000</v>
      </c>
      <c r="AN1781" s="2">
        <f t="shared" si="211"/>
        <v>0</v>
      </c>
    </row>
    <row r="1782" spans="4:40" x14ac:dyDescent="0.35">
      <c r="D1782" s="1">
        <v>43049</v>
      </c>
      <c r="E1782">
        <v>3.2654999999999998</v>
      </c>
      <c r="F1782" s="1">
        <v>43007</v>
      </c>
      <c r="G1782">
        <v>125.328</v>
      </c>
      <c r="H1782" s="4">
        <f t="shared" si="208"/>
        <v>409258.58399999997</v>
      </c>
      <c r="I1782" s="5">
        <v>43024</v>
      </c>
      <c r="J1782" s="4">
        <v>4142.96</v>
      </c>
      <c r="K1782" s="4">
        <f t="shared" si="209"/>
        <v>41429.599999999999</v>
      </c>
      <c r="L1782" s="1">
        <v>42894</v>
      </c>
      <c r="M1782">
        <v>5.8</v>
      </c>
      <c r="AJ1782" s="1">
        <v>43024</v>
      </c>
      <c r="AL1782">
        <v>10.25</v>
      </c>
      <c r="AM1782" s="6">
        <f t="shared" si="210"/>
        <v>100000</v>
      </c>
      <c r="AN1782" s="2">
        <f t="shared" si="211"/>
        <v>0</v>
      </c>
    </row>
    <row r="1783" spans="4:40" x14ac:dyDescent="0.35">
      <c r="D1783" s="1">
        <v>43048</v>
      </c>
      <c r="E1783">
        <v>3.2509000000000001</v>
      </c>
      <c r="F1783" s="1">
        <v>43006</v>
      </c>
      <c r="G1783">
        <v>125.45099999999999</v>
      </c>
      <c r="H1783" s="4">
        <f t="shared" si="208"/>
        <v>407828.65590000001</v>
      </c>
      <c r="I1783" s="5">
        <v>43021</v>
      </c>
      <c r="J1783" s="4">
        <v>4109.7299999999996</v>
      </c>
      <c r="K1783" s="4">
        <f t="shared" si="209"/>
        <v>41097.299999999996</v>
      </c>
      <c r="L1783" s="1">
        <v>42880</v>
      </c>
      <c r="M1783">
        <v>5.77</v>
      </c>
      <c r="AJ1783" s="1">
        <v>43021</v>
      </c>
      <c r="AL1783">
        <v>10.210000000000001</v>
      </c>
      <c r="AM1783" s="6">
        <f t="shared" si="210"/>
        <v>100000</v>
      </c>
      <c r="AN1783" s="2">
        <f t="shared" si="211"/>
        <v>0</v>
      </c>
    </row>
    <row r="1784" spans="4:40" x14ac:dyDescent="0.35">
      <c r="D1784" s="1">
        <v>43047</v>
      </c>
      <c r="E1784">
        <v>3.2503000000000002</v>
      </c>
      <c r="F1784" s="1">
        <v>43005</v>
      </c>
      <c r="G1784">
        <v>125.53</v>
      </c>
      <c r="H1784" s="4">
        <f t="shared" si="208"/>
        <v>408010.15900000004</v>
      </c>
      <c r="I1784" s="5">
        <v>43019</v>
      </c>
      <c r="J1784" s="4">
        <v>4144.2700000000004</v>
      </c>
      <c r="K1784" s="4">
        <f t="shared" si="209"/>
        <v>41442.700000000004</v>
      </c>
      <c r="L1784" s="1">
        <v>42877</v>
      </c>
      <c r="M1784">
        <v>5.98</v>
      </c>
      <c r="AJ1784" s="1">
        <v>43019</v>
      </c>
      <c r="AL1784">
        <v>10.19</v>
      </c>
      <c r="AM1784" s="6">
        <f t="shared" si="210"/>
        <v>100000</v>
      </c>
      <c r="AN1784" s="2">
        <f t="shared" si="211"/>
        <v>0</v>
      </c>
    </row>
    <row r="1785" spans="4:40" x14ac:dyDescent="0.35">
      <c r="D1785" s="1">
        <v>43046</v>
      </c>
      <c r="E1785">
        <v>3.2726999999999999</v>
      </c>
      <c r="F1785" s="1">
        <v>43004</v>
      </c>
      <c r="G1785">
        <v>125.90900000000001</v>
      </c>
      <c r="H1785" s="4">
        <f t="shared" si="208"/>
        <v>412062.38430000003</v>
      </c>
      <c r="I1785" s="5">
        <v>43018</v>
      </c>
      <c r="J1785" s="4">
        <v>4156.6499999999996</v>
      </c>
      <c r="K1785" s="4">
        <f t="shared" si="209"/>
        <v>41566.5</v>
      </c>
      <c r="L1785" s="1">
        <v>42874</v>
      </c>
      <c r="M1785">
        <v>6.04</v>
      </c>
      <c r="AJ1785" s="1">
        <v>43018</v>
      </c>
      <c r="AL1785">
        <v>10.14</v>
      </c>
      <c r="AM1785" s="6">
        <f t="shared" si="210"/>
        <v>100000</v>
      </c>
      <c r="AN1785" s="2">
        <f t="shared" si="211"/>
        <v>0</v>
      </c>
    </row>
    <row r="1786" spans="4:40" x14ac:dyDescent="0.35">
      <c r="D1786" s="1">
        <v>43045</v>
      </c>
      <c r="E1786">
        <v>3.2845</v>
      </c>
      <c r="F1786" s="1">
        <v>43003</v>
      </c>
      <c r="G1786">
        <v>126.002</v>
      </c>
      <c r="H1786" s="4">
        <f t="shared" si="208"/>
        <v>413853.56900000002</v>
      </c>
      <c r="I1786" s="5">
        <v>43017</v>
      </c>
      <c r="J1786" s="4">
        <v>4170.34</v>
      </c>
      <c r="K1786" s="4">
        <f t="shared" si="209"/>
        <v>41703.4</v>
      </c>
      <c r="L1786" s="1">
        <v>42873</v>
      </c>
      <c r="M1786">
        <v>6.06</v>
      </c>
      <c r="AJ1786" s="1">
        <v>43017</v>
      </c>
      <c r="AL1786">
        <v>10.210000000000001</v>
      </c>
      <c r="AM1786" s="6">
        <f t="shared" si="210"/>
        <v>100000</v>
      </c>
      <c r="AN1786" s="2">
        <f t="shared" si="211"/>
        <v>0</v>
      </c>
    </row>
    <row r="1787" spans="4:40" x14ac:dyDescent="0.35">
      <c r="D1787" s="1">
        <v>43042</v>
      </c>
      <c r="E1787">
        <v>3.2913999999999999</v>
      </c>
      <c r="F1787" s="1">
        <v>43000</v>
      </c>
      <c r="G1787">
        <v>125.79900000000001</v>
      </c>
      <c r="H1787" s="4">
        <f t="shared" si="208"/>
        <v>414054.82860000001</v>
      </c>
      <c r="I1787" s="5">
        <v>43014</v>
      </c>
      <c r="J1787" s="4">
        <v>4126.0200000000004</v>
      </c>
      <c r="K1787" s="4">
        <f t="shared" si="209"/>
        <v>41260.200000000004</v>
      </c>
      <c r="L1787" s="1">
        <v>42871</v>
      </c>
      <c r="M1787">
        <v>5.14</v>
      </c>
      <c r="AJ1787" s="1">
        <v>43014</v>
      </c>
      <c r="AL1787">
        <v>10.119999999999999</v>
      </c>
      <c r="AM1787" s="6">
        <f t="shared" si="210"/>
        <v>100000</v>
      </c>
      <c r="AN1787" s="2">
        <f t="shared" si="211"/>
        <v>0</v>
      </c>
    </row>
    <row r="1788" spans="4:40" x14ac:dyDescent="0.35">
      <c r="D1788" s="1">
        <v>43040</v>
      </c>
      <c r="E1788">
        <v>3.2730000000000001</v>
      </c>
      <c r="F1788" s="1">
        <v>42999</v>
      </c>
      <c r="G1788">
        <v>125.601</v>
      </c>
      <c r="H1788" s="4">
        <f t="shared" si="208"/>
        <v>411092.07300000003</v>
      </c>
      <c r="I1788" s="5">
        <v>43013</v>
      </c>
      <c r="J1788" s="4">
        <v>4124.72</v>
      </c>
      <c r="K1788" s="4">
        <f t="shared" si="209"/>
        <v>41247.200000000004</v>
      </c>
      <c r="L1788" s="1">
        <v>42870</v>
      </c>
      <c r="M1788">
        <v>5.18</v>
      </c>
      <c r="AJ1788" s="1">
        <v>43013</v>
      </c>
      <c r="AL1788">
        <v>10.29</v>
      </c>
      <c r="AM1788" s="6">
        <f t="shared" si="210"/>
        <v>100000</v>
      </c>
      <c r="AN1788" s="2">
        <f t="shared" si="211"/>
        <v>0</v>
      </c>
    </row>
    <row r="1789" spans="4:40" x14ac:dyDescent="0.35">
      <c r="D1789" s="1">
        <v>43039</v>
      </c>
      <c r="E1789">
        <v>3.2763</v>
      </c>
      <c r="F1789" s="1">
        <v>42998</v>
      </c>
      <c r="G1789">
        <v>125.73399999999999</v>
      </c>
      <c r="H1789" s="4">
        <f t="shared" si="208"/>
        <v>411942.30419999996</v>
      </c>
      <c r="I1789" s="5">
        <v>43012</v>
      </c>
      <c r="J1789" s="4">
        <v>4102.5600000000004</v>
      </c>
      <c r="K1789" s="4">
        <f t="shared" si="209"/>
        <v>41025.600000000006</v>
      </c>
      <c r="L1789" s="1">
        <v>42867</v>
      </c>
      <c r="M1789">
        <v>5.23</v>
      </c>
      <c r="AJ1789" s="1">
        <v>43012</v>
      </c>
      <c r="AL1789">
        <v>10.16</v>
      </c>
      <c r="AM1789" s="6">
        <f t="shared" si="210"/>
        <v>100000</v>
      </c>
      <c r="AN1789" s="2">
        <f t="shared" si="211"/>
        <v>0</v>
      </c>
    </row>
    <row r="1790" spans="4:40" x14ac:dyDescent="0.35">
      <c r="D1790" s="1">
        <v>43038</v>
      </c>
      <c r="E1790">
        <v>3.2541000000000002</v>
      </c>
      <c r="F1790" s="1">
        <v>42997</v>
      </c>
      <c r="G1790">
        <v>126</v>
      </c>
      <c r="H1790" s="4">
        <f t="shared" si="208"/>
        <v>410016.60000000003</v>
      </c>
      <c r="I1790" s="5">
        <v>43011</v>
      </c>
      <c r="J1790" s="4">
        <v>4112.99</v>
      </c>
      <c r="K1790" s="4">
        <f t="shared" si="209"/>
        <v>41129.899999999994</v>
      </c>
      <c r="L1790" s="1">
        <v>42863</v>
      </c>
      <c r="M1790">
        <v>5.4</v>
      </c>
      <c r="AJ1790" s="1">
        <v>43011</v>
      </c>
      <c r="AL1790">
        <v>10.16</v>
      </c>
      <c r="AM1790" s="6">
        <f t="shared" si="210"/>
        <v>100000</v>
      </c>
      <c r="AN1790" s="2">
        <f t="shared" si="211"/>
        <v>0</v>
      </c>
    </row>
    <row r="1791" spans="4:40" x14ac:dyDescent="0.35">
      <c r="D1791" s="1">
        <v>43035</v>
      </c>
      <c r="E1791">
        <v>3.2795000000000001</v>
      </c>
      <c r="F1791" s="1">
        <v>42996</v>
      </c>
      <c r="G1791">
        <v>126.108</v>
      </c>
      <c r="H1791" s="4">
        <f t="shared" si="208"/>
        <v>413571.18599999999</v>
      </c>
      <c r="I1791" s="5">
        <v>43010</v>
      </c>
      <c r="J1791" s="4">
        <v>4128.63</v>
      </c>
      <c r="K1791" s="4">
        <f t="shared" si="209"/>
        <v>41286.300000000003</v>
      </c>
      <c r="L1791" s="1">
        <v>42853</v>
      </c>
      <c r="M1791">
        <v>5.46</v>
      </c>
      <c r="AJ1791" s="1">
        <v>43010</v>
      </c>
      <c r="AL1791">
        <v>10.1</v>
      </c>
      <c r="AM1791" s="6">
        <f t="shared" si="210"/>
        <v>100000</v>
      </c>
      <c r="AN1791" s="2">
        <f t="shared" si="211"/>
        <v>0</v>
      </c>
    </row>
    <row r="1792" spans="4:40" x14ac:dyDescent="0.35">
      <c r="D1792" s="1">
        <v>43034</v>
      </c>
      <c r="E1792">
        <v>3.2437999999999998</v>
      </c>
      <c r="F1792" s="1">
        <v>42993</v>
      </c>
      <c r="G1792">
        <v>126.25</v>
      </c>
      <c r="H1792" s="4">
        <f t="shared" si="208"/>
        <v>409529.75</v>
      </c>
      <c r="I1792" s="5">
        <v>43007</v>
      </c>
      <c r="J1792" s="4">
        <v>4139.71</v>
      </c>
      <c r="K1792" s="4">
        <f t="shared" si="209"/>
        <v>41397.1</v>
      </c>
      <c r="L1792" s="1">
        <v>42852</v>
      </c>
      <c r="M1792">
        <v>5.44</v>
      </c>
      <c r="AJ1792" s="1">
        <v>43007</v>
      </c>
      <c r="AL1792">
        <v>10.11</v>
      </c>
      <c r="AM1792" s="6">
        <f t="shared" si="210"/>
        <v>100000</v>
      </c>
      <c r="AN1792" s="2">
        <f t="shared" si="211"/>
        <v>0</v>
      </c>
    </row>
    <row r="1793" spans="4:40" x14ac:dyDescent="0.35">
      <c r="D1793" s="1">
        <v>43033</v>
      </c>
      <c r="E1793">
        <v>3.2381000000000002</v>
      </c>
      <c r="F1793" s="1">
        <v>42992</v>
      </c>
      <c r="G1793">
        <v>126.467</v>
      </c>
      <c r="H1793" s="4">
        <f t="shared" si="208"/>
        <v>409512.79270000005</v>
      </c>
      <c r="I1793" s="5">
        <v>43006</v>
      </c>
      <c r="J1793" s="4">
        <v>4167.08</v>
      </c>
      <c r="K1793" s="4">
        <f t="shared" si="209"/>
        <v>41670.800000000003</v>
      </c>
      <c r="L1793" s="1">
        <v>42845</v>
      </c>
      <c r="M1793">
        <v>5.32</v>
      </c>
      <c r="AJ1793" s="1">
        <v>43006</v>
      </c>
      <c r="AL1793">
        <v>10.17</v>
      </c>
      <c r="AM1793" s="6">
        <f t="shared" si="210"/>
        <v>100000</v>
      </c>
      <c r="AN1793" s="2">
        <f t="shared" si="211"/>
        <v>0</v>
      </c>
    </row>
    <row r="1794" spans="4:40" x14ac:dyDescent="0.35">
      <c r="D1794" s="1">
        <v>43032</v>
      </c>
      <c r="E1794">
        <v>3.2464</v>
      </c>
      <c r="F1794" s="1">
        <v>42991</v>
      </c>
      <c r="G1794">
        <v>126.40600000000001</v>
      </c>
      <c r="H1794" s="4">
        <f t="shared" si="208"/>
        <v>410364.43840000004</v>
      </c>
      <c r="I1794" s="5">
        <v>43005</v>
      </c>
      <c r="J1794" s="4">
        <v>4179.51</v>
      </c>
      <c r="K1794" s="4">
        <f t="shared" si="209"/>
        <v>41795.100000000006</v>
      </c>
      <c r="L1794" s="1">
        <v>42844</v>
      </c>
      <c r="M1794">
        <v>5.26</v>
      </c>
      <c r="AJ1794" s="1">
        <v>43005</v>
      </c>
      <c r="AL1794">
        <v>10.210000000000001</v>
      </c>
      <c r="AM1794" s="6">
        <f t="shared" si="210"/>
        <v>100000</v>
      </c>
      <c r="AN1794" s="2">
        <f t="shared" si="211"/>
        <v>0</v>
      </c>
    </row>
    <row r="1795" spans="4:40" x14ac:dyDescent="0.35">
      <c r="D1795" s="1">
        <v>43031</v>
      </c>
      <c r="E1795">
        <v>3.1997</v>
      </c>
      <c r="F1795" s="1">
        <v>42990</v>
      </c>
      <c r="G1795">
        <v>126.56399999999999</v>
      </c>
      <c r="H1795" s="4">
        <f t="shared" si="208"/>
        <v>404966.8308</v>
      </c>
      <c r="I1795" s="5">
        <v>43004</v>
      </c>
      <c r="J1795" s="4">
        <v>4146.1400000000003</v>
      </c>
      <c r="K1795" s="4">
        <f t="shared" si="209"/>
        <v>41461.4</v>
      </c>
      <c r="L1795" s="1">
        <v>42838</v>
      </c>
      <c r="M1795">
        <v>5.26</v>
      </c>
      <c r="AJ1795" s="1">
        <v>43004</v>
      </c>
      <c r="AL1795">
        <v>10.11</v>
      </c>
      <c r="AM1795" s="6">
        <f t="shared" si="210"/>
        <v>100000</v>
      </c>
      <c r="AN1795" s="2">
        <f t="shared" si="211"/>
        <v>0</v>
      </c>
    </row>
    <row r="1796" spans="4:40" x14ac:dyDescent="0.35">
      <c r="D1796" s="1">
        <v>43028</v>
      </c>
      <c r="E1796">
        <v>3.1827000000000001</v>
      </c>
      <c r="F1796" s="1">
        <v>42989</v>
      </c>
      <c r="G1796">
        <v>127.01600000000001</v>
      </c>
      <c r="H1796" s="4">
        <f t="shared" ref="H1796:H1859" si="212">G1796*E1796*1000</f>
        <v>404253.82319999998</v>
      </c>
      <c r="I1796" s="5">
        <v>43003</v>
      </c>
      <c r="J1796" s="4">
        <v>4137.63</v>
      </c>
      <c r="K1796" s="4">
        <f t="shared" si="209"/>
        <v>41376.300000000003</v>
      </c>
      <c r="L1796" s="1">
        <v>42822</v>
      </c>
      <c r="M1796">
        <v>5.28</v>
      </c>
      <c r="AJ1796" s="1">
        <v>43003</v>
      </c>
      <c r="AL1796">
        <v>10.15</v>
      </c>
      <c r="AM1796" s="6">
        <f t="shared" si="210"/>
        <v>100000</v>
      </c>
      <c r="AN1796" s="2">
        <f t="shared" si="211"/>
        <v>0</v>
      </c>
    </row>
    <row r="1797" spans="4:40" x14ac:dyDescent="0.35">
      <c r="D1797" s="1">
        <v>43027</v>
      </c>
      <c r="E1797">
        <v>3.1726999999999999</v>
      </c>
      <c r="F1797" s="1">
        <v>42986</v>
      </c>
      <c r="G1797">
        <v>127.455</v>
      </c>
      <c r="H1797" s="4">
        <f t="shared" si="212"/>
        <v>404376.47849999997</v>
      </c>
      <c r="I1797" s="5">
        <v>43000</v>
      </c>
      <c r="J1797" s="4">
        <v>4093.79</v>
      </c>
      <c r="K1797" s="4">
        <f t="shared" ref="K1797:K1860" si="213">J1797*10</f>
        <v>40937.9</v>
      </c>
      <c r="L1797" s="1">
        <v>42821</v>
      </c>
      <c r="M1797">
        <v>5.25</v>
      </c>
      <c r="AJ1797" s="1">
        <v>43000</v>
      </c>
      <c r="AL1797">
        <v>10</v>
      </c>
      <c r="AM1797" s="6">
        <f t="shared" ref="AM1797:AM1860" si="214">$Z$2/(1+AL1797/100)^(AK1797/252)</f>
        <v>100000</v>
      </c>
      <c r="AN1797" s="2">
        <f t="shared" ref="AN1797:AN1860" si="215">LOG(AM1797/AM1798)</f>
        <v>0</v>
      </c>
    </row>
    <row r="1798" spans="4:40" x14ac:dyDescent="0.35">
      <c r="D1798" s="1">
        <v>43026</v>
      </c>
      <c r="E1798">
        <v>3.1667000000000001</v>
      </c>
      <c r="F1798" s="1">
        <v>42984</v>
      </c>
      <c r="G1798">
        <v>127.063</v>
      </c>
      <c r="H1798" s="4">
        <f t="shared" si="212"/>
        <v>402370.40210000001</v>
      </c>
      <c r="I1798" s="5">
        <v>42999</v>
      </c>
      <c r="J1798" s="4">
        <v>4110.8</v>
      </c>
      <c r="K1798" s="4">
        <f t="shared" si="213"/>
        <v>41108</v>
      </c>
      <c r="L1798" s="1">
        <v>42811</v>
      </c>
      <c r="M1798">
        <v>5.25</v>
      </c>
      <c r="AJ1798" s="1">
        <v>42999</v>
      </c>
      <c r="AL1798">
        <v>9.98</v>
      </c>
      <c r="AM1798" s="6">
        <f t="shared" si="214"/>
        <v>100000</v>
      </c>
      <c r="AN1798" s="2">
        <f t="shared" si="215"/>
        <v>0</v>
      </c>
    </row>
    <row r="1799" spans="4:40" x14ac:dyDescent="0.35">
      <c r="D1799" s="1">
        <v>43025</v>
      </c>
      <c r="E1799">
        <v>3.1762999999999999</v>
      </c>
      <c r="F1799" s="1">
        <v>42983</v>
      </c>
      <c r="G1799">
        <v>127.498</v>
      </c>
      <c r="H1799" s="4">
        <f t="shared" si="212"/>
        <v>404971.89740000002</v>
      </c>
      <c r="I1799" s="5">
        <v>42998</v>
      </c>
      <c r="J1799" s="4">
        <v>4105.57</v>
      </c>
      <c r="K1799" s="4">
        <f t="shared" si="213"/>
        <v>41055.699999999997</v>
      </c>
      <c r="L1799" s="1">
        <v>42810</v>
      </c>
      <c r="M1799">
        <v>5.36</v>
      </c>
      <c r="AJ1799" s="1">
        <v>42998</v>
      </c>
      <c r="AL1799">
        <v>10.039999999999999</v>
      </c>
      <c r="AM1799" s="6">
        <f t="shared" si="214"/>
        <v>100000</v>
      </c>
      <c r="AN1799" s="2">
        <f t="shared" si="215"/>
        <v>0</v>
      </c>
    </row>
    <row r="1800" spans="4:40" x14ac:dyDescent="0.35">
      <c r="D1800" s="1">
        <v>43024</v>
      </c>
      <c r="E1800">
        <v>3.1600999999999999</v>
      </c>
      <c r="F1800" s="1">
        <v>42982</v>
      </c>
      <c r="G1800">
        <v>126.813</v>
      </c>
      <c r="H1800" s="4">
        <f t="shared" si="212"/>
        <v>400741.76130000001</v>
      </c>
      <c r="I1800" s="5">
        <v>42997</v>
      </c>
      <c r="J1800" s="4">
        <v>4109.49</v>
      </c>
      <c r="K1800" s="4">
        <f t="shared" si="213"/>
        <v>41094.899999999994</v>
      </c>
      <c r="L1800" s="1">
        <v>42809</v>
      </c>
      <c r="M1800">
        <v>5.32</v>
      </c>
      <c r="AJ1800" s="1">
        <v>42997</v>
      </c>
      <c r="AL1800">
        <v>10.07</v>
      </c>
      <c r="AM1800" s="6">
        <f t="shared" si="214"/>
        <v>100000</v>
      </c>
      <c r="AN1800" s="2">
        <f t="shared" si="215"/>
        <v>0</v>
      </c>
    </row>
    <row r="1801" spans="4:40" x14ac:dyDescent="0.35">
      <c r="D1801" s="1">
        <v>43021</v>
      </c>
      <c r="E1801">
        <v>3.1566999999999998</v>
      </c>
      <c r="F1801" s="1">
        <v>42979</v>
      </c>
      <c r="G1801">
        <v>126.718</v>
      </c>
      <c r="H1801" s="4">
        <f t="shared" si="212"/>
        <v>400010.71059999999</v>
      </c>
      <c r="I1801" s="5">
        <v>42996</v>
      </c>
      <c r="J1801" s="4">
        <v>4112.76</v>
      </c>
      <c r="K1801" s="4">
        <f t="shared" si="213"/>
        <v>41127.600000000006</v>
      </c>
      <c r="L1801" s="1">
        <v>42808</v>
      </c>
      <c r="M1801">
        <v>5.37</v>
      </c>
      <c r="AJ1801" s="1">
        <v>42996</v>
      </c>
      <c r="AL1801">
        <v>10.11</v>
      </c>
      <c r="AM1801" s="6">
        <f t="shared" si="214"/>
        <v>100000</v>
      </c>
      <c r="AN1801" s="2">
        <f t="shared" si="215"/>
        <v>0</v>
      </c>
    </row>
    <row r="1802" spans="4:40" x14ac:dyDescent="0.35">
      <c r="D1802" s="1">
        <v>43019</v>
      </c>
      <c r="E1802">
        <v>3.1633</v>
      </c>
      <c r="F1802" s="1">
        <v>42978</v>
      </c>
      <c r="G1802">
        <v>126.922</v>
      </c>
      <c r="H1802" s="4">
        <f t="shared" si="212"/>
        <v>401492.36259999999</v>
      </c>
      <c r="I1802" s="5">
        <v>42993</v>
      </c>
      <c r="J1802" s="4">
        <v>4080.05</v>
      </c>
      <c r="K1802" s="4">
        <f t="shared" si="213"/>
        <v>40800.5</v>
      </c>
      <c r="L1802" s="1">
        <v>42804</v>
      </c>
      <c r="M1802">
        <v>5.49</v>
      </c>
      <c r="AJ1802" s="1">
        <v>42993</v>
      </c>
      <c r="AL1802">
        <v>10.14</v>
      </c>
      <c r="AM1802" s="6">
        <f t="shared" si="214"/>
        <v>100000</v>
      </c>
      <c r="AN1802" s="2">
        <f t="shared" si="215"/>
        <v>0</v>
      </c>
    </row>
    <row r="1803" spans="4:40" x14ac:dyDescent="0.35">
      <c r="D1803" s="1">
        <v>43018</v>
      </c>
      <c r="E1803">
        <v>3.1682000000000001</v>
      </c>
      <c r="F1803" s="1">
        <v>42977</v>
      </c>
      <c r="G1803">
        <v>127.047</v>
      </c>
      <c r="H1803" s="4">
        <f t="shared" si="212"/>
        <v>402510.30540000001</v>
      </c>
      <c r="I1803" s="5">
        <v>42992</v>
      </c>
      <c r="J1803" s="4">
        <v>4091.17</v>
      </c>
      <c r="K1803" s="4">
        <f t="shared" si="213"/>
        <v>40911.699999999997</v>
      </c>
      <c r="L1803" s="1">
        <v>42803</v>
      </c>
      <c r="M1803">
        <v>5.44</v>
      </c>
      <c r="AJ1803" s="1">
        <v>42992</v>
      </c>
      <c r="AL1803">
        <v>10.119999999999999</v>
      </c>
      <c r="AM1803" s="6">
        <f t="shared" si="214"/>
        <v>100000</v>
      </c>
      <c r="AN1803" s="2">
        <f t="shared" si="215"/>
        <v>0</v>
      </c>
    </row>
    <row r="1804" spans="4:40" x14ac:dyDescent="0.35">
      <c r="D1804" s="1">
        <v>43017</v>
      </c>
      <c r="E1804">
        <v>3.1764000000000001</v>
      </c>
      <c r="F1804" s="1">
        <v>42976</v>
      </c>
      <c r="G1804">
        <v>127.2</v>
      </c>
      <c r="H1804" s="4">
        <f t="shared" si="212"/>
        <v>404038.08</v>
      </c>
      <c r="I1804" s="5">
        <v>42991</v>
      </c>
      <c r="J1804" s="4">
        <v>4111.46</v>
      </c>
      <c r="K1804" s="4">
        <f t="shared" si="213"/>
        <v>41114.6</v>
      </c>
      <c r="L1804" s="1">
        <v>42801</v>
      </c>
      <c r="M1804">
        <v>5.42</v>
      </c>
      <c r="AJ1804" s="1">
        <v>42991</v>
      </c>
      <c r="AL1804">
        <v>10.210000000000001</v>
      </c>
      <c r="AM1804" s="6">
        <f t="shared" si="214"/>
        <v>100000</v>
      </c>
      <c r="AN1804" s="2">
        <f t="shared" si="215"/>
        <v>0</v>
      </c>
    </row>
    <row r="1805" spans="4:40" x14ac:dyDescent="0.35">
      <c r="D1805" s="1">
        <v>43014</v>
      </c>
      <c r="E1805">
        <v>3.1642000000000001</v>
      </c>
      <c r="F1805" s="1">
        <v>42975</v>
      </c>
      <c r="G1805">
        <v>126.998</v>
      </c>
      <c r="H1805" s="4">
        <f t="shared" si="212"/>
        <v>401847.07160000002</v>
      </c>
      <c r="I1805" s="5">
        <v>42990</v>
      </c>
      <c r="J1805" s="4">
        <v>4098.37</v>
      </c>
      <c r="K1805" s="4">
        <f t="shared" si="213"/>
        <v>40983.699999999997</v>
      </c>
      <c r="L1805" s="1">
        <v>42788</v>
      </c>
      <c r="M1805">
        <v>5.46</v>
      </c>
      <c r="AJ1805" s="1">
        <v>42990</v>
      </c>
      <c r="AL1805">
        <v>10.16</v>
      </c>
      <c r="AM1805" s="6">
        <f t="shared" si="214"/>
        <v>100000</v>
      </c>
      <c r="AN1805" s="2">
        <f t="shared" si="215"/>
        <v>0</v>
      </c>
    </row>
    <row r="1806" spans="4:40" x14ac:dyDescent="0.35">
      <c r="D1806" s="1">
        <v>43013</v>
      </c>
      <c r="E1806">
        <v>3.1341000000000001</v>
      </c>
      <c r="F1806" s="1">
        <v>42972</v>
      </c>
      <c r="G1806">
        <v>126.85</v>
      </c>
      <c r="H1806" s="4">
        <f t="shared" si="212"/>
        <v>397560.58500000002</v>
      </c>
      <c r="I1806" s="5">
        <v>42989</v>
      </c>
      <c r="J1806" s="4">
        <v>4071.54</v>
      </c>
      <c r="K1806" s="4">
        <f t="shared" si="213"/>
        <v>40715.4</v>
      </c>
      <c r="L1806" s="1">
        <v>42787</v>
      </c>
      <c r="M1806">
        <v>5.53</v>
      </c>
      <c r="AJ1806" s="1">
        <v>42989</v>
      </c>
      <c r="AL1806">
        <v>10.09</v>
      </c>
      <c r="AM1806" s="6">
        <f t="shared" si="214"/>
        <v>100000</v>
      </c>
      <c r="AN1806" s="2">
        <f t="shared" si="215"/>
        <v>0</v>
      </c>
    </row>
    <row r="1807" spans="4:40" x14ac:dyDescent="0.35">
      <c r="D1807" s="1">
        <v>43012</v>
      </c>
      <c r="E1807">
        <v>3.1309</v>
      </c>
      <c r="F1807" s="1">
        <v>42971</v>
      </c>
      <c r="G1807">
        <v>126.64100000000001</v>
      </c>
      <c r="H1807" s="4">
        <f t="shared" si="212"/>
        <v>396500.30690000003</v>
      </c>
      <c r="I1807" s="5">
        <v>42986</v>
      </c>
      <c r="J1807" s="4">
        <v>4051.91</v>
      </c>
      <c r="K1807" s="4">
        <f t="shared" si="213"/>
        <v>40519.1</v>
      </c>
      <c r="L1807" s="1">
        <v>42786</v>
      </c>
      <c r="M1807">
        <v>5.52</v>
      </c>
      <c r="AJ1807" s="1">
        <v>42986</v>
      </c>
      <c r="AL1807">
        <v>10.06</v>
      </c>
      <c r="AM1807" s="6">
        <f t="shared" si="214"/>
        <v>100000</v>
      </c>
      <c r="AN1807" s="2">
        <f t="shared" si="215"/>
        <v>0</v>
      </c>
    </row>
    <row r="1808" spans="4:40" x14ac:dyDescent="0.35">
      <c r="D1808" s="1">
        <v>43011</v>
      </c>
      <c r="E1808">
        <v>3.1496</v>
      </c>
      <c r="F1808" s="1">
        <v>42970</v>
      </c>
      <c r="G1808">
        <v>126.84399999999999</v>
      </c>
      <c r="H1808" s="4">
        <f t="shared" si="212"/>
        <v>399507.86239999998</v>
      </c>
      <c r="I1808" s="5">
        <v>42984</v>
      </c>
      <c r="J1808" s="4">
        <v>4068.27</v>
      </c>
      <c r="K1808" s="4">
        <f t="shared" si="213"/>
        <v>40682.699999999997</v>
      </c>
      <c r="L1808" s="1">
        <v>42775</v>
      </c>
      <c r="M1808">
        <v>5.44</v>
      </c>
      <c r="AJ1808" s="1">
        <v>42984</v>
      </c>
      <c r="AL1808">
        <v>10.11</v>
      </c>
      <c r="AM1808" s="6">
        <f t="shared" si="214"/>
        <v>100000</v>
      </c>
      <c r="AN1808" s="2">
        <f t="shared" si="215"/>
        <v>0</v>
      </c>
    </row>
    <row r="1809" spans="4:40" x14ac:dyDescent="0.35">
      <c r="D1809" s="1">
        <v>43010</v>
      </c>
      <c r="E1809">
        <v>3.1636000000000002</v>
      </c>
      <c r="F1809" s="1">
        <v>42969</v>
      </c>
      <c r="G1809">
        <v>126.64</v>
      </c>
      <c r="H1809" s="4">
        <f t="shared" si="212"/>
        <v>400638.304</v>
      </c>
      <c r="I1809" s="5">
        <v>42983</v>
      </c>
      <c r="J1809" s="4">
        <v>4093.13</v>
      </c>
      <c r="K1809" s="4">
        <f t="shared" si="213"/>
        <v>40931.300000000003</v>
      </c>
      <c r="L1809" s="1">
        <v>42768</v>
      </c>
      <c r="M1809">
        <v>5.75</v>
      </c>
      <c r="AJ1809" s="1">
        <v>42983</v>
      </c>
      <c r="AL1809">
        <v>10.210000000000001</v>
      </c>
      <c r="AM1809" s="6">
        <f t="shared" si="214"/>
        <v>100000</v>
      </c>
      <c r="AN1809" s="2">
        <f t="shared" si="215"/>
        <v>0</v>
      </c>
    </row>
    <row r="1810" spans="4:40" x14ac:dyDescent="0.35">
      <c r="D1810" s="1">
        <v>43007</v>
      </c>
      <c r="E1810">
        <v>3.1674000000000002</v>
      </c>
      <c r="F1810" s="1">
        <v>42968</v>
      </c>
      <c r="G1810">
        <v>126.782</v>
      </c>
      <c r="H1810" s="4">
        <f t="shared" si="212"/>
        <v>401569.30680000002</v>
      </c>
      <c r="I1810" s="5">
        <v>42982</v>
      </c>
      <c r="J1810" s="4">
        <v>4125.8500000000004</v>
      </c>
      <c r="K1810" s="4">
        <f t="shared" si="213"/>
        <v>41258.5</v>
      </c>
      <c r="L1810" s="1">
        <v>42767</v>
      </c>
      <c r="M1810">
        <v>5.75</v>
      </c>
      <c r="AJ1810" s="1">
        <v>42982</v>
      </c>
      <c r="AL1810">
        <v>10.34</v>
      </c>
      <c r="AM1810" s="6">
        <f t="shared" si="214"/>
        <v>100000</v>
      </c>
      <c r="AN1810" s="2">
        <f t="shared" si="215"/>
        <v>0</v>
      </c>
    </row>
    <row r="1811" spans="4:40" x14ac:dyDescent="0.35">
      <c r="D1811" s="1">
        <v>43006</v>
      </c>
      <c r="E1811">
        <v>3.1865000000000001</v>
      </c>
      <c r="F1811" s="1">
        <v>42965</v>
      </c>
      <c r="G1811">
        <v>126.79600000000001</v>
      </c>
      <c r="H1811" s="4">
        <f t="shared" si="212"/>
        <v>404035.45400000003</v>
      </c>
      <c r="I1811" s="5">
        <v>42979</v>
      </c>
      <c r="J1811" s="4">
        <v>4126.51</v>
      </c>
      <c r="K1811" s="4">
        <f t="shared" si="213"/>
        <v>41265.100000000006</v>
      </c>
      <c r="L1811" s="1">
        <v>42766</v>
      </c>
      <c r="M1811">
        <v>5.78</v>
      </c>
      <c r="AJ1811" s="1">
        <v>42979</v>
      </c>
      <c r="AL1811">
        <v>10.35</v>
      </c>
      <c r="AM1811" s="6">
        <f t="shared" si="214"/>
        <v>100000</v>
      </c>
      <c r="AN1811" s="2">
        <f t="shared" si="215"/>
        <v>0</v>
      </c>
    </row>
    <row r="1812" spans="4:40" x14ac:dyDescent="0.35">
      <c r="D1812" s="1">
        <v>43005</v>
      </c>
      <c r="E1812">
        <v>3.1926000000000001</v>
      </c>
      <c r="F1812" s="1">
        <v>42964</v>
      </c>
      <c r="G1812">
        <v>126.85899999999999</v>
      </c>
      <c r="H1812" s="4">
        <f t="shared" si="212"/>
        <v>405010.04339999997</v>
      </c>
      <c r="I1812" s="5">
        <v>42978</v>
      </c>
      <c r="J1812" s="4">
        <v>4136.9799999999996</v>
      </c>
      <c r="K1812" s="4">
        <f t="shared" si="213"/>
        <v>41369.799999999996</v>
      </c>
      <c r="L1812" s="1">
        <v>42753</v>
      </c>
      <c r="M1812">
        <v>5.61</v>
      </c>
      <c r="AJ1812" s="1">
        <v>42978</v>
      </c>
      <c r="AL1812">
        <v>10.32</v>
      </c>
      <c r="AM1812" s="6">
        <f t="shared" si="214"/>
        <v>100000</v>
      </c>
      <c r="AN1812" s="2">
        <f t="shared" si="215"/>
        <v>0</v>
      </c>
    </row>
    <row r="1813" spans="4:40" x14ac:dyDescent="0.35">
      <c r="D1813" s="1">
        <v>43004</v>
      </c>
      <c r="E1813">
        <v>3.1667999999999998</v>
      </c>
      <c r="F1813" s="1">
        <v>42963</v>
      </c>
      <c r="G1813">
        <v>126.5</v>
      </c>
      <c r="H1813" s="4">
        <f t="shared" si="212"/>
        <v>400600.19999999995</v>
      </c>
      <c r="I1813" s="5">
        <v>42977</v>
      </c>
      <c r="J1813" s="4">
        <v>4156.6099999999997</v>
      </c>
      <c r="K1813" s="4">
        <f t="shared" si="213"/>
        <v>41566.1</v>
      </c>
      <c r="L1813" s="1">
        <v>42719</v>
      </c>
      <c r="M1813">
        <v>6.13</v>
      </c>
      <c r="AJ1813" s="1">
        <v>42977</v>
      </c>
      <c r="AL1813">
        <v>10.44</v>
      </c>
      <c r="AM1813" s="6">
        <f t="shared" si="214"/>
        <v>100000</v>
      </c>
      <c r="AN1813" s="2">
        <f t="shared" si="215"/>
        <v>0</v>
      </c>
    </row>
    <row r="1814" spans="4:40" x14ac:dyDescent="0.35">
      <c r="D1814" s="1">
        <v>43003</v>
      </c>
      <c r="E1814">
        <v>3.1406000000000001</v>
      </c>
      <c r="F1814" s="1">
        <v>42962</v>
      </c>
      <c r="G1814">
        <v>126.063</v>
      </c>
      <c r="H1814" s="4">
        <f t="shared" si="212"/>
        <v>395913.45779999997</v>
      </c>
      <c r="I1814" s="5">
        <v>42976</v>
      </c>
      <c r="J1814" s="4">
        <v>4163.18</v>
      </c>
      <c r="K1814" s="4">
        <f t="shared" si="213"/>
        <v>41631.800000000003</v>
      </c>
      <c r="L1814" s="1">
        <v>42702</v>
      </c>
      <c r="M1814">
        <v>6.22</v>
      </c>
      <c r="AJ1814" s="1">
        <v>42976</v>
      </c>
      <c r="AL1814">
        <v>10.43</v>
      </c>
      <c r="AM1814" s="6">
        <f t="shared" si="214"/>
        <v>100000</v>
      </c>
      <c r="AN1814" s="2">
        <f t="shared" si="215"/>
        <v>0</v>
      </c>
    </row>
    <row r="1815" spans="4:40" x14ac:dyDescent="0.35">
      <c r="D1815" s="1">
        <v>43000</v>
      </c>
      <c r="E1815">
        <v>3.1278999999999999</v>
      </c>
      <c r="F1815" s="1">
        <v>42961</v>
      </c>
      <c r="G1815">
        <v>126.407</v>
      </c>
      <c r="H1815" s="4">
        <f t="shared" si="212"/>
        <v>395388.45529999997</v>
      </c>
      <c r="I1815" s="5">
        <v>42975</v>
      </c>
      <c r="J1815" s="4">
        <v>4167.78</v>
      </c>
      <c r="K1815" s="4">
        <f t="shared" si="213"/>
        <v>41677.799999999996</v>
      </c>
      <c r="L1815" s="1">
        <v>42691</v>
      </c>
      <c r="M1815">
        <v>6.36</v>
      </c>
      <c r="AJ1815" s="1">
        <v>42975</v>
      </c>
      <c r="AL1815">
        <v>10.47</v>
      </c>
      <c r="AM1815" s="6">
        <f t="shared" si="214"/>
        <v>100000</v>
      </c>
      <c r="AN1815" s="2">
        <f t="shared" si="215"/>
        <v>0</v>
      </c>
    </row>
    <row r="1816" spans="4:40" x14ac:dyDescent="0.35">
      <c r="D1816" s="1">
        <v>42999</v>
      </c>
      <c r="E1816">
        <v>3.1341000000000001</v>
      </c>
      <c r="F1816" s="1">
        <v>42958</v>
      </c>
      <c r="G1816">
        <v>126.782</v>
      </c>
      <c r="H1816" s="4">
        <f t="shared" si="212"/>
        <v>397347.46619999997</v>
      </c>
      <c r="I1816" s="5">
        <v>42972</v>
      </c>
      <c r="J1816" s="4">
        <v>4159.8900000000003</v>
      </c>
      <c r="K1816" s="4">
        <f t="shared" si="213"/>
        <v>41598.9</v>
      </c>
      <c r="L1816" s="1">
        <v>42684</v>
      </c>
      <c r="M1816">
        <v>6.27</v>
      </c>
      <c r="AJ1816" s="1">
        <v>42972</v>
      </c>
      <c r="AL1816">
        <v>10.47</v>
      </c>
      <c r="AM1816" s="6">
        <f t="shared" si="214"/>
        <v>100000</v>
      </c>
      <c r="AN1816" s="2">
        <f t="shared" si="215"/>
        <v>0</v>
      </c>
    </row>
    <row r="1817" spans="4:40" x14ac:dyDescent="0.35">
      <c r="D1817" s="1">
        <v>42998</v>
      </c>
      <c r="E1817">
        <v>3.1274999999999999</v>
      </c>
      <c r="F1817" s="1">
        <v>42957</v>
      </c>
      <c r="G1817">
        <v>126.578</v>
      </c>
      <c r="H1817" s="4">
        <f t="shared" si="212"/>
        <v>395872.69500000001</v>
      </c>
      <c r="I1817" s="5">
        <v>42971</v>
      </c>
      <c r="J1817" s="4">
        <v>4145.43</v>
      </c>
      <c r="K1817" s="4">
        <f t="shared" si="213"/>
        <v>41454.300000000003</v>
      </c>
      <c r="L1817" s="1">
        <v>42668</v>
      </c>
      <c r="M1817">
        <v>5.82</v>
      </c>
      <c r="AJ1817" s="1">
        <v>42971</v>
      </c>
      <c r="AL1817">
        <v>10.43</v>
      </c>
      <c r="AM1817" s="6">
        <f t="shared" si="214"/>
        <v>100000</v>
      </c>
      <c r="AN1817" s="2">
        <f t="shared" si="215"/>
        <v>0</v>
      </c>
    </row>
    <row r="1818" spans="4:40" x14ac:dyDescent="0.35">
      <c r="D1818" s="1">
        <v>42997</v>
      </c>
      <c r="E1818">
        <v>3.1316999999999999</v>
      </c>
      <c r="F1818" s="1">
        <v>42956</v>
      </c>
      <c r="G1818">
        <v>126.374</v>
      </c>
      <c r="H1818" s="4">
        <f t="shared" si="212"/>
        <v>395765.4558</v>
      </c>
      <c r="I1818" s="5">
        <v>42970</v>
      </c>
      <c r="J1818" s="4">
        <v>4136.8900000000003</v>
      </c>
      <c r="K1818" s="4">
        <f t="shared" si="213"/>
        <v>41368.9</v>
      </c>
      <c r="L1818" s="1">
        <v>42663</v>
      </c>
      <c r="M1818">
        <v>5.77</v>
      </c>
      <c r="AJ1818" s="1">
        <v>42970</v>
      </c>
      <c r="AL1818">
        <v>10.48</v>
      </c>
      <c r="AM1818" s="6">
        <f t="shared" si="214"/>
        <v>100000</v>
      </c>
      <c r="AN1818" s="2">
        <f t="shared" si="215"/>
        <v>0</v>
      </c>
    </row>
    <row r="1819" spans="4:40" x14ac:dyDescent="0.35">
      <c r="D1819" s="1">
        <v>42996</v>
      </c>
      <c r="E1819">
        <v>3.1233</v>
      </c>
      <c r="F1819" s="1">
        <v>42955</v>
      </c>
      <c r="G1819">
        <v>126.139</v>
      </c>
      <c r="H1819" s="4">
        <f t="shared" si="212"/>
        <v>393969.9387</v>
      </c>
      <c r="I1819" s="5">
        <v>42969</v>
      </c>
      <c r="J1819" s="4">
        <v>4164.5</v>
      </c>
      <c r="K1819" s="4">
        <f t="shared" si="213"/>
        <v>41645</v>
      </c>
      <c r="L1819" s="1">
        <v>42662</v>
      </c>
      <c r="M1819">
        <v>5.84</v>
      </c>
      <c r="AJ1819" s="1">
        <v>42969</v>
      </c>
      <c r="AL1819">
        <v>10.49</v>
      </c>
      <c r="AM1819" s="6">
        <f t="shared" si="214"/>
        <v>100000</v>
      </c>
      <c r="AN1819" s="2">
        <f t="shared" si="215"/>
        <v>0</v>
      </c>
    </row>
    <row r="1820" spans="4:40" x14ac:dyDescent="0.35">
      <c r="D1820" s="1">
        <v>42993</v>
      </c>
      <c r="E1820">
        <v>3.1248999999999998</v>
      </c>
      <c r="F1820" s="1">
        <v>42954</v>
      </c>
      <c r="G1820">
        <v>126.25</v>
      </c>
      <c r="H1820" s="4">
        <f t="shared" si="212"/>
        <v>394518.625</v>
      </c>
      <c r="I1820" s="5">
        <v>42968</v>
      </c>
      <c r="J1820" s="4">
        <v>4169.1000000000004</v>
      </c>
      <c r="K1820" s="4">
        <f t="shared" si="213"/>
        <v>41691</v>
      </c>
      <c r="L1820" s="1">
        <v>42654</v>
      </c>
      <c r="M1820">
        <v>5.88</v>
      </c>
      <c r="AJ1820" s="1">
        <v>42968</v>
      </c>
      <c r="AL1820">
        <v>10.53</v>
      </c>
      <c r="AM1820" s="6">
        <f t="shared" si="214"/>
        <v>100000</v>
      </c>
      <c r="AN1820" s="2">
        <f t="shared" si="215"/>
        <v>0</v>
      </c>
    </row>
    <row r="1821" spans="4:40" x14ac:dyDescent="0.35">
      <c r="D1821" s="1">
        <v>42992</v>
      </c>
      <c r="E1821">
        <v>3.1347999999999998</v>
      </c>
      <c r="F1821" s="1">
        <v>42951</v>
      </c>
      <c r="G1821">
        <v>126.187</v>
      </c>
      <c r="H1821" s="4">
        <f t="shared" si="212"/>
        <v>395571.00759999995</v>
      </c>
      <c r="I1821" s="5">
        <v>42965</v>
      </c>
      <c r="J1821" s="4">
        <v>4148.72</v>
      </c>
      <c r="K1821" s="4">
        <f t="shared" si="213"/>
        <v>41487.200000000004</v>
      </c>
      <c r="L1821" s="1">
        <v>42648</v>
      </c>
      <c r="M1821">
        <v>5.86</v>
      </c>
      <c r="AJ1821" s="1">
        <v>42965</v>
      </c>
      <c r="AL1821">
        <v>10.46</v>
      </c>
      <c r="AM1821" s="6">
        <f t="shared" si="214"/>
        <v>100000</v>
      </c>
      <c r="AN1821" s="2">
        <f t="shared" si="215"/>
        <v>0</v>
      </c>
    </row>
    <row r="1822" spans="4:40" x14ac:dyDescent="0.35">
      <c r="D1822" s="1">
        <v>42991</v>
      </c>
      <c r="E1822">
        <v>3.1337000000000002</v>
      </c>
      <c r="F1822" s="1">
        <v>42950</v>
      </c>
      <c r="G1822">
        <v>126.437</v>
      </c>
      <c r="H1822" s="4">
        <f t="shared" si="212"/>
        <v>396215.62690000003</v>
      </c>
      <c r="I1822" s="5">
        <v>42964</v>
      </c>
      <c r="J1822" s="4">
        <v>4186.8500000000004</v>
      </c>
      <c r="K1822" s="4">
        <f t="shared" si="213"/>
        <v>41868.5</v>
      </c>
      <c r="AJ1822" s="1">
        <v>42964</v>
      </c>
      <c r="AL1822">
        <v>10.52</v>
      </c>
      <c r="AM1822" s="6">
        <f t="shared" si="214"/>
        <v>100000</v>
      </c>
      <c r="AN1822" s="2">
        <f t="shared" si="215"/>
        <v>0</v>
      </c>
    </row>
    <row r="1823" spans="4:40" x14ac:dyDescent="0.35">
      <c r="D1823" s="1">
        <v>42990</v>
      </c>
      <c r="E1823">
        <v>3.1137999999999999</v>
      </c>
      <c r="F1823" s="1">
        <v>42949</v>
      </c>
      <c r="G1823">
        <v>126.01600000000001</v>
      </c>
      <c r="H1823" s="4">
        <f t="shared" si="212"/>
        <v>392388.62080000003</v>
      </c>
      <c r="I1823" s="5">
        <v>42963</v>
      </c>
      <c r="J1823" s="4">
        <v>4158.58</v>
      </c>
      <c r="K1823" s="4">
        <f t="shared" si="213"/>
        <v>41585.800000000003</v>
      </c>
      <c r="AJ1823" s="1">
        <v>42963</v>
      </c>
      <c r="AL1823">
        <v>10.44</v>
      </c>
      <c r="AM1823" s="6">
        <f t="shared" si="214"/>
        <v>100000</v>
      </c>
      <c r="AN1823" s="2">
        <f t="shared" si="215"/>
        <v>0</v>
      </c>
    </row>
    <row r="1824" spans="4:40" x14ac:dyDescent="0.35">
      <c r="D1824" s="1">
        <v>42989</v>
      </c>
      <c r="E1824">
        <v>3.0846</v>
      </c>
      <c r="F1824" s="1">
        <v>42948</v>
      </c>
      <c r="G1824">
        <v>126.188</v>
      </c>
      <c r="H1824" s="4">
        <f t="shared" si="212"/>
        <v>389239.5048</v>
      </c>
      <c r="I1824" s="5">
        <v>42962</v>
      </c>
      <c r="J1824" s="4">
        <v>4181.59</v>
      </c>
      <c r="K1824" s="4">
        <f t="shared" si="213"/>
        <v>41815.9</v>
      </c>
      <c r="AJ1824" s="1">
        <v>42962</v>
      </c>
      <c r="AL1824">
        <v>10.36</v>
      </c>
      <c r="AM1824" s="6">
        <f t="shared" si="214"/>
        <v>100000</v>
      </c>
      <c r="AN1824" s="2">
        <f t="shared" si="215"/>
        <v>0</v>
      </c>
    </row>
    <row r="1825" spans="4:40" x14ac:dyDescent="0.35">
      <c r="D1825" s="1">
        <v>42986</v>
      </c>
      <c r="E1825">
        <v>3.0901999999999998</v>
      </c>
      <c r="F1825" s="1">
        <v>42947</v>
      </c>
      <c r="G1825">
        <v>125.82899999999999</v>
      </c>
      <c r="H1825" s="4">
        <f t="shared" si="212"/>
        <v>388836.77579999994</v>
      </c>
      <c r="I1825" s="5">
        <v>42961</v>
      </c>
      <c r="J1825" s="4">
        <v>4208.54</v>
      </c>
      <c r="K1825" s="4">
        <f t="shared" si="213"/>
        <v>42085.4</v>
      </c>
      <c r="AJ1825" s="1">
        <v>42961</v>
      </c>
      <c r="AL1825">
        <v>10.38</v>
      </c>
      <c r="AM1825" s="6">
        <f t="shared" si="214"/>
        <v>100000</v>
      </c>
      <c r="AN1825" s="2">
        <f t="shared" si="215"/>
        <v>0</v>
      </c>
    </row>
    <row r="1826" spans="4:40" x14ac:dyDescent="0.35">
      <c r="D1826" s="1">
        <v>42984</v>
      </c>
      <c r="E1826">
        <v>3.1126999999999998</v>
      </c>
      <c r="F1826" s="1">
        <v>42944</v>
      </c>
      <c r="G1826">
        <v>126</v>
      </c>
      <c r="H1826" s="4">
        <f t="shared" si="212"/>
        <v>392200.2</v>
      </c>
      <c r="I1826" s="5">
        <v>42958</v>
      </c>
      <c r="J1826" s="4">
        <v>4219.72</v>
      </c>
      <c r="K1826" s="4">
        <f t="shared" si="213"/>
        <v>42197.200000000004</v>
      </c>
      <c r="AJ1826" s="1">
        <v>42958</v>
      </c>
      <c r="AL1826">
        <v>10.48</v>
      </c>
      <c r="AM1826" s="6">
        <f t="shared" si="214"/>
        <v>100000</v>
      </c>
      <c r="AN1826" s="2">
        <f t="shared" si="215"/>
        <v>0</v>
      </c>
    </row>
    <row r="1827" spans="4:40" x14ac:dyDescent="0.35">
      <c r="D1827" s="1">
        <v>42983</v>
      </c>
      <c r="E1827">
        <v>3.1196999999999999</v>
      </c>
      <c r="F1827" s="1">
        <v>42943</v>
      </c>
      <c r="G1827">
        <v>125.76600000000001</v>
      </c>
      <c r="H1827" s="4">
        <f t="shared" si="212"/>
        <v>392352.19020000001</v>
      </c>
      <c r="I1827" s="5">
        <v>42957</v>
      </c>
      <c r="J1827" s="4">
        <v>4192.76</v>
      </c>
      <c r="K1827" s="4">
        <f t="shared" si="213"/>
        <v>41927.600000000006</v>
      </c>
      <c r="AJ1827" s="1">
        <v>42957</v>
      </c>
      <c r="AL1827">
        <v>10.44</v>
      </c>
      <c r="AM1827" s="6">
        <f t="shared" si="214"/>
        <v>100000</v>
      </c>
      <c r="AN1827" s="2">
        <f t="shared" si="215"/>
        <v>0</v>
      </c>
    </row>
    <row r="1828" spans="4:40" x14ac:dyDescent="0.35">
      <c r="D1828" s="1">
        <v>42982</v>
      </c>
      <c r="E1828">
        <v>3.1383000000000001</v>
      </c>
      <c r="F1828" s="1">
        <v>42942</v>
      </c>
      <c r="G1828">
        <v>125.876</v>
      </c>
      <c r="H1828" s="4">
        <f t="shared" si="212"/>
        <v>395036.6508</v>
      </c>
      <c r="I1828" s="5">
        <v>42956</v>
      </c>
      <c r="J1828" s="4">
        <v>4166.47</v>
      </c>
      <c r="K1828" s="4">
        <f t="shared" si="213"/>
        <v>41664.700000000004</v>
      </c>
      <c r="AJ1828" s="1">
        <v>42956</v>
      </c>
      <c r="AL1828">
        <v>10.35</v>
      </c>
      <c r="AM1828" s="6">
        <f t="shared" si="214"/>
        <v>100000</v>
      </c>
      <c r="AN1828" s="2">
        <f t="shared" si="215"/>
        <v>0</v>
      </c>
    </row>
    <row r="1829" spans="4:40" x14ac:dyDescent="0.35">
      <c r="D1829" s="1">
        <v>42979</v>
      </c>
      <c r="E1829">
        <v>3.1326999999999998</v>
      </c>
      <c r="F1829" s="1">
        <v>42941</v>
      </c>
      <c r="G1829">
        <v>125.515</v>
      </c>
      <c r="H1829" s="4">
        <f t="shared" si="212"/>
        <v>393200.84049999999</v>
      </c>
      <c r="I1829" s="5">
        <v>42955</v>
      </c>
      <c r="J1829" s="4">
        <v>4127.68</v>
      </c>
      <c r="K1829" s="4">
        <f t="shared" si="213"/>
        <v>41276.800000000003</v>
      </c>
      <c r="AJ1829" s="1">
        <v>42955</v>
      </c>
      <c r="AL1829">
        <v>10.25</v>
      </c>
      <c r="AM1829" s="6">
        <f t="shared" si="214"/>
        <v>100000</v>
      </c>
      <c r="AN1829" s="2">
        <f t="shared" si="215"/>
        <v>0</v>
      </c>
    </row>
    <row r="1830" spans="4:40" x14ac:dyDescent="0.35">
      <c r="D1830" s="1">
        <v>42978</v>
      </c>
      <c r="E1830">
        <v>3.1465000000000001</v>
      </c>
      <c r="F1830" s="1">
        <v>42940</v>
      </c>
      <c r="G1830">
        <v>126.218</v>
      </c>
      <c r="H1830" s="4">
        <f t="shared" si="212"/>
        <v>397144.93700000003</v>
      </c>
      <c r="I1830" s="5">
        <v>42954</v>
      </c>
      <c r="J1830" s="4">
        <v>4130.97</v>
      </c>
      <c r="K1830" s="4">
        <f t="shared" si="213"/>
        <v>41309.700000000004</v>
      </c>
      <c r="AJ1830" s="1">
        <v>42954</v>
      </c>
      <c r="AL1830">
        <v>10.199999999999999</v>
      </c>
      <c r="AM1830" s="6">
        <f t="shared" si="214"/>
        <v>100000</v>
      </c>
      <c r="AN1830" s="2">
        <f t="shared" si="215"/>
        <v>0</v>
      </c>
    </row>
    <row r="1831" spans="4:40" x14ac:dyDescent="0.35">
      <c r="D1831" s="1">
        <v>42977</v>
      </c>
      <c r="E1831">
        <v>3.1631999999999998</v>
      </c>
      <c r="F1831" s="1">
        <v>42937</v>
      </c>
      <c r="G1831">
        <v>126.39</v>
      </c>
      <c r="H1831" s="4">
        <f t="shared" si="212"/>
        <v>399796.84799999994</v>
      </c>
      <c r="I1831" s="5">
        <v>42951</v>
      </c>
      <c r="J1831" s="4">
        <v>4138.8599999999997</v>
      </c>
      <c r="K1831" s="4">
        <f t="shared" si="213"/>
        <v>41388.6</v>
      </c>
      <c r="AJ1831" s="1">
        <v>42951</v>
      </c>
      <c r="AL1831">
        <v>10.14</v>
      </c>
      <c r="AM1831" s="6">
        <f t="shared" si="214"/>
        <v>100000</v>
      </c>
      <c r="AN1831" s="2">
        <f t="shared" si="215"/>
        <v>0</v>
      </c>
    </row>
    <row r="1832" spans="4:40" x14ac:dyDescent="0.35">
      <c r="D1832" s="1">
        <v>42976</v>
      </c>
      <c r="E1832">
        <v>3.1688999999999998</v>
      </c>
      <c r="F1832" s="1">
        <v>42936</v>
      </c>
      <c r="G1832">
        <v>126.10899999999999</v>
      </c>
      <c r="H1832" s="4">
        <f t="shared" si="212"/>
        <v>399626.81009999994</v>
      </c>
      <c r="I1832" s="5">
        <v>42950</v>
      </c>
      <c r="J1832" s="4">
        <v>4115.1899999999996</v>
      </c>
      <c r="K1832" s="4">
        <f t="shared" si="213"/>
        <v>41151.899999999994</v>
      </c>
      <c r="AJ1832" s="1">
        <v>42950</v>
      </c>
      <c r="AL1832">
        <v>10.11</v>
      </c>
      <c r="AM1832" s="6">
        <f t="shared" si="214"/>
        <v>100000</v>
      </c>
      <c r="AN1832" s="2">
        <f t="shared" si="215"/>
        <v>0</v>
      </c>
    </row>
    <row r="1833" spans="4:40" x14ac:dyDescent="0.35">
      <c r="D1833" s="1">
        <v>42975</v>
      </c>
      <c r="E1833">
        <v>3.1556999999999999</v>
      </c>
      <c r="F1833" s="1">
        <v>42935</v>
      </c>
      <c r="G1833">
        <v>126.10899999999999</v>
      </c>
      <c r="H1833" s="4">
        <f t="shared" si="212"/>
        <v>397962.17129999999</v>
      </c>
      <c r="I1833" s="5">
        <v>42949</v>
      </c>
      <c r="J1833" s="4">
        <v>4116.51</v>
      </c>
      <c r="K1833" s="4">
        <f t="shared" si="213"/>
        <v>41165.100000000006</v>
      </c>
      <c r="AJ1833" s="1">
        <v>42949</v>
      </c>
      <c r="AL1833">
        <v>10.17</v>
      </c>
      <c r="AM1833" s="6">
        <f t="shared" si="214"/>
        <v>100000</v>
      </c>
      <c r="AN1833" s="2">
        <f t="shared" si="215"/>
        <v>0</v>
      </c>
    </row>
    <row r="1834" spans="4:40" x14ac:dyDescent="0.35">
      <c r="D1834" s="1">
        <v>42972</v>
      </c>
      <c r="E1834">
        <v>3.1456</v>
      </c>
      <c r="F1834" s="1">
        <v>42934</v>
      </c>
      <c r="G1834">
        <v>126.14100000000001</v>
      </c>
      <c r="H1834" s="4">
        <f t="shared" si="212"/>
        <v>396789.12960000004</v>
      </c>
      <c r="I1834" s="5">
        <v>42948</v>
      </c>
      <c r="J1834" s="4">
        <v>4134.26</v>
      </c>
      <c r="K1834" s="4">
        <f t="shared" si="213"/>
        <v>41342.600000000006</v>
      </c>
      <c r="AJ1834" s="1">
        <v>42948</v>
      </c>
      <c r="AL1834">
        <v>10.31</v>
      </c>
      <c r="AM1834" s="6">
        <f t="shared" si="214"/>
        <v>100000</v>
      </c>
      <c r="AN1834" s="2">
        <f t="shared" si="215"/>
        <v>0</v>
      </c>
    </row>
    <row r="1835" spans="4:40" x14ac:dyDescent="0.35">
      <c r="D1835" s="1">
        <v>42971</v>
      </c>
      <c r="E1835">
        <v>3.1398000000000001</v>
      </c>
      <c r="F1835" s="1">
        <v>42933</v>
      </c>
      <c r="G1835">
        <v>125.828</v>
      </c>
      <c r="H1835" s="4">
        <f t="shared" si="212"/>
        <v>395074.75440000003</v>
      </c>
      <c r="I1835" s="5">
        <v>42947</v>
      </c>
      <c r="J1835" s="4">
        <v>4136.8900000000003</v>
      </c>
      <c r="K1835" s="4">
        <f t="shared" si="213"/>
        <v>41368.9</v>
      </c>
      <c r="AJ1835" s="1">
        <v>42947</v>
      </c>
      <c r="AL1835">
        <v>10.3</v>
      </c>
      <c r="AM1835" s="6">
        <f t="shared" si="214"/>
        <v>100000</v>
      </c>
      <c r="AN1835" s="2">
        <f t="shared" si="215"/>
        <v>0</v>
      </c>
    </row>
    <row r="1836" spans="4:40" x14ac:dyDescent="0.35">
      <c r="D1836" s="1">
        <v>42970</v>
      </c>
      <c r="E1836">
        <v>3.1562999999999999</v>
      </c>
      <c r="F1836" s="1">
        <v>42930</v>
      </c>
      <c r="G1836">
        <v>125.563</v>
      </c>
      <c r="H1836" s="4">
        <f t="shared" si="212"/>
        <v>396314.49689999997</v>
      </c>
      <c r="I1836" s="5">
        <v>42944</v>
      </c>
      <c r="J1836" s="4">
        <v>4142.1499999999996</v>
      </c>
      <c r="K1836" s="4">
        <f t="shared" si="213"/>
        <v>41421.5</v>
      </c>
      <c r="AJ1836" s="1">
        <v>42944</v>
      </c>
      <c r="AL1836">
        <v>10.33</v>
      </c>
      <c r="AM1836" s="6">
        <f t="shared" si="214"/>
        <v>100000</v>
      </c>
      <c r="AN1836" s="2">
        <f t="shared" si="215"/>
        <v>0</v>
      </c>
    </row>
    <row r="1837" spans="4:40" x14ac:dyDescent="0.35">
      <c r="D1837" s="1">
        <v>42969</v>
      </c>
      <c r="E1837">
        <v>3.1533000000000002</v>
      </c>
      <c r="F1837" s="1">
        <v>42929</v>
      </c>
      <c r="G1837">
        <v>125.48399999999999</v>
      </c>
      <c r="H1837" s="4">
        <f t="shared" si="212"/>
        <v>395688.69720000005</v>
      </c>
      <c r="I1837" s="5">
        <v>42943</v>
      </c>
      <c r="J1837" s="4">
        <v>4170.57</v>
      </c>
      <c r="K1837" s="4">
        <f t="shared" si="213"/>
        <v>41705.699999999997</v>
      </c>
      <c r="AJ1837" s="1">
        <v>42943</v>
      </c>
      <c r="AL1837">
        <v>10.29</v>
      </c>
      <c r="AM1837" s="6">
        <f t="shared" si="214"/>
        <v>100000</v>
      </c>
      <c r="AN1837" s="2">
        <f t="shared" si="215"/>
        <v>0</v>
      </c>
    </row>
    <row r="1838" spans="4:40" x14ac:dyDescent="0.35">
      <c r="D1838" s="1">
        <v>42968</v>
      </c>
      <c r="E1838">
        <v>3.1436999999999999</v>
      </c>
      <c r="F1838" s="1">
        <v>42928</v>
      </c>
      <c r="G1838">
        <v>125.59399999999999</v>
      </c>
      <c r="H1838" s="4">
        <f t="shared" si="212"/>
        <v>394829.85779999994</v>
      </c>
      <c r="I1838" s="5">
        <v>42942</v>
      </c>
      <c r="J1838" s="4">
        <v>4151.3999999999996</v>
      </c>
      <c r="K1838" s="4">
        <f t="shared" si="213"/>
        <v>41514</v>
      </c>
      <c r="AJ1838" s="1">
        <v>42942</v>
      </c>
      <c r="AL1838">
        <v>10.38</v>
      </c>
      <c r="AM1838" s="6">
        <f t="shared" si="214"/>
        <v>100000</v>
      </c>
      <c r="AN1838" s="2">
        <f t="shared" si="215"/>
        <v>0</v>
      </c>
    </row>
    <row r="1839" spans="4:40" x14ac:dyDescent="0.35">
      <c r="D1839" s="1">
        <v>42965</v>
      </c>
      <c r="E1839">
        <v>3.1648000000000001</v>
      </c>
      <c r="F1839" s="1">
        <v>42927</v>
      </c>
      <c r="G1839">
        <v>125.125</v>
      </c>
      <c r="H1839" s="4">
        <f t="shared" si="212"/>
        <v>395995.60000000003</v>
      </c>
      <c r="I1839" s="5">
        <v>42941</v>
      </c>
      <c r="J1839" s="4">
        <v>4198.33</v>
      </c>
      <c r="K1839" s="4">
        <f t="shared" si="213"/>
        <v>41983.3</v>
      </c>
      <c r="AJ1839" s="1">
        <v>42941</v>
      </c>
      <c r="AL1839">
        <v>10.41</v>
      </c>
      <c r="AM1839" s="6">
        <f t="shared" si="214"/>
        <v>100000</v>
      </c>
      <c r="AN1839" s="2">
        <f t="shared" si="215"/>
        <v>0</v>
      </c>
    </row>
    <row r="1840" spans="4:40" x14ac:dyDescent="0.35">
      <c r="D1840" s="1">
        <v>42964</v>
      </c>
      <c r="E1840">
        <v>3.1597</v>
      </c>
      <c r="F1840" s="1">
        <v>42926</v>
      </c>
      <c r="G1840">
        <v>125.15600000000001</v>
      </c>
      <c r="H1840" s="4">
        <f t="shared" si="212"/>
        <v>395455.41320000001</v>
      </c>
      <c r="I1840" s="5">
        <v>42940</v>
      </c>
      <c r="J1840" s="4">
        <v>4165.9399999999996</v>
      </c>
      <c r="K1840" s="4">
        <f t="shared" si="213"/>
        <v>41659.399999999994</v>
      </c>
      <c r="AJ1840" s="1">
        <v>42940</v>
      </c>
      <c r="AL1840">
        <v>10.34</v>
      </c>
      <c r="AM1840" s="6">
        <f t="shared" si="214"/>
        <v>100000</v>
      </c>
      <c r="AN1840" s="2">
        <f t="shared" si="215"/>
        <v>0</v>
      </c>
    </row>
    <row r="1841" spans="4:40" x14ac:dyDescent="0.35">
      <c r="D1841" s="1">
        <v>42963</v>
      </c>
      <c r="E1841">
        <v>3.1663999999999999</v>
      </c>
      <c r="F1841" s="1">
        <v>42923</v>
      </c>
      <c r="G1841">
        <v>124.92100000000001</v>
      </c>
      <c r="H1841" s="4">
        <f t="shared" si="212"/>
        <v>395549.85440000001</v>
      </c>
      <c r="I1841" s="5">
        <v>42937</v>
      </c>
      <c r="J1841" s="4">
        <v>4161.32</v>
      </c>
      <c r="K1841" s="4">
        <f t="shared" si="213"/>
        <v>41613.199999999997</v>
      </c>
      <c r="AJ1841" s="1">
        <v>42937</v>
      </c>
      <c r="AL1841">
        <v>10.33</v>
      </c>
      <c r="AM1841" s="6">
        <f t="shared" si="214"/>
        <v>100000</v>
      </c>
      <c r="AN1841" s="2">
        <f t="shared" si="215"/>
        <v>0</v>
      </c>
    </row>
    <row r="1842" spans="4:40" x14ac:dyDescent="0.35">
      <c r="D1842" s="1">
        <v>42962</v>
      </c>
      <c r="E1842">
        <v>3.1970000000000001</v>
      </c>
      <c r="F1842" s="1">
        <v>42922</v>
      </c>
      <c r="G1842">
        <v>124.923</v>
      </c>
      <c r="H1842" s="4">
        <f t="shared" si="212"/>
        <v>399378.83100000001</v>
      </c>
      <c r="I1842" s="5">
        <v>42936</v>
      </c>
      <c r="J1842" s="4">
        <v>4134.21</v>
      </c>
      <c r="K1842" s="4">
        <f t="shared" si="213"/>
        <v>41342.1</v>
      </c>
      <c r="AJ1842" s="1">
        <v>42936</v>
      </c>
      <c r="AL1842">
        <v>10.34</v>
      </c>
      <c r="AM1842" s="6">
        <f t="shared" si="214"/>
        <v>100000</v>
      </c>
      <c r="AN1842" s="2">
        <f t="shared" si="215"/>
        <v>0</v>
      </c>
    </row>
    <row r="1843" spans="4:40" x14ac:dyDescent="0.35">
      <c r="D1843" s="1">
        <v>42961</v>
      </c>
      <c r="E1843">
        <v>3.1882000000000001</v>
      </c>
      <c r="F1843" s="1">
        <v>42921</v>
      </c>
      <c r="G1843">
        <v>125.321</v>
      </c>
      <c r="H1843" s="4">
        <f t="shared" si="212"/>
        <v>399548.41220000002</v>
      </c>
      <c r="I1843" s="5">
        <v>42935</v>
      </c>
      <c r="J1843" s="4">
        <v>4172.55</v>
      </c>
      <c r="K1843" s="4">
        <f t="shared" si="213"/>
        <v>41725.5</v>
      </c>
      <c r="AJ1843" s="1">
        <v>42935</v>
      </c>
      <c r="AL1843">
        <v>10.37</v>
      </c>
      <c r="AM1843" s="6">
        <f t="shared" si="214"/>
        <v>100000</v>
      </c>
      <c r="AN1843" s="2">
        <f t="shared" si="215"/>
        <v>0</v>
      </c>
    </row>
    <row r="1844" spans="4:40" x14ac:dyDescent="0.35">
      <c r="D1844" s="1">
        <v>42958</v>
      </c>
      <c r="E1844">
        <v>3.1688999999999998</v>
      </c>
      <c r="F1844" s="1">
        <v>42920</v>
      </c>
      <c r="G1844">
        <v>125.09399999999999</v>
      </c>
      <c r="H1844" s="4">
        <f t="shared" si="212"/>
        <v>396410.37659999996</v>
      </c>
      <c r="I1844" s="5">
        <v>42934</v>
      </c>
      <c r="J1844" s="4">
        <v>4183.13</v>
      </c>
      <c r="K1844" s="4">
        <f t="shared" si="213"/>
        <v>41831.300000000003</v>
      </c>
      <c r="AJ1844" s="1">
        <v>42934</v>
      </c>
      <c r="AL1844">
        <v>10.45</v>
      </c>
      <c r="AM1844" s="6">
        <f t="shared" si="214"/>
        <v>100000</v>
      </c>
      <c r="AN1844" s="2">
        <f t="shared" si="215"/>
        <v>0</v>
      </c>
    </row>
    <row r="1845" spans="4:40" x14ac:dyDescent="0.35">
      <c r="D1845" s="1">
        <v>42957</v>
      </c>
      <c r="E1845">
        <v>3.1537000000000002</v>
      </c>
      <c r="F1845" s="1">
        <v>42919</v>
      </c>
      <c r="G1845">
        <v>125.218</v>
      </c>
      <c r="H1845" s="4">
        <f t="shared" si="212"/>
        <v>394900.00660000002</v>
      </c>
      <c r="I1845" s="5">
        <v>42933</v>
      </c>
      <c r="J1845" s="4">
        <v>4218.83</v>
      </c>
      <c r="K1845" s="4">
        <f t="shared" si="213"/>
        <v>42188.3</v>
      </c>
      <c r="AJ1845" s="1">
        <v>42933</v>
      </c>
      <c r="AL1845">
        <v>10.51</v>
      </c>
      <c r="AM1845" s="6">
        <f t="shared" si="214"/>
        <v>100000</v>
      </c>
      <c r="AN1845" s="2">
        <f t="shared" si="215"/>
        <v>0</v>
      </c>
    </row>
    <row r="1846" spans="4:40" x14ac:dyDescent="0.35">
      <c r="D1846" s="1">
        <v>42956</v>
      </c>
      <c r="E1846">
        <v>3.1457999999999999</v>
      </c>
      <c r="F1846" s="1">
        <v>42916</v>
      </c>
      <c r="G1846">
        <v>125.46899999999999</v>
      </c>
      <c r="H1846" s="4">
        <f t="shared" si="212"/>
        <v>394700.38019999996</v>
      </c>
      <c r="I1846" s="5">
        <v>42930</v>
      </c>
      <c r="J1846" s="4">
        <v>4216.84</v>
      </c>
      <c r="K1846" s="4">
        <f t="shared" si="213"/>
        <v>42168.4</v>
      </c>
      <c r="AJ1846" s="1">
        <v>42930</v>
      </c>
      <c r="AL1846">
        <v>10.54</v>
      </c>
      <c r="AM1846" s="6">
        <f t="shared" si="214"/>
        <v>100000</v>
      </c>
      <c r="AN1846" s="2">
        <f t="shared" si="215"/>
        <v>0</v>
      </c>
    </row>
    <row r="1847" spans="4:40" x14ac:dyDescent="0.35">
      <c r="D1847" s="1">
        <v>42955</v>
      </c>
      <c r="E1847">
        <v>3.1314000000000002</v>
      </c>
      <c r="F1847" s="1">
        <v>42915</v>
      </c>
      <c r="G1847">
        <v>125.90600000000001</v>
      </c>
      <c r="H1847" s="4">
        <f t="shared" si="212"/>
        <v>394262.04840000003</v>
      </c>
      <c r="I1847" s="5">
        <v>42929</v>
      </c>
      <c r="J1847" s="4">
        <v>4261.13</v>
      </c>
      <c r="K1847" s="4">
        <f t="shared" si="213"/>
        <v>42611.3</v>
      </c>
      <c r="AJ1847" s="1">
        <v>42929</v>
      </c>
      <c r="AL1847">
        <v>10.65</v>
      </c>
      <c r="AM1847" s="6">
        <f t="shared" si="214"/>
        <v>100000</v>
      </c>
      <c r="AN1847" s="2">
        <f t="shared" si="215"/>
        <v>0</v>
      </c>
    </row>
    <row r="1848" spans="4:40" x14ac:dyDescent="0.35">
      <c r="D1848" s="1">
        <v>42954</v>
      </c>
      <c r="E1848">
        <v>3.1261000000000001</v>
      </c>
      <c r="F1848" s="1">
        <v>42914</v>
      </c>
      <c r="G1848">
        <v>126.14100000000001</v>
      </c>
      <c r="H1848" s="4">
        <f t="shared" si="212"/>
        <v>394329.38010000001</v>
      </c>
      <c r="I1848" s="5">
        <v>42928</v>
      </c>
      <c r="J1848" s="4">
        <v>4257.17</v>
      </c>
      <c r="K1848" s="4">
        <f t="shared" si="213"/>
        <v>42571.7</v>
      </c>
      <c r="AJ1848" s="1">
        <v>42928</v>
      </c>
      <c r="AL1848">
        <v>10.61</v>
      </c>
      <c r="AM1848" s="6">
        <f t="shared" si="214"/>
        <v>100000</v>
      </c>
      <c r="AN1848" s="2">
        <f t="shared" si="215"/>
        <v>0</v>
      </c>
    </row>
    <row r="1849" spans="4:40" x14ac:dyDescent="0.35">
      <c r="D1849" s="1">
        <v>42951</v>
      </c>
      <c r="E1849">
        <v>3.1217999999999999</v>
      </c>
      <c r="F1849" s="1">
        <v>42913</v>
      </c>
      <c r="G1849">
        <v>126.249</v>
      </c>
      <c r="H1849" s="4">
        <f t="shared" si="212"/>
        <v>394124.12819999998</v>
      </c>
      <c r="I1849" s="5">
        <v>42927</v>
      </c>
      <c r="J1849" s="4">
        <v>4321.95</v>
      </c>
      <c r="K1849" s="4">
        <f t="shared" si="213"/>
        <v>43219.5</v>
      </c>
      <c r="AJ1849" s="1">
        <v>42927</v>
      </c>
      <c r="AL1849">
        <v>10.81</v>
      </c>
      <c r="AM1849" s="6">
        <f t="shared" si="214"/>
        <v>100000</v>
      </c>
      <c r="AN1849" s="2">
        <f t="shared" si="215"/>
        <v>0</v>
      </c>
    </row>
    <row r="1850" spans="4:40" x14ac:dyDescent="0.35">
      <c r="D1850" s="1">
        <v>42950</v>
      </c>
      <c r="E1850">
        <v>3.1187999999999998</v>
      </c>
      <c r="F1850" s="1">
        <v>42912</v>
      </c>
      <c r="G1850">
        <v>126.84399999999999</v>
      </c>
      <c r="H1850" s="4">
        <f t="shared" si="212"/>
        <v>395601.06719999993</v>
      </c>
      <c r="I1850" s="5">
        <v>42926</v>
      </c>
      <c r="J1850" s="4">
        <v>4324.6000000000004</v>
      </c>
      <c r="K1850" s="4">
        <f t="shared" si="213"/>
        <v>43246</v>
      </c>
      <c r="AJ1850" s="1">
        <v>42926</v>
      </c>
      <c r="AL1850">
        <v>10.82</v>
      </c>
      <c r="AM1850" s="6">
        <f t="shared" si="214"/>
        <v>100000</v>
      </c>
      <c r="AN1850" s="2">
        <f t="shared" si="215"/>
        <v>0</v>
      </c>
    </row>
    <row r="1851" spans="4:40" x14ac:dyDescent="0.35">
      <c r="D1851" s="1">
        <v>42949</v>
      </c>
      <c r="E1851">
        <v>3.1261999999999999</v>
      </c>
      <c r="F1851" s="1">
        <v>42909</v>
      </c>
      <c r="G1851">
        <v>126.749</v>
      </c>
      <c r="H1851" s="4">
        <f t="shared" si="212"/>
        <v>396242.72379999998</v>
      </c>
      <c r="I1851" s="5">
        <v>42923</v>
      </c>
      <c r="J1851" s="4">
        <v>4360.95</v>
      </c>
      <c r="K1851" s="4">
        <f t="shared" si="213"/>
        <v>43609.5</v>
      </c>
      <c r="AJ1851" s="1">
        <v>42923</v>
      </c>
      <c r="AL1851">
        <v>10.92</v>
      </c>
      <c r="AM1851" s="6">
        <f t="shared" si="214"/>
        <v>100000</v>
      </c>
      <c r="AN1851" s="2">
        <f t="shared" si="215"/>
        <v>0</v>
      </c>
    </row>
    <row r="1852" spans="4:40" x14ac:dyDescent="0.35">
      <c r="D1852" s="1">
        <v>42948</v>
      </c>
      <c r="E1852">
        <v>3.1154000000000002</v>
      </c>
      <c r="F1852" s="1">
        <v>42908</v>
      </c>
      <c r="G1852">
        <v>126.765</v>
      </c>
      <c r="H1852" s="4">
        <f t="shared" si="212"/>
        <v>394923.68100000004</v>
      </c>
      <c r="I1852" s="5">
        <v>42922</v>
      </c>
      <c r="J1852" s="4">
        <v>4383.43</v>
      </c>
      <c r="K1852" s="4">
        <f t="shared" si="213"/>
        <v>43834.3</v>
      </c>
      <c r="AJ1852" s="1">
        <v>42922</v>
      </c>
      <c r="AL1852">
        <v>10.86</v>
      </c>
      <c r="AM1852" s="6">
        <f t="shared" si="214"/>
        <v>100000</v>
      </c>
      <c r="AN1852" s="2">
        <f t="shared" si="215"/>
        <v>0</v>
      </c>
    </row>
    <row r="1853" spans="4:40" x14ac:dyDescent="0.35">
      <c r="D1853" s="1">
        <v>42947</v>
      </c>
      <c r="E1853">
        <v>3.1301000000000001</v>
      </c>
      <c r="F1853" s="1">
        <v>42907</v>
      </c>
      <c r="G1853">
        <v>126.75</v>
      </c>
      <c r="H1853" s="4">
        <f t="shared" si="212"/>
        <v>396740.17500000005</v>
      </c>
      <c r="I1853" s="5">
        <v>42921</v>
      </c>
      <c r="J1853" s="4">
        <v>4372.8500000000004</v>
      </c>
      <c r="K1853" s="4">
        <f t="shared" si="213"/>
        <v>43728.5</v>
      </c>
      <c r="AJ1853" s="1">
        <v>42921</v>
      </c>
      <c r="AL1853">
        <v>10.85</v>
      </c>
      <c r="AM1853" s="6">
        <f t="shared" si="214"/>
        <v>100000</v>
      </c>
      <c r="AN1853" s="2">
        <f t="shared" si="215"/>
        <v>0</v>
      </c>
    </row>
    <row r="1854" spans="4:40" x14ac:dyDescent="0.35">
      <c r="D1854" s="1">
        <v>42944</v>
      </c>
      <c r="E1854">
        <v>3.1450999999999998</v>
      </c>
      <c r="F1854" s="1">
        <v>42906</v>
      </c>
      <c r="G1854">
        <v>126.673</v>
      </c>
      <c r="H1854" s="4">
        <f t="shared" si="212"/>
        <v>398399.25229999999</v>
      </c>
      <c r="I1854" s="5">
        <v>42920</v>
      </c>
      <c r="J1854" s="4">
        <v>4401.28</v>
      </c>
      <c r="K1854" s="4">
        <f t="shared" si="213"/>
        <v>44012.799999999996</v>
      </c>
      <c r="AJ1854" s="1">
        <v>42920</v>
      </c>
      <c r="AL1854">
        <v>10.88</v>
      </c>
      <c r="AM1854" s="6">
        <f t="shared" si="214"/>
        <v>100000</v>
      </c>
      <c r="AN1854" s="2">
        <f t="shared" si="215"/>
        <v>0</v>
      </c>
    </row>
    <row r="1855" spans="4:40" x14ac:dyDescent="0.35">
      <c r="D1855" s="1">
        <v>42943</v>
      </c>
      <c r="E1855">
        <v>3.1507000000000001</v>
      </c>
      <c r="F1855" s="1">
        <v>42905</v>
      </c>
      <c r="G1855">
        <v>126.39</v>
      </c>
      <c r="H1855" s="4">
        <f t="shared" si="212"/>
        <v>398216.973</v>
      </c>
      <c r="I1855" s="5">
        <v>42919</v>
      </c>
      <c r="J1855" s="4">
        <v>4390.7</v>
      </c>
      <c r="K1855" s="4">
        <f t="shared" si="213"/>
        <v>43907</v>
      </c>
      <c r="AJ1855" s="1">
        <v>42919</v>
      </c>
      <c r="AL1855">
        <v>10.8</v>
      </c>
      <c r="AM1855" s="6">
        <f t="shared" si="214"/>
        <v>100000</v>
      </c>
      <c r="AN1855" s="2">
        <f t="shared" si="215"/>
        <v>0</v>
      </c>
    </row>
    <row r="1856" spans="4:40" x14ac:dyDescent="0.35">
      <c r="D1856" s="1">
        <v>42942</v>
      </c>
      <c r="E1856">
        <v>3.1650999999999998</v>
      </c>
      <c r="F1856" s="1">
        <v>42902</v>
      </c>
      <c r="G1856">
        <v>126.657</v>
      </c>
      <c r="H1856" s="4">
        <f t="shared" si="212"/>
        <v>400882.07069999998</v>
      </c>
      <c r="I1856" s="5">
        <v>42916</v>
      </c>
      <c r="J1856" s="4">
        <v>4399.29</v>
      </c>
      <c r="K1856" s="4">
        <f t="shared" si="213"/>
        <v>43992.9</v>
      </c>
      <c r="AJ1856" s="1">
        <v>42916</v>
      </c>
      <c r="AL1856">
        <v>10.85</v>
      </c>
      <c r="AM1856" s="6">
        <f t="shared" si="214"/>
        <v>100000</v>
      </c>
      <c r="AN1856" s="2">
        <f t="shared" si="215"/>
        <v>0</v>
      </c>
    </row>
    <row r="1857" spans="4:40" x14ac:dyDescent="0.35">
      <c r="D1857" s="1">
        <v>42941</v>
      </c>
      <c r="E1857">
        <v>3.1549999999999998</v>
      </c>
      <c r="F1857" s="1">
        <v>42900</v>
      </c>
      <c r="G1857">
        <v>126.765</v>
      </c>
      <c r="H1857" s="4">
        <f t="shared" si="212"/>
        <v>399943.57499999995</v>
      </c>
      <c r="I1857" s="5">
        <v>42915</v>
      </c>
      <c r="J1857" s="4">
        <v>4397.3100000000004</v>
      </c>
      <c r="K1857" s="4">
        <f t="shared" si="213"/>
        <v>43973.100000000006</v>
      </c>
      <c r="AJ1857" s="1">
        <v>42915</v>
      </c>
      <c r="AL1857">
        <v>10.96</v>
      </c>
      <c r="AM1857" s="6">
        <f t="shared" si="214"/>
        <v>100000</v>
      </c>
      <c r="AN1857" s="2">
        <f t="shared" si="215"/>
        <v>0</v>
      </c>
    </row>
    <row r="1858" spans="4:40" x14ac:dyDescent="0.35">
      <c r="D1858" s="1">
        <v>42940</v>
      </c>
      <c r="E1858">
        <v>3.1453000000000002</v>
      </c>
      <c r="F1858" s="1">
        <v>42899</v>
      </c>
      <c r="G1858">
        <v>126.422</v>
      </c>
      <c r="H1858" s="4">
        <f t="shared" si="212"/>
        <v>397635.11660000001</v>
      </c>
      <c r="I1858" s="5">
        <v>42914</v>
      </c>
      <c r="J1858" s="4">
        <v>4367.38</v>
      </c>
      <c r="K1858" s="4">
        <f t="shared" si="213"/>
        <v>43673.8</v>
      </c>
      <c r="AJ1858" s="1">
        <v>42914</v>
      </c>
      <c r="AL1858">
        <v>10.96</v>
      </c>
      <c r="AM1858" s="6">
        <f t="shared" si="214"/>
        <v>100000</v>
      </c>
      <c r="AN1858" s="2">
        <f t="shared" si="215"/>
        <v>0</v>
      </c>
    </row>
    <row r="1859" spans="4:40" x14ac:dyDescent="0.35">
      <c r="D1859" s="1">
        <v>42937</v>
      </c>
      <c r="E1859">
        <v>3.125</v>
      </c>
      <c r="F1859" s="1">
        <v>42898</v>
      </c>
      <c r="G1859">
        <v>126.23399999999999</v>
      </c>
      <c r="H1859" s="4">
        <f t="shared" si="212"/>
        <v>394481.25</v>
      </c>
      <c r="I1859" s="5">
        <v>42913</v>
      </c>
      <c r="J1859" s="4">
        <v>4412.6099999999997</v>
      </c>
      <c r="K1859" s="4">
        <f t="shared" si="213"/>
        <v>44126.1</v>
      </c>
      <c r="AJ1859" s="1">
        <v>42913</v>
      </c>
      <c r="AL1859">
        <v>11.1</v>
      </c>
      <c r="AM1859" s="6">
        <f t="shared" si="214"/>
        <v>100000</v>
      </c>
      <c r="AN1859" s="2">
        <f t="shared" si="215"/>
        <v>0</v>
      </c>
    </row>
    <row r="1860" spans="4:40" x14ac:dyDescent="0.35">
      <c r="D1860" s="1">
        <v>42936</v>
      </c>
      <c r="E1860">
        <v>3.1396000000000002</v>
      </c>
      <c r="F1860" s="1">
        <v>42895</v>
      </c>
      <c r="G1860">
        <v>126.48399999999999</v>
      </c>
      <c r="H1860" s="4">
        <f t="shared" ref="H1860:H1923" si="216">G1860*E1860*1000</f>
        <v>397109.16639999999</v>
      </c>
      <c r="I1860" s="5">
        <v>42912</v>
      </c>
      <c r="J1860" s="4">
        <v>4391.99</v>
      </c>
      <c r="K1860" s="4">
        <f t="shared" si="213"/>
        <v>43919.899999999994</v>
      </c>
      <c r="AJ1860" s="1">
        <v>42912</v>
      </c>
      <c r="AL1860">
        <v>11</v>
      </c>
      <c r="AM1860" s="6">
        <f t="shared" si="214"/>
        <v>100000</v>
      </c>
      <c r="AN1860" s="2">
        <f t="shared" si="215"/>
        <v>0</v>
      </c>
    </row>
    <row r="1861" spans="4:40" x14ac:dyDescent="0.35">
      <c r="D1861" s="1">
        <v>42935</v>
      </c>
      <c r="E1861">
        <v>3.1526999999999998</v>
      </c>
      <c r="F1861" s="1">
        <v>42894</v>
      </c>
      <c r="G1861">
        <v>126.39100000000001</v>
      </c>
      <c r="H1861" s="4">
        <f t="shared" si="216"/>
        <v>398472.9057</v>
      </c>
      <c r="I1861" s="5">
        <v>42909</v>
      </c>
      <c r="J1861" s="4">
        <v>4455.84</v>
      </c>
      <c r="K1861" s="4">
        <f t="shared" ref="K1861:K1924" si="217">J1861*10</f>
        <v>44558.400000000001</v>
      </c>
      <c r="AJ1861" s="1">
        <v>42909</v>
      </c>
      <c r="AL1861">
        <v>11.11</v>
      </c>
      <c r="AM1861" s="6">
        <f t="shared" ref="AM1861:AM1924" si="218">$Z$2/(1+AL1861/100)^(AK1861/252)</f>
        <v>100000</v>
      </c>
      <c r="AN1861" s="2">
        <f t="shared" ref="AN1861:AN1924" si="219">LOG(AM1861/AM1862)</f>
        <v>0</v>
      </c>
    </row>
    <row r="1862" spans="4:40" x14ac:dyDescent="0.35">
      <c r="D1862" s="1">
        <v>42934</v>
      </c>
      <c r="E1862">
        <v>3.1661999999999999</v>
      </c>
      <c r="F1862" s="1">
        <v>42893</v>
      </c>
      <c r="G1862">
        <v>126.625</v>
      </c>
      <c r="H1862" s="4">
        <f t="shared" si="216"/>
        <v>400920.07500000001</v>
      </c>
      <c r="I1862" s="5">
        <v>42908</v>
      </c>
      <c r="J1862" s="4">
        <v>4455.84</v>
      </c>
      <c r="K1862" s="4">
        <f t="shared" si="217"/>
        <v>44558.400000000001</v>
      </c>
      <c r="AJ1862" s="1">
        <v>42908</v>
      </c>
      <c r="AL1862">
        <v>11.02</v>
      </c>
      <c r="AM1862" s="6">
        <f t="shared" si="218"/>
        <v>100000</v>
      </c>
      <c r="AN1862" s="2">
        <f t="shared" si="219"/>
        <v>0</v>
      </c>
    </row>
    <row r="1863" spans="4:40" x14ac:dyDescent="0.35">
      <c r="D1863" s="1">
        <v>42933</v>
      </c>
      <c r="E1863">
        <v>3.1815000000000002</v>
      </c>
      <c r="F1863" s="1">
        <v>42892</v>
      </c>
      <c r="G1863">
        <v>126.85899999999999</v>
      </c>
      <c r="H1863" s="4">
        <f t="shared" si="216"/>
        <v>403601.90850000002</v>
      </c>
      <c r="I1863" s="5">
        <v>42907</v>
      </c>
      <c r="J1863" s="4">
        <v>4447.2</v>
      </c>
      <c r="K1863" s="4">
        <f t="shared" si="217"/>
        <v>44472</v>
      </c>
      <c r="AJ1863" s="1">
        <v>42907</v>
      </c>
      <c r="AL1863">
        <v>10.95</v>
      </c>
      <c r="AM1863" s="6">
        <f t="shared" si="218"/>
        <v>100000</v>
      </c>
      <c r="AN1863" s="2">
        <f t="shared" si="219"/>
        <v>0</v>
      </c>
    </row>
    <row r="1864" spans="4:40" x14ac:dyDescent="0.35">
      <c r="D1864" s="1">
        <v>42930</v>
      </c>
      <c r="E1864">
        <v>3.1892999999999998</v>
      </c>
      <c r="F1864" s="1">
        <v>42891</v>
      </c>
      <c r="G1864">
        <v>126.39100000000001</v>
      </c>
      <c r="H1864" s="4">
        <f t="shared" si="216"/>
        <v>403098.81630000001</v>
      </c>
      <c r="I1864" s="5">
        <v>42906</v>
      </c>
      <c r="J1864" s="4">
        <v>4437.22</v>
      </c>
      <c r="K1864" s="4">
        <f t="shared" si="217"/>
        <v>44372.200000000004</v>
      </c>
      <c r="AJ1864" s="1">
        <v>42906</v>
      </c>
      <c r="AL1864">
        <v>10.85</v>
      </c>
      <c r="AM1864" s="6">
        <f t="shared" si="218"/>
        <v>100000</v>
      </c>
      <c r="AN1864" s="2">
        <f t="shared" si="219"/>
        <v>0</v>
      </c>
    </row>
    <row r="1865" spans="4:40" x14ac:dyDescent="0.35">
      <c r="D1865" s="1">
        <v>42929</v>
      </c>
      <c r="E1865">
        <v>3.2101999999999999</v>
      </c>
      <c r="F1865" s="1">
        <v>42888</v>
      </c>
      <c r="G1865">
        <v>126.578</v>
      </c>
      <c r="H1865" s="4">
        <f t="shared" si="216"/>
        <v>406340.69559999998</v>
      </c>
      <c r="I1865" s="5">
        <v>42905</v>
      </c>
      <c r="J1865" s="4">
        <v>4380.68</v>
      </c>
      <c r="K1865" s="4">
        <f t="shared" si="217"/>
        <v>43806.8</v>
      </c>
      <c r="AJ1865" s="1">
        <v>42905</v>
      </c>
      <c r="AL1865">
        <v>10.69</v>
      </c>
      <c r="AM1865" s="6">
        <f t="shared" si="218"/>
        <v>100000</v>
      </c>
      <c r="AN1865" s="2">
        <f t="shared" si="219"/>
        <v>0</v>
      </c>
    </row>
    <row r="1866" spans="4:40" x14ac:dyDescent="0.35">
      <c r="D1866" s="1">
        <v>42928</v>
      </c>
      <c r="E1866">
        <v>3.2258</v>
      </c>
      <c r="F1866" s="1">
        <v>42887</v>
      </c>
      <c r="G1866">
        <v>126.125</v>
      </c>
      <c r="H1866" s="4">
        <f t="shared" si="216"/>
        <v>406854.02499999997</v>
      </c>
      <c r="I1866" s="5">
        <v>42902</v>
      </c>
      <c r="J1866" s="4">
        <v>4396.6499999999996</v>
      </c>
      <c r="K1866" s="4">
        <f t="shared" si="217"/>
        <v>43966.5</v>
      </c>
      <c r="AJ1866" s="1">
        <v>42902</v>
      </c>
      <c r="AL1866">
        <v>10.81</v>
      </c>
      <c r="AM1866" s="6">
        <f t="shared" si="218"/>
        <v>100000</v>
      </c>
      <c r="AN1866" s="2">
        <f t="shared" si="219"/>
        <v>0</v>
      </c>
    </row>
    <row r="1867" spans="4:40" x14ac:dyDescent="0.35">
      <c r="D1867" s="1">
        <v>42927</v>
      </c>
      <c r="E1867">
        <v>3.2515999999999998</v>
      </c>
      <c r="F1867" s="1">
        <v>42886</v>
      </c>
      <c r="G1867">
        <v>126.297</v>
      </c>
      <c r="H1867" s="4">
        <f t="shared" si="216"/>
        <v>410667.32520000002</v>
      </c>
      <c r="I1867" s="5">
        <v>42900</v>
      </c>
      <c r="J1867" s="4">
        <v>4372.7</v>
      </c>
      <c r="K1867" s="4">
        <f t="shared" si="217"/>
        <v>43727</v>
      </c>
      <c r="AJ1867" s="1">
        <v>42900</v>
      </c>
      <c r="AL1867">
        <v>10.98</v>
      </c>
      <c r="AM1867" s="6">
        <f t="shared" si="218"/>
        <v>100000</v>
      </c>
      <c r="AN1867" s="2">
        <f t="shared" si="219"/>
        <v>0</v>
      </c>
    </row>
    <row r="1868" spans="4:40" x14ac:dyDescent="0.35">
      <c r="D1868" s="1">
        <v>42926</v>
      </c>
      <c r="E1868">
        <v>3.2644000000000002</v>
      </c>
      <c r="F1868" s="1">
        <v>42885</v>
      </c>
      <c r="G1868">
        <v>126.375</v>
      </c>
      <c r="H1868" s="4">
        <f t="shared" si="216"/>
        <v>412538.55000000005</v>
      </c>
      <c r="I1868" s="5">
        <v>42899</v>
      </c>
      <c r="J1868" s="4">
        <v>4427.91</v>
      </c>
      <c r="K1868" s="4">
        <f t="shared" si="217"/>
        <v>44279.1</v>
      </c>
      <c r="AJ1868" s="1">
        <v>42899</v>
      </c>
      <c r="AL1868">
        <v>11.13</v>
      </c>
      <c r="AM1868" s="6">
        <f t="shared" si="218"/>
        <v>100000</v>
      </c>
      <c r="AN1868" s="2">
        <f t="shared" si="219"/>
        <v>0</v>
      </c>
    </row>
    <row r="1869" spans="4:40" x14ac:dyDescent="0.35">
      <c r="D1869" s="1">
        <v>42923</v>
      </c>
      <c r="E1869">
        <v>3.2888999999999999</v>
      </c>
      <c r="F1869" s="1">
        <v>42884</v>
      </c>
      <c r="G1869">
        <v>126.21899999999999</v>
      </c>
      <c r="H1869" s="4">
        <f t="shared" si="216"/>
        <v>415121.66909999994</v>
      </c>
      <c r="I1869" s="5">
        <v>42898</v>
      </c>
      <c r="J1869" s="4">
        <v>4432.5600000000004</v>
      </c>
      <c r="K1869" s="4">
        <f t="shared" si="217"/>
        <v>44325.600000000006</v>
      </c>
      <c r="AJ1869" s="1">
        <v>42898</v>
      </c>
      <c r="AL1869">
        <v>11.05</v>
      </c>
      <c r="AM1869" s="6">
        <f t="shared" si="218"/>
        <v>100000</v>
      </c>
      <c r="AN1869" s="2">
        <f t="shared" si="219"/>
        <v>0</v>
      </c>
    </row>
    <row r="1870" spans="4:40" x14ac:dyDescent="0.35">
      <c r="D1870" s="1">
        <v>42922</v>
      </c>
      <c r="E1870">
        <v>3.3058000000000001</v>
      </c>
      <c r="F1870" s="1">
        <v>42881</v>
      </c>
      <c r="G1870">
        <v>126</v>
      </c>
      <c r="H1870" s="4">
        <f t="shared" si="216"/>
        <v>416530.8</v>
      </c>
      <c r="I1870" s="5">
        <v>42895</v>
      </c>
      <c r="J1870" s="4">
        <v>4405.29</v>
      </c>
      <c r="K1870" s="4">
        <f t="shared" si="217"/>
        <v>44052.9</v>
      </c>
      <c r="AJ1870" s="1">
        <v>42895</v>
      </c>
      <c r="AL1870">
        <v>11.2</v>
      </c>
      <c r="AM1870" s="6">
        <f t="shared" si="218"/>
        <v>100000</v>
      </c>
      <c r="AN1870" s="2">
        <f t="shared" si="219"/>
        <v>0</v>
      </c>
    </row>
    <row r="1871" spans="4:40" x14ac:dyDescent="0.35">
      <c r="D1871" s="1">
        <v>42921</v>
      </c>
      <c r="E1871">
        <v>3.3187000000000002</v>
      </c>
      <c r="F1871" s="1">
        <v>42880</v>
      </c>
      <c r="G1871">
        <v>126.25</v>
      </c>
      <c r="H1871" s="4">
        <f t="shared" si="216"/>
        <v>418985.875</v>
      </c>
      <c r="I1871" s="5">
        <v>42894</v>
      </c>
      <c r="J1871" s="4">
        <v>4360.7299999999996</v>
      </c>
      <c r="K1871" s="4">
        <f t="shared" si="217"/>
        <v>43607.299999999996</v>
      </c>
      <c r="AJ1871" s="1">
        <v>42894</v>
      </c>
      <c r="AL1871">
        <v>11.24</v>
      </c>
      <c r="AM1871" s="6">
        <f t="shared" si="218"/>
        <v>100000</v>
      </c>
      <c r="AN1871" s="2">
        <f t="shared" si="219"/>
        <v>0</v>
      </c>
    </row>
    <row r="1872" spans="4:40" x14ac:dyDescent="0.35">
      <c r="D1872" s="1">
        <v>42920</v>
      </c>
      <c r="E1872">
        <v>3.3043999999999998</v>
      </c>
      <c r="F1872" s="1">
        <v>42879</v>
      </c>
      <c r="G1872">
        <v>126.187</v>
      </c>
      <c r="H1872" s="4">
        <f t="shared" si="216"/>
        <v>416972.32279999997</v>
      </c>
      <c r="I1872" s="5">
        <v>42893</v>
      </c>
      <c r="J1872" s="4">
        <v>4373.37</v>
      </c>
      <c r="K1872" s="4">
        <f t="shared" si="217"/>
        <v>43733.7</v>
      </c>
      <c r="AJ1872" s="1">
        <v>42893</v>
      </c>
      <c r="AL1872">
        <v>11.19</v>
      </c>
      <c r="AM1872" s="6">
        <f t="shared" si="218"/>
        <v>100000</v>
      </c>
      <c r="AN1872" s="2">
        <f t="shared" si="219"/>
        <v>0</v>
      </c>
    </row>
    <row r="1873" spans="4:40" x14ac:dyDescent="0.35">
      <c r="D1873" s="1">
        <v>42919</v>
      </c>
      <c r="E1873">
        <v>3.3008999999999999</v>
      </c>
      <c r="F1873" s="1">
        <v>42878</v>
      </c>
      <c r="G1873">
        <v>125.797</v>
      </c>
      <c r="H1873" s="4">
        <f t="shared" si="216"/>
        <v>415243.3173</v>
      </c>
      <c r="I1873" s="5">
        <v>42892</v>
      </c>
      <c r="J1873" s="4">
        <v>4386.67</v>
      </c>
      <c r="K1873" s="4">
        <f t="shared" si="217"/>
        <v>43866.7</v>
      </c>
      <c r="AJ1873" s="1">
        <v>42892</v>
      </c>
      <c r="AL1873">
        <v>11.14</v>
      </c>
      <c r="AM1873" s="6">
        <f t="shared" si="218"/>
        <v>100000</v>
      </c>
      <c r="AN1873" s="2">
        <f t="shared" si="219"/>
        <v>0</v>
      </c>
    </row>
    <row r="1874" spans="4:40" x14ac:dyDescent="0.35">
      <c r="D1874" s="1">
        <v>42916</v>
      </c>
      <c r="E1874">
        <v>3.3075999999999999</v>
      </c>
      <c r="F1874" s="1">
        <v>42877</v>
      </c>
      <c r="G1874">
        <v>126.203</v>
      </c>
      <c r="H1874" s="4">
        <f t="shared" si="216"/>
        <v>417429.0428</v>
      </c>
      <c r="I1874" s="5">
        <v>42891</v>
      </c>
      <c r="J1874" s="4">
        <v>4414.6099999999997</v>
      </c>
      <c r="K1874" s="4">
        <f t="shared" si="217"/>
        <v>44146.1</v>
      </c>
      <c r="AJ1874" s="1">
        <v>42891</v>
      </c>
      <c r="AL1874">
        <v>11.27</v>
      </c>
      <c r="AM1874" s="6">
        <f t="shared" si="218"/>
        <v>100000</v>
      </c>
      <c r="AN1874" s="2">
        <f t="shared" si="219"/>
        <v>0</v>
      </c>
    </row>
    <row r="1875" spans="4:40" x14ac:dyDescent="0.35">
      <c r="D1875" s="1">
        <v>42915</v>
      </c>
      <c r="E1875">
        <v>3.2946</v>
      </c>
      <c r="F1875" s="1">
        <v>42874</v>
      </c>
      <c r="G1875">
        <v>126.07899999999999</v>
      </c>
      <c r="H1875" s="4">
        <f t="shared" si="216"/>
        <v>415379.87339999992</v>
      </c>
      <c r="I1875" s="5">
        <v>42888</v>
      </c>
      <c r="J1875" s="4">
        <v>4346.09</v>
      </c>
      <c r="K1875" s="4">
        <f t="shared" si="217"/>
        <v>43460.9</v>
      </c>
      <c r="AJ1875" s="1">
        <v>42888</v>
      </c>
      <c r="AL1875">
        <v>11.2</v>
      </c>
      <c r="AM1875" s="6">
        <f t="shared" si="218"/>
        <v>100000</v>
      </c>
      <c r="AN1875" s="2">
        <f t="shared" si="219"/>
        <v>0</v>
      </c>
    </row>
    <row r="1876" spans="4:40" x14ac:dyDescent="0.35">
      <c r="D1876" s="1">
        <v>42914</v>
      </c>
      <c r="E1876">
        <v>3.3024</v>
      </c>
      <c r="F1876" s="1">
        <v>42873</v>
      </c>
      <c r="G1876">
        <v>126.593</v>
      </c>
      <c r="H1876" s="4">
        <f t="shared" si="216"/>
        <v>418060.72320000001</v>
      </c>
      <c r="I1876" s="5">
        <v>42887</v>
      </c>
      <c r="J1876" s="4">
        <v>4355.41</v>
      </c>
      <c r="K1876" s="4">
        <f t="shared" si="217"/>
        <v>43554.1</v>
      </c>
      <c r="AJ1876" s="1">
        <v>42887</v>
      </c>
      <c r="AL1876">
        <v>11.15</v>
      </c>
      <c r="AM1876" s="6">
        <f t="shared" si="218"/>
        <v>100000</v>
      </c>
      <c r="AN1876" s="2">
        <f t="shared" si="219"/>
        <v>0</v>
      </c>
    </row>
    <row r="1877" spans="4:40" x14ac:dyDescent="0.35">
      <c r="D1877" s="1">
        <v>42913</v>
      </c>
      <c r="E1877">
        <v>3.3166000000000002</v>
      </c>
      <c r="F1877" s="1">
        <v>42872</v>
      </c>
      <c r="G1877">
        <v>126.46899999999999</v>
      </c>
      <c r="H1877" s="4">
        <f t="shared" si="216"/>
        <v>419447.08539999998</v>
      </c>
      <c r="I1877" s="5">
        <v>42886</v>
      </c>
      <c r="J1877" s="4">
        <v>4322.8100000000004</v>
      </c>
      <c r="K1877" s="4">
        <f t="shared" si="217"/>
        <v>43228.100000000006</v>
      </c>
      <c r="AJ1877" s="1">
        <v>42886</v>
      </c>
      <c r="AL1877">
        <v>11.05</v>
      </c>
      <c r="AM1877" s="6">
        <f t="shared" si="218"/>
        <v>100000</v>
      </c>
      <c r="AN1877" s="2">
        <f t="shared" si="219"/>
        <v>0</v>
      </c>
    </row>
    <row r="1878" spans="4:40" x14ac:dyDescent="0.35">
      <c r="D1878" s="1">
        <v>42912</v>
      </c>
      <c r="E1878">
        <v>3.3121999999999998</v>
      </c>
      <c r="F1878" s="1">
        <v>42871</v>
      </c>
      <c r="G1878">
        <v>125.60899999999999</v>
      </c>
      <c r="H1878" s="4">
        <f t="shared" si="216"/>
        <v>416042.12979999994</v>
      </c>
      <c r="I1878" s="5">
        <v>42885</v>
      </c>
      <c r="J1878" s="4">
        <v>4366.71</v>
      </c>
      <c r="K1878" s="4">
        <f t="shared" si="217"/>
        <v>43667.1</v>
      </c>
      <c r="AJ1878" s="1">
        <v>42885</v>
      </c>
      <c r="AL1878">
        <v>11.18</v>
      </c>
      <c r="AM1878" s="6">
        <f t="shared" si="218"/>
        <v>100000</v>
      </c>
      <c r="AN1878" s="2">
        <f t="shared" si="219"/>
        <v>0</v>
      </c>
    </row>
    <row r="1879" spans="4:40" x14ac:dyDescent="0.35">
      <c r="D1879" s="1">
        <v>42909</v>
      </c>
      <c r="E1879">
        <v>3.3336000000000001</v>
      </c>
      <c r="F1879" s="1">
        <v>42870</v>
      </c>
      <c r="G1879">
        <v>125.515</v>
      </c>
      <c r="H1879" s="4">
        <f t="shared" si="216"/>
        <v>418416.804</v>
      </c>
      <c r="I1879" s="5">
        <v>42884</v>
      </c>
      <c r="J1879" s="4">
        <v>4365.37</v>
      </c>
      <c r="K1879" s="4">
        <f t="shared" si="217"/>
        <v>43653.7</v>
      </c>
      <c r="AJ1879" s="1">
        <v>42884</v>
      </c>
      <c r="AL1879">
        <v>11.13</v>
      </c>
      <c r="AM1879" s="6">
        <f t="shared" si="218"/>
        <v>100000</v>
      </c>
      <c r="AN1879" s="2">
        <f t="shared" si="219"/>
        <v>0</v>
      </c>
    </row>
    <row r="1880" spans="4:40" x14ac:dyDescent="0.35">
      <c r="D1880" s="1">
        <v>42908</v>
      </c>
      <c r="E1880">
        <v>3.3355999999999999</v>
      </c>
      <c r="F1880" s="1">
        <v>42867</v>
      </c>
      <c r="G1880">
        <v>125.453</v>
      </c>
      <c r="H1880" s="4">
        <f t="shared" si="216"/>
        <v>418461.02679999999</v>
      </c>
      <c r="I1880" s="5">
        <v>42881</v>
      </c>
      <c r="J1880" s="4">
        <v>4370.0600000000004</v>
      </c>
      <c r="K1880" s="4">
        <f t="shared" si="217"/>
        <v>43700.600000000006</v>
      </c>
      <c r="AJ1880" s="1">
        <v>42881</v>
      </c>
      <c r="AL1880">
        <v>11.26</v>
      </c>
      <c r="AM1880" s="6">
        <f t="shared" si="218"/>
        <v>100000</v>
      </c>
      <c r="AN1880" s="2">
        <f t="shared" si="219"/>
        <v>0</v>
      </c>
    </row>
    <row r="1881" spans="4:40" x14ac:dyDescent="0.35">
      <c r="D1881" s="1">
        <v>42907</v>
      </c>
      <c r="E1881">
        <v>3.3241000000000001</v>
      </c>
      <c r="F1881" s="1">
        <v>42866</v>
      </c>
      <c r="G1881">
        <v>124.90600000000001</v>
      </c>
      <c r="H1881" s="4">
        <f t="shared" si="216"/>
        <v>415200.03460000001</v>
      </c>
      <c r="I1881" s="5">
        <v>42880</v>
      </c>
      <c r="J1881" s="4">
        <v>4391.5</v>
      </c>
      <c r="K1881" s="4">
        <f t="shared" si="217"/>
        <v>43915</v>
      </c>
      <c r="AJ1881" s="1">
        <v>42880</v>
      </c>
      <c r="AL1881">
        <v>11.3</v>
      </c>
      <c r="AM1881" s="6">
        <f t="shared" si="218"/>
        <v>100000</v>
      </c>
      <c r="AN1881" s="2">
        <f t="shared" si="219"/>
        <v>0</v>
      </c>
    </row>
    <row r="1882" spans="4:40" x14ac:dyDescent="0.35">
      <c r="D1882" s="1">
        <v>42906</v>
      </c>
      <c r="E1882">
        <v>3.3138999999999998</v>
      </c>
      <c r="F1882" s="1">
        <v>42865</v>
      </c>
      <c r="G1882">
        <v>124.828</v>
      </c>
      <c r="H1882" s="4">
        <f t="shared" si="216"/>
        <v>413667.50919999997</v>
      </c>
      <c r="I1882" s="5">
        <v>42879</v>
      </c>
      <c r="J1882" s="4">
        <v>4397.53</v>
      </c>
      <c r="K1882" s="4">
        <f t="shared" si="217"/>
        <v>43975.299999999996</v>
      </c>
      <c r="AJ1882" s="1">
        <v>42879</v>
      </c>
      <c r="AL1882">
        <v>11.41</v>
      </c>
      <c r="AM1882" s="6">
        <f t="shared" si="218"/>
        <v>100000</v>
      </c>
      <c r="AN1882" s="2">
        <f t="shared" si="219"/>
        <v>0</v>
      </c>
    </row>
    <row r="1883" spans="4:40" x14ac:dyDescent="0.35">
      <c r="D1883" s="1">
        <v>42905</v>
      </c>
      <c r="E1883">
        <v>3.2968999999999999</v>
      </c>
      <c r="F1883" s="1">
        <v>42864</v>
      </c>
      <c r="G1883">
        <v>124.84399999999999</v>
      </c>
      <c r="H1883" s="4">
        <f t="shared" si="216"/>
        <v>411598.18359999999</v>
      </c>
      <c r="I1883" s="5">
        <v>42878</v>
      </c>
      <c r="J1883" s="4">
        <v>4393.51</v>
      </c>
      <c r="K1883" s="4">
        <f t="shared" si="217"/>
        <v>43935.100000000006</v>
      </c>
      <c r="AJ1883" s="1">
        <v>42878</v>
      </c>
      <c r="AL1883">
        <v>11.72</v>
      </c>
      <c r="AM1883" s="6">
        <f t="shared" si="218"/>
        <v>100000</v>
      </c>
      <c r="AN1883" s="2">
        <f t="shared" si="219"/>
        <v>0</v>
      </c>
    </row>
    <row r="1884" spans="4:40" x14ac:dyDescent="0.35">
      <c r="D1884" s="1">
        <v>42902</v>
      </c>
      <c r="E1884">
        <v>3.2886000000000002</v>
      </c>
      <c r="F1884" s="1">
        <v>42863</v>
      </c>
      <c r="G1884">
        <v>125.032</v>
      </c>
      <c r="H1884" s="4">
        <f t="shared" si="216"/>
        <v>411180.23520000005</v>
      </c>
      <c r="I1884" s="5">
        <v>42877</v>
      </c>
      <c r="J1884" s="4">
        <v>4388.82</v>
      </c>
      <c r="K1884" s="4">
        <f t="shared" si="217"/>
        <v>43888.2</v>
      </c>
      <c r="AJ1884" s="1">
        <v>42877</v>
      </c>
      <c r="AL1884">
        <v>12.17</v>
      </c>
      <c r="AM1884" s="6">
        <f t="shared" si="218"/>
        <v>100000</v>
      </c>
      <c r="AN1884" s="2">
        <f t="shared" si="219"/>
        <v>0</v>
      </c>
    </row>
    <row r="1885" spans="4:40" x14ac:dyDescent="0.35">
      <c r="D1885" s="1">
        <v>42900</v>
      </c>
      <c r="E1885">
        <v>3.2829999999999999</v>
      </c>
      <c r="F1885" s="1">
        <v>42860</v>
      </c>
      <c r="G1885">
        <v>125.172</v>
      </c>
      <c r="H1885" s="4">
        <f t="shared" si="216"/>
        <v>410939.67599999998</v>
      </c>
      <c r="I1885" s="5">
        <v>42874</v>
      </c>
      <c r="J1885" s="4">
        <v>4372.74</v>
      </c>
      <c r="K1885" s="4">
        <f t="shared" si="217"/>
        <v>43727.399999999994</v>
      </c>
      <c r="AJ1885" s="1">
        <v>42874</v>
      </c>
      <c r="AL1885">
        <v>11.85</v>
      </c>
      <c r="AM1885" s="6">
        <f t="shared" si="218"/>
        <v>100000</v>
      </c>
      <c r="AN1885" s="2">
        <f t="shared" si="219"/>
        <v>0</v>
      </c>
    </row>
    <row r="1886" spans="4:40" x14ac:dyDescent="0.35">
      <c r="D1886" s="1">
        <v>42899</v>
      </c>
      <c r="E1886">
        <v>3.3201999999999998</v>
      </c>
      <c r="F1886" s="1">
        <v>42859</v>
      </c>
      <c r="G1886">
        <v>125.187</v>
      </c>
      <c r="H1886" s="4">
        <f t="shared" si="216"/>
        <v>415645.87739999994</v>
      </c>
      <c r="I1886" s="5">
        <v>42873</v>
      </c>
      <c r="J1886" s="4">
        <v>4546.8999999999996</v>
      </c>
      <c r="K1886" s="4">
        <f t="shared" si="217"/>
        <v>45469</v>
      </c>
      <c r="AJ1886" s="1">
        <v>42873</v>
      </c>
      <c r="AL1886">
        <v>12.05</v>
      </c>
      <c r="AM1886" s="6">
        <f t="shared" si="218"/>
        <v>100000</v>
      </c>
      <c r="AN1886" s="2">
        <f t="shared" si="219"/>
        <v>0</v>
      </c>
    </row>
    <row r="1887" spans="4:40" x14ac:dyDescent="0.35">
      <c r="D1887" s="1">
        <v>42898</v>
      </c>
      <c r="E1887">
        <v>3.298</v>
      </c>
      <c r="F1887" s="1">
        <v>42858</v>
      </c>
      <c r="G1887">
        <v>125.39100000000001</v>
      </c>
      <c r="H1887" s="4">
        <f t="shared" si="216"/>
        <v>413539.51800000004</v>
      </c>
      <c r="I1887" s="5">
        <v>42872</v>
      </c>
      <c r="J1887" s="4">
        <v>4217.34</v>
      </c>
      <c r="K1887" s="4">
        <f t="shared" si="217"/>
        <v>42173.4</v>
      </c>
      <c r="AJ1887" s="1">
        <v>42872</v>
      </c>
      <c r="AL1887">
        <v>10.27</v>
      </c>
      <c r="AM1887" s="6">
        <f t="shared" si="218"/>
        <v>100000</v>
      </c>
      <c r="AN1887" s="2">
        <f t="shared" si="219"/>
        <v>0</v>
      </c>
    </row>
    <row r="1888" spans="4:40" x14ac:dyDescent="0.35">
      <c r="D1888" s="1">
        <v>42895</v>
      </c>
      <c r="E1888">
        <v>3.2734000000000001</v>
      </c>
      <c r="F1888" s="1">
        <v>42857</v>
      </c>
      <c r="G1888">
        <v>125.828</v>
      </c>
      <c r="H1888" s="4">
        <f t="shared" si="216"/>
        <v>411885.37520000001</v>
      </c>
      <c r="I1888" s="5">
        <v>42871</v>
      </c>
      <c r="J1888" s="4">
        <v>4164.42</v>
      </c>
      <c r="K1888" s="4">
        <f t="shared" si="217"/>
        <v>41644.199999999997</v>
      </c>
      <c r="AJ1888" s="1">
        <v>42871</v>
      </c>
      <c r="AL1888">
        <v>10.15</v>
      </c>
      <c r="AM1888" s="6">
        <f t="shared" si="218"/>
        <v>100000</v>
      </c>
      <c r="AN1888" s="2">
        <f t="shared" si="219"/>
        <v>0</v>
      </c>
    </row>
    <row r="1889" spans="4:40" x14ac:dyDescent="0.35">
      <c r="D1889" s="1">
        <v>42894</v>
      </c>
      <c r="E1889">
        <v>3.2831999999999999</v>
      </c>
      <c r="F1889" s="1">
        <v>42853</v>
      </c>
      <c r="G1889">
        <v>125.797</v>
      </c>
      <c r="H1889" s="4">
        <f t="shared" si="216"/>
        <v>413016.71039999998</v>
      </c>
      <c r="I1889" s="5">
        <v>42870</v>
      </c>
      <c r="J1889" s="4">
        <v>4185.1899999999996</v>
      </c>
      <c r="K1889" s="4">
        <f t="shared" si="217"/>
        <v>41851.899999999994</v>
      </c>
      <c r="AJ1889" s="1">
        <v>42870</v>
      </c>
      <c r="AL1889">
        <v>10.3</v>
      </c>
      <c r="AM1889" s="6">
        <f t="shared" si="218"/>
        <v>100000</v>
      </c>
      <c r="AN1889" s="2">
        <f t="shared" si="219"/>
        <v>0</v>
      </c>
    </row>
    <row r="1890" spans="4:40" x14ac:dyDescent="0.35">
      <c r="D1890" s="1">
        <v>42893</v>
      </c>
      <c r="E1890">
        <v>3.2740999999999998</v>
      </c>
      <c r="F1890" s="1">
        <v>42852</v>
      </c>
      <c r="G1890">
        <v>125.407</v>
      </c>
      <c r="H1890" s="4">
        <f t="shared" si="216"/>
        <v>410595.05869999999</v>
      </c>
      <c r="I1890" s="5">
        <v>42867</v>
      </c>
      <c r="J1890" s="4">
        <v>4201.93</v>
      </c>
      <c r="K1890" s="4">
        <f t="shared" si="217"/>
        <v>42019.3</v>
      </c>
      <c r="AJ1890" s="1">
        <v>42867</v>
      </c>
      <c r="AL1890">
        <v>10.33</v>
      </c>
      <c r="AM1890" s="6">
        <f t="shared" si="218"/>
        <v>100000</v>
      </c>
      <c r="AN1890" s="2">
        <f t="shared" si="219"/>
        <v>0</v>
      </c>
    </row>
    <row r="1891" spans="4:40" x14ac:dyDescent="0.35">
      <c r="D1891" s="1">
        <v>42892</v>
      </c>
      <c r="E1891">
        <v>3.2810999999999999</v>
      </c>
      <c r="F1891" s="1">
        <v>42851</v>
      </c>
      <c r="G1891">
        <v>125.562</v>
      </c>
      <c r="H1891" s="4">
        <f t="shared" si="216"/>
        <v>411981.47819999995</v>
      </c>
      <c r="I1891" s="5">
        <v>42866</v>
      </c>
      <c r="J1891" s="4">
        <v>4227.3900000000003</v>
      </c>
      <c r="K1891" s="4">
        <f t="shared" si="217"/>
        <v>42273.9</v>
      </c>
      <c r="AJ1891" s="1">
        <v>42866</v>
      </c>
      <c r="AL1891">
        <v>10.36</v>
      </c>
      <c r="AM1891" s="6">
        <f t="shared" si="218"/>
        <v>100000</v>
      </c>
      <c r="AN1891" s="2">
        <f t="shared" si="219"/>
        <v>0</v>
      </c>
    </row>
    <row r="1892" spans="4:40" x14ac:dyDescent="0.35">
      <c r="D1892" s="1">
        <v>42891</v>
      </c>
      <c r="E1892">
        <v>3.2814000000000001</v>
      </c>
      <c r="F1892" s="1">
        <v>42850</v>
      </c>
      <c r="G1892">
        <v>125.422</v>
      </c>
      <c r="H1892" s="4">
        <f t="shared" si="216"/>
        <v>411559.75080000004</v>
      </c>
      <c r="I1892" s="5">
        <v>42865</v>
      </c>
      <c r="J1892" s="4">
        <v>4266.24</v>
      </c>
      <c r="K1892" s="4">
        <f t="shared" si="217"/>
        <v>42662.399999999994</v>
      </c>
      <c r="AJ1892" s="1">
        <v>42865</v>
      </c>
      <c r="AL1892">
        <v>10.43</v>
      </c>
      <c r="AM1892" s="6">
        <f t="shared" si="218"/>
        <v>100000</v>
      </c>
      <c r="AN1892" s="2">
        <f t="shared" si="219"/>
        <v>0</v>
      </c>
    </row>
    <row r="1893" spans="4:40" x14ac:dyDescent="0.35">
      <c r="D1893" s="1">
        <v>42888</v>
      </c>
      <c r="E1893">
        <v>3.2395</v>
      </c>
      <c r="F1893" s="1">
        <v>42849</v>
      </c>
      <c r="G1893">
        <v>125.76600000000001</v>
      </c>
      <c r="H1893" s="4">
        <f t="shared" si="216"/>
        <v>407418.95700000005</v>
      </c>
      <c r="I1893" s="5">
        <v>42864</v>
      </c>
      <c r="J1893" s="4">
        <v>4299.7299999999996</v>
      </c>
      <c r="K1893" s="4">
        <f t="shared" si="217"/>
        <v>42997.299999999996</v>
      </c>
      <c r="AJ1893" s="1">
        <v>42864</v>
      </c>
      <c r="AL1893">
        <v>10.43</v>
      </c>
      <c r="AM1893" s="6">
        <f t="shared" si="218"/>
        <v>100000</v>
      </c>
      <c r="AN1893" s="2">
        <f t="shared" si="219"/>
        <v>0</v>
      </c>
    </row>
    <row r="1894" spans="4:40" x14ac:dyDescent="0.35">
      <c r="D1894" s="1">
        <v>42887</v>
      </c>
      <c r="E1894">
        <v>3.2301000000000002</v>
      </c>
      <c r="F1894" s="1">
        <v>42845</v>
      </c>
      <c r="G1894">
        <v>125.96899999999999</v>
      </c>
      <c r="H1894" s="4">
        <f t="shared" si="216"/>
        <v>406892.4669</v>
      </c>
      <c r="I1894" s="5">
        <v>42863</v>
      </c>
      <c r="J1894" s="4">
        <v>4310.45</v>
      </c>
      <c r="K1894" s="4">
        <f t="shared" si="217"/>
        <v>43104.5</v>
      </c>
      <c r="AJ1894" s="1">
        <v>42863</v>
      </c>
      <c r="AL1894">
        <v>10.48</v>
      </c>
      <c r="AM1894" s="6">
        <f t="shared" si="218"/>
        <v>100000</v>
      </c>
      <c r="AN1894" s="2">
        <f t="shared" si="219"/>
        <v>0</v>
      </c>
    </row>
    <row r="1895" spans="4:40" x14ac:dyDescent="0.35">
      <c r="D1895" s="1">
        <v>42886</v>
      </c>
      <c r="E1895">
        <v>3.2431000000000001</v>
      </c>
      <c r="F1895" s="1">
        <v>42844</v>
      </c>
      <c r="G1895">
        <v>126.14100000000001</v>
      </c>
      <c r="H1895" s="4">
        <f t="shared" si="216"/>
        <v>409087.87710000004</v>
      </c>
      <c r="I1895" s="5">
        <v>42860</v>
      </c>
      <c r="J1895" s="4">
        <v>4282.9799999999996</v>
      </c>
      <c r="K1895" s="4">
        <f t="shared" si="217"/>
        <v>42829.799999999996</v>
      </c>
      <c r="AJ1895" s="1">
        <v>42860</v>
      </c>
      <c r="AL1895">
        <v>10.49</v>
      </c>
      <c r="AM1895" s="6">
        <f t="shared" si="218"/>
        <v>100000</v>
      </c>
      <c r="AN1895" s="2">
        <f t="shared" si="219"/>
        <v>0</v>
      </c>
    </row>
    <row r="1896" spans="4:40" x14ac:dyDescent="0.35">
      <c r="D1896" s="1">
        <v>42885</v>
      </c>
      <c r="E1896">
        <v>3.2652999999999999</v>
      </c>
      <c r="F1896" s="1">
        <v>42843</v>
      </c>
      <c r="G1896">
        <v>126.47</v>
      </c>
      <c r="H1896" s="4">
        <f t="shared" si="216"/>
        <v>412962.49099999998</v>
      </c>
      <c r="I1896" s="5">
        <v>42859</v>
      </c>
      <c r="J1896" s="4">
        <v>4301.74</v>
      </c>
      <c r="K1896" s="4">
        <f t="shared" si="217"/>
        <v>43017.399999999994</v>
      </c>
      <c r="AJ1896" s="1">
        <v>42859</v>
      </c>
      <c r="AL1896">
        <v>10.54</v>
      </c>
      <c r="AM1896" s="6">
        <f t="shared" si="218"/>
        <v>100000</v>
      </c>
      <c r="AN1896" s="2">
        <f t="shared" si="219"/>
        <v>0</v>
      </c>
    </row>
    <row r="1897" spans="4:40" x14ac:dyDescent="0.35">
      <c r="D1897" s="1">
        <v>42884</v>
      </c>
      <c r="E1897">
        <v>3.2703000000000002</v>
      </c>
      <c r="F1897" s="1">
        <v>42842</v>
      </c>
      <c r="G1897">
        <v>125.968</v>
      </c>
      <c r="H1897" s="4">
        <f t="shared" si="216"/>
        <v>411953.15040000004</v>
      </c>
      <c r="I1897" s="5">
        <v>42858</v>
      </c>
      <c r="J1897" s="4">
        <v>4270.26</v>
      </c>
      <c r="K1897" s="4">
        <f t="shared" si="217"/>
        <v>42702.600000000006</v>
      </c>
      <c r="AJ1897" s="1">
        <v>42858</v>
      </c>
      <c r="AL1897">
        <v>10.54</v>
      </c>
      <c r="AM1897" s="6">
        <f t="shared" si="218"/>
        <v>100000</v>
      </c>
      <c r="AN1897" s="2">
        <f t="shared" si="219"/>
        <v>0</v>
      </c>
    </row>
    <row r="1898" spans="4:40" x14ac:dyDescent="0.35">
      <c r="D1898" s="1">
        <v>42881</v>
      </c>
      <c r="E1898">
        <v>3.2608000000000001</v>
      </c>
      <c r="F1898" s="1">
        <v>42838</v>
      </c>
      <c r="G1898">
        <v>126.01600000000001</v>
      </c>
      <c r="H1898" s="4">
        <f t="shared" si="216"/>
        <v>410912.97280000005</v>
      </c>
      <c r="I1898" s="5">
        <v>42857</v>
      </c>
      <c r="J1898" s="4">
        <v>4254.18</v>
      </c>
      <c r="K1898" s="4">
        <f t="shared" si="217"/>
        <v>42541.8</v>
      </c>
      <c r="AJ1898" s="1">
        <v>42857</v>
      </c>
      <c r="AL1898">
        <v>10.49</v>
      </c>
      <c r="AM1898" s="6">
        <f t="shared" si="218"/>
        <v>100000</v>
      </c>
      <c r="AN1898" s="2">
        <f t="shared" si="219"/>
        <v>0</v>
      </c>
    </row>
    <row r="1899" spans="4:40" x14ac:dyDescent="0.35">
      <c r="D1899" s="1">
        <v>42880</v>
      </c>
      <c r="E1899">
        <v>3.2818000000000001</v>
      </c>
      <c r="F1899" s="1">
        <v>42837</v>
      </c>
      <c r="G1899">
        <v>125.36</v>
      </c>
      <c r="H1899" s="4">
        <f t="shared" si="216"/>
        <v>411406.44800000003</v>
      </c>
      <c r="I1899" s="5">
        <v>42853</v>
      </c>
      <c r="J1899" s="4">
        <v>4289.01</v>
      </c>
      <c r="K1899" s="4">
        <f t="shared" si="217"/>
        <v>42890.100000000006</v>
      </c>
      <c r="AJ1899" s="1">
        <v>42853</v>
      </c>
      <c r="AL1899">
        <v>10.59</v>
      </c>
      <c r="AM1899" s="6">
        <f t="shared" si="218"/>
        <v>100000</v>
      </c>
      <c r="AN1899" s="2">
        <f t="shared" si="219"/>
        <v>0</v>
      </c>
    </row>
    <row r="1900" spans="4:40" x14ac:dyDescent="0.35">
      <c r="D1900" s="1">
        <v>42879</v>
      </c>
      <c r="E1900">
        <v>3.2623000000000002</v>
      </c>
      <c r="F1900" s="1">
        <v>42836</v>
      </c>
      <c r="G1900">
        <v>125.468</v>
      </c>
      <c r="H1900" s="4">
        <f t="shared" si="216"/>
        <v>409314.25640000001</v>
      </c>
      <c r="I1900" s="5">
        <v>42852</v>
      </c>
      <c r="J1900" s="4">
        <v>4301.07</v>
      </c>
      <c r="K1900" s="4">
        <f t="shared" si="217"/>
        <v>43010.7</v>
      </c>
      <c r="AJ1900" s="1">
        <v>42852</v>
      </c>
      <c r="AL1900">
        <v>10.69</v>
      </c>
      <c r="AM1900" s="6">
        <f t="shared" si="218"/>
        <v>100000</v>
      </c>
      <c r="AN1900" s="2">
        <f t="shared" si="219"/>
        <v>0</v>
      </c>
    </row>
    <row r="1901" spans="4:40" x14ac:dyDescent="0.35">
      <c r="D1901" s="1">
        <v>42878</v>
      </c>
      <c r="E1901">
        <v>3.2648000000000001</v>
      </c>
      <c r="F1901" s="1">
        <v>42835</v>
      </c>
      <c r="G1901">
        <v>124.875</v>
      </c>
      <c r="H1901" s="4">
        <f t="shared" si="216"/>
        <v>407691.9</v>
      </c>
      <c r="I1901" s="5">
        <v>42851</v>
      </c>
      <c r="J1901" s="4">
        <v>4286.21</v>
      </c>
      <c r="K1901" s="4">
        <f t="shared" si="217"/>
        <v>42862.1</v>
      </c>
      <c r="AJ1901" s="1">
        <v>42851</v>
      </c>
      <c r="AL1901">
        <v>10.65</v>
      </c>
      <c r="AM1901" s="6">
        <f t="shared" si="218"/>
        <v>100000</v>
      </c>
      <c r="AN1901" s="2">
        <f t="shared" si="219"/>
        <v>0</v>
      </c>
    </row>
    <row r="1902" spans="4:40" x14ac:dyDescent="0.35">
      <c r="D1902" s="1">
        <v>42877</v>
      </c>
      <c r="E1902">
        <v>3.2856999999999998</v>
      </c>
      <c r="F1902" s="1">
        <v>42832</v>
      </c>
      <c r="G1902">
        <v>124.828</v>
      </c>
      <c r="H1902" s="4">
        <f t="shared" si="216"/>
        <v>410147.35960000003</v>
      </c>
      <c r="I1902" s="5">
        <v>42850</v>
      </c>
      <c r="J1902" s="4">
        <v>4255.1499999999996</v>
      </c>
      <c r="K1902" s="4">
        <f t="shared" si="217"/>
        <v>42551.5</v>
      </c>
      <c r="AJ1902" s="1">
        <v>42850</v>
      </c>
      <c r="AL1902">
        <v>10.59</v>
      </c>
      <c r="AM1902" s="6">
        <f t="shared" si="218"/>
        <v>100000</v>
      </c>
      <c r="AN1902" s="2">
        <f t="shared" si="219"/>
        <v>0</v>
      </c>
    </row>
    <row r="1903" spans="4:40" x14ac:dyDescent="0.35">
      <c r="D1903" s="1">
        <v>42874</v>
      </c>
      <c r="E1903">
        <v>3.2871999999999999</v>
      </c>
      <c r="F1903" s="1">
        <v>42831</v>
      </c>
      <c r="G1903">
        <v>125.03100000000001</v>
      </c>
      <c r="H1903" s="4">
        <f t="shared" si="216"/>
        <v>411001.9032</v>
      </c>
      <c r="I1903" s="5">
        <v>42849</v>
      </c>
      <c r="J1903" s="4">
        <v>4231.51</v>
      </c>
      <c r="K1903" s="4">
        <f t="shared" si="217"/>
        <v>42315.100000000006</v>
      </c>
      <c r="AJ1903" s="1">
        <v>42849</v>
      </c>
      <c r="AL1903">
        <v>10.41</v>
      </c>
      <c r="AM1903" s="6">
        <f t="shared" si="218"/>
        <v>100000</v>
      </c>
      <c r="AN1903" s="2">
        <f t="shared" si="219"/>
        <v>0</v>
      </c>
    </row>
    <row r="1904" spans="4:40" x14ac:dyDescent="0.35">
      <c r="D1904" s="1">
        <v>42873</v>
      </c>
      <c r="E1904">
        <v>3.3755999999999999</v>
      </c>
      <c r="F1904" s="1">
        <v>42830</v>
      </c>
      <c r="G1904">
        <v>125.17100000000001</v>
      </c>
      <c r="H1904" s="4">
        <f t="shared" si="216"/>
        <v>422527.22759999998</v>
      </c>
      <c r="I1904" s="5">
        <v>42845</v>
      </c>
      <c r="J1904" s="4">
        <v>4259.88</v>
      </c>
      <c r="K1904" s="4">
        <f t="shared" si="217"/>
        <v>42598.8</v>
      </c>
      <c r="AJ1904" s="1">
        <v>42845</v>
      </c>
      <c r="AL1904">
        <v>10.45</v>
      </c>
      <c r="AM1904" s="6">
        <f t="shared" si="218"/>
        <v>100000</v>
      </c>
      <c r="AN1904" s="2">
        <f t="shared" si="219"/>
        <v>0</v>
      </c>
    </row>
    <row r="1905" spans="4:40" x14ac:dyDescent="0.35">
      <c r="D1905" s="1">
        <v>42872</v>
      </c>
      <c r="E1905">
        <v>3.1070000000000002</v>
      </c>
      <c r="F1905" s="1">
        <v>42829</v>
      </c>
      <c r="G1905">
        <v>125.01600000000001</v>
      </c>
      <c r="H1905" s="4">
        <f t="shared" si="216"/>
        <v>388424.71200000006</v>
      </c>
      <c r="I1905" s="5">
        <v>42844</v>
      </c>
      <c r="J1905" s="4">
        <v>4264.6000000000004</v>
      </c>
      <c r="K1905" s="4">
        <f t="shared" si="217"/>
        <v>42646</v>
      </c>
      <c r="AJ1905" s="1">
        <v>42844</v>
      </c>
      <c r="AL1905">
        <v>10.45</v>
      </c>
      <c r="AM1905" s="6">
        <f t="shared" si="218"/>
        <v>100000</v>
      </c>
      <c r="AN1905" s="2">
        <f t="shared" si="219"/>
        <v>0</v>
      </c>
    </row>
    <row r="1906" spans="4:40" x14ac:dyDescent="0.35">
      <c r="D1906" s="1">
        <v>42871</v>
      </c>
      <c r="E1906">
        <v>3.0918000000000001</v>
      </c>
      <c r="F1906" s="1">
        <v>42828</v>
      </c>
      <c r="G1906">
        <v>125.10899999999999</v>
      </c>
      <c r="H1906" s="4">
        <f t="shared" si="216"/>
        <v>386812.0062</v>
      </c>
      <c r="I1906" s="5">
        <v>42843</v>
      </c>
      <c r="J1906" s="4">
        <v>4207.88</v>
      </c>
      <c r="K1906" s="4">
        <f t="shared" si="217"/>
        <v>42078.8</v>
      </c>
      <c r="AJ1906" s="1">
        <v>42843</v>
      </c>
      <c r="AL1906">
        <v>10.35</v>
      </c>
      <c r="AM1906" s="6">
        <f t="shared" si="218"/>
        <v>100000</v>
      </c>
      <c r="AN1906" s="2">
        <f t="shared" si="219"/>
        <v>0</v>
      </c>
    </row>
    <row r="1907" spans="4:40" x14ac:dyDescent="0.35">
      <c r="D1907" s="1">
        <v>42870</v>
      </c>
      <c r="E1907">
        <v>3.1004999999999998</v>
      </c>
      <c r="F1907" s="1">
        <v>42825</v>
      </c>
      <c r="G1907">
        <v>124.46899999999999</v>
      </c>
      <c r="H1907" s="4">
        <f t="shared" si="216"/>
        <v>385916.13449999993</v>
      </c>
      <c r="I1907" s="5">
        <v>42842</v>
      </c>
      <c r="J1907" s="4">
        <v>4197.07</v>
      </c>
      <c r="K1907" s="4">
        <f t="shared" si="217"/>
        <v>41970.7</v>
      </c>
      <c r="AJ1907" s="1">
        <v>42842</v>
      </c>
      <c r="AL1907">
        <v>10.35</v>
      </c>
      <c r="AM1907" s="6">
        <f t="shared" si="218"/>
        <v>100000</v>
      </c>
      <c r="AN1907" s="2">
        <f t="shared" si="219"/>
        <v>0</v>
      </c>
    </row>
    <row r="1908" spans="4:40" x14ac:dyDescent="0.35">
      <c r="D1908" s="1">
        <v>42867</v>
      </c>
      <c r="E1908">
        <v>3.1284000000000001</v>
      </c>
      <c r="F1908" s="1">
        <v>42824</v>
      </c>
      <c r="G1908">
        <v>124.21899999999999</v>
      </c>
      <c r="H1908" s="4">
        <f t="shared" si="216"/>
        <v>388606.71959999995</v>
      </c>
      <c r="I1908" s="5">
        <v>42838</v>
      </c>
      <c r="J1908" s="4">
        <v>4260.55</v>
      </c>
      <c r="K1908" s="4">
        <f t="shared" si="217"/>
        <v>42605.5</v>
      </c>
      <c r="AJ1908" s="1">
        <v>42838</v>
      </c>
      <c r="AL1908">
        <v>10.42</v>
      </c>
      <c r="AM1908" s="6">
        <f t="shared" si="218"/>
        <v>100000</v>
      </c>
      <c r="AN1908" s="2">
        <f t="shared" si="219"/>
        <v>0</v>
      </c>
    </row>
    <row r="1909" spans="4:40" x14ac:dyDescent="0.35">
      <c r="D1909" s="1">
        <v>42866</v>
      </c>
      <c r="E1909">
        <v>3.1553</v>
      </c>
      <c r="F1909" s="1">
        <v>42823</v>
      </c>
      <c r="G1909">
        <v>124.59399999999999</v>
      </c>
      <c r="H1909" s="4">
        <f t="shared" si="216"/>
        <v>393131.44819999998</v>
      </c>
      <c r="I1909" s="5">
        <v>42837</v>
      </c>
      <c r="J1909" s="4">
        <v>4239.62</v>
      </c>
      <c r="K1909" s="4">
        <f t="shared" si="217"/>
        <v>42396.2</v>
      </c>
      <c r="AJ1909" s="1">
        <v>42837</v>
      </c>
      <c r="AL1909">
        <v>10.29</v>
      </c>
      <c r="AM1909" s="6">
        <f t="shared" si="218"/>
        <v>100000</v>
      </c>
      <c r="AN1909" s="2">
        <f t="shared" si="219"/>
        <v>0</v>
      </c>
    </row>
    <row r="1910" spans="4:40" x14ac:dyDescent="0.35">
      <c r="D1910" s="1">
        <v>42865</v>
      </c>
      <c r="E1910">
        <v>3.16</v>
      </c>
      <c r="F1910" s="1">
        <v>42822</v>
      </c>
      <c r="G1910">
        <v>124.235</v>
      </c>
      <c r="H1910" s="4">
        <f t="shared" si="216"/>
        <v>392582.60000000003</v>
      </c>
      <c r="I1910" s="5">
        <v>42836</v>
      </c>
      <c r="J1910" s="4">
        <v>4254.47</v>
      </c>
      <c r="K1910" s="4">
        <f t="shared" si="217"/>
        <v>42544.700000000004</v>
      </c>
      <c r="AJ1910" s="1">
        <v>42836</v>
      </c>
      <c r="AL1910">
        <v>10.29</v>
      </c>
      <c r="AM1910" s="6">
        <f t="shared" si="218"/>
        <v>100000</v>
      </c>
      <c r="AN1910" s="2">
        <f t="shared" si="219"/>
        <v>0</v>
      </c>
    </row>
    <row r="1911" spans="4:40" x14ac:dyDescent="0.35">
      <c r="D1911" s="1">
        <v>42864</v>
      </c>
      <c r="E1911">
        <v>3.1850999999999998</v>
      </c>
      <c r="F1911" s="1">
        <v>42821</v>
      </c>
      <c r="G1911">
        <v>124.672</v>
      </c>
      <c r="H1911" s="4">
        <f t="shared" si="216"/>
        <v>397092.78719999996</v>
      </c>
      <c r="I1911" s="5">
        <v>42835</v>
      </c>
      <c r="J1911" s="4">
        <v>4247.72</v>
      </c>
      <c r="K1911" s="4">
        <f t="shared" si="217"/>
        <v>42477.200000000004</v>
      </c>
      <c r="AJ1911" s="1">
        <v>42835</v>
      </c>
      <c r="AL1911">
        <v>10.220000000000001</v>
      </c>
      <c r="AM1911" s="6">
        <f t="shared" si="218"/>
        <v>100000</v>
      </c>
      <c r="AN1911" s="2">
        <f t="shared" si="219"/>
        <v>0</v>
      </c>
    </row>
    <row r="1912" spans="4:40" x14ac:dyDescent="0.35">
      <c r="D1912" s="1">
        <v>42863</v>
      </c>
      <c r="E1912">
        <v>3.1932</v>
      </c>
      <c r="F1912" s="1">
        <v>42818</v>
      </c>
      <c r="G1912">
        <v>124.563</v>
      </c>
      <c r="H1912" s="4">
        <f t="shared" si="216"/>
        <v>397754.57160000002</v>
      </c>
      <c r="I1912" s="5">
        <v>42832</v>
      </c>
      <c r="J1912" s="4">
        <v>4270.01</v>
      </c>
      <c r="K1912" s="4">
        <f t="shared" si="217"/>
        <v>42700.100000000006</v>
      </c>
      <c r="AJ1912" s="1">
        <v>42832</v>
      </c>
      <c r="AL1912">
        <v>10.3</v>
      </c>
      <c r="AM1912" s="6">
        <f t="shared" si="218"/>
        <v>100000</v>
      </c>
      <c r="AN1912" s="2">
        <f t="shared" si="219"/>
        <v>0</v>
      </c>
    </row>
    <row r="1913" spans="4:40" x14ac:dyDescent="0.35">
      <c r="D1913" s="1">
        <v>42860</v>
      </c>
      <c r="E1913">
        <v>3.1758000000000002</v>
      </c>
      <c r="F1913" s="1">
        <v>42817</v>
      </c>
      <c r="G1913">
        <v>124.40600000000001</v>
      </c>
      <c r="H1913" s="4">
        <f t="shared" si="216"/>
        <v>395088.57480000006</v>
      </c>
      <c r="I1913" s="5">
        <v>42831</v>
      </c>
      <c r="J1913" s="4">
        <v>4265.95</v>
      </c>
      <c r="K1913" s="4">
        <f t="shared" si="217"/>
        <v>42659.5</v>
      </c>
      <c r="AJ1913" s="1">
        <v>42831</v>
      </c>
      <c r="AL1913">
        <v>10.36</v>
      </c>
      <c r="AM1913" s="6">
        <f t="shared" si="218"/>
        <v>100000</v>
      </c>
      <c r="AN1913" s="2">
        <f t="shared" si="219"/>
        <v>0</v>
      </c>
    </row>
    <row r="1914" spans="4:40" x14ac:dyDescent="0.35">
      <c r="D1914" s="1">
        <v>42859</v>
      </c>
      <c r="E1914">
        <v>3.1774</v>
      </c>
      <c r="F1914" s="1">
        <v>42816</v>
      </c>
      <c r="G1914">
        <v>124.547</v>
      </c>
      <c r="H1914" s="4">
        <f t="shared" si="216"/>
        <v>395735.63780000003</v>
      </c>
      <c r="I1914" s="5">
        <v>42830</v>
      </c>
      <c r="J1914" s="4">
        <v>4235.5600000000004</v>
      </c>
      <c r="K1914" s="4">
        <f t="shared" si="217"/>
        <v>42355.600000000006</v>
      </c>
      <c r="AJ1914" s="1">
        <v>42830</v>
      </c>
      <c r="AL1914">
        <v>10.28</v>
      </c>
      <c r="AM1914" s="6">
        <f t="shared" si="218"/>
        <v>100000</v>
      </c>
      <c r="AN1914" s="2">
        <f t="shared" si="219"/>
        <v>0</v>
      </c>
    </row>
    <row r="1915" spans="4:40" x14ac:dyDescent="0.35">
      <c r="D1915" s="1">
        <v>42858</v>
      </c>
      <c r="E1915">
        <v>3.1482999999999999</v>
      </c>
      <c r="F1915" s="1">
        <v>42815</v>
      </c>
      <c r="G1915">
        <v>124.297</v>
      </c>
      <c r="H1915" s="4">
        <f t="shared" si="216"/>
        <v>391324.2451</v>
      </c>
      <c r="I1915" s="5">
        <v>42829</v>
      </c>
      <c r="J1915" s="4">
        <v>4202.47</v>
      </c>
      <c r="K1915" s="4">
        <f t="shared" si="217"/>
        <v>42024.700000000004</v>
      </c>
      <c r="AJ1915" s="1">
        <v>42829</v>
      </c>
      <c r="AL1915">
        <v>10.18</v>
      </c>
      <c r="AM1915" s="6">
        <f t="shared" si="218"/>
        <v>100000</v>
      </c>
      <c r="AN1915" s="2">
        <f t="shared" si="219"/>
        <v>0</v>
      </c>
    </row>
    <row r="1916" spans="4:40" x14ac:dyDescent="0.35">
      <c r="D1916" s="1">
        <v>42857</v>
      </c>
      <c r="E1916">
        <v>3.1718000000000002</v>
      </c>
      <c r="F1916" s="1">
        <v>42814</v>
      </c>
      <c r="G1916">
        <v>124</v>
      </c>
      <c r="H1916" s="4">
        <f t="shared" si="216"/>
        <v>393303.2</v>
      </c>
      <c r="I1916" s="5">
        <v>42828</v>
      </c>
      <c r="J1916" s="4">
        <v>4232.1899999999996</v>
      </c>
      <c r="K1916" s="4">
        <f t="shared" si="217"/>
        <v>42321.899999999994</v>
      </c>
      <c r="AJ1916" s="1">
        <v>42828</v>
      </c>
      <c r="AL1916">
        <v>10.23</v>
      </c>
      <c r="AM1916" s="6">
        <f t="shared" si="218"/>
        <v>100000</v>
      </c>
      <c r="AN1916" s="2">
        <f t="shared" si="219"/>
        <v>0</v>
      </c>
    </row>
    <row r="1917" spans="4:40" x14ac:dyDescent="0.35">
      <c r="D1917" s="1">
        <v>42853</v>
      </c>
      <c r="E1917">
        <v>3.1978</v>
      </c>
      <c r="F1917" s="1">
        <v>42811</v>
      </c>
      <c r="G1917">
        <v>123.813</v>
      </c>
      <c r="H1917" s="4">
        <f t="shared" si="216"/>
        <v>395929.21139999997</v>
      </c>
      <c r="I1917" s="5">
        <v>42825</v>
      </c>
      <c r="J1917" s="4">
        <v>4241.6400000000003</v>
      </c>
      <c r="K1917" s="4">
        <f t="shared" si="217"/>
        <v>42416.4</v>
      </c>
      <c r="AJ1917" s="1">
        <v>42825</v>
      </c>
      <c r="AL1917">
        <v>10.31</v>
      </c>
      <c r="AM1917" s="6">
        <f t="shared" si="218"/>
        <v>100000</v>
      </c>
      <c r="AN1917" s="2">
        <f t="shared" si="219"/>
        <v>0</v>
      </c>
    </row>
    <row r="1918" spans="4:40" x14ac:dyDescent="0.35">
      <c r="D1918" s="1">
        <v>42852</v>
      </c>
      <c r="E1918">
        <v>3.1757</v>
      </c>
      <c r="F1918" s="1">
        <v>42810</v>
      </c>
      <c r="G1918">
        <v>123.64100000000001</v>
      </c>
      <c r="H1918" s="4">
        <f t="shared" si="216"/>
        <v>392646.72369999997</v>
      </c>
      <c r="I1918" s="5">
        <v>42824</v>
      </c>
      <c r="J1918" s="4">
        <v>4280.13</v>
      </c>
      <c r="K1918" s="4">
        <f t="shared" si="217"/>
        <v>42801.3</v>
      </c>
      <c r="AJ1918" s="1">
        <v>42824</v>
      </c>
      <c r="AL1918">
        <v>10.32</v>
      </c>
      <c r="AM1918" s="6">
        <f t="shared" si="218"/>
        <v>100000</v>
      </c>
      <c r="AN1918" s="2">
        <f t="shared" si="219"/>
        <v>0</v>
      </c>
    </row>
    <row r="1919" spans="4:40" x14ac:dyDescent="0.35">
      <c r="D1919" s="1">
        <v>42851</v>
      </c>
      <c r="E1919">
        <v>3.1840999999999999</v>
      </c>
      <c r="F1919" s="1">
        <v>42809</v>
      </c>
      <c r="G1919">
        <v>123.813</v>
      </c>
      <c r="H1919" s="4">
        <f t="shared" si="216"/>
        <v>394232.97330000001</v>
      </c>
      <c r="I1919" s="5">
        <v>42823</v>
      </c>
      <c r="J1919" s="4">
        <v>4242.78</v>
      </c>
      <c r="K1919" s="4">
        <f t="shared" si="217"/>
        <v>42427.799999999996</v>
      </c>
      <c r="AJ1919" s="1">
        <v>42823</v>
      </c>
      <c r="AL1919">
        <v>10.32</v>
      </c>
      <c r="AM1919" s="6">
        <f t="shared" si="218"/>
        <v>100000</v>
      </c>
      <c r="AN1919" s="2">
        <f t="shared" si="219"/>
        <v>0</v>
      </c>
    </row>
    <row r="1920" spans="4:40" x14ac:dyDescent="0.35">
      <c r="D1920" s="1">
        <v>42850</v>
      </c>
      <c r="E1920">
        <v>3.1570999999999998</v>
      </c>
      <c r="F1920" s="1">
        <v>42808</v>
      </c>
      <c r="G1920">
        <v>122.89</v>
      </c>
      <c r="H1920" s="4">
        <f t="shared" si="216"/>
        <v>387976.01899999997</v>
      </c>
      <c r="I1920" s="5">
        <v>42822</v>
      </c>
      <c r="J1920" s="4">
        <v>4271.3100000000004</v>
      </c>
      <c r="K1920" s="4">
        <f t="shared" si="217"/>
        <v>42713.100000000006</v>
      </c>
      <c r="AJ1920" s="1">
        <v>42822</v>
      </c>
      <c r="AL1920">
        <v>10.36</v>
      </c>
      <c r="AM1920" s="6">
        <f t="shared" si="218"/>
        <v>100000</v>
      </c>
      <c r="AN1920" s="2">
        <f t="shared" si="219"/>
        <v>0</v>
      </c>
    </row>
    <row r="1921" spans="4:40" x14ac:dyDescent="0.35">
      <c r="D1921" s="1">
        <v>42849</v>
      </c>
      <c r="E1921">
        <v>3.1244999999999998</v>
      </c>
      <c r="F1921" s="1">
        <v>42807</v>
      </c>
      <c r="G1921">
        <v>122.78100000000001</v>
      </c>
      <c r="H1921" s="4">
        <f t="shared" si="216"/>
        <v>383629.23450000002</v>
      </c>
      <c r="I1921" s="5">
        <v>42821</v>
      </c>
      <c r="J1921" s="4">
        <v>4252.29</v>
      </c>
      <c r="K1921" s="4">
        <f t="shared" si="217"/>
        <v>42522.9</v>
      </c>
      <c r="AJ1921" s="1">
        <v>42821</v>
      </c>
      <c r="AL1921">
        <v>10.29</v>
      </c>
      <c r="AM1921" s="6">
        <f t="shared" si="218"/>
        <v>100000</v>
      </c>
      <c r="AN1921" s="2">
        <f t="shared" si="219"/>
        <v>0</v>
      </c>
    </row>
    <row r="1922" spans="4:40" x14ac:dyDescent="0.35">
      <c r="D1922" s="1">
        <v>42845</v>
      </c>
      <c r="E1922">
        <v>3.1446999999999998</v>
      </c>
      <c r="F1922" s="1">
        <v>42804</v>
      </c>
      <c r="G1922">
        <v>123.01600000000001</v>
      </c>
      <c r="H1922" s="4">
        <f t="shared" si="216"/>
        <v>386848.41519999999</v>
      </c>
      <c r="I1922" s="5">
        <v>42818</v>
      </c>
      <c r="J1922" s="4">
        <v>4231.91</v>
      </c>
      <c r="K1922" s="4">
        <f t="shared" si="217"/>
        <v>42319.1</v>
      </c>
      <c r="AJ1922" s="1">
        <v>42818</v>
      </c>
      <c r="AL1922">
        <v>10.3</v>
      </c>
      <c r="AM1922" s="6">
        <f t="shared" si="218"/>
        <v>100000</v>
      </c>
      <c r="AN1922" s="2">
        <f t="shared" si="219"/>
        <v>0</v>
      </c>
    </row>
    <row r="1923" spans="4:40" x14ac:dyDescent="0.35">
      <c r="D1923" s="1">
        <v>42844</v>
      </c>
      <c r="E1923">
        <v>3.1288</v>
      </c>
      <c r="F1923" s="1">
        <v>42803</v>
      </c>
      <c r="G1923">
        <v>122.90600000000001</v>
      </c>
      <c r="H1923" s="4">
        <f t="shared" si="216"/>
        <v>384548.2928</v>
      </c>
      <c r="I1923" s="5">
        <v>42817</v>
      </c>
      <c r="J1923" s="4">
        <v>4276.0600000000004</v>
      </c>
      <c r="K1923" s="4">
        <f t="shared" si="217"/>
        <v>42760.600000000006</v>
      </c>
      <c r="AJ1923" s="1">
        <v>42817</v>
      </c>
      <c r="AL1923">
        <v>10.46</v>
      </c>
      <c r="AM1923" s="6">
        <f t="shared" si="218"/>
        <v>100000</v>
      </c>
      <c r="AN1923" s="2">
        <f t="shared" si="219"/>
        <v>0</v>
      </c>
    </row>
    <row r="1924" spans="4:40" x14ac:dyDescent="0.35">
      <c r="D1924" s="1">
        <v>42843</v>
      </c>
      <c r="E1924">
        <v>3.0952000000000002</v>
      </c>
      <c r="F1924" s="1">
        <v>42802</v>
      </c>
      <c r="G1924">
        <v>123.047</v>
      </c>
      <c r="H1924" s="4">
        <f t="shared" ref="H1924:H1987" si="220">G1924*E1924*1000</f>
        <v>380855.07440000004</v>
      </c>
      <c r="I1924" s="5">
        <v>42816</v>
      </c>
      <c r="J1924" s="4">
        <v>4206.1099999999997</v>
      </c>
      <c r="K1924" s="4">
        <f t="shared" si="217"/>
        <v>42061.1</v>
      </c>
      <c r="AJ1924" s="1">
        <v>42816</v>
      </c>
      <c r="AL1924">
        <v>10.46</v>
      </c>
      <c r="AM1924" s="6">
        <f t="shared" si="218"/>
        <v>100000</v>
      </c>
      <c r="AN1924" s="2">
        <f t="shared" si="219"/>
        <v>0</v>
      </c>
    </row>
    <row r="1925" spans="4:40" x14ac:dyDescent="0.35">
      <c r="D1925" s="1">
        <v>42842</v>
      </c>
      <c r="E1925">
        <v>3.1030000000000002</v>
      </c>
      <c r="F1925" s="1">
        <v>42801</v>
      </c>
      <c r="G1925">
        <v>123.438</v>
      </c>
      <c r="H1925" s="4">
        <f t="shared" si="220"/>
        <v>383028.114</v>
      </c>
      <c r="I1925" s="5">
        <v>42815</v>
      </c>
      <c r="J1925" s="4">
        <v>4208.82</v>
      </c>
      <c r="K1925" s="4">
        <f t="shared" ref="K1925:K1988" si="221">J1925*10</f>
        <v>42088.2</v>
      </c>
      <c r="AJ1925" s="1">
        <v>42815</v>
      </c>
      <c r="AL1925">
        <v>10.37</v>
      </c>
      <c r="AM1925" s="6">
        <f t="shared" ref="AM1925:AM1988" si="222">$Z$2/(1+AL1925/100)^(AK1925/252)</f>
        <v>100000</v>
      </c>
      <c r="AN1925" s="2">
        <f t="shared" ref="AN1925:AN1988" si="223">LOG(AM1925/AM1926)</f>
        <v>0</v>
      </c>
    </row>
    <row r="1926" spans="4:40" x14ac:dyDescent="0.35">
      <c r="D1926" s="1">
        <v>42838</v>
      </c>
      <c r="E1926">
        <v>3.1263000000000001</v>
      </c>
      <c r="F1926" s="1">
        <v>42800</v>
      </c>
      <c r="G1926">
        <v>123.578</v>
      </c>
      <c r="H1926" s="4">
        <f t="shared" si="220"/>
        <v>386341.90140000003</v>
      </c>
      <c r="I1926" s="5">
        <v>42814</v>
      </c>
      <c r="J1926" s="4">
        <v>4187.7700000000004</v>
      </c>
      <c r="K1926" s="4">
        <f t="shared" si="221"/>
        <v>41877.700000000004</v>
      </c>
      <c r="AJ1926" s="1">
        <v>42814</v>
      </c>
      <c r="AL1926">
        <v>10.42</v>
      </c>
      <c r="AM1926" s="6">
        <f t="shared" si="222"/>
        <v>100000</v>
      </c>
      <c r="AN1926" s="2">
        <f t="shared" si="223"/>
        <v>0</v>
      </c>
    </row>
    <row r="1927" spans="4:40" x14ac:dyDescent="0.35">
      <c r="D1927" s="1">
        <v>42837</v>
      </c>
      <c r="E1927">
        <v>3.1457000000000002</v>
      </c>
      <c r="F1927" s="1">
        <v>42797</v>
      </c>
      <c r="G1927">
        <v>123.563</v>
      </c>
      <c r="H1927" s="4">
        <f t="shared" si="220"/>
        <v>388692.12910000002</v>
      </c>
      <c r="I1927" s="5">
        <v>42811</v>
      </c>
      <c r="J1927" s="4">
        <v>4217.6499999999996</v>
      </c>
      <c r="K1927" s="4">
        <f t="shared" si="221"/>
        <v>42176.5</v>
      </c>
      <c r="AJ1927" s="1">
        <v>42811</v>
      </c>
      <c r="AL1927">
        <v>10.42</v>
      </c>
      <c r="AM1927" s="6">
        <f t="shared" si="222"/>
        <v>100000</v>
      </c>
      <c r="AN1927" s="2">
        <f t="shared" si="223"/>
        <v>0</v>
      </c>
    </row>
    <row r="1928" spans="4:40" x14ac:dyDescent="0.35">
      <c r="D1928" s="1">
        <v>42836</v>
      </c>
      <c r="E1928">
        <v>3.1417999999999999</v>
      </c>
      <c r="F1928" s="1">
        <v>42796</v>
      </c>
      <c r="G1928">
        <v>123.515</v>
      </c>
      <c r="H1928" s="4">
        <f t="shared" si="220"/>
        <v>388059.42699999997</v>
      </c>
      <c r="I1928" s="5">
        <v>42810</v>
      </c>
      <c r="J1928" s="4">
        <v>4257.04</v>
      </c>
      <c r="K1928" s="4">
        <f t="shared" si="221"/>
        <v>42570.400000000001</v>
      </c>
      <c r="AJ1928" s="1">
        <v>42810</v>
      </c>
      <c r="AL1928">
        <v>10.4</v>
      </c>
      <c r="AM1928" s="6">
        <f t="shared" si="222"/>
        <v>100000</v>
      </c>
      <c r="AN1928" s="2">
        <f t="shared" si="223"/>
        <v>0</v>
      </c>
    </row>
    <row r="1929" spans="4:40" x14ac:dyDescent="0.35">
      <c r="D1929" s="1">
        <v>42835</v>
      </c>
      <c r="E1929">
        <v>3.1402999999999999</v>
      </c>
      <c r="F1929" s="1">
        <v>42795</v>
      </c>
      <c r="G1929">
        <v>123.735</v>
      </c>
      <c r="H1929" s="4">
        <f t="shared" si="220"/>
        <v>388565.02049999998</v>
      </c>
      <c r="I1929" s="5">
        <v>42809</v>
      </c>
      <c r="J1929" s="4">
        <v>4235.99</v>
      </c>
      <c r="K1929" s="4">
        <f t="shared" si="221"/>
        <v>42359.899999999994</v>
      </c>
      <c r="AJ1929" s="1">
        <v>42809</v>
      </c>
      <c r="AL1929">
        <v>10.44</v>
      </c>
      <c r="AM1929" s="6">
        <f t="shared" si="222"/>
        <v>100000</v>
      </c>
      <c r="AN1929" s="2">
        <f t="shared" si="223"/>
        <v>0</v>
      </c>
    </row>
    <row r="1930" spans="4:40" x14ac:dyDescent="0.35">
      <c r="D1930" s="1">
        <v>42832</v>
      </c>
      <c r="E1930">
        <v>3.1295999999999999</v>
      </c>
      <c r="F1930" s="1">
        <v>42790</v>
      </c>
      <c r="G1930">
        <v>125.062</v>
      </c>
      <c r="H1930" s="4">
        <f t="shared" si="220"/>
        <v>391394.03519999998</v>
      </c>
      <c r="I1930" s="5">
        <v>42808</v>
      </c>
      <c r="J1930" s="4">
        <v>4324.96</v>
      </c>
      <c r="K1930" s="4">
        <f t="shared" si="221"/>
        <v>43249.599999999999</v>
      </c>
      <c r="AJ1930" s="1">
        <v>42808</v>
      </c>
      <c r="AL1930">
        <v>10.55</v>
      </c>
      <c r="AM1930" s="6">
        <f t="shared" si="222"/>
        <v>100000</v>
      </c>
      <c r="AN1930" s="2">
        <f t="shared" si="223"/>
        <v>0</v>
      </c>
    </row>
    <row r="1931" spans="4:40" x14ac:dyDescent="0.35">
      <c r="D1931" s="1">
        <v>42831</v>
      </c>
      <c r="E1931">
        <v>3.1154000000000002</v>
      </c>
      <c r="F1931" s="1">
        <v>42789</v>
      </c>
      <c r="G1931">
        <v>125</v>
      </c>
      <c r="H1931" s="4">
        <f t="shared" si="220"/>
        <v>389425</v>
      </c>
      <c r="I1931" s="5">
        <v>42807</v>
      </c>
      <c r="J1931" s="4">
        <v>4306.62</v>
      </c>
      <c r="K1931" s="4">
        <f t="shared" si="221"/>
        <v>43066.2</v>
      </c>
      <c r="AJ1931" s="1">
        <v>42807</v>
      </c>
      <c r="AL1931">
        <v>10.39</v>
      </c>
      <c r="AM1931" s="6">
        <f t="shared" si="222"/>
        <v>100000</v>
      </c>
      <c r="AN1931" s="2">
        <f t="shared" si="223"/>
        <v>0</v>
      </c>
    </row>
    <row r="1932" spans="4:40" x14ac:dyDescent="0.35">
      <c r="D1932" s="1">
        <v>42830</v>
      </c>
      <c r="E1932">
        <v>3.0916999999999999</v>
      </c>
      <c r="F1932" s="1">
        <v>42788</v>
      </c>
      <c r="G1932">
        <v>124.625</v>
      </c>
      <c r="H1932" s="4">
        <f t="shared" si="220"/>
        <v>385303.11249999999</v>
      </c>
      <c r="I1932" s="5">
        <v>42804</v>
      </c>
      <c r="J1932" s="4">
        <v>4288.28</v>
      </c>
      <c r="K1932" s="4">
        <f t="shared" si="221"/>
        <v>42882.799999999996</v>
      </c>
      <c r="AJ1932" s="1">
        <v>42804</v>
      </c>
      <c r="AL1932">
        <v>10.43</v>
      </c>
      <c r="AM1932" s="6">
        <f t="shared" si="222"/>
        <v>100000</v>
      </c>
      <c r="AN1932" s="2">
        <f t="shared" si="223"/>
        <v>0</v>
      </c>
    </row>
    <row r="1933" spans="4:40" x14ac:dyDescent="0.35">
      <c r="D1933" s="1">
        <v>42829</v>
      </c>
      <c r="E1933">
        <v>3.1225000000000001</v>
      </c>
      <c r="F1933" s="1">
        <v>42787</v>
      </c>
      <c r="G1933">
        <v>124.687</v>
      </c>
      <c r="H1933" s="4">
        <f t="shared" si="220"/>
        <v>389335.15749999997</v>
      </c>
      <c r="I1933" s="5">
        <v>42803</v>
      </c>
      <c r="J1933" s="4">
        <v>4366.3900000000003</v>
      </c>
      <c r="K1933" s="4">
        <f t="shared" si="221"/>
        <v>43663.9</v>
      </c>
      <c r="AJ1933" s="1">
        <v>42803</v>
      </c>
      <c r="AL1933">
        <v>10.6</v>
      </c>
      <c r="AM1933" s="6">
        <f t="shared" si="222"/>
        <v>100000</v>
      </c>
      <c r="AN1933" s="2">
        <f t="shared" si="223"/>
        <v>0</v>
      </c>
    </row>
    <row r="1934" spans="4:40" x14ac:dyDescent="0.35">
      <c r="D1934" s="1">
        <v>42828</v>
      </c>
      <c r="E1934">
        <v>3.1160999999999999</v>
      </c>
      <c r="F1934" s="1">
        <v>42786</v>
      </c>
      <c r="G1934">
        <v>124.672</v>
      </c>
      <c r="H1934" s="4">
        <f t="shared" si="220"/>
        <v>388490.41919999995</v>
      </c>
      <c r="I1934" s="5">
        <v>42802</v>
      </c>
      <c r="J1934" s="4">
        <v>4323.6000000000004</v>
      </c>
      <c r="K1934" s="4">
        <f t="shared" si="221"/>
        <v>43236</v>
      </c>
      <c r="AJ1934" s="1">
        <v>42802</v>
      </c>
      <c r="AL1934">
        <v>10.54</v>
      </c>
      <c r="AM1934" s="6">
        <f t="shared" si="222"/>
        <v>100000</v>
      </c>
      <c r="AN1934" s="2">
        <f t="shared" si="223"/>
        <v>0</v>
      </c>
    </row>
    <row r="1935" spans="4:40" x14ac:dyDescent="0.35">
      <c r="D1935" s="1">
        <v>42825</v>
      </c>
      <c r="E1935">
        <v>3.1678000000000002</v>
      </c>
      <c r="F1935" s="1">
        <v>42783</v>
      </c>
      <c r="G1935">
        <v>124.75</v>
      </c>
      <c r="H1935" s="4">
        <f t="shared" si="220"/>
        <v>395183.05000000005</v>
      </c>
      <c r="I1935" s="5">
        <v>42801</v>
      </c>
      <c r="J1935" s="4">
        <v>4267.91</v>
      </c>
      <c r="K1935" s="4">
        <f t="shared" si="221"/>
        <v>42679.1</v>
      </c>
      <c r="AJ1935" s="1">
        <v>42801</v>
      </c>
      <c r="AL1935">
        <v>10.41</v>
      </c>
      <c r="AM1935" s="6">
        <f t="shared" si="222"/>
        <v>100000</v>
      </c>
      <c r="AN1935" s="2">
        <f t="shared" si="223"/>
        <v>0</v>
      </c>
    </row>
    <row r="1936" spans="4:40" x14ac:dyDescent="0.35">
      <c r="D1936" s="1">
        <v>42824</v>
      </c>
      <c r="E1936">
        <v>3.1240999999999999</v>
      </c>
      <c r="F1936" s="1">
        <v>42782</v>
      </c>
      <c r="G1936">
        <v>124.547</v>
      </c>
      <c r="H1936" s="4">
        <f t="shared" si="220"/>
        <v>389097.28269999998</v>
      </c>
      <c r="I1936" s="5">
        <v>42800</v>
      </c>
      <c r="J1936" s="4">
        <v>4293.72</v>
      </c>
      <c r="K1936" s="4">
        <f t="shared" si="221"/>
        <v>42937.200000000004</v>
      </c>
      <c r="AJ1936" s="1">
        <v>42800</v>
      </c>
      <c r="AL1936">
        <v>10.4</v>
      </c>
      <c r="AM1936" s="6">
        <f t="shared" si="222"/>
        <v>100000</v>
      </c>
      <c r="AN1936" s="2">
        <f t="shared" si="223"/>
        <v>0</v>
      </c>
    </row>
    <row r="1937" spans="4:40" x14ac:dyDescent="0.35">
      <c r="D1937" s="1">
        <v>42823</v>
      </c>
      <c r="E1937">
        <v>3.1223000000000001</v>
      </c>
      <c r="F1937" s="1">
        <v>42781</v>
      </c>
      <c r="G1937">
        <v>124.03100000000001</v>
      </c>
      <c r="H1937" s="4">
        <f t="shared" si="220"/>
        <v>387261.99130000005</v>
      </c>
      <c r="I1937" s="5">
        <v>42797</v>
      </c>
      <c r="J1937" s="4">
        <v>4269.2700000000004</v>
      </c>
      <c r="K1937" s="4">
        <f t="shared" si="221"/>
        <v>42692.700000000004</v>
      </c>
      <c r="AJ1937" s="1">
        <v>42797</v>
      </c>
      <c r="AL1937">
        <v>10.41</v>
      </c>
      <c r="AM1937" s="6">
        <f t="shared" si="222"/>
        <v>100000</v>
      </c>
      <c r="AN1937" s="2">
        <f t="shared" si="223"/>
        <v>0</v>
      </c>
    </row>
    <row r="1938" spans="4:40" x14ac:dyDescent="0.35">
      <c r="D1938" s="1">
        <v>42822</v>
      </c>
      <c r="E1938">
        <v>3.1297000000000001</v>
      </c>
      <c r="F1938" s="1">
        <v>42780</v>
      </c>
      <c r="G1938">
        <v>124.2</v>
      </c>
      <c r="H1938" s="4">
        <f t="shared" si="220"/>
        <v>388708.74000000005</v>
      </c>
      <c r="I1938" s="5">
        <v>42796</v>
      </c>
      <c r="J1938" s="4">
        <v>4322.24</v>
      </c>
      <c r="K1938" s="4">
        <f t="shared" si="221"/>
        <v>43222.399999999994</v>
      </c>
      <c r="AJ1938" s="1">
        <v>42796</v>
      </c>
      <c r="AL1938">
        <v>10.53</v>
      </c>
      <c r="AM1938" s="6">
        <f t="shared" si="222"/>
        <v>100000</v>
      </c>
      <c r="AN1938" s="2">
        <f t="shared" si="223"/>
        <v>0</v>
      </c>
    </row>
    <row r="1939" spans="4:40" x14ac:dyDescent="0.35">
      <c r="D1939" s="1">
        <v>42821</v>
      </c>
      <c r="E1939">
        <v>3.125</v>
      </c>
      <c r="F1939" s="1">
        <v>42779</v>
      </c>
      <c r="G1939">
        <v>124.64100000000001</v>
      </c>
      <c r="H1939" s="4">
        <f t="shared" si="220"/>
        <v>389503.125</v>
      </c>
      <c r="I1939" s="5">
        <v>42795</v>
      </c>
      <c r="J1939" s="4">
        <v>4233.95</v>
      </c>
      <c r="K1939" s="4">
        <f t="shared" si="221"/>
        <v>42339.5</v>
      </c>
      <c r="AJ1939" s="1">
        <v>42795</v>
      </c>
      <c r="AL1939">
        <v>10.37</v>
      </c>
      <c r="AM1939" s="6">
        <f t="shared" si="222"/>
        <v>100000</v>
      </c>
      <c r="AN1939" s="2">
        <f t="shared" si="223"/>
        <v>0</v>
      </c>
    </row>
    <row r="1940" spans="4:40" x14ac:dyDescent="0.35">
      <c r="D1940" s="1">
        <v>42818</v>
      </c>
      <c r="E1940">
        <v>3.1276000000000002</v>
      </c>
      <c r="F1940" s="1">
        <v>42776</v>
      </c>
      <c r="G1940">
        <v>124.78100000000001</v>
      </c>
      <c r="H1940" s="4">
        <f t="shared" si="220"/>
        <v>390265.05560000002</v>
      </c>
      <c r="I1940" s="5">
        <v>42790</v>
      </c>
      <c r="J1940" s="4">
        <v>4267.2299999999996</v>
      </c>
      <c r="K1940" s="4">
        <f t="shared" si="221"/>
        <v>42672.299999999996</v>
      </c>
      <c r="AJ1940" s="1">
        <v>42790</v>
      </c>
      <c r="AL1940">
        <v>10.41</v>
      </c>
      <c r="AM1940" s="6">
        <f t="shared" si="222"/>
        <v>100000</v>
      </c>
      <c r="AN1940" s="2">
        <f t="shared" si="223"/>
        <v>0</v>
      </c>
    </row>
    <row r="1941" spans="4:40" x14ac:dyDescent="0.35">
      <c r="D1941" s="1">
        <v>42817</v>
      </c>
      <c r="E1941">
        <v>3.1242000000000001</v>
      </c>
      <c r="F1941" s="1">
        <v>42775</v>
      </c>
      <c r="G1941">
        <v>125</v>
      </c>
      <c r="H1941" s="4">
        <f t="shared" si="220"/>
        <v>390525.00000000006</v>
      </c>
      <c r="I1941" s="5">
        <v>42789</v>
      </c>
      <c r="J1941" s="4">
        <v>4201.3500000000004</v>
      </c>
      <c r="K1941" s="4">
        <f t="shared" si="221"/>
        <v>42013.5</v>
      </c>
      <c r="AJ1941" s="1">
        <v>42789</v>
      </c>
      <c r="AL1941">
        <v>10.34</v>
      </c>
      <c r="AM1941" s="6">
        <f t="shared" si="222"/>
        <v>100000</v>
      </c>
      <c r="AN1941" s="2">
        <f t="shared" si="223"/>
        <v>0</v>
      </c>
    </row>
    <row r="1942" spans="4:40" x14ac:dyDescent="0.35">
      <c r="D1942" s="1">
        <v>42816</v>
      </c>
      <c r="E1942">
        <v>3.0933000000000002</v>
      </c>
      <c r="F1942" s="1">
        <v>42774</v>
      </c>
      <c r="G1942">
        <v>125.328</v>
      </c>
      <c r="H1942" s="4">
        <f t="shared" si="220"/>
        <v>387677.10240000003</v>
      </c>
      <c r="I1942" s="5">
        <v>42788</v>
      </c>
      <c r="J1942" s="4">
        <v>4202.04</v>
      </c>
      <c r="K1942" s="4">
        <f t="shared" si="221"/>
        <v>42020.4</v>
      </c>
      <c r="AJ1942" s="1">
        <v>42788</v>
      </c>
      <c r="AL1942">
        <v>10.45</v>
      </c>
      <c r="AM1942" s="6">
        <f t="shared" si="222"/>
        <v>100000</v>
      </c>
      <c r="AN1942" s="2">
        <f t="shared" si="223"/>
        <v>0</v>
      </c>
    </row>
    <row r="1943" spans="4:40" x14ac:dyDescent="0.35">
      <c r="D1943" s="1">
        <v>42815</v>
      </c>
      <c r="E1943">
        <v>3.0758999999999999</v>
      </c>
      <c r="F1943" s="1">
        <v>42773</v>
      </c>
      <c r="G1943">
        <v>125.26600000000001</v>
      </c>
      <c r="H1943" s="4">
        <f t="shared" si="220"/>
        <v>385305.68940000003</v>
      </c>
      <c r="I1943" s="5">
        <v>42787</v>
      </c>
      <c r="J1943" s="4">
        <v>4240.3900000000003</v>
      </c>
      <c r="K1943" s="4">
        <f t="shared" si="221"/>
        <v>42403.9</v>
      </c>
      <c r="AJ1943" s="1">
        <v>42787</v>
      </c>
      <c r="AL1943">
        <v>10.49</v>
      </c>
      <c r="AM1943" s="6">
        <f t="shared" si="222"/>
        <v>100000</v>
      </c>
      <c r="AN1943" s="2">
        <f t="shared" si="223"/>
        <v>0</v>
      </c>
    </row>
    <row r="1944" spans="4:40" x14ac:dyDescent="0.35">
      <c r="D1944" s="1">
        <v>42814</v>
      </c>
      <c r="E1944">
        <v>3.0891999999999999</v>
      </c>
      <c r="F1944" s="1">
        <v>42772</v>
      </c>
      <c r="G1944">
        <v>124.938</v>
      </c>
      <c r="H1944" s="4">
        <f t="shared" si="220"/>
        <v>385958.46960000001</v>
      </c>
      <c r="I1944" s="5">
        <v>42786</v>
      </c>
      <c r="J1944" s="4">
        <v>4235.59</v>
      </c>
      <c r="K1944" s="4">
        <f t="shared" si="221"/>
        <v>42355.9</v>
      </c>
      <c r="AJ1944" s="1">
        <v>42786</v>
      </c>
      <c r="AL1944">
        <v>10.57</v>
      </c>
      <c r="AM1944" s="6">
        <f t="shared" si="222"/>
        <v>100000</v>
      </c>
      <c r="AN1944" s="2">
        <f t="shared" si="223"/>
        <v>0</v>
      </c>
    </row>
    <row r="1945" spans="4:40" x14ac:dyDescent="0.35">
      <c r="D1945" s="1">
        <v>42811</v>
      </c>
      <c r="E1945">
        <v>3.1069</v>
      </c>
      <c r="F1945" s="1">
        <v>42769</v>
      </c>
      <c r="G1945">
        <v>124.28100000000001</v>
      </c>
      <c r="H1945" s="4">
        <f t="shared" si="220"/>
        <v>386128.63890000002</v>
      </c>
      <c r="I1945" s="5">
        <v>42783</v>
      </c>
      <c r="J1945" s="4">
        <v>4262.3</v>
      </c>
      <c r="K1945" s="4">
        <f t="shared" si="221"/>
        <v>42623</v>
      </c>
      <c r="AJ1945" s="1">
        <v>42783</v>
      </c>
      <c r="AL1945">
        <v>10.6</v>
      </c>
      <c r="AM1945" s="6">
        <f t="shared" si="222"/>
        <v>100000</v>
      </c>
      <c r="AN1945" s="2">
        <f t="shared" si="223"/>
        <v>0</v>
      </c>
    </row>
    <row r="1946" spans="4:40" x14ac:dyDescent="0.35">
      <c r="D1946" s="1">
        <v>42810</v>
      </c>
      <c r="E1946">
        <v>3.1074000000000002</v>
      </c>
      <c r="F1946" s="1">
        <v>42768</v>
      </c>
      <c r="G1946">
        <v>124.35899999999999</v>
      </c>
      <c r="H1946" s="4">
        <f t="shared" si="220"/>
        <v>386433.15660000005</v>
      </c>
      <c r="I1946" s="5">
        <v>42782</v>
      </c>
      <c r="J1946" s="4">
        <v>4239.0200000000004</v>
      </c>
      <c r="K1946" s="4">
        <f t="shared" si="221"/>
        <v>42390.200000000004</v>
      </c>
      <c r="AJ1946" s="1">
        <v>42782</v>
      </c>
      <c r="AL1946">
        <v>10.65</v>
      </c>
      <c r="AM1946" s="6">
        <f t="shared" si="222"/>
        <v>100000</v>
      </c>
      <c r="AN1946" s="2">
        <f t="shared" si="223"/>
        <v>0</v>
      </c>
    </row>
    <row r="1947" spans="4:40" x14ac:dyDescent="0.35">
      <c r="D1947" s="1">
        <v>42809</v>
      </c>
      <c r="E1947">
        <v>3.1623000000000001</v>
      </c>
      <c r="F1947" s="1">
        <v>42767</v>
      </c>
      <c r="G1947">
        <v>124.40600000000001</v>
      </c>
      <c r="H1947" s="4">
        <f t="shared" si="220"/>
        <v>393409.09380000003</v>
      </c>
      <c r="I1947" s="5">
        <v>42781</v>
      </c>
      <c r="J1947" s="4">
        <v>4192.45</v>
      </c>
      <c r="K1947" s="4">
        <f t="shared" si="221"/>
        <v>41924.5</v>
      </c>
      <c r="AJ1947" s="1">
        <v>42781</v>
      </c>
      <c r="AL1947">
        <v>10.54</v>
      </c>
      <c r="AM1947" s="6">
        <f t="shared" si="222"/>
        <v>100000</v>
      </c>
      <c r="AN1947" s="2">
        <f t="shared" si="223"/>
        <v>0</v>
      </c>
    </row>
    <row r="1948" spans="4:40" x14ac:dyDescent="0.35">
      <c r="D1948" s="1">
        <v>42808</v>
      </c>
      <c r="E1948">
        <v>3.1633</v>
      </c>
      <c r="F1948" s="1">
        <v>42766</v>
      </c>
      <c r="G1948">
        <v>124.562</v>
      </c>
      <c r="H1948" s="4">
        <f t="shared" si="220"/>
        <v>394026.97460000002</v>
      </c>
      <c r="I1948" s="5">
        <v>42780</v>
      </c>
      <c r="J1948" s="4">
        <v>4241.07</v>
      </c>
      <c r="K1948" s="4">
        <f t="shared" si="221"/>
        <v>42410.7</v>
      </c>
      <c r="AJ1948" s="1">
        <v>42780</v>
      </c>
      <c r="AL1948">
        <v>10.57</v>
      </c>
      <c r="AM1948" s="6">
        <f t="shared" si="222"/>
        <v>100000</v>
      </c>
      <c r="AN1948" s="2">
        <f t="shared" si="223"/>
        <v>0</v>
      </c>
    </row>
    <row r="1949" spans="4:40" x14ac:dyDescent="0.35">
      <c r="D1949" s="1">
        <v>42807</v>
      </c>
      <c r="E1949">
        <v>3.1535000000000002</v>
      </c>
      <c r="F1949" s="1">
        <v>42765</v>
      </c>
      <c r="G1949">
        <v>124.172</v>
      </c>
      <c r="H1949" s="4">
        <f t="shared" si="220"/>
        <v>391576.402</v>
      </c>
      <c r="I1949" s="5">
        <v>42779</v>
      </c>
      <c r="J1949" s="4">
        <v>4278.05</v>
      </c>
      <c r="K1949" s="4">
        <f t="shared" si="221"/>
        <v>42780.5</v>
      </c>
      <c r="AJ1949" s="1">
        <v>42779</v>
      </c>
      <c r="AL1949">
        <v>10.55</v>
      </c>
      <c r="AM1949" s="6">
        <f t="shared" si="222"/>
        <v>100000</v>
      </c>
      <c r="AN1949" s="2">
        <f t="shared" si="223"/>
        <v>0</v>
      </c>
    </row>
    <row r="1950" spans="4:40" x14ac:dyDescent="0.35">
      <c r="D1950" s="1">
        <v>42804</v>
      </c>
      <c r="E1950">
        <v>3.1617000000000002</v>
      </c>
      <c r="F1950" s="1">
        <v>42762</v>
      </c>
      <c r="G1950">
        <v>123.937</v>
      </c>
      <c r="H1950" s="4">
        <f t="shared" si="220"/>
        <v>391851.61290000001</v>
      </c>
      <c r="I1950" s="5">
        <v>42776</v>
      </c>
      <c r="J1950" s="4">
        <v>4278.05</v>
      </c>
      <c r="K1950" s="4">
        <f t="shared" si="221"/>
        <v>42780.5</v>
      </c>
      <c r="AJ1950" s="1">
        <v>42776</v>
      </c>
      <c r="AL1950">
        <v>10.54</v>
      </c>
      <c r="AM1950" s="6">
        <f t="shared" si="222"/>
        <v>100000</v>
      </c>
      <c r="AN1950" s="2">
        <f t="shared" si="223"/>
        <v>0</v>
      </c>
    </row>
    <row r="1951" spans="4:40" x14ac:dyDescent="0.35">
      <c r="D1951" s="1">
        <v>42803</v>
      </c>
      <c r="E1951">
        <v>3.1728999999999998</v>
      </c>
      <c r="F1951" s="1">
        <v>42761</v>
      </c>
      <c r="G1951">
        <v>123.85899999999999</v>
      </c>
      <c r="H1951" s="4">
        <f t="shared" si="220"/>
        <v>392992.22109999997</v>
      </c>
      <c r="I1951" s="5">
        <v>42775</v>
      </c>
      <c r="J1951" s="4">
        <v>4304.76</v>
      </c>
      <c r="K1951" s="4">
        <f t="shared" si="221"/>
        <v>43047.600000000006</v>
      </c>
      <c r="AJ1951" s="1">
        <v>42775</v>
      </c>
      <c r="AL1951">
        <v>10.59</v>
      </c>
      <c r="AM1951" s="6">
        <f t="shared" si="222"/>
        <v>100000</v>
      </c>
      <c r="AN1951" s="2">
        <f t="shared" si="223"/>
        <v>0</v>
      </c>
    </row>
    <row r="1952" spans="4:40" x14ac:dyDescent="0.35">
      <c r="D1952" s="1">
        <v>42802</v>
      </c>
      <c r="E1952">
        <v>3.1471</v>
      </c>
      <c r="F1952" s="1">
        <v>42759</v>
      </c>
      <c r="G1952">
        <v>124.188</v>
      </c>
      <c r="H1952" s="4">
        <f t="shared" si="220"/>
        <v>390832.05479999998</v>
      </c>
      <c r="I1952" s="5">
        <v>42774</v>
      </c>
      <c r="J1952" s="4">
        <v>4292.43</v>
      </c>
      <c r="K1952" s="4">
        <f t="shared" si="221"/>
        <v>42924.3</v>
      </c>
      <c r="AJ1952" s="1">
        <v>42774</v>
      </c>
      <c r="AL1952">
        <v>10.6</v>
      </c>
      <c r="AM1952" s="6">
        <f t="shared" si="222"/>
        <v>100000</v>
      </c>
      <c r="AN1952" s="2">
        <f t="shared" si="223"/>
        <v>0</v>
      </c>
    </row>
    <row r="1953" spans="4:40" x14ac:dyDescent="0.35">
      <c r="D1953" s="1">
        <v>42801</v>
      </c>
      <c r="E1953">
        <v>3.1179000000000001</v>
      </c>
      <c r="F1953" s="1">
        <v>42758</v>
      </c>
      <c r="G1953">
        <v>124.812</v>
      </c>
      <c r="H1953" s="4">
        <f t="shared" si="220"/>
        <v>389151.33480000001</v>
      </c>
      <c r="I1953" s="5">
        <v>42773</v>
      </c>
      <c r="J1953" s="4">
        <v>4299.28</v>
      </c>
      <c r="K1953" s="4">
        <f t="shared" si="221"/>
        <v>42992.799999999996</v>
      </c>
      <c r="AJ1953" s="1">
        <v>42773</v>
      </c>
      <c r="AL1953">
        <v>10.68</v>
      </c>
      <c r="AM1953" s="6">
        <f t="shared" si="222"/>
        <v>100000</v>
      </c>
      <c r="AN1953" s="2">
        <f t="shared" si="223"/>
        <v>0</v>
      </c>
    </row>
    <row r="1954" spans="4:40" x14ac:dyDescent="0.35">
      <c r="D1954" s="1">
        <v>42800</v>
      </c>
      <c r="E1954">
        <v>3.1105</v>
      </c>
      <c r="F1954" s="1">
        <v>42755</v>
      </c>
      <c r="G1954">
        <v>124.203</v>
      </c>
      <c r="H1954" s="4">
        <f t="shared" si="220"/>
        <v>386333.43150000001</v>
      </c>
      <c r="I1954" s="5">
        <v>42772</v>
      </c>
      <c r="J1954" s="4">
        <v>4289.6899999999996</v>
      </c>
      <c r="K1954" s="4">
        <f t="shared" si="221"/>
        <v>42896.899999999994</v>
      </c>
      <c r="AJ1954" s="1">
        <v>42772</v>
      </c>
      <c r="AL1954">
        <v>10.79</v>
      </c>
      <c r="AM1954" s="6">
        <f t="shared" si="222"/>
        <v>100000</v>
      </c>
      <c r="AN1954" s="2">
        <f t="shared" si="223"/>
        <v>0</v>
      </c>
    </row>
    <row r="1955" spans="4:40" x14ac:dyDescent="0.35">
      <c r="D1955" s="1">
        <v>42797</v>
      </c>
      <c r="E1955">
        <v>3.1358000000000001</v>
      </c>
      <c r="F1955" s="1">
        <v>42754</v>
      </c>
      <c r="G1955">
        <v>124.04600000000001</v>
      </c>
      <c r="H1955" s="4">
        <f t="shared" si="220"/>
        <v>388983.44680000003</v>
      </c>
      <c r="I1955" s="5">
        <v>42769</v>
      </c>
      <c r="J1955" s="4">
        <v>4306.8100000000004</v>
      </c>
      <c r="K1955" s="4">
        <f t="shared" si="221"/>
        <v>43068.100000000006</v>
      </c>
      <c r="AJ1955" s="1">
        <v>42769</v>
      </c>
      <c r="AL1955">
        <v>10.81</v>
      </c>
      <c r="AM1955" s="6">
        <f t="shared" si="222"/>
        <v>100000</v>
      </c>
      <c r="AN1955" s="2">
        <f t="shared" si="223"/>
        <v>0</v>
      </c>
    </row>
    <row r="1956" spans="4:40" x14ac:dyDescent="0.35">
      <c r="D1956" s="1">
        <v>42796</v>
      </c>
      <c r="E1956">
        <v>3.1132</v>
      </c>
      <c r="F1956" s="1">
        <v>42753</v>
      </c>
      <c r="G1956">
        <v>124.718</v>
      </c>
      <c r="H1956" s="4">
        <f t="shared" si="220"/>
        <v>388272.07759999996</v>
      </c>
      <c r="I1956" s="5">
        <v>42768</v>
      </c>
      <c r="J1956" s="4">
        <v>4307.5</v>
      </c>
      <c r="K1956" s="4">
        <f t="shared" si="221"/>
        <v>43075</v>
      </c>
      <c r="AJ1956" s="1">
        <v>42768</v>
      </c>
      <c r="AL1956">
        <v>10.94</v>
      </c>
      <c r="AM1956" s="6">
        <f t="shared" si="222"/>
        <v>100000</v>
      </c>
      <c r="AN1956" s="2">
        <f t="shared" si="223"/>
        <v>0</v>
      </c>
    </row>
    <row r="1957" spans="4:40" x14ac:dyDescent="0.35">
      <c r="D1957" s="1">
        <v>42795</v>
      </c>
      <c r="E1957">
        <v>3.097</v>
      </c>
      <c r="F1957" s="1">
        <v>42752</v>
      </c>
      <c r="G1957">
        <v>125.14100000000001</v>
      </c>
      <c r="H1957" s="4">
        <f t="shared" si="220"/>
        <v>387561.67700000003</v>
      </c>
      <c r="I1957" s="5">
        <v>42767</v>
      </c>
      <c r="J1957" s="4">
        <v>4316.3999999999996</v>
      </c>
      <c r="K1957" s="4">
        <f t="shared" si="221"/>
        <v>43164</v>
      </c>
      <c r="AJ1957" s="1">
        <v>42767</v>
      </c>
      <c r="AL1957">
        <v>11.06</v>
      </c>
      <c r="AM1957" s="6">
        <f t="shared" si="222"/>
        <v>100000</v>
      </c>
      <c r="AN1957" s="2">
        <f t="shared" si="223"/>
        <v>0</v>
      </c>
    </row>
    <row r="1958" spans="4:40" x14ac:dyDescent="0.35">
      <c r="D1958" s="1">
        <v>42790</v>
      </c>
      <c r="E1958">
        <v>3.0987</v>
      </c>
      <c r="F1958" s="1">
        <v>42751</v>
      </c>
      <c r="G1958">
        <v>124.828</v>
      </c>
      <c r="H1958" s="4">
        <f t="shared" si="220"/>
        <v>386804.52360000001</v>
      </c>
      <c r="I1958" s="5">
        <v>42766</v>
      </c>
      <c r="J1958" s="4">
        <v>4341.74</v>
      </c>
      <c r="K1958" s="4">
        <f t="shared" si="221"/>
        <v>43417.399999999994</v>
      </c>
      <c r="AJ1958" s="1">
        <v>42766</v>
      </c>
      <c r="AL1958">
        <v>11.13</v>
      </c>
      <c r="AM1958" s="6">
        <f t="shared" si="222"/>
        <v>100000</v>
      </c>
      <c r="AN1958" s="2">
        <f t="shared" si="223"/>
        <v>0</v>
      </c>
    </row>
    <row r="1959" spans="4:40" x14ac:dyDescent="0.35">
      <c r="D1959" s="1">
        <v>42789</v>
      </c>
      <c r="E1959">
        <v>3.0632000000000001</v>
      </c>
      <c r="F1959" s="1">
        <v>42748</v>
      </c>
      <c r="G1959">
        <v>124.75</v>
      </c>
      <c r="H1959" s="4">
        <f t="shared" si="220"/>
        <v>382134.2</v>
      </c>
      <c r="I1959" s="5">
        <v>42765</v>
      </c>
      <c r="J1959" s="4">
        <v>4312.9799999999996</v>
      </c>
      <c r="K1959" s="4">
        <f t="shared" si="221"/>
        <v>43129.799999999996</v>
      </c>
      <c r="AJ1959" s="1">
        <v>42765</v>
      </c>
      <c r="AL1959">
        <v>11.06</v>
      </c>
      <c r="AM1959" s="6">
        <f t="shared" si="222"/>
        <v>100000</v>
      </c>
      <c r="AN1959" s="2">
        <f t="shared" si="223"/>
        <v>0</v>
      </c>
    </row>
    <row r="1960" spans="4:40" x14ac:dyDescent="0.35">
      <c r="D1960" s="1">
        <v>42788</v>
      </c>
      <c r="E1960">
        <v>3.0817999999999999</v>
      </c>
      <c r="F1960" s="1">
        <v>42747</v>
      </c>
      <c r="G1960">
        <v>124.875</v>
      </c>
      <c r="H1960" s="4">
        <f t="shared" si="220"/>
        <v>384839.77499999997</v>
      </c>
      <c r="I1960" s="5">
        <v>42762</v>
      </c>
      <c r="J1960" s="4">
        <v>4335.7299999999996</v>
      </c>
      <c r="K1960" s="4">
        <f t="shared" si="221"/>
        <v>43357.299999999996</v>
      </c>
      <c r="AJ1960" s="1">
        <v>42762</v>
      </c>
      <c r="AL1960">
        <v>11.01</v>
      </c>
      <c r="AM1960" s="6">
        <f t="shared" si="222"/>
        <v>100000</v>
      </c>
      <c r="AN1960" s="2">
        <f t="shared" si="223"/>
        <v>0</v>
      </c>
    </row>
    <row r="1961" spans="4:40" x14ac:dyDescent="0.35">
      <c r="D1961" s="1">
        <v>42787</v>
      </c>
      <c r="E1961">
        <v>3.0964</v>
      </c>
      <c r="F1961" s="1">
        <v>42746</v>
      </c>
      <c r="G1961">
        <v>125.078</v>
      </c>
      <c r="H1961" s="4">
        <f t="shared" si="220"/>
        <v>387291.51920000004</v>
      </c>
      <c r="I1961" s="5">
        <v>42761</v>
      </c>
      <c r="J1961" s="4">
        <v>4390.8900000000003</v>
      </c>
      <c r="K1961" s="4">
        <f t="shared" si="221"/>
        <v>43908.9</v>
      </c>
      <c r="AJ1961" s="1">
        <v>42761</v>
      </c>
      <c r="AL1961">
        <v>11.15</v>
      </c>
      <c r="AM1961" s="6">
        <f t="shared" si="222"/>
        <v>100000</v>
      </c>
      <c r="AN1961" s="2">
        <f t="shared" si="223"/>
        <v>0</v>
      </c>
    </row>
    <row r="1962" spans="4:40" x14ac:dyDescent="0.35">
      <c r="D1962" s="1">
        <v>42786</v>
      </c>
      <c r="E1962">
        <v>3.0912000000000002</v>
      </c>
      <c r="F1962" s="1">
        <v>42745</v>
      </c>
      <c r="G1962">
        <v>124.765</v>
      </c>
      <c r="H1962" s="4">
        <f t="shared" si="220"/>
        <v>385673.56800000003</v>
      </c>
      <c r="I1962" s="5">
        <v>42759</v>
      </c>
      <c r="J1962" s="4">
        <v>4382.62</v>
      </c>
      <c r="K1962" s="4">
        <f t="shared" si="221"/>
        <v>43826.2</v>
      </c>
      <c r="AJ1962" s="1">
        <v>42759</v>
      </c>
      <c r="AL1962">
        <v>11.05</v>
      </c>
      <c r="AM1962" s="6">
        <f t="shared" si="222"/>
        <v>100000</v>
      </c>
      <c r="AN1962" s="2">
        <f t="shared" si="223"/>
        <v>0</v>
      </c>
    </row>
    <row r="1963" spans="4:40" x14ac:dyDescent="0.35">
      <c r="D1963" s="1">
        <v>42783</v>
      </c>
      <c r="E1963">
        <v>3.0943999999999998</v>
      </c>
      <c r="F1963" s="1">
        <v>42744</v>
      </c>
      <c r="G1963">
        <v>124.812</v>
      </c>
      <c r="H1963" s="4">
        <f t="shared" si="220"/>
        <v>386218.25279999996</v>
      </c>
      <c r="I1963" s="5">
        <v>42758</v>
      </c>
      <c r="J1963" s="4">
        <v>4372.96</v>
      </c>
      <c r="K1963" s="4">
        <f t="shared" si="221"/>
        <v>43729.599999999999</v>
      </c>
      <c r="AJ1963" s="1">
        <v>42758</v>
      </c>
      <c r="AL1963">
        <v>11.08</v>
      </c>
      <c r="AM1963" s="6">
        <f t="shared" si="222"/>
        <v>100000</v>
      </c>
      <c r="AN1963" s="2">
        <f t="shared" si="223"/>
        <v>0</v>
      </c>
    </row>
    <row r="1964" spans="4:40" x14ac:dyDescent="0.35">
      <c r="D1964" s="1">
        <v>42782</v>
      </c>
      <c r="E1964">
        <v>3.0503999999999998</v>
      </c>
      <c r="F1964" s="1">
        <v>42741</v>
      </c>
      <c r="G1964">
        <v>124.31100000000001</v>
      </c>
      <c r="H1964" s="4">
        <f t="shared" si="220"/>
        <v>379198.27439999999</v>
      </c>
      <c r="I1964" s="5">
        <v>42755</v>
      </c>
      <c r="J1964" s="4">
        <v>4386.76</v>
      </c>
      <c r="K1964" s="4">
        <f t="shared" si="221"/>
        <v>43867.600000000006</v>
      </c>
      <c r="AJ1964" s="1">
        <v>42755</v>
      </c>
      <c r="AL1964">
        <v>11.13</v>
      </c>
      <c r="AM1964" s="6">
        <f t="shared" si="222"/>
        <v>100000</v>
      </c>
      <c r="AN1964" s="2">
        <f t="shared" si="223"/>
        <v>0</v>
      </c>
    </row>
    <row r="1965" spans="4:40" x14ac:dyDescent="0.35">
      <c r="D1965" s="1">
        <v>42781</v>
      </c>
      <c r="E1965">
        <v>3.0773000000000001</v>
      </c>
      <c r="F1965" s="1">
        <v>42740</v>
      </c>
      <c r="G1965">
        <v>124.85899999999999</v>
      </c>
      <c r="H1965" s="4">
        <f t="shared" si="220"/>
        <v>384228.60070000001</v>
      </c>
      <c r="I1965" s="5">
        <v>42754</v>
      </c>
      <c r="J1965" s="4">
        <v>4421.2299999999996</v>
      </c>
      <c r="K1965" s="4">
        <f t="shared" si="221"/>
        <v>44212.299999999996</v>
      </c>
      <c r="AJ1965" s="1">
        <v>42754</v>
      </c>
      <c r="AL1965">
        <v>11.19</v>
      </c>
      <c r="AM1965" s="6">
        <f t="shared" si="222"/>
        <v>100000</v>
      </c>
      <c r="AN1965" s="2">
        <f t="shared" si="223"/>
        <v>0</v>
      </c>
    </row>
    <row r="1966" spans="4:40" x14ac:dyDescent="0.35">
      <c r="D1966" s="1">
        <v>42780</v>
      </c>
      <c r="E1966">
        <v>3.0998000000000001</v>
      </c>
      <c r="F1966" s="1">
        <v>42739</v>
      </c>
      <c r="G1966">
        <v>124.01</v>
      </c>
      <c r="H1966" s="4">
        <f t="shared" si="220"/>
        <v>384406.19800000003</v>
      </c>
      <c r="I1966" s="5">
        <v>42753</v>
      </c>
      <c r="J1966" s="4">
        <v>4472.95</v>
      </c>
      <c r="K1966" s="4">
        <f t="shared" si="221"/>
        <v>44729.5</v>
      </c>
      <c r="AJ1966" s="1">
        <v>42753</v>
      </c>
      <c r="AL1966">
        <v>11.28</v>
      </c>
      <c r="AM1966" s="6">
        <f t="shared" si="222"/>
        <v>100000</v>
      </c>
      <c r="AN1966" s="2">
        <f t="shared" si="223"/>
        <v>0</v>
      </c>
    </row>
    <row r="1967" spans="4:40" x14ac:dyDescent="0.35">
      <c r="D1967" s="1">
        <v>42779</v>
      </c>
      <c r="E1967">
        <v>3.1168999999999998</v>
      </c>
      <c r="F1967" s="1">
        <v>42738</v>
      </c>
      <c r="G1967">
        <v>124.10899999999999</v>
      </c>
      <c r="H1967" s="4">
        <f t="shared" si="220"/>
        <v>386835.34209999995</v>
      </c>
      <c r="I1967" s="5">
        <v>42752</v>
      </c>
      <c r="J1967" s="4">
        <v>4448.12</v>
      </c>
      <c r="K1967" s="4">
        <f t="shared" si="221"/>
        <v>44481.2</v>
      </c>
      <c r="AJ1967" s="1">
        <v>42752</v>
      </c>
      <c r="AL1967">
        <v>11.23</v>
      </c>
      <c r="AM1967" s="6">
        <f t="shared" si="222"/>
        <v>100000</v>
      </c>
      <c r="AN1967" s="2">
        <f t="shared" si="223"/>
        <v>0</v>
      </c>
    </row>
    <row r="1968" spans="4:40" x14ac:dyDescent="0.35">
      <c r="D1968" s="1">
        <v>42776</v>
      </c>
      <c r="E1968">
        <v>3.1149</v>
      </c>
      <c r="F1968" s="1">
        <v>42733</v>
      </c>
      <c r="G1968">
        <v>123.84399999999999</v>
      </c>
      <c r="H1968" s="4">
        <f t="shared" si="220"/>
        <v>385761.67560000002</v>
      </c>
      <c r="I1968" s="5">
        <v>42751</v>
      </c>
      <c r="J1968" s="4">
        <v>4493.63</v>
      </c>
      <c r="K1968" s="4">
        <f t="shared" si="221"/>
        <v>44936.3</v>
      </c>
      <c r="AJ1968" s="1">
        <v>42751</v>
      </c>
      <c r="AL1968">
        <v>11.23</v>
      </c>
      <c r="AM1968" s="6">
        <f t="shared" si="222"/>
        <v>100000</v>
      </c>
      <c r="AN1968" s="2">
        <f t="shared" si="223"/>
        <v>0</v>
      </c>
    </row>
    <row r="1969" spans="4:40" x14ac:dyDescent="0.35">
      <c r="D1969" s="1">
        <v>42775</v>
      </c>
      <c r="E1969">
        <v>3.1179000000000001</v>
      </c>
      <c r="F1969" s="1">
        <v>42732</v>
      </c>
      <c r="G1969">
        <v>123.64100000000001</v>
      </c>
      <c r="H1969" s="4">
        <f t="shared" si="220"/>
        <v>385500.27390000003</v>
      </c>
      <c r="I1969" s="5">
        <v>42748</v>
      </c>
      <c r="J1969" s="4">
        <v>4463.29</v>
      </c>
      <c r="K1969" s="4">
        <f t="shared" si="221"/>
        <v>44632.9</v>
      </c>
      <c r="AJ1969" s="1">
        <v>42748</v>
      </c>
      <c r="AL1969">
        <v>11.29</v>
      </c>
      <c r="AM1969" s="6">
        <f t="shared" si="222"/>
        <v>100000</v>
      </c>
      <c r="AN1969" s="2">
        <f t="shared" si="223"/>
        <v>0</v>
      </c>
    </row>
    <row r="1970" spans="4:40" x14ac:dyDescent="0.35">
      <c r="D1970" s="1">
        <v>42774</v>
      </c>
      <c r="E1970">
        <v>3.1248</v>
      </c>
      <c r="F1970" s="1">
        <v>42731</v>
      </c>
      <c r="G1970">
        <v>123.063</v>
      </c>
      <c r="H1970" s="4">
        <f t="shared" si="220"/>
        <v>384547.26240000001</v>
      </c>
      <c r="I1970" s="5">
        <v>42747</v>
      </c>
      <c r="J1970" s="4">
        <v>4421.2299999999996</v>
      </c>
      <c r="K1970" s="4">
        <f t="shared" si="221"/>
        <v>44212.299999999996</v>
      </c>
      <c r="AJ1970" s="1">
        <v>42747</v>
      </c>
      <c r="AL1970">
        <v>11.26</v>
      </c>
      <c r="AM1970" s="6">
        <f t="shared" si="222"/>
        <v>100000</v>
      </c>
      <c r="AN1970" s="2">
        <f t="shared" si="223"/>
        <v>0</v>
      </c>
    </row>
    <row r="1971" spans="4:40" x14ac:dyDescent="0.35">
      <c r="D1971" s="1">
        <v>42773</v>
      </c>
      <c r="E1971">
        <v>3.1297999999999999</v>
      </c>
      <c r="F1971" s="1">
        <v>42727</v>
      </c>
      <c r="G1971">
        <v>123.35899999999999</v>
      </c>
      <c r="H1971" s="4">
        <f t="shared" si="220"/>
        <v>386088.99819999997</v>
      </c>
      <c r="I1971" s="5">
        <v>42746</v>
      </c>
      <c r="J1971" s="4">
        <v>4435.0200000000004</v>
      </c>
      <c r="K1971" s="4">
        <f t="shared" si="221"/>
        <v>44350.200000000004</v>
      </c>
      <c r="AJ1971" s="1">
        <v>42746</v>
      </c>
      <c r="AL1971">
        <v>11.51</v>
      </c>
      <c r="AM1971" s="6">
        <f t="shared" si="222"/>
        <v>100000</v>
      </c>
      <c r="AN1971" s="2">
        <f t="shared" si="223"/>
        <v>0</v>
      </c>
    </row>
    <row r="1972" spans="4:40" x14ac:dyDescent="0.35">
      <c r="D1972" s="1">
        <v>42772</v>
      </c>
      <c r="E1972">
        <v>3.1173000000000002</v>
      </c>
      <c r="F1972" s="1">
        <v>42726</v>
      </c>
      <c r="G1972">
        <v>123.25</v>
      </c>
      <c r="H1972" s="4">
        <f t="shared" si="220"/>
        <v>384207.22499999998</v>
      </c>
      <c r="I1972" s="5">
        <v>42745</v>
      </c>
      <c r="J1972" s="4">
        <v>4433.6400000000003</v>
      </c>
      <c r="K1972" s="4">
        <f t="shared" si="221"/>
        <v>44336.4</v>
      </c>
      <c r="AJ1972" s="1">
        <v>42745</v>
      </c>
      <c r="AL1972">
        <v>11.44</v>
      </c>
      <c r="AM1972" s="6">
        <f t="shared" si="222"/>
        <v>100000</v>
      </c>
      <c r="AN1972" s="2">
        <f t="shared" si="223"/>
        <v>0</v>
      </c>
    </row>
    <row r="1973" spans="4:40" x14ac:dyDescent="0.35">
      <c r="D1973" s="1">
        <v>42769</v>
      </c>
      <c r="E1973">
        <v>3.1234999999999999</v>
      </c>
      <c r="F1973" s="1">
        <v>42725</v>
      </c>
      <c r="G1973">
        <v>123.297</v>
      </c>
      <c r="H1973" s="4">
        <f t="shared" si="220"/>
        <v>385118.17949999997</v>
      </c>
      <c r="I1973" s="5">
        <v>42744</v>
      </c>
      <c r="J1973" s="4">
        <v>4438.47</v>
      </c>
      <c r="K1973" s="4">
        <f t="shared" si="221"/>
        <v>44384.700000000004</v>
      </c>
      <c r="AJ1973" s="1">
        <v>42744</v>
      </c>
      <c r="AL1973">
        <v>11.53</v>
      </c>
      <c r="AM1973" s="6">
        <f t="shared" si="222"/>
        <v>100000</v>
      </c>
      <c r="AN1973" s="2">
        <f t="shared" si="223"/>
        <v>0</v>
      </c>
    </row>
    <row r="1974" spans="4:40" x14ac:dyDescent="0.35">
      <c r="D1974" s="1">
        <v>42768</v>
      </c>
      <c r="E1974">
        <v>3.1190000000000002</v>
      </c>
      <c r="F1974" s="1">
        <v>42724</v>
      </c>
      <c r="G1974">
        <v>123.187</v>
      </c>
      <c r="H1974" s="4">
        <f t="shared" si="220"/>
        <v>384220.25300000003</v>
      </c>
      <c r="I1974" s="5">
        <v>42741</v>
      </c>
      <c r="J1974" s="4">
        <v>4479.1499999999996</v>
      </c>
      <c r="K1974" s="4">
        <f t="shared" si="221"/>
        <v>44791.5</v>
      </c>
      <c r="AJ1974" s="1">
        <v>42741</v>
      </c>
      <c r="AL1974">
        <v>11.59</v>
      </c>
      <c r="AM1974" s="6">
        <f t="shared" si="222"/>
        <v>100000</v>
      </c>
      <c r="AN1974" s="2">
        <f t="shared" si="223"/>
        <v>0</v>
      </c>
    </row>
    <row r="1975" spans="4:40" x14ac:dyDescent="0.35">
      <c r="D1975" s="1">
        <v>42767</v>
      </c>
      <c r="E1975">
        <v>3.1473</v>
      </c>
      <c r="F1975" s="1">
        <v>42723</v>
      </c>
      <c r="G1975">
        <v>123.211</v>
      </c>
      <c r="H1975" s="4">
        <f t="shared" si="220"/>
        <v>387781.9803</v>
      </c>
      <c r="I1975" s="5">
        <v>42740</v>
      </c>
      <c r="J1975" s="4">
        <v>4441.92</v>
      </c>
      <c r="K1975" s="4">
        <f t="shared" si="221"/>
        <v>44419.199999999997</v>
      </c>
      <c r="AJ1975" s="1">
        <v>42740</v>
      </c>
      <c r="AL1975">
        <v>11.62</v>
      </c>
      <c r="AM1975" s="6">
        <f t="shared" si="222"/>
        <v>100000</v>
      </c>
      <c r="AN1975" s="2">
        <f t="shared" si="223"/>
        <v>0</v>
      </c>
    </row>
    <row r="1976" spans="4:40" x14ac:dyDescent="0.35">
      <c r="D1976" s="1">
        <v>42766</v>
      </c>
      <c r="E1976">
        <v>3.1263999999999998</v>
      </c>
      <c r="F1976" s="1">
        <v>42720</v>
      </c>
      <c r="G1976">
        <v>123.078</v>
      </c>
      <c r="H1976" s="4">
        <f t="shared" si="220"/>
        <v>384791.05920000002</v>
      </c>
      <c r="I1976" s="5">
        <v>42739</v>
      </c>
      <c r="J1976" s="4">
        <v>4468.12</v>
      </c>
      <c r="K1976" s="4">
        <f t="shared" si="221"/>
        <v>44681.2</v>
      </c>
      <c r="AJ1976" s="1">
        <v>42739</v>
      </c>
      <c r="AL1976">
        <v>11.66</v>
      </c>
      <c r="AM1976" s="6">
        <f t="shared" si="222"/>
        <v>100000</v>
      </c>
      <c r="AN1976" s="2">
        <f t="shared" si="223"/>
        <v>0</v>
      </c>
    </row>
    <row r="1977" spans="4:40" x14ac:dyDescent="0.35">
      <c r="D1977" s="1">
        <v>42765</v>
      </c>
      <c r="E1977">
        <v>3.1309999999999998</v>
      </c>
      <c r="F1977" s="1">
        <v>42719</v>
      </c>
      <c r="G1977">
        <v>122.85899999999999</v>
      </c>
      <c r="H1977" s="4">
        <f t="shared" si="220"/>
        <v>384671.52899999998</v>
      </c>
      <c r="I1977" s="5">
        <v>42738</v>
      </c>
      <c r="J1977" s="4">
        <v>4537.07</v>
      </c>
      <c r="K1977" s="4">
        <f t="shared" si="221"/>
        <v>45370.7</v>
      </c>
      <c r="AJ1977" s="1">
        <v>42738</v>
      </c>
      <c r="AL1977">
        <v>11.5</v>
      </c>
      <c r="AM1977" s="6">
        <f t="shared" si="222"/>
        <v>100000</v>
      </c>
      <c r="AN1977" s="2">
        <f t="shared" si="223"/>
        <v>0</v>
      </c>
    </row>
    <row r="1978" spans="4:40" x14ac:dyDescent="0.35">
      <c r="D1978" s="1">
        <v>42762</v>
      </c>
      <c r="E1978">
        <v>3.1589999999999998</v>
      </c>
      <c r="F1978" s="1">
        <v>42718</v>
      </c>
      <c r="G1978">
        <v>123.65600000000001</v>
      </c>
      <c r="H1978" s="4">
        <f t="shared" si="220"/>
        <v>390629.304</v>
      </c>
      <c r="I1978" s="5">
        <v>42737</v>
      </c>
      <c r="J1978" s="4">
        <v>4571.55</v>
      </c>
      <c r="K1978" s="4">
        <f t="shared" si="221"/>
        <v>45715.5</v>
      </c>
      <c r="AJ1978" s="1">
        <v>42737</v>
      </c>
      <c r="AL1978">
        <v>11.47</v>
      </c>
      <c r="AM1978" s="6">
        <f t="shared" si="222"/>
        <v>100000</v>
      </c>
      <c r="AN1978" s="2">
        <f t="shared" si="223"/>
        <v>0</v>
      </c>
    </row>
    <row r="1979" spans="4:40" x14ac:dyDescent="0.35">
      <c r="D1979" s="1">
        <v>42761</v>
      </c>
      <c r="E1979">
        <v>3.1798000000000002</v>
      </c>
      <c r="F1979" s="1">
        <v>42717</v>
      </c>
      <c r="G1979">
        <v>123.78100000000001</v>
      </c>
      <c r="H1979" s="4">
        <f t="shared" si="220"/>
        <v>393598.82380000007</v>
      </c>
      <c r="I1979" s="5">
        <v>42733</v>
      </c>
      <c r="J1979" s="4">
        <v>4525.3500000000004</v>
      </c>
      <c r="K1979" s="4">
        <f t="shared" si="221"/>
        <v>45253.5</v>
      </c>
      <c r="AJ1979" s="1">
        <v>42733</v>
      </c>
      <c r="AL1979">
        <v>11.65</v>
      </c>
      <c r="AM1979" s="6">
        <f t="shared" si="222"/>
        <v>100000</v>
      </c>
      <c r="AN1979" s="2">
        <f t="shared" si="223"/>
        <v>0</v>
      </c>
    </row>
    <row r="1980" spans="4:40" x14ac:dyDescent="0.35">
      <c r="D1980" s="1">
        <v>42760</v>
      </c>
      <c r="E1980">
        <v>3.1678999999999999</v>
      </c>
      <c r="F1980" s="1">
        <v>42716</v>
      </c>
      <c r="G1980">
        <v>123.937</v>
      </c>
      <c r="H1980" s="4">
        <f t="shared" si="220"/>
        <v>392620.02229999995</v>
      </c>
      <c r="I1980" s="5">
        <v>42732</v>
      </c>
      <c r="J1980" s="4">
        <v>4569.4799999999996</v>
      </c>
      <c r="K1980" s="4">
        <f t="shared" si="221"/>
        <v>45694.799999999996</v>
      </c>
      <c r="AJ1980" s="1">
        <v>42732</v>
      </c>
      <c r="AL1980">
        <v>11.69</v>
      </c>
      <c r="AM1980" s="6">
        <f t="shared" si="222"/>
        <v>100000</v>
      </c>
      <c r="AN1980" s="2">
        <f t="shared" si="223"/>
        <v>0</v>
      </c>
    </row>
    <row r="1981" spans="4:40" x14ac:dyDescent="0.35">
      <c r="D1981" s="1">
        <v>42759</v>
      </c>
      <c r="E1981">
        <v>3.1642999999999999</v>
      </c>
      <c r="F1981" s="1">
        <v>42713</v>
      </c>
      <c r="G1981">
        <v>124.047</v>
      </c>
      <c r="H1981" s="4">
        <f t="shared" si="220"/>
        <v>392521.92209999997</v>
      </c>
      <c r="I1981" s="5">
        <v>42731</v>
      </c>
      <c r="J1981" s="4">
        <v>4552.09</v>
      </c>
      <c r="K1981" s="4">
        <f t="shared" si="221"/>
        <v>45520.9</v>
      </c>
      <c r="AJ1981" s="1">
        <v>42731</v>
      </c>
      <c r="AL1981">
        <v>11.71</v>
      </c>
      <c r="AM1981" s="6">
        <f t="shared" si="222"/>
        <v>100000</v>
      </c>
      <c r="AN1981" s="2">
        <f t="shared" si="223"/>
        <v>0</v>
      </c>
    </row>
    <row r="1982" spans="4:40" x14ac:dyDescent="0.35">
      <c r="D1982" s="1">
        <v>42758</v>
      </c>
      <c r="E1982">
        <v>3.1602999999999999</v>
      </c>
      <c r="F1982" s="1">
        <v>42712</v>
      </c>
      <c r="G1982">
        <v>124.563</v>
      </c>
      <c r="H1982" s="4">
        <f t="shared" si="220"/>
        <v>393656.44889999996</v>
      </c>
      <c r="I1982" s="5">
        <v>42730</v>
      </c>
      <c r="J1982" s="4">
        <v>4567.3900000000003</v>
      </c>
      <c r="K1982" s="4">
        <f t="shared" si="221"/>
        <v>45673.9</v>
      </c>
      <c r="AJ1982" s="1">
        <v>42730</v>
      </c>
      <c r="AL1982">
        <v>11.7</v>
      </c>
      <c r="AM1982" s="6">
        <f t="shared" si="222"/>
        <v>100000</v>
      </c>
      <c r="AN1982" s="2">
        <f t="shared" si="223"/>
        <v>0</v>
      </c>
    </row>
    <row r="1983" spans="4:40" x14ac:dyDescent="0.35">
      <c r="D1983" s="1">
        <v>42755</v>
      </c>
      <c r="E1983">
        <v>3.1911999999999998</v>
      </c>
      <c r="F1983" s="1">
        <v>42710</v>
      </c>
      <c r="G1983">
        <v>124.437</v>
      </c>
      <c r="H1983" s="4">
        <f t="shared" si="220"/>
        <v>397103.35439999995</v>
      </c>
      <c r="I1983" s="5">
        <v>42727</v>
      </c>
      <c r="J1983" s="4">
        <v>4559.05</v>
      </c>
      <c r="K1983" s="4">
        <f t="shared" si="221"/>
        <v>45590.5</v>
      </c>
      <c r="AJ1983" s="1">
        <v>42727</v>
      </c>
      <c r="AL1983">
        <v>11.74</v>
      </c>
      <c r="AM1983" s="6">
        <f t="shared" si="222"/>
        <v>100000</v>
      </c>
      <c r="AN1983" s="2">
        <f t="shared" si="223"/>
        <v>0</v>
      </c>
    </row>
    <row r="1984" spans="4:40" x14ac:dyDescent="0.35">
      <c r="D1984" s="1">
        <v>42754</v>
      </c>
      <c r="E1984">
        <v>3.2107000000000001</v>
      </c>
      <c r="F1984" s="1">
        <v>42709</v>
      </c>
      <c r="G1984">
        <v>124.48399999999999</v>
      </c>
      <c r="H1984" s="4">
        <f t="shared" si="220"/>
        <v>399680.77879999997</v>
      </c>
      <c r="I1984" s="5">
        <v>42726</v>
      </c>
      <c r="J1984" s="4">
        <v>4579.91</v>
      </c>
      <c r="K1984" s="4">
        <f t="shared" si="221"/>
        <v>45799.1</v>
      </c>
      <c r="AJ1984" s="1">
        <v>42726</v>
      </c>
      <c r="AL1984">
        <v>11.76</v>
      </c>
      <c r="AM1984" s="6">
        <f t="shared" si="222"/>
        <v>100000</v>
      </c>
      <c r="AN1984" s="2">
        <f t="shared" si="223"/>
        <v>0</v>
      </c>
    </row>
    <row r="1985" spans="4:40" x14ac:dyDescent="0.35">
      <c r="D1985" s="1">
        <v>42753</v>
      </c>
      <c r="E1985">
        <v>3.2204999999999999</v>
      </c>
      <c r="F1985" s="1">
        <v>42706</v>
      </c>
      <c r="G1985">
        <v>124.562</v>
      </c>
      <c r="H1985" s="4">
        <f t="shared" si="220"/>
        <v>401151.92099999997</v>
      </c>
      <c r="I1985" s="5">
        <v>42725</v>
      </c>
      <c r="J1985" s="4">
        <v>4642.5</v>
      </c>
      <c r="K1985" s="4">
        <f t="shared" si="221"/>
        <v>46425</v>
      </c>
      <c r="AJ1985" s="1">
        <v>42725</v>
      </c>
      <c r="AL1985">
        <v>11.91</v>
      </c>
      <c r="AM1985" s="6">
        <f t="shared" si="222"/>
        <v>100000</v>
      </c>
      <c r="AN1985" s="2">
        <f t="shared" si="223"/>
        <v>0</v>
      </c>
    </row>
    <row r="1986" spans="4:40" x14ac:dyDescent="0.35">
      <c r="D1986" s="1">
        <v>42752</v>
      </c>
      <c r="E1986">
        <v>3.2094</v>
      </c>
      <c r="F1986" s="1">
        <v>42705</v>
      </c>
      <c r="G1986">
        <v>123.90600000000001</v>
      </c>
      <c r="H1986" s="4">
        <f t="shared" si="220"/>
        <v>397663.91639999999</v>
      </c>
      <c r="I1986" s="5">
        <v>42724</v>
      </c>
      <c r="J1986" s="4">
        <v>4677.2700000000004</v>
      </c>
      <c r="K1986" s="4">
        <f t="shared" si="221"/>
        <v>46772.700000000004</v>
      </c>
      <c r="AJ1986" s="1">
        <v>42724</v>
      </c>
      <c r="AL1986">
        <v>12.07</v>
      </c>
      <c r="AM1986" s="6">
        <f t="shared" si="222"/>
        <v>100000</v>
      </c>
      <c r="AN1986" s="2">
        <f t="shared" si="223"/>
        <v>0</v>
      </c>
    </row>
    <row r="1987" spans="4:40" x14ac:dyDescent="0.35">
      <c r="D1987" s="1">
        <v>42751</v>
      </c>
      <c r="E1987">
        <v>3.2227999999999999</v>
      </c>
      <c r="F1987" s="1">
        <v>42704</v>
      </c>
      <c r="G1987">
        <v>124.453</v>
      </c>
      <c r="H1987" s="4">
        <f t="shared" si="220"/>
        <v>401087.12839999999</v>
      </c>
      <c r="I1987" s="5">
        <v>42723</v>
      </c>
      <c r="J1987" s="4">
        <v>4691.87</v>
      </c>
      <c r="K1987" s="4">
        <f t="shared" si="221"/>
        <v>46918.7</v>
      </c>
      <c r="AJ1987" s="1">
        <v>42723</v>
      </c>
      <c r="AL1987">
        <v>12.21</v>
      </c>
      <c r="AM1987" s="6">
        <f t="shared" si="222"/>
        <v>100000</v>
      </c>
      <c r="AN1987" s="2">
        <f t="shared" si="223"/>
        <v>0</v>
      </c>
    </row>
    <row r="1988" spans="4:40" x14ac:dyDescent="0.35">
      <c r="D1988" s="1">
        <v>42748</v>
      </c>
      <c r="E1988">
        <v>3.2027999999999999</v>
      </c>
      <c r="F1988" s="1">
        <v>42703</v>
      </c>
      <c r="G1988">
        <v>125.453</v>
      </c>
      <c r="H1988" s="4">
        <f t="shared" ref="H1988:H2051" si="224">G1988*E1988*1000</f>
        <v>401800.86840000004</v>
      </c>
      <c r="I1988" s="5">
        <v>42720</v>
      </c>
      <c r="J1988" s="4">
        <v>4737.07</v>
      </c>
      <c r="K1988" s="4">
        <f t="shared" si="221"/>
        <v>47370.7</v>
      </c>
      <c r="AJ1988" s="1">
        <v>42720</v>
      </c>
      <c r="AL1988">
        <v>12.28</v>
      </c>
      <c r="AM1988" s="6">
        <f t="shared" si="222"/>
        <v>100000</v>
      </c>
      <c r="AN1988" s="2">
        <f t="shared" si="223"/>
        <v>0</v>
      </c>
    </row>
    <row r="1989" spans="4:40" x14ac:dyDescent="0.35">
      <c r="D1989" s="1">
        <v>42747</v>
      </c>
      <c r="E1989">
        <v>3.1655000000000002</v>
      </c>
      <c r="F1989" s="1">
        <v>42702</v>
      </c>
      <c r="G1989">
        <v>125.60899999999999</v>
      </c>
      <c r="H1989" s="4">
        <f t="shared" si="224"/>
        <v>397615.28950000001</v>
      </c>
      <c r="I1989" s="5">
        <v>42719</v>
      </c>
      <c r="J1989" s="4">
        <v>4712.7299999999996</v>
      </c>
      <c r="K1989" s="4">
        <f t="shared" ref="K1989:K2052" si="225">J1989*10</f>
        <v>47127.299999999996</v>
      </c>
      <c r="AJ1989" s="1">
        <v>42719</v>
      </c>
      <c r="AL1989">
        <v>12.33</v>
      </c>
      <c r="AM1989" s="6">
        <f t="shared" ref="AM1989:AM2052" si="226">$Z$2/(1+AL1989/100)^(AK1989/252)</f>
        <v>100000</v>
      </c>
      <c r="AN1989" s="2">
        <f t="shared" ref="AN1989:AN2052" si="227">LOG(AM1989/AM1990)</f>
        <v>0</v>
      </c>
    </row>
    <row r="1990" spans="4:40" x14ac:dyDescent="0.35">
      <c r="D1990" s="1">
        <v>42746</v>
      </c>
      <c r="E1990">
        <v>3.2147999999999999</v>
      </c>
      <c r="F1990" s="1">
        <v>42699</v>
      </c>
      <c r="G1990">
        <v>125.25</v>
      </c>
      <c r="H1990" s="4">
        <f t="shared" si="224"/>
        <v>402653.69999999995</v>
      </c>
      <c r="I1990" s="5">
        <v>42718</v>
      </c>
      <c r="J1990" s="4">
        <v>4711.34</v>
      </c>
      <c r="K1990" s="4">
        <f t="shared" si="225"/>
        <v>47113.4</v>
      </c>
      <c r="AJ1990" s="1">
        <v>42718</v>
      </c>
      <c r="AL1990">
        <v>12.42</v>
      </c>
      <c r="AM1990" s="6">
        <f t="shared" si="226"/>
        <v>100000</v>
      </c>
      <c r="AN1990" s="2">
        <f t="shared" si="227"/>
        <v>0</v>
      </c>
    </row>
    <row r="1991" spans="4:40" x14ac:dyDescent="0.35">
      <c r="D1991" s="1">
        <v>42745</v>
      </c>
      <c r="E1991">
        <v>3.1911999999999998</v>
      </c>
      <c r="F1991" s="1">
        <v>42698</v>
      </c>
      <c r="G1991">
        <v>125.03100000000001</v>
      </c>
      <c r="H1991" s="4">
        <f t="shared" si="224"/>
        <v>398998.92719999998</v>
      </c>
      <c r="I1991" s="5">
        <v>42717</v>
      </c>
      <c r="J1991" s="4">
        <v>4661.2700000000004</v>
      </c>
      <c r="K1991" s="4">
        <f t="shared" si="225"/>
        <v>46612.700000000004</v>
      </c>
      <c r="AJ1991" s="1">
        <v>42717</v>
      </c>
      <c r="AL1991">
        <v>12.29</v>
      </c>
      <c r="AM1991" s="6">
        <f t="shared" si="226"/>
        <v>100000</v>
      </c>
      <c r="AN1991" s="2">
        <f t="shared" si="227"/>
        <v>0</v>
      </c>
    </row>
    <row r="1992" spans="4:40" x14ac:dyDescent="0.35">
      <c r="D1992" s="1">
        <v>42744</v>
      </c>
      <c r="E1992">
        <v>3.2090999999999998</v>
      </c>
      <c r="F1992" s="1">
        <v>42697</v>
      </c>
      <c r="G1992">
        <v>125.43</v>
      </c>
      <c r="H1992" s="4">
        <f t="shared" si="224"/>
        <v>402517.413</v>
      </c>
      <c r="I1992" s="5">
        <v>42716</v>
      </c>
      <c r="J1992" s="4">
        <v>4664.05</v>
      </c>
      <c r="K1992" s="4">
        <f t="shared" si="225"/>
        <v>46640.5</v>
      </c>
      <c r="AJ1992" s="1">
        <v>42716</v>
      </c>
      <c r="AL1992">
        <v>12.23</v>
      </c>
      <c r="AM1992" s="6">
        <f t="shared" si="226"/>
        <v>100000</v>
      </c>
      <c r="AN1992" s="2">
        <f t="shared" si="227"/>
        <v>0</v>
      </c>
    </row>
    <row r="1993" spans="4:40" x14ac:dyDescent="0.35">
      <c r="D1993" s="1">
        <v>42741</v>
      </c>
      <c r="E1993">
        <v>3.2050999999999998</v>
      </c>
      <c r="F1993" s="1">
        <v>42695</v>
      </c>
      <c r="G1993">
        <v>125.625</v>
      </c>
      <c r="H1993" s="4">
        <f t="shared" si="224"/>
        <v>402640.68749999994</v>
      </c>
      <c r="I1993" s="5">
        <v>42713</v>
      </c>
      <c r="J1993" s="4">
        <v>4729.42</v>
      </c>
      <c r="K1993" s="4">
        <f t="shared" si="225"/>
        <v>47294.2</v>
      </c>
      <c r="AJ1993" s="1">
        <v>42713</v>
      </c>
      <c r="AL1993">
        <v>12.17</v>
      </c>
      <c r="AM1993" s="6">
        <f t="shared" si="226"/>
        <v>100000</v>
      </c>
      <c r="AN1993" s="2">
        <f t="shared" si="227"/>
        <v>0</v>
      </c>
    </row>
    <row r="1994" spans="4:40" x14ac:dyDescent="0.35">
      <c r="D1994" s="1">
        <v>42740</v>
      </c>
      <c r="E1994">
        <v>3.2122999999999999</v>
      </c>
      <c r="F1994" s="1">
        <v>42692</v>
      </c>
      <c r="G1994">
        <v>125.438</v>
      </c>
      <c r="H1994" s="4">
        <f t="shared" si="224"/>
        <v>402944.48740000004</v>
      </c>
      <c r="I1994" s="5">
        <v>42712</v>
      </c>
      <c r="J1994" s="4">
        <v>4719.6899999999996</v>
      </c>
      <c r="K1994" s="4">
        <f t="shared" si="225"/>
        <v>47196.899999999994</v>
      </c>
      <c r="AJ1994" s="1">
        <v>42712</v>
      </c>
      <c r="AL1994">
        <v>12</v>
      </c>
      <c r="AM1994" s="6">
        <f t="shared" si="226"/>
        <v>100000</v>
      </c>
      <c r="AN1994" s="2">
        <f t="shared" si="227"/>
        <v>0</v>
      </c>
    </row>
    <row r="1995" spans="4:40" x14ac:dyDescent="0.35">
      <c r="D1995" s="1">
        <v>42739</v>
      </c>
      <c r="E1995">
        <v>3.2326999999999999</v>
      </c>
      <c r="F1995" s="1">
        <v>42691</v>
      </c>
      <c r="G1995">
        <v>126.172</v>
      </c>
      <c r="H1995" s="4">
        <f t="shared" si="224"/>
        <v>407876.22439999995</v>
      </c>
      <c r="I1995" s="5">
        <v>42711</v>
      </c>
      <c r="J1995" s="4">
        <v>4739.16</v>
      </c>
      <c r="K1995" s="4">
        <f t="shared" si="225"/>
        <v>47391.6</v>
      </c>
      <c r="AJ1995" s="1">
        <v>42711</v>
      </c>
      <c r="AL1995">
        <v>12.23</v>
      </c>
      <c r="AM1995" s="6">
        <f t="shared" si="226"/>
        <v>100000</v>
      </c>
      <c r="AN1995" s="2">
        <f t="shared" si="227"/>
        <v>0</v>
      </c>
    </row>
    <row r="1996" spans="4:40" x14ac:dyDescent="0.35">
      <c r="D1996" s="1">
        <v>42738</v>
      </c>
      <c r="E1996">
        <v>3.2625999999999999</v>
      </c>
      <c r="F1996" s="1">
        <v>42690</v>
      </c>
      <c r="G1996">
        <v>126.48399999999999</v>
      </c>
      <c r="H1996" s="4">
        <f t="shared" si="224"/>
        <v>412666.69839999999</v>
      </c>
      <c r="I1996" s="5">
        <v>42710</v>
      </c>
      <c r="J1996" s="4">
        <v>4778.1000000000004</v>
      </c>
      <c r="K1996" s="4">
        <f t="shared" si="225"/>
        <v>47781</v>
      </c>
      <c r="AJ1996" s="1">
        <v>42710</v>
      </c>
      <c r="AL1996">
        <v>12.45</v>
      </c>
      <c r="AM1996" s="6">
        <f t="shared" si="226"/>
        <v>100000</v>
      </c>
      <c r="AN1996" s="2">
        <f t="shared" si="227"/>
        <v>0</v>
      </c>
    </row>
    <row r="1997" spans="4:40" x14ac:dyDescent="0.35">
      <c r="D1997" s="1">
        <v>42737</v>
      </c>
      <c r="E1997">
        <v>3.2723</v>
      </c>
      <c r="F1997" s="1">
        <v>42688</v>
      </c>
      <c r="G1997">
        <v>126.828</v>
      </c>
      <c r="H1997" s="4">
        <f t="shared" si="224"/>
        <v>415019.26439999999</v>
      </c>
      <c r="I1997" s="5">
        <v>42709</v>
      </c>
      <c r="J1997" s="4">
        <v>4796.18</v>
      </c>
      <c r="K1997" s="4">
        <f t="shared" si="225"/>
        <v>47961.8</v>
      </c>
      <c r="AJ1997" s="1">
        <v>42709</v>
      </c>
      <c r="AL1997">
        <v>12.32</v>
      </c>
      <c r="AM1997" s="6">
        <f t="shared" si="226"/>
        <v>100000</v>
      </c>
      <c r="AN1997" s="2">
        <f t="shared" si="227"/>
        <v>0</v>
      </c>
    </row>
    <row r="1998" spans="4:40" x14ac:dyDescent="0.35">
      <c r="D1998" s="1">
        <v>42734</v>
      </c>
      <c r="E1998">
        <v>3.2585000000000002</v>
      </c>
      <c r="F1998" s="1">
        <v>42685</v>
      </c>
      <c r="G1998">
        <v>127.28100000000001</v>
      </c>
      <c r="H1998" s="4">
        <f t="shared" si="224"/>
        <v>414745.13850000006</v>
      </c>
      <c r="I1998" s="5">
        <v>42706</v>
      </c>
      <c r="J1998" s="4">
        <v>4877.54</v>
      </c>
      <c r="K1998" s="4">
        <f t="shared" si="225"/>
        <v>48775.4</v>
      </c>
      <c r="AJ1998" s="1">
        <v>42706</v>
      </c>
      <c r="AL1998">
        <v>12.63</v>
      </c>
      <c r="AM1998" s="6">
        <f t="shared" si="226"/>
        <v>100000</v>
      </c>
      <c r="AN1998" s="2">
        <f t="shared" si="227"/>
        <v>0</v>
      </c>
    </row>
    <row r="1999" spans="4:40" x14ac:dyDescent="0.35">
      <c r="D1999" s="1">
        <v>42733</v>
      </c>
      <c r="E1999">
        <v>3.2585000000000002</v>
      </c>
      <c r="F1999" s="1">
        <v>42684</v>
      </c>
      <c r="G1999">
        <v>127.703</v>
      </c>
      <c r="H1999" s="4">
        <f t="shared" si="224"/>
        <v>416120.2255</v>
      </c>
      <c r="I1999" s="5">
        <v>42705</v>
      </c>
      <c r="J1999" s="4">
        <v>4865.0200000000004</v>
      </c>
      <c r="K1999" s="4">
        <f t="shared" si="225"/>
        <v>48650.200000000004</v>
      </c>
      <c r="AJ1999" s="1">
        <v>42705</v>
      </c>
      <c r="AL1999">
        <v>12.52</v>
      </c>
      <c r="AM1999" s="6">
        <f t="shared" si="226"/>
        <v>100000</v>
      </c>
      <c r="AN1999" s="2">
        <f t="shared" si="227"/>
        <v>0</v>
      </c>
    </row>
    <row r="2000" spans="4:40" x14ac:dyDescent="0.35">
      <c r="D2000" s="1">
        <v>42732</v>
      </c>
      <c r="E2000">
        <v>3.2768000000000002</v>
      </c>
      <c r="F2000" s="1">
        <v>42683</v>
      </c>
      <c r="G2000">
        <v>128.35900000000001</v>
      </c>
      <c r="H2000" s="4">
        <f t="shared" si="224"/>
        <v>420606.77120000002</v>
      </c>
      <c r="I2000" s="5">
        <v>42704</v>
      </c>
      <c r="J2000" s="4">
        <v>4746.1099999999997</v>
      </c>
      <c r="K2000" s="4">
        <f t="shared" si="225"/>
        <v>47461.1</v>
      </c>
      <c r="AJ2000" s="1">
        <v>42704</v>
      </c>
      <c r="AL2000">
        <v>12.12</v>
      </c>
      <c r="AM2000" s="6">
        <f t="shared" si="226"/>
        <v>100000</v>
      </c>
      <c r="AN2000" s="2">
        <f t="shared" si="227"/>
        <v>0</v>
      </c>
    </row>
    <row r="2001" spans="4:40" x14ac:dyDescent="0.35">
      <c r="D2001" s="1">
        <v>42731</v>
      </c>
      <c r="E2001">
        <v>3.2770000000000001</v>
      </c>
      <c r="F2001" s="1">
        <v>42682</v>
      </c>
      <c r="G2001">
        <v>129.5</v>
      </c>
      <c r="H2001" s="4">
        <f t="shared" si="224"/>
        <v>424371.5</v>
      </c>
      <c r="I2001" s="5">
        <v>42703</v>
      </c>
      <c r="J2001" s="4">
        <v>4770.45</v>
      </c>
      <c r="K2001" s="4">
        <f t="shared" si="225"/>
        <v>47704.5</v>
      </c>
      <c r="AJ2001" s="1">
        <v>42703</v>
      </c>
      <c r="AL2001">
        <v>12.14</v>
      </c>
      <c r="AM2001" s="6">
        <f t="shared" si="226"/>
        <v>100000</v>
      </c>
      <c r="AN2001" s="2">
        <f t="shared" si="227"/>
        <v>0</v>
      </c>
    </row>
    <row r="2002" spans="4:40" x14ac:dyDescent="0.35">
      <c r="D2002" s="1">
        <v>42730</v>
      </c>
      <c r="E2002">
        <v>3.2694999999999999</v>
      </c>
      <c r="F2002" s="1">
        <v>42681</v>
      </c>
      <c r="G2002">
        <v>129.78100000000001</v>
      </c>
      <c r="H2002" s="4">
        <f t="shared" si="224"/>
        <v>424318.97950000002</v>
      </c>
      <c r="I2002" s="5">
        <v>42702</v>
      </c>
      <c r="J2002" s="4">
        <v>4754.32</v>
      </c>
      <c r="K2002" s="4">
        <f t="shared" si="225"/>
        <v>47543.199999999997</v>
      </c>
      <c r="AJ2002" s="1">
        <v>42702</v>
      </c>
      <c r="AL2002">
        <v>12.24</v>
      </c>
      <c r="AM2002" s="6">
        <f t="shared" si="226"/>
        <v>100000</v>
      </c>
      <c r="AN2002" s="2">
        <f t="shared" si="227"/>
        <v>0</v>
      </c>
    </row>
    <row r="2003" spans="4:40" x14ac:dyDescent="0.35">
      <c r="D2003" s="1">
        <v>42727</v>
      </c>
      <c r="E2003">
        <v>3.2690000000000001</v>
      </c>
      <c r="F2003" s="1">
        <v>42678</v>
      </c>
      <c r="G2003">
        <v>130.26599999999999</v>
      </c>
      <c r="H2003" s="4">
        <f t="shared" si="224"/>
        <v>425839.55399999995</v>
      </c>
      <c r="I2003" s="5">
        <v>42699</v>
      </c>
      <c r="J2003" s="4">
        <v>4789.38</v>
      </c>
      <c r="K2003" s="4">
        <f t="shared" si="225"/>
        <v>47893.8</v>
      </c>
      <c r="AJ2003" s="1">
        <v>42699</v>
      </c>
      <c r="AL2003">
        <v>12.38</v>
      </c>
      <c r="AM2003" s="6">
        <f t="shared" si="226"/>
        <v>100000</v>
      </c>
      <c r="AN2003" s="2">
        <f t="shared" si="227"/>
        <v>0</v>
      </c>
    </row>
    <row r="2004" spans="4:40" x14ac:dyDescent="0.35">
      <c r="D2004" s="1">
        <v>42726</v>
      </c>
      <c r="E2004">
        <v>3.3296000000000001</v>
      </c>
      <c r="F2004" s="1">
        <v>42677</v>
      </c>
      <c r="G2004">
        <v>130.078</v>
      </c>
      <c r="H2004" s="4">
        <f t="shared" si="224"/>
        <v>433107.70880000002</v>
      </c>
      <c r="I2004" s="5">
        <v>42698</v>
      </c>
      <c r="J2004" s="4">
        <v>4771.1499999999996</v>
      </c>
      <c r="K2004" s="4">
        <f t="shared" si="225"/>
        <v>47711.5</v>
      </c>
      <c r="AJ2004" s="1">
        <v>42698</v>
      </c>
      <c r="AL2004">
        <v>12.15</v>
      </c>
      <c r="AM2004" s="6">
        <f t="shared" si="226"/>
        <v>100000</v>
      </c>
      <c r="AN2004" s="2">
        <f t="shared" si="227"/>
        <v>0</v>
      </c>
    </row>
    <row r="2005" spans="4:40" x14ac:dyDescent="0.35">
      <c r="D2005" s="1">
        <v>42725</v>
      </c>
      <c r="E2005">
        <v>3.3290999999999999</v>
      </c>
      <c r="F2005" s="1">
        <v>42675</v>
      </c>
      <c r="G2005">
        <v>129.578</v>
      </c>
      <c r="H2005" s="4">
        <f t="shared" si="224"/>
        <v>431378.11979999999</v>
      </c>
      <c r="I2005" s="5">
        <v>42697</v>
      </c>
      <c r="J2005" s="4">
        <v>4761.33</v>
      </c>
      <c r="K2005" s="4">
        <f t="shared" si="225"/>
        <v>47613.3</v>
      </c>
      <c r="AJ2005" s="1">
        <v>42697</v>
      </c>
      <c r="AL2005">
        <v>12.1</v>
      </c>
      <c r="AM2005" s="6">
        <f t="shared" si="226"/>
        <v>100000</v>
      </c>
      <c r="AN2005" s="2">
        <f t="shared" si="227"/>
        <v>0</v>
      </c>
    </row>
    <row r="2006" spans="4:40" x14ac:dyDescent="0.35">
      <c r="D2006" s="1">
        <v>42724</v>
      </c>
      <c r="E2006">
        <v>3.3580000000000001</v>
      </c>
      <c r="F2006" s="1">
        <v>42674</v>
      </c>
      <c r="G2006">
        <v>129.67099999999999</v>
      </c>
      <c r="H2006" s="4">
        <f t="shared" si="224"/>
        <v>435435.21799999994</v>
      </c>
      <c r="I2006" s="5">
        <v>42696</v>
      </c>
      <c r="J2006" s="4">
        <v>4720.66</v>
      </c>
      <c r="K2006" s="4">
        <f t="shared" si="225"/>
        <v>47206.6</v>
      </c>
      <c r="AJ2006" s="1">
        <v>42696</v>
      </c>
      <c r="AL2006">
        <v>12.07</v>
      </c>
      <c r="AM2006" s="6">
        <f t="shared" si="226"/>
        <v>100000</v>
      </c>
      <c r="AN2006" s="2">
        <f t="shared" si="227"/>
        <v>0</v>
      </c>
    </row>
    <row r="2007" spans="4:40" x14ac:dyDescent="0.35">
      <c r="D2007" s="1">
        <v>42723</v>
      </c>
      <c r="E2007">
        <v>3.3772000000000002</v>
      </c>
      <c r="F2007" s="1">
        <v>42671</v>
      </c>
      <c r="G2007">
        <v>129.65600000000001</v>
      </c>
      <c r="H2007" s="4">
        <f t="shared" si="224"/>
        <v>437874.24320000003</v>
      </c>
      <c r="I2007" s="5">
        <v>42695</v>
      </c>
      <c r="J2007" s="4">
        <v>4717.16</v>
      </c>
      <c r="K2007" s="4">
        <f t="shared" si="225"/>
        <v>47171.6</v>
      </c>
      <c r="AJ2007" s="1">
        <v>42695</v>
      </c>
      <c r="AL2007">
        <v>12.17</v>
      </c>
      <c r="AM2007" s="6">
        <f t="shared" si="226"/>
        <v>100000</v>
      </c>
      <c r="AN2007" s="2">
        <f t="shared" si="227"/>
        <v>0</v>
      </c>
    </row>
    <row r="2008" spans="4:40" x14ac:dyDescent="0.35">
      <c r="D2008" s="1">
        <v>42720</v>
      </c>
      <c r="E2008">
        <v>3.3706</v>
      </c>
      <c r="F2008" s="1">
        <v>42670</v>
      </c>
      <c r="G2008">
        <v>129.328</v>
      </c>
      <c r="H2008" s="4">
        <f t="shared" si="224"/>
        <v>435912.95680000004</v>
      </c>
      <c r="I2008" s="5">
        <v>42692</v>
      </c>
      <c r="J2008" s="4">
        <v>4762.74</v>
      </c>
      <c r="K2008" s="4">
        <f t="shared" si="225"/>
        <v>47627.399999999994</v>
      </c>
      <c r="AJ2008" s="1">
        <v>42692</v>
      </c>
      <c r="AL2008">
        <v>12.4</v>
      </c>
      <c r="AM2008" s="6">
        <f t="shared" si="226"/>
        <v>100000</v>
      </c>
      <c r="AN2008" s="2">
        <f t="shared" si="227"/>
        <v>0</v>
      </c>
    </row>
    <row r="2009" spans="4:40" x14ac:dyDescent="0.35">
      <c r="D2009" s="1">
        <v>42719</v>
      </c>
      <c r="E2009">
        <v>3.3824000000000001</v>
      </c>
      <c r="F2009" s="1">
        <v>42669</v>
      </c>
      <c r="G2009">
        <v>130.01599999999999</v>
      </c>
      <c r="H2009" s="4">
        <f t="shared" si="224"/>
        <v>439766.11839999998</v>
      </c>
      <c r="I2009" s="5">
        <v>42691</v>
      </c>
      <c r="J2009" s="4">
        <v>4820.24</v>
      </c>
      <c r="K2009" s="4">
        <f t="shared" si="225"/>
        <v>48202.399999999994</v>
      </c>
      <c r="AJ2009" s="1">
        <v>42691</v>
      </c>
      <c r="AL2009">
        <v>12.33</v>
      </c>
      <c r="AM2009" s="6">
        <f t="shared" si="226"/>
        <v>100000</v>
      </c>
      <c r="AN2009" s="2">
        <f t="shared" si="227"/>
        <v>0</v>
      </c>
    </row>
    <row r="2010" spans="4:40" x14ac:dyDescent="0.35">
      <c r="D2010" s="1">
        <v>42718</v>
      </c>
      <c r="E2010">
        <v>3.3096999999999999</v>
      </c>
      <c r="F2010" s="1">
        <v>42668</v>
      </c>
      <c r="G2010">
        <v>130.18799999999999</v>
      </c>
      <c r="H2010" s="4">
        <f t="shared" si="224"/>
        <v>430883.22359999997</v>
      </c>
      <c r="I2010" s="5">
        <v>42690</v>
      </c>
      <c r="J2010" s="4">
        <v>4820.9399999999996</v>
      </c>
      <c r="K2010" s="4">
        <f t="shared" si="225"/>
        <v>48209.399999999994</v>
      </c>
      <c r="AJ2010" s="1">
        <v>42690</v>
      </c>
      <c r="AL2010">
        <v>12.19</v>
      </c>
      <c r="AM2010" s="6">
        <f t="shared" si="226"/>
        <v>100000</v>
      </c>
      <c r="AN2010" s="2">
        <f t="shared" si="227"/>
        <v>0</v>
      </c>
    </row>
    <row r="2011" spans="4:40" x14ac:dyDescent="0.35">
      <c r="D2011" s="1">
        <v>42717</v>
      </c>
      <c r="E2011">
        <v>3.3334000000000001</v>
      </c>
      <c r="F2011" s="1">
        <v>42667</v>
      </c>
      <c r="G2011">
        <v>130.03100000000001</v>
      </c>
      <c r="H2011" s="4">
        <f t="shared" si="224"/>
        <v>433445.33540000004</v>
      </c>
      <c r="I2011" s="5">
        <v>42688</v>
      </c>
      <c r="J2011" s="4">
        <v>4840.57</v>
      </c>
      <c r="K2011" s="4">
        <f t="shared" si="225"/>
        <v>48405.7</v>
      </c>
      <c r="AJ2011" s="1">
        <v>42688</v>
      </c>
      <c r="AL2011">
        <v>12.48</v>
      </c>
      <c r="AM2011" s="6">
        <f t="shared" si="226"/>
        <v>100000</v>
      </c>
      <c r="AN2011" s="2">
        <f t="shared" si="227"/>
        <v>0</v>
      </c>
    </row>
    <row r="2012" spans="4:40" x14ac:dyDescent="0.35">
      <c r="D2012" s="1">
        <v>42716</v>
      </c>
      <c r="E2012">
        <v>3.3691</v>
      </c>
      <c r="F2012" s="1">
        <v>42664</v>
      </c>
      <c r="G2012">
        <v>130.34399999999999</v>
      </c>
      <c r="H2012" s="4">
        <f t="shared" si="224"/>
        <v>439141.97039999999</v>
      </c>
      <c r="I2012" s="5">
        <v>42685</v>
      </c>
      <c r="J2012" s="4">
        <v>4783.7700000000004</v>
      </c>
      <c r="K2012" s="4">
        <f t="shared" si="225"/>
        <v>47837.700000000004</v>
      </c>
      <c r="AJ2012" s="1">
        <v>42685</v>
      </c>
      <c r="AL2012">
        <v>12.21</v>
      </c>
      <c r="AM2012" s="6">
        <f t="shared" si="226"/>
        <v>100000</v>
      </c>
      <c r="AN2012" s="2">
        <f t="shared" si="227"/>
        <v>0</v>
      </c>
    </row>
    <row r="2013" spans="4:40" x14ac:dyDescent="0.35">
      <c r="D2013" s="1">
        <v>42713</v>
      </c>
      <c r="E2013">
        <v>3.3852000000000002</v>
      </c>
      <c r="F2013" s="1">
        <v>42663</v>
      </c>
      <c r="G2013">
        <v>130.328</v>
      </c>
      <c r="H2013" s="4">
        <f t="shared" si="224"/>
        <v>441186.34560000006</v>
      </c>
      <c r="I2013" s="5">
        <v>42684</v>
      </c>
      <c r="J2013" s="4">
        <v>4784.47</v>
      </c>
      <c r="K2013" s="4">
        <f t="shared" si="225"/>
        <v>47844.700000000004</v>
      </c>
      <c r="AJ2013" s="1">
        <v>42684</v>
      </c>
      <c r="AL2013">
        <v>12.16</v>
      </c>
      <c r="AM2013" s="6">
        <f t="shared" si="226"/>
        <v>100000</v>
      </c>
      <c r="AN2013" s="2">
        <f t="shared" si="227"/>
        <v>0</v>
      </c>
    </row>
    <row r="2014" spans="4:40" x14ac:dyDescent="0.35">
      <c r="D2014" s="1">
        <v>42712</v>
      </c>
      <c r="E2014">
        <v>3.4001999999999999</v>
      </c>
      <c r="F2014" s="1">
        <v>42662</v>
      </c>
      <c r="G2014">
        <v>130.422</v>
      </c>
      <c r="H2014" s="4">
        <f t="shared" si="224"/>
        <v>443460.88439999998</v>
      </c>
      <c r="I2014" s="5">
        <v>42683</v>
      </c>
      <c r="J2014" s="4">
        <v>4536.9399999999996</v>
      </c>
      <c r="K2014" s="4">
        <f t="shared" si="225"/>
        <v>45369.399999999994</v>
      </c>
      <c r="AJ2014" s="1">
        <v>42683</v>
      </c>
      <c r="AL2014">
        <v>11.7</v>
      </c>
      <c r="AM2014" s="6">
        <f t="shared" si="226"/>
        <v>100000</v>
      </c>
      <c r="AN2014" s="2">
        <f t="shared" si="227"/>
        <v>0</v>
      </c>
    </row>
    <row r="2015" spans="4:40" x14ac:dyDescent="0.35">
      <c r="D2015" s="1">
        <v>42711</v>
      </c>
      <c r="E2015">
        <v>3.3889</v>
      </c>
      <c r="F2015" s="1">
        <v>42661</v>
      </c>
      <c r="G2015">
        <v>130.34399999999999</v>
      </c>
      <c r="H2015" s="4">
        <f t="shared" si="224"/>
        <v>441722.78159999999</v>
      </c>
      <c r="I2015" s="5">
        <v>42682</v>
      </c>
      <c r="J2015" s="4">
        <v>4472.43</v>
      </c>
      <c r="K2015" s="4">
        <f t="shared" si="225"/>
        <v>44724.3</v>
      </c>
      <c r="AJ2015" s="1">
        <v>42682</v>
      </c>
      <c r="AL2015">
        <v>11.42</v>
      </c>
      <c r="AM2015" s="6">
        <f t="shared" si="226"/>
        <v>100000</v>
      </c>
      <c r="AN2015" s="2">
        <f t="shared" si="227"/>
        <v>0</v>
      </c>
    </row>
    <row r="2016" spans="4:40" x14ac:dyDescent="0.35">
      <c r="D2016" s="1">
        <v>42710</v>
      </c>
      <c r="E2016">
        <v>3.4348000000000001</v>
      </c>
      <c r="F2016" s="1">
        <v>42657</v>
      </c>
      <c r="G2016">
        <v>130.06299999999999</v>
      </c>
      <c r="H2016" s="4">
        <f t="shared" si="224"/>
        <v>446740.39239999995</v>
      </c>
      <c r="I2016" s="5">
        <v>42681</v>
      </c>
      <c r="J2016" s="4">
        <v>4520.8100000000004</v>
      </c>
      <c r="K2016" s="4">
        <f t="shared" si="225"/>
        <v>45208.100000000006</v>
      </c>
      <c r="AJ2016" s="1">
        <v>42681</v>
      </c>
      <c r="AL2016">
        <v>11.51</v>
      </c>
      <c r="AM2016" s="6">
        <f t="shared" si="226"/>
        <v>100000</v>
      </c>
      <c r="AN2016" s="2">
        <f t="shared" si="227"/>
        <v>0</v>
      </c>
    </row>
    <row r="2017" spans="4:40" x14ac:dyDescent="0.35">
      <c r="D2017" s="1">
        <v>42709</v>
      </c>
      <c r="E2017">
        <v>3.4592000000000001</v>
      </c>
      <c r="F2017" s="1">
        <v>42656</v>
      </c>
      <c r="G2017">
        <v>130.125</v>
      </c>
      <c r="H2017" s="4">
        <f t="shared" si="224"/>
        <v>450128.4</v>
      </c>
      <c r="I2017" s="5">
        <v>42678</v>
      </c>
      <c r="J2017" s="4">
        <v>4570.6000000000004</v>
      </c>
      <c r="K2017" s="4">
        <f t="shared" si="225"/>
        <v>45706</v>
      </c>
      <c r="AJ2017" s="1">
        <v>42678</v>
      </c>
      <c r="AL2017">
        <v>11.68</v>
      </c>
      <c r="AM2017" s="6">
        <f t="shared" si="226"/>
        <v>100000</v>
      </c>
      <c r="AN2017" s="2">
        <f t="shared" si="227"/>
        <v>0</v>
      </c>
    </row>
    <row r="2018" spans="4:40" x14ac:dyDescent="0.35">
      <c r="D2018" s="1">
        <v>42706</v>
      </c>
      <c r="E2018">
        <v>3.4643999999999999</v>
      </c>
      <c r="F2018" s="1">
        <v>42654</v>
      </c>
      <c r="G2018">
        <v>130</v>
      </c>
      <c r="H2018" s="4">
        <f t="shared" si="224"/>
        <v>450372</v>
      </c>
      <c r="I2018" s="5">
        <v>42677</v>
      </c>
      <c r="J2018" s="4">
        <v>4577.6099999999997</v>
      </c>
      <c r="K2018" s="4">
        <f t="shared" si="225"/>
        <v>45776.1</v>
      </c>
      <c r="AJ2018" s="1">
        <v>42677</v>
      </c>
      <c r="AL2018">
        <v>11.76</v>
      </c>
      <c r="AM2018" s="6">
        <f t="shared" si="226"/>
        <v>100000</v>
      </c>
      <c r="AN2018" s="2">
        <f t="shared" si="227"/>
        <v>0</v>
      </c>
    </row>
    <row r="2019" spans="4:40" x14ac:dyDescent="0.35">
      <c r="D2019" s="1">
        <v>42705</v>
      </c>
      <c r="E2019">
        <v>3.4356</v>
      </c>
      <c r="F2019" s="1">
        <v>42653</v>
      </c>
      <c r="G2019">
        <v>129.71899999999999</v>
      </c>
      <c r="H2019" s="4">
        <f t="shared" si="224"/>
        <v>445662.59639999998</v>
      </c>
      <c r="I2019" s="5">
        <v>42675</v>
      </c>
      <c r="J2019" s="4">
        <v>4581.82</v>
      </c>
      <c r="K2019" s="4">
        <f t="shared" si="225"/>
        <v>45818.2</v>
      </c>
      <c r="AJ2019" s="1">
        <v>42675</v>
      </c>
      <c r="AL2019">
        <v>11.65</v>
      </c>
      <c r="AM2019" s="6">
        <f t="shared" si="226"/>
        <v>100000</v>
      </c>
      <c r="AN2019" s="2">
        <f t="shared" si="227"/>
        <v>0</v>
      </c>
    </row>
    <row r="2020" spans="4:40" x14ac:dyDescent="0.35">
      <c r="D2020" s="1">
        <v>42704</v>
      </c>
      <c r="E2020">
        <v>3.3961000000000001</v>
      </c>
      <c r="F2020" s="1">
        <v>42649</v>
      </c>
      <c r="G2020">
        <v>130.03100000000001</v>
      </c>
      <c r="H2020" s="4">
        <f t="shared" si="224"/>
        <v>441598.27909999999</v>
      </c>
      <c r="I2020" s="5">
        <v>42674</v>
      </c>
      <c r="J2020" s="4">
        <v>4511</v>
      </c>
      <c r="K2020" s="4">
        <f t="shared" si="225"/>
        <v>45110</v>
      </c>
      <c r="AJ2020" s="1">
        <v>42674</v>
      </c>
      <c r="AL2020">
        <v>11.56</v>
      </c>
      <c r="AM2020" s="6">
        <f t="shared" si="226"/>
        <v>100000</v>
      </c>
      <c r="AN2020" s="2">
        <f t="shared" si="227"/>
        <v>0</v>
      </c>
    </row>
    <row r="2021" spans="4:40" x14ac:dyDescent="0.35">
      <c r="D2021" s="1">
        <v>42703</v>
      </c>
      <c r="E2021">
        <v>3.4054000000000002</v>
      </c>
      <c r="F2021" s="1">
        <v>42648</v>
      </c>
      <c r="G2021">
        <v>130.21899999999999</v>
      </c>
      <c r="H2021" s="4">
        <f t="shared" si="224"/>
        <v>443447.78259999998</v>
      </c>
      <c r="I2021" s="5">
        <v>42671</v>
      </c>
      <c r="J2021" s="4">
        <v>4538.34</v>
      </c>
      <c r="K2021" s="4">
        <f t="shared" si="225"/>
        <v>45383.4</v>
      </c>
      <c r="AJ2021" s="1">
        <v>42671</v>
      </c>
      <c r="AL2021">
        <v>11.56</v>
      </c>
      <c r="AM2021" s="6">
        <f t="shared" si="226"/>
        <v>100000</v>
      </c>
      <c r="AN2021" s="2">
        <f t="shared" si="227"/>
        <v>0</v>
      </c>
    </row>
    <row r="2022" spans="4:40" x14ac:dyDescent="0.35">
      <c r="D2022" s="1">
        <v>42702</v>
      </c>
      <c r="E2022">
        <v>3.399</v>
      </c>
      <c r="F2022" s="1">
        <v>42647</v>
      </c>
      <c r="G2022">
        <v>130.59399999999999</v>
      </c>
      <c r="H2022" s="4">
        <f t="shared" si="224"/>
        <v>443889.00599999999</v>
      </c>
      <c r="I2022" s="5">
        <v>42670</v>
      </c>
      <c r="J2022" s="4">
        <v>4493.07</v>
      </c>
      <c r="K2022" s="4">
        <f t="shared" si="225"/>
        <v>44930.7</v>
      </c>
      <c r="AJ2022" s="1">
        <v>42670</v>
      </c>
      <c r="AL2022">
        <v>11.53</v>
      </c>
      <c r="AM2022" s="6">
        <f t="shared" si="226"/>
        <v>100000</v>
      </c>
      <c r="AN2022" s="2">
        <f t="shared" si="227"/>
        <v>0</v>
      </c>
    </row>
    <row r="2023" spans="4:40" x14ac:dyDescent="0.35">
      <c r="D2023" s="1">
        <v>42699</v>
      </c>
      <c r="E2023">
        <v>3.4272999999999998</v>
      </c>
      <c r="F2023" s="1">
        <v>42646</v>
      </c>
      <c r="G2023">
        <v>130.89099999999999</v>
      </c>
      <c r="H2023" s="4">
        <f t="shared" si="224"/>
        <v>448602.72429999994</v>
      </c>
      <c r="I2023" s="5">
        <v>42669</v>
      </c>
      <c r="J2023" s="4">
        <v>4444.97</v>
      </c>
      <c r="K2023" s="4">
        <f t="shared" si="225"/>
        <v>44449.700000000004</v>
      </c>
      <c r="AJ2023" s="1">
        <v>42669</v>
      </c>
      <c r="AL2023">
        <v>11.43</v>
      </c>
      <c r="AM2023" s="6">
        <f t="shared" si="226"/>
        <v>100000</v>
      </c>
      <c r="AN2023" s="2">
        <f t="shared" si="227"/>
        <v>0</v>
      </c>
    </row>
    <row r="2024" spans="4:40" x14ac:dyDescent="0.35">
      <c r="D2024" s="1">
        <v>42698</v>
      </c>
      <c r="E2024">
        <v>3.3980999999999999</v>
      </c>
      <c r="F2024" s="1">
        <v>42643</v>
      </c>
      <c r="G2024">
        <v>131.18799999999999</v>
      </c>
      <c r="H2024" s="4">
        <f t="shared" si="224"/>
        <v>445789.94279999996</v>
      </c>
      <c r="I2024" s="5">
        <v>42668</v>
      </c>
      <c r="J2024" s="4">
        <v>4417.3900000000003</v>
      </c>
      <c r="K2024" s="4">
        <f t="shared" si="225"/>
        <v>44173.9</v>
      </c>
      <c r="AJ2024" s="1">
        <v>42668</v>
      </c>
      <c r="AL2024">
        <v>11.33</v>
      </c>
      <c r="AM2024" s="6">
        <f t="shared" si="226"/>
        <v>100000</v>
      </c>
      <c r="AN2024" s="2">
        <f t="shared" si="227"/>
        <v>0</v>
      </c>
    </row>
    <row r="2025" spans="4:40" x14ac:dyDescent="0.35">
      <c r="D2025" s="1">
        <v>42697</v>
      </c>
      <c r="E2025">
        <v>3.3921000000000001</v>
      </c>
      <c r="F2025" s="1">
        <v>42642</v>
      </c>
      <c r="G2025">
        <v>131.578</v>
      </c>
      <c r="H2025" s="4">
        <f t="shared" si="224"/>
        <v>446325.73380000005</v>
      </c>
      <c r="I2025" s="5">
        <v>42667</v>
      </c>
      <c r="J2025" s="4">
        <v>4424.46</v>
      </c>
      <c r="K2025" s="4">
        <f t="shared" si="225"/>
        <v>44244.6</v>
      </c>
      <c r="AJ2025" s="1">
        <v>42667</v>
      </c>
      <c r="AL2025">
        <v>11.22</v>
      </c>
      <c r="AM2025" s="6">
        <f t="shared" si="226"/>
        <v>100000</v>
      </c>
      <c r="AN2025" s="2">
        <f t="shared" si="227"/>
        <v>0</v>
      </c>
    </row>
    <row r="2026" spans="4:40" x14ac:dyDescent="0.35">
      <c r="D2026" s="1">
        <v>42696</v>
      </c>
      <c r="E2026">
        <v>3.347</v>
      </c>
      <c r="F2026" s="1">
        <v>42641</v>
      </c>
      <c r="G2026">
        <v>131.53100000000001</v>
      </c>
      <c r="H2026" s="4">
        <f t="shared" si="224"/>
        <v>440234.25700000004</v>
      </c>
      <c r="I2026" s="5">
        <v>42664</v>
      </c>
      <c r="J2026" s="4">
        <v>4466.8999999999996</v>
      </c>
      <c r="K2026" s="4">
        <f t="shared" si="225"/>
        <v>44669</v>
      </c>
      <c r="AJ2026" s="1">
        <v>42664</v>
      </c>
      <c r="AL2026">
        <v>11.35</v>
      </c>
      <c r="AM2026" s="6">
        <f t="shared" si="226"/>
        <v>100000</v>
      </c>
      <c r="AN2026" s="2">
        <f t="shared" si="227"/>
        <v>0</v>
      </c>
    </row>
    <row r="2027" spans="4:40" x14ac:dyDescent="0.35">
      <c r="D2027" s="1">
        <v>42695</v>
      </c>
      <c r="E2027">
        <v>3.3511000000000002</v>
      </c>
      <c r="F2027" s="1">
        <v>42640</v>
      </c>
      <c r="G2027">
        <v>131.39099999999999</v>
      </c>
      <c r="H2027" s="4">
        <f t="shared" si="224"/>
        <v>440304.38010000001</v>
      </c>
      <c r="I2027" s="5">
        <v>42663</v>
      </c>
      <c r="J2027" s="4">
        <v>4459.12</v>
      </c>
      <c r="K2027" s="4">
        <f t="shared" si="225"/>
        <v>44591.199999999997</v>
      </c>
      <c r="AJ2027" s="1">
        <v>42663</v>
      </c>
      <c r="AL2027">
        <v>11.24</v>
      </c>
      <c r="AM2027" s="6">
        <f t="shared" si="226"/>
        <v>100000</v>
      </c>
      <c r="AN2027" s="2">
        <f t="shared" si="227"/>
        <v>0</v>
      </c>
    </row>
    <row r="2028" spans="4:40" x14ac:dyDescent="0.35">
      <c r="D2028" s="1">
        <v>42692</v>
      </c>
      <c r="E2028">
        <v>3.3910999999999998</v>
      </c>
      <c r="F2028" s="1">
        <v>42639</v>
      </c>
      <c r="G2028">
        <v>131.39099999999999</v>
      </c>
      <c r="H2028" s="4">
        <f t="shared" si="224"/>
        <v>445560.02009999991</v>
      </c>
      <c r="I2028" s="5">
        <v>42662</v>
      </c>
      <c r="J2028" s="4">
        <v>4493.07</v>
      </c>
      <c r="K2028" s="4">
        <f t="shared" si="225"/>
        <v>44930.7</v>
      </c>
      <c r="AJ2028" s="1">
        <v>42662</v>
      </c>
      <c r="AL2028">
        <v>11.31</v>
      </c>
      <c r="AM2028" s="6">
        <f t="shared" si="226"/>
        <v>100000</v>
      </c>
      <c r="AN2028" s="2">
        <f t="shared" si="227"/>
        <v>0</v>
      </c>
    </row>
    <row r="2029" spans="4:40" x14ac:dyDescent="0.35">
      <c r="D2029" s="1">
        <v>42691</v>
      </c>
      <c r="E2029">
        <v>3.4045999999999998</v>
      </c>
      <c r="F2029" s="1">
        <v>42636</v>
      </c>
      <c r="G2029">
        <v>130.96899999999999</v>
      </c>
      <c r="H2029" s="4">
        <f t="shared" si="224"/>
        <v>445897.05739999993</v>
      </c>
      <c r="I2029" s="5">
        <v>42661</v>
      </c>
      <c r="J2029" s="4">
        <v>4520.66</v>
      </c>
      <c r="K2029" s="4">
        <f t="shared" si="225"/>
        <v>45206.6</v>
      </c>
      <c r="AJ2029" s="1">
        <v>42661</v>
      </c>
      <c r="AL2029">
        <v>11.47</v>
      </c>
      <c r="AM2029" s="6">
        <f t="shared" si="226"/>
        <v>100000</v>
      </c>
      <c r="AN2029" s="2">
        <f t="shared" si="227"/>
        <v>0</v>
      </c>
    </row>
    <row r="2030" spans="4:40" x14ac:dyDescent="0.35">
      <c r="D2030" s="1">
        <v>42690</v>
      </c>
      <c r="E2030">
        <v>3.4177</v>
      </c>
      <c r="F2030" s="1">
        <v>42634</v>
      </c>
      <c r="G2030">
        <v>130.672</v>
      </c>
      <c r="H2030" s="4">
        <f t="shared" si="224"/>
        <v>446597.69439999998</v>
      </c>
      <c r="I2030" s="5">
        <v>42660</v>
      </c>
      <c r="J2030" s="4">
        <v>4545.42</v>
      </c>
      <c r="K2030" s="4">
        <f t="shared" si="225"/>
        <v>45454.2</v>
      </c>
      <c r="AJ2030" s="1">
        <v>42660</v>
      </c>
      <c r="AL2030">
        <v>11.53</v>
      </c>
      <c r="AM2030" s="6">
        <f t="shared" si="226"/>
        <v>100000</v>
      </c>
      <c r="AN2030" s="2">
        <f t="shared" si="227"/>
        <v>0</v>
      </c>
    </row>
    <row r="2031" spans="4:40" x14ac:dyDescent="0.35">
      <c r="D2031" s="1">
        <v>42688</v>
      </c>
      <c r="E2031">
        <v>3.444</v>
      </c>
      <c r="F2031" s="1">
        <v>42633</v>
      </c>
      <c r="G2031">
        <v>130.625</v>
      </c>
      <c r="H2031" s="4">
        <f t="shared" si="224"/>
        <v>449872.5</v>
      </c>
      <c r="I2031" s="5">
        <v>42657</v>
      </c>
      <c r="J2031" s="4">
        <v>4548.95</v>
      </c>
      <c r="K2031" s="4">
        <f t="shared" si="225"/>
        <v>45489.5</v>
      </c>
      <c r="AJ2031" s="1">
        <v>42657</v>
      </c>
      <c r="AL2031">
        <v>11.58</v>
      </c>
      <c r="AM2031" s="6">
        <f t="shared" si="226"/>
        <v>100000</v>
      </c>
      <c r="AN2031" s="2">
        <f t="shared" si="227"/>
        <v>0</v>
      </c>
    </row>
    <row r="2032" spans="4:40" x14ac:dyDescent="0.35">
      <c r="D2032" s="1">
        <v>42685</v>
      </c>
      <c r="E2032">
        <v>3.4371</v>
      </c>
      <c r="F2032" s="1">
        <v>42629</v>
      </c>
      <c r="G2032">
        <v>130.44</v>
      </c>
      <c r="H2032" s="4">
        <f t="shared" si="224"/>
        <v>448335.32400000002</v>
      </c>
      <c r="I2032" s="5">
        <v>42656</v>
      </c>
      <c r="J2032" s="4">
        <v>4517.83</v>
      </c>
      <c r="K2032" s="4">
        <f t="shared" si="225"/>
        <v>45178.3</v>
      </c>
      <c r="AJ2032" s="1">
        <v>42656</v>
      </c>
      <c r="AL2032">
        <v>11.61</v>
      </c>
      <c r="AM2032" s="6">
        <f t="shared" si="226"/>
        <v>100000</v>
      </c>
      <c r="AN2032" s="2">
        <f t="shared" si="227"/>
        <v>0</v>
      </c>
    </row>
    <row r="2033" spans="4:40" x14ac:dyDescent="0.35">
      <c r="D2033" s="1">
        <v>42684</v>
      </c>
      <c r="E2033">
        <v>3.3098000000000001</v>
      </c>
      <c r="F2033" s="1">
        <v>42627</v>
      </c>
      <c r="G2033">
        <v>130.328</v>
      </c>
      <c r="H2033" s="4">
        <f t="shared" si="224"/>
        <v>431359.61440000002</v>
      </c>
      <c r="I2033" s="5">
        <v>42654</v>
      </c>
      <c r="J2033" s="4">
        <v>4541.88</v>
      </c>
      <c r="K2033" s="4">
        <f t="shared" si="225"/>
        <v>45418.8</v>
      </c>
      <c r="AJ2033" s="1">
        <v>42654</v>
      </c>
      <c r="AL2033">
        <v>11.63</v>
      </c>
      <c r="AM2033" s="6">
        <f t="shared" si="226"/>
        <v>100000</v>
      </c>
      <c r="AN2033" s="2">
        <f t="shared" si="227"/>
        <v>0</v>
      </c>
    </row>
    <row r="2034" spans="4:40" x14ac:dyDescent="0.35">
      <c r="D2034" s="1">
        <v>42683</v>
      </c>
      <c r="E2034">
        <v>3.2252000000000001</v>
      </c>
      <c r="F2034" s="1">
        <v>42625</v>
      </c>
      <c r="G2034">
        <v>130.43700000000001</v>
      </c>
      <c r="H2034" s="4">
        <f t="shared" si="224"/>
        <v>420685.41240000009</v>
      </c>
      <c r="I2034" s="5">
        <v>42653</v>
      </c>
      <c r="J2034" s="4">
        <v>4565.22</v>
      </c>
      <c r="K2034" s="4">
        <f t="shared" si="225"/>
        <v>45652.200000000004</v>
      </c>
      <c r="AJ2034" s="1">
        <v>42653</v>
      </c>
      <c r="AL2034">
        <v>11.55</v>
      </c>
      <c r="AM2034" s="6">
        <f t="shared" si="226"/>
        <v>100000</v>
      </c>
      <c r="AN2034" s="2">
        <f t="shared" si="227"/>
        <v>0</v>
      </c>
    </row>
    <row r="2035" spans="4:40" x14ac:dyDescent="0.35">
      <c r="D2035" s="1">
        <v>42682</v>
      </c>
      <c r="E2035">
        <v>3.2018</v>
      </c>
      <c r="F2035" s="1">
        <v>42622</v>
      </c>
      <c r="G2035">
        <v>130.297</v>
      </c>
      <c r="H2035" s="4">
        <f t="shared" si="224"/>
        <v>417184.93459999998</v>
      </c>
      <c r="I2035" s="5">
        <v>42650</v>
      </c>
      <c r="J2035" s="4">
        <v>4580.08</v>
      </c>
      <c r="K2035" s="4">
        <f t="shared" si="225"/>
        <v>45800.800000000003</v>
      </c>
      <c r="AJ2035" s="1">
        <v>42650</v>
      </c>
      <c r="AL2035">
        <v>11.63</v>
      </c>
      <c r="AM2035" s="6">
        <f t="shared" si="226"/>
        <v>100000</v>
      </c>
      <c r="AN2035" s="2">
        <f t="shared" si="227"/>
        <v>0</v>
      </c>
    </row>
    <row r="2036" spans="4:40" x14ac:dyDescent="0.35">
      <c r="D2036" s="1">
        <v>42681</v>
      </c>
      <c r="E2036">
        <v>3.2018</v>
      </c>
      <c r="F2036" s="1">
        <v>42621</v>
      </c>
      <c r="G2036">
        <v>131</v>
      </c>
      <c r="H2036" s="4">
        <f t="shared" si="224"/>
        <v>419435.8</v>
      </c>
      <c r="I2036" s="5">
        <v>42649</v>
      </c>
      <c r="J2036" s="4">
        <v>4595.6400000000003</v>
      </c>
      <c r="K2036" s="4">
        <f t="shared" si="225"/>
        <v>45956.4</v>
      </c>
      <c r="AJ2036" s="1">
        <v>42649</v>
      </c>
      <c r="AL2036">
        <v>11.68</v>
      </c>
      <c r="AM2036" s="6">
        <f t="shared" si="226"/>
        <v>100000</v>
      </c>
      <c r="AN2036" s="2">
        <f t="shared" si="227"/>
        <v>0</v>
      </c>
    </row>
    <row r="2037" spans="4:40" x14ac:dyDescent="0.35">
      <c r="D2037" s="1">
        <v>42678</v>
      </c>
      <c r="E2037">
        <v>3.2443</v>
      </c>
      <c r="F2037" s="1">
        <v>42619</v>
      </c>
      <c r="G2037">
        <v>131.31299999999999</v>
      </c>
      <c r="H2037" s="4">
        <f t="shared" si="224"/>
        <v>426018.76589999994</v>
      </c>
      <c r="I2037" s="5">
        <v>42648</v>
      </c>
      <c r="J2037" s="4">
        <v>4589.2700000000004</v>
      </c>
      <c r="K2037" s="4">
        <f t="shared" si="225"/>
        <v>45892.700000000004</v>
      </c>
      <c r="AJ2037" s="1">
        <v>42648</v>
      </c>
      <c r="AL2037">
        <v>11.65</v>
      </c>
      <c r="AM2037" s="6">
        <f t="shared" si="226"/>
        <v>100000</v>
      </c>
      <c r="AN2037" s="2">
        <f t="shared" si="227"/>
        <v>0</v>
      </c>
    </row>
    <row r="2038" spans="4:40" x14ac:dyDescent="0.35">
      <c r="D2038" s="1">
        <v>42677</v>
      </c>
      <c r="E2038">
        <v>3.2303999999999999</v>
      </c>
      <c r="F2038" s="1">
        <v>42615</v>
      </c>
      <c r="G2038">
        <v>130.59399999999999</v>
      </c>
      <c r="H2038" s="4">
        <f t="shared" si="224"/>
        <v>421870.85759999999</v>
      </c>
      <c r="I2038" s="5">
        <v>42647</v>
      </c>
      <c r="J2038" s="4">
        <v>4650.1000000000004</v>
      </c>
      <c r="K2038" s="4">
        <f t="shared" si="225"/>
        <v>46501</v>
      </c>
      <c r="AJ2038" s="1">
        <v>42647</v>
      </c>
      <c r="AL2038">
        <v>11.82</v>
      </c>
      <c r="AM2038" s="6">
        <f t="shared" si="226"/>
        <v>100000</v>
      </c>
      <c r="AN2038" s="2">
        <f t="shared" si="227"/>
        <v>0</v>
      </c>
    </row>
    <row r="2039" spans="4:40" x14ac:dyDescent="0.35">
      <c r="D2039" s="1">
        <v>42675</v>
      </c>
      <c r="E2039">
        <v>3.2046999999999999</v>
      </c>
      <c r="F2039" s="1">
        <v>42614</v>
      </c>
      <c r="G2039">
        <v>131.01599999999999</v>
      </c>
      <c r="H2039" s="4">
        <f t="shared" si="224"/>
        <v>419866.97519999993</v>
      </c>
      <c r="I2039" s="5">
        <v>42646</v>
      </c>
      <c r="J2039" s="4">
        <v>4580.08</v>
      </c>
      <c r="K2039" s="4">
        <f t="shared" si="225"/>
        <v>45800.800000000003</v>
      </c>
      <c r="AJ2039" s="1">
        <v>42646</v>
      </c>
      <c r="AL2039">
        <v>11.72</v>
      </c>
      <c r="AM2039" s="6">
        <f t="shared" si="226"/>
        <v>100000</v>
      </c>
      <c r="AN2039" s="2">
        <f t="shared" si="227"/>
        <v>0</v>
      </c>
    </row>
    <row r="2040" spans="4:40" x14ac:dyDescent="0.35">
      <c r="D2040" s="1">
        <v>42674</v>
      </c>
      <c r="E2040">
        <v>3.1804999999999999</v>
      </c>
      <c r="F2040" s="1">
        <v>42611</v>
      </c>
      <c r="G2040">
        <v>131.78100000000001</v>
      </c>
      <c r="H2040" s="4">
        <f t="shared" si="224"/>
        <v>419129.47050000005</v>
      </c>
      <c r="I2040" s="5">
        <v>42643</v>
      </c>
      <c r="J2040" s="4">
        <v>4650.1000000000004</v>
      </c>
      <c r="K2040" s="4">
        <f t="shared" si="225"/>
        <v>46501</v>
      </c>
      <c r="AJ2040" s="1">
        <v>42643</v>
      </c>
      <c r="AL2040">
        <v>11.79</v>
      </c>
      <c r="AM2040" s="6">
        <f t="shared" si="226"/>
        <v>100000</v>
      </c>
      <c r="AN2040" s="2">
        <f t="shared" si="227"/>
        <v>0</v>
      </c>
    </row>
    <row r="2041" spans="4:40" x14ac:dyDescent="0.35">
      <c r="D2041" s="1">
        <v>42671</v>
      </c>
      <c r="E2041">
        <v>3.1808999999999998</v>
      </c>
      <c r="F2041" s="1">
        <v>42608</v>
      </c>
      <c r="G2041">
        <v>132</v>
      </c>
      <c r="H2041" s="4">
        <f t="shared" si="224"/>
        <v>419878.79999999993</v>
      </c>
      <c r="I2041" s="5">
        <v>42642</v>
      </c>
      <c r="J2041" s="4">
        <v>4650.1000000000004</v>
      </c>
      <c r="K2041" s="4">
        <f t="shared" si="225"/>
        <v>46501</v>
      </c>
      <c r="AJ2041" s="1">
        <v>42642</v>
      </c>
      <c r="AL2041">
        <v>11.93</v>
      </c>
      <c r="AM2041" s="6">
        <f t="shared" si="226"/>
        <v>100000</v>
      </c>
      <c r="AN2041" s="2">
        <f t="shared" si="227"/>
        <v>0</v>
      </c>
    </row>
    <row r="2042" spans="4:40" x14ac:dyDescent="0.35">
      <c r="D2042" s="1">
        <v>42670</v>
      </c>
      <c r="E2042">
        <v>3.1423000000000001</v>
      </c>
      <c r="F2042" s="1">
        <v>42607</v>
      </c>
      <c r="G2042">
        <v>132</v>
      </c>
      <c r="H2042" s="4">
        <f t="shared" si="224"/>
        <v>414783.60000000003</v>
      </c>
      <c r="I2042" s="5">
        <v>42641</v>
      </c>
      <c r="J2042" s="4">
        <v>4593.74</v>
      </c>
      <c r="K2042" s="4">
        <f t="shared" si="225"/>
        <v>45937.399999999994</v>
      </c>
      <c r="AJ2042" s="1">
        <v>42641</v>
      </c>
      <c r="AL2042">
        <v>11.87</v>
      </c>
      <c r="AM2042" s="6">
        <f t="shared" si="226"/>
        <v>100000</v>
      </c>
      <c r="AN2042" s="2">
        <f t="shared" si="227"/>
        <v>0</v>
      </c>
    </row>
    <row r="2043" spans="4:40" x14ac:dyDescent="0.35">
      <c r="D2043" s="1">
        <v>42669</v>
      </c>
      <c r="E2043">
        <v>3.1213000000000002</v>
      </c>
      <c r="F2043" s="1">
        <v>42606</v>
      </c>
      <c r="G2043">
        <v>132.5</v>
      </c>
      <c r="H2043" s="4">
        <f t="shared" si="224"/>
        <v>413572.25</v>
      </c>
      <c r="I2043" s="5">
        <v>42640</v>
      </c>
      <c r="J2043" s="4">
        <v>4615.8599999999997</v>
      </c>
      <c r="K2043" s="4">
        <f t="shared" si="225"/>
        <v>46158.6</v>
      </c>
      <c r="AJ2043" s="1">
        <v>42640</v>
      </c>
      <c r="AL2043">
        <v>11.94</v>
      </c>
      <c r="AM2043" s="6">
        <f t="shared" si="226"/>
        <v>100000</v>
      </c>
      <c r="AN2043" s="2">
        <f t="shared" si="227"/>
        <v>0</v>
      </c>
    </row>
    <row r="2044" spans="4:40" x14ac:dyDescent="0.35">
      <c r="D2044" s="1">
        <v>42668</v>
      </c>
      <c r="E2044">
        <v>3.1187</v>
      </c>
      <c r="F2044" s="1">
        <v>42601</v>
      </c>
      <c r="G2044">
        <v>131.96899999999999</v>
      </c>
      <c r="H2044" s="4">
        <f t="shared" si="224"/>
        <v>411571.72029999999</v>
      </c>
      <c r="I2044" s="5">
        <v>42639</v>
      </c>
      <c r="J2044" s="4">
        <v>4629.42</v>
      </c>
      <c r="K2044" s="4">
        <f t="shared" si="225"/>
        <v>46294.2</v>
      </c>
      <c r="AJ2044" s="1">
        <v>42639</v>
      </c>
      <c r="AL2044">
        <v>12.09</v>
      </c>
      <c r="AM2044" s="6">
        <f t="shared" si="226"/>
        <v>100000</v>
      </c>
      <c r="AN2044" s="2">
        <f t="shared" si="227"/>
        <v>0</v>
      </c>
    </row>
    <row r="2045" spans="4:40" x14ac:dyDescent="0.35">
      <c r="D2045" s="1">
        <v>42667</v>
      </c>
      <c r="E2045">
        <v>3.1305000000000001</v>
      </c>
      <c r="F2045" s="1">
        <v>42600</v>
      </c>
      <c r="G2045">
        <v>132.4</v>
      </c>
      <c r="H2045" s="4">
        <f t="shared" si="224"/>
        <v>414478.2</v>
      </c>
      <c r="I2045" s="5">
        <v>42636</v>
      </c>
      <c r="J2045" s="4">
        <v>4637.26</v>
      </c>
      <c r="K2045" s="4">
        <f t="shared" si="225"/>
        <v>46372.600000000006</v>
      </c>
      <c r="AJ2045" s="1">
        <v>42636</v>
      </c>
      <c r="AL2045">
        <v>12.08</v>
      </c>
      <c r="AM2045" s="6">
        <f t="shared" si="226"/>
        <v>100000</v>
      </c>
      <c r="AN2045" s="2">
        <f t="shared" si="227"/>
        <v>0</v>
      </c>
    </row>
    <row r="2046" spans="4:40" x14ac:dyDescent="0.35">
      <c r="D2046" s="1">
        <v>42664</v>
      </c>
      <c r="E2046">
        <v>3.1587000000000001</v>
      </c>
      <c r="F2046" s="1">
        <v>42599</v>
      </c>
      <c r="G2046">
        <v>132.03100000000001</v>
      </c>
      <c r="H2046" s="4">
        <f t="shared" si="224"/>
        <v>417046.31970000005</v>
      </c>
      <c r="I2046" s="5">
        <v>42635</v>
      </c>
      <c r="J2046" s="4">
        <v>4604.45</v>
      </c>
      <c r="K2046" s="4">
        <f t="shared" si="225"/>
        <v>46044.5</v>
      </c>
      <c r="AJ2046" s="1">
        <v>42635</v>
      </c>
      <c r="AL2046">
        <v>12.07</v>
      </c>
      <c r="AM2046" s="6">
        <f t="shared" si="226"/>
        <v>100000</v>
      </c>
      <c r="AN2046" s="2">
        <f t="shared" si="227"/>
        <v>0</v>
      </c>
    </row>
    <row r="2047" spans="4:40" x14ac:dyDescent="0.35">
      <c r="D2047" s="1">
        <v>42663</v>
      </c>
      <c r="E2047">
        <v>3.1598999999999999</v>
      </c>
      <c r="F2047" s="1">
        <v>42597</v>
      </c>
      <c r="G2047">
        <v>132.25</v>
      </c>
      <c r="H2047" s="4">
        <f t="shared" si="224"/>
        <v>417896.77499999997</v>
      </c>
      <c r="I2047" s="5">
        <v>42634</v>
      </c>
      <c r="J2047" s="4">
        <v>4585.18</v>
      </c>
      <c r="K2047" s="4">
        <f t="shared" si="225"/>
        <v>45851.8</v>
      </c>
      <c r="AJ2047" s="1">
        <v>42634</v>
      </c>
      <c r="AL2047">
        <v>12.22</v>
      </c>
      <c r="AM2047" s="6">
        <f t="shared" si="226"/>
        <v>100000</v>
      </c>
      <c r="AN2047" s="2">
        <f t="shared" si="227"/>
        <v>0</v>
      </c>
    </row>
    <row r="2048" spans="4:40" x14ac:dyDescent="0.35">
      <c r="D2048" s="1">
        <v>42662</v>
      </c>
      <c r="E2048">
        <v>3.1793999999999998</v>
      </c>
      <c r="F2048" s="1">
        <v>42594</v>
      </c>
      <c r="G2048">
        <v>132.60900000000001</v>
      </c>
      <c r="H2048" s="4">
        <f t="shared" si="224"/>
        <v>421617.05460000003</v>
      </c>
      <c r="I2048" s="5">
        <v>42633</v>
      </c>
      <c r="J2048" s="4">
        <v>4661.5200000000004</v>
      </c>
      <c r="K2048" s="4">
        <f t="shared" si="225"/>
        <v>46615.200000000004</v>
      </c>
      <c r="AJ2048" s="1">
        <v>42633</v>
      </c>
      <c r="AL2048">
        <v>12.45</v>
      </c>
      <c r="AM2048" s="6">
        <f t="shared" si="226"/>
        <v>100000</v>
      </c>
      <c r="AN2048" s="2">
        <f t="shared" si="227"/>
        <v>0</v>
      </c>
    </row>
    <row r="2049" spans="4:40" x14ac:dyDescent="0.35">
      <c r="D2049" s="1">
        <v>42661</v>
      </c>
      <c r="E2049">
        <v>3.1867999999999999</v>
      </c>
      <c r="F2049" s="1">
        <v>42593</v>
      </c>
      <c r="G2049">
        <v>132</v>
      </c>
      <c r="H2049" s="4">
        <f t="shared" si="224"/>
        <v>420657.6</v>
      </c>
      <c r="I2049" s="5">
        <v>42632</v>
      </c>
      <c r="J2049" s="4">
        <v>4687.2</v>
      </c>
      <c r="K2049" s="4">
        <f t="shared" si="225"/>
        <v>46872</v>
      </c>
      <c r="AJ2049" s="1">
        <v>42632</v>
      </c>
      <c r="AL2049">
        <v>12.48</v>
      </c>
      <c r="AM2049" s="6">
        <f t="shared" si="226"/>
        <v>100000</v>
      </c>
      <c r="AN2049" s="2">
        <f t="shared" si="227"/>
        <v>0</v>
      </c>
    </row>
    <row r="2050" spans="4:40" x14ac:dyDescent="0.35">
      <c r="D2050" s="1">
        <v>42660</v>
      </c>
      <c r="E2050">
        <v>3.1957</v>
      </c>
      <c r="F2050" s="1">
        <v>42592</v>
      </c>
      <c r="G2050">
        <v>132.71899999999999</v>
      </c>
      <c r="H2050" s="4">
        <f t="shared" si="224"/>
        <v>424130.10829999996</v>
      </c>
      <c r="I2050" s="5">
        <v>42629</v>
      </c>
      <c r="J2050" s="4">
        <v>4680.07</v>
      </c>
      <c r="K2050" s="4">
        <f t="shared" si="225"/>
        <v>46800.7</v>
      </c>
      <c r="AJ2050" s="1">
        <v>42629</v>
      </c>
      <c r="AL2050">
        <v>12.45</v>
      </c>
      <c r="AM2050" s="6">
        <f t="shared" si="226"/>
        <v>100000</v>
      </c>
      <c r="AN2050" s="2">
        <f t="shared" si="227"/>
        <v>0</v>
      </c>
    </row>
    <row r="2051" spans="4:40" x14ac:dyDescent="0.35">
      <c r="D2051" s="1">
        <v>42657</v>
      </c>
      <c r="E2051">
        <v>3.1858</v>
      </c>
      <c r="F2051" s="1">
        <v>42591</v>
      </c>
      <c r="G2051">
        <v>132.297</v>
      </c>
      <c r="H2051" s="4">
        <f t="shared" si="224"/>
        <v>421471.78259999998</v>
      </c>
      <c r="I2051" s="5">
        <v>42628</v>
      </c>
      <c r="J2051" s="4">
        <v>4737.1400000000003</v>
      </c>
      <c r="K2051" s="4">
        <f t="shared" si="225"/>
        <v>47371.4</v>
      </c>
      <c r="AJ2051" s="1">
        <v>42628</v>
      </c>
      <c r="AL2051">
        <v>12.52</v>
      </c>
      <c r="AM2051" s="6">
        <f t="shared" si="226"/>
        <v>100000</v>
      </c>
      <c r="AN2051" s="2">
        <f t="shared" si="227"/>
        <v>0</v>
      </c>
    </row>
    <row r="2052" spans="4:40" x14ac:dyDescent="0.35">
      <c r="D2052" s="1">
        <v>42656</v>
      </c>
      <c r="E2052">
        <v>3.2081</v>
      </c>
      <c r="F2052" s="1">
        <v>42587</v>
      </c>
      <c r="G2052">
        <v>132.01599999999999</v>
      </c>
      <c r="H2052" s="4">
        <f t="shared" ref="H2052:H2115" si="228">G2052*E2052*1000</f>
        <v>423520.52959999995</v>
      </c>
      <c r="I2052" s="5">
        <v>42627</v>
      </c>
      <c r="J2052" s="4">
        <v>4797.07</v>
      </c>
      <c r="K2052" s="4">
        <f t="shared" si="225"/>
        <v>47970.7</v>
      </c>
      <c r="AJ2052" s="1">
        <v>42627</v>
      </c>
      <c r="AL2052">
        <v>12.7</v>
      </c>
      <c r="AM2052" s="6">
        <f t="shared" si="226"/>
        <v>100000</v>
      </c>
      <c r="AN2052" s="2">
        <f t="shared" si="227"/>
        <v>0</v>
      </c>
    </row>
    <row r="2053" spans="4:40" x14ac:dyDescent="0.35">
      <c r="D2053" s="1">
        <v>42654</v>
      </c>
      <c r="E2053">
        <v>3.2130000000000001</v>
      </c>
      <c r="F2053" s="1">
        <v>42586</v>
      </c>
      <c r="G2053">
        <v>132.875</v>
      </c>
      <c r="H2053" s="4">
        <f t="shared" si="228"/>
        <v>426927.375</v>
      </c>
      <c r="I2053" s="5">
        <v>42626</v>
      </c>
      <c r="J2053" s="4">
        <v>4757.12</v>
      </c>
      <c r="K2053" s="4">
        <f t="shared" ref="K2053:K2116" si="229">J2053*10</f>
        <v>47571.199999999997</v>
      </c>
      <c r="AJ2053" s="1">
        <v>42626</v>
      </c>
      <c r="AL2053">
        <v>12.66</v>
      </c>
      <c r="AM2053" s="6">
        <f t="shared" ref="AM2053:AM2116" si="230">$Z$2/(1+AL2053/100)^(AK2053/252)</f>
        <v>100000</v>
      </c>
      <c r="AN2053" s="2">
        <f t="shared" ref="AN2053:AN2116" si="231">LOG(AM2053/AM2054)</f>
        <v>0</v>
      </c>
    </row>
    <row r="2054" spans="4:40" x14ac:dyDescent="0.35">
      <c r="D2054" s="1">
        <v>42653</v>
      </c>
      <c r="E2054">
        <v>3.2119</v>
      </c>
      <c r="F2054" s="1">
        <v>42584</v>
      </c>
      <c r="G2054">
        <v>132.35900000000001</v>
      </c>
      <c r="H2054" s="4">
        <f t="shared" si="228"/>
        <v>425123.87210000004</v>
      </c>
      <c r="I2054" s="5">
        <v>42625</v>
      </c>
      <c r="J2054" s="4">
        <v>4656.53</v>
      </c>
      <c r="K2054" s="4">
        <f t="shared" si="229"/>
        <v>46565.299999999996</v>
      </c>
      <c r="AJ2054" s="1">
        <v>42625</v>
      </c>
      <c r="AL2054">
        <v>12.39</v>
      </c>
      <c r="AM2054" s="6">
        <f t="shared" si="230"/>
        <v>100000</v>
      </c>
      <c r="AN2054" s="2">
        <f t="shared" si="231"/>
        <v>0</v>
      </c>
    </row>
    <row r="2055" spans="4:40" x14ac:dyDescent="0.35">
      <c r="D2055" s="1">
        <v>42650</v>
      </c>
      <c r="E2055">
        <v>3.2128000000000001</v>
      </c>
      <c r="F2055" s="1">
        <v>42580</v>
      </c>
      <c r="G2055">
        <v>133.09399999999999</v>
      </c>
      <c r="H2055" s="4">
        <f t="shared" si="228"/>
        <v>427604.4032</v>
      </c>
      <c r="I2055" s="5">
        <v>42622</v>
      </c>
      <c r="J2055" s="4">
        <v>4694.34</v>
      </c>
      <c r="K2055" s="4">
        <f t="shared" si="229"/>
        <v>46943.4</v>
      </c>
      <c r="AJ2055" s="1">
        <v>42622</v>
      </c>
      <c r="AL2055">
        <v>12.49</v>
      </c>
      <c r="AM2055" s="6">
        <f t="shared" si="230"/>
        <v>100000</v>
      </c>
      <c r="AN2055" s="2">
        <f t="shared" si="231"/>
        <v>0</v>
      </c>
    </row>
    <row r="2056" spans="4:40" x14ac:dyDescent="0.35">
      <c r="D2056" s="1">
        <v>42649</v>
      </c>
      <c r="E2056">
        <v>3.2303999999999999</v>
      </c>
      <c r="F2056" s="1">
        <v>42579</v>
      </c>
      <c r="G2056">
        <v>132.625</v>
      </c>
      <c r="H2056" s="4">
        <f t="shared" si="228"/>
        <v>428431.8</v>
      </c>
      <c r="I2056" s="5">
        <v>42621</v>
      </c>
      <c r="J2056" s="4">
        <v>4617.29</v>
      </c>
      <c r="K2056" s="4">
        <f t="shared" si="229"/>
        <v>46172.9</v>
      </c>
      <c r="AJ2056" s="1">
        <v>42621</v>
      </c>
      <c r="AL2056">
        <v>12.26</v>
      </c>
      <c r="AM2056" s="6">
        <f t="shared" si="230"/>
        <v>100000</v>
      </c>
      <c r="AN2056" s="2">
        <f t="shared" si="231"/>
        <v>0</v>
      </c>
    </row>
    <row r="2057" spans="4:40" x14ac:dyDescent="0.35">
      <c r="D2057" s="1">
        <v>42648</v>
      </c>
      <c r="E2057">
        <v>3.2353000000000001</v>
      </c>
      <c r="F2057" s="1">
        <v>42578</v>
      </c>
      <c r="G2057">
        <v>132.35900000000001</v>
      </c>
      <c r="H2057" s="4">
        <f t="shared" si="228"/>
        <v>428221.07270000002</v>
      </c>
      <c r="I2057" s="5">
        <v>42619</v>
      </c>
      <c r="J2057" s="4">
        <v>4591.6000000000004</v>
      </c>
      <c r="K2057" s="4">
        <f t="shared" si="229"/>
        <v>45916</v>
      </c>
      <c r="AJ2057" s="1">
        <v>42619</v>
      </c>
      <c r="AL2057">
        <v>12.21</v>
      </c>
      <c r="AM2057" s="6">
        <f t="shared" si="230"/>
        <v>100000</v>
      </c>
      <c r="AN2057" s="2">
        <f t="shared" si="231"/>
        <v>0</v>
      </c>
    </row>
    <row r="2058" spans="4:40" x14ac:dyDescent="0.35">
      <c r="D2058" s="1">
        <v>42647</v>
      </c>
      <c r="E2058">
        <v>3.2197</v>
      </c>
      <c r="F2058" s="1">
        <v>42577</v>
      </c>
      <c r="G2058">
        <v>132.03100000000001</v>
      </c>
      <c r="H2058" s="4">
        <f t="shared" si="228"/>
        <v>425100.21070000005</v>
      </c>
      <c r="I2058" s="5">
        <v>42618</v>
      </c>
      <c r="J2058" s="4">
        <v>4718.59</v>
      </c>
      <c r="K2058" s="4">
        <f t="shared" si="229"/>
        <v>47185.9</v>
      </c>
      <c r="AJ2058" s="1">
        <v>42618</v>
      </c>
      <c r="AL2058">
        <v>12.24</v>
      </c>
      <c r="AM2058" s="6">
        <f t="shared" si="230"/>
        <v>100000</v>
      </c>
      <c r="AN2058" s="2">
        <f t="shared" si="231"/>
        <v>0</v>
      </c>
    </row>
    <row r="2059" spans="4:40" x14ac:dyDescent="0.35">
      <c r="D2059" s="1">
        <v>42646</v>
      </c>
      <c r="E2059">
        <v>3.2332000000000001</v>
      </c>
      <c r="F2059" s="1">
        <v>42573</v>
      </c>
      <c r="G2059">
        <v>132.297</v>
      </c>
      <c r="H2059" s="4">
        <f t="shared" si="228"/>
        <v>427742.66039999999</v>
      </c>
      <c r="I2059" s="5">
        <v>42615</v>
      </c>
      <c r="J2059" s="4">
        <v>4680.07</v>
      </c>
      <c r="K2059" s="4">
        <f t="shared" si="229"/>
        <v>46800.7</v>
      </c>
      <c r="AJ2059" s="1">
        <v>42615</v>
      </c>
      <c r="AL2059">
        <v>12.2</v>
      </c>
      <c r="AM2059" s="6">
        <f t="shared" si="230"/>
        <v>100000</v>
      </c>
      <c r="AN2059" s="2">
        <f t="shared" si="231"/>
        <v>0</v>
      </c>
    </row>
    <row r="2060" spans="4:40" x14ac:dyDescent="0.35">
      <c r="D2060" s="1">
        <v>42643</v>
      </c>
      <c r="E2060">
        <v>3.2456</v>
      </c>
      <c r="F2060" s="1">
        <v>42572</v>
      </c>
      <c r="G2060">
        <v>132.15600000000001</v>
      </c>
      <c r="H2060" s="4">
        <f t="shared" si="228"/>
        <v>428925.51360000006</v>
      </c>
      <c r="I2060" s="5">
        <v>42614</v>
      </c>
      <c r="J2060" s="4">
        <v>4688.63</v>
      </c>
      <c r="K2060" s="4">
        <f t="shared" si="229"/>
        <v>46886.3</v>
      </c>
      <c r="AJ2060" s="1">
        <v>42614</v>
      </c>
      <c r="AL2060">
        <v>12.26</v>
      </c>
      <c r="AM2060" s="6">
        <f t="shared" si="230"/>
        <v>100000</v>
      </c>
      <c r="AN2060" s="2">
        <f t="shared" si="231"/>
        <v>0</v>
      </c>
    </row>
    <row r="2061" spans="4:40" x14ac:dyDescent="0.35">
      <c r="D2061" s="1">
        <v>42642</v>
      </c>
      <c r="E2061">
        <v>3.2229000000000001</v>
      </c>
      <c r="F2061" s="1">
        <v>42571</v>
      </c>
      <c r="G2061">
        <v>131.875</v>
      </c>
      <c r="H2061" s="4">
        <f t="shared" si="228"/>
        <v>425019.9375</v>
      </c>
      <c r="I2061" s="5">
        <v>42613</v>
      </c>
      <c r="J2061" s="4">
        <v>4642.97</v>
      </c>
      <c r="K2061" s="4">
        <f t="shared" si="229"/>
        <v>46429.700000000004</v>
      </c>
      <c r="AJ2061" s="1">
        <v>42613</v>
      </c>
      <c r="AL2061">
        <v>12.3</v>
      </c>
      <c r="AM2061" s="6">
        <f t="shared" si="230"/>
        <v>100000</v>
      </c>
      <c r="AN2061" s="2">
        <f t="shared" si="231"/>
        <v>0</v>
      </c>
    </row>
    <row r="2062" spans="4:40" x14ac:dyDescent="0.35">
      <c r="D2062" s="1">
        <v>42641</v>
      </c>
      <c r="E2062">
        <v>3.2469999999999999</v>
      </c>
      <c r="F2062" s="1">
        <v>42569</v>
      </c>
      <c r="G2062">
        <v>131.875</v>
      </c>
      <c r="H2062" s="4">
        <f t="shared" si="228"/>
        <v>428198.125</v>
      </c>
      <c r="I2062" s="5">
        <v>42612</v>
      </c>
      <c r="J2062" s="4">
        <v>4672.93</v>
      </c>
      <c r="K2062" s="4">
        <f t="shared" si="229"/>
        <v>46729.3</v>
      </c>
      <c r="AJ2062" s="1">
        <v>42612</v>
      </c>
      <c r="AL2062">
        <v>12.39</v>
      </c>
      <c r="AM2062" s="6">
        <f t="shared" si="230"/>
        <v>100000</v>
      </c>
      <c r="AN2062" s="2">
        <f t="shared" si="231"/>
        <v>0</v>
      </c>
    </row>
    <row r="2063" spans="4:40" x14ac:dyDescent="0.35">
      <c r="D2063" s="1">
        <v>42640</v>
      </c>
      <c r="E2063">
        <v>3.2351999999999999</v>
      </c>
      <c r="F2063" s="1">
        <v>42566</v>
      </c>
      <c r="G2063">
        <v>132.21899999999999</v>
      </c>
      <c r="H2063" s="4">
        <f t="shared" si="228"/>
        <v>427754.90879999998</v>
      </c>
      <c r="I2063" s="5">
        <v>42611</v>
      </c>
      <c r="J2063" s="4">
        <v>4659.96</v>
      </c>
      <c r="K2063" s="4">
        <f t="shared" si="229"/>
        <v>46599.6</v>
      </c>
      <c r="AJ2063" s="1">
        <v>42611</v>
      </c>
      <c r="AL2063">
        <v>12.27</v>
      </c>
      <c r="AM2063" s="6">
        <f t="shared" si="230"/>
        <v>100000</v>
      </c>
      <c r="AN2063" s="2">
        <f t="shared" si="231"/>
        <v>0</v>
      </c>
    </row>
    <row r="2064" spans="4:40" x14ac:dyDescent="0.35">
      <c r="D2064" s="1">
        <v>42639</v>
      </c>
      <c r="E2064">
        <v>3.2393999999999998</v>
      </c>
      <c r="F2064" s="1">
        <v>42565</v>
      </c>
      <c r="G2064">
        <v>132.328</v>
      </c>
      <c r="H2064" s="4">
        <f t="shared" si="228"/>
        <v>428663.32319999998</v>
      </c>
      <c r="I2064" s="5">
        <v>42608</v>
      </c>
      <c r="J2064" s="4">
        <v>4706.09</v>
      </c>
      <c r="K2064" s="4">
        <f t="shared" si="229"/>
        <v>47060.9</v>
      </c>
      <c r="AJ2064" s="1">
        <v>42608</v>
      </c>
      <c r="AL2064">
        <v>12.38</v>
      </c>
      <c r="AM2064" s="6">
        <f t="shared" si="230"/>
        <v>100000</v>
      </c>
      <c r="AN2064" s="2">
        <f t="shared" si="231"/>
        <v>0</v>
      </c>
    </row>
    <row r="2065" spans="4:40" x14ac:dyDescent="0.35">
      <c r="D2065" s="1">
        <v>42636</v>
      </c>
      <c r="E2065">
        <v>3.2235999999999998</v>
      </c>
      <c r="F2065" s="1">
        <v>42564</v>
      </c>
      <c r="G2065">
        <v>132.67099999999999</v>
      </c>
      <c r="H2065" s="4">
        <f t="shared" si="228"/>
        <v>427678.23559999996</v>
      </c>
      <c r="I2065" s="5">
        <v>42607</v>
      </c>
      <c r="J2065" s="4">
        <v>4668.6099999999997</v>
      </c>
      <c r="K2065" s="4">
        <f t="shared" si="229"/>
        <v>46686.1</v>
      </c>
      <c r="AJ2065" s="1">
        <v>42607</v>
      </c>
      <c r="AL2065">
        <v>12.2</v>
      </c>
      <c r="AM2065" s="6">
        <f t="shared" si="230"/>
        <v>100000</v>
      </c>
      <c r="AN2065" s="2">
        <f t="shared" si="231"/>
        <v>0</v>
      </c>
    </row>
    <row r="2066" spans="4:40" x14ac:dyDescent="0.35">
      <c r="D2066" s="1">
        <v>42635</v>
      </c>
      <c r="E2066">
        <v>3.2008999999999999</v>
      </c>
      <c r="F2066" s="1">
        <v>42563</v>
      </c>
      <c r="G2066">
        <v>132.578</v>
      </c>
      <c r="H2066" s="4">
        <f t="shared" si="228"/>
        <v>424368.92019999999</v>
      </c>
      <c r="I2066" s="5">
        <v>42606</v>
      </c>
      <c r="J2066" s="4">
        <v>4659.24</v>
      </c>
      <c r="K2066" s="4">
        <f t="shared" si="229"/>
        <v>46592.399999999994</v>
      </c>
      <c r="AJ2066" s="1">
        <v>42606</v>
      </c>
      <c r="AL2066">
        <v>12.22</v>
      </c>
      <c r="AM2066" s="6">
        <f t="shared" si="230"/>
        <v>100000</v>
      </c>
      <c r="AN2066" s="2">
        <f t="shared" si="231"/>
        <v>0</v>
      </c>
    </row>
    <row r="2067" spans="4:40" x14ac:dyDescent="0.35">
      <c r="D2067" s="1">
        <v>42634</v>
      </c>
      <c r="E2067">
        <v>3.2402000000000002</v>
      </c>
      <c r="F2067" s="1">
        <v>42562</v>
      </c>
      <c r="G2067">
        <v>133.21899999999999</v>
      </c>
      <c r="H2067" s="4">
        <f t="shared" si="228"/>
        <v>431656.20380000002</v>
      </c>
      <c r="I2067" s="5">
        <v>42605</v>
      </c>
      <c r="J2067" s="4">
        <v>4676.54</v>
      </c>
      <c r="K2067" s="4">
        <f t="shared" si="229"/>
        <v>46765.4</v>
      </c>
      <c r="AJ2067" s="1">
        <v>42605</v>
      </c>
      <c r="AL2067">
        <v>12.2</v>
      </c>
      <c r="AM2067" s="6">
        <f t="shared" si="230"/>
        <v>100000</v>
      </c>
      <c r="AN2067" s="2">
        <f t="shared" si="231"/>
        <v>0</v>
      </c>
    </row>
    <row r="2068" spans="4:40" x14ac:dyDescent="0.35">
      <c r="D2068" s="1">
        <v>42633</v>
      </c>
      <c r="E2068">
        <v>3.2534000000000001</v>
      </c>
      <c r="F2068" s="1">
        <v>42559</v>
      </c>
      <c r="G2068">
        <v>133.81299999999999</v>
      </c>
      <c r="H2068" s="4">
        <f t="shared" si="228"/>
        <v>435347.21419999999</v>
      </c>
      <c r="I2068" s="5">
        <v>42604</v>
      </c>
      <c r="J2068" s="4">
        <v>4630.41</v>
      </c>
      <c r="K2068" s="4">
        <f t="shared" si="229"/>
        <v>46304.1</v>
      </c>
      <c r="AJ2068" s="1">
        <v>42604</v>
      </c>
      <c r="AL2068">
        <v>12.08</v>
      </c>
      <c r="AM2068" s="6">
        <f t="shared" si="230"/>
        <v>100000</v>
      </c>
      <c r="AN2068" s="2">
        <f t="shared" si="231"/>
        <v>0</v>
      </c>
    </row>
    <row r="2069" spans="4:40" x14ac:dyDescent="0.35">
      <c r="D2069" s="1">
        <v>42632</v>
      </c>
      <c r="E2069">
        <v>3.2629999999999999</v>
      </c>
      <c r="F2069" s="1">
        <v>42558</v>
      </c>
      <c r="G2069">
        <v>133.578</v>
      </c>
      <c r="H2069" s="4">
        <f t="shared" si="228"/>
        <v>435865.01399999997</v>
      </c>
      <c r="I2069" s="5">
        <v>42601</v>
      </c>
      <c r="J2069" s="4">
        <v>4634.74</v>
      </c>
      <c r="K2069" s="4">
        <f t="shared" si="229"/>
        <v>46347.399999999994</v>
      </c>
      <c r="AJ2069" s="1">
        <v>42601</v>
      </c>
      <c r="AL2069">
        <v>12.05</v>
      </c>
      <c r="AM2069" s="6">
        <f t="shared" si="230"/>
        <v>100000</v>
      </c>
      <c r="AN2069" s="2">
        <f t="shared" si="231"/>
        <v>0</v>
      </c>
    </row>
    <row r="2070" spans="4:40" x14ac:dyDescent="0.35">
      <c r="D2070" s="1">
        <v>42629</v>
      </c>
      <c r="E2070">
        <v>3.2997999999999998</v>
      </c>
      <c r="F2070" s="1">
        <v>42556</v>
      </c>
      <c r="G2070">
        <v>133.96899999999999</v>
      </c>
      <c r="H2070" s="4">
        <f t="shared" si="228"/>
        <v>442070.90619999997</v>
      </c>
      <c r="I2070" s="5">
        <v>42600</v>
      </c>
      <c r="J2070" s="4">
        <v>4688.79</v>
      </c>
      <c r="K2070" s="4">
        <f t="shared" si="229"/>
        <v>46887.9</v>
      </c>
      <c r="AJ2070" s="1">
        <v>42600</v>
      </c>
      <c r="AL2070">
        <v>12.13</v>
      </c>
      <c r="AM2070" s="6">
        <f t="shared" si="230"/>
        <v>100000</v>
      </c>
      <c r="AN2070" s="2">
        <f t="shared" si="231"/>
        <v>0</v>
      </c>
    </row>
    <row r="2071" spans="4:40" x14ac:dyDescent="0.35">
      <c r="D2071" s="1">
        <v>42628</v>
      </c>
      <c r="E2071">
        <v>3.3319999999999999</v>
      </c>
      <c r="F2071" s="1">
        <v>42552</v>
      </c>
      <c r="G2071">
        <v>133.34399999999999</v>
      </c>
      <c r="H2071" s="4">
        <f t="shared" si="228"/>
        <v>444302.20799999993</v>
      </c>
      <c r="I2071" s="5">
        <v>42599</v>
      </c>
      <c r="J2071" s="4">
        <v>4648.43</v>
      </c>
      <c r="K2071" s="4">
        <f t="shared" si="229"/>
        <v>46484.3</v>
      </c>
      <c r="AJ2071" s="1">
        <v>42599</v>
      </c>
      <c r="AL2071">
        <v>12.03</v>
      </c>
      <c r="AM2071" s="6">
        <f t="shared" si="230"/>
        <v>100000</v>
      </c>
      <c r="AN2071" s="2">
        <f t="shared" si="231"/>
        <v>0</v>
      </c>
    </row>
    <row r="2072" spans="4:40" x14ac:dyDescent="0.35">
      <c r="D2072" s="1">
        <v>42627</v>
      </c>
      <c r="E2072">
        <v>3.3256000000000001</v>
      </c>
      <c r="F2072" s="1">
        <v>42550</v>
      </c>
      <c r="G2072">
        <v>132.84399999999999</v>
      </c>
      <c r="H2072" s="4">
        <f t="shared" si="228"/>
        <v>441786.00640000001</v>
      </c>
      <c r="I2072" s="5">
        <v>42598</v>
      </c>
      <c r="J2072" s="4">
        <v>4635.46</v>
      </c>
      <c r="K2072" s="4">
        <f t="shared" si="229"/>
        <v>46354.6</v>
      </c>
      <c r="AJ2072" s="1">
        <v>42598</v>
      </c>
      <c r="AL2072">
        <v>12.07</v>
      </c>
      <c r="AM2072" s="6">
        <f t="shared" si="230"/>
        <v>100000</v>
      </c>
      <c r="AN2072" s="2">
        <f t="shared" si="231"/>
        <v>0</v>
      </c>
    </row>
    <row r="2073" spans="4:40" x14ac:dyDescent="0.35">
      <c r="D2073" s="1">
        <v>42626</v>
      </c>
      <c r="E2073">
        <v>3.2966000000000002</v>
      </c>
      <c r="F2073" s="1">
        <v>42549</v>
      </c>
      <c r="G2073">
        <v>133.31299999999999</v>
      </c>
      <c r="H2073" s="4">
        <f t="shared" si="228"/>
        <v>439479.63579999999</v>
      </c>
      <c r="I2073" s="5">
        <v>42597</v>
      </c>
      <c r="J2073" s="4">
        <v>4616.72</v>
      </c>
      <c r="K2073" s="4">
        <f t="shared" si="229"/>
        <v>46167.200000000004</v>
      </c>
      <c r="AJ2073" s="1">
        <v>42597</v>
      </c>
      <c r="AL2073">
        <v>12.07</v>
      </c>
      <c r="AM2073" s="6">
        <f t="shared" si="230"/>
        <v>100000</v>
      </c>
      <c r="AN2073" s="2">
        <f t="shared" si="231"/>
        <v>0</v>
      </c>
    </row>
    <row r="2074" spans="4:40" x14ac:dyDescent="0.35">
      <c r="D2074" s="1">
        <v>42625</v>
      </c>
      <c r="E2074">
        <v>3.2848000000000002</v>
      </c>
      <c r="F2074" s="1">
        <v>42548</v>
      </c>
      <c r="G2074">
        <v>133.22</v>
      </c>
      <c r="H2074" s="4">
        <f t="shared" si="228"/>
        <v>437601.05600000004</v>
      </c>
      <c r="I2074" s="5">
        <v>42594</v>
      </c>
      <c r="J2074" s="4">
        <v>4628.25</v>
      </c>
      <c r="K2074" s="4">
        <f t="shared" si="229"/>
        <v>46282.5</v>
      </c>
      <c r="AJ2074" s="1">
        <v>42594</v>
      </c>
      <c r="AL2074">
        <v>12.16</v>
      </c>
      <c r="AM2074" s="6">
        <f t="shared" si="230"/>
        <v>100000</v>
      </c>
      <c r="AN2074" s="2">
        <f t="shared" si="231"/>
        <v>0</v>
      </c>
    </row>
    <row r="2075" spans="4:40" x14ac:dyDescent="0.35">
      <c r="D2075" s="1">
        <v>42622</v>
      </c>
      <c r="E2075">
        <v>3.2631999999999999</v>
      </c>
      <c r="F2075" s="1">
        <v>42545</v>
      </c>
      <c r="G2075">
        <v>132.297</v>
      </c>
      <c r="H2075" s="4">
        <f t="shared" si="228"/>
        <v>431711.57039999997</v>
      </c>
      <c r="I2075" s="5">
        <v>42593</v>
      </c>
      <c r="J2075" s="4">
        <v>4563.3900000000003</v>
      </c>
      <c r="K2075" s="4">
        <f t="shared" si="229"/>
        <v>45633.9</v>
      </c>
      <c r="AJ2075" s="1">
        <v>42593</v>
      </c>
      <c r="AL2075">
        <v>12.11</v>
      </c>
      <c r="AM2075" s="6">
        <f t="shared" si="230"/>
        <v>100000</v>
      </c>
      <c r="AN2075" s="2">
        <f t="shared" si="231"/>
        <v>0</v>
      </c>
    </row>
    <row r="2076" spans="4:40" x14ac:dyDescent="0.35">
      <c r="D2076" s="1">
        <v>42621</v>
      </c>
      <c r="E2076">
        <v>3.1928000000000001</v>
      </c>
      <c r="F2076" s="1">
        <v>42544</v>
      </c>
      <c r="G2076">
        <v>130.93799999999999</v>
      </c>
      <c r="H2076" s="4">
        <f t="shared" si="228"/>
        <v>418058.84639999998</v>
      </c>
      <c r="I2076" s="5">
        <v>42592</v>
      </c>
      <c r="J2076" s="4">
        <v>4542.49</v>
      </c>
      <c r="K2076" s="4">
        <f t="shared" si="229"/>
        <v>45424.899999999994</v>
      </c>
      <c r="AJ2076" s="1">
        <v>42592</v>
      </c>
      <c r="AL2076">
        <v>12.1</v>
      </c>
      <c r="AM2076" s="6">
        <f t="shared" si="230"/>
        <v>100000</v>
      </c>
      <c r="AN2076" s="2">
        <f t="shared" si="231"/>
        <v>0</v>
      </c>
    </row>
    <row r="2077" spans="4:40" x14ac:dyDescent="0.35">
      <c r="D2077" s="1">
        <v>42619</v>
      </c>
      <c r="E2077">
        <v>3.2446000000000002</v>
      </c>
      <c r="F2077" s="1">
        <v>42543</v>
      </c>
      <c r="G2077">
        <v>131.422</v>
      </c>
      <c r="H2077" s="4">
        <f t="shared" si="228"/>
        <v>426411.82120000001</v>
      </c>
      <c r="I2077" s="5">
        <v>42591</v>
      </c>
      <c r="J2077" s="4">
        <v>4564.83</v>
      </c>
      <c r="K2077" s="4">
        <f t="shared" si="229"/>
        <v>45648.3</v>
      </c>
      <c r="AJ2077" s="1">
        <v>42591</v>
      </c>
      <c r="AL2077">
        <v>12.02</v>
      </c>
      <c r="AM2077" s="6">
        <f t="shared" si="230"/>
        <v>100000</v>
      </c>
      <c r="AN2077" s="2">
        <f t="shared" si="231"/>
        <v>0</v>
      </c>
    </row>
    <row r="2078" spans="4:40" x14ac:dyDescent="0.35">
      <c r="D2078" s="1">
        <v>42618</v>
      </c>
      <c r="E2078">
        <v>3.2715000000000001</v>
      </c>
      <c r="F2078" s="1">
        <v>42538</v>
      </c>
      <c r="G2078">
        <v>131.953</v>
      </c>
      <c r="H2078" s="4">
        <f t="shared" si="228"/>
        <v>431684.23950000003</v>
      </c>
      <c r="I2078" s="5">
        <v>42590</v>
      </c>
      <c r="J2078" s="4">
        <v>4608.79</v>
      </c>
      <c r="K2078" s="4">
        <f t="shared" si="229"/>
        <v>46087.9</v>
      </c>
      <c r="AJ2078" s="1">
        <v>42590</v>
      </c>
      <c r="AL2078">
        <v>12.15</v>
      </c>
      <c r="AM2078" s="6">
        <f t="shared" si="230"/>
        <v>100000</v>
      </c>
      <c r="AN2078" s="2">
        <f t="shared" si="231"/>
        <v>0</v>
      </c>
    </row>
    <row r="2079" spans="4:40" x14ac:dyDescent="0.35">
      <c r="D2079" s="1">
        <v>42615</v>
      </c>
      <c r="E2079">
        <v>3.2425000000000002</v>
      </c>
      <c r="F2079" s="1">
        <v>42537</v>
      </c>
      <c r="G2079">
        <v>132.078</v>
      </c>
      <c r="H2079" s="4">
        <f t="shared" si="228"/>
        <v>428262.91500000004</v>
      </c>
      <c r="I2079" s="5">
        <v>42587</v>
      </c>
      <c r="J2079" s="4">
        <v>4597.9799999999996</v>
      </c>
      <c r="K2079" s="4">
        <f t="shared" si="229"/>
        <v>45979.799999999996</v>
      </c>
      <c r="AJ2079" s="1">
        <v>42587</v>
      </c>
      <c r="AL2079">
        <v>12.03</v>
      </c>
      <c r="AM2079" s="6">
        <f t="shared" si="230"/>
        <v>100000</v>
      </c>
      <c r="AN2079" s="2">
        <f t="shared" si="231"/>
        <v>0</v>
      </c>
    </row>
    <row r="2080" spans="4:40" x14ac:dyDescent="0.35">
      <c r="D2080" s="1">
        <v>42614</v>
      </c>
      <c r="E2080">
        <v>3.2465999999999999</v>
      </c>
      <c r="F2080" s="1">
        <v>42536</v>
      </c>
      <c r="G2080">
        <v>132.23400000000001</v>
      </c>
      <c r="H2080" s="4">
        <f t="shared" si="228"/>
        <v>429310.9044</v>
      </c>
      <c r="I2080" s="5">
        <v>42586</v>
      </c>
      <c r="J2080" s="4">
        <v>4641.22</v>
      </c>
      <c r="K2080" s="4">
        <f t="shared" si="229"/>
        <v>46412.200000000004</v>
      </c>
      <c r="AJ2080" s="1">
        <v>42586</v>
      </c>
      <c r="AL2080">
        <v>12.15</v>
      </c>
      <c r="AM2080" s="6">
        <f t="shared" si="230"/>
        <v>100000</v>
      </c>
      <c r="AN2080" s="2">
        <f t="shared" si="231"/>
        <v>0</v>
      </c>
    </row>
    <row r="2081" spans="4:40" x14ac:dyDescent="0.35">
      <c r="D2081" s="1">
        <v>42613</v>
      </c>
      <c r="E2081">
        <v>3.2397</v>
      </c>
      <c r="F2081" s="1">
        <v>42535</v>
      </c>
      <c r="G2081">
        <v>131.64099999999999</v>
      </c>
      <c r="H2081" s="4">
        <f t="shared" si="228"/>
        <v>426477.34769999998</v>
      </c>
      <c r="I2081" s="5">
        <v>42585</v>
      </c>
      <c r="J2081" s="4">
        <v>4714.7299999999996</v>
      </c>
      <c r="K2081" s="4">
        <f t="shared" si="229"/>
        <v>47147.299999999996</v>
      </c>
      <c r="AJ2081" s="1">
        <v>42585</v>
      </c>
      <c r="AL2081">
        <v>12.23</v>
      </c>
      <c r="AM2081" s="6">
        <f t="shared" si="230"/>
        <v>100000</v>
      </c>
      <c r="AN2081" s="2">
        <f t="shared" si="231"/>
        <v>0</v>
      </c>
    </row>
    <row r="2082" spans="4:40" x14ac:dyDescent="0.35">
      <c r="D2082" s="1">
        <v>42612</v>
      </c>
      <c r="E2082">
        <v>3.2519</v>
      </c>
      <c r="F2082" s="1">
        <v>42534</v>
      </c>
      <c r="G2082">
        <v>131.68799999999999</v>
      </c>
      <c r="H2082" s="4">
        <f t="shared" si="228"/>
        <v>428236.20719999995</v>
      </c>
      <c r="I2082" s="5">
        <v>42584</v>
      </c>
      <c r="J2082" s="4">
        <v>4742.12</v>
      </c>
      <c r="K2082" s="4">
        <f t="shared" si="229"/>
        <v>47421.2</v>
      </c>
      <c r="AJ2082" s="1">
        <v>42584</v>
      </c>
      <c r="AL2082">
        <v>12.2</v>
      </c>
      <c r="AM2082" s="6">
        <f t="shared" si="230"/>
        <v>100000</v>
      </c>
      <c r="AN2082" s="2">
        <f t="shared" si="231"/>
        <v>0</v>
      </c>
    </row>
    <row r="2083" spans="4:40" x14ac:dyDescent="0.35">
      <c r="D2083" s="1">
        <v>42611</v>
      </c>
      <c r="E2083">
        <v>3.2606999999999999</v>
      </c>
      <c r="F2083" s="1">
        <v>42531</v>
      </c>
      <c r="G2083">
        <v>131.59399999999999</v>
      </c>
      <c r="H2083" s="4">
        <f t="shared" si="228"/>
        <v>429088.55579999997</v>
      </c>
      <c r="I2083" s="5">
        <v>42583</v>
      </c>
      <c r="J2083" s="4">
        <v>4754.37</v>
      </c>
      <c r="K2083" s="4">
        <f t="shared" si="229"/>
        <v>47543.7</v>
      </c>
      <c r="AJ2083" s="1">
        <v>42583</v>
      </c>
      <c r="AL2083">
        <v>12.06</v>
      </c>
      <c r="AM2083" s="6">
        <f t="shared" si="230"/>
        <v>100000</v>
      </c>
      <c r="AN2083" s="2">
        <f t="shared" si="231"/>
        <v>0</v>
      </c>
    </row>
    <row r="2084" spans="4:40" x14ac:dyDescent="0.35">
      <c r="D2084" s="1">
        <v>42608</v>
      </c>
      <c r="E2084">
        <v>3.2147000000000001</v>
      </c>
      <c r="F2084" s="1">
        <v>42530</v>
      </c>
      <c r="G2084">
        <v>131.047</v>
      </c>
      <c r="H2084" s="4">
        <f t="shared" si="228"/>
        <v>421276.79089999996</v>
      </c>
      <c r="I2084" s="5">
        <v>42580</v>
      </c>
      <c r="J2084" s="4">
        <v>4729.87</v>
      </c>
      <c r="K2084" s="4">
        <f t="shared" si="229"/>
        <v>47298.7</v>
      </c>
      <c r="AJ2084" s="1">
        <v>42580</v>
      </c>
      <c r="AL2084">
        <v>12.09</v>
      </c>
      <c r="AM2084" s="6">
        <f t="shared" si="230"/>
        <v>100000</v>
      </c>
      <c r="AN2084" s="2">
        <f t="shared" si="231"/>
        <v>0</v>
      </c>
    </row>
    <row r="2085" spans="4:40" x14ac:dyDescent="0.35">
      <c r="D2085" s="1">
        <v>42607</v>
      </c>
      <c r="E2085">
        <v>3.2313000000000001</v>
      </c>
      <c r="F2085" s="1">
        <v>42529</v>
      </c>
      <c r="G2085">
        <v>130.93799999999999</v>
      </c>
      <c r="H2085" s="4">
        <f t="shared" si="228"/>
        <v>423099.95939999999</v>
      </c>
      <c r="I2085" s="5">
        <v>42579</v>
      </c>
      <c r="J2085" s="4">
        <v>4789.6899999999996</v>
      </c>
      <c r="K2085" s="4">
        <f t="shared" si="229"/>
        <v>47896.899999999994</v>
      </c>
      <c r="AJ2085" s="1">
        <v>42579</v>
      </c>
      <c r="AL2085">
        <v>12.16</v>
      </c>
      <c r="AM2085" s="6">
        <f t="shared" si="230"/>
        <v>100000</v>
      </c>
      <c r="AN2085" s="2">
        <f t="shared" si="231"/>
        <v>0</v>
      </c>
    </row>
    <row r="2086" spans="4:40" x14ac:dyDescent="0.35">
      <c r="D2086" s="1">
        <v>42606</v>
      </c>
      <c r="E2086">
        <v>3.2366000000000001</v>
      </c>
      <c r="F2086" s="1">
        <v>42527</v>
      </c>
      <c r="G2086">
        <v>130.68799999999999</v>
      </c>
      <c r="H2086" s="4">
        <f t="shared" si="228"/>
        <v>422984.78079999995</v>
      </c>
      <c r="I2086" s="5">
        <v>42578</v>
      </c>
      <c r="J2086" s="4">
        <v>4747.4799999999996</v>
      </c>
      <c r="K2086" s="4">
        <f t="shared" si="229"/>
        <v>47474.799999999996</v>
      </c>
      <c r="AJ2086" s="1">
        <v>42578</v>
      </c>
      <c r="AL2086">
        <v>12.18</v>
      </c>
      <c r="AM2086" s="6">
        <f t="shared" si="230"/>
        <v>100000</v>
      </c>
      <c r="AN2086" s="2">
        <f t="shared" si="231"/>
        <v>0</v>
      </c>
    </row>
    <row r="2087" spans="4:40" x14ac:dyDescent="0.35">
      <c r="D2087" s="1">
        <v>42605</v>
      </c>
      <c r="E2087">
        <v>3.2046999999999999</v>
      </c>
      <c r="F2087" s="1">
        <v>42524</v>
      </c>
      <c r="G2087">
        <v>130.85900000000001</v>
      </c>
      <c r="H2087" s="4">
        <f t="shared" si="228"/>
        <v>419363.83730000001</v>
      </c>
      <c r="I2087" s="5">
        <v>42577</v>
      </c>
      <c r="J2087" s="4">
        <v>4775.13</v>
      </c>
      <c r="K2087" s="4">
        <f t="shared" si="229"/>
        <v>47751.3</v>
      </c>
      <c r="AJ2087" s="1">
        <v>42577</v>
      </c>
      <c r="AL2087">
        <v>12.21</v>
      </c>
      <c r="AM2087" s="6">
        <f t="shared" si="230"/>
        <v>100000</v>
      </c>
      <c r="AN2087" s="2">
        <f t="shared" si="231"/>
        <v>0</v>
      </c>
    </row>
    <row r="2088" spans="4:40" x14ac:dyDescent="0.35">
      <c r="D2088" s="1">
        <v>42604</v>
      </c>
      <c r="E2088">
        <v>3.2157</v>
      </c>
      <c r="F2088" s="1">
        <v>42523</v>
      </c>
      <c r="G2088">
        <v>129.89099999999999</v>
      </c>
      <c r="H2088" s="4">
        <f t="shared" si="228"/>
        <v>417690.48869999993</v>
      </c>
      <c r="I2088" s="5">
        <v>42576</v>
      </c>
      <c r="J2088" s="4">
        <v>4796.96</v>
      </c>
      <c r="K2088" s="4">
        <f t="shared" si="229"/>
        <v>47969.599999999999</v>
      </c>
      <c r="AJ2088" s="1">
        <v>42576</v>
      </c>
      <c r="AL2088">
        <v>12.23</v>
      </c>
      <c r="AM2088" s="6">
        <f t="shared" si="230"/>
        <v>100000</v>
      </c>
      <c r="AN2088" s="2">
        <f t="shared" si="231"/>
        <v>0</v>
      </c>
    </row>
    <row r="2089" spans="4:40" x14ac:dyDescent="0.35">
      <c r="D2089" s="1">
        <v>42601</v>
      </c>
      <c r="E2089">
        <v>3.2261000000000002</v>
      </c>
      <c r="F2089" s="1">
        <v>42522</v>
      </c>
      <c r="G2089">
        <v>129.65600000000001</v>
      </c>
      <c r="H2089" s="4">
        <f t="shared" si="228"/>
        <v>418283.22160000005</v>
      </c>
      <c r="I2089" s="5">
        <v>42573</v>
      </c>
      <c r="J2089" s="4">
        <v>4751.8500000000004</v>
      </c>
      <c r="K2089" s="4">
        <f t="shared" si="229"/>
        <v>47518.5</v>
      </c>
      <c r="AJ2089" s="1">
        <v>42573</v>
      </c>
      <c r="AL2089">
        <v>12.21</v>
      </c>
      <c r="AM2089" s="6">
        <f t="shared" si="230"/>
        <v>100000</v>
      </c>
      <c r="AN2089" s="2">
        <f t="shared" si="231"/>
        <v>0</v>
      </c>
    </row>
    <row r="2090" spans="4:40" x14ac:dyDescent="0.35">
      <c r="D2090" s="1">
        <v>42600</v>
      </c>
      <c r="E2090">
        <v>3.2208999999999999</v>
      </c>
      <c r="F2090" s="1">
        <v>42521</v>
      </c>
      <c r="G2090">
        <v>129.65600000000001</v>
      </c>
      <c r="H2090" s="4">
        <f t="shared" si="228"/>
        <v>417609.01039999997</v>
      </c>
      <c r="I2090" s="5">
        <v>42572</v>
      </c>
      <c r="J2090" s="4">
        <v>4776.59</v>
      </c>
      <c r="K2090" s="4">
        <f t="shared" si="229"/>
        <v>47765.9</v>
      </c>
      <c r="AJ2090" s="1">
        <v>42572</v>
      </c>
      <c r="AL2090">
        <v>12.09</v>
      </c>
      <c r="AM2090" s="6">
        <f t="shared" si="230"/>
        <v>100000</v>
      </c>
      <c r="AN2090" s="2">
        <f t="shared" si="231"/>
        <v>0</v>
      </c>
    </row>
    <row r="2091" spans="4:40" x14ac:dyDescent="0.35">
      <c r="D2091" s="1">
        <v>42599</v>
      </c>
      <c r="E2091">
        <v>3.2242000000000002</v>
      </c>
      <c r="F2091" s="1">
        <v>42517</v>
      </c>
      <c r="G2091">
        <v>129.922</v>
      </c>
      <c r="H2091" s="4">
        <f t="shared" si="228"/>
        <v>418894.51240000001</v>
      </c>
      <c r="I2091" s="5">
        <v>42571</v>
      </c>
      <c r="J2091" s="4">
        <v>4755.4799999999996</v>
      </c>
      <c r="K2091" s="4">
        <f t="shared" si="229"/>
        <v>47554.799999999996</v>
      </c>
      <c r="AJ2091" s="1">
        <v>42571</v>
      </c>
      <c r="AL2091">
        <v>12.05</v>
      </c>
      <c r="AM2091" s="6">
        <f t="shared" si="230"/>
        <v>100000</v>
      </c>
      <c r="AN2091" s="2">
        <f t="shared" si="231"/>
        <v>0</v>
      </c>
    </row>
    <row r="2092" spans="4:40" x14ac:dyDescent="0.35">
      <c r="D2092" s="1">
        <v>42598</v>
      </c>
      <c r="E2092">
        <v>3.1743000000000001</v>
      </c>
      <c r="F2092" s="1">
        <v>42515</v>
      </c>
      <c r="G2092">
        <v>129.46899999999999</v>
      </c>
      <c r="H2092" s="4">
        <f t="shared" si="228"/>
        <v>410973.44670000003</v>
      </c>
      <c r="I2092" s="5">
        <v>42570</v>
      </c>
      <c r="J2092" s="4">
        <v>4744.57</v>
      </c>
      <c r="K2092" s="4">
        <f t="shared" si="229"/>
        <v>47445.7</v>
      </c>
      <c r="AJ2092" s="1">
        <v>42570</v>
      </c>
      <c r="AL2092">
        <v>12.19</v>
      </c>
      <c r="AM2092" s="6">
        <f t="shared" si="230"/>
        <v>100000</v>
      </c>
      <c r="AN2092" s="2">
        <f t="shared" si="231"/>
        <v>0</v>
      </c>
    </row>
    <row r="2093" spans="4:40" x14ac:dyDescent="0.35">
      <c r="D2093" s="1">
        <v>42597</v>
      </c>
      <c r="E2093">
        <v>3.1665999999999999</v>
      </c>
      <c r="F2093" s="1">
        <v>42513</v>
      </c>
      <c r="G2093">
        <v>129.68799999999999</v>
      </c>
      <c r="H2093" s="4">
        <f t="shared" si="228"/>
        <v>410670.02079999994</v>
      </c>
      <c r="I2093" s="5">
        <v>42569</v>
      </c>
      <c r="J2093" s="4">
        <v>4759.12</v>
      </c>
      <c r="K2093" s="4">
        <f t="shared" si="229"/>
        <v>47591.199999999997</v>
      </c>
      <c r="AJ2093" s="1">
        <v>42569</v>
      </c>
      <c r="AL2093">
        <v>12.17</v>
      </c>
      <c r="AM2093" s="6">
        <f t="shared" si="230"/>
        <v>100000</v>
      </c>
      <c r="AN2093" s="2">
        <f t="shared" si="231"/>
        <v>0</v>
      </c>
    </row>
    <row r="2094" spans="4:40" x14ac:dyDescent="0.35">
      <c r="D2094" s="1">
        <v>42594</v>
      </c>
      <c r="E2094">
        <v>3.1596000000000002</v>
      </c>
      <c r="F2094" s="1">
        <v>42510</v>
      </c>
      <c r="G2094">
        <v>129.547</v>
      </c>
      <c r="H2094" s="4">
        <f t="shared" si="228"/>
        <v>409316.70120000001</v>
      </c>
      <c r="I2094" s="5">
        <v>42566</v>
      </c>
      <c r="J2094" s="4">
        <v>4799.1499999999996</v>
      </c>
      <c r="K2094" s="4">
        <f t="shared" si="229"/>
        <v>47991.5</v>
      </c>
      <c r="AJ2094" s="1">
        <v>42566</v>
      </c>
      <c r="AL2094">
        <v>12.22</v>
      </c>
      <c r="AM2094" s="6">
        <f t="shared" si="230"/>
        <v>100000</v>
      </c>
      <c r="AN2094" s="2">
        <f t="shared" si="231"/>
        <v>0</v>
      </c>
    </row>
    <row r="2095" spans="4:40" x14ac:dyDescent="0.35">
      <c r="D2095" s="1">
        <v>42593</v>
      </c>
      <c r="E2095">
        <v>3.1358000000000001</v>
      </c>
      <c r="F2095" s="1">
        <v>42509</v>
      </c>
      <c r="G2095">
        <v>129.73400000000001</v>
      </c>
      <c r="H2095" s="4">
        <f t="shared" si="228"/>
        <v>406819.87720000005</v>
      </c>
      <c r="I2095" s="5">
        <v>42565</v>
      </c>
      <c r="J2095" s="4">
        <v>4754.76</v>
      </c>
      <c r="K2095" s="4">
        <f t="shared" si="229"/>
        <v>47547.600000000006</v>
      </c>
      <c r="AJ2095" s="1">
        <v>42565</v>
      </c>
      <c r="AL2095">
        <v>12.22</v>
      </c>
      <c r="AM2095" s="6">
        <f t="shared" si="230"/>
        <v>100000</v>
      </c>
      <c r="AN2095" s="2">
        <f t="shared" si="231"/>
        <v>0</v>
      </c>
    </row>
    <row r="2096" spans="4:40" x14ac:dyDescent="0.35">
      <c r="D2096" s="1">
        <v>42592</v>
      </c>
      <c r="E2096">
        <v>3.1295999999999999</v>
      </c>
      <c r="F2096" s="1">
        <v>42508</v>
      </c>
      <c r="G2096">
        <v>129.48400000000001</v>
      </c>
      <c r="H2096" s="4">
        <f t="shared" si="228"/>
        <v>405233.12640000001</v>
      </c>
      <c r="I2096" s="5">
        <v>42564</v>
      </c>
      <c r="J2096" s="4">
        <v>4776.59</v>
      </c>
      <c r="K2096" s="4">
        <f t="shared" si="229"/>
        <v>47765.9</v>
      </c>
      <c r="AJ2096" s="1">
        <v>42564</v>
      </c>
      <c r="AL2096">
        <v>12.25</v>
      </c>
      <c r="AM2096" s="6">
        <f t="shared" si="230"/>
        <v>100000</v>
      </c>
      <c r="AN2096" s="2">
        <f t="shared" si="231"/>
        <v>0</v>
      </c>
    </row>
    <row r="2097" spans="4:40" x14ac:dyDescent="0.35">
      <c r="D2097" s="1">
        <v>42591</v>
      </c>
      <c r="E2097">
        <v>3.1497000000000002</v>
      </c>
      <c r="F2097" s="1">
        <v>42503</v>
      </c>
      <c r="G2097">
        <v>131.01599999999999</v>
      </c>
      <c r="H2097" s="4">
        <f t="shared" si="228"/>
        <v>412661.09519999998</v>
      </c>
      <c r="I2097" s="5">
        <v>42563</v>
      </c>
      <c r="J2097" s="4">
        <v>4826.8</v>
      </c>
      <c r="K2097" s="4">
        <f t="shared" si="229"/>
        <v>48268</v>
      </c>
      <c r="AJ2097" s="1">
        <v>42563</v>
      </c>
      <c r="AL2097">
        <v>12.37</v>
      </c>
      <c r="AM2097" s="6">
        <f t="shared" si="230"/>
        <v>100000</v>
      </c>
      <c r="AN2097" s="2">
        <f t="shared" si="231"/>
        <v>0</v>
      </c>
    </row>
    <row r="2098" spans="4:40" x14ac:dyDescent="0.35">
      <c r="D2098" s="1">
        <v>42590</v>
      </c>
      <c r="E2098">
        <v>3.1764999999999999</v>
      </c>
      <c r="F2098" s="1">
        <v>42500</v>
      </c>
      <c r="G2098">
        <v>130.89099999999999</v>
      </c>
      <c r="H2098" s="4">
        <f t="shared" si="228"/>
        <v>415775.26149999996</v>
      </c>
      <c r="I2098" s="5">
        <v>42562</v>
      </c>
      <c r="J2098" s="4">
        <v>4850.8100000000004</v>
      </c>
      <c r="K2098" s="4">
        <f t="shared" si="229"/>
        <v>48508.100000000006</v>
      </c>
      <c r="AJ2098" s="1">
        <v>42562</v>
      </c>
      <c r="AL2098">
        <v>12.29</v>
      </c>
      <c r="AM2098" s="6">
        <f t="shared" si="230"/>
        <v>100000</v>
      </c>
      <c r="AN2098" s="2">
        <f t="shared" si="231"/>
        <v>0</v>
      </c>
    </row>
    <row r="2099" spans="4:40" x14ac:dyDescent="0.35">
      <c r="D2099" s="1">
        <v>42587</v>
      </c>
      <c r="E2099">
        <v>3.1852999999999998</v>
      </c>
      <c r="F2099" s="1">
        <v>42496</v>
      </c>
      <c r="G2099">
        <v>131.203</v>
      </c>
      <c r="H2099" s="4">
        <f t="shared" si="228"/>
        <v>417920.91590000002</v>
      </c>
      <c r="I2099" s="5">
        <v>42559</v>
      </c>
      <c r="J2099" s="4">
        <v>4833.3500000000004</v>
      </c>
      <c r="K2099" s="4">
        <f t="shared" si="229"/>
        <v>48333.5</v>
      </c>
      <c r="AJ2099" s="1">
        <v>42559</v>
      </c>
      <c r="AL2099">
        <v>12.33</v>
      </c>
      <c r="AM2099" s="6">
        <f t="shared" si="230"/>
        <v>100000</v>
      </c>
      <c r="AN2099" s="2">
        <f t="shared" si="231"/>
        <v>0</v>
      </c>
    </row>
    <row r="2100" spans="4:40" x14ac:dyDescent="0.35">
      <c r="D2100" s="1">
        <v>42586</v>
      </c>
      <c r="E2100">
        <v>3.2176999999999998</v>
      </c>
      <c r="F2100" s="1">
        <v>42495</v>
      </c>
      <c r="G2100">
        <v>130.71899999999999</v>
      </c>
      <c r="H2100" s="4">
        <f t="shared" si="228"/>
        <v>420614.52629999997</v>
      </c>
      <c r="I2100" s="5">
        <v>42558</v>
      </c>
      <c r="J2100" s="4">
        <v>4943.96</v>
      </c>
      <c r="K2100" s="4">
        <f t="shared" si="229"/>
        <v>49439.6</v>
      </c>
      <c r="AJ2100" s="1">
        <v>42558</v>
      </c>
      <c r="AL2100">
        <v>12.52</v>
      </c>
      <c r="AM2100" s="6">
        <f t="shared" si="230"/>
        <v>100000</v>
      </c>
      <c r="AN2100" s="2">
        <f t="shared" si="231"/>
        <v>0</v>
      </c>
    </row>
    <row r="2101" spans="4:40" x14ac:dyDescent="0.35">
      <c r="D2101" s="1">
        <v>42585</v>
      </c>
      <c r="E2101">
        <v>3.2726999999999999</v>
      </c>
      <c r="F2101" s="1">
        <v>42494</v>
      </c>
      <c r="G2101">
        <v>130.46899999999999</v>
      </c>
      <c r="H2101" s="4">
        <f t="shared" si="228"/>
        <v>426985.89629999996</v>
      </c>
      <c r="I2101" s="5">
        <v>42557</v>
      </c>
      <c r="J2101" s="4">
        <v>4879.1899999999996</v>
      </c>
      <c r="K2101" s="4">
        <f t="shared" si="229"/>
        <v>48791.899999999994</v>
      </c>
      <c r="AJ2101" s="1">
        <v>42557</v>
      </c>
      <c r="AL2101">
        <v>12.57</v>
      </c>
      <c r="AM2101" s="6">
        <f t="shared" si="230"/>
        <v>100000</v>
      </c>
      <c r="AN2101" s="2">
        <f t="shared" si="231"/>
        <v>0</v>
      </c>
    </row>
    <row r="2102" spans="4:40" x14ac:dyDescent="0.35">
      <c r="D2102" s="1">
        <v>42584</v>
      </c>
      <c r="E2102">
        <v>3.2484000000000002</v>
      </c>
      <c r="F2102" s="1">
        <v>42493</v>
      </c>
      <c r="G2102">
        <v>130.23400000000001</v>
      </c>
      <c r="H2102" s="4">
        <f t="shared" si="228"/>
        <v>423052.12560000009</v>
      </c>
      <c r="I2102" s="5">
        <v>42556</v>
      </c>
      <c r="J2102" s="4">
        <v>4847.17</v>
      </c>
      <c r="K2102" s="4">
        <f t="shared" si="229"/>
        <v>48471.7</v>
      </c>
      <c r="AJ2102" s="1">
        <v>42556</v>
      </c>
      <c r="AL2102">
        <v>12.54</v>
      </c>
      <c r="AM2102" s="6">
        <f t="shared" si="230"/>
        <v>100000</v>
      </c>
      <c r="AN2102" s="2">
        <f t="shared" si="231"/>
        <v>0</v>
      </c>
    </row>
    <row r="2103" spans="4:40" x14ac:dyDescent="0.35">
      <c r="D2103" s="1">
        <v>42583</v>
      </c>
      <c r="E2103">
        <v>3.2656000000000001</v>
      </c>
      <c r="F2103" s="1">
        <v>42489</v>
      </c>
      <c r="G2103">
        <v>129.922</v>
      </c>
      <c r="H2103" s="4">
        <f t="shared" si="228"/>
        <v>424273.28320000001</v>
      </c>
      <c r="I2103" s="5">
        <v>42555</v>
      </c>
      <c r="J2103" s="4">
        <v>4801.33</v>
      </c>
      <c r="K2103" s="4">
        <f t="shared" si="229"/>
        <v>48013.3</v>
      </c>
      <c r="AJ2103" s="1">
        <v>42555</v>
      </c>
      <c r="AL2103">
        <v>12.4</v>
      </c>
      <c r="AM2103" s="6">
        <f t="shared" si="230"/>
        <v>100000</v>
      </c>
      <c r="AN2103" s="2">
        <f t="shared" si="231"/>
        <v>0</v>
      </c>
    </row>
    <row r="2104" spans="4:40" x14ac:dyDescent="0.35">
      <c r="D2104" s="1">
        <v>42580</v>
      </c>
      <c r="E2104">
        <v>3.2383999999999999</v>
      </c>
      <c r="F2104" s="1">
        <v>42488</v>
      </c>
      <c r="G2104">
        <v>129.64099999999999</v>
      </c>
      <c r="H2104" s="4">
        <f t="shared" si="228"/>
        <v>419829.41439999995</v>
      </c>
      <c r="I2104" s="5">
        <v>42552</v>
      </c>
      <c r="J2104" s="4">
        <v>4756.21</v>
      </c>
      <c r="K2104" s="4">
        <f t="shared" si="229"/>
        <v>47562.1</v>
      </c>
      <c r="AJ2104" s="1">
        <v>42552</v>
      </c>
      <c r="AL2104">
        <v>12.5</v>
      </c>
      <c r="AM2104" s="6">
        <f t="shared" si="230"/>
        <v>100000</v>
      </c>
      <c r="AN2104" s="2">
        <f t="shared" si="231"/>
        <v>0</v>
      </c>
    </row>
    <row r="2105" spans="4:40" x14ac:dyDescent="0.35">
      <c r="D2105" s="1">
        <v>42579</v>
      </c>
      <c r="E2105">
        <v>3.2734000000000001</v>
      </c>
      <c r="F2105" s="1">
        <v>42487</v>
      </c>
      <c r="G2105">
        <v>129.68799999999999</v>
      </c>
      <c r="H2105" s="4">
        <f t="shared" si="228"/>
        <v>424520.69919999997</v>
      </c>
      <c r="I2105" s="5">
        <v>42551</v>
      </c>
      <c r="J2105" s="4">
        <v>4715.46</v>
      </c>
      <c r="K2105" s="4">
        <f t="shared" si="229"/>
        <v>47154.6</v>
      </c>
      <c r="AJ2105" s="1">
        <v>42551</v>
      </c>
      <c r="AL2105">
        <v>12.41</v>
      </c>
      <c r="AM2105" s="6">
        <f t="shared" si="230"/>
        <v>100000</v>
      </c>
      <c r="AN2105" s="2">
        <f t="shared" si="231"/>
        <v>0</v>
      </c>
    </row>
    <row r="2106" spans="4:40" x14ac:dyDescent="0.35">
      <c r="D2106" s="1">
        <v>42578</v>
      </c>
      <c r="E2106">
        <v>3.2814000000000001</v>
      </c>
      <c r="F2106" s="1">
        <v>42486</v>
      </c>
      <c r="G2106">
        <v>129.25</v>
      </c>
      <c r="H2106" s="4">
        <f t="shared" si="228"/>
        <v>424120.95</v>
      </c>
      <c r="I2106" s="5">
        <v>42550</v>
      </c>
      <c r="J2106" s="4">
        <v>4730.01</v>
      </c>
      <c r="K2106" s="4">
        <f t="shared" si="229"/>
        <v>47300.100000000006</v>
      </c>
      <c r="AJ2106" s="1">
        <v>42550</v>
      </c>
      <c r="AL2106">
        <v>12.46</v>
      </c>
      <c r="AM2106" s="6">
        <f t="shared" si="230"/>
        <v>100000</v>
      </c>
      <c r="AN2106" s="2">
        <f t="shared" si="231"/>
        <v>0</v>
      </c>
    </row>
    <row r="2107" spans="4:40" x14ac:dyDescent="0.35">
      <c r="D2107" s="1">
        <v>42577</v>
      </c>
      <c r="E2107">
        <v>3.2784</v>
      </c>
      <c r="F2107" s="1">
        <v>42485</v>
      </c>
      <c r="G2107">
        <v>129.297</v>
      </c>
      <c r="H2107" s="4">
        <f t="shared" si="228"/>
        <v>423887.28479999996</v>
      </c>
      <c r="I2107" s="5">
        <v>42549</v>
      </c>
      <c r="J2107" s="4">
        <v>4852.63</v>
      </c>
      <c r="K2107" s="4">
        <f t="shared" si="229"/>
        <v>48526.3</v>
      </c>
      <c r="AJ2107" s="1">
        <v>42549</v>
      </c>
      <c r="AL2107">
        <v>12.4</v>
      </c>
      <c r="AM2107" s="6">
        <f t="shared" si="230"/>
        <v>100000</v>
      </c>
      <c r="AN2107" s="2">
        <f t="shared" si="231"/>
        <v>0</v>
      </c>
    </row>
    <row r="2108" spans="4:40" x14ac:dyDescent="0.35">
      <c r="D2108" s="1">
        <v>42576</v>
      </c>
      <c r="E2108">
        <v>3.2812999999999999</v>
      </c>
      <c r="F2108" s="1">
        <v>42482</v>
      </c>
      <c r="G2108">
        <v>129.56299999999999</v>
      </c>
      <c r="H2108" s="4">
        <f t="shared" si="228"/>
        <v>425135.07189999998</v>
      </c>
      <c r="I2108" s="5">
        <v>42548</v>
      </c>
      <c r="J2108" s="4">
        <v>4991.41</v>
      </c>
      <c r="K2108" s="4">
        <f t="shared" si="229"/>
        <v>49914.1</v>
      </c>
      <c r="AJ2108" s="1">
        <v>42548</v>
      </c>
      <c r="AL2108">
        <v>12.6</v>
      </c>
      <c r="AM2108" s="6">
        <f t="shared" si="230"/>
        <v>100000</v>
      </c>
      <c r="AN2108" s="2">
        <f t="shared" si="231"/>
        <v>0</v>
      </c>
    </row>
    <row r="2109" spans="4:40" x14ac:dyDescent="0.35">
      <c r="D2109" s="1">
        <v>42573</v>
      </c>
      <c r="E2109">
        <v>3.2848000000000002</v>
      </c>
      <c r="F2109" s="1">
        <v>42480</v>
      </c>
      <c r="G2109">
        <v>129.84399999999999</v>
      </c>
      <c r="H2109" s="4">
        <f t="shared" si="228"/>
        <v>426511.57120000001</v>
      </c>
      <c r="I2109" s="5">
        <v>42545</v>
      </c>
      <c r="J2109" s="4">
        <v>4963.51</v>
      </c>
      <c r="K2109" s="4">
        <f t="shared" si="229"/>
        <v>49635.100000000006</v>
      </c>
      <c r="AJ2109" s="1">
        <v>42545</v>
      </c>
      <c r="AL2109">
        <v>12.77</v>
      </c>
      <c r="AM2109" s="6">
        <f t="shared" si="230"/>
        <v>100000</v>
      </c>
      <c r="AN2109" s="2">
        <f t="shared" si="231"/>
        <v>0</v>
      </c>
    </row>
    <row r="2110" spans="4:40" x14ac:dyDescent="0.35">
      <c r="D2110" s="1">
        <v>42572</v>
      </c>
      <c r="E2110">
        <v>3.2578999999999998</v>
      </c>
      <c r="F2110" s="1">
        <v>42478</v>
      </c>
      <c r="G2110">
        <v>130.51599999999999</v>
      </c>
      <c r="H2110" s="4">
        <f t="shared" si="228"/>
        <v>425208.0763999999</v>
      </c>
      <c r="I2110" s="5">
        <v>42544</v>
      </c>
      <c r="J2110" s="4">
        <v>4917.9799999999996</v>
      </c>
      <c r="K2110" s="4">
        <f t="shared" si="229"/>
        <v>49179.799999999996</v>
      </c>
      <c r="AJ2110" s="1">
        <v>42544</v>
      </c>
      <c r="AL2110">
        <v>12.75</v>
      </c>
      <c r="AM2110" s="6">
        <f t="shared" si="230"/>
        <v>100000</v>
      </c>
      <c r="AN2110" s="2">
        <f t="shared" si="231"/>
        <v>0</v>
      </c>
    </row>
    <row r="2111" spans="4:40" x14ac:dyDescent="0.35">
      <c r="D2111" s="1">
        <v>42571</v>
      </c>
      <c r="E2111">
        <v>3.2505999999999999</v>
      </c>
      <c r="F2111" s="1">
        <v>42474</v>
      </c>
      <c r="G2111">
        <v>130.23400000000001</v>
      </c>
      <c r="H2111" s="4">
        <f t="shared" si="228"/>
        <v>423338.64040000003</v>
      </c>
      <c r="I2111" s="5">
        <v>42543</v>
      </c>
      <c r="J2111" s="4">
        <v>4973.78</v>
      </c>
      <c r="K2111" s="4">
        <f t="shared" si="229"/>
        <v>49737.799999999996</v>
      </c>
      <c r="AJ2111" s="1">
        <v>42543</v>
      </c>
      <c r="AL2111">
        <v>12.88</v>
      </c>
      <c r="AM2111" s="6">
        <f t="shared" si="230"/>
        <v>100000</v>
      </c>
      <c r="AN2111" s="2">
        <f t="shared" si="231"/>
        <v>0</v>
      </c>
    </row>
    <row r="2112" spans="4:40" x14ac:dyDescent="0.35">
      <c r="D2112" s="1">
        <v>42570</v>
      </c>
      <c r="E2112">
        <v>3.2795000000000001</v>
      </c>
      <c r="F2112" s="1">
        <v>42473</v>
      </c>
      <c r="G2112">
        <v>130.73400000000001</v>
      </c>
      <c r="H2112" s="4">
        <f t="shared" si="228"/>
        <v>428742.15300000005</v>
      </c>
      <c r="I2112" s="5">
        <v>42542</v>
      </c>
      <c r="J2112" s="4">
        <v>5022.24</v>
      </c>
      <c r="K2112" s="4">
        <f t="shared" si="229"/>
        <v>50222.399999999994</v>
      </c>
      <c r="AJ2112" s="1">
        <v>42542</v>
      </c>
      <c r="AL2112">
        <v>12.91</v>
      </c>
      <c r="AM2112" s="6">
        <f t="shared" si="230"/>
        <v>100000</v>
      </c>
      <c r="AN2112" s="2">
        <f t="shared" si="231"/>
        <v>0</v>
      </c>
    </row>
    <row r="2113" spans="4:40" x14ac:dyDescent="0.35">
      <c r="D2113" s="1">
        <v>42569</v>
      </c>
      <c r="E2113">
        <v>3.2627999999999999</v>
      </c>
      <c r="F2113" s="1">
        <v>42471</v>
      </c>
      <c r="G2113">
        <v>131.10900000000001</v>
      </c>
      <c r="H2113" s="4">
        <f t="shared" si="228"/>
        <v>427782.44520000002</v>
      </c>
      <c r="I2113" s="5">
        <v>42541</v>
      </c>
      <c r="J2113" s="4">
        <v>5002.42</v>
      </c>
      <c r="K2113" s="4">
        <f t="shared" si="229"/>
        <v>50024.2</v>
      </c>
      <c r="AJ2113" s="1">
        <v>42541</v>
      </c>
      <c r="AL2113">
        <v>12.98</v>
      </c>
      <c r="AM2113" s="6">
        <f t="shared" si="230"/>
        <v>100000</v>
      </c>
      <c r="AN2113" s="2">
        <f t="shared" si="231"/>
        <v>0</v>
      </c>
    </row>
    <row r="2114" spans="4:40" x14ac:dyDescent="0.35">
      <c r="D2114" s="1">
        <v>42566</v>
      </c>
      <c r="E2114">
        <v>3.2650000000000001</v>
      </c>
      <c r="F2114" s="1">
        <v>42467</v>
      </c>
      <c r="G2114">
        <v>131.03100000000001</v>
      </c>
      <c r="H2114" s="4">
        <f t="shared" si="228"/>
        <v>427816.21500000008</v>
      </c>
      <c r="I2114" s="5">
        <v>42538</v>
      </c>
      <c r="J2114" s="4">
        <v>5031.79</v>
      </c>
      <c r="K2114" s="4">
        <f t="shared" si="229"/>
        <v>50317.9</v>
      </c>
      <c r="AJ2114" s="1">
        <v>42538</v>
      </c>
      <c r="AL2114">
        <v>12.99</v>
      </c>
      <c r="AM2114" s="6">
        <f t="shared" si="230"/>
        <v>100000</v>
      </c>
      <c r="AN2114" s="2">
        <f t="shared" si="231"/>
        <v>0</v>
      </c>
    </row>
    <row r="2115" spans="4:40" x14ac:dyDescent="0.35">
      <c r="D2115" s="1">
        <v>42565</v>
      </c>
      <c r="E2115">
        <v>3.2305000000000001</v>
      </c>
      <c r="F2115" s="1">
        <v>42466</v>
      </c>
      <c r="G2115">
        <v>130.71899999999999</v>
      </c>
      <c r="H2115" s="4">
        <f t="shared" si="228"/>
        <v>422287.72950000002</v>
      </c>
      <c r="I2115" s="5">
        <v>42537</v>
      </c>
      <c r="J2115" s="4">
        <v>5106.68</v>
      </c>
      <c r="K2115" s="4">
        <f t="shared" si="229"/>
        <v>51066.8</v>
      </c>
      <c r="AJ2115" s="1">
        <v>42537</v>
      </c>
      <c r="AL2115">
        <v>13.1</v>
      </c>
      <c r="AM2115" s="6">
        <f t="shared" si="230"/>
        <v>100000</v>
      </c>
      <c r="AN2115" s="2">
        <f t="shared" si="231"/>
        <v>0</v>
      </c>
    </row>
    <row r="2116" spans="4:40" x14ac:dyDescent="0.35">
      <c r="D2116" s="1">
        <v>42564</v>
      </c>
      <c r="E2116">
        <v>3.2890000000000001</v>
      </c>
      <c r="F2116" s="1">
        <v>42465</v>
      </c>
      <c r="G2116">
        <v>130.73400000000001</v>
      </c>
      <c r="H2116" s="4">
        <f t="shared" ref="H2116:H2179" si="232">G2116*E2116*1000</f>
        <v>429984.12600000005</v>
      </c>
      <c r="I2116" s="5">
        <v>42536</v>
      </c>
      <c r="J2116" s="4">
        <v>5122.1000000000004</v>
      </c>
      <c r="K2116" s="4">
        <f t="shared" si="229"/>
        <v>51221</v>
      </c>
      <c r="AJ2116" s="1">
        <v>42536</v>
      </c>
      <c r="AL2116">
        <v>13.1</v>
      </c>
      <c r="AM2116" s="6">
        <f t="shared" si="230"/>
        <v>100000</v>
      </c>
      <c r="AN2116" s="2">
        <f t="shared" si="231"/>
        <v>0</v>
      </c>
    </row>
    <row r="2117" spans="4:40" x14ac:dyDescent="0.35">
      <c r="D2117" s="1">
        <v>42563</v>
      </c>
      <c r="E2117">
        <v>3.2744</v>
      </c>
      <c r="F2117" s="1">
        <v>42459</v>
      </c>
      <c r="G2117">
        <v>130.06299999999999</v>
      </c>
      <c r="H2117" s="4">
        <f t="shared" si="232"/>
        <v>425878.2871999999</v>
      </c>
      <c r="I2117" s="5">
        <v>42535</v>
      </c>
      <c r="J2117" s="4">
        <v>5136.79</v>
      </c>
      <c r="K2117" s="4">
        <f t="shared" ref="K2117:K2180" si="233">J2117*10</f>
        <v>51367.9</v>
      </c>
      <c r="AJ2117" s="1">
        <v>42535</v>
      </c>
      <c r="AL2117">
        <v>13.02</v>
      </c>
      <c r="AM2117" s="6">
        <f t="shared" ref="AM2117:AM2180" si="234">$Z$2/(1+AL2117/100)^(AK2117/252)</f>
        <v>100000</v>
      </c>
      <c r="AN2117" s="2">
        <f t="shared" ref="AN2117:AN2180" si="235">LOG(AM2117/AM2118)</f>
        <v>0</v>
      </c>
    </row>
    <row r="2118" spans="4:40" x14ac:dyDescent="0.35">
      <c r="D2118" s="1">
        <v>42562</v>
      </c>
      <c r="E2118">
        <v>3.3025000000000002</v>
      </c>
      <c r="F2118" s="1">
        <v>42452</v>
      </c>
      <c r="G2118">
        <v>129.21899999999999</v>
      </c>
      <c r="H2118" s="4">
        <f t="shared" si="232"/>
        <v>426745.7475</v>
      </c>
      <c r="I2118" s="5">
        <v>42534</v>
      </c>
      <c r="J2118" s="4">
        <v>5135.32</v>
      </c>
      <c r="K2118" s="4">
        <f t="shared" si="233"/>
        <v>51353.2</v>
      </c>
      <c r="AJ2118" s="1">
        <v>42534</v>
      </c>
      <c r="AL2118">
        <v>12.94</v>
      </c>
      <c r="AM2118" s="6">
        <f t="shared" si="234"/>
        <v>100000</v>
      </c>
      <c r="AN2118" s="2">
        <f t="shared" si="235"/>
        <v>0</v>
      </c>
    </row>
    <row r="2119" spans="4:40" x14ac:dyDescent="0.35">
      <c r="D2119" s="1">
        <v>42559</v>
      </c>
      <c r="E2119">
        <v>3.2961999999999998</v>
      </c>
      <c r="F2119" s="1">
        <v>42446</v>
      </c>
      <c r="G2119">
        <v>129.15600000000001</v>
      </c>
      <c r="H2119" s="4">
        <f t="shared" si="232"/>
        <v>425724.00719999999</v>
      </c>
      <c r="I2119" s="5">
        <v>42531</v>
      </c>
      <c r="J2119" s="4">
        <v>5048.68</v>
      </c>
      <c r="K2119" s="4">
        <f t="shared" si="233"/>
        <v>50486.8</v>
      </c>
      <c r="AJ2119" s="1">
        <v>42531</v>
      </c>
      <c r="AL2119">
        <v>12.89</v>
      </c>
      <c r="AM2119" s="6">
        <f t="shared" si="234"/>
        <v>100000</v>
      </c>
      <c r="AN2119" s="2">
        <f t="shared" si="235"/>
        <v>0</v>
      </c>
    </row>
    <row r="2120" spans="4:40" x14ac:dyDescent="0.35">
      <c r="D2120" s="1">
        <v>42558</v>
      </c>
      <c r="E2120">
        <v>3.3382000000000001</v>
      </c>
      <c r="F2120" s="1">
        <v>42445</v>
      </c>
      <c r="G2120">
        <v>128.90600000000001</v>
      </c>
      <c r="H2120" s="4">
        <f t="shared" si="232"/>
        <v>430314.00920000003</v>
      </c>
      <c r="I2120" s="5">
        <v>42530</v>
      </c>
      <c r="J2120" s="4">
        <v>5030.32</v>
      </c>
      <c r="K2120" s="4">
        <f t="shared" si="233"/>
        <v>50303.199999999997</v>
      </c>
      <c r="AJ2120" s="1">
        <v>42530</v>
      </c>
      <c r="AL2120">
        <v>12.68</v>
      </c>
      <c r="AM2120" s="6">
        <f t="shared" si="234"/>
        <v>100000</v>
      </c>
      <c r="AN2120" s="2">
        <f t="shared" si="235"/>
        <v>0</v>
      </c>
    </row>
    <row r="2121" spans="4:40" x14ac:dyDescent="0.35">
      <c r="D2121" s="1">
        <v>42557</v>
      </c>
      <c r="E2121">
        <v>3.3235999999999999</v>
      </c>
      <c r="F2121" s="1">
        <v>42440</v>
      </c>
      <c r="G2121">
        <v>128.453</v>
      </c>
      <c r="H2121" s="4">
        <f t="shared" si="232"/>
        <v>426926.39079999999</v>
      </c>
      <c r="I2121" s="5">
        <v>42529</v>
      </c>
      <c r="J2121" s="4">
        <v>4965.71</v>
      </c>
      <c r="K2121" s="4">
        <f t="shared" si="233"/>
        <v>49657.1</v>
      </c>
      <c r="AJ2121" s="1">
        <v>42529</v>
      </c>
      <c r="AL2121">
        <v>12.6</v>
      </c>
      <c r="AM2121" s="6">
        <f t="shared" si="234"/>
        <v>100000</v>
      </c>
      <c r="AN2121" s="2">
        <f t="shared" si="235"/>
        <v>0</v>
      </c>
    </row>
    <row r="2122" spans="4:40" x14ac:dyDescent="0.35">
      <c r="D2122" s="1">
        <v>42556</v>
      </c>
      <c r="E2122">
        <v>3.2898000000000001</v>
      </c>
      <c r="F2122" s="1">
        <v>42439</v>
      </c>
      <c r="G2122">
        <v>128.75</v>
      </c>
      <c r="H2122" s="4">
        <f t="shared" si="232"/>
        <v>423561.75</v>
      </c>
      <c r="I2122" s="5">
        <v>42528</v>
      </c>
      <c r="J2122" s="4">
        <v>5088.33</v>
      </c>
      <c r="K2122" s="4">
        <f t="shared" si="233"/>
        <v>50883.3</v>
      </c>
      <c r="AJ2122" s="1">
        <v>42528</v>
      </c>
      <c r="AL2122">
        <v>12.74</v>
      </c>
      <c r="AM2122" s="6">
        <f t="shared" si="234"/>
        <v>100000</v>
      </c>
      <c r="AN2122" s="2">
        <f t="shared" si="235"/>
        <v>0</v>
      </c>
    </row>
    <row r="2123" spans="4:40" x14ac:dyDescent="0.35">
      <c r="D2123" s="1">
        <v>42555</v>
      </c>
      <c r="E2123">
        <v>3.2473999999999998</v>
      </c>
      <c r="F2123" s="1">
        <v>42438</v>
      </c>
      <c r="G2123">
        <v>129.203</v>
      </c>
      <c r="H2123" s="4">
        <f t="shared" si="232"/>
        <v>419573.8222</v>
      </c>
      <c r="I2123" s="5">
        <v>42527</v>
      </c>
      <c r="J2123" s="4">
        <v>5166.16</v>
      </c>
      <c r="K2123" s="4">
        <f t="shared" si="233"/>
        <v>51661.599999999999</v>
      </c>
      <c r="AJ2123" s="1">
        <v>42527</v>
      </c>
      <c r="AL2123">
        <v>12.65</v>
      </c>
      <c r="AM2123" s="6">
        <f t="shared" si="234"/>
        <v>100000</v>
      </c>
      <c r="AN2123" s="2">
        <f t="shared" si="235"/>
        <v>0</v>
      </c>
    </row>
    <row r="2124" spans="4:40" x14ac:dyDescent="0.35">
      <c r="D2124" s="1">
        <v>42552</v>
      </c>
      <c r="E2124">
        <v>3.2292000000000001</v>
      </c>
      <c r="F2124" s="1">
        <v>42436</v>
      </c>
      <c r="G2124">
        <v>128.93799999999999</v>
      </c>
      <c r="H2124" s="4">
        <f t="shared" si="232"/>
        <v>416366.58960000001</v>
      </c>
      <c r="I2124" s="5">
        <v>42524</v>
      </c>
      <c r="J2124" s="4">
        <v>5227.83</v>
      </c>
      <c r="K2124" s="4">
        <f t="shared" si="233"/>
        <v>52278.3</v>
      </c>
      <c r="AJ2124" s="1">
        <v>42524</v>
      </c>
      <c r="AL2124">
        <v>12.76</v>
      </c>
      <c r="AM2124" s="6">
        <f t="shared" si="234"/>
        <v>100000</v>
      </c>
      <c r="AN2124" s="2">
        <f t="shared" si="235"/>
        <v>0</v>
      </c>
    </row>
    <row r="2125" spans="4:40" x14ac:dyDescent="0.35">
      <c r="D2125" s="1">
        <v>42551</v>
      </c>
      <c r="E2125">
        <v>3.2092000000000001</v>
      </c>
      <c r="F2125" s="1">
        <v>42433</v>
      </c>
      <c r="G2125">
        <v>129.06299999999999</v>
      </c>
      <c r="H2125" s="4">
        <f t="shared" si="232"/>
        <v>414188.97959999996</v>
      </c>
      <c r="I2125" s="5">
        <v>42523</v>
      </c>
      <c r="J2125" s="4">
        <v>5326.22</v>
      </c>
      <c r="K2125" s="4">
        <f t="shared" si="233"/>
        <v>53262.200000000004</v>
      </c>
      <c r="AJ2125" s="1">
        <v>42523</v>
      </c>
      <c r="AL2125">
        <v>12.99</v>
      </c>
      <c r="AM2125" s="6">
        <f t="shared" si="234"/>
        <v>100000</v>
      </c>
      <c r="AN2125" s="2">
        <f t="shared" si="235"/>
        <v>0</v>
      </c>
    </row>
    <row r="2126" spans="4:40" x14ac:dyDescent="0.35">
      <c r="D2126" s="1">
        <v>42550</v>
      </c>
      <c r="E2126">
        <v>3.2429000000000001</v>
      </c>
      <c r="F2126" s="1">
        <v>42431</v>
      </c>
      <c r="G2126">
        <v>129.51599999999999</v>
      </c>
      <c r="H2126" s="4">
        <f t="shared" si="232"/>
        <v>420007.43639999995</v>
      </c>
      <c r="I2126" s="5">
        <v>42522</v>
      </c>
      <c r="J2126" s="4">
        <v>5342.38</v>
      </c>
      <c r="K2126" s="4">
        <f t="shared" si="233"/>
        <v>53423.8</v>
      </c>
      <c r="AJ2126" s="1">
        <v>42522</v>
      </c>
      <c r="AL2126">
        <v>13.14</v>
      </c>
      <c r="AM2126" s="6">
        <f t="shared" si="234"/>
        <v>100000</v>
      </c>
      <c r="AN2126" s="2">
        <f t="shared" si="235"/>
        <v>0</v>
      </c>
    </row>
    <row r="2127" spans="4:40" x14ac:dyDescent="0.35">
      <c r="D2127" s="1">
        <v>42549</v>
      </c>
      <c r="E2127">
        <v>3.3260999999999998</v>
      </c>
      <c r="F2127" s="1">
        <v>42430</v>
      </c>
      <c r="G2127">
        <v>129.71899999999999</v>
      </c>
      <c r="H2127" s="4">
        <f t="shared" si="232"/>
        <v>431458.36589999992</v>
      </c>
      <c r="I2127" s="5">
        <v>42521</v>
      </c>
      <c r="J2127" s="4">
        <v>5360.73</v>
      </c>
      <c r="K2127" s="4">
        <f t="shared" si="233"/>
        <v>53607.299999999996</v>
      </c>
      <c r="AJ2127" s="1">
        <v>42521</v>
      </c>
      <c r="AL2127">
        <v>13.16</v>
      </c>
      <c r="AM2127" s="6">
        <f t="shared" si="234"/>
        <v>100000</v>
      </c>
      <c r="AN2127" s="2">
        <f t="shared" si="235"/>
        <v>0</v>
      </c>
    </row>
    <row r="2128" spans="4:40" x14ac:dyDescent="0.35">
      <c r="D2128" s="1">
        <v>42548</v>
      </c>
      <c r="E2128">
        <v>3.3927999999999998</v>
      </c>
      <c r="F2128" s="1">
        <v>42429</v>
      </c>
      <c r="G2128">
        <v>130.40600000000001</v>
      </c>
      <c r="H2128" s="4">
        <f t="shared" si="232"/>
        <v>442441.4768</v>
      </c>
      <c r="I2128" s="5">
        <v>42520</v>
      </c>
      <c r="J2128" s="4">
        <v>5292.45</v>
      </c>
      <c r="K2128" s="4">
        <f t="shared" si="233"/>
        <v>52924.5</v>
      </c>
      <c r="AJ2128" s="1">
        <v>42520</v>
      </c>
      <c r="AL2128">
        <v>13.06</v>
      </c>
      <c r="AM2128" s="6">
        <f t="shared" si="234"/>
        <v>100000</v>
      </c>
      <c r="AN2128" s="2">
        <f t="shared" si="235"/>
        <v>0</v>
      </c>
    </row>
    <row r="2129" spans="4:40" x14ac:dyDescent="0.35">
      <c r="D2129" s="1">
        <v>42545</v>
      </c>
      <c r="E2129">
        <v>3.3765999999999998</v>
      </c>
      <c r="F2129" s="1">
        <v>42426</v>
      </c>
      <c r="G2129">
        <v>131.48400000000001</v>
      </c>
      <c r="H2129" s="4">
        <f t="shared" si="232"/>
        <v>443968.87440000003</v>
      </c>
      <c r="I2129" s="5">
        <v>42517</v>
      </c>
      <c r="J2129" s="4">
        <v>5345.01</v>
      </c>
      <c r="K2129" s="4">
        <f t="shared" si="233"/>
        <v>53450.100000000006</v>
      </c>
      <c r="AJ2129" s="1">
        <v>42517</v>
      </c>
      <c r="AL2129">
        <v>13.21</v>
      </c>
      <c r="AM2129" s="6">
        <f t="shared" si="234"/>
        <v>100000</v>
      </c>
      <c r="AN2129" s="2">
        <f t="shared" si="235"/>
        <v>0</v>
      </c>
    </row>
    <row r="2130" spans="4:40" x14ac:dyDescent="0.35">
      <c r="D2130" s="1">
        <v>42544</v>
      </c>
      <c r="E2130">
        <v>3.3527</v>
      </c>
      <c r="F2130" s="1">
        <v>42425</v>
      </c>
      <c r="G2130">
        <v>131.03</v>
      </c>
      <c r="H2130" s="4">
        <f t="shared" si="232"/>
        <v>439304.28100000002</v>
      </c>
      <c r="I2130" s="5">
        <v>42515</v>
      </c>
      <c r="J2130" s="4">
        <v>5311.7</v>
      </c>
      <c r="K2130" s="4">
        <f t="shared" si="233"/>
        <v>53117</v>
      </c>
      <c r="AJ2130" s="1">
        <v>42515</v>
      </c>
      <c r="AL2130">
        <v>13.03</v>
      </c>
      <c r="AM2130" s="6">
        <f t="shared" si="234"/>
        <v>100000</v>
      </c>
      <c r="AN2130" s="2">
        <f t="shared" si="235"/>
        <v>0</v>
      </c>
    </row>
    <row r="2131" spans="4:40" x14ac:dyDescent="0.35">
      <c r="D2131" s="1">
        <v>42543</v>
      </c>
      <c r="E2131">
        <v>3.3877000000000002</v>
      </c>
      <c r="F2131" s="1">
        <v>42424</v>
      </c>
      <c r="G2131">
        <v>131.25</v>
      </c>
      <c r="H2131" s="4">
        <f t="shared" si="232"/>
        <v>444635.625</v>
      </c>
      <c r="I2131" s="5">
        <v>42514</v>
      </c>
      <c r="J2131" s="4">
        <v>5297.63</v>
      </c>
      <c r="K2131" s="4">
        <f t="shared" si="233"/>
        <v>52976.3</v>
      </c>
      <c r="AJ2131" s="1">
        <v>42514</v>
      </c>
      <c r="AL2131">
        <v>12.92</v>
      </c>
      <c r="AM2131" s="6">
        <f t="shared" si="234"/>
        <v>100000</v>
      </c>
      <c r="AN2131" s="2">
        <f t="shared" si="235"/>
        <v>0</v>
      </c>
    </row>
    <row r="2132" spans="4:40" x14ac:dyDescent="0.35">
      <c r="D2132" s="1">
        <v>42542</v>
      </c>
      <c r="E2132">
        <v>3.3891</v>
      </c>
      <c r="F2132" s="1">
        <v>42423</v>
      </c>
      <c r="G2132">
        <v>131</v>
      </c>
      <c r="H2132" s="4">
        <f t="shared" si="232"/>
        <v>443972.10000000003</v>
      </c>
      <c r="I2132" s="5">
        <v>42513</v>
      </c>
      <c r="J2132" s="4">
        <v>5299.11</v>
      </c>
      <c r="K2132" s="4">
        <f t="shared" si="233"/>
        <v>52991.1</v>
      </c>
      <c r="AJ2132" s="1">
        <v>42513</v>
      </c>
      <c r="AL2132">
        <v>12.99</v>
      </c>
      <c r="AM2132" s="6">
        <f t="shared" si="234"/>
        <v>100000</v>
      </c>
      <c r="AN2132" s="2">
        <f t="shared" si="235"/>
        <v>0</v>
      </c>
    </row>
    <row r="2133" spans="4:40" x14ac:dyDescent="0.35">
      <c r="D2133" s="1">
        <v>42541</v>
      </c>
      <c r="E2133">
        <v>3.3828999999999998</v>
      </c>
      <c r="F2133" s="1">
        <v>42416</v>
      </c>
      <c r="G2133">
        <v>130.84399999999999</v>
      </c>
      <c r="H2133" s="4">
        <f t="shared" si="232"/>
        <v>442632.16759999993</v>
      </c>
      <c r="I2133" s="5">
        <v>42510</v>
      </c>
      <c r="J2133" s="4">
        <v>5224.34</v>
      </c>
      <c r="K2133" s="4">
        <f t="shared" si="233"/>
        <v>52243.4</v>
      </c>
      <c r="AJ2133" s="1">
        <v>42510</v>
      </c>
      <c r="AL2133">
        <v>12.63</v>
      </c>
      <c r="AM2133" s="6">
        <f t="shared" si="234"/>
        <v>100000</v>
      </c>
      <c r="AN2133" s="2">
        <f t="shared" si="235"/>
        <v>0</v>
      </c>
    </row>
    <row r="2134" spans="4:40" x14ac:dyDescent="0.35">
      <c r="D2134" s="1">
        <v>42538</v>
      </c>
      <c r="E2134">
        <v>3.4365999999999999</v>
      </c>
      <c r="F2134" s="1">
        <v>42411</v>
      </c>
      <c r="G2134">
        <v>132.31299999999999</v>
      </c>
      <c r="H2134" s="4">
        <f t="shared" si="232"/>
        <v>454706.85579999996</v>
      </c>
      <c r="I2134" s="5">
        <v>42509</v>
      </c>
      <c r="J2134" s="4">
        <v>5294.67</v>
      </c>
      <c r="K2134" s="4">
        <f t="shared" si="233"/>
        <v>52946.7</v>
      </c>
      <c r="AJ2134" s="1">
        <v>42509</v>
      </c>
      <c r="AL2134">
        <v>12.81</v>
      </c>
      <c r="AM2134" s="6">
        <f t="shared" si="234"/>
        <v>100000</v>
      </c>
      <c r="AN2134" s="2">
        <f t="shared" si="235"/>
        <v>0</v>
      </c>
    </row>
    <row r="2135" spans="4:40" x14ac:dyDescent="0.35">
      <c r="D2135" s="1">
        <v>42537</v>
      </c>
      <c r="E2135">
        <v>3.4897999999999998</v>
      </c>
      <c r="F2135" s="1">
        <v>42410</v>
      </c>
      <c r="G2135">
        <v>131.375</v>
      </c>
      <c r="H2135" s="4">
        <f t="shared" si="232"/>
        <v>458472.47499999998</v>
      </c>
      <c r="I2135" s="5">
        <v>42508</v>
      </c>
      <c r="J2135" s="4">
        <v>5300.59</v>
      </c>
      <c r="K2135" s="4">
        <f t="shared" si="233"/>
        <v>53005.9</v>
      </c>
      <c r="AJ2135" s="1">
        <v>42508</v>
      </c>
      <c r="AL2135">
        <v>12.96</v>
      </c>
      <c r="AM2135" s="6">
        <f t="shared" si="234"/>
        <v>100000</v>
      </c>
      <c r="AN2135" s="2">
        <f t="shared" si="235"/>
        <v>0</v>
      </c>
    </row>
    <row r="2136" spans="4:40" x14ac:dyDescent="0.35">
      <c r="D2136" s="1">
        <v>42536</v>
      </c>
      <c r="E2136">
        <v>3.4762</v>
      </c>
      <c r="F2136" s="1">
        <v>42403</v>
      </c>
      <c r="G2136">
        <v>130.10900000000001</v>
      </c>
      <c r="H2136" s="4">
        <f t="shared" si="232"/>
        <v>452284.90580000007</v>
      </c>
      <c r="I2136" s="5">
        <v>42507</v>
      </c>
      <c r="J2136" s="4">
        <v>5183.62</v>
      </c>
      <c r="K2136" s="4">
        <f t="shared" si="233"/>
        <v>51836.2</v>
      </c>
      <c r="AJ2136" s="1">
        <v>42507</v>
      </c>
      <c r="AL2136">
        <v>12.64</v>
      </c>
      <c r="AM2136" s="6">
        <f t="shared" si="234"/>
        <v>100000</v>
      </c>
      <c r="AN2136" s="2">
        <f t="shared" si="235"/>
        <v>0</v>
      </c>
    </row>
    <row r="2137" spans="4:40" x14ac:dyDescent="0.35">
      <c r="D2137" s="1">
        <v>42535</v>
      </c>
      <c r="E2137">
        <v>3.4832999999999998</v>
      </c>
      <c r="F2137" s="1">
        <v>42402</v>
      </c>
      <c r="G2137">
        <v>130.01599999999999</v>
      </c>
      <c r="H2137" s="4">
        <f t="shared" si="232"/>
        <v>452884.73279999994</v>
      </c>
      <c r="I2137" s="5">
        <v>42506</v>
      </c>
      <c r="J2137" s="4">
        <v>5202.87</v>
      </c>
      <c r="K2137" s="4">
        <f t="shared" si="233"/>
        <v>52028.7</v>
      </c>
      <c r="AJ2137" s="1">
        <v>42506</v>
      </c>
      <c r="AL2137">
        <v>12.51</v>
      </c>
      <c r="AM2137" s="6">
        <f t="shared" si="234"/>
        <v>100000</v>
      </c>
      <c r="AN2137" s="2">
        <f t="shared" si="235"/>
        <v>0</v>
      </c>
    </row>
    <row r="2138" spans="4:40" x14ac:dyDescent="0.35">
      <c r="D2138" s="1">
        <v>42534</v>
      </c>
      <c r="E2138">
        <v>3.4527000000000001</v>
      </c>
      <c r="F2138" s="1">
        <v>42395</v>
      </c>
      <c r="G2138">
        <v>128.625</v>
      </c>
      <c r="H2138" s="4">
        <f t="shared" si="232"/>
        <v>444103.53750000003</v>
      </c>
      <c r="I2138" s="5">
        <v>42503</v>
      </c>
      <c r="J2138" s="4">
        <v>5258.39</v>
      </c>
      <c r="K2138" s="4">
        <f t="shared" si="233"/>
        <v>52583.9</v>
      </c>
      <c r="AJ2138" s="1">
        <v>42503</v>
      </c>
      <c r="AL2138">
        <v>12.44</v>
      </c>
      <c r="AM2138" s="6">
        <f t="shared" si="234"/>
        <v>100000</v>
      </c>
      <c r="AN2138" s="2">
        <f t="shared" si="235"/>
        <v>0</v>
      </c>
    </row>
    <row r="2139" spans="4:40" x14ac:dyDescent="0.35">
      <c r="D2139" s="1">
        <v>42531</v>
      </c>
      <c r="E2139">
        <v>3.4255</v>
      </c>
      <c r="F2139" s="1">
        <v>42391</v>
      </c>
      <c r="G2139">
        <v>128.39099999999999</v>
      </c>
      <c r="H2139" s="4">
        <f t="shared" si="232"/>
        <v>439803.37049999996</v>
      </c>
      <c r="I2139" s="5">
        <v>42502</v>
      </c>
      <c r="J2139" s="4">
        <v>5187.32</v>
      </c>
      <c r="K2139" s="4">
        <f t="shared" si="233"/>
        <v>51873.2</v>
      </c>
      <c r="AJ2139" s="1">
        <v>42502</v>
      </c>
      <c r="AL2139">
        <v>12.36</v>
      </c>
      <c r="AM2139" s="6">
        <f t="shared" si="234"/>
        <v>100000</v>
      </c>
      <c r="AN2139" s="2">
        <f t="shared" si="235"/>
        <v>0</v>
      </c>
    </row>
    <row r="2140" spans="4:40" x14ac:dyDescent="0.35">
      <c r="D2140" s="1">
        <v>42530</v>
      </c>
      <c r="E2140">
        <v>3.3811</v>
      </c>
      <c r="F2140" s="1">
        <v>42390</v>
      </c>
      <c r="G2140">
        <v>128.64099999999999</v>
      </c>
      <c r="H2140" s="4">
        <f t="shared" si="232"/>
        <v>434948.08509999997</v>
      </c>
      <c r="I2140" s="5">
        <v>42501</v>
      </c>
      <c r="J2140" s="4">
        <v>5136.9799999999996</v>
      </c>
      <c r="K2140" s="4">
        <f t="shared" si="233"/>
        <v>51369.799999999996</v>
      </c>
      <c r="AJ2140" s="1">
        <v>42501</v>
      </c>
      <c r="AL2140">
        <v>12.5</v>
      </c>
      <c r="AM2140" s="6">
        <f t="shared" si="234"/>
        <v>100000</v>
      </c>
      <c r="AN2140" s="2">
        <f t="shared" si="235"/>
        <v>0</v>
      </c>
    </row>
    <row r="2141" spans="4:40" x14ac:dyDescent="0.35">
      <c r="D2141" s="1">
        <v>42529</v>
      </c>
      <c r="E2141">
        <v>3.3892000000000002</v>
      </c>
      <c r="F2141" s="1">
        <v>42389</v>
      </c>
      <c r="G2141">
        <v>129.047</v>
      </c>
      <c r="H2141" s="4">
        <f t="shared" si="232"/>
        <v>437366.09240000002</v>
      </c>
      <c r="I2141" s="5">
        <v>42500</v>
      </c>
      <c r="J2141" s="4">
        <v>5179.92</v>
      </c>
      <c r="K2141" s="4">
        <f t="shared" si="233"/>
        <v>51799.199999999997</v>
      </c>
      <c r="AJ2141" s="1">
        <v>42500</v>
      </c>
      <c r="AL2141">
        <v>12.63</v>
      </c>
      <c r="AM2141" s="6">
        <f t="shared" si="234"/>
        <v>100000</v>
      </c>
      <c r="AN2141" s="2">
        <f t="shared" si="235"/>
        <v>0</v>
      </c>
    </row>
    <row r="2142" spans="4:40" x14ac:dyDescent="0.35">
      <c r="D2142" s="1">
        <v>42528</v>
      </c>
      <c r="E2142">
        <v>3.4739</v>
      </c>
      <c r="F2142" s="1">
        <v>42387</v>
      </c>
      <c r="G2142">
        <v>128.53100000000001</v>
      </c>
      <c r="H2142" s="4">
        <f t="shared" si="232"/>
        <v>446503.84090000001</v>
      </c>
      <c r="I2142" s="5">
        <v>42499</v>
      </c>
      <c r="J2142" s="4">
        <v>5243.59</v>
      </c>
      <c r="K2142" s="4">
        <f t="shared" si="233"/>
        <v>52435.9</v>
      </c>
      <c r="AJ2142" s="1">
        <v>42499</v>
      </c>
      <c r="AL2142">
        <v>12.94</v>
      </c>
      <c r="AM2142" s="6">
        <f t="shared" si="234"/>
        <v>100000</v>
      </c>
      <c r="AN2142" s="2">
        <f t="shared" si="235"/>
        <v>0</v>
      </c>
    </row>
    <row r="2143" spans="4:40" x14ac:dyDescent="0.35">
      <c r="D2143" s="1">
        <v>42527</v>
      </c>
      <c r="E2143">
        <v>3.5091999999999999</v>
      </c>
      <c r="F2143" s="1">
        <v>42383</v>
      </c>
      <c r="G2143">
        <v>128.01599999999999</v>
      </c>
      <c r="H2143" s="4">
        <f t="shared" si="232"/>
        <v>449233.74719999993</v>
      </c>
      <c r="I2143" s="5">
        <v>42496</v>
      </c>
      <c r="J2143" s="4">
        <v>5219.16</v>
      </c>
      <c r="K2143" s="4">
        <f t="shared" si="233"/>
        <v>52191.6</v>
      </c>
      <c r="AJ2143" s="1">
        <v>42496</v>
      </c>
      <c r="AL2143">
        <v>12.82</v>
      </c>
      <c r="AM2143" s="6">
        <f t="shared" si="234"/>
        <v>100000</v>
      </c>
      <c r="AN2143" s="2">
        <f t="shared" si="235"/>
        <v>0</v>
      </c>
    </row>
    <row r="2144" spans="4:40" x14ac:dyDescent="0.35">
      <c r="D2144" s="1">
        <v>42524</v>
      </c>
      <c r="E2144">
        <v>3.5402999999999998</v>
      </c>
      <c r="F2144" s="1">
        <v>42382</v>
      </c>
      <c r="G2144">
        <v>128.125</v>
      </c>
      <c r="H2144" s="4">
        <f t="shared" si="232"/>
        <v>453600.9375</v>
      </c>
      <c r="I2144" s="5">
        <v>42495</v>
      </c>
      <c r="J2144" s="4">
        <v>5271.72</v>
      </c>
      <c r="K2144" s="4">
        <f t="shared" si="233"/>
        <v>52717.200000000004</v>
      </c>
      <c r="AJ2144" s="1">
        <v>42495</v>
      </c>
      <c r="AL2144">
        <v>12.74</v>
      </c>
      <c r="AM2144" s="6">
        <f t="shared" si="234"/>
        <v>100000</v>
      </c>
      <c r="AN2144" s="2">
        <f t="shared" si="235"/>
        <v>0</v>
      </c>
    </row>
    <row r="2145" spans="4:40" x14ac:dyDescent="0.35">
      <c r="D2145" s="1">
        <v>42523</v>
      </c>
      <c r="E2145">
        <v>3.5954999999999999</v>
      </c>
      <c r="F2145" s="1">
        <v>42380</v>
      </c>
      <c r="G2145">
        <v>127.28100000000001</v>
      </c>
      <c r="H2145" s="4">
        <f t="shared" si="232"/>
        <v>457638.83550000004</v>
      </c>
      <c r="I2145" s="5">
        <v>42494</v>
      </c>
      <c r="J2145" s="4">
        <v>5294.67</v>
      </c>
      <c r="K2145" s="4">
        <f t="shared" si="233"/>
        <v>52946.7</v>
      </c>
      <c r="AJ2145" s="1">
        <v>42494</v>
      </c>
      <c r="AL2145">
        <v>12.87</v>
      </c>
      <c r="AM2145" s="6">
        <f t="shared" si="234"/>
        <v>100000</v>
      </c>
      <c r="AN2145" s="2">
        <f t="shared" si="235"/>
        <v>0</v>
      </c>
    </row>
    <row r="2146" spans="4:40" x14ac:dyDescent="0.35">
      <c r="D2146" s="1">
        <v>42522</v>
      </c>
      <c r="E2146">
        <v>3.6120000000000001</v>
      </c>
      <c r="F2146" s="1">
        <v>42377</v>
      </c>
      <c r="G2146">
        <v>127.10899999999999</v>
      </c>
      <c r="H2146" s="4">
        <f t="shared" si="232"/>
        <v>459117.70799999998</v>
      </c>
      <c r="I2146" s="5">
        <v>42493</v>
      </c>
      <c r="J2146" s="4">
        <v>5310.21</v>
      </c>
      <c r="K2146" s="4">
        <f t="shared" si="233"/>
        <v>53102.1</v>
      </c>
      <c r="AJ2146" s="1">
        <v>42493</v>
      </c>
      <c r="AL2146">
        <v>12.68</v>
      </c>
      <c r="AM2146" s="6">
        <f t="shared" si="234"/>
        <v>100000</v>
      </c>
      <c r="AN2146" s="2">
        <f t="shared" si="235"/>
        <v>0</v>
      </c>
    </row>
    <row r="2147" spans="4:40" x14ac:dyDescent="0.35">
      <c r="D2147" s="1">
        <v>42521</v>
      </c>
      <c r="E2147">
        <v>3.5945</v>
      </c>
      <c r="F2147" s="1">
        <v>42376</v>
      </c>
      <c r="G2147">
        <v>127.09399999999999</v>
      </c>
      <c r="H2147" s="4">
        <f t="shared" si="232"/>
        <v>456839.38299999997</v>
      </c>
      <c r="I2147" s="5">
        <v>42492</v>
      </c>
      <c r="J2147" s="4">
        <v>5232.4799999999996</v>
      </c>
      <c r="K2147" s="4">
        <f t="shared" si="233"/>
        <v>52324.799999999996</v>
      </c>
      <c r="AJ2147" s="1">
        <v>42492</v>
      </c>
      <c r="AL2147">
        <v>12.64</v>
      </c>
      <c r="AM2147" s="6">
        <f t="shared" si="234"/>
        <v>100000</v>
      </c>
      <c r="AN2147" s="2">
        <f t="shared" si="235"/>
        <v>0</v>
      </c>
    </row>
    <row r="2148" spans="4:40" x14ac:dyDescent="0.35">
      <c r="D2148" s="1">
        <v>42520</v>
      </c>
      <c r="E2148">
        <v>3.5991</v>
      </c>
      <c r="F2148" s="1">
        <v>42375</v>
      </c>
      <c r="G2148">
        <v>126.65600000000001</v>
      </c>
      <c r="H2148" s="4">
        <f t="shared" si="232"/>
        <v>455847.60960000003</v>
      </c>
      <c r="I2148" s="5">
        <v>42489</v>
      </c>
      <c r="J2148" s="4">
        <v>5136.24</v>
      </c>
      <c r="K2148" s="4">
        <f t="shared" si="233"/>
        <v>51362.399999999994</v>
      </c>
      <c r="AJ2148" s="1">
        <v>42489</v>
      </c>
      <c r="AL2148">
        <v>12.66</v>
      </c>
      <c r="AM2148" s="6">
        <f t="shared" si="234"/>
        <v>100000</v>
      </c>
      <c r="AN2148" s="2">
        <f t="shared" si="235"/>
        <v>0</v>
      </c>
    </row>
    <row r="2149" spans="4:40" x14ac:dyDescent="0.35">
      <c r="D2149" s="1">
        <v>42517</v>
      </c>
      <c r="E2149">
        <v>3.6162000000000001</v>
      </c>
      <c r="F2149" s="1">
        <v>42373</v>
      </c>
      <c r="G2149">
        <v>126.39100000000001</v>
      </c>
      <c r="H2149" s="4">
        <f t="shared" si="232"/>
        <v>457055.13420000003</v>
      </c>
      <c r="I2149" s="5">
        <v>42488</v>
      </c>
      <c r="J2149" s="4">
        <v>5216.2</v>
      </c>
      <c r="K2149" s="4">
        <f t="shared" si="233"/>
        <v>52162</v>
      </c>
      <c r="AJ2149" s="1">
        <v>42488</v>
      </c>
      <c r="AL2149">
        <v>12.96</v>
      </c>
      <c r="AM2149" s="6">
        <f t="shared" si="234"/>
        <v>100000</v>
      </c>
      <c r="AN2149" s="2">
        <f t="shared" si="235"/>
        <v>0</v>
      </c>
    </row>
    <row r="2150" spans="4:40" x14ac:dyDescent="0.35">
      <c r="D2150" s="1">
        <v>42515</v>
      </c>
      <c r="E2150">
        <v>3.5798000000000001</v>
      </c>
      <c r="F2150" s="1">
        <v>42368</v>
      </c>
      <c r="G2150">
        <v>125.5</v>
      </c>
      <c r="H2150" s="4">
        <f t="shared" si="232"/>
        <v>449264.9</v>
      </c>
      <c r="I2150" s="5">
        <v>42487</v>
      </c>
      <c r="J2150" s="4">
        <v>5267.71</v>
      </c>
      <c r="K2150" s="4">
        <f t="shared" si="233"/>
        <v>52677.1</v>
      </c>
      <c r="AJ2150" s="1">
        <v>42487</v>
      </c>
      <c r="AL2150">
        <v>12.82</v>
      </c>
      <c r="AM2150" s="6">
        <f t="shared" si="234"/>
        <v>100000</v>
      </c>
      <c r="AN2150" s="2">
        <f t="shared" si="235"/>
        <v>0</v>
      </c>
    </row>
    <row r="2151" spans="4:40" x14ac:dyDescent="0.35">
      <c r="D2151" s="1">
        <v>42514</v>
      </c>
      <c r="E2151">
        <v>3.5485000000000002</v>
      </c>
      <c r="F2151" s="1">
        <v>42367</v>
      </c>
      <c r="G2151">
        <v>125.875</v>
      </c>
      <c r="H2151" s="4">
        <f t="shared" si="232"/>
        <v>446667.4375</v>
      </c>
      <c r="I2151" s="5">
        <v>42486</v>
      </c>
      <c r="J2151" s="4">
        <v>5275.17</v>
      </c>
      <c r="K2151" s="4">
        <f t="shared" si="233"/>
        <v>52751.7</v>
      </c>
      <c r="AJ2151" s="1">
        <v>42486</v>
      </c>
      <c r="AL2151">
        <v>13.03</v>
      </c>
      <c r="AM2151" s="6">
        <f t="shared" si="234"/>
        <v>100000</v>
      </c>
      <c r="AN2151" s="2">
        <f t="shared" si="235"/>
        <v>0</v>
      </c>
    </row>
    <row r="2152" spans="4:40" x14ac:dyDescent="0.35">
      <c r="D2152" s="1">
        <v>42513</v>
      </c>
      <c r="E2152">
        <v>3.5653999999999999</v>
      </c>
      <c r="F2152" s="1">
        <v>42356</v>
      </c>
      <c r="G2152">
        <v>126.51600000000001</v>
      </c>
      <c r="H2152" s="4">
        <f t="shared" si="232"/>
        <v>451080.14639999997</v>
      </c>
      <c r="I2152" s="5">
        <v>42485</v>
      </c>
      <c r="J2152" s="4">
        <v>5330.42</v>
      </c>
      <c r="K2152" s="4">
        <f t="shared" si="233"/>
        <v>53304.2</v>
      </c>
      <c r="AJ2152" s="1">
        <v>42485</v>
      </c>
      <c r="AL2152">
        <v>13.05</v>
      </c>
      <c r="AM2152" s="6">
        <f t="shared" si="234"/>
        <v>100000</v>
      </c>
      <c r="AN2152" s="2">
        <f t="shared" si="235"/>
        <v>0</v>
      </c>
    </row>
    <row r="2153" spans="4:40" x14ac:dyDescent="0.35">
      <c r="D2153" s="1">
        <v>42510</v>
      </c>
      <c r="E2153">
        <v>3.5413000000000001</v>
      </c>
      <c r="F2153" s="1">
        <v>42353</v>
      </c>
      <c r="G2153">
        <v>126.03100000000001</v>
      </c>
      <c r="H2153" s="4">
        <f t="shared" si="232"/>
        <v>446313.58030000003</v>
      </c>
      <c r="I2153" s="5">
        <v>42482</v>
      </c>
      <c r="J2153" s="4">
        <v>5336.39</v>
      </c>
      <c r="K2153" s="4">
        <f t="shared" si="233"/>
        <v>53363.9</v>
      </c>
      <c r="AJ2153" s="1">
        <v>42482</v>
      </c>
      <c r="AL2153">
        <v>13.17</v>
      </c>
      <c r="AM2153" s="6">
        <f t="shared" si="234"/>
        <v>100000</v>
      </c>
      <c r="AN2153" s="2">
        <f t="shared" si="235"/>
        <v>0</v>
      </c>
    </row>
    <row r="2154" spans="4:40" x14ac:dyDescent="0.35">
      <c r="D2154" s="1">
        <v>42509</v>
      </c>
      <c r="E2154">
        <v>3.5996999999999999</v>
      </c>
      <c r="F2154" s="1">
        <v>42352</v>
      </c>
      <c r="G2154">
        <v>127.047</v>
      </c>
      <c r="H2154" s="4">
        <f t="shared" si="232"/>
        <v>457331.08589999995</v>
      </c>
      <c r="I2154" s="5">
        <v>42480</v>
      </c>
      <c r="J2154" s="4">
        <v>5278.16</v>
      </c>
      <c r="K2154" s="4">
        <f t="shared" si="233"/>
        <v>52781.599999999999</v>
      </c>
      <c r="AJ2154" s="1">
        <v>42480</v>
      </c>
      <c r="AL2154">
        <v>13.21</v>
      </c>
      <c r="AM2154" s="6">
        <f t="shared" si="234"/>
        <v>100000</v>
      </c>
      <c r="AN2154" s="2">
        <f t="shared" si="235"/>
        <v>0</v>
      </c>
    </row>
    <row r="2155" spans="4:40" x14ac:dyDescent="0.35">
      <c r="D2155" s="1">
        <v>42508</v>
      </c>
      <c r="E2155">
        <v>3.5362</v>
      </c>
      <c r="F2155" s="1">
        <v>42349</v>
      </c>
      <c r="G2155">
        <v>126.96899999999999</v>
      </c>
      <c r="H2155" s="4">
        <f t="shared" si="232"/>
        <v>448987.77779999998</v>
      </c>
      <c r="I2155" s="5">
        <v>42479</v>
      </c>
      <c r="J2155" s="4">
        <v>5291.6</v>
      </c>
      <c r="K2155" s="4">
        <f t="shared" si="233"/>
        <v>52916</v>
      </c>
      <c r="AJ2155" s="1">
        <v>42479</v>
      </c>
      <c r="AL2155">
        <v>13.24</v>
      </c>
      <c r="AM2155" s="6">
        <f t="shared" si="234"/>
        <v>100000</v>
      </c>
      <c r="AN2155" s="2">
        <f t="shared" si="235"/>
        <v>0</v>
      </c>
    </row>
    <row r="2156" spans="4:40" x14ac:dyDescent="0.35">
      <c r="D2156" s="1">
        <v>42507</v>
      </c>
      <c r="E2156">
        <v>3.5030999999999999</v>
      </c>
      <c r="F2156" s="1">
        <v>42345</v>
      </c>
      <c r="G2156">
        <v>126.35899999999999</v>
      </c>
      <c r="H2156" s="4">
        <f t="shared" si="232"/>
        <v>442648.21289999998</v>
      </c>
      <c r="I2156" s="5">
        <v>42478</v>
      </c>
      <c r="J2156" s="4">
        <v>5418.51</v>
      </c>
      <c r="K2156" s="4">
        <f t="shared" si="233"/>
        <v>54185.100000000006</v>
      </c>
      <c r="AJ2156" s="1">
        <v>42478</v>
      </c>
      <c r="AL2156">
        <v>13.17</v>
      </c>
      <c r="AM2156" s="6">
        <f t="shared" si="234"/>
        <v>100000</v>
      </c>
      <c r="AN2156" s="2">
        <f t="shared" si="235"/>
        <v>0</v>
      </c>
    </row>
    <row r="2157" spans="4:40" x14ac:dyDescent="0.35">
      <c r="D2157" s="1">
        <v>42506</v>
      </c>
      <c r="E2157">
        <v>3.5028999999999999</v>
      </c>
      <c r="F2157" s="1">
        <v>42342</v>
      </c>
      <c r="G2157">
        <v>125.60899999999999</v>
      </c>
      <c r="H2157" s="4">
        <f t="shared" si="232"/>
        <v>439995.76609999995</v>
      </c>
      <c r="I2157" s="5">
        <v>42475</v>
      </c>
      <c r="J2157" s="4">
        <v>5293.09</v>
      </c>
      <c r="K2157" s="4">
        <f t="shared" si="233"/>
        <v>52930.9</v>
      </c>
      <c r="AJ2157" s="1">
        <v>42475</v>
      </c>
      <c r="AL2157">
        <v>13.27</v>
      </c>
      <c r="AM2157" s="6">
        <f t="shared" si="234"/>
        <v>100000</v>
      </c>
      <c r="AN2157" s="2">
        <f t="shared" si="235"/>
        <v>0</v>
      </c>
    </row>
    <row r="2158" spans="4:40" x14ac:dyDescent="0.35">
      <c r="D2158" s="1">
        <v>42503</v>
      </c>
      <c r="E2158">
        <v>3.5034999999999998</v>
      </c>
      <c r="F2158" s="1">
        <v>42341</v>
      </c>
      <c r="G2158">
        <v>125.438</v>
      </c>
      <c r="H2158" s="4">
        <f t="shared" si="232"/>
        <v>439472.033</v>
      </c>
      <c r="I2158" s="5">
        <v>42474</v>
      </c>
      <c r="J2158" s="4">
        <v>5228.8900000000003</v>
      </c>
      <c r="K2158" s="4">
        <f t="shared" si="233"/>
        <v>52288.9</v>
      </c>
      <c r="AJ2158" s="1">
        <v>42474</v>
      </c>
      <c r="AL2158">
        <v>13.28</v>
      </c>
      <c r="AM2158" s="6">
        <f t="shared" si="234"/>
        <v>100000</v>
      </c>
      <c r="AN2158" s="2">
        <f t="shared" si="235"/>
        <v>0</v>
      </c>
    </row>
    <row r="2159" spans="4:40" x14ac:dyDescent="0.35">
      <c r="D2159" s="1">
        <v>42502</v>
      </c>
      <c r="E2159">
        <v>3.4870999999999999</v>
      </c>
      <c r="F2159" s="1">
        <v>42338</v>
      </c>
      <c r="G2159">
        <v>126.5</v>
      </c>
      <c r="H2159" s="4">
        <f t="shared" si="232"/>
        <v>441118.14999999997</v>
      </c>
      <c r="I2159" s="5">
        <v>42473</v>
      </c>
      <c r="J2159" s="4">
        <v>5252.78</v>
      </c>
      <c r="K2159" s="4">
        <f t="shared" si="233"/>
        <v>52527.799999999996</v>
      </c>
      <c r="AJ2159" s="1">
        <v>42473</v>
      </c>
      <c r="AL2159">
        <v>13.44</v>
      </c>
      <c r="AM2159" s="6">
        <f t="shared" si="234"/>
        <v>100000</v>
      </c>
      <c r="AN2159" s="2">
        <f t="shared" si="235"/>
        <v>0</v>
      </c>
    </row>
    <row r="2160" spans="4:40" x14ac:dyDescent="0.35">
      <c r="D2160" s="1">
        <v>42501</v>
      </c>
      <c r="E2160">
        <v>3.4639000000000002</v>
      </c>
      <c r="F2160" s="1">
        <v>42335</v>
      </c>
      <c r="G2160">
        <v>127.01600000000001</v>
      </c>
      <c r="H2160" s="4">
        <f t="shared" si="232"/>
        <v>439970.72240000003</v>
      </c>
      <c r="I2160" s="5">
        <v>42472</v>
      </c>
      <c r="J2160" s="4">
        <v>5244.57</v>
      </c>
      <c r="K2160" s="4">
        <f t="shared" si="233"/>
        <v>52445.7</v>
      </c>
      <c r="AJ2160" s="1">
        <v>42472</v>
      </c>
      <c r="AL2160">
        <v>13.73</v>
      </c>
      <c r="AM2160" s="6">
        <f t="shared" si="234"/>
        <v>100000</v>
      </c>
      <c r="AN2160" s="2">
        <f t="shared" si="235"/>
        <v>0</v>
      </c>
    </row>
    <row r="2161" spans="4:40" x14ac:dyDescent="0.35">
      <c r="D2161" s="1">
        <v>42500</v>
      </c>
      <c r="E2161">
        <v>3.4765999999999999</v>
      </c>
      <c r="F2161" s="1">
        <v>42334</v>
      </c>
      <c r="G2161">
        <v>127.01600000000001</v>
      </c>
      <c r="H2161" s="4">
        <f t="shared" si="232"/>
        <v>441583.82560000004</v>
      </c>
      <c r="I2161" s="5">
        <v>42471</v>
      </c>
      <c r="J2161" s="4">
        <v>5246.8</v>
      </c>
      <c r="K2161" s="4">
        <f t="shared" si="233"/>
        <v>52468</v>
      </c>
      <c r="AJ2161" s="1">
        <v>42471</v>
      </c>
      <c r="AL2161">
        <v>13.97</v>
      </c>
      <c r="AM2161" s="6">
        <f t="shared" si="234"/>
        <v>100000</v>
      </c>
      <c r="AN2161" s="2">
        <f t="shared" si="235"/>
        <v>0</v>
      </c>
    </row>
    <row r="2162" spans="4:40" x14ac:dyDescent="0.35">
      <c r="D2162" s="1">
        <v>42499</v>
      </c>
      <c r="E2162">
        <v>3.5379999999999998</v>
      </c>
      <c r="F2162" s="1">
        <v>42333</v>
      </c>
      <c r="G2162">
        <v>127</v>
      </c>
      <c r="H2162" s="4">
        <f t="shared" si="232"/>
        <v>449325.99999999994</v>
      </c>
      <c r="I2162" s="5">
        <v>42468</v>
      </c>
      <c r="J2162" s="4">
        <v>5394.62</v>
      </c>
      <c r="K2162" s="4">
        <f t="shared" si="233"/>
        <v>53946.2</v>
      </c>
      <c r="AJ2162" s="1">
        <v>42468</v>
      </c>
      <c r="AL2162">
        <v>14.14</v>
      </c>
      <c r="AM2162" s="6">
        <f t="shared" si="234"/>
        <v>100000</v>
      </c>
      <c r="AN2162" s="2">
        <f t="shared" si="235"/>
        <v>0</v>
      </c>
    </row>
    <row r="2163" spans="4:40" x14ac:dyDescent="0.35">
      <c r="D2163" s="1">
        <v>42496</v>
      </c>
      <c r="E2163">
        <v>3.5356000000000001</v>
      </c>
      <c r="F2163" s="1">
        <v>42331</v>
      </c>
      <c r="G2163">
        <v>126.75</v>
      </c>
      <c r="H2163" s="4">
        <f t="shared" si="232"/>
        <v>448137.3</v>
      </c>
      <c r="I2163" s="5">
        <v>42467</v>
      </c>
      <c r="J2163" s="4">
        <v>5549.16</v>
      </c>
      <c r="K2163" s="4">
        <f t="shared" si="233"/>
        <v>55491.6</v>
      </c>
      <c r="AJ2163" s="1">
        <v>42467</v>
      </c>
      <c r="AL2163">
        <v>14.53</v>
      </c>
      <c r="AM2163" s="6">
        <f t="shared" si="234"/>
        <v>100000</v>
      </c>
      <c r="AN2163" s="2">
        <f t="shared" si="235"/>
        <v>0</v>
      </c>
    </row>
    <row r="2164" spans="4:40" x14ac:dyDescent="0.35">
      <c r="D2164" s="1">
        <v>42495</v>
      </c>
      <c r="E2164">
        <v>3.5289999999999999</v>
      </c>
      <c r="F2164" s="1">
        <v>42325</v>
      </c>
      <c r="G2164">
        <v>126.688</v>
      </c>
      <c r="H2164" s="4">
        <f t="shared" si="232"/>
        <v>447081.95199999999</v>
      </c>
      <c r="I2164" s="5">
        <v>42466</v>
      </c>
      <c r="J2164" s="4">
        <v>5477.49</v>
      </c>
      <c r="K2164" s="4">
        <f t="shared" si="233"/>
        <v>54774.899999999994</v>
      </c>
      <c r="AJ2164" s="1">
        <v>42466</v>
      </c>
      <c r="AL2164">
        <v>14.54</v>
      </c>
      <c r="AM2164" s="6">
        <f t="shared" si="234"/>
        <v>100000</v>
      </c>
      <c r="AN2164" s="2">
        <f t="shared" si="235"/>
        <v>0</v>
      </c>
    </row>
    <row r="2165" spans="4:40" x14ac:dyDescent="0.35">
      <c r="D2165" s="1">
        <v>42494</v>
      </c>
      <c r="E2165">
        <v>3.5390999999999999</v>
      </c>
      <c r="F2165" s="1">
        <v>42324</v>
      </c>
      <c r="G2165">
        <v>126.71899999999999</v>
      </c>
      <c r="H2165" s="4">
        <f t="shared" si="232"/>
        <v>448471.21289999993</v>
      </c>
      <c r="I2165" s="5">
        <v>42465</v>
      </c>
      <c r="J2165" s="4">
        <v>5529</v>
      </c>
      <c r="K2165" s="4">
        <f t="shared" si="233"/>
        <v>55290</v>
      </c>
      <c r="AJ2165" s="1">
        <v>42465</v>
      </c>
      <c r="AL2165">
        <v>14.43</v>
      </c>
      <c r="AM2165" s="6">
        <f t="shared" si="234"/>
        <v>100000</v>
      </c>
      <c r="AN2165" s="2">
        <f t="shared" si="235"/>
        <v>0</v>
      </c>
    </row>
    <row r="2166" spans="4:40" x14ac:dyDescent="0.35">
      <c r="D2166" s="1">
        <v>42493</v>
      </c>
      <c r="E2166">
        <v>3.5543999999999998</v>
      </c>
      <c r="F2166" s="1">
        <v>42321</v>
      </c>
      <c r="G2166">
        <v>126.625</v>
      </c>
      <c r="H2166" s="4">
        <f t="shared" si="232"/>
        <v>450075.89999999997</v>
      </c>
      <c r="I2166" s="5">
        <v>42464</v>
      </c>
      <c r="J2166" s="4">
        <v>5448.38</v>
      </c>
      <c r="K2166" s="4">
        <f t="shared" si="233"/>
        <v>54483.8</v>
      </c>
      <c r="AJ2166" s="1">
        <v>42464</v>
      </c>
      <c r="AL2166">
        <v>14.38</v>
      </c>
      <c r="AM2166" s="6">
        <f t="shared" si="234"/>
        <v>100000</v>
      </c>
      <c r="AN2166" s="2">
        <f t="shared" si="235"/>
        <v>0</v>
      </c>
    </row>
    <row r="2167" spans="4:40" x14ac:dyDescent="0.35">
      <c r="D2167" s="1">
        <v>42492</v>
      </c>
      <c r="E2167">
        <v>3.4984999999999999</v>
      </c>
      <c r="F2167" s="1">
        <v>42319</v>
      </c>
      <c r="G2167">
        <v>126.14100000000001</v>
      </c>
      <c r="H2167" s="4">
        <f t="shared" si="232"/>
        <v>441304.28849999997</v>
      </c>
      <c r="I2167" s="5">
        <v>42461</v>
      </c>
      <c r="J2167" s="4">
        <v>5340.87</v>
      </c>
      <c r="K2167" s="4">
        <f t="shared" si="233"/>
        <v>53408.7</v>
      </c>
      <c r="AJ2167" s="1">
        <v>42461</v>
      </c>
      <c r="AL2167">
        <v>14.09</v>
      </c>
      <c r="AM2167" s="6">
        <f t="shared" si="234"/>
        <v>100000</v>
      </c>
      <c r="AN2167" s="2">
        <f t="shared" si="235"/>
        <v>0</v>
      </c>
    </row>
    <row r="2168" spans="4:40" x14ac:dyDescent="0.35">
      <c r="D2168" s="1">
        <v>42489</v>
      </c>
      <c r="E2168">
        <v>3.4502000000000002</v>
      </c>
      <c r="F2168" s="1">
        <v>42318</v>
      </c>
      <c r="G2168">
        <v>126.21899999999999</v>
      </c>
      <c r="H2168" s="4">
        <f t="shared" si="232"/>
        <v>435480.79380000004</v>
      </c>
      <c r="I2168" s="5">
        <v>42460</v>
      </c>
      <c r="J2168" s="4">
        <v>5408.06</v>
      </c>
      <c r="K2168" s="4">
        <f t="shared" si="233"/>
        <v>54080.600000000006</v>
      </c>
      <c r="AJ2168" s="1">
        <v>42460</v>
      </c>
      <c r="AL2168">
        <v>14.24</v>
      </c>
      <c r="AM2168" s="6">
        <f t="shared" si="234"/>
        <v>100000</v>
      </c>
      <c r="AN2168" s="2">
        <f t="shared" si="235"/>
        <v>0</v>
      </c>
    </row>
    <row r="2169" spans="4:40" x14ac:dyDescent="0.35">
      <c r="D2169" s="1">
        <v>42488</v>
      </c>
      <c r="E2169">
        <v>3.4986000000000002</v>
      </c>
      <c r="F2169" s="1">
        <v>42314</v>
      </c>
      <c r="G2169">
        <v>125.938</v>
      </c>
      <c r="H2169" s="4">
        <f t="shared" si="232"/>
        <v>440606.68680000002</v>
      </c>
      <c r="I2169" s="5">
        <v>42459</v>
      </c>
      <c r="J2169" s="4">
        <v>5406.57</v>
      </c>
      <c r="K2169" s="4">
        <f t="shared" si="233"/>
        <v>54065.7</v>
      </c>
      <c r="AJ2169" s="1">
        <v>42459</v>
      </c>
      <c r="AL2169">
        <v>14.07</v>
      </c>
      <c r="AM2169" s="6">
        <f t="shared" si="234"/>
        <v>100000</v>
      </c>
      <c r="AN2169" s="2">
        <f t="shared" si="235"/>
        <v>0</v>
      </c>
    </row>
    <row r="2170" spans="4:40" x14ac:dyDescent="0.35">
      <c r="D2170" s="1">
        <v>42487</v>
      </c>
      <c r="E2170">
        <v>3.5289000000000001</v>
      </c>
      <c r="F2170" s="1">
        <v>42313</v>
      </c>
      <c r="G2170">
        <v>126.688</v>
      </c>
      <c r="H2170" s="4">
        <f t="shared" si="232"/>
        <v>447069.28320000001</v>
      </c>
      <c r="I2170" s="5">
        <v>42458</v>
      </c>
      <c r="J2170" s="4">
        <v>5473.4</v>
      </c>
      <c r="K2170" s="4">
        <f t="shared" si="233"/>
        <v>54734</v>
      </c>
      <c r="AJ2170" s="1">
        <v>42458</v>
      </c>
      <c r="AL2170">
        <v>13.96</v>
      </c>
      <c r="AM2170" s="6">
        <f t="shared" si="234"/>
        <v>100000</v>
      </c>
      <c r="AN2170" s="2">
        <f t="shared" si="235"/>
        <v>0</v>
      </c>
    </row>
    <row r="2171" spans="4:40" x14ac:dyDescent="0.35">
      <c r="D2171" s="1">
        <v>42486</v>
      </c>
      <c r="E2171">
        <v>3.5293999999999999</v>
      </c>
      <c r="F2171" s="1">
        <v>42312</v>
      </c>
      <c r="G2171">
        <v>126.90600000000001</v>
      </c>
      <c r="H2171" s="4">
        <f t="shared" si="232"/>
        <v>447902.03639999998</v>
      </c>
      <c r="I2171" s="5">
        <v>42457</v>
      </c>
      <c r="J2171" s="4">
        <v>5455.38</v>
      </c>
      <c r="K2171" s="4">
        <f t="shared" si="233"/>
        <v>54553.8</v>
      </c>
      <c r="AJ2171" s="1">
        <v>42457</v>
      </c>
      <c r="AL2171">
        <v>14.19</v>
      </c>
      <c r="AM2171" s="6">
        <f t="shared" si="234"/>
        <v>100000</v>
      </c>
      <c r="AN2171" s="2">
        <f t="shared" si="235"/>
        <v>0</v>
      </c>
    </row>
    <row r="2172" spans="4:40" x14ac:dyDescent="0.35">
      <c r="D2172" s="1">
        <v>42485</v>
      </c>
      <c r="E2172">
        <v>3.5466000000000002</v>
      </c>
      <c r="F2172" s="1">
        <v>42311</v>
      </c>
      <c r="G2172">
        <v>127.547</v>
      </c>
      <c r="H2172" s="4">
        <f t="shared" si="232"/>
        <v>452358.19020000001</v>
      </c>
      <c r="I2172" s="5">
        <v>42453</v>
      </c>
      <c r="J2172" s="4">
        <v>5534.22</v>
      </c>
      <c r="K2172" s="4">
        <f t="shared" si="233"/>
        <v>55342.200000000004</v>
      </c>
      <c r="AJ2172" s="1">
        <v>42453</v>
      </c>
      <c r="AL2172">
        <v>14.53</v>
      </c>
      <c r="AM2172" s="6">
        <f t="shared" si="234"/>
        <v>100000</v>
      </c>
      <c r="AN2172" s="2">
        <f t="shared" si="235"/>
        <v>0</v>
      </c>
    </row>
    <row r="2173" spans="4:40" x14ac:dyDescent="0.35">
      <c r="D2173" s="1">
        <v>42482</v>
      </c>
      <c r="E2173">
        <v>3.5823</v>
      </c>
      <c r="F2173" s="1">
        <v>42306</v>
      </c>
      <c r="G2173">
        <v>127.688</v>
      </c>
      <c r="H2173" s="4">
        <f t="shared" si="232"/>
        <v>457416.72240000003</v>
      </c>
      <c r="I2173" s="5">
        <v>42452</v>
      </c>
      <c r="J2173" s="4">
        <v>5540.23</v>
      </c>
      <c r="K2173" s="4">
        <f t="shared" si="233"/>
        <v>55402.299999999996</v>
      </c>
      <c r="AJ2173" s="1">
        <v>42452</v>
      </c>
      <c r="AL2173">
        <v>14.37</v>
      </c>
      <c r="AM2173" s="6">
        <f t="shared" si="234"/>
        <v>100000</v>
      </c>
      <c r="AN2173" s="2">
        <f t="shared" si="235"/>
        <v>0</v>
      </c>
    </row>
    <row r="2174" spans="4:40" x14ac:dyDescent="0.35">
      <c r="D2174" s="1">
        <v>42480</v>
      </c>
      <c r="E2174">
        <v>3.5497000000000001</v>
      </c>
      <c r="F2174" s="1">
        <v>42305</v>
      </c>
      <c r="G2174">
        <v>128.23400000000001</v>
      </c>
      <c r="H2174" s="4">
        <f t="shared" si="232"/>
        <v>455192.22980000009</v>
      </c>
      <c r="I2174" s="5">
        <v>42451</v>
      </c>
      <c r="J2174" s="4">
        <v>5382.54</v>
      </c>
      <c r="K2174" s="4">
        <f t="shared" si="233"/>
        <v>53825.4</v>
      </c>
      <c r="AJ2174" s="1">
        <v>42451</v>
      </c>
      <c r="AL2174">
        <v>14.1</v>
      </c>
      <c r="AM2174" s="6">
        <f t="shared" si="234"/>
        <v>100000</v>
      </c>
      <c r="AN2174" s="2">
        <f t="shared" si="235"/>
        <v>0</v>
      </c>
    </row>
    <row r="2175" spans="4:40" x14ac:dyDescent="0.35">
      <c r="D2175" s="1">
        <v>42479</v>
      </c>
      <c r="E2175">
        <v>3.5531999999999999</v>
      </c>
      <c r="F2175" s="1">
        <v>42300</v>
      </c>
      <c r="G2175">
        <v>128.53100000000001</v>
      </c>
      <c r="H2175" s="4">
        <f t="shared" si="232"/>
        <v>456696.3492</v>
      </c>
      <c r="I2175" s="5">
        <v>42450</v>
      </c>
      <c r="J2175" s="4">
        <v>5453.12</v>
      </c>
      <c r="K2175" s="4">
        <f t="shared" si="233"/>
        <v>54531.199999999997</v>
      </c>
      <c r="AJ2175" s="1">
        <v>42450</v>
      </c>
      <c r="AL2175">
        <v>14.31</v>
      </c>
      <c r="AM2175" s="6">
        <f t="shared" si="234"/>
        <v>100000</v>
      </c>
      <c r="AN2175" s="2">
        <f t="shared" si="235"/>
        <v>0</v>
      </c>
    </row>
    <row r="2176" spans="4:40" x14ac:dyDescent="0.35">
      <c r="D2176" s="1">
        <v>42478</v>
      </c>
      <c r="E2176">
        <v>3.5897999999999999</v>
      </c>
      <c r="F2176" s="1">
        <v>42299</v>
      </c>
      <c r="G2176">
        <v>129.10900000000001</v>
      </c>
      <c r="H2176" s="4">
        <f t="shared" si="232"/>
        <v>463475.48820000002</v>
      </c>
      <c r="I2176" s="5">
        <v>42447</v>
      </c>
      <c r="J2176" s="4">
        <v>5463.64</v>
      </c>
      <c r="K2176" s="4">
        <f t="shared" si="233"/>
        <v>54636.4</v>
      </c>
      <c r="AJ2176" s="1">
        <v>42447</v>
      </c>
      <c r="AL2176">
        <v>14.39</v>
      </c>
      <c r="AM2176" s="6">
        <f t="shared" si="234"/>
        <v>100000</v>
      </c>
      <c r="AN2176" s="2">
        <f t="shared" si="235"/>
        <v>0</v>
      </c>
    </row>
    <row r="2177" spans="4:40" x14ac:dyDescent="0.35">
      <c r="D2177" s="1">
        <v>42475</v>
      </c>
      <c r="E2177">
        <v>3.5270000000000001</v>
      </c>
      <c r="F2177" s="1">
        <v>42298</v>
      </c>
      <c r="G2177">
        <v>128.93799999999999</v>
      </c>
      <c r="H2177" s="4">
        <f t="shared" si="232"/>
        <v>454764.326</v>
      </c>
      <c r="I2177" s="5">
        <v>42446</v>
      </c>
      <c r="J2177" s="4">
        <v>5462.14</v>
      </c>
      <c r="K2177" s="4">
        <f t="shared" si="233"/>
        <v>54621.4</v>
      </c>
      <c r="AJ2177" s="1">
        <v>42446</v>
      </c>
      <c r="AL2177">
        <v>14.4</v>
      </c>
      <c r="AM2177" s="6">
        <f t="shared" si="234"/>
        <v>100000</v>
      </c>
      <c r="AN2177" s="2">
        <f t="shared" si="235"/>
        <v>0</v>
      </c>
    </row>
    <row r="2178" spans="4:40" x14ac:dyDescent="0.35">
      <c r="D2178" s="1">
        <v>42474</v>
      </c>
      <c r="E2178">
        <v>3.512</v>
      </c>
      <c r="F2178" s="1">
        <v>42296</v>
      </c>
      <c r="G2178">
        <v>128.73400000000001</v>
      </c>
      <c r="H2178" s="4">
        <f t="shared" si="232"/>
        <v>452113.80800000002</v>
      </c>
      <c r="I2178" s="5">
        <v>42445</v>
      </c>
      <c r="J2178" s="4">
        <v>5640.1</v>
      </c>
      <c r="K2178" s="4">
        <f t="shared" si="233"/>
        <v>56401</v>
      </c>
      <c r="AJ2178" s="1">
        <v>42445</v>
      </c>
      <c r="AL2178">
        <v>15.03</v>
      </c>
      <c r="AM2178" s="6">
        <f t="shared" si="234"/>
        <v>100000</v>
      </c>
      <c r="AN2178" s="2">
        <f t="shared" si="235"/>
        <v>0</v>
      </c>
    </row>
    <row r="2179" spans="4:40" x14ac:dyDescent="0.35">
      <c r="D2179" s="1">
        <v>42473</v>
      </c>
      <c r="E2179">
        <v>3.5423</v>
      </c>
      <c r="F2179" s="1">
        <v>42292</v>
      </c>
      <c r="G2179">
        <v>129.047</v>
      </c>
      <c r="H2179" s="4">
        <f t="shared" si="232"/>
        <v>457123.18809999997</v>
      </c>
      <c r="I2179" s="5">
        <v>42444</v>
      </c>
      <c r="J2179" s="4">
        <v>5675.39</v>
      </c>
      <c r="K2179" s="4">
        <f t="shared" si="233"/>
        <v>56753.9</v>
      </c>
      <c r="AJ2179" s="1">
        <v>42444</v>
      </c>
      <c r="AL2179">
        <v>15.15</v>
      </c>
      <c r="AM2179" s="6">
        <f t="shared" si="234"/>
        <v>100000</v>
      </c>
      <c r="AN2179" s="2">
        <f t="shared" si="235"/>
        <v>0</v>
      </c>
    </row>
    <row r="2180" spans="4:40" x14ac:dyDescent="0.35">
      <c r="D2180" s="1">
        <v>42472</v>
      </c>
      <c r="E2180">
        <v>3.54</v>
      </c>
      <c r="F2180" s="1">
        <v>42291</v>
      </c>
      <c r="G2180">
        <v>129.375</v>
      </c>
      <c r="H2180" s="4">
        <f t="shared" ref="H2180:H2243" si="236">G2180*E2180*1000</f>
        <v>457987.5</v>
      </c>
      <c r="I2180" s="5">
        <v>42443</v>
      </c>
      <c r="J2180" s="4">
        <v>5526.71</v>
      </c>
      <c r="K2180" s="4">
        <f t="shared" si="233"/>
        <v>55267.1</v>
      </c>
      <c r="AJ2180" s="1">
        <v>42443</v>
      </c>
      <c r="AL2180">
        <v>14.75</v>
      </c>
      <c r="AM2180" s="6">
        <f t="shared" si="234"/>
        <v>100000</v>
      </c>
      <c r="AN2180" s="2">
        <f t="shared" si="235"/>
        <v>0</v>
      </c>
    </row>
    <row r="2181" spans="4:40" x14ac:dyDescent="0.35">
      <c r="D2181" s="1">
        <v>42471</v>
      </c>
      <c r="E2181">
        <v>3.5278</v>
      </c>
      <c r="F2181" s="1">
        <v>42285</v>
      </c>
      <c r="G2181">
        <v>128.56299999999999</v>
      </c>
      <c r="H2181" s="4">
        <f t="shared" si="236"/>
        <v>453544.5514</v>
      </c>
      <c r="I2181" s="5">
        <v>42440</v>
      </c>
      <c r="J2181" s="4">
        <v>5414.08</v>
      </c>
      <c r="K2181" s="4">
        <f t="shared" ref="K2181:K2244" si="237">J2181*10</f>
        <v>54140.800000000003</v>
      </c>
      <c r="AJ2181" s="1">
        <v>42440</v>
      </c>
      <c r="AL2181">
        <v>14.65</v>
      </c>
      <c r="AM2181" s="6">
        <f t="shared" ref="AM2181:AM2222" si="238">$Z$2/(1+AL2181/100)^(AK2181/252)</f>
        <v>100000</v>
      </c>
      <c r="AN2181" s="2">
        <f t="shared" ref="AN2181:AN2222" si="239">LOG(AM2181/AM2182)</f>
        <v>0</v>
      </c>
    </row>
    <row r="2182" spans="4:40" x14ac:dyDescent="0.35">
      <c r="D2182" s="1">
        <v>42468</v>
      </c>
      <c r="E2182">
        <v>3.6379000000000001</v>
      </c>
      <c r="F2182" s="1">
        <v>42283</v>
      </c>
      <c r="G2182">
        <v>129.01599999999999</v>
      </c>
      <c r="H2182" s="4">
        <f t="shared" si="236"/>
        <v>469347.3064</v>
      </c>
      <c r="I2182" s="5">
        <v>42439</v>
      </c>
      <c r="J2182" s="4">
        <v>5470.4</v>
      </c>
      <c r="K2182" s="4">
        <f t="shared" si="237"/>
        <v>54704</v>
      </c>
      <c r="AJ2182" s="1">
        <v>42439</v>
      </c>
      <c r="AL2182">
        <v>14.79</v>
      </c>
      <c r="AM2182" s="6">
        <f t="shared" si="238"/>
        <v>100000</v>
      </c>
      <c r="AN2182" s="2">
        <f t="shared" si="239"/>
        <v>0</v>
      </c>
    </row>
    <row r="2183" spans="4:40" x14ac:dyDescent="0.35">
      <c r="D2183" s="1">
        <v>42467</v>
      </c>
      <c r="E2183">
        <v>3.6915</v>
      </c>
      <c r="F2183" s="1">
        <v>42282</v>
      </c>
      <c r="G2183">
        <v>128.828</v>
      </c>
      <c r="H2183" s="4">
        <f t="shared" si="236"/>
        <v>475568.56199999998</v>
      </c>
      <c r="I2183" s="5">
        <v>42438</v>
      </c>
      <c r="J2183" s="4">
        <v>5561.26</v>
      </c>
      <c r="K2183" s="4">
        <f t="shared" si="237"/>
        <v>55612.600000000006</v>
      </c>
      <c r="AJ2183" s="1">
        <v>42438</v>
      </c>
      <c r="AL2183">
        <v>14.93</v>
      </c>
      <c r="AM2183" s="6">
        <f t="shared" si="238"/>
        <v>100000</v>
      </c>
      <c r="AN2183" s="2">
        <f t="shared" si="239"/>
        <v>0</v>
      </c>
    </row>
    <row r="2184" spans="4:40" x14ac:dyDescent="0.35">
      <c r="D2184" s="1">
        <v>42466</v>
      </c>
      <c r="E2184">
        <v>3.6743000000000001</v>
      </c>
      <c r="F2184" s="1">
        <v>42279</v>
      </c>
      <c r="G2184">
        <v>129.89099999999999</v>
      </c>
      <c r="H2184" s="4">
        <f t="shared" si="236"/>
        <v>477258.5013</v>
      </c>
      <c r="I2184" s="5">
        <v>42437</v>
      </c>
      <c r="J2184" s="4">
        <v>5673.89</v>
      </c>
      <c r="K2184" s="4">
        <f t="shared" si="237"/>
        <v>56738.9</v>
      </c>
      <c r="AJ2184" s="1">
        <v>42437</v>
      </c>
      <c r="AL2184">
        <v>15.22</v>
      </c>
      <c r="AM2184" s="6">
        <f t="shared" si="238"/>
        <v>100000</v>
      </c>
      <c r="AN2184" s="2">
        <f t="shared" si="239"/>
        <v>0</v>
      </c>
    </row>
    <row r="2185" spans="4:40" x14ac:dyDescent="0.35">
      <c r="D2185" s="1">
        <v>42465</v>
      </c>
      <c r="E2185">
        <v>3.6575000000000002</v>
      </c>
      <c r="F2185" s="1">
        <v>42277</v>
      </c>
      <c r="G2185">
        <v>128.71899999999999</v>
      </c>
      <c r="H2185" s="4">
        <f t="shared" si="236"/>
        <v>470789.74249999999</v>
      </c>
      <c r="I2185" s="5">
        <v>42436</v>
      </c>
      <c r="J2185" s="4">
        <v>5710.69</v>
      </c>
      <c r="K2185" s="4">
        <f t="shared" si="237"/>
        <v>57106.899999999994</v>
      </c>
      <c r="AJ2185" s="1">
        <v>42436</v>
      </c>
      <c r="AL2185">
        <v>15.4</v>
      </c>
      <c r="AM2185" s="6">
        <f t="shared" si="238"/>
        <v>100000</v>
      </c>
      <c r="AN2185" s="2">
        <f t="shared" si="239"/>
        <v>0</v>
      </c>
    </row>
    <row r="2186" spans="4:40" x14ac:dyDescent="0.35">
      <c r="D2186" s="1">
        <v>42464</v>
      </c>
      <c r="E2186">
        <v>3.5865</v>
      </c>
      <c r="F2186" s="1">
        <v>42271</v>
      </c>
      <c r="G2186">
        <v>128.203</v>
      </c>
      <c r="H2186" s="4">
        <f t="shared" si="236"/>
        <v>459800.05950000003</v>
      </c>
      <c r="I2186" s="5">
        <v>42433</v>
      </c>
      <c r="J2186" s="4">
        <v>5686.66</v>
      </c>
      <c r="K2186" s="4">
        <f t="shared" si="237"/>
        <v>56866.6</v>
      </c>
      <c r="AJ2186" s="1">
        <v>42433</v>
      </c>
      <c r="AL2186">
        <v>15.15</v>
      </c>
      <c r="AM2186" s="6">
        <f t="shared" si="238"/>
        <v>100000</v>
      </c>
      <c r="AN2186" s="2">
        <f t="shared" si="239"/>
        <v>0</v>
      </c>
    </row>
    <row r="2187" spans="4:40" x14ac:dyDescent="0.35">
      <c r="D2187" s="1">
        <v>42461</v>
      </c>
      <c r="E2187">
        <v>3.5792999999999999</v>
      </c>
      <c r="F2187" s="1">
        <v>42270</v>
      </c>
      <c r="G2187">
        <v>128.03100000000001</v>
      </c>
      <c r="H2187" s="4">
        <f t="shared" si="236"/>
        <v>458261.35829999996</v>
      </c>
      <c r="I2187" s="5">
        <v>42432</v>
      </c>
      <c r="J2187" s="4">
        <v>5747.48</v>
      </c>
      <c r="K2187" s="4">
        <f t="shared" si="237"/>
        <v>57474.799999999996</v>
      </c>
      <c r="AJ2187" s="1">
        <v>42432</v>
      </c>
      <c r="AL2187">
        <v>15.62</v>
      </c>
      <c r="AM2187" s="6">
        <f t="shared" si="238"/>
        <v>100000</v>
      </c>
      <c r="AN2187" s="2">
        <f t="shared" si="239"/>
        <v>0</v>
      </c>
    </row>
    <row r="2188" spans="4:40" x14ac:dyDescent="0.35">
      <c r="D2188" s="1">
        <v>42460</v>
      </c>
      <c r="E2188">
        <v>3.5583</v>
      </c>
      <c r="F2188" s="1">
        <v>42269</v>
      </c>
      <c r="G2188">
        <v>128.01599999999999</v>
      </c>
      <c r="H2188" s="4">
        <f t="shared" si="236"/>
        <v>455519.33279999997</v>
      </c>
      <c r="I2188" s="5">
        <v>42431</v>
      </c>
      <c r="J2188" s="4">
        <v>5888.65</v>
      </c>
      <c r="K2188" s="4">
        <f t="shared" si="237"/>
        <v>58886.5</v>
      </c>
      <c r="AJ2188" s="1">
        <v>42431</v>
      </c>
      <c r="AL2188">
        <v>15.9</v>
      </c>
      <c r="AM2188" s="6">
        <f t="shared" si="238"/>
        <v>100000</v>
      </c>
      <c r="AN2188" s="2">
        <f t="shared" si="239"/>
        <v>0</v>
      </c>
    </row>
    <row r="2189" spans="4:40" x14ac:dyDescent="0.35">
      <c r="D2189" s="1">
        <v>42459</v>
      </c>
      <c r="E2189">
        <v>3.6110000000000002</v>
      </c>
      <c r="F2189" s="1">
        <v>42268</v>
      </c>
      <c r="G2189">
        <v>127.59399999999999</v>
      </c>
      <c r="H2189" s="4">
        <f t="shared" si="236"/>
        <v>460741.93400000001</v>
      </c>
      <c r="I2189" s="5">
        <v>42430</v>
      </c>
      <c r="J2189" s="4">
        <v>5941.97</v>
      </c>
      <c r="K2189" s="4">
        <f t="shared" si="237"/>
        <v>59419.700000000004</v>
      </c>
      <c r="AJ2189" s="1">
        <v>42430</v>
      </c>
      <c r="AL2189">
        <v>16.14</v>
      </c>
      <c r="AM2189" s="6">
        <f t="shared" si="238"/>
        <v>100000</v>
      </c>
      <c r="AN2189" s="2">
        <f t="shared" si="239"/>
        <v>0</v>
      </c>
    </row>
    <row r="2190" spans="4:40" x14ac:dyDescent="0.35">
      <c r="D2190" s="1">
        <v>42458</v>
      </c>
      <c r="E2190">
        <v>3.6680999999999999</v>
      </c>
      <c r="F2190" s="1">
        <v>42265</v>
      </c>
      <c r="G2190">
        <v>127.672</v>
      </c>
      <c r="H2190" s="4">
        <f t="shared" si="236"/>
        <v>468313.66319999995</v>
      </c>
      <c r="I2190" s="5">
        <v>42429</v>
      </c>
      <c r="J2190" s="4">
        <v>6084.64</v>
      </c>
      <c r="K2190" s="4">
        <f t="shared" si="237"/>
        <v>60846.400000000001</v>
      </c>
      <c r="AJ2190" s="1">
        <v>42429</v>
      </c>
      <c r="AL2190">
        <v>16.38</v>
      </c>
      <c r="AM2190" s="6">
        <f t="shared" si="238"/>
        <v>100000</v>
      </c>
      <c r="AN2190" s="2">
        <f t="shared" si="239"/>
        <v>0</v>
      </c>
    </row>
    <row r="2191" spans="4:40" x14ac:dyDescent="0.35">
      <c r="D2191" s="1">
        <v>42457</v>
      </c>
      <c r="E2191">
        <v>3.6400999999999999</v>
      </c>
      <c r="F2191" s="1">
        <v>42264</v>
      </c>
      <c r="G2191">
        <v>127.28100000000001</v>
      </c>
      <c r="H2191" s="4">
        <f t="shared" si="236"/>
        <v>463315.56810000003</v>
      </c>
      <c r="I2191" s="5">
        <v>42426</v>
      </c>
      <c r="J2191" s="4">
        <v>6057.61</v>
      </c>
      <c r="K2191" s="4">
        <f t="shared" si="237"/>
        <v>60576.1</v>
      </c>
      <c r="AJ2191" s="1">
        <v>42426</v>
      </c>
      <c r="AL2191">
        <v>16.420000000000002</v>
      </c>
      <c r="AM2191" s="6">
        <f t="shared" si="238"/>
        <v>100000</v>
      </c>
      <c r="AN2191" s="2">
        <f t="shared" si="239"/>
        <v>0</v>
      </c>
    </row>
    <row r="2192" spans="4:40" x14ac:dyDescent="0.35">
      <c r="D2192" s="1">
        <v>42453</v>
      </c>
      <c r="E2192">
        <v>3.6941999999999999</v>
      </c>
      <c r="F2192" s="1">
        <v>42262</v>
      </c>
      <c r="G2192">
        <v>126.78100000000001</v>
      </c>
      <c r="H2192" s="4">
        <f t="shared" si="236"/>
        <v>468354.3702</v>
      </c>
      <c r="I2192" s="5">
        <v>42425</v>
      </c>
      <c r="J2192" s="4">
        <v>5995.5</v>
      </c>
      <c r="K2192" s="4">
        <f t="shared" si="237"/>
        <v>59955</v>
      </c>
      <c r="AJ2192" s="1">
        <v>42425</v>
      </c>
      <c r="AL2192">
        <v>16.39</v>
      </c>
      <c r="AM2192" s="6">
        <f t="shared" si="238"/>
        <v>100000</v>
      </c>
      <c r="AN2192" s="2">
        <f t="shared" si="239"/>
        <v>0</v>
      </c>
    </row>
    <row r="2193" spans="4:40" x14ac:dyDescent="0.35">
      <c r="D2193" s="1">
        <v>42452</v>
      </c>
      <c r="E2193">
        <v>3.6524999999999999</v>
      </c>
      <c r="F2193" s="1">
        <v>42258</v>
      </c>
      <c r="G2193">
        <v>127.46899999999999</v>
      </c>
      <c r="H2193" s="4">
        <f t="shared" si="236"/>
        <v>465580.52249999996</v>
      </c>
      <c r="I2193" s="5">
        <v>42424</v>
      </c>
      <c r="J2193" s="4">
        <v>5990.95</v>
      </c>
      <c r="K2193" s="4">
        <f t="shared" si="237"/>
        <v>59909.5</v>
      </c>
      <c r="AJ2193" s="1">
        <v>42424</v>
      </c>
      <c r="AL2193">
        <v>16.239999999999998</v>
      </c>
      <c r="AM2193" s="6">
        <f t="shared" si="238"/>
        <v>100000</v>
      </c>
      <c r="AN2193" s="2">
        <f t="shared" si="239"/>
        <v>0</v>
      </c>
    </row>
    <row r="2194" spans="4:40" x14ac:dyDescent="0.35">
      <c r="D2194" s="1">
        <v>42451</v>
      </c>
      <c r="E2194">
        <v>3.6067</v>
      </c>
      <c r="F2194" s="1">
        <v>42257</v>
      </c>
      <c r="G2194">
        <v>127.14100000000001</v>
      </c>
      <c r="H2194" s="4">
        <f t="shared" si="236"/>
        <v>458559.44470000005</v>
      </c>
      <c r="I2194" s="5">
        <v>42423</v>
      </c>
      <c r="J2194" s="4">
        <v>6004.59</v>
      </c>
      <c r="K2194" s="4">
        <f t="shared" si="237"/>
        <v>60045.9</v>
      </c>
      <c r="AJ2194" s="1">
        <v>42423</v>
      </c>
      <c r="AL2194">
        <v>16.2</v>
      </c>
      <c r="AM2194" s="6">
        <f t="shared" si="238"/>
        <v>100000</v>
      </c>
      <c r="AN2194" s="2">
        <f t="shared" si="239"/>
        <v>0</v>
      </c>
    </row>
    <row r="2195" spans="4:40" x14ac:dyDescent="0.35">
      <c r="D2195" s="1">
        <v>42450</v>
      </c>
      <c r="E2195">
        <v>3.6223000000000001</v>
      </c>
      <c r="F2195" s="1">
        <v>42256</v>
      </c>
      <c r="G2195">
        <v>126.90600000000001</v>
      </c>
      <c r="H2195" s="4">
        <f t="shared" si="236"/>
        <v>459691.60380000004</v>
      </c>
      <c r="I2195" s="5">
        <v>42422</v>
      </c>
      <c r="J2195" s="4">
        <v>5989.44</v>
      </c>
      <c r="K2195" s="4">
        <f t="shared" si="237"/>
        <v>59894.399999999994</v>
      </c>
      <c r="AJ2195" s="1">
        <v>42422</v>
      </c>
      <c r="AL2195">
        <v>15.99</v>
      </c>
      <c r="AM2195" s="6">
        <f t="shared" si="238"/>
        <v>100000</v>
      </c>
      <c r="AN2195" s="2">
        <f t="shared" si="239"/>
        <v>0</v>
      </c>
    </row>
    <row r="2196" spans="4:40" x14ac:dyDescent="0.35">
      <c r="D2196" s="1">
        <v>42447</v>
      </c>
      <c r="E2196">
        <v>3.6139999999999999</v>
      </c>
      <c r="F2196" s="1">
        <v>42255</v>
      </c>
      <c r="G2196">
        <v>127.21899999999999</v>
      </c>
      <c r="H2196" s="4">
        <f t="shared" si="236"/>
        <v>459769.46599999996</v>
      </c>
      <c r="I2196" s="5">
        <v>42419</v>
      </c>
      <c r="J2196" s="4">
        <v>6111.39</v>
      </c>
      <c r="K2196" s="4">
        <f t="shared" si="237"/>
        <v>61113.9</v>
      </c>
      <c r="AJ2196" s="1">
        <v>42419</v>
      </c>
      <c r="AL2196">
        <v>16.260000000000002</v>
      </c>
      <c r="AM2196" s="6">
        <f t="shared" si="238"/>
        <v>100000</v>
      </c>
      <c r="AN2196" s="2">
        <f t="shared" si="239"/>
        <v>0</v>
      </c>
    </row>
    <row r="2197" spans="4:40" x14ac:dyDescent="0.35">
      <c r="D2197" s="1">
        <v>42446</v>
      </c>
      <c r="E2197">
        <v>3.6438999999999999</v>
      </c>
      <c r="F2197" s="1">
        <v>42249</v>
      </c>
      <c r="G2197">
        <v>127.09399999999999</v>
      </c>
      <c r="H2197" s="4">
        <f t="shared" si="236"/>
        <v>463117.82659999997</v>
      </c>
      <c r="I2197" s="5">
        <v>42418</v>
      </c>
      <c r="J2197" s="4">
        <v>6131.09</v>
      </c>
      <c r="K2197" s="4">
        <f t="shared" si="237"/>
        <v>61310.9</v>
      </c>
      <c r="AJ2197" s="1">
        <v>42418</v>
      </c>
      <c r="AL2197">
        <v>16.41</v>
      </c>
      <c r="AM2197" s="6">
        <f t="shared" si="238"/>
        <v>100000</v>
      </c>
      <c r="AN2197" s="2">
        <f t="shared" si="239"/>
        <v>0</v>
      </c>
    </row>
    <row r="2198" spans="4:40" x14ac:dyDescent="0.35">
      <c r="D2198" s="1">
        <v>42445</v>
      </c>
      <c r="E2198">
        <v>3.8073000000000001</v>
      </c>
      <c r="F2198" s="1">
        <v>42248</v>
      </c>
      <c r="G2198">
        <v>127.453</v>
      </c>
      <c r="H2198" s="4">
        <f t="shared" si="236"/>
        <v>485251.80690000003</v>
      </c>
      <c r="I2198" s="5">
        <v>42417</v>
      </c>
      <c r="J2198" s="4">
        <v>6051.55</v>
      </c>
      <c r="K2198" s="4">
        <f t="shared" si="237"/>
        <v>60515.5</v>
      </c>
      <c r="AJ2198" s="1">
        <v>42417</v>
      </c>
      <c r="AL2198">
        <v>16.48</v>
      </c>
      <c r="AM2198" s="6">
        <f t="shared" si="238"/>
        <v>100000</v>
      </c>
      <c r="AN2198" s="2">
        <f t="shared" si="239"/>
        <v>0</v>
      </c>
    </row>
    <row r="2199" spans="4:40" x14ac:dyDescent="0.35">
      <c r="D2199" s="1">
        <v>42444</v>
      </c>
      <c r="E2199">
        <v>3.7109999999999999</v>
      </c>
      <c r="F2199" s="1">
        <v>42247</v>
      </c>
      <c r="G2199">
        <v>127.438</v>
      </c>
      <c r="H2199" s="4">
        <f t="shared" si="236"/>
        <v>472922.41800000001</v>
      </c>
      <c r="I2199" s="5">
        <v>42416</v>
      </c>
      <c r="J2199" s="4">
        <v>6202.29</v>
      </c>
      <c r="K2199" s="4">
        <f t="shared" si="237"/>
        <v>62022.9</v>
      </c>
      <c r="AJ2199" s="1">
        <v>42416</v>
      </c>
      <c r="AL2199">
        <v>16.600000000000001</v>
      </c>
      <c r="AM2199" s="6">
        <f t="shared" si="238"/>
        <v>100000</v>
      </c>
      <c r="AN2199" s="2">
        <f t="shared" si="239"/>
        <v>0</v>
      </c>
    </row>
    <row r="2200" spans="4:40" x14ac:dyDescent="0.35">
      <c r="D2200" s="1">
        <v>42443</v>
      </c>
      <c r="E2200">
        <v>3.6232000000000002</v>
      </c>
      <c r="F2200" s="1">
        <v>42244</v>
      </c>
      <c r="G2200">
        <v>127.98399999999999</v>
      </c>
      <c r="H2200" s="4">
        <f t="shared" si="236"/>
        <v>463711.62880000001</v>
      </c>
      <c r="I2200" s="5">
        <v>42415</v>
      </c>
      <c r="J2200" s="4">
        <v>6081.85</v>
      </c>
      <c r="K2200" s="4">
        <f t="shared" si="237"/>
        <v>60818.5</v>
      </c>
      <c r="AJ2200" s="1">
        <v>42415</v>
      </c>
      <c r="AL2200">
        <v>16.48</v>
      </c>
      <c r="AM2200" s="6">
        <f t="shared" si="238"/>
        <v>100000</v>
      </c>
      <c r="AN2200" s="2">
        <f t="shared" si="239"/>
        <v>0</v>
      </c>
    </row>
    <row r="2201" spans="4:40" x14ac:dyDescent="0.35">
      <c r="D2201" s="1">
        <v>42440</v>
      </c>
      <c r="E2201">
        <v>3.6265000000000001</v>
      </c>
      <c r="F2201" s="1">
        <v>42243</v>
      </c>
      <c r="G2201">
        <v>127.672</v>
      </c>
      <c r="H2201" s="4">
        <f t="shared" si="236"/>
        <v>463002.50799999997</v>
      </c>
      <c r="I2201" s="5">
        <v>42412</v>
      </c>
      <c r="J2201" s="4">
        <v>6093.97</v>
      </c>
      <c r="K2201" s="4">
        <f t="shared" si="237"/>
        <v>60939.700000000004</v>
      </c>
      <c r="AJ2201" s="1">
        <v>42412</v>
      </c>
      <c r="AL2201">
        <v>16.57</v>
      </c>
      <c r="AM2201" s="6">
        <f t="shared" si="238"/>
        <v>100000</v>
      </c>
      <c r="AN2201" s="2">
        <f t="shared" si="239"/>
        <v>0</v>
      </c>
    </row>
    <row r="2202" spans="4:40" x14ac:dyDescent="0.35">
      <c r="D2202" s="1">
        <v>42439</v>
      </c>
      <c r="E2202">
        <v>3.6694</v>
      </c>
      <c r="F2202" s="1">
        <v>42242</v>
      </c>
      <c r="G2202">
        <v>128.09399999999999</v>
      </c>
      <c r="H2202" s="4">
        <f t="shared" si="236"/>
        <v>470028.12359999993</v>
      </c>
      <c r="I2202" s="5">
        <v>42411</v>
      </c>
      <c r="J2202" s="4">
        <v>6087.15</v>
      </c>
      <c r="K2202" s="4">
        <f t="shared" si="237"/>
        <v>60871.5</v>
      </c>
      <c r="AJ2202" s="1">
        <v>42411</v>
      </c>
      <c r="AL2202">
        <v>16.59</v>
      </c>
      <c r="AM2202" s="6">
        <f t="shared" si="238"/>
        <v>100000</v>
      </c>
      <c r="AN2202" s="2">
        <f t="shared" si="239"/>
        <v>0</v>
      </c>
    </row>
    <row r="2203" spans="4:40" x14ac:dyDescent="0.35">
      <c r="D2203" s="1">
        <v>42438</v>
      </c>
      <c r="E2203">
        <v>3.7031000000000001</v>
      </c>
      <c r="F2203" s="1">
        <v>42241</v>
      </c>
      <c r="G2203">
        <v>128.15600000000001</v>
      </c>
      <c r="H2203" s="4">
        <f t="shared" si="236"/>
        <v>474574.48360000004</v>
      </c>
      <c r="I2203" s="5">
        <v>42410</v>
      </c>
      <c r="J2203" s="4">
        <v>5990.95</v>
      </c>
      <c r="K2203" s="4">
        <f t="shared" si="237"/>
        <v>59909.5</v>
      </c>
      <c r="AJ2203" s="1">
        <v>42410</v>
      </c>
      <c r="AL2203">
        <v>16.48</v>
      </c>
      <c r="AM2203" s="6">
        <f t="shared" si="238"/>
        <v>100000</v>
      </c>
      <c r="AN2203" s="2">
        <f t="shared" si="239"/>
        <v>0</v>
      </c>
    </row>
    <row r="2204" spans="4:40" x14ac:dyDescent="0.35">
      <c r="D2204" s="1">
        <v>42437</v>
      </c>
      <c r="E2204">
        <v>3.7806999999999999</v>
      </c>
      <c r="F2204" s="1">
        <v>42240</v>
      </c>
      <c r="G2204">
        <v>129.34399999999999</v>
      </c>
      <c r="H2204" s="4">
        <f t="shared" si="236"/>
        <v>489010.86079999997</v>
      </c>
      <c r="I2204" s="5">
        <v>42405</v>
      </c>
      <c r="J2204" s="4">
        <v>5948.53</v>
      </c>
      <c r="K2204" s="4">
        <f t="shared" si="237"/>
        <v>59485.299999999996</v>
      </c>
      <c r="AJ2204" s="1">
        <v>42405</v>
      </c>
      <c r="AL2204">
        <v>16.510000000000002</v>
      </c>
      <c r="AM2204" s="6">
        <f t="shared" si="238"/>
        <v>100000</v>
      </c>
      <c r="AN2204" s="2">
        <f t="shared" si="239"/>
        <v>0</v>
      </c>
    </row>
    <row r="2205" spans="4:40" x14ac:dyDescent="0.35">
      <c r="D2205" s="1">
        <v>42436</v>
      </c>
      <c r="E2205">
        <v>3.7707999999999999</v>
      </c>
      <c r="F2205" s="1">
        <v>42237</v>
      </c>
      <c r="G2205">
        <v>128.56299999999999</v>
      </c>
      <c r="H2205" s="4">
        <f t="shared" si="236"/>
        <v>484785.36039999995</v>
      </c>
      <c r="I2205" s="5">
        <v>42404</v>
      </c>
      <c r="J2205" s="4">
        <v>5932.62</v>
      </c>
      <c r="K2205" s="4">
        <f t="shared" si="237"/>
        <v>59326.2</v>
      </c>
      <c r="AJ2205" s="1">
        <v>42404</v>
      </c>
      <c r="AL2205">
        <v>16.54</v>
      </c>
      <c r="AM2205" s="6">
        <f t="shared" si="238"/>
        <v>100000</v>
      </c>
      <c r="AN2205" s="2">
        <f t="shared" si="239"/>
        <v>0</v>
      </c>
    </row>
    <row r="2206" spans="4:40" x14ac:dyDescent="0.35">
      <c r="D2206" s="1">
        <v>42433</v>
      </c>
      <c r="E2206">
        <v>3.7181999999999999</v>
      </c>
      <c r="F2206" s="1">
        <v>42236</v>
      </c>
      <c r="G2206">
        <v>128.34399999999999</v>
      </c>
      <c r="H2206" s="4">
        <f t="shared" si="236"/>
        <v>477208.66079999995</v>
      </c>
      <c r="I2206" s="5">
        <v>42403</v>
      </c>
      <c r="J2206" s="4">
        <v>5941.71</v>
      </c>
      <c r="K2206" s="4">
        <f t="shared" si="237"/>
        <v>59417.1</v>
      </c>
      <c r="AJ2206" s="1">
        <v>42403</v>
      </c>
      <c r="AL2206">
        <v>16.25</v>
      </c>
      <c r="AM2206" s="6">
        <f t="shared" si="238"/>
        <v>100000</v>
      </c>
      <c r="AN2206" s="2">
        <f t="shared" si="239"/>
        <v>0</v>
      </c>
    </row>
    <row r="2207" spans="4:40" x14ac:dyDescent="0.35">
      <c r="D2207" s="1">
        <v>42432</v>
      </c>
      <c r="E2207">
        <v>3.8498000000000001</v>
      </c>
      <c r="F2207" s="1">
        <v>42229</v>
      </c>
      <c r="G2207">
        <v>127.59399999999999</v>
      </c>
      <c r="H2207" s="4">
        <f t="shared" si="236"/>
        <v>491211.3812</v>
      </c>
      <c r="I2207" s="5">
        <v>42402</v>
      </c>
      <c r="J2207" s="4">
        <v>6088.67</v>
      </c>
      <c r="K2207" s="4">
        <f t="shared" si="237"/>
        <v>60886.7</v>
      </c>
      <c r="AJ2207" s="1">
        <v>42402</v>
      </c>
      <c r="AL2207">
        <v>16.46</v>
      </c>
      <c r="AM2207" s="6">
        <f t="shared" si="238"/>
        <v>100000</v>
      </c>
      <c r="AN2207" s="2">
        <f t="shared" si="239"/>
        <v>0</v>
      </c>
    </row>
    <row r="2208" spans="4:40" x14ac:dyDescent="0.35">
      <c r="D2208" s="1">
        <v>42431</v>
      </c>
      <c r="E2208">
        <v>3.911</v>
      </c>
      <c r="F2208" s="1">
        <v>42228</v>
      </c>
      <c r="G2208">
        <v>128.172</v>
      </c>
      <c r="H2208" s="4">
        <f t="shared" si="236"/>
        <v>501280.69199999998</v>
      </c>
      <c r="I2208" s="5">
        <v>42401</v>
      </c>
      <c r="J2208" s="4">
        <v>6055.34</v>
      </c>
      <c r="K2208" s="4">
        <f t="shared" si="237"/>
        <v>60553.4</v>
      </c>
      <c r="AJ2208" s="1">
        <v>42401</v>
      </c>
      <c r="AL2208">
        <v>16.190000000000001</v>
      </c>
      <c r="AM2208" s="6">
        <f t="shared" si="238"/>
        <v>100000</v>
      </c>
      <c r="AN2208" s="2">
        <f t="shared" si="239"/>
        <v>0</v>
      </c>
    </row>
    <row r="2209" spans="4:40" x14ac:dyDescent="0.35">
      <c r="D2209" s="1">
        <v>42430</v>
      </c>
      <c r="E2209">
        <v>3.9906999999999999</v>
      </c>
      <c r="F2209" s="1">
        <v>42227</v>
      </c>
      <c r="G2209">
        <v>127.797</v>
      </c>
      <c r="H2209" s="4">
        <f t="shared" si="236"/>
        <v>509999.48789999995</v>
      </c>
      <c r="I2209" s="5">
        <v>42398</v>
      </c>
      <c r="J2209" s="4">
        <v>6100.03</v>
      </c>
      <c r="K2209" s="4">
        <f t="shared" si="237"/>
        <v>61000.299999999996</v>
      </c>
      <c r="AJ2209" s="1">
        <v>42398</v>
      </c>
      <c r="AL2209">
        <v>16.45</v>
      </c>
      <c r="AM2209" s="6">
        <f t="shared" si="238"/>
        <v>100000</v>
      </c>
      <c r="AN2209" s="2">
        <f t="shared" si="239"/>
        <v>0</v>
      </c>
    </row>
    <row r="2210" spans="4:40" x14ac:dyDescent="0.35">
      <c r="D2210" s="1">
        <v>42429</v>
      </c>
      <c r="E2210">
        <v>3.9790000000000001</v>
      </c>
      <c r="F2210" s="1">
        <v>42226</v>
      </c>
      <c r="G2210">
        <v>127.078</v>
      </c>
      <c r="H2210" s="4">
        <f t="shared" si="236"/>
        <v>505643.36200000002</v>
      </c>
      <c r="I2210" s="5">
        <v>42397</v>
      </c>
      <c r="J2210" s="4">
        <v>6212.89</v>
      </c>
      <c r="K2210" s="4">
        <f t="shared" si="237"/>
        <v>62128.9</v>
      </c>
      <c r="AJ2210" s="1">
        <v>42397</v>
      </c>
      <c r="AL2210">
        <v>16.7</v>
      </c>
      <c r="AM2210" s="6">
        <f t="shared" si="238"/>
        <v>100000</v>
      </c>
      <c r="AN2210" s="2">
        <f t="shared" si="239"/>
        <v>0</v>
      </c>
    </row>
    <row r="2211" spans="4:40" x14ac:dyDescent="0.35">
      <c r="D2211" s="1">
        <v>42426</v>
      </c>
      <c r="E2211">
        <v>3.9571000000000001</v>
      </c>
      <c r="F2211" s="1">
        <v>42223</v>
      </c>
      <c r="G2211">
        <v>127.047</v>
      </c>
      <c r="H2211" s="4">
        <f t="shared" si="236"/>
        <v>502737.68369999999</v>
      </c>
      <c r="I2211" s="5">
        <v>42396</v>
      </c>
      <c r="J2211" s="4">
        <v>6270.82</v>
      </c>
      <c r="K2211" s="4">
        <f t="shared" si="237"/>
        <v>62708.2</v>
      </c>
      <c r="AJ2211" s="1">
        <v>42396</v>
      </c>
      <c r="AL2211">
        <v>16.91</v>
      </c>
      <c r="AM2211" s="6">
        <f t="shared" si="238"/>
        <v>100000</v>
      </c>
      <c r="AN2211" s="2">
        <f t="shared" si="239"/>
        <v>0</v>
      </c>
    </row>
    <row r="2212" spans="4:40" x14ac:dyDescent="0.35">
      <c r="D2212" s="1">
        <v>42425</v>
      </c>
      <c r="E2212">
        <v>3.9394</v>
      </c>
      <c r="F2212" s="1">
        <v>42222</v>
      </c>
      <c r="G2212">
        <v>127.047</v>
      </c>
      <c r="H2212" s="4">
        <f t="shared" si="236"/>
        <v>500488.95179999998</v>
      </c>
      <c r="I2212" s="5">
        <v>42395</v>
      </c>
      <c r="J2212" s="4">
        <v>6180.12</v>
      </c>
      <c r="K2212" s="4">
        <f t="shared" si="237"/>
        <v>61801.2</v>
      </c>
      <c r="AJ2212" s="1">
        <v>42395</v>
      </c>
      <c r="AL2212">
        <v>16.760000000000002</v>
      </c>
      <c r="AM2212" s="6">
        <f t="shared" si="238"/>
        <v>100000</v>
      </c>
      <c r="AN2212" s="2">
        <f t="shared" si="239"/>
        <v>0</v>
      </c>
    </row>
    <row r="2213" spans="4:40" x14ac:dyDescent="0.35">
      <c r="D2213" s="1">
        <v>42424</v>
      </c>
      <c r="E2213">
        <v>3.9893999999999998</v>
      </c>
      <c r="F2213" s="1">
        <v>42220</v>
      </c>
      <c r="G2213">
        <v>127.28100000000001</v>
      </c>
      <c r="H2213" s="4">
        <f t="shared" si="236"/>
        <v>507774.82140000002</v>
      </c>
      <c r="I2213" s="5">
        <v>42391</v>
      </c>
      <c r="J2213" s="4">
        <v>6258.63</v>
      </c>
      <c r="K2213" s="4">
        <f t="shared" si="237"/>
        <v>62586.3</v>
      </c>
      <c r="AJ2213" s="1">
        <v>42391</v>
      </c>
      <c r="AL2213">
        <v>16.97</v>
      </c>
      <c r="AM2213" s="6">
        <f t="shared" si="238"/>
        <v>100000</v>
      </c>
      <c r="AN2213" s="2">
        <f t="shared" si="239"/>
        <v>0</v>
      </c>
    </row>
    <row r="2214" spans="4:40" x14ac:dyDescent="0.35">
      <c r="D2214" s="1">
        <v>42423</v>
      </c>
      <c r="E2214">
        <v>3.9678</v>
      </c>
      <c r="F2214" s="1">
        <v>42219</v>
      </c>
      <c r="G2214">
        <v>127.797</v>
      </c>
      <c r="H2214" s="4">
        <f t="shared" si="236"/>
        <v>507072.93660000002</v>
      </c>
      <c r="I2214" s="5">
        <v>42390</v>
      </c>
      <c r="J2214" s="4">
        <v>6349.33</v>
      </c>
      <c r="K2214" s="4">
        <f t="shared" si="237"/>
        <v>63493.3</v>
      </c>
      <c r="AJ2214" s="1">
        <v>42390</v>
      </c>
      <c r="AL2214">
        <v>16.96</v>
      </c>
      <c r="AM2214" s="6">
        <f t="shared" si="238"/>
        <v>100000</v>
      </c>
      <c r="AN2214" s="2">
        <f t="shared" si="239"/>
        <v>0</v>
      </c>
    </row>
    <row r="2215" spans="4:40" x14ac:dyDescent="0.35">
      <c r="D2215" s="1">
        <v>42422</v>
      </c>
      <c r="E2215">
        <v>3.9611999999999998</v>
      </c>
      <c r="F2215" s="1">
        <v>42216</v>
      </c>
      <c r="G2215">
        <v>127.39100000000001</v>
      </c>
      <c r="H2215" s="4">
        <f t="shared" si="236"/>
        <v>504621.2292</v>
      </c>
      <c r="I2215" s="5">
        <v>42389</v>
      </c>
      <c r="J2215" s="4">
        <v>6269.3</v>
      </c>
      <c r="K2215" s="4">
        <f t="shared" si="237"/>
        <v>62693</v>
      </c>
      <c r="AJ2215" s="1">
        <v>42389</v>
      </c>
      <c r="AL2215">
        <v>16.809999999999999</v>
      </c>
      <c r="AM2215" s="6">
        <f t="shared" si="238"/>
        <v>100000</v>
      </c>
      <c r="AN2215" s="2">
        <f t="shared" si="239"/>
        <v>0</v>
      </c>
    </row>
    <row r="2216" spans="4:40" x14ac:dyDescent="0.35">
      <c r="D2216" s="1">
        <v>42419</v>
      </c>
      <c r="E2216">
        <v>4.0486000000000004</v>
      </c>
      <c r="F2216" s="1">
        <v>42214</v>
      </c>
      <c r="G2216">
        <v>126.875</v>
      </c>
      <c r="H2216" s="4">
        <f t="shared" si="236"/>
        <v>513666.12500000006</v>
      </c>
      <c r="I2216" s="5">
        <v>42388</v>
      </c>
      <c r="J2216" s="4">
        <v>6214.42</v>
      </c>
      <c r="K2216" s="4">
        <f t="shared" si="237"/>
        <v>62144.2</v>
      </c>
      <c r="AJ2216" s="1">
        <v>42388</v>
      </c>
      <c r="AL2216">
        <v>16.72</v>
      </c>
      <c r="AM2216" s="6">
        <f t="shared" si="238"/>
        <v>100000</v>
      </c>
      <c r="AN2216" s="2">
        <f t="shared" si="239"/>
        <v>0</v>
      </c>
    </row>
    <row r="2217" spans="4:40" x14ac:dyDescent="0.35">
      <c r="D2217" s="1">
        <v>42418</v>
      </c>
      <c r="E2217">
        <v>4.0084</v>
      </c>
      <c r="F2217" s="1">
        <v>42212</v>
      </c>
      <c r="G2217">
        <v>127.10899999999999</v>
      </c>
      <c r="H2217" s="4">
        <f t="shared" si="236"/>
        <v>509503.71559999994</v>
      </c>
      <c r="I2217" s="5">
        <v>42387</v>
      </c>
      <c r="J2217" s="4">
        <v>6177.83</v>
      </c>
      <c r="K2217" s="4">
        <f t="shared" si="237"/>
        <v>61778.3</v>
      </c>
      <c r="AJ2217" s="1">
        <v>42387</v>
      </c>
      <c r="AL2217">
        <v>16.440000000000001</v>
      </c>
      <c r="AM2217" s="6">
        <f t="shared" si="238"/>
        <v>100000</v>
      </c>
      <c r="AN2217" s="2">
        <f t="shared" si="239"/>
        <v>0</v>
      </c>
    </row>
    <row r="2218" spans="4:40" x14ac:dyDescent="0.35">
      <c r="D2218" s="1">
        <v>42417</v>
      </c>
      <c r="E2218">
        <v>4.0312000000000001</v>
      </c>
      <c r="F2218" s="1">
        <v>42208</v>
      </c>
      <c r="G2218">
        <v>126.453</v>
      </c>
      <c r="H2218" s="4">
        <f t="shared" si="236"/>
        <v>509757.33360000001</v>
      </c>
      <c r="I2218" s="5">
        <v>42384</v>
      </c>
      <c r="J2218" s="4">
        <v>6198.41</v>
      </c>
      <c r="K2218" s="4">
        <f t="shared" si="237"/>
        <v>61984.1</v>
      </c>
      <c r="AJ2218" s="1">
        <v>42384</v>
      </c>
      <c r="AL2218">
        <v>16.54</v>
      </c>
      <c r="AM2218" s="6">
        <f t="shared" si="238"/>
        <v>100000</v>
      </c>
      <c r="AN2218" s="2">
        <f t="shared" si="239"/>
        <v>0</v>
      </c>
    </row>
    <row r="2219" spans="4:40" x14ac:dyDescent="0.35">
      <c r="D2219" s="1">
        <v>42416</v>
      </c>
      <c r="E2219">
        <v>4.0206999999999997</v>
      </c>
      <c r="F2219" s="1">
        <v>42202</v>
      </c>
      <c r="G2219">
        <v>126.125</v>
      </c>
      <c r="H2219" s="4">
        <f t="shared" si="236"/>
        <v>507110.78749999998</v>
      </c>
      <c r="I2219" s="5">
        <v>42383</v>
      </c>
      <c r="J2219" s="4">
        <v>6126.76</v>
      </c>
      <c r="K2219" s="4">
        <f t="shared" si="237"/>
        <v>61267.600000000006</v>
      </c>
      <c r="AJ2219" s="1">
        <v>42383</v>
      </c>
      <c r="AL2219">
        <v>16.43</v>
      </c>
      <c r="AM2219" s="6">
        <f t="shared" si="238"/>
        <v>100000</v>
      </c>
      <c r="AN2219" s="2">
        <f t="shared" si="239"/>
        <v>0</v>
      </c>
    </row>
    <row r="2220" spans="4:40" x14ac:dyDescent="0.35">
      <c r="D2220" s="1">
        <v>42415</v>
      </c>
      <c r="E2220">
        <v>3.9878999999999998</v>
      </c>
      <c r="F2220" s="1">
        <v>42201</v>
      </c>
      <c r="G2220">
        <v>126.23399999999999</v>
      </c>
      <c r="H2220" s="4">
        <f t="shared" si="236"/>
        <v>503408.56859999994</v>
      </c>
      <c r="I2220" s="5">
        <v>42382</v>
      </c>
      <c r="J2220" s="4">
        <v>6148.1</v>
      </c>
      <c r="K2220" s="4">
        <f t="shared" si="237"/>
        <v>61481</v>
      </c>
      <c r="AJ2220" s="1">
        <v>42382</v>
      </c>
      <c r="AL2220">
        <v>16.350000000000001</v>
      </c>
      <c r="AM2220" s="6">
        <f t="shared" si="238"/>
        <v>100000</v>
      </c>
      <c r="AN2220" s="2">
        <f t="shared" si="239"/>
        <v>0</v>
      </c>
    </row>
    <row r="2221" spans="4:40" x14ac:dyDescent="0.35">
      <c r="D2221" s="1">
        <v>42412</v>
      </c>
      <c r="E2221">
        <v>3.9883999999999999</v>
      </c>
      <c r="F2221" s="1">
        <v>42200</v>
      </c>
      <c r="G2221">
        <v>126.297</v>
      </c>
      <c r="H2221" s="4">
        <f t="shared" si="236"/>
        <v>503722.95479999995</v>
      </c>
      <c r="I2221" s="5">
        <v>42381</v>
      </c>
      <c r="J2221" s="4">
        <v>6176.31</v>
      </c>
      <c r="K2221" s="4">
        <f t="shared" si="237"/>
        <v>61763.100000000006</v>
      </c>
      <c r="AJ2221" s="1">
        <v>42381</v>
      </c>
      <c r="AL2221">
        <v>16.309999999999999</v>
      </c>
      <c r="AM2221" s="6">
        <f t="shared" si="238"/>
        <v>100000</v>
      </c>
      <c r="AN2221" s="2">
        <f t="shared" si="239"/>
        <v>0</v>
      </c>
    </row>
    <row r="2222" spans="4:40" x14ac:dyDescent="0.35">
      <c r="D2222" s="1">
        <v>42411</v>
      </c>
      <c r="E2222">
        <v>3.9636</v>
      </c>
      <c r="F2222" s="1">
        <v>42199</v>
      </c>
      <c r="G2222">
        <v>125.953</v>
      </c>
      <c r="H2222" s="4">
        <f t="shared" si="236"/>
        <v>499227.31079999998</v>
      </c>
      <c r="I2222" s="5">
        <v>42380</v>
      </c>
      <c r="J2222" s="4">
        <v>6222.04</v>
      </c>
      <c r="K2222" s="4">
        <f t="shared" si="237"/>
        <v>62220.4</v>
      </c>
      <c r="AJ2222" s="1">
        <v>42380</v>
      </c>
      <c r="AL2222">
        <v>16.329999999999998</v>
      </c>
      <c r="AM2222" s="6">
        <f t="shared" si="238"/>
        <v>100000</v>
      </c>
      <c r="AN2222" s="2" t="e">
        <f t="shared" si="239"/>
        <v>#DIV/0!</v>
      </c>
    </row>
    <row r="2223" spans="4:40" x14ac:dyDescent="0.35">
      <c r="D2223" s="1">
        <v>42410</v>
      </c>
      <c r="E2223">
        <v>3.9405999999999999</v>
      </c>
      <c r="F2223" s="1">
        <v>42198</v>
      </c>
      <c r="G2223">
        <v>125.46899999999999</v>
      </c>
      <c r="H2223" s="4">
        <f t="shared" si="236"/>
        <v>494423.14139999996</v>
      </c>
      <c r="I2223" s="5">
        <v>42377</v>
      </c>
      <c r="J2223" s="4">
        <v>6174.02</v>
      </c>
      <c r="K2223" s="4">
        <f t="shared" si="237"/>
        <v>61740.200000000004</v>
      </c>
    </row>
    <row r="2224" spans="4:40" x14ac:dyDescent="0.35">
      <c r="D2224" s="1">
        <v>42405</v>
      </c>
      <c r="E2224">
        <v>3.8969</v>
      </c>
      <c r="F2224" s="1">
        <v>42195</v>
      </c>
      <c r="G2224">
        <v>125.813</v>
      </c>
      <c r="H2224" s="4">
        <f t="shared" si="236"/>
        <v>490280.67969999998</v>
      </c>
      <c r="I2224" s="5">
        <v>42376</v>
      </c>
      <c r="J2224" s="4">
        <v>6216.7</v>
      </c>
      <c r="K2224" s="4">
        <f t="shared" si="237"/>
        <v>62167</v>
      </c>
    </row>
    <row r="2225" spans="4:11" x14ac:dyDescent="0.35">
      <c r="D2225" s="1">
        <v>42404</v>
      </c>
      <c r="E2225">
        <v>3.8645999999999998</v>
      </c>
      <c r="F2225" s="1">
        <v>42193</v>
      </c>
      <c r="G2225">
        <v>127.48399999999999</v>
      </c>
      <c r="H2225" s="4">
        <f t="shared" si="236"/>
        <v>492674.66639999999</v>
      </c>
      <c r="I2225" s="5">
        <v>42375</v>
      </c>
      <c r="J2225" s="4">
        <v>6190.79</v>
      </c>
      <c r="K2225" s="4">
        <f t="shared" si="237"/>
        <v>61907.9</v>
      </c>
    </row>
    <row r="2226" spans="4:11" x14ac:dyDescent="0.35">
      <c r="D2226" s="1">
        <v>42403</v>
      </c>
      <c r="E2226">
        <v>3.9552</v>
      </c>
      <c r="F2226" s="1">
        <v>42192</v>
      </c>
      <c r="G2226">
        <v>127.313</v>
      </c>
      <c r="H2226" s="4">
        <f t="shared" si="236"/>
        <v>503548.37760000007</v>
      </c>
      <c r="I2226" s="5">
        <v>42374</v>
      </c>
      <c r="J2226" s="4">
        <v>6163.35</v>
      </c>
      <c r="K2226" s="4">
        <f t="shared" si="237"/>
        <v>61633.5</v>
      </c>
    </row>
    <row r="2227" spans="4:11" x14ac:dyDescent="0.35">
      <c r="D2227" s="1">
        <v>42402</v>
      </c>
      <c r="E2227">
        <v>3.9912999999999998</v>
      </c>
      <c r="F2227" s="1">
        <v>42191</v>
      </c>
      <c r="G2227">
        <v>126.75</v>
      </c>
      <c r="H2227" s="4">
        <f t="shared" si="236"/>
        <v>505897.27499999997</v>
      </c>
      <c r="I2227" s="5">
        <v>42373</v>
      </c>
      <c r="J2227" s="4">
        <v>6207.56</v>
      </c>
      <c r="K2227" s="4">
        <f t="shared" si="237"/>
        <v>62075.600000000006</v>
      </c>
    </row>
    <row r="2228" spans="4:11" x14ac:dyDescent="0.35">
      <c r="D2228" s="1">
        <v>42401</v>
      </c>
      <c r="E2228">
        <v>3.9979</v>
      </c>
      <c r="F2228" s="1">
        <v>42187</v>
      </c>
      <c r="G2228">
        <v>125.73399999999999</v>
      </c>
      <c r="H2228" s="4">
        <f t="shared" si="236"/>
        <v>502671.95859999995</v>
      </c>
      <c r="I2228" s="5">
        <v>42368</v>
      </c>
      <c r="J2228" s="4">
        <v>6088.65</v>
      </c>
      <c r="K2228" s="4">
        <f t="shared" si="237"/>
        <v>60886.5</v>
      </c>
    </row>
    <row r="2229" spans="4:11" x14ac:dyDescent="0.35">
      <c r="D2229" s="1">
        <v>42398</v>
      </c>
      <c r="E2229">
        <v>4.0422000000000002</v>
      </c>
      <c r="F2229" s="1">
        <v>42186</v>
      </c>
      <c r="G2229">
        <v>125.48399999999999</v>
      </c>
      <c r="H2229" s="4">
        <f t="shared" si="236"/>
        <v>507231.42480000004</v>
      </c>
      <c r="I2229" s="5">
        <v>42367</v>
      </c>
      <c r="J2229" s="4">
        <v>5962.88</v>
      </c>
      <c r="K2229" s="4">
        <f t="shared" si="237"/>
        <v>59628.800000000003</v>
      </c>
    </row>
    <row r="2230" spans="4:11" x14ac:dyDescent="0.35">
      <c r="D2230" s="1">
        <v>42397</v>
      </c>
      <c r="E2230">
        <v>4.0831999999999997</v>
      </c>
      <c r="F2230" s="1">
        <v>42185</v>
      </c>
      <c r="G2230">
        <v>126.03100000000001</v>
      </c>
      <c r="H2230" s="4">
        <f t="shared" si="236"/>
        <v>514609.77919999993</v>
      </c>
      <c r="I2230" s="5">
        <v>42366</v>
      </c>
      <c r="J2230" s="4">
        <v>5956.72</v>
      </c>
      <c r="K2230" s="4">
        <f t="shared" si="237"/>
        <v>59567.200000000004</v>
      </c>
    </row>
    <row r="2231" spans="4:11" x14ac:dyDescent="0.35">
      <c r="D2231" s="1">
        <v>42396</v>
      </c>
      <c r="E2231">
        <v>4.0441000000000003</v>
      </c>
      <c r="F2231" s="1">
        <v>42179</v>
      </c>
      <c r="G2231">
        <v>125.672</v>
      </c>
      <c r="H2231" s="4">
        <f t="shared" si="236"/>
        <v>508230.13520000002</v>
      </c>
      <c r="I2231" s="5">
        <v>42361</v>
      </c>
      <c r="J2231" s="4">
        <v>6090.84</v>
      </c>
      <c r="K2231" s="4">
        <f t="shared" si="237"/>
        <v>60908.4</v>
      </c>
    </row>
    <row r="2232" spans="4:11" x14ac:dyDescent="0.35">
      <c r="D2232" s="1">
        <v>42395</v>
      </c>
      <c r="E2232">
        <v>4.0960999999999999</v>
      </c>
      <c r="F2232" s="1">
        <v>42178</v>
      </c>
      <c r="G2232">
        <v>125.48399999999999</v>
      </c>
      <c r="H2232" s="4">
        <f t="shared" si="236"/>
        <v>513995.01239999995</v>
      </c>
      <c r="I2232" s="5">
        <v>42360</v>
      </c>
      <c r="J2232" s="4">
        <v>6173.31</v>
      </c>
      <c r="K2232" s="4">
        <f t="shared" si="237"/>
        <v>61733.100000000006</v>
      </c>
    </row>
    <row r="2233" spans="4:11" x14ac:dyDescent="0.35">
      <c r="D2233" s="1">
        <v>42394</v>
      </c>
      <c r="E2233">
        <v>4.0991</v>
      </c>
      <c r="F2233" s="1">
        <v>42172</v>
      </c>
      <c r="G2233">
        <v>125.813</v>
      </c>
      <c r="H2233" s="4">
        <f t="shared" si="236"/>
        <v>515720.06829999998</v>
      </c>
      <c r="I2233" s="5">
        <v>42359</v>
      </c>
      <c r="J2233" s="4">
        <v>6197.98</v>
      </c>
      <c r="K2233" s="4">
        <f t="shared" si="237"/>
        <v>61979.799999999996</v>
      </c>
    </row>
    <row r="2234" spans="4:11" x14ac:dyDescent="0.35">
      <c r="D2234" s="1">
        <v>42391</v>
      </c>
      <c r="E2234">
        <v>4.1226000000000003</v>
      </c>
      <c r="F2234" s="1">
        <v>42165</v>
      </c>
      <c r="G2234">
        <v>124.53100000000001</v>
      </c>
      <c r="H2234" s="4">
        <f t="shared" si="236"/>
        <v>513391.50060000009</v>
      </c>
      <c r="I2234" s="5">
        <v>42356</v>
      </c>
      <c r="J2234" s="4">
        <v>6165.6</v>
      </c>
      <c r="K2234" s="4">
        <f t="shared" si="237"/>
        <v>61656</v>
      </c>
    </row>
    <row r="2235" spans="4:11" x14ac:dyDescent="0.35">
      <c r="D2235" s="1">
        <v>42390</v>
      </c>
      <c r="E2235">
        <v>4.1551999999999998</v>
      </c>
      <c r="F2235" s="1">
        <v>42164</v>
      </c>
      <c r="G2235">
        <v>124.98399999999999</v>
      </c>
      <c r="H2235" s="4">
        <f t="shared" si="236"/>
        <v>519333.51679999998</v>
      </c>
      <c r="I2235" s="5">
        <v>42355</v>
      </c>
      <c r="J2235" s="4">
        <v>5997.57</v>
      </c>
      <c r="K2235" s="4">
        <f t="shared" si="237"/>
        <v>59975.7</v>
      </c>
    </row>
    <row r="2236" spans="4:11" x14ac:dyDescent="0.35">
      <c r="D2236" s="1">
        <v>42389</v>
      </c>
      <c r="E2236">
        <v>4.0854999999999997</v>
      </c>
      <c r="F2236" s="1">
        <v>42163</v>
      </c>
      <c r="G2236">
        <v>125.062</v>
      </c>
      <c r="H2236" s="4">
        <f t="shared" si="236"/>
        <v>510940.80099999998</v>
      </c>
      <c r="I2236" s="5">
        <v>42354</v>
      </c>
      <c r="J2236" s="4">
        <v>6003.74</v>
      </c>
      <c r="K2236" s="4">
        <f t="shared" si="237"/>
        <v>60037.399999999994</v>
      </c>
    </row>
    <row r="2237" spans="4:11" x14ac:dyDescent="0.35">
      <c r="D2237" s="1">
        <v>42388</v>
      </c>
      <c r="E2237">
        <v>4.0297000000000001</v>
      </c>
      <c r="F2237" s="1">
        <v>42160</v>
      </c>
      <c r="G2237">
        <v>124.96899999999999</v>
      </c>
      <c r="H2237" s="4">
        <f t="shared" si="236"/>
        <v>503587.57929999998</v>
      </c>
      <c r="I2237" s="5">
        <v>42353</v>
      </c>
      <c r="J2237" s="4">
        <v>5992.94</v>
      </c>
      <c r="K2237" s="4">
        <f t="shared" si="237"/>
        <v>59929.399999999994</v>
      </c>
    </row>
    <row r="2238" spans="4:11" x14ac:dyDescent="0.35">
      <c r="D2238" s="1">
        <v>42387</v>
      </c>
      <c r="E2238">
        <v>4.0358000000000001</v>
      </c>
      <c r="F2238" s="1">
        <v>42158</v>
      </c>
      <c r="G2238">
        <v>125.39100000000001</v>
      </c>
      <c r="H2238" s="4">
        <f t="shared" si="236"/>
        <v>506052.99780000001</v>
      </c>
      <c r="I2238" s="5">
        <v>42352</v>
      </c>
      <c r="J2238" s="4">
        <v>6002.97</v>
      </c>
      <c r="K2238" s="4">
        <f t="shared" si="237"/>
        <v>60029.700000000004</v>
      </c>
    </row>
    <row r="2239" spans="4:11" x14ac:dyDescent="0.35">
      <c r="D2239" s="1">
        <v>42384</v>
      </c>
      <c r="E2239">
        <v>4.0396000000000001</v>
      </c>
      <c r="F2239" s="1">
        <v>42157</v>
      </c>
      <c r="G2239">
        <v>126.203</v>
      </c>
      <c r="H2239" s="4">
        <f t="shared" si="236"/>
        <v>509809.63880000002</v>
      </c>
      <c r="I2239" s="5">
        <v>42349</v>
      </c>
      <c r="J2239" s="4">
        <v>6004.51</v>
      </c>
      <c r="K2239" s="4">
        <f t="shared" si="237"/>
        <v>60045.100000000006</v>
      </c>
    </row>
    <row r="2240" spans="4:11" x14ac:dyDescent="0.35">
      <c r="D2240" s="1">
        <v>42383</v>
      </c>
      <c r="E2240">
        <v>4.0217000000000001</v>
      </c>
      <c r="F2240" s="1">
        <v>42156</v>
      </c>
      <c r="G2240">
        <v>127.375</v>
      </c>
      <c r="H2240" s="4">
        <f t="shared" si="236"/>
        <v>512264.03749999998</v>
      </c>
      <c r="I2240" s="5">
        <v>42348</v>
      </c>
      <c r="J2240" s="4">
        <v>5912.01</v>
      </c>
      <c r="K2240" s="4">
        <f t="shared" si="237"/>
        <v>59120.100000000006</v>
      </c>
    </row>
    <row r="2241" spans="4:11" x14ac:dyDescent="0.35">
      <c r="D2241" s="1">
        <v>42382</v>
      </c>
      <c r="E2241">
        <v>3.9857</v>
      </c>
      <c r="F2241" s="1">
        <v>42153</v>
      </c>
      <c r="G2241">
        <v>127.547</v>
      </c>
      <c r="H2241" s="4">
        <f t="shared" si="236"/>
        <v>508364.07789999997</v>
      </c>
      <c r="I2241" s="5">
        <v>42347</v>
      </c>
      <c r="J2241" s="4">
        <v>5817.97</v>
      </c>
      <c r="K2241" s="4">
        <f t="shared" si="237"/>
        <v>58179.700000000004</v>
      </c>
    </row>
    <row r="2242" spans="4:11" x14ac:dyDescent="0.35">
      <c r="D2242" s="1">
        <v>42381</v>
      </c>
      <c r="E2242">
        <v>4.0293000000000001</v>
      </c>
      <c r="F2242" s="1">
        <v>42152</v>
      </c>
      <c r="G2242">
        <v>127.922</v>
      </c>
      <c r="H2242" s="4">
        <f t="shared" si="236"/>
        <v>515436.11459999997</v>
      </c>
      <c r="I2242" s="5">
        <v>42346</v>
      </c>
      <c r="J2242" s="4">
        <v>5892.74</v>
      </c>
      <c r="K2242" s="4">
        <f t="shared" si="237"/>
        <v>58927.399999999994</v>
      </c>
    </row>
    <row r="2243" spans="4:11" x14ac:dyDescent="0.35">
      <c r="D2243" s="1">
        <v>42380</v>
      </c>
      <c r="E2243">
        <v>4.0147000000000004</v>
      </c>
      <c r="F2243" s="1">
        <v>42151</v>
      </c>
      <c r="G2243">
        <v>127.23</v>
      </c>
      <c r="H2243" s="4">
        <f t="shared" si="236"/>
        <v>510790.28100000008</v>
      </c>
      <c r="I2243" s="5">
        <v>42345</v>
      </c>
      <c r="J2243" s="4">
        <v>5857.28</v>
      </c>
      <c r="K2243" s="4">
        <f t="shared" si="237"/>
        <v>58572.799999999996</v>
      </c>
    </row>
    <row r="2244" spans="4:11" x14ac:dyDescent="0.35">
      <c r="D2244" s="1">
        <v>42377</v>
      </c>
      <c r="E2244">
        <v>4.0244</v>
      </c>
      <c r="F2244" s="1">
        <v>42150</v>
      </c>
      <c r="G2244">
        <v>127.313</v>
      </c>
      <c r="H2244" s="4">
        <f t="shared" ref="H2244:H2307" si="240">G2244*E2244*1000</f>
        <v>512358.43720000004</v>
      </c>
      <c r="I2244" s="5">
        <v>42342</v>
      </c>
      <c r="J2244" s="4">
        <v>5838.01</v>
      </c>
      <c r="K2244" s="4">
        <f t="shared" si="237"/>
        <v>58380.100000000006</v>
      </c>
    </row>
    <row r="2245" spans="4:11" x14ac:dyDescent="0.35">
      <c r="D2245" s="1">
        <v>42376</v>
      </c>
      <c r="E2245">
        <v>4.0468999999999999</v>
      </c>
      <c r="F2245" s="1">
        <v>42144</v>
      </c>
      <c r="G2245">
        <v>127.328</v>
      </c>
      <c r="H2245" s="4">
        <f t="shared" si="240"/>
        <v>515283.68320000003</v>
      </c>
      <c r="I2245" s="5">
        <v>42341</v>
      </c>
      <c r="J2245" s="4">
        <v>5840.33</v>
      </c>
      <c r="K2245" s="4">
        <f t="shared" ref="K2245:K2308" si="241">J2245*10</f>
        <v>58403.3</v>
      </c>
    </row>
    <row r="2246" spans="4:11" x14ac:dyDescent="0.35">
      <c r="D2246" s="1">
        <v>42375</v>
      </c>
      <c r="E2246">
        <v>4.0297000000000001</v>
      </c>
      <c r="F2246" s="1">
        <v>42136</v>
      </c>
      <c r="G2246">
        <v>126.563</v>
      </c>
      <c r="H2246" s="4">
        <f t="shared" si="240"/>
        <v>510010.92110000004</v>
      </c>
      <c r="I2246" s="5">
        <v>42340</v>
      </c>
      <c r="J2246" s="4">
        <v>5968.28</v>
      </c>
      <c r="K2246" s="4">
        <f t="shared" si="241"/>
        <v>59682.799999999996</v>
      </c>
    </row>
    <row r="2247" spans="4:11" x14ac:dyDescent="0.35">
      <c r="D2247" s="1">
        <v>42374</v>
      </c>
      <c r="E2247">
        <v>4.0107999999999997</v>
      </c>
      <c r="F2247" s="1">
        <v>42131</v>
      </c>
      <c r="G2247">
        <v>127.35899999999999</v>
      </c>
      <c r="H2247" s="4">
        <f t="shared" si="240"/>
        <v>510811.47719999996</v>
      </c>
      <c r="I2247" s="5">
        <v>42339</v>
      </c>
      <c r="J2247" s="4">
        <v>5990.63</v>
      </c>
      <c r="K2247" s="4">
        <f t="shared" si="241"/>
        <v>59906.3</v>
      </c>
    </row>
    <row r="2248" spans="4:11" x14ac:dyDescent="0.35">
      <c r="D2248" s="1">
        <v>42373</v>
      </c>
      <c r="E2248">
        <v>4.0380000000000003</v>
      </c>
      <c r="F2248" s="1">
        <v>42129</v>
      </c>
      <c r="G2248">
        <v>127.625</v>
      </c>
      <c r="H2248" s="4">
        <f t="shared" si="240"/>
        <v>515349.75000000006</v>
      </c>
      <c r="I2248" s="5">
        <v>42338</v>
      </c>
      <c r="J2248" s="4">
        <v>6019.15</v>
      </c>
      <c r="K2248" s="4">
        <f t="shared" si="241"/>
        <v>60191.5</v>
      </c>
    </row>
    <row r="2249" spans="4:11" x14ac:dyDescent="0.35">
      <c r="D2249" s="1">
        <v>42369</v>
      </c>
      <c r="E2249">
        <v>3.9041999999999999</v>
      </c>
      <c r="F2249" s="1">
        <v>42128</v>
      </c>
      <c r="G2249">
        <v>127.938</v>
      </c>
      <c r="H2249" s="4">
        <f t="shared" si="240"/>
        <v>499495.53959999996</v>
      </c>
      <c r="I2249" s="5">
        <v>42335</v>
      </c>
      <c r="J2249" s="4">
        <v>5985.24</v>
      </c>
      <c r="K2249" s="4">
        <f t="shared" si="241"/>
        <v>59852.399999999994</v>
      </c>
    </row>
    <row r="2250" spans="4:11" x14ac:dyDescent="0.35">
      <c r="D2250" s="1">
        <v>42368</v>
      </c>
      <c r="E2250">
        <v>3.9041999999999999</v>
      </c>
      <c r="F2250" s="1">
        <v>42124</v>
      </c>
      <c r="G2250">
        <v>127.937</v>
      </c>
      <c r="H2250" s="4">
        <f t="shared" si="240"/>
        <v>499491.63539999997</v>
      </c>
      <c r="I2250" s="5">
        <v>42334</v>
      </c>
      <c r="J2250" s="4">
        <v>5831.33</v>
      </c>
      <c r="K2250" s="4">
        <f t="shared" si="241"/>
        <v>58313.3</v>
      </c>
    </row>
    <row r="2251" spans="4:11" x14ac:dyDescent="0.35">
      <c r="D2251" s="1">
        <v>42367</v>
      </c>
      <c r="E2251">
        <v>3.8485999999999998</v>
      </c>
      <c r="F2251" s="1">
        <v>42123</v>
      </c>
      <c r="G2251">
        <v>128.35900000000001</v>
      </c>
      <c r="H2251" s="4">
        <f t="shared" si="240"/>
        <v>494002.4474</v>
      </c>
      <c r="I2251" s="5">
        <v>42333</v>
      </c>
      <c r="J2251" s="4">
        <v>5837.55</v>
      </c>
      <c r="K2251" s="4">
        <f t="shared" si="241"/>
        <v>58375.5</v>
      </c>
    </row>
    <row r="2252" spans="4:11" x14ac:dyDescent="0.35">
      <c r="D2252" s="1">
        <v>42366</v>
      </c>
      <c r="E2252">
        <v>3.9180000000000001</v>
      </c>
      <c r="F2252" s="1">
        <v>42122</v>
      </c>
      <c r="G2252">
        <v>128.90600000000001</v>
      </c>
      <c r="H2252" s="4">
        <f t="shared" si="240"/>
        <v>505053.70800000004</v>
      </c>
      <c r="I2252" s="5">
        <v>42332</v>
      </c>
      <c r="J2252" s="4">
        <v>5755.16</v>
      </c>
      <c r="K2252" s="4">
        <f t="shared" si="241"/>
        <v>57551.6</v>
      </c>
    </row>
    <row r="2253" spans="4:11" x14ac:dyDescent="0.35">
      <c r="D2253" s="1">
        <v>42362</v>
      </c>
      <c r="E2253">
        <v>3.9510999999999998</v>
      </c>
      <c r="F2253" s="1">
        <v>42121</v>
      </c>
      <c r="G2253">
        <v>129.40600000000001</v>
      </c>
      <c r="H2253" s="4">
        <f t="shared" si="240"/>
        <v>511296.0466</v>
      </c>
      <c r="I2253" s="5">
        <v>42331</v>
      </c>
      <c r="J2253" s="4">
        <v>5811.9</v>
      </c>
      <c r="K2253" s="4">
        <f t="shared" si="241"/>
        <v>58119</v>
      </c>
    </row>
    <row r="2254" spans="4:11" x14ac:dyDescent="0.35">
      <c r="D2254" s="1">
        <v>42361</v>
      </c>
      <c r="E2254">
        <v>3.9626000000000001</v>
      </c>
      <c r="F2254" s="1">
        <v>42117</v>
      </c>
      <c r="G2254">
        <v>128.78100000000001</v>
      </c>
      <c r="H2254" s="4">
        <f t="shared" si="240"/>
        <v>510307.59060000005</v>
      </c>
      <c r="I2254" s="5">
        <v>42327</v>
      </c>
      <c r="J2254" s="4">
        <v>5804.9</v>
      </c>
      <c r="K2254" s="4">
        <f t="shared" si="241"/>
        <v>58049</v>
      </c>
    </row>
    <row r="2255" spans="4:11" x14ac:dyDescent="0.35">
      <c r="D2255" s="1">
        <v>42360</v>
      </c>
      <c r="E2255">
        <v>3.9763999999999999</v>
      </c>
      <c r="F2255" s="1">
        <v>42116</v>
      </c>
      <c r="G2255">
        <v>128.73400000000001</v>
      </c>
      <c r="H2255" s="4">
        <f t="shared" si="240"/>
        <v>511897.87760000001</v>
      </c>
      <c r="I2255" s="5">
        <v>42326</v>
      </c>
      <c r="J2255" s="4">
        <v>5880.3</v>
      </c>
      <c r="K2255" s="4">
        <f t="shared" si="241"/>
        <v>58803</v>
      </c>
    </row>
    <row r="2256" spans="4:11" x14ac:dyDescent="0.35">
      <c r="D2256" s="1">
        <v>42359</v>
      </c>
      <c r="E2256">
        <v>3.9824999999999999</v>
      </c>
      <c r="F2256" s="1">
        <v>42114</v>
      </c>
      <c r="G2256">
        <v>129.453</v>
      </c>
      <c r="H2256" s="4">
        <f t="shared" si="240"/>
        <v>515546.57250000001</v>
      </c>
      <c r="I2256" s="5">
        <v>42325</v>
      </c>
      <c r="J2256" s="4">
        <v>5958.81</v>
      </c>
      <c r="K2256" s="4">
        <f t="shared" si="241"/>
        <v>59588.100000000006</v>
      </c>
    </row>
    <row r="2257" spans="4:11" x14ac:dyDescent="0.35">
      <c r="D2257" s="1">
        <v>42356</v>
      </c>
      <c r="E2257">
        <v>3.9056000000000002</v>
      </c>
      <c r="F2257" s="1">
        <v>42109</v>
      </c>
      <c r="G2257">
        <v>129.59399999999999</v>
      </c>
      <c r="H2257" s="4">
        <f t="shared" si="240"/>
        <v>506142.32640000002</v>
      </c>
      <c r="I2257" s="5">
        <v>42324</v>
      </c>
      <c r="J2257" s="4">
        <v>5971.25</v>
      </c>
      <c r="K2257" s="4">
        <f t="shared" si="241"/>
        <v>59712.5</v>
      </c>
    </row>
    <row r="2258" spans="4:11" x14ac:dyDescent="0.35">
      <c r="D2258" s="1">
        <v>42355</v>
      </c>
      <c r="E2258">
        <v>3.8923000000000001</v>
      </c>
      <c r="F2258" s="1">
        <v>42108</v>
      </c>
      <c r="G2258">
        <v>129.59399999999999</v>
      </c>
      <c r="H2258" s="4">
        <f t="shared" si="240"/>
        <v>504418.72619999998</v>
      </c>
      <c r="I2258" s="5">
        <v>42321</v>
      </c>
      <c r="J2258" s="4">
        <v>6012.44</v>
      </c>
      <c r="K2258" s="4">
        <f t="shared" si="241"/>
        <v>60124.399999999994</v>
      </c>
    </row>
    <row r="2259" spans="4:11" x14ac:dyDescent="0.35">
      <c r="D2259" s="1">
        <v>42354</v>
      </c>
      <c r="E2259">
        <v>3.9350999999999998</v>
      </c>
      <c r="F2259" s="1">
        <v>42107</v>
      </c>
      <c r="G2259">
        <v>129.03100000000001</v>
      </c>
      <c r="H2259" s="4">
        <f t="shared" si="240"/>
        <v>507749.88810000004</v>
      </c>
      <c r="I2259" s="5">
        <v>42320</v>
      </c>
      <c r="J2259" s="4">
        <v>5897.4</v>
      </c>
      <c r="K2259" s="4">
        <f t="shared" si="241"/>
        <v>58974</v>
      </c>
    </row>
    <row r="2260" spans="4:11" x14ac:dyDescent="0.35">
      <c r="D2260" s="1">
        <v>42353</v>
      </c>
      <c r="E2260">
        <v>3.8696999999999999</v>
      </c>
      <c r="F2260" s="1">
        <v>42103</v>
      </c>
      <c r="G2260">
        <v>129.06299999999999</v>
      </c>
      <c r="H2260" s="4">
        <f t="shared" si="240"/>
        <v>499435.09109999996</v>
      </c>
      <c r="I2260" s="5">
        <v>42319</v>
      </c>
      <c r="J2260" s="4">
        <v>5893.52</v>
      </c>
      <c r="K2260" s="4">
        <f t="shared" si="241"/>
        <v>58935.200000000004</v>
      </c>
    </row>
    <row r="2261" spans="4:11" x14ac:dyDescent="0.35">
      <c r="D2261" s="1">
        <v>42352</v>
      </c>
      <c r="E2261">
        <v>3.9016999999999999</v>
      </c>
      <c r="F2261" s="1">
        <v>42101</v>
      </c>
      <c r="G2261">
        <v>129.26599999999999</v>
      </c>
      <c r="H2261" s="4">
        <f t="shared" si="240"/>
        <v>504357.15219999995</v>
      </c>
      <c r="I2261" s="5">
        <v>42318</v>
      </c>
      <c r="J2261" s="4">
        <v>5860.87</v>
      </c>
      <c r="K2261" s="4">
        <f t="shared" si="241"/>
        <v>58608.7</v>
      </c>
    </row>
    <row r="2262" spans="4:11" x14ac:dyDescent="0.35">
      <c r="D2262" s="1">
        <v>42349</v>
      </c>
      <c r="E2262">
        <v>3.8540999999999999</v>
      </c>
      <c r="F2262" s="1">
        <v>42100</v>
      </c>
      <c r="G2262">
        <v>129.828</v>
      </c>
      <c r="H2262" s="4">
        <f t="shared" si="240"/>
        <v>500370.09480000002</v>
      </c>
      <c r="I2262" s="5">
        <v>42317</v>
      </c>
      <c r="J2262" s="4">
        <v>5948.7</v>
      </c>
      <c r="K2262" s="4">
        <f t="shared" si="241"/>
        <v>59487</v>
      </c>
    </row>
    <row r="2263" spans="4:11" x14ac:dyDescent="0.35">
      <c r="D2263" s="1">
        <v>42348</v>
      </c>
      <c r="E2263">
        <v>3.7679</v>
      </c>
      <c r="F2263" s="1">
        <v>42095</v>
      </c>
      <c r="G2263">
        <v>129.18799999999999</v>
      </c>
      <c r="H2263" s="4">
        <f t="shared" si="240"/>
        <v>486767.46519999992</v>
      </c>
      <c r="I2263" s="5">
        <v>42314</v>
      </c>
      <c r="J2263" s="4">
        <v>5905.95</v>
      </c>
      <c r="K2263" s="4">
        <f t="shared" si="241"/>
        <v>59059.5</v>
      </c>
    </row>
    <row r="2264" spans="4:11" x14ac:dyDescent="0.35">
      <c r="D2264" s="1">
        <v>42347</v>
      </c>
      <c r="E2264">
        <v>3.7572999999999999</v>
      </c>
      <c r="F2264" s="1">
        <v>42090</v>
      </c>
      <c r="G2264">
        <v>128.56299999999999</v>
      </c>
      <c r="H2264" s="4">
        <f t="shared" si="240"/>
        <v>483049.75989999989</v>
      </c>
      <c r="I2264" s="5">
        <v>42313</v>
      </c>
      <c r="J2264" s="4">
        <v>5915.28</v>
      </c>
      <c r="K2264" s="4">
        <f t="shared" si="241"/>
        <v>59152.799999999996</v>
      </c>
    </row>
    <row r="2265" spans="4:11" x14ac:dyDescent="0.35">
      <c r="D2265" s="1">
        <v>42346</v>
      </c>
      <c r="E2265">
        <v>3.7915000000000001</v>
      </c>
      <c r="F2265" s="1">
        <v>42089</v>
      </c>
      <c r="G2265">
        <v>128.453</v>
      </c>
      <c r="H2265" s="4">
        <f t="shared" si="240"/>
        <v>487029.54950000002</v>
      </c>
      <c r="I2265" s="5">
        <v>42312</v>
      </c>
      <c r="J2265" s="4">
        <v>5948.7</v>
      </c>
      <c r="K2265" s="4">
        <f t="shared" si="241"/>
        <v>59487</v>
      </c>
    </row>
    <row r="2266" spans="4:11" x14ac:dyDescent="0.35">
      <c r="D2266" s="1">
        <v>42345</v>
      </c>
      <c r="E2266">
        <v>3.7469999999999999</v>
      </c>
      <c r="F2266" s="1">
        <v>42088</v>
      </c>
      <c r="G2266">
        <v>129.172</v>
      </c>
      <c r="H2266" s="4">
        <f t="shared" si="240"/>
        <v>484007.484</v>
      </c>
      <c r="I2266" s="5">
        <v>42311</v>
      </c>
      <c r="J2266" s="4">
        <v>5916.83</v>
      </c>
      <c r="K2266" s="4">
        <f t="shared" si="241"/>
        <v>59168.3</v>
      </c>
    </row>
    <row r="2267" spans="4:11" x14ac:dyDescent="0.35">
      <c r="D2267" s="1">
        <v>42342</v>
      </c>
      <c r="E2267">
        <v>3.7568999999999999</v>
      </c>
      <c r="F2267" s="1">
        <v>42087</v>
      </c>
      <c r="G2267">
        <v>128.78100000000001</v>
      </c>
      <c r="H2267" s="4">
        <f t="shared" si="240"/>
        <v>483817.33890000003</v>
      </c>
      <c r="I2267" s="5">
        <v>42307</v>
      </c>
      <c r="J2267" s="4">
        <v>6053.64</v>
      </c>
      <c r="K2267" s="4">
        <f t="shared" si="241"/>
        <v>60536.4</v>
      </c>
    </row>
    <row r="2268" spans="4:11" x14ac:dyDescent="0.35">
      <c r="D2268" s="1">
        <v>42341</v>
      </c>
      <c r="E2268">
        <v>3.7964000000000002</v>
      </c>
      <c r="F2268" s="1">
        <v>42086</v>
      </c>
      <c r="G2268">
        <v>128.93700000000001</v>
      </c>
      <c r="H2268" s="4">
        <f t="shared" si="240"/>
        <v>489496.42680000007</v>
      </c>
      <c r="I2268" s="5">
        <v>42306</v>
      </c>
      <c r="J2268" s="4">
        <v>6043.53</v>
      </c>
      <c r="K2268" s="4">
        <f t="shared" si="241"/>
        <v>60435.299999999996</v>
      </c>
    </row>
    <row r="2269" spans="4:11" x14ac:dyDescent="0.35">
      <c r="D2269" s="1">
        <v>42340</v>
      </c>
      <c r="E2269">
        <v>3.8538999999999999</v>
      </c>
      <c r="F2269" s="1">
        <v>42082</v>
      </c>
      <c r="G2269">
        <v>128.31299999999999</v>
      </c>
      <c r="H2269" s="4">
        <f t="shared" si="240"/>
        <v>494505.47069999995</v>
      </c>
      <c r="I2269" s="5">
        <v>42305</v>
      </c>
      <c r="J2269" s="4">
        <v>6140.91</v>
      </c>
      <c r="K2269" s="4">
        <f t="shared" si="241"/>
        <v>61409.1</v>
      </c>
    </row>
    <row r="2270" spans="4:11" x14ac:dyDescent="0.35">
      <c r="D2270" s="1">
        <v>42339</v>
      </c>
      <c r="E2270">
        <v>3.8738999999999999</v>
      </c>
      <c r="F2270" s="1">
        <v>42081</v>
      </c>
      <c r="G2270">
        <v>128.78100000000001</v>
      </c>
      <c r="H2270" s="4">
        <f t="shared" si="240"/>
        <v>498884.71590000001</v>
      </c>
      <c r="I2270" s="5">
        <v>42304</v>
      </c>
      <c r="J2270" s="4">
        <v>6114.21</v>
      </c>
      <c r="K2270" s="4">
        <f t="shared" si="241"/>
        <v>61142.1</v>
      </c>
    </row>
    <row r="2271" spans="4:11" x14ac:dyDescent="0.35">
      <c r="D2271" s="1">
        <v>42338</v>
      </c>
      <c r="E2271">
        <v>3.8498999999999999</v>
      </c>
      <c r="F2271" s="1">
        <v>42080</v>
      </c>
      <c r="G2271">
        <v>127.5</v>
      </c>
      <c r="H2271" s="4">
        <f t="shared" si="240"/>
        <v>490862.24999999994</v>
      </c>
      <c r="I2271" s="5">
        <v>42303</v>
      </c>
      <c r="J2271" s="4">
        <v>6146.41</v>
      </c>
      <c r="K2271" s="4">
        <f t="shared" si="241"/>
        <v>61464.1</v>
      </c>
    </row>
    <row r="2272" spans="4:11" x14ac:dyDescent="0.35">
      <c r="D2272" s="1">
        <v>42335</v>
      </c>
      <c r="E2272">
        <v>3.7391999999999999</v>
      </c>
      <c r="F2272" s="1">
        <v>42072</v>
      </c>
      <c r="G2272">
        <v>126.375</v>
      </c>
      <c r="H2272" s="4">
        <f t="shared" si="240"/>
        <v>472541.4</v>
      </c>
      <c r="I2272" s="5">
        <v>42300</v>
      </c>
      <c r="J2272" s="4">
        <v>6097.72</v>
      </c>
      <c r="K2272" s="4">
        <f t="shared" si="241"/>
        <v>60977.200000000004</v>
      </c>
    </row>
    <row r="2273" spans="4:11" x14ac:dyDescent="0.35">
      <c r="D2273" s="1">
        <v>42334</v>
      </c>
      <c r="E2273">
        <v>3.76</v>
      </c>
      <c r="F2273" s="1">
        <v>42069</v>
      </c>
      <c r="G2273">
        <v>126.09399999999999</v>
      </c>
      <c r="H2273" s="4">
        <f t="shared" si="240"/>
        <v>474113.43999999994</v>
      </c>
      <c r="I2273" s="5">
        <v>42299</v>
      </c>
      <c r="J2273" s="4">
        <v>6151.9</v>
      </c>
      <c r="K2273" s="4">
        <f t="shared" si="241"/>
        <v>61519</v>
      </c>
    </row>
    <row r="2274" spans="4:11" x14ac:dyDescent="0.35">
      <c r="D2274" s="1">
        <v>42333</v>
      </c>
      <c r="E2274">
        <v>3.7682000000000002</v>
      </c>
      <c r="F2274" s="1">
        <v>42065</v>
      </c>
      <c r="G2274">
        <v>127.25</v>
      </c>
      <c r="H2274" s="4">
        <f t="shared" si="240"/>
        <v>479503.45000000007</v>
      </c>
      <c r="I2274" s="5">
        <v>42298</v>
      </c>
      <c r="J2274" s="4">
        <v>6205.3</v>
      </c>
      <c r="K2274" s="4">
        <f t="shared" si="241"/>
        <v>62053</v>
      </c>
    </row>
    <row r="2275" spans="4:11" x14ac:dyDescent="0.35">
      <c r="D2275" s="1">
        <v>42332</v>
      </c>
      <c r="E2275">
        <v>3.7075</v>
      </c>
      <c r="F2275" s="1">
        <v>42062</v>
      </c>
      <c r="G2275">
        <v>127.59399999999999</v>
      </c>
      <c r="H2275" s="4">
        <f t="shared" si="240"/>
        <v>473054.755</v>
      </c>
      <c r="I2275" s="5">
        <v>42297</v>
      </c>
      <c r="J2275" s="4">
        <v>6153.47</v>
      </c>
      <c r="K2275" s="4">
        <f t="shared" si="241"/>
        <v>61534.700000000004</v>
      </c>
    </row>
    <row r="2276" spans="4:11" x14ac:dyDescent="0.35">
      <c r="D2276" s="1">
        <v>42331</v>
      </c>
      <c r="E2276">
        <v>3.7223999999999999</v>
      </c>
      <c r="F2276" s="1">
        <v>42061</v>
      </c>
      <c r="G2276">
        <v>128.75</v>
      </c>
      <c r="H2276" s="4">
        <f t="shared" si="240"/>
        <v>479259</v>
      </c>
      <c r="I2276" s="5">
        <v>42296</v>
      </c>
      <c r="J2276" s="4">
        <v>6131.49</v>
      </c>
      <c r="K2276" s="4">
        <f t="shared" si="241"/>
        <v>61314.899999999994</v>
      </c>
    </row>
    <row r="2277" spans="4:11" x14ac:dyDescent="0.35">
      <c r="D2277" s="1">
        <v>42328</v>
      </c>
      <c r="E2277">
        <v>3.7</v>
      </c>
      <c r="F2277" s="1">
        <v>42060</v>
      </c>
      <c r="G2277">
        <v>128.71899999999999</v>
      </c>
      <c r="H2277" s="4">
        <f t="shared" si="240"/>
        <v>476260.30000000005</v>
      </c>
      <c r="I2277" s="5">
        <v>42293</v>
      </c>
      <c r="J2277" s="4">
        <v>6195.88</v>
      </c>
      <c r="K2277" s="4">
        <f t="shared" si="241"/>
        <v>61958.8</v>
      </c>
    </row>
    <row r="2278" spans="4:11" x14ac:dyDescent="0.35">
      <c r="D2278" s="1">
        <v>42327</v>
      </c>
      <c r="E2278">
        <v>3.7435</v>
      </c>
      <c r="F2278" s="1">
        <v>42059</v>
      </c>
      <c r="G2278">
        <v>128.71899999999999</v>
      </c>
      <c r="H2278" s="4">
        <f t="shared" si="240"/>
        <v>481859.57650000002</v>
      </c>
      <c r="I2278" s="5">
        <v>42292</v>
      </c>
      <c r="J2278" s="4">
        <v>6012.91</v>
      </c>
      <c r="K2278" s="4">
        <f t="shared" si="241"/>
        <v>60129.1</v>
      </c>
    </row>
    <row r="2279" spans="4:11" x14ac:dyDescent="0.35">
      <c r="D2279" s="1">
        <v>42326</v>
      </c>
      <c r="E2279">
        <v>3.7915000000000001</v>
      </c>
      <c r="F2279" s="1">
        <v>42058</v>
      </c>
      <c r="G2279">
        <v>127.9</v>
      </c>
      <c r="H2279" s="4">
        <f t="shared" si="240"/>
        <v>484932.85000000003</v>
      </c>
      <c r="I2279" s="5">
        <v>42291</v>
      </c>
      <c r="J2279" s="4">
        <v>6030.97</v>
      </c>
      <c r="K2279" s="4">
        <f t="shared" si="241"/>
        <v>60309.700000000004</v>
      </c>
    </row>
    <row r="2280" spans="4:11" x14ac:dyDescent="0.35">
      <c r="D2280" s="1">
        <v>42325</v>
      </c>
      <c r="E2280">
        <v>3.8045</v>
      </c>
      <c r="F2280" s="1">
        <v>42054</v>
      </c>
      <c r="G2280">
        <v>128</v>
      </c>
      <c r="H2280" s="4">
        <f t="shared" si="240"/>
        <v>486976</v>
      </c>
      <c r="I2280" s="5">
        <v>42290</v>
      </c>
      <c r="J2280" s="4">
        <v>6145.62</v>
      </c>
      <c r="K2280" s="4">
        <f t="shared" si="241"/>
        <v>61456.2</v>
      </c>
    </row>
    <row r="2281" spans="4:11" x14ac:dyDescent="0.35">
      <c r="D2281" s="1">
        <v>42324</v>
      </c>
      <c r="E2281">
        <v>3.8330000000000002</v>
      </c>
      <c r="F2281" s="1">
        <v>42053</v>
      </c>
      <c r="G2281">
        <v>127.84399999999999</v>
      </c>
      <c r="H2281" s="4">
        <f t="shared" si="240"/>
        <v>490026.05199999997</v>
      </c>
      <c r="I2281" s="5">
        <v>42286</v>
      </c>
      <c r="J2281" s="4">
        <v>5952.44</v>
      </c>
      <c r="K2281" s="4">
        <f t="shared" si="241"/>
        <v>59524.399999999994</v>
      </c>
    </row>
    <row r="2282" spans="4:11" x14ac:dyDescent="0.35">
      <c r="D2282" s="1">
        <v>42321</v>
      </c>
      <c r="E2282">
        <v>3.8016000000000001</v>
      </c>
      <c r="F2282" s="1">
        <v>42048</v>
      </c>
      <c r="G2282">
        <v>128.26599999999999</v>
      </c>
      <c r="H2282" s="4">
        <f t="shared" si="240"/>
        <v>487616.02559999999</v>
      </c>
      <c r="I2282" s="5">
        <v>42285</v>
      </c>
      <c r="J2282" s="4">
        <v>5983.07</v>
      </c>
      <c r="K2282" s="4">
        <f t="shared" si="241"/>
        <v>59830.7</v>
      </c>
    </row>
    <row r="2283" spans="4:11" x14ac:dyDescent="0.35">
      <c r="D2283" s="1">
        <v>42320</v>
      </c>
      <c r="E2283">
        <v>3.7989999999999999</v>
      </c>
      <c r="F2283" s="1">
        <v>42045</v>
      </c>
      <c r="G2283">
        <v>128.31299999999999</v>
      </c>
      <c r="H2283" s="4">
        <f t="shared" si="240"/>
        <v>487461.08699999994</v>
      </c>
      <c r="I2283" s="5">
        <v>42284</v>
      </c>
      <c r="J2283" s="4">
        <v>6151.12</v>
      </c>
      <c r="K2283" s="4">
        <f t="shared" si="241"/>
        <v>61511.199999999997</v>
      </c>
    </row>
    <row r="2284" spans="4:11" x14ac:dyDescent="0.35">
      <c r="D2284" s="1">
        <v>42319</v>
      </c>
      <c r="E2284">
        <v>3.7320000000000002</v>
      </c>
      <c r="F2284" s="1">
        <v>42044</v>
      </c>
      <c r="G2284">
        <v>128.60900000000001</v>
      </c>
      <c r="H2284" s="4">
        <f t="shared" si="240"/>
        <v>479968.78800000006</v>
      </c>
      <c r="I2284" s="5">
        <v>42283</v>
      </c>
      <c r="J2284" s="4">
        <v>6104</v>
      </c>
      <c r="K2284" s="4">
        <f t="shared" si="241"/>
        <v>61040</v>
      </c>
    </row>
    <row r="2285" spans="4:11" x14ac:dyDescent="0.35">
      <c r="D2285" s="1">
        <v>42318</v>
      </c>
      <c r="E2285">
        <v>3.7974999999999999</v>
      </c>
      <c r="F2285" s="1">
        <v>42041</v>
      </c>
      <c r="G2285">
        <v>128.68799999999999</v>
      </c>
      <c r="H2285" s="4">
        <f t="shared" si="240"/>
        <v>488692.67999999993</v>
      </c>
      <c r="I2285" s="5">
        <v>42282</v>
      </c>
      <c r="J2285" s="4">
        <v>6200.59</v>
      </c>
      <c r="K2285" s="4">
        <f t="shared" si="241"/>
        <v>62005.9</v>
      </c>
    </row>
    <row r="2286" spans="4:11" x14ac:dyDescent="0.35">
      <c r="D2286" s="1">
        <v>42317</v>
      </c>
      <c r="E2286">
        <v>3.7921999999999998</v>
      </c>
      <c r="F2286" s="1">
        <v>42039</v>
      </c>
      <c r="G2286">
        <v>129.98400000000001</v>
      </c>
      <c r="H2286" s="4">
        <f t="shared" si="240"/>
        <v>492925.3248</v>
      </c>
      <c r="I2286" s="5">
        <v>42279</v>
      </c>
      <c r="J2286" s="4">
        <v>6238.28</v>
      </c>
      <c r="K2286" s="4">
        <f t="shared" si="241"/>
        <v>62382.799999999996</v>
      </c>
    </row>
    <row r="2287" spans="4:11" x14ac:dyDescent="0.35">
      <c r="D2287" s="1">
        <v>42314</v>
      </c>
      <c r="E2287">
        <v>3.8052999999999999</v>
      </c>
      <c r="F2287" s="1">
        <v>42038</v>
      </c>
      <c r="G2287">
        <v>130.172</v>
      </c>
      <c r="H2287" s="4">
        <f t="shared" si="240"/>
        <v>495343.51160000003</v>
      </c>
      <c r="I2287" s="5">
        <v>42278</v>
      </c>
      <c r="J2287" s="4">
        <v>6356.08</v>
      </c>
      <c r="K2287" s="4">
        <f t="shared" si="241"/>
        <v>63560.800000000003</v>
      </c>
    </row>
    <row r="2288" spans="4:11" x14ac:dyDescent="0.35">
      <c r="D2288" s="1">
        <v>42313</v>
      </c>
      <c r="E2288">
        <v>3.7887</v>
      </c>
      <c r="F2288" s="1">
        <v>42037</v>
      </c>
      <c r="G2288">
        <v>130.797</v>
      </c>
      <c r="H2288" s="4">
        <f t="shared" si="240"/>
        <v>495550.59389999998</v>
      </c>
      <c r="I2288" s="5">
        <v>42277</v>
      </c>
      <c r="J2288" s="4">
        <v>6272.84</v>
      </c>
      <c r="K2288" s="4">
        <f t="shared" si="241"/>
        <v>62728.4</v>
      </c>
    </row>
    <row r="2289" spans="4:11" x14ac:dyDescent="0.35">
      <c r="D2289" s="1">
        <v>42312</v>
      </c>
      <c r="E2289">
        <v>3.7679999999999998</v>
      </c>
      <c r="F2289" s="1">
        <v>42034</v>
      </c>
      <c r="G2289">
        <v>130.93799999999999</v>
      </c>
      <c r="H2289" s="4">
        <f t="shared" si="240"/>
        <v>493374.3839999999</v>
      </c>
      <c r="I2289" s="5">
        <v>42276</v>
      </c>
      <c r="J2289" s="4">
        <v>6451.1</v>
      </c>
      <c r="K2289" s="4">
        <f t="shared" si="241"/>
        <v>64511</v>
      </c>
    </row>
    <row r="2290" spans="4:11" x14ac:dyDescent="0.35">
      <c r="D2290" s="1">
        <v>42311</v>
      </c>
      <c r="E2290">
        <v>3.8119999999999998</v>
      </c>
      <c r="F2290" s="1">
        <v>42031</v>
      </c>
      <c r="G2290">
        <v>129.65600000000001</v>
      </c>
      <c r="H2290" s="4">
        <f t="shared" si="240"/>
        <v>494248.67200000002</v>
      </c>
      <c r="I2290" s="5">
        <v>42275</v>
      </c>
      <c r="J2290" s="4">
        <v>6538.49</v>
      </c>
      <c r="K2290" s="4">
        <f t="shared" si="241"/>
        <v>65384.899999999994</v>
      </c>
    </row>
    <row r="2291" spans="4:11" x14ac:dyDescent="0.35">
      <c r="D2291" s="1">
        <v>42307</v>
      </c>
      <c r="E2291">
        <v>3.8582000000000001</v>
      </c>
      <c r="F2291" s="1">
        <v>42027</v>
      </c>
      <c r="G2291">
        <v>129.71899999999999</v>
      </c>
      <c r="H2291" s="4">
        <f t="shared" si="240"/>
        <v>500481.84579999995</v>
      </c>
      <c r="I2291" s="5">
        <v>42272</v>
      </c>
      <c r="J2291" s="4">
        <v>6333.51</v>
      </c>
      <c r="K2291" s="4">
        <f t="shared" si="241"/>
        <v>63335.100000000006</v>
      </c>
    </row>
    <row r="2292" spans="4:11" x14ac:dyDescent="0.35">
      <c r="D2292" s="1">
        <v>42306</v>
      </c>
      <c r="E2292">
        <v>3.9321000000000002</v>
      </c>
      <c r="F2292" s="1">
        <v>42026</v>
      </c>
      <c r="G2292">
        <v>129.09399999999999</v>
      </c>
      <c r="H2292" s="4">
        <f t="shared" si="240"/>
        <v>507610.51740000001</v>
      </c>
      <c r="I2292" s="5">
        <v>42271</v>
      </c>
      <c r="J2292" s="4">
        <v>6271.55</v>
      </c>
      <c r="K2292" s="4">
        <f t="shared" si="241"/>
        <v>62715.5</v>
      </c>
    </row>
    <row r="2293" spans="4:11" x14ac:dyDescent="0.35">
      <c r="D2293" s="1">
        <v>42305</v>
      </c>
      <c r="E2293">
        <v>3.8791000000000002</v>
      </c>
      <c r="F2293" s="1">
        <v>42025</v>
      </c>
      <c r="G2293">
        <v>129.53100000000001</v>
      </c>
      <c r="H2293" s="4">
        <f t="shared" si="240"/>
        <v>502463.70210000005</v>
      </c>
      <c r="I2293" s="5">
        <v>42270</v>
      </c>
      <c r="J2293" s="4">
        <v>6652.89</v>
      </c>
      <c r="K2293" s="4">
        <f t="shared" si="241"/>
        <v>66528.900000000009</v>
      </c>
    </row>
    <row r="2294" spans="4:11" x14ac:dyDescent="0.35">
      <c r="D2294" s="1">
        <v>42304</v>
      </c>
      <c r="E2294">
        <v>3.9108000000000001</v>
      </c>
      <c r="F2294" s="1">
        <v>42020</v>
      </c>
      <c r="G2294">
        <v>129.797</v>
      </c>
      <c r="H2294" s="4">
        <f t="shared" si="240"/>
        <v>507610.10759999999</v>
      </c>
      <c r="I2294" s="5">
        <v>42269</v>
      </c>
      <c r="J2294" s="4">
        <v>6452.69</v>
      </c>
      <c r="K2294" s="4">
        <f t="shared" si="241"/>
        <v>64526.899999999994</v>
      </c>
    </row>
    <row r="2295" spans="4:11" x14ac:dyDescent="0.35">
      <c r="D2295" s="1">
        <v>42303</v>
      </c>
      <c r="E2295">
        <v>3.8574999999999999</v>
      </c>
      <c r="F2295" s="1">
        <v>42019</v>
      </c>
      <c r="G2295">
        <v>130.453</v>
      </c>
      <c r="H2295" s="4">
        <f t="shared" si="240"/>
        <v>503222.44750000001</v>
      </c>
      <c r="I2295" s="5">
        <v>42268</v>
      </c>
      <c r="J2295" s="4">
        <v>6354.17</v>
      </c>
      <c r="K2295" s="4">
        <f t="shared" si="241"/>
        <v>63541.7</v>
      </c>
    </row>
    <row r="2296" spans="4:11" x14ac:dyDescent="0.35">
      <c r="D2296" s="1">
        <v>42300</v>
      </c>
      <c r="E2296">
        <v>3.8982000000000001</v>
      </c>
      <c r="F2296" s="1">
        <v>42018</v>
      </c>
      <c r="G2296">
        <v>129.90600000000001</v>
      </c>
      <c r="H2296" s="4">
        <f t="shared" si="240"/>
        <v>506399.56920000003</v>
      </c>
      <c r="I2296" s="5">
        <v>42265</v>
      </c>
      <c r="J2296" s="4">
        <v>6292.2</v>
      </c>
      <c r="K2296" s="4">
        <f t="shared" si="241"/>
        <v>62922</v>
      </c>
    </row>
    <row r="2297" spans="4:11" x14ac:dyDescent="0.35">
      <c r="D2297" s="1">
        <v>42299</v>
      </c>
      <c r="E2297">
        <v>3.9354</v>
      </c>
      <c r="F2297" s="1">
        <v>42017</v>
      </c>
      <c r="G2297">
        <v>128.90600000000001</v>
      </c>
      <c r="H2297" s="4">
        <f t="shared" si="240"/>
        <v>507296.67240000004</v>
      </c>
      <c r="I2297" s="5">
        <v>42264</v>
      </c>
      <c r="J2297" s="4">
        <v>6227.06</v>
      </c>
      <c r="K2297" s="4">
        <f t="shared" si="241"/>
        <v>62270.600000000006</v>
      </c>
    </row>
    <row r="2298" spans="4:11" x14ac:dyDescent="0.35">
      <c r="D2298" s="1">
        <v>42298</v>
      </c>
      <c r="E2298">
        <v>3.9380000000000002</v>
      </c>
      <c r="F2298" s="1">
        <v>42016</v>
      </c>
      <c r="G2298">
        <v>128.81299999999999</v>
      </c>
      <c r="H2298" s="4">
        <f t="shared" si="240"/>
        <v>507265.59399999998</v>
      </c>
      <c r="I2298" s="5">
        <v>42263</v>
      </c>
      <c r="J2298" s="4">
        <v>6111.06</v>
      </c>
      <c r="K2298" s="4">
        <f t="shared" si="241"/>
        <v>61110.600000000006</v>
      </c>
    </row>
    <row r="2299" spans="4:11" x14ac:dyDescent="0.35">
      <c r="D2299" s="1">
        <v>42297</v>
      </c>
      <c r="E2299">
        <v>3.8650000000000002</v>
      </c>
      <c r="F2299" s="1">
        <v>42013</v>
      </c>
      <c r="G2299">
        <v>128.71899999999999</v>
      </c>
      <c r="H2299" s="4">
        <f t="shared" si="240"/>
        <v>497498.935</v>
      </c>
      <c r="I2299" s="5">
        <v>42262</v>
      </c>
      <c r="J2299" s="4">
        <v>6175.42</v>
      </c>
      <c r="K2299" s="4">
        <f t="shared" si="241"/>
        <v>61754.2</v>
      </c>
    </row>
    <row r="2300" spans="4:11" x14ac:dyDescent="0.35">
      <c r="D2300" s="1">
        <v>42296</v>
      </c>
      <c r="E2300">
        <v>3.9009</v>
      </c>
      <c r="F2300" s="1">
        <v>42012</v>
      </c>
      <c r="G2300">
        <v>128.125</v>
      </c>
      <c r="H2300" s="4">
        <f t="shared" si="240"/>
        <v>499802.8125</v>
      </c>
      <c r="I2300" s="5">
        <v>42261</v>
      </c>
      <c r="J2300" s="4">
        <v>6101.53</v>
      </c>
      <c r="K2300" s="4">
        <f t="shared" si="241"/>
        <v>61015.299999999996</v>
      </c>
    </row>
    <row r="2301" spans="4:11" x14ac:dyDescent="0.35">
      <c r="D2301" s="1">
        <v>42293</v>
      </c>
      <c r="E2301">
        <v>3.8431999999999999</v>
      </c>
      <c r="F2301" s="1">
        <v>42011</v>
      </c>
      <c r="G2301">
        <v>128.31299999999999</v>
      </c>
      <c r="H2301" s="4">
        <f t="shared" si="240"/>
        <v>493132.52159999998</v>
      </c>
      <c r="I2301" s="5">
        <v>42258</v>
      </c>
      <c r="J2301" s="4">
        <v>6193.69</v>
      </c>
      <c r="K2301" s="4">
        <f t="shared" si="241"/>
        <v>61936.899999999994</v>
      </c>
    </row>
    <row r="2302" spans="4:11" x14ac:dyDescent="0.35">
      <c r="D2302" s="1">
        <v>42292</v>
      </c>
      <c r="E2302">
        <v>3.8336999999999999</v>
      </c>
      <c r="F2302" s="1">
        <v>42010</v>
      </c>
      <c r="G2302">
        <v>128.625</v>
      </c>
      <c r="H2302" s="4">
        <f t="shared" si="240"/>
        <v>493109.66250000003</v>
      </c>
      <c r="I2302" s="5">
        <v>42257</v>
      </c>
      <c r="J2302" s="4">
        <v>6161.91</v>
      </c>
      <c r="K2302" s="4">
        <f t="shared" si="241"/>
        <v>61619.1</v>
      </c>
    </row>
    <row r="2303" spans="4:11" x14ac:dyDescent="0.35">
      <c r="D2303" s="1">
        <v>42291</v>
      </c>
      <c r="E2303">
        <v>3.8500999999999999</v>
      </c>
      <c r="F2303" s="1">
        <v>42009</v>
      </c>
      <c r="G2303">
        <v>127.289</v>
      </c>
      <c r="H2303" s="4">
        <f t="shared" si="240"/>
        <v>490075.37889999995</v>
      </c>
      <c r="I2303" s="5">
        <v>42256</v>
      </c>
      <c r="J2303" s="4">
        <v>6047.51</v>
      </c>
      <c r="K2303" s="4">
        <f t="shared" si="241"/>
        <v>60475.100000000006</v>
      </c>
    </row>
    <row r="2304" spans="4:11" x14ac:dyDescent="0.35">
      <c r="D2304" s="1">
        <v>42290</v>
      </c>
      <c r="E2304">
        <v>3.8243</v>
      </c>
      <c r="F2304" s="1">
        <v>42006</v>
      </c>
      <c r="G2304">
        <v>127.23399999999999</v>
      </c>
      <c r="H2304" s="4">
        <f t="shared" si="240"/>
        <v>486580.98619999998</v>
      </c>
      <c r="I2304" s="5">
        <v>42255</v>
      </c>
      <c r="J2304" s="4">
        <v>6115.83</v>
      </c>
      <c r="K2304" s="4">
        <f t="shared" si="241"/>
        <v>61158.3</v>
      </c>
    </row>
    <row r="2305" spans="4:11" x14ac:dyDescent="0.35">
      <c r="D2305" s="1">
        <v>42286</v>
      </c>
      <c r="E2305">
        <v>3.738</v>
      </c>
      <c r="F2305" s="1">
        <v>42003</v>
      </c>
      <c r="G2305">
        <v>126.633</v>
      </c>
      <c r="H2305" s="4">
        <f t="shared" si="240"/>
        <v>473354.15399999998</v>
      </c>
      <c r="I2305" s="5">
        <v>42251</v>
      </c>
      <c r="J2305" s="4">
        <v>6165.09</v>
      </c>
      <c r="K2305" s="4">
        <f t="shared" si="241"/>
        <v>61650.9</v>
      </c>
    </row>
    <row r="2306" spans="4:11" x14ac:dyDescent="0.35">
      <c r="D2306" s="1">
        <v>42285</v>
      </c>
      <c r="E2306">
        <v>3.8511000000000002</v>
      </c>
      <c r="F2306" s="1">
        <v>41999</v>
      </c>
      <c r="G2306">
        <v>125.90600000000001</v>
      </c>
      <c r="H2306" s="4">
        <f t="shared" si="240"/>
        <v>484876.59660000005</v>
      </c>
      <c r="I2306" s="5">
        <v>42250</v>
      </c>
      <c r="J2306" s="4">
        <v>5999.04</v>
      </c>
      <c r="K2306" s="4">
        <f t="shared" si="241"/>
        <v>59990.400000000001</v>
      </c>
    </row>
    <row r="2307" spans="4:11" x14ac:dyDescent="0.35">
      <c r="D2307" s="1">
        <v>42284</v>
      </c>
      <c r="E2307">
        <v>3.8052999999999999</v>
      </c>
      <c r="F2307" s="1">
        <v>41995</v>
      </c>
      <c r="G2307">
        <v>126.76600000000001</v>
      </c>
      <c r="H2307" s="4">
        <f t="shared" si="240"/>
        <v>482382.65980000002</v>
      </c>
      <c r="I2307" s="5">
        <v>42249</v>
      </c>
      <c r="J2307" s="4">
        <v>6034.79</v>
      </c>
      <c r="K2307" s="4">
        <f t="shared" si="241"/>
        <v>60347.9</v>
      </c>
    </row>
    <row r="2308" spans="4:11" x14ac:dyDescent="0.35">
      <c r="D2308" s="1">
        <v>42283</v>
      </c>
      <c r="E2308">
        <v>3.8561000000000001</v>
      </c>
      <c r="F2308" s="1">
        <v>41992</v>
      </c>
      <c r="G2308">
        <v>126.34399999999999</v>
      </c>
      <c r="H2308" s="4">
        <f t="shared" ref="H2308:H2371" si="242">G2308*E2308*1000</f>
        <v>487195.09840000002</v>
      </c>
      <c r="I2308" s="5">
        <v>42248</v>
      </c>
      <c r="J2308" s="4">
        <v>5939.46</v>
      </c>
      <c r="K2308" s="4">
        <f t="shared" si="241"/>
        <v>59394.6</v>
      </c>
    </row>
    <row r="2309" spans="4:11" x14ac:dyDescent="0.35">
      <c r="D2309" s="1">
        <v>42282</v>
      </c>
      <c r="E2309">
        <v>3.9135</v>
      </c>
      <c r="F2309" s="1">
        <v>41991</v>
      </c>
      <c r="G2309">
        <v>126.563</v>
      </c>
      <c r="H2309" s="4">
        <f t="shared" si="242"/>
        <v>495304.30050000001</v>
      </c>
      <c r="I2309" s="5">
        <v>42247</v>
      </c>
      <c r="J2309" s="4">
        <v>5821.08</v>
      </c>
      <c r="K2309" s="4">
        <f t="shared" ref="K2309:K2372" si="243">J2309*10</f>
        <v>58210.8</v>
      </c>
    </row>
    <row r="2310" spans="4:11" x14ac:dyDescent="0.35">
      <c r="D2310" s="1">
        <v>42279</v>
      </c>
      <c r="E2310">
        <v>4.0003000000000002</v>
      </c>
      <c r="F2310" s="1">
        <v>41990</v>
      </c>
      <c r="G2310">
        <v>127.28100000000001</v>
      </c>
      <c r="H2310" s="4">
        <f t="shared" si="242"/>
        <v>509162.18430000002</v>
      </c>
      <c r="I2310" s="5">
        <v>42244</v>
      </c>
      <c r="J2310" s="4">
        <v>5751.96</v>
      </c>
      <c r="K2310" s="4">
        <f t="shared" si="243"/>
        <v>57519.6</v>
      </c>
    </row>
    <row r="2311" spans="4:11" x14ac:dyDescent="0.35">
      <c r="D2311" s="1">
        <v>42278</v>
      </c>
      <c r="E2311">
        <v>3.9788000000000001</v>
      </c>
      <c r="F2311" s="1">
        <v>41989</v>
      </c>
      <c r="G2311">
        <v>128.047</v>
      </c>
      <c r="H2311" s="4">
        <f t="shared" si="242"/>
        <v>509473.40359999996</v>
      </c>
      <c r="I2311" s="5">
        <v>42243</v>
      </c>
      <c r="J2311" s="4">
        <v>5706.98</v>
      </c>
      <c r="K2311" s="4">
        <f t="shared" si="243"/>
        <v>57069.799999999996</v>
      </c>
    </row>
    <row r="2312" spans="4:11" x14ac:dyDescent="0.35">
      <c r="D2312" s="1">
        <v>42277</v>
      </c>
      <c r="E2312">
        <v>3.9722</v>
      </c>
      <c r="F2312" s="1">
        <v>41988</v>
      </c>
      <c r="G2312">
        <v>127.53100000000001</v>
      </c>
      <c r="H2312" s="4">
        <f t="shared" si="242"/>
        <v>506578.63819999999</v>
      </c>
      <c r="I2312" s="5">
        <v>42242</v>
      </c>
      <c r="J2312" s="4">
        <v>5788.92</v>
      </c>
      <c r="K2312" s="4">
        <f t="shared" si="243"/>
        <v>57889.2</v>
      </c>
    </row>
    <row r="2313" spans="4:11" x14ac:dyDescent="0.35">
      <c r="D2313" s="1">
        <v>42276</v>
      </c>
      <c r="E2313">
        <v>4.1165000000000003</v>
      </c>
      <c r="F2313" s="1">
        <v>41985</v>
      </c>
      <c r="G2313">
        <v>127.60899999999999</v>
      </c>
      <c r="H2313" s="4">
        <f t="shared" si="242"/>
        <v>525302.44849999994</v>
      </c>
      <c r="I2313" s="5">
        <v>42241</v>
      </c>
      <c r="J2313" s="4">
        <v>5823.46</v>
      </c>
      <c r="K2313" s="4">
        <f t="shared" si="243"/>
        <v>58234.6</v>
      </c>
    </row>
    <row r="2314" spans="4:11" x14ac:dyDescent="0.35">
      <c r="D2314" s="1">
        <v>42275</v>
      </c>
      <c r="E2314">
        <v>4.0092999999999996</v>
      </c>
      <c r="F2314" s="1">
        <v>41984</v>
      </c>
      <c r="G2314">
        <v>126.953</v>
      </c>
      <c r="H2314" s="4">
        <f t="shared" si="242"/>
        <v>508992.6629</v>
      </c>
      <c r="I2314" s="5">
        <v>42240</v>
      </c>
      <c r="J2314" s="4">
        <v>5727.86</v>
      </c>
      <c r="K2314" s="4">
        <f t="shared" si="243"/>
        <v>57278.6</v>
      </c>
    </row>
    <row r="2315" spans="4:11" x14ac:dyDescent="0.35">
      <c r="D2315" s="1">
        <v>42272</v>
      </c>
      <c r="E2315">
        <v>3.9472</v>
      </c>
      <c r="F2315" s="1">
        <v>41983</v>
      </c>
      <c r="G2315">
        <v>126.71899999999999</v>
      </c>
      <c r="H2315" s="4">
        <f t="shared" si="242"/>
        <v>500185.23679999996</v>
      </c>
      <c r="I2315" s="5">
        <v>42237</v>
      </c>
      <c r="J2315" s="4">
        <v>5645.92</v>
      </c>
      <c r="K2315" s="4">
        <f t="shared" si="243"/>
        <v>56459.199999999997</v>
      </c>
    </row>
    <row r="2316" spans="4:11" x14ac:dyDescent="0.35">
      <c r="D2316" s="1">
        <v>42271</v>
      </c>
      <c r="E2316">
        <v>4.1942000000000004</v>
      </c>
      <c r="F2316" s="1">
        <v>41982</v>
      </c>
      <c r="G2316">
        <v>126.48399999999999</v>
      </c>
      <c r="H2316" s="4">
        <f t="shared" si="242"/>
        <v>530499.19280000008</v>
      </c>
      <c r="I2316" s="5">
        <v>42236</v>
      </c>
      <c r="J2316" s="4">
        <v>5578.44</v>
      </c>
      <c r="K2316" s="4">
        <f t="shared" si="243"/>
        <v>55784.399999999994</v>
      </c>
    </row>
    <row r="2317" spans="4:11" x14ac:dyDescent="0.35">
      <c r="D2317" s="1">
        <v>42270</v>
      </c>
      <c r="E2317">
        <v>4.1033999999999997</v>
      </c>
      <c r="F2317" s="1">
        <v>41981</v>
      </c>
      <c r="G2317">
        <v>126.28100000000001</v>
      </c>
      <c r="H2317" s="4">
        <f t="shared" si="242"/>
        <v>518181.45539999998</v>
      </c>
      <c r="I2317" s="5">
        <v>42235</v>
      </c>
      <c r="J2317" s="4">
        <v>5634.67</v>
      </c>
      <c r="K2317" s="4">
        <f t="shared" si="243"/>
        <v>56346.7</v>
      </c>
    </row>
    <row r="2318" spans="4:11" x14ac:dyDescent="0.35">
      <c r="D2318" s="1">
        <v>42269</v>
      </c>
      <c r="E2318">
        <v>4.0419</v>
      </c>
      <c r="F2318" s="1">
        <v>41978</v>
      </c>
      <c r="G2318">
        <v>125.797</v>
      </c>
      <c r="H2318" s="4">
        <f t="shared" si="242"/>
        <v>508458.89429999999</v>
      </c>
      <c r="I2318" s="5">
        <v>42234</v>
      </c>
      <c r="J2318" s="4">
        <v>5594.51</v>
      </c>
      <c r="K2318" s="4">
        <f t="shared" si="243"/>
        <v>55945.100000000006</v>
      </c>
    </row>
    <row r="2319" spans="4:11" x14ac:dyDescent="0.35">
      <c r="D2319" s="1">
        <v>42268</v>
      </c>
      <c r="E2319">
        <v>3.9815</v>
      </c>
      <c r="F2319" s="1">
        <v>41977</v>
      </c>
      <c r="G2319">
        <v>126.28100000000001</v>
      </c>
      <c r="H2319" s="4">
        <f t="shared" si="242"/>
        <v>502787.8015</v>
      </c>
      <c r="I2319" s="5">
        <v>42233</v>
      </c>
      <c r="J2319" s="4">
        <v>5621.82</v>
      </c>
      <c r="K2319" s="4">
        <f t="shared" si="243"/>
        <v>56218.2</v>
      </c>
    </row>
    <row r="2320" spans="4:11" x14ac:dyDescent="0.35">
      <c r="D2320" s="1">
        <v>42265</v>
      </c>
      <c r="E2320">
        <v>3.9015</v>
      </c>
      <c r="F2320" s="1">
        <v>41976</v>
      </c>
      <c r="G2320">
        <v>126.328</v>
      </c>
      <c r="H2320" s="4">
        <f t="shared" si="242"/>
        <v>492868.69200000004</v>
      </c>
      <c r="I2320" s="5">
        <v>42230</v>
      </c>
      <c r="J2320" s="4">
        <v>5631.46</v>
      </c>
      <c r="K2320" s="4">
        <f t="shared" si="243"/>
        <v>56314.6</v>
      </c>
    </row>
    <row r="2321" spans="4:11" x14ac:dyDescent="0.35">
      <c r="D2321" s="1">
        <v>42264</v>
      </c>
      <c r="E2321">
        <v>3.8915000000000002</v>
      </c>
      <c r="F2321" s="1">
        <v>41975</v>
      </c>
      <c r="G2321">
        <v>126.813</v>
      </c>
      <c r="H2321" s="4">
        <f t="shared" si="242"/>
        <v>493492.78950000001</v>
      </c>
      <c r="I2321" s="5">
        <v>42229</v>
      </c>
      <c r="J2321" s="4">
        <v>5689.3</v>
      </c>
      <c r="K2321" s="4">
        <f t="shared" si="243"/>
        <v>56893</v>
      </c>
    </row>
    <row r="2322" spans="4:11" x14ac:dyDescent="0.35">
      <c r="D2322" s="1">
        <v>42263</v>
      </c>
      <c r="E2322">
        <v>3.8361000000000001</v>
      </c>
      <c r="F2322" s="1">
        <v>41974</v>
      </c>
      <c r="G2322">
        <v>127.047</v>
      </c>
      <c r="H2322" s="4">
        <f t="shared" si="242"/>
        <v>487364.99670000002</v>
      </c>
      <c r="I2322" s="5">
        <v>42228</v>
      </c>
      <c r="J2322" s="4">
        <v>5634.67</v>
      </c>
      <c r="K2322" s="4">
        <f t="shared" si="243"/>
        <v>56346.7</v>
      </c>
    </row>
    <row r="2323" spans="4:11" x14ac:dyDescent="0.35">
      <c r="D2323" s="1">
        <v>42262</v>
      </c>
      <c r="E2323">
        <v>3.8593000000000002</v>
      </c>
      <c r="F2323" s="1">
        <v>41971</v>
      </c>
      <c r="G2323">
        <v>126.922</v>
      </c>
      <c r="H2323" s="4">
        <f t="shared" si="242"/>
        <v>489830.07459999999</v>
      </c>
      <c r="I2323" s="5">
        <v>42227</v>
      </c>
      <c r="J2323" s="4">
        <v>5631.46</v>
      </c>
      <c r="K2323" s="4">
        <f t="shared" si="243"/>
        <v>56314.6</v>
      </c>
    </row>
    <row r="2324" spans="4:11" x14ac:dyDescent="0.35">
      <c r="D2324" s="1">
        <v>42261</v>
      </c>
      <c r="E2324">
        <v>3.8647</v>
      </c>
      <c r="F2324" s="1">
        <v>41970</v>
      </c>
      <c r="G2324">
        <v>127.39100000000001</v>
      </c>
      <c r="H2324" s="4">
        <f t="shared" si="242"/>
        <v>492327.99770000001</v>
      </c>
      <c r="I2324" s="5">
        <v>42226</v>
      </c>
      <c r="J2324" s="4">
        <v>5559.16</v>
      </c>
      <c r="K2324" s="4">
        <f t="shared" si="243"/>
        <v>55591.6</v>
      </c>
    </row>
    <row r="2325" spans="4:11" x14ac:dyDescent="0.35">
      <c r="D2325" s="1">
        <v>42258</v>
      </c>
      <c r="E2325">
        <v>3.8692000000000002</v>
      </c>
      <c r="F2325" s="1">
        <v>41969</v>
      </c>
      <c r="G2325">
        <v>127.15600000000001</v>
      </c>
      <c r="H2325" s="4">
        <f t="shared" si="242"/>
        <v>491991.9952</v>
      </c>
      <c r="I2325" s="5">
        <v>42223</v>
      </c>
      <c r="J2325" s="4">
        <v>5679.66</v>
      </c>
      <c r="K2325" s="4">
        <f t="shared" si="243"/>
        <v>56796.6</v>
      </c>
    </row>
    <row r="2326" spans="4:11" x14ac:dyDescent="0.35">
      <c r="D2326" s="1">
        <v>42257</v>
      </c>
      <c r="E2326">
        <v>3.8691</v>
      </c>
      <c r="F2326" s="1">
        <v>41968</v>
      </c>
      <c r="G2326">
        <v>126.9</v>
      </c>
      <c r="H2326" s="4">
        <f t="shared" si="242"/>
        <v>490988.79</v>
      </c>
      <c r="I2326" s="5">
        <v>42222</v>
      </c>
      <c r="J2326" s="4">
        <v>5731.08</v>
      </c>
      <c r="K2326" s="4">
        <f t="shared" si="243"/>
        <v>57310.8</v>
      </c>
    </row>
    <row r="2327" spans="4:11" x14ac:dyDescent="0.35">
      <c r="D2327" s="1">
        <v>42256</v>
      </c>
      <c r="E2327">
        <v>3.7864</v>
      </c>
      <c r="F2327" s="1">
        <v>41967</v>
      </c>
      <c r="G2327">
        <v>126.65600000000001</v>
      </c>
      <c r="H2327" s="4">
        <f t="shared" si="242"/>
        <v>479570.27840000001</v>
      </c>
      <c r="I2327" s="5">
        <v>42221</v>
      </c>
      <c r="J2327" s="4">
        <v>5650.74</v>
      </c>
      <c r="K2327" s="4">
        <f t="shared" si="243"/>
        <v>56507.399999999994</v>
      </c>
    </row>
    <row r="2328" spans="4:11" x14ac:dyDescent="0.35">
      <c r="D2328" s="1">
        <v>42255</v>
      </c>
      <c r="E2328">
        <v>3.8020999999999998</v>
      </c>
      <c r="F2328" s="1">
        <v>41962</v>
      </c>
      <c r="G2328">
        <v>126.547</v>
      </c>
      <c r="H2328" s="4">
        <f t="shared" si="242"/>
        <v>481144.34869999997</v>
      </c>
      <c r="I2328" s="5">
        <v>42220</v>
      </c>
      <c r="J2328" s="4">
        <v>5627.44</v>
      </c>
      <c r="K2328" s="4">
        <f t="shared" si="243"/>
        <v>56274.399999999994</v>
      </c>
    </row>
    <row r="2329" spans="4:11" x14ac:dyDescent="0.35">
      <c r="D2329" s="1">
        <v>42251</v>
      </c>
      <c r="E2329">
        <v>3.798</v>
      </c>
      <c r="F2329" s="1">
        <v>41957</v>
      </c>
      <c r="G2329">
        <v>126.59399999999999</v>
      </c>
      <c r="H2329" s="4">
        <f t="shared" si="242"/>
        <v>480804.01199999999</v>
      </c>
      <c r="I2329" s="5">
        <v>42219</v>
      </c>
      <c r="J2329" s="4">
        <v>5599.33</v>
      </c>
      <c r="K2329" s="4">
        <f t="shared" si="243"/>
        <v>55993.3</v>
      </c>
    </row>
    <row r="2330" spans="4:11" x14ac:dyDescent="0.35">
      <c r="D2330" s="1">
        <v>42250</v>
      </c>
      <c r="E2330">
        <v>3.7753000000000001</v>
      </c>
      <c r="F2330" s="1">
        <v>41950</v>
      </c>
      <c r="G2330">
        <v>126.703</v>
      </c>
      <c r="H2330" s="4">
        <f t="shared" si="242"/>
        <v>478341.83590000006</v>
      </c>
      <c r="I2330" s="5">
        <v>42216</v>
      </c>
      <c r="J2330" s="4">
        <v>5556.75</v>
      </c>
      <c r="K2330" s="4">
        <f t="shared" si="243"/>
        <v>55567.5</v>
      </c>
    </row>
    <row r="2331" spans="4:11" x14ac:dyDescent="0.35">
      <c r="D2331" s="1">
        <v>42249</v>
      </c>
      <c r="E2331">
        <v>3.7307000000000001</v>
      </c>
      <c r="F2331" s="1">
        <v>41949</v>
      </c>
      <c r="G2331">
        <v>126.125</v>
      </c>
      <c r="H2331" s="4">
        <f t="shared" si="242"/>
        <v>470534.53749999998</v>
      </c>
      <c r="I2331" s="5">
        <v>42215</v>
      </c>
      <c r="J2331" s="4">
        <v>5474</v>
      </c>
      <c r="K2331" s="4">
        <f t="shared" si="243"/>
        <v>54740</v>
      </c>
    </row>
    <row r="2332" spans="4:11" x14ac:dyDescent="0.35">
      <c r="D2332" s="1">
        <v>42248</v>
      </c>
      <c r="E2332">
        <v>3.6718999999999999</v>
      </c>
      <c r="F2332" s="1">
        <v>41946</v>
      </c>
      <c r="G2332">
        <v>126.35899999999999</v>
      </c>
      <c r="H2332" s="4">
        <f t="shared" si="242"/>
        <v>463977.61209999997</v>
      </c>
      <c r="I2332" s="5">
        <v>42214</v>
      </c>
      <c r="J2332" s="4">
        <v>5401.87</v>
      </c>
      <c r="K2332" s="4">
        <f t="shared" si="243"/>
        <v>54018.7</v>
      </c>
    </row>
    <row r="2333" spans="4:11" x14ac:dyDescent="0.35">
      <c r="D2333" s="1">
        <v>42247</v>
      </c>
      <c r="E2333">
        <v>3.6461000000000001</v>
      </c>
      <c r="F2333" s="1">
        <v>41942</v>
      </c>
      <c r="G2333">
        <v>126.375</v>
      </c>
      <c r="H2333" s="4">
        <f t="shared" si="242"/>
        <v>460775.88750000001</v>
      </c>
      <c r="I2333" s="5">
        <v>42213</v>
      </c>
      <c r="J2333" s="4">
        <v>5442.4</v>
      </c>
      <c r="K2333" s="4">
        <f t="shared" si="243"/>
        <v>54424</v>
      </c>
    </row>
    <row r="2334" spans="4:11" x14ac:dyDescent="0.35">
      <c r="D2334" s="1">
        <v>42244</v>
      </c>
      <c r="E2334">
        <v>3.5783999999999998</v>
      </c>
      <c r="F2334" s="1">
        <v>41941</v>
      </c>
      <c r="G2334">
        <v>126.40600000000001</v>
      </c>
      <c r="H2334" s="4">
        <f t="shared" si="242"/>
        <v>452331.2304</v>
      </c>
      <c r="I2334" s="5">
        <v>42212</v>
      </c>
      <c r="J2334" s="4">
        <v>5464.28</v>
      </c>
      <c r="K2334" s="4">
        <f t="shared" si="243"/>
        <v>54642.799999999996</v>
      </c>
    </row>
    <row r="2335" spans="4:11" x14ac:dyDescent="0.35">
      <c r="D2335" s="1">
        <v>42243</v>
      </c>
      <c r="E2335">
        <v>3.5548999999999999</v>
      </c>
      <c r="F2335" s="1">
        <v>41935</v>
      </c>
      <c r="G2335">
        <v>127</v>
      </c>
      <c r="H2335" s="4">
        <f t="shared" si="242"/>
        <v>451472.30000000005</v>
      </c>
      <c r="I2335" s="5">
        <v>42209</v>
      </c>
      <c r="J2335" s="4">
        <v>5450.5</v>
      </c>
      <c r="K2335" s="4">
        <f t="shared" si="243"/>
        <v>54505</v>
      </c>
    </row>
    <row r="2336" spans="4:11" x14ac:dyDescent="0.35">
      <c r="D2336" s="1">
        <v>42242</v>
      </c>
      <c r="E2336">
        <v>3.6320000000000001</v>
      </c>
      <c r="F2336" s="1">
        <v>41934</v>
      </c>
      <c r="G2336">
        <v>127.578</v>
      </c>
      <c r="H2336" s="4">
        <f t="shared" si="242"/>
        <v>463363.29600000003</v>
      </c>
      <c r="I2336" s="5">
        <v>42208</v>
      </c>
      <c r="J2336" s="4">
        <v>5339.46</v>
      </c>
      <c r="K2336" s="4">
        <f t="shared" si="243"/>
        <v>53394.6</v>
      </c>
    </row>
    <row r="2337" spans="4:11" x14ac:dyDescent="0.35">
      <c r="D2337" s="1">
        <v>42241</v>
      </c>
      <c r="E2337">
        <v>3.5339</v>
      </c>
      <c r="F2337" s="1">
        <v>41932</v>
      </c>
      <c r="G2337">
        <v>127.71899999999999</v>
      </c>
      <c r="H2337" s="4">
        <f t="shared" si="242"/>
        <v>451346.1741</v>
      </c>
      <c r="I2337" s="5">
        <v>42207</v>
      </c>
      <c r="J2337" s="4">
        <v>5242.21</v>
      </c>
      <c r="K2337" s="4">
        <f t="shared" si="243"/>
        <v>52422.1</v>
      </c>
    </row>
    <row r="2338" spans="4:11" x14ac:dyDescent="0.35">
      <c r="D2338" s="1">
        <v>42240</v>
      </c>
      <c r="E2338">
        <v>3.5488</v>
      </c>
      <c r="F2338" s="1">
        <v>41929</v>
      </c>
      <c r="G2338">
        <v>127.71899999999999</v>
      </c>
      <c r="H2338" s="4">
        <f t="shared" si="242"/>
        <v>453249.18719999999</v>
      </c>
      <c r="I2338" s="5">
        <v>42206</v>
      </c>
      <c r="J2338" s="4">
        <v>5162.78</v>
      </c>
      <c r="K2338" s="4">
        <f t="shared" si="243"/>
        <v>51627.799999999996</v>
      </c>
    </row>
    <row r="2339" spans="4:11" x14ac:dyDescent="0.35">
      <c r="D2339" s="1">
        <v>42237</v>
      </c>
      <c r="E2339">
        <v>3.4889999999999999</v>
      </c>
      <c r="F2339" s="1">
        <v>41928</v>
      </c>
      <c r="G2339">
        <v>128.76599999999999</v>
      </c>
      <c r="H2339" s="4">
        <f t="shared" si="242"/>
        <v>449264.57399999996</v>
      </c>
      <c r="I2339" s="5">
        <v>42205</v>
      </c>
      <c r="J2339" s="4">
        <v>5200.87</v>
      </c>
      <c r="K2339" s="4">
        <f t="shared" si="243"/>
        <v>52008.7</v>
      </c>
    </row>
    <row r="2340" spans="4:11" x14ac:dyDescent="0.35">
      <c r="D2340" s="1">
        <v>42236</v>
      </c>
      <c r="E2340">
        <v>3.4744999999999999</v>
      </c>
      <c r="F2340" s="1">
        <v>41927</v>
      </c>
      <c r="G2340">
        <v>128.15600000000001</v>
      </c>
      <c r="H2340" s="4">
        <f t="shared" si="242"/>
        <v>445278.022</v>
      </c>
      <c r="I2340" s="5">
        <v>42202</v>
      </c>
      <c r="J2340" s="4">
        <v>5196.01</v>
      </c>
      <c r="K2340" s="4">
        <f t="shared" si="243"/>
        <v>51960.100000000006</v>
      </c>
    </row>
    <row r="2341" spans="4:11" x14ac:dyDescent="0.35">
      <c r="D2341" s="1">
        <v>42235</v>
      </c>
      <c r="E2341">
        <v>3.4843000000000002</v>
      </c>
      <c r="F2341" s="1">
        <v>41926</v>
      </c>
      <c r="G2341">
        <v>127.688</v>
      </c>
      <c r="H2341" s="4">
        <f t="shared" si="242"/>
        <v>444903.29840000003</v>
      </c>
      <c r="I2341" s="5">
        <v>42201</v>
      </c>
      <c r="J2341" s="4">
        <v>5148.1899999999996</v>
      </c>
      <c r="K2341" s="4">
        <f t="shared" si="243"/>
        <v>51481.899999999994</v>
      </c>
    </row>
    <row r="2342" spans="4:11" x14ac:dyDescent="0.35">
      <c r="D2342" s="1">
        <v>42234</v>
      </c>
      <c r="E2342">
        <v>3.4805000000000001</v>
      </c>
      <c r="F2342" s="1">
        <v>41925</v>
      </c>
      <c r="G2342">
        <v>127.23399999999999</v>
      </c>
      <c r="H2342" s="4">
        <f t="shared" si="242"/>
        <v>442837.93700000003</v>
      </c>
      <c r="I2342" s="5">
        <v>42200</v>
      </c>
      <c r="J2342" s="4">
        <v>5120.63</v>
      </c>
      <c r="K2342" s="4">
        <f t="shared" si="243"/>
        <v>51206.3</v>
      </c>
    </row>
    <row r="2343" spans="4:11" x14ac:dyDescent="0.35">
      <c r="D2343" s="1">
        <v>42233</v>
      </c>
      <c r="E2343">
        <v>3.4739</v>
      </c>
      <c r="F2343" s="1">
        <v>41921</v>
      </c>
      <c r="G2343">
        <v>126.65600000000001</v>
      </c>
      <c r="H2343" s="4">
        <f t="shared" si="242"/>
        <v>439990.27840000001</v>
      </c>
      <c r="I2343" s="5">
        <v>42199</v>
      </c>
      <c r="J2343" s="4">
        <v>5120.63</v>
      </c>
      <c r="K2343" s="4">
        <f t="shared" si="243"/>
        <v>51206.3</v>
      </c>
    </row>
    <row r="2344" spans="4:11" x14ac:dyDescent="0.35">
      <c r="D2344" s="1">
        <v>42230</v>
      </c>
      <c r="E2344">
        <v>3.4754999999999998</v>
      </c>
      <c r="F2344" s="1">
        <v>41920</v>
      </c>
      <c r="G2344">
        <v>126.672</v>
      </c>
      <c r="H2344" s="4">
        <f t="shared" si="242"/>
        <v>440248.53599999996</v>
      </c>
      <c r="I2344" s="5">
        <v>42198</v>
      </c>
      <c r="J2344" s="4">
        <v>5118.2</v>
      </c>
      <c r="K2344" s="4">
        <f t="shared" si="243"/>
        <v>51182</v>
      </c>
    </row>
    <row r="2345" spans="4:11" x14ac:dyDescent="0.35">
      <c r="D2345" s="1">
        <v>42229</v>
      </c>
      <c r="E2345">
        <v>3.5068000000000001</v>
      </c>
      <c r="F2345" s="1">
        <v>41919</v>
      </c>
      <c r="G2345">
        <v>125.953</v>
      </c>
      <c r="H2345" s="4">
        <f t="shared" si="242"/>
        <v>441691.98040000006</v>
      </c>
      <c r="I2345" s="5">
        <v>42195</v>
      </c>
      <c r="J2345" s="4">
        <v>5156.3</v>
      </c>
      <c r="K2345" s="4">
        <f t="shared" si="243"/>
        <v>51563</v>
      </c>
    </row>
    <row r="2346" spans="4:11" x14ac:dyDescent="0.35">
      <c r="D2346" s="1">
        <v>42228</v>
      </c>
      <c r="E2346">
        <v>3.4820000000000002</v>
      </c>
      <c r="F2346" s="1">
        <v>41918</v>
      </c>
      <c r="G2346">
        <v>125.40600000000001</v>
      </c>
      <c r="H2346" s="4">
        <f t="shared" si="242"/>
        <v>436663.69200000004</v>
      </c>
      <c r="I2346" s="5">
        <v>42193</v>
      </c>
      <c r="J2346" s="4">
        <v>5289.21</v>
      </c>
      <c r="K2346" s="4">
        <f t="shared" si="243"/>
        <v>52892.1</v>
      </c>
    </row>
    <row r="2347" spans="4:11" x14ac:dyDescent="0.35">
      <c r="D2347" s="1">
        <v>42227</v>
      </c>
      <c r="E2347">
        <v>3.4918999999999998</v>
      </c>
      <c r="F2347" s="1">
        <v>41915</v>
      </c>
      <c r="G2347">
        <v>124.938</v>
      </c>
      <c r="H2347" s="4">
        <f t="shared" si="242"/>
        <v>436271.00219999999</v>
      </c>
      <c r="I2347" s="5">
        <v>42192</v>
      </c>
      <c r="J2347" s="4">
        <v>5212.22</v>
      </c>
      <c r="K2347" s="4">
        <f t="shared" si="243"/>
        <v>52122.200000000004</v>
      </c>
    </row>
    <row r="2348" spans="4:11" x14ac:dyDescent="0.35">
      <c r="D2348" s="1">
        <v>42226</v>
      </c>
      <c r="E2348">
        <v>3.4903</v>
      </c>
      <c r="F2348" s="1">
        <v>41914</v>
      </c>
      <c r="G2348">
        <v>125.46899999999999</v>
      </c>
      <c r="H2348" s="4">
        <f t="shared" si="242"/>
        <v>437924.45069999999</v>
      </c>
      <c r="I2348" s="5">
        <v>42191</v>
      </c>
      <c r="J2348" s="4">
        <v>5135.22</v>
      </c>
      <c r="K2348" s="4">
        <f t="shared" si="243"/>
        <v>51352.200000000004</v>
      </c>
    </row>
    <row r="2349" spans="4:11" x14ac:dyDescent="0.35">
      <c r="D2349" s="1">
        <v>42223</v>
      </c>
      <c r="E2349">
        <v>3.5175000000000001</v>
      </c>
      <c r="F2349" s="1">
        <v>41913</v>
      </c>
      <c r="G2349">
        <v>125.40600000000001</v>
      </c>
      <c r="H2349" s="4">
        <f t="shared" si="242"/>
        <v>441115.60500000004</v>
      </c>
      <c r="I2349" s="5">
        <v>42188</v>
      </c>
      <c r="J2349" s="4">
        <v>5127.12</v>
      </c>
      <c r="K2349" s="4">
        <f t="shared" si="243"/>
        <v>51271.199999999997</v>
      </c>
    </row>
    <row r="2350" spans="4:11" x14ac:dyDescent="0.35">
      <c r="D2350" s="1">
        <v>42222</v>
      </c>
      <c r="E2350">
        <v>3.5341</v>
      </c>
      <c r="F2350" s="1">
        <v>41911</v>
      </c>
      <c r="G2350">
        <v>124.812</v>
      </c>
      <c r="H2350" s="4">
        <f t="shared" si="242"/>
        <v>441098.08919999999</v>
      </c>
      <c r="I2350" s="5">
        <v>42187</v>
      </c>
      <c r="J2350" s="4">
        <v>5075.25</v>
      </c>
      <c r="K2350" s="4">
        <f t="shared" si="243"/>
        <v>50752.5</v>
      </c>
    </row>
    <row r="2351" spans="4:11" x14ac:dyDescent="0.35">
      <c r="D2351" s="1">
        <v>42221</v>
      </c>
      <c r="E2351">
        <v>3.4843999999999999</v>
      </c>
      <c r="F2351" s="1">
        <v>41908</v>
      </c>
      <c r="G2351">
        <v>124.46899999999999</v>
      </c>
      <c r="H2351" s="4">
        <f t="shared" si="242"/>
        <v>433699.78359999997</v>
      </c>
      <c r="I2351" s="5">
        <v>42186</v>
      </c>
      <c r="J2351" s="4">
        <v>5157.92</v>
      </c>
      <c r="K2351" s="4">
        <f t="shared" si="243"/>
        <v>51579.199999999997</v>
      </c>
    </row>
    <row r="2352" spans="4:11" x14ac:dyDescent="0.35">
      <c r="D2352" s="1">
        <v>42220</v>
      </c>
      <c r="E2352">
        <v>3.4668999999999999</v>
      </c>
      <c r="F2352" s="1">
        <v>41907</v>
      </c>
      <c r="G2352">
        <v>124.71899999999999</v>
      </c>
      <c r="H2352" s="4">
        <f t="shared" si="242"/>
        <v>432388.30109999998</v>
      </c>
      <c r="I2352" s="5">
        <v>42185</v>
      </c>
      <c r="J2352" s="4">
        <v>5084.97</v>
      </c>
      <c r="K2352" s="4">
        <f t="shared" si="243"/>
        <v>50849.700000000004</v>
      </c>
    </row>
    <row r="2353" spans="4:11" x14ac:dyDescent="0.35">
      <c r="D2353" s="1">
        <v>42219</v>
      </c>
      <c r="E2353">
        <v>3.4419</v>
      </c>
      <c r="F2353" s="1">
        <v>41906</v>
      </c>
      <c r="G2353">
        <v>124.438</v>
      </c>
      <c r="H2353" s="4">
        <f t="shared" si="242"/>
        <v>428303.15220000001</v>
      </c>
      <c r="I2353" s="5">
        <v>42184</v>
      </c>
      <c r="J2353" s="4">
        <v>5120.63</v>
      </c>
      <c r="K2353" s="4">
        <f t="shared" si="243"/>
        <v>51206.3</v>
      </c>
    </row>
    <row r="2354" spans="4:11" x14ac:dyDescent="0.35">
      <c r="D2354" s="1">
        <v>42216</v>
      </c>
      <c r="E2354">
        <v>3.3934000000000002</v>
      </c>
      <c r="F2354" s="1">
        <v>41905</v>
      </c>
      <c r="G2354">
        <v>124.51600000000001</v>
      </c>
      <c r="H2354" s="4">
        <f t="shared" si="242"/>
        <v>422532.59440000006</v>
      </c>
      <c r="I2354" s="5">
        <v>42181</v>
      </c>
      <c r="J2354" s="4">
        <v>5140.34</v>
      </c>
      <c r="K2354" s="4">
        <f t="shared" si="243"/>
        <v>51403.4</v>
      </c>
    </row>
    <row r="2355" spans="4:11" x14ac:dyDescent="0.35">
      <c r="D2355" s="1">
        <v>42215</v>
      </c>
      <c r="E2355">
        <v>3.3645999999999998</v>
      </c>
      <c r="F2355" s="1">
        <v>41904</v>
      </c>
      <c r="G2355">
        <v>124.34399999999999</v>
      </c>
      <c r="H2355" s="4">
        <f t="shared" si="242"/>
        <v>418367.82239999995</v>
      </c>
      <c r="I2355" s="5">
        <v>42180</v>
      </c>
      <c r="J2355" s="4">
        <v>5142.8</v>
      </c>
      <c r="K2355" s="4">
        <f t="shared" si="243"/>
        <v>51428</v>
      </c>
    </row>
    <row r="2356" spans="4:11" x14ac:dyDescent="0.35">
      <c r="D2356" s="1">
        <v>42214</v>
      </c>
      <c r="E2356">
        <v>3.3412999999999999</v>
      </c>
      <c r="F2356" s="1">
        <v>41901</v>
      </c>
      <c r="G2356">
        <v>124.01600000000001</v>
      </c>
      <c r="H2356" s="4">
        <f t="shared" si="242"/>
        <v>414374.66080000001</v>
      </c>
      <c r="I2356" s="5">
        <v>42179</v>
      </c>
      <c r="J2356" s="4">
        <v>5097.6400000000003</v>
      </c>
      <c r="K2356" s="4">
        <f t="shared" si="243"/>
        <v>50976.4</v>
      </c>
    </row>
    <row r="2357" spans="4:11" x14ac:dyDescent="0.35">
      <c r="D2357" s="1">
        <v>42213</v>
      </c>
      <c r="E2357">
        <v>3.3807999999999998</v>
      </c>
      <c r="F2357" s="1">
        <v>41900</v>
      </c>
      <c r="G2357">
        <v>123.84399999999999</v>
      </c>
      <c r="H2357" s="4">
        <f t="shared" si="242"/>
        <v>418691.79519999993</v>
      </c>
      <c r="I2357" s="5">
        <v>42178</v>
      </c>
      <c r="J2357" s="4">
        <v>5059.87</v>
      </c>
      <c r="K2357" s="4">
        <f t="shared" si="243"/>
        <v>50598.7</v>
      </c>
    </row>
    <row r="2358" spans="4:11" x14ac:dyDescent="0.35">
      <c r="D2358" s="1">
        <v>42212</v>
      </c>
      <c r="E2358">
        <v>3.3551000000000002</v>
      </c>
      <c r="F2358" s="1">
        <v>41899</v>
      </c>
      <c r="G2358">
        <v>124.15600000000001</v>
      </c>
      <c r="H2358" s="4">
        <f t="shared" si="242"/>
        <v>416555.79560000007</v>
      </c>
      <c r="I2358" s="5">
        <v>42177</v>
      </c>
      <c r="J2358" s="4">
        <v>5071.37</v>
      </c>
      <c r="K2358" s="4">
        <f t="shared" si="243"/>
        <v>50713.7</v>
      </c>
    </row>
    <row r="2359" spans="4:11" x14ac:dyDescent="0.35">
      <c r="D2359" s="1">
        <v>42209</v>
      </c>
      <c r="E2359">
        <v>3.3248000000000002</v>
      </c>
      <c r="F2359" s="1">
        <v>41898</v>
      </c>
      <c r="G2359">
        <v>124.28100000000001</v>
      </c>
      <c r="H2359" s="4">
        <f t="shared" si="242"/>
        <v>413209.46880000003</v>
      </c>
      <c r="I2359" s="5">
        <v>42174</v>
      </c>
      <c r="J2359" s="4">
        <v>5103.3900000000003</v>
      </c>
      <c r="K2359" s="4">
        <f t="shared" si="243"/>
        <v>51033.9</v>
      </c>
    </row>
    <row r="2360" spans="4:11" x14ac:dyDescent="0.35">
      <c r="D2360" s="1">
        <v>42208</v>
      </c>
      <c r="E2360">
        <v>3.2844000000000002</v>
      </c>
      <c r="F2360" s="1">
        <v>41897</v>
      </c>
      <c r="G2360">
        <v>124.188</v>
      </c>
      <c r="H2360" s="4">
        <f t="shared" si="242"/>
        <v>407883.06720000005</v>
      </c>
      <c r="I2360" s="5">
        <v>42173</v>
      </c>
      <c r="J2360" s="4">
        <v>5044.2700000000004</v>
      </c>
      <c r="K2360" s="4">
        <f t="shared" si="243"/>
        <v>50442.700000000004</v>
      </c>
    </row>
    <row r="2361" spans="4:11" x14ac:dyDescent="0.35">
      <c r="D2361" s="1">
        <v>42207</v>
      </c>
      <c r="E2361">
        <v>3.2088000000000001</v>
      </c>
      <c r="F2361" s="1">
        <v>41894</v>
      </c>
      <c r="G2361">
        <v>124.078</v>
      </c>
      <c r="H2361" s="4">
        <f t="shared" si="242"/>
        <v>398141.48639999999</v>
      </c>
      <c r="I2361" s="5">
        <v>42172</v>
      </c>
      <c r="J2361" s="4">
        <v>5042.63</v>
      </c>
      <c r="K2361" s="4">
        <f t="shared" si="243"/>
        <v>50426.3</v>
      </c>
    </row>
    <row r="2362" spans="4:11" x14ac:dyDescent="0.35">
      <c r="D2362" s="1">
        <v>42206</v>
      </c>
      <c r="E2362">
        <v>3.1806999999999999</v>
      </c>
      <c r="F2362" s="1">
        <v>41893</v>
      </c>
      <c r="G2362">
        <v>124.328</v>
      </c>
      <c r="H2362" s="4">
        <f t="shared" si="242"/>
        <v>395450.06959999999</v>
      </c>
      <c r="I2362" s="5">
        <v>42171</v>
      </c>
      <c r="J2362" s="4">
        <v>5096.82</v>
      </c>
      <c r="K2362" s="4">
        <f t="shared" si="243"/>
        <v>50968.2</v>
      </c>
    </row>
    <row r="2363" spans="4:11" x14ac:dyDescent="0.35">
      <c r="D2363" s="1">
        <v>42205</v>
      </c>
      <c r="E2363">
        <v>3.2143000000000002</v>
      </c>
      <c r="F2363" s="1">
        <v>41892</v>
      </c>
      <c r="G2363">
        <v>124.438</v>
      </c>
      <c r="H2363" s="4">
        <f t="shared" si="242"/>
        <v>399981.06340000004</v>
      </c>
      <c r="I2363" s="5">
        <v>42170</v>
      </c>
      <c r="J2363" s="4">
        <v>5164.1499999999996</v>
      </c>
      <c r="K2363" s="4">
        <f t="shared" si="243"/>
        <v>51641.5</v>
      </c>
    </row>
    <row r="2364" spans="4:11" x14ac:dyDescent="0.35">
      <c r="D2364" s="1">
        <v>42202</v>
      </c>
      <c r="E2364">
        <v>3.1825999999999999</v>
      </c>
      <c r="F2364" s="1">
        <v>41891</v>
      </c>
      <c r="G2364">
        <v>124.813</v>
      </c>
      <c r="H2364" s="4">
        <f t="shared" si="242"/>
        <v>397229.85379999998</v>
      </c>
      <c r="I2364" s="5">
        <v>42167</v>
      </c>
      <c r="J2364" s="4">
        <v>5156.76</v>
      </c>
      <c r="K2364" s="4">
        <f t="shared" si="243"/>
        <v>51567.600000000006</v>
      </c>
    </row>
    <row r="2365" spans="4:11" x14ac:dyDescent="0.35">
      <c r="D2365" s="1">
        <v>42201</v>
      </c>
      <c r="E2365">
        <v>3.1368999999999998</v>
      </c>
      <c r="F2365" s="1">
        <v>41890</v>
      </c>
      <c r="G2365">
        <v>124.89100000000001</v>
      </c>
      <c r="H2365" s="4">
        <f t="shared" si="242"/>
        <v>391770.57789999997</v>
      </c>
      <c r="I2365" s="5">
        <v>42166</v>
      </c>
      <c r="J2365" s="4">
        <v>5105.8500000000004</v>
      </c>
      <c r="K2365" s="4">
        <f t="shared" si="243"/>
        <v>51058.5</v>
      </c>
    </row>
    <row r="2366" spans="4:11" x14ac:dyDescent="0.35">
      <c r="D2366" s="1">
        <v>42200</v>
      </c>
      <c r="E2366">
        <v>3.1526000000000001</v>
      </c>
      <c r="F2366" s="1">
        <v>41886</v>
      </c>
      <c r="G2366">
        <v>124.953</v>
      </c>
      <c r="H2366" s="4">
        <f t="shared" si="242"/>
        <v>393926.82780000003</v>
      </c>
      <c r="I2366" s="5">
        <v>42165</v>
      </c>
      <c r="J2366" s="4">
        <v>5156.76</v>
      </c>
      <c r="K2366" s="4">
        <f t="shared" si="243"/>
        <v>51567.600000000006</v>
      </c>
    </row>
    <row r="2367" spans="4:11" x14ac:dyDescent="0.35">
      <c r="D2367" s="1">
        <v>42199</v>
      </c>
      <c r="E2367">
        <v>3.1223999999999998</v>
      </c>
      <c r="F2367" s="1">
        <v>41885</v>
      </c>
      <c r="G2367">
        <v>124.98399999999999</v>
      </c>
      <c r="H2367" s="4">
        <f t="shared" si="242"/>
        <v>390250.0416</v>
      </c>
      <c r="I2367" s="5">
        <v>42164</v>
      </c>
      <c r="J2367" s="4">
        <v>5124.74</v>
      </c>
      <c r="K2367" s="4">
        <f t="shared" si="243"/>
        <v>51247.399999999994</v>
      </c>
    </row>
    <row r="2368" spans="4:11" x14ac:dyDescent="0.35">
      <c r="D2368" s="1">
        <v>42198</v>
      </c>
      <c r="E2368">
        <v>3.1587999999999998</v>
      </c>
      <c r="F2368" s="1">
        <v>41884</v>
      </c>
      <c r="G2368">
        <v>125.34399999999999</v>
      </c>
      <c r="H2368" s="4">
        <f t="shared" si="242"/>
        <v>395936.62719999999</v>
      </c>
      <c r="I2368" s="5">
        <v>42163</v>
      </c>
      <c r="J2368" s="4">
        <v>5151.84</v>
      </c>
      <c r="K2368" s="4">
        <f t="shared" si="243"/>
        <v>51518.400000000001</v>
      </c>
    </row>
    <row r="2369" spans="4:11" x14ac:dyDescent="0.35">
      <c r="D2369" s="1">
        <v>42195</v>
      </c>
      <c r="E2369">
        <v>3.1890999999999998</v>
      </c>
      <c r="F2369" s="1">
        <v>41883</v>
      </c>
      <c r="G2369">
        <v>125.625</v>
      </c>
      <c r="H2369" s="4">
        <f t="shared" si="242"/>
        <v>400630.68749999994</v>
      </c>
      <c r="I2369" s="5">
        <v>42160</v>
      </c>
      <c r="J2369" s="4">
        <v>5206.8500000000004</v>
      </c>
      <c r="K2369" s="4">
        <f t="shared" si="243"/>
        <v>52068.5</v>
      </c>
    </row>
    <row r="2370" spans="4:11" x14ac:dyDescent="0.35">
      <c r="D2370" s="1">
        <v>42194</v>
      </c>
      <c r="E2370">
        <v>3.2151999999999998</v>
      </c>
      <c r="F2370" s="1">
        <v>41879</v>
      </c>
      <c r="G2370">
        <v>126.26600000000001</v>
      </c>
      <c r="H2370" s="4">
        <f t="shared" si="242"/>
        <v>405970.44319999998</v>
      </c>
      <c r="I2370" s="5">
        <v>42158</v>
      </c>
      <c r="J2370" s="4">
        <v>5192.8900000000003</v>
      </c>
      <c r="K2370" s="4">
        <f t="shared" si="243"/>
        <v>51928.9</v>
      </c>
    </row>
    <row r="2371" spans="4:11" x14ac:dyDescent="0.35">
      <c r="D2371" s="1">
        <v>42193</v>
      </c>
      <c r="E2371">
        <v>3.2275</v>
      </c>
      <c r="F2371" s="1">
        <v>41878</v>
      </c>
      <c r="G2371">
        <v>126.188</v>
      </c>
      <c r="H2371" s="4">
        <f t="shared" si="242"/>
        <v>407271.77</v>
      </c>
      <c r="I2371" s="5">
        <v>42157</v>
      </c>
      <c r="J2371" s="4">
        <v>5191.25</v>
      </c>
      <c r="K2371" s="4">
        <f t="shared" si="243"/>
        <v>51912.5</v>
      </c>
    </row>
    <row r="2372" spans="4:11" x14ac:dyDescent="0.35">
      <c r="D2372" s="1">
        <v>42192</v>
      </c>
      <c r="E2372">
        <v>3.1802999999999999</v>
      </c>
      <c r="F2372" s="1">
        <v>41877</v>
      </c>
      <c r="G2372">
        <v>125.938</v>
      </c>
      <c r="H2372" s="4">
        <f t="shared" ref="H2372:H2435" si="244">G2372*E2372*1000</f>
        <v>400520.6214</v>
      </c>
      <c r="I2372" s="5">
        <v>42156</v>
      </c>
      <c r="J2372" s="4">
        <v>5248.73</v>
      </c>
      <c r="K2372" s="4">
        <f t="shared" si="243"/>
        <v>52487.299999999996</v>
      </c>
    </row>
    <row r="2373" spans="4:11" x14ac:dyDescent="0.35">
      <c r="D2373" s="1">
        <v>42191</v>
      </c>
      <c r="E2373">
        <v>3.1425000000000001</v>
      </c>
      <c r="F2373" s="1">
        <v>41876</v>
      </c>
      <c r="G2373">
        <v>125.85899999999999</v>
      </c>
      <c r="H2373" s="4">
        <f t="shared" si="244"/>
        <v>395511.90750000003</v>
      </c>
      <c r="I2373" s="5">
        <v>42153</v>
      </c>
      <c r="J2373" s="4">
        <v>5278.29</v>
      </c>
      <c r="K2373" s="4">
        <f t="shared" ref="K2373:K2436" si="245">J2373*10</f>
        <v>52782.9</v>
      </c>
    </row>
    <row r="2374" spans="4:11" x14ac:dyDescent="0.35">
      <c r="D2374" s="1">
        <v>42188</v>
      </c>
      <c r="E2374">
        <v>3.1265000000000001</v>
      </c>
      <c r="F2374" s="1">
        <v>41873</v>
      </c>
      <c r="G2374">
        <v>125.84399999999999</v>
      </c>
      <c r="H2374" s="4">
        <f t="shared" si="244"/>
        <v>393451.266</v>
      </c>
      <c r="I2374" s="5">
        <v>42152</v>
      </c>
      <c r="J2374" s="4">
        <v>5246.27</v>
      </c>
      <c r="K2374" s="4">
        <f t="shared" si="245"/>
        <v>52462.700000000004</v>
      </c>
    </row>
    <row r="2375" spans="4:11" x14ac:dyDescent="0.35">
      <c r="D2375" s="1">
        <v>42187</v>
      </c>
      <c r="E2375">
        <v>3.1166</v>
      </c>
      <c r="F2375" s="1">
        <v>41872</v>
      </c>
      <c r="G2375">
        <v>126.14100000000001</v>
      </c>
      <c r="H2375" s="4">
        <f t="shared" si="244"/>
        <v>393131.04060000001</v>
      </c>
      <c r="I2375" s="5">
        <v>42151</v>
      </c>
      <c r="J2375" s="4">
        <v>5209.8100000000004</v>
      </c>
      <c r="K2375" s="4">
        <f t="shared" si="245"/>
        <v>52098.100000000006</v>
      </c>
    </row>
    <row r="2376" spans="4:11" x14ac:dyDescent="0.35">
      <c r="D2376" s="1">
        <v>42186</v>
      </c>
      <c r="E2376">
        <v>3.1185</v>
      </c>
      <c r="F2376" s="1">
        <v>41871</v>
      </c>
      <c r="G2376">
        <v>125.96899999999999</v>
      </c>
      <c r="H2376" s="4">
        <f t="shared" si="244"/>
        <v>392834.32649999997</v>
      </c>
      <c r="I2376" s="5">
        <v>42150</v>
      </c>
      <c r="J2376" s="4">
        <v>5236.33</v>
      </c>
      <c r="K2376" s="4">
        <f t="shared" si="245"/>
        <v>52363.3</v>
      </c>
    </row>
    <row r="2377" spans="4:11" x14ac:dyDescent="0.35">
      <c r="D2377" s="1">
        <v>42185</v>
      </c>
      <c r="E2377">
        <v>3.1019000000000001</v>
      </c>
      <c r="F2377" s="1">
        <v>41869</v>
      </c>
      <c r="G2377">
        <v>126.26600000000001</v>
      </c>
      <c r="H2377" s="4">
        <f t="shared" si="244"/>
        <v>391664.50540000002</v>
      </c>
      <c r="I2377" s="5">
        <v>42149</v>
      </c>
      <c r="J2377" s="4">
        <v>5142.7</v>
      </c>
      <c r="K2377" s="4">
        <f t="shared" si="245"/>
        <v>51427</v>
      </c>
    </row>
    <row r="2378" spans="4:11" x14ac:dyDescent="0.35">
      <c r="D2378" s="1">
        <v>42184</v>
      </c>
      <c r="E2378">
        <v>3.1383000000000001</v>
      </c>
      <c r="F2378" s="1">
        <v>41866</v>
      </c>
      <c r="G2378">
        <v>126.73399999999999</v>
      </c>
      <c r="H2378" s="4">
        <f t="shared" si="244"/>
        <v>397729.31219999999</v>
      </c>
      <c r="I2378" s="5">
        <v>42146</v>
      </c>
      <c r="J2378" s="4">
        <v>5138.5600000000004</v>
      </c>
      <c r="K2378" s="4">
        <f t="shared" si="245"/>
        <v>51385.600000000006</v>
      </c>
    </row>
    <row r="2379" spans="4:11" x14ac:dyDescent="0.35">
      <c r="D2379" s="1">
        <v>42181</v>
      </c>
      <c r="E2379">
        <v>3.1265000000000001</v>
      </c>
      <c r="F2379" s="1">
        <v>41865</v>
      </c>
      <c r="G2379">
        <v>126.297</v>
      </c>
      <c r="H2379" s="4">
        <f t="shared" si="244"/>
        <v>394867.57049999997</v>
      </c>
      <c r="I2379" s="5">
        <v>42145</v>
      </c>
      <c r="J2379" s="4">
        <v>5047.42</v>
      </c>
      <c r="K2379" s="4">
        <f t="shared" si="245"/>
        <v>50474.2</v>
      </c>
    </row>
    <row r="2380" spans="4:11" x14ac:dyDescent="0.35">
      <c r="D2380" s="1">
        <v>42180</v>
      </c>
      <c r="E2380">
        <v>3.1009000000000002</v>
      </c>
      <c r="F2380" s="1">
        <v>41864</v>
      </c>
      <c r="G2380">
        <v>126.09399999999999</v>
      </c>
      <c r="H2380" s="4">
        <f t="shared" si="244"/>
        <v>391004.88460000005</v>
      </c>
      <c r="I2380" s="5">
        <v>42144</v>
      </c>
      <c r="J2380" s="4">
        <v>4991.08</v>
      </c>
      <c r="K2380" s="4">
        <f t="shared" si="245"/>
        <v>49910.8</v>
      </c>
    </row>
    <row r="2381" spans="4:11" x14ac:dyDescent="0.35">
      <c r="D2381" s="1">
        <v>42179</v>
      </c>
      <c r="E2381">
        <v>3.0846</v>
      </c>
      <c r="F2381" s="1">
        <v>41863</v>
      </c>
      <c r="G2381">
        <v>125.76600000000001</v>
      </c>
      <c r="H2381" s="4">
        <f t="shared" si="244"/>
        <v>387937.80359999998</v>
      </c>
      <c r="I2381" s="5">
        <v>42143</v>
      </c>
      <c r="J2381" s="4">
        <v>5059.0200000000004</v>
      </c>
      <c r="K2381" s="4">
        <f t="shared" si="245"/>
        <v>50590.200000000004</v>
      </c>
    </row>
    <row r="2382" spans="4:11" x14ac:dyDescent="0.35">
      <c r="D2382" s="1">
        <v>42178</v>
      </c>
      <c r="E2382">
        <v>3.1036000000000001</v>
      </c>
      <c r="F2382" s="1">
        <v>41862</v>
      </c>
      <c r="G2382">
        <v>125.797</v>
      </c>
      <c r="H2382" s="4">
        <f t="shared" si="244"/>
        <v>390423.56920000003</v>
      </c>
      <c r="I2382" s="5">
        <v>42142</v>
      </c>
      <c r="J2382" s="4">
        <v>5001.0200000000004</v>
      </c>
      <c r="K2382" s="4">
        <f t="shared" si="245"/>
        <v>50010.200000000004</v>
      </c>
    </row>
    <row r="2383" spans="4:11" x14ac:dyDescent="0.35">
      <c r="D2383" s="1">
        <v>42177</v>
      </c>
      <c r="E2383">
        <v>3.0750999999999999</v>
      </c>
      <c r="F2383" s="1">
        <v>41859</v>
      </c>
      <c r="G2383">
        <v>125.828</v>
      </c>
      <c r="H2383" s="4">
        <f t="shared" si="244"/>
        <v>386933.68280000001</v>
      </c>
      <c r="I2383" s="5">
        <v>42139</v>
      </c>
      <c r="J2383" s="4">
        <v>4989.42</v>
      </c>
      <c r="K2383" s="4">
        <f t="shared" si="245"/>
        <v>49894.2</v>
      </c>
    </row>
    <row r="2384" spans="4:11" x14ac:dyDescent="0.35">
      <c r="D2384" s="1">
        <v>42174</v>
      </c>
      <c r="E2384">
        <v>3.0781999999999998</v>
      </c>
      <c r="F2384" s="1">
        <v>41858</v>
      </c>
      <c r="G2384">
        <v>125.59399999999999</v>
      </c>
      <c r="H2384" s="4">
        <f t="shared" si="244"/>
        <v>386603.45079999993</v>
      </c>
      <c r="I2384" s="5">
        <v>42138</v>
      </c>
      <c r="J2384" s="4">
        <v>4982.8</v>
      </c>
      <c r="K2384" s="4">
        <f t="shared" si="245"/>
        <v>49828</v>
      </c>
    </row>
    <row r="2385" spans="4:11" x14ac:dyDescent="0.35">
      <c r="D2385" s="1">
        <v>42173</v>
      </c>
      <c r="E2385">
        <v>3.0466000000000002</v>
      </c>
      <c r="F2385" s="1">
        <v>41857</v>
      </c>
      <c r="G2385">
        <v>125.48399999999999</v>
      </c>
      <c r="H2385" s="4">
        <f t="shared" si="244"/>
        <v>382299.55440000002</v>
      </c>
      <c r="I2385" s="5">
        <v>42137</v>
      </c>
      <c r="J2385" s="4">
        <v>5066.4799999999996</v>
      </c>
      <c r="K2385" s="4">
        <f t="shared" si="245"/>
        <v>50664.799999999996</v>
      </c>
    </row>
    <row r="2386" spans="4:11" x14ac:dyDescent="0.35">
      <c r="D2386" s="1">
        <v>42172</v>
      </c>
      <c r="E2386">
        <v>3.0983000000000001</v>
      </c>
      <c r="F2386" s="1">
        <v>41856</v>
      </c>
      <c r="G2386">
        <v>125.5</v>
      </c>
      <c r="H2386" s="4">
        <f t="shared" si="244"/>
        <v>388836.65</v>
      </c>
      <c r="I2386" s="5">
        <v>42136</v>
      </c>
      <c r="J2386" s="4">
        <v>5034.16</v>
      </c>
      <c r="K2386" s="4">
        <f t="shared" si="245"/>
        <v>50341.599999999999</v>
      </c>
    </row>
    <row r="2387" spans="4:11" x14ac:dyDescent="0.35">
      <c r="D2387" s="1">
        <v>42171</v>
      </c>
      <c r="E2387">
        <v>3.1076000000000001</v>
      </c>
      <c r="F2387" s="1">
        <v>41855</v>
      </c>
      <c r="G2387">
        <v>125.46899999999999</v>
      </c>
      <c r="H2387" s="4">
        <f t="shared" si="244"/>
        <v>389907.4644</v>
      </c>
      <c r="I2387" s="5">
        <v>42135</v>
      </c>
      <c r="J2387" s="4">
        <v>5104.59</v>
      </c>
      <c r="K2387" s="4">
        <f t="shared" si="245"/>
        <v>51045.9</v>
      </c>
    </row>
    <row r="2388" spans="4:11" x14ac:dyDescent="0.35">
      <c r="D2388" s="1">
        <v>42170</v>
      </c>
      <c r="E2388">
        <v>3.1030000000000002</v>
      </c>
      <c r="F2388" s="1">
        <v>41852</v>
      </c>
      <c r="G2388">
        <v>125.313</v>
      </c>
      <c r="H2388" s="4">
        <f t="shared" si="244"/>
        <v>388846.239</v>
      </c>
      <c r="I2388" s="5">
        <v>42132</v>
      </c>
      <c r="J2388" s="4">
        <v>4961.25</v>
      </c>
      <c r="K2388" s="4">
        <f t="shared" si="245"/>
        <v>49612.5</v>
      </c>
    </row>
    <row r="2389" spans="4:11" x14ac:dyDescent="0.35">
      <c r="D2389" s="1">
        <v>42167</v>
      </c>
      <c r="E2389">
        <v>3.1101000000000001</v>
      </c>
      <c r="F2389" s="1">
        <v>41851</v>
      </c>
      <c r="G2389">
        <v>124.563</v>
      </c>
      <c r="H2389" s="4">
        <f t="shared" si="244"/>
        <v>387403.38630000001</v>
      </c>
      <c r="I2389" s="5">
        <v>42131</v>
      </c>
      <c r="J2389" s="4">
        <v>5054.88</v>
      </c>
      <c r="K2389" s="4">
        <f t="shared" si="245"/>
        <v>50548.800000000003</v>
      </c>
    </row>
    <row r="2390" spans="4:11" x14ac:dyDescent="0.35">
      <c r="D2390" s="1">
        <v>42166</v>
      </c>
      <c r="E2390">
        <v>3.1507999999999998</v>
      </c>
      <c r="F2390" s="1">
        <v>41850</v>
      </c>
      <c r="G2390">
        <v>124.59399999999999</v>
      </c>
      <c r="H2390" s="4">
        <f t="shared" si="244"/>
        <v>392570.77519999997</v>
      </c>
      <c r="I2390" s="5">
        <v>42130</v>
      </c>
      <c r="J2390" s="4">
        <v>5068.13</v>
      </c>
      <c r="K2390" s="4">
        <f t="shared" si="245"/>
        <v>50681.3</v>
      </c>
    </row>
    <row r="2391" spans="4:11" x14ac:dyDescent="0.35">
      <c r="D2391" s="1">
        <v>42165</v>
      </c>
      <c r="E2391">
        <v>3.0836999999999999</v>
      </c>
      <c r="F2391" s="1">
        <v>41844</v>
      </c>
      <c r="G2391">
        <v>125.078</v>
      </c>
      <c r="H2391" s="4">
        <f t="shared" si="244"/>
        <v>385703.02859999996</v>
      </c>
      <c r="I2391" s="5">
        <v>42129</v>
      </c>
      <c r="J2391" s="4">
        <v>5110.3900000000003</v>
      </c>
      <c r="K2391" s="4">
        <f t="shared" si="245"/>
        <v>51103.9</v>
      </c>
    </row>
    <row r="2392" spans="4:11" x14ac:dyDescent="0.35">
      <c r="D2392" s="1">
        <v>42164</v>
      </c>
      <c r="E2392">
        <v>3.0985</v>
      </c>
      <c r="F2392" s="1">
        <v>41843</v>
      </c>
      <c r="G2392">
        <v>125.51600000000001</v>
      </c>
      <c r="H2392" s="4">
        <f t="shared" si="244"/>
        <v>388911.32600000006</v>
      </c>
      <c r="I2392" s="5">
        <v>42128</v>
      </c>
      <c r="J2392" s="4">
        <v>5161.76</v>
      </c>
      <c r="K2392" s="4">
        <f t="shared" si="245"/>
        <v>51617.600000000006</v>
      </c>
    </row>
    <row r="2393" spans="4:11" x14ac:dyDescent="0.35">
      <c r="D2393" s="1">
        <v>42163</v>
      </c>
      <c r="E2393">
        <v>3.1183999999999998</v>
      </c>
      <c r="F2393" s="1">
        <v>41842</v>
      </c>
      <c r="G2393">
        <v>125.28100000000001</v>
      </c>
      <c r="H2393" s="4">
        <f t="shared" si="244"/>
        <v>390676.27040000004</v>
      </c>
      <c r="I2393" s="5">
        <v>42124</v>
      </c>
      <c r="J2393" s="4">
        <v>5043.28</v>
      </c>
      <c r="K2393" s="4">
        <f t="shared" si="245"/>
        <v>50432.799999999996</v>
      </c>
    </row>
    <row r="2394" spans="4:11" x14ac:dyDescent="0.35">
      <c r="D2394" s="1">
        <v>42160</v>
      </c>
      <c r="E2394">
        <v>3.1677</v>
      </c>
      <c r="F2394" s="1">
        <v>41841</v>
      </c>
      <c r="G2394">
        <v>125.453</v>
      </c>
      <c r="H2394" s="4">
        <f t="shared" si="244"/>
        <v>397397.4681</v>
      </c>
      <c r="I2394" s="5">
        <v>42123</v>
      </c>
      <c r="J2394" s="4">
        <v>4961.25</v>
      </c>
      <c r="K2394" s="4">
        <f t="shared" si="245"/>
        <v>49612.5</v>
      </c>
    </row>
    <row r="2395" spans="4:11" x14ac:dyDescent="0.35">
      <c r="D2395" s="1">
        <v>42158</v>
      </c>
      <c r="E2395">
        <v>3.1177999999999999</v>
      </c>
      <c r="F2395" s="1">
        <v>41837</v>
      </c>
      <c r="G2395">
        <v>125.51600000000001</v>
      </c>
      <c r="H2395" s="4">
        <f t="shared" si="244"/>
        <v>391333.78479999996</v>
      </c>
      <c r="I2395" s="5">
        <v>42122</v>
      </c>
      <c r="J2395" s="4">
        <v>4926.0600000000004</v>
      </c>
      <c r="K2395" s="4">
        <f t="shared" si="245"/>
        <v>49260.600000000006</v>
      </c>
    </row>
    <row r="2396" spans="4:11" x14ac:dyDescent="0.35">
      <c r="D2396" s="1">
        <v>42157</v>
      </c>
      <c r="E2396">
        <v>3.1436999999999999</v>
      </c>
      <c r="F2396" s="1">
        <v>41836</v>
      </c>
      <c r="G2396">
        <v>124.813</v>
      </c>
      <c r="H2396" s="4">
        <f t="shared" si="244"/>
        <v>392374.62809999997</v>
      </c>
      <c r="I2396" s="5">
        <v>42121</v>
      </c>
      <c r="J2396" s="4">
        <v>4895.05</v>
      </c>
      <c r="K2396" s="4">
        <f t="shared" si="245"/>
        <v>48950.5</v>
      </c>
    </row>
    <row r="2397" spans="4:11" x14ac:dyDescent="0.35">
      <c r="D2397" s="1">
        <v>42156</v>
      </c>
      <c r="E2397">
        <v>3.1783000000000001</v>
      </c>
      <c r="F2397" s="1">
        <v>41835</v>
      </c>
      <c r="G2397">
        <v>124.89100000000001</v>
      </c>
      <c r="H2397" s="4">
        <f t="shared" si="244"/>
        <v>396941.06530000007</v>
      </c>
      <c r="I2397" s="5">
        <v>42118</v>
      </c>
      <c r="J2397" s="4">
        <v>4955.3900000000003</v>
      </c>
      <c r="K2397" s="4">
        <f t="shared" si="245"/>
        <v>49553.9</v>
      </c>
    </row>
    <row r="2398" spans="4:11" x14ac:dyDescent="0.35">
      <c r="D2398" s="1">
        <v>42153</v>
      </c>
      <c r="E2398">
        <v>3.1781000000000001</v>
      </c>
      <c r="F2398" s="1">
        <v>41834</v>
      </c>
      <c r="G2398">
        <v>125.063</v>
      </c>
      <c r="H2398" s="4">
        <f t="shared" si="244"/>
        <v>397462.72029999999</v>
      </c>
      <c r="I2398" s="5">
        <v>42117</v>
      </c>
      <c r="J2398" s="4">
        <v>4987.2299999999996</v>
      </c>
      <c r="K2398" s="4">
        <f t="shared" si="245"/>
        <v>49872.299999999996</v>
      </c>
    </row>
    <row r="2399" spans="4:11" x14ac:dyDescent="0.35">
      <c r="D2399" s="1">
        <v>42152</v>
      </c>
      <c r="E2399">
        <v>3.1741000000000001</v>
      </c>
      <c r="F2399" s="1">
        <v>41831</v>
      </c>
      <c r="G2399">
        <v>125.313</v>
      </c>
      <c r="H2399" s="4">
        <f t="shared" si="244"/>
        <v>397755.99329999997</v>
      </c>
      <c r="I2399" s="5">
        <v>42116</v>
      </c>
      <c r="J2399" s="4">
        <v>5061.82</v>
      </c>
      <c r="K2399" s="4">
        <f t="shared" si="245"/>
        <v>50618.2</v>
      </c>
    </row>
    <row r="2400" spans="4:11" x14ac:dyDescent="0.35">
      <c r="D2400" s="1">
        <v>42151</v>
      </c>
      <c r="E2400">
        <v>3.1734</v>
      </c>
      <c r="F2400" s="1">
        <v>41830</v>
      </c>
      <c r="G2400">
        <v>125.09399999999999</v>
      </c>
      <c r="H2400" s="4">
        <f t="shared" si="244"/>
        <v>396973.29959999997</v>
      </c>
      <c r="I2400" s="5">
        <v>42114</v>
      </c>
      <c r="J2400" s="4">
        <v>5102.05</v>
      </c>
      <c r="K2400" s="4">
        <f t="shared" si="245"/>
        <v>51020.5</v>
      </c>
    </row>
    <row r="2401" spans="4:11" x14ac:dyDescent="0.35">
      <c r="D2401" s="1">
        <v>42150</v>
      </c>
      <c r="E2401">
        <v>3.1345000000000001</v>
      </c>
      <c r="F2401" s="1">
        <v>41828</v>
      </c>
      <c r="G2401">
        <v>124.703</v>
      </c>
      <c r="H2401" s="4">
        <f t="shared" si="244"/>
        <v>390881.55349999998</v>
      </c>
      <c r="I2401" s="5">
        <v>42111</v>
      </c>
      <c r="J2401" s="4">
        <v>5123</v>
      </c>
      <c r="K2401" s="4">
        <f t="shared" si="245"/>
        <v>51230</v>
      </c>
    </row>
    <row r="2402" spans="4:11" x14ac:dyDescent="0.35">
      <c r="D2402" s="1">
        <v>42149</v>
      </c>
      <c r="E2402">
        <v>3.1206</v>
      </c>
      <c r="F2402" s="1">
        <v>41827</v>
      </c>
      <c r="G2402">
        <v>124.34399999999999</v>
      </c>
      <c r="H2402" s="4">
        <f t="shared" si="244"/>
        <v>388027.88640000002</v>
      </c>
      <c r="I2402" s="5">
        <v>42110</v>
      </c>
      <c r="J2402" s="4">
        <v>5086.12</v>
      </c>
      <c r="K2402" s="4">
        <f t="shared" si="245"/>
        <v>50861.2</v>
      </c>
    </row>
    <row r="2403" spans="4:11" x14ac:dyDescent="0.35">
      <c r="D2403" s="1">
        <v>42146</v>
      </c>
      <c r="E2403">
        <v>3.0647000000000002</v>
      </c>
      <c r="F2403" s="1">
        <v>41823</v>
      </c>
      <c r="G2403">
        <v>124.21899999999999</v>
      </c>
      <c r="H2403" s="4">
        <f t="shared" si="244"/>
        <v>380693.9693</v>
      </c>
      <c r="I2403" s="5">
        <v>42109</v>
      </c>
      <c r="J2403" s="4">
        <v>5100.37</v>
      </c>
      <c r="K2403" s="4">
        <f t="shared" si="245"/>
        <v>51003.7</v>
      </c>
    </row>
    <row r="2404" spans="4:11" x14ac:dyDescent="0.35">
      <c r="D2404" s="1">
        <v>42145</v>
      </c>
      <c r="E2404">
        <v>3.0289000000000001</v>
      </c>
      <c r="F2404" s="1">
        <v>41822</v>
      </c>
      <c r="G2404">
        <v>124.53100000000001</v>
      </c>
      <c r="H2404" s="4">
        <f t="shared" si="244"/>
        <v>377191.94590000005</v>
      </c>
      <c r="I2404" s="5">
        <v>42108</v>
      </c>
      <c r="J2404" s="4">
        <v>5159.03</v>
      </c>
      <c r="K2404" s="4">
        <f t="shared" si="245"/>
        <v>51590.299999999996</v>
      </c>
    </row>
    <row r="2405" spans="4:11" x14ac:dyDescent="0.35">
      <c r="D2405" s="1">
        <v>42144</v>
      </c>
      <c r="E2405">
        <v>3.0339999999999998</v>
      </c>
      <c r="F2405" s="1">
        <v>41820</v>
      </c>
      <c r="G2405">
        <v>124.922</v>
      </c>
      <c r="H2405" s="4">
        <f t="shared" si="244"/>
        <v>379013.34799999994</v>
      </c>
      <c r="I2405" s="5">
        <v>42107</v>
      </c>
      <c r="J2405" s="4">
        <v>5268.82</v>
      </c>
      <c r="K2405" s="4">
        <f t="shared" si="245"/>
        <v>52688.2</v>
      </c>
    </row>
    <row r="2406" spans="4:11" x14ac:dyDescent="0.35">
      <c r="D2406" s="1">
        <v>42143</v>
      </c>
      <c r="E2406">
        <v>3.0278</v>
      </c>
      <c r="F2406" s="1">
        <v>41817</v>
      </c>
      <c r="G2406">
        <v>125.063</v>
      </c>
      <c r="H2406" s="4">
        <f t="shared" si="244"/>
        <v>378665.75140000001</v>
      </c>
      <c r="I2406" s="5">
        <v>42104</v>
      </c>
      <c r="J2406" s="4">
        <v>5192.5600000000004</v>
      </c>
      <c r="K2406" s="4">
        <f t="shared" si="245"/>
        <v>51925.600000000006</v>
      </c>
    </row>
    <row r="2407" spans="4:11" x14ac:dyDescent="0.35">
      <c r="D2407" s="1">
        <v>42142</v>
      </c>
      <c r="E2407">
        <v>3.0139</v>
      </c>
      <c r="F2407" s="1">
        <v>41816</v>
      </c>
      <c r="G2407">
        <v>125.203</v>
      </c>
      <c r="H2407" s="4">
        <f t="shared" si="244"/>
        <v>377349.32170000003</v>
      </c>
      <c r="I2407" s="5">
        <v>42103</v>
      </c>
      <c r="J2407" s="4">
        <v>5155.68</v>
      </c>
      <c r="K2407" s="4">
        <f t="shared" si="245"/>
        <v>51556.800000000003</v>
      </c>
    </row>
    <row r="2408" spans="4:11" x14ac:dyDescent="0.35">
      <c r="D2408" s="1">
        <v>42139</v>
      </c>
      <c r="E2408">
        <v>2.9887000000000001</v>
      </c>
      <c r="F2408" s="1">
        <v>41815</v>
      </c>
      <c r="G2408">
        <v>124.71899999999999</v>
      </c>
      <c r="H2408" s="4">
        <f t="shared" si="244"/>
        <v>372747.6753</v>
      </c>
      <c r="I2408" s="5">
        <v>42102</v>
      </c>
      <c r="J2408" s="4">
        <v>5133.8900000000003</v>
      </c>
      <c r="K2408" s="4">
        <f t="shared" si="245"/>
        <v>51338.9</v>
      </c>
    </row>
    <row r="2409" spans="4:11" x14ac:dyDescent="0.35">
      <c r="D2409" s="1">
        <v>42138</v>
      </c>
      <c r="E2409">
        <v>3.0026000000000002</v>
      </c>
      <c r="F2409" s="1">
        <v>41814</v>
      </c>
      <c r="G2409">
        <v>124.60899999999999</v>
      </c>
      <c r="H2409" s="4">
        <f t="shared" si="244"/>
        <v>374150.98340000003</v>
      </c>
      <c r="I2409" s="5">
        <v>42101</v>
      </c>
      <c r="J2409" s="4">
        <v>5279.71</v>
      </c>
      <c r="K2409" s="4">
        <f t="shared" si="245"/>
        <v>52797.1</v>
      </c>
    </row>
    <row r="2410" spans="4:11" x14ac:dyDescent="0.35">
      <c r="D2410" s="1">
        <v>42137</v>
      </c>
      <c r="E2410">
        <v>3.0095999999999998</v>
      </c>
      <c r="F2410" s="1">
        <v>41810</v>
      </c>
      <c r="G2410">
        <v>124.26600000000001</v>
      </c>
      <c r="H2410" s="4">
        <f t="shared" si="244"/>
        <v>373990.95360000001</v>
      </c>
      <c r="I2410" s="5">
        <v>42100</v>
      </c>
      <c r="J2410" s="4">
        <v>5278.87</v>
      </c>
      <c r="K2410" s="4">
        <f t="shared" si="245"/>
        <v>52788.7</v>
      </c>
    </row>
    <row r="2411" spans="4:11" x14ac:dyDescent="0.35">
      <c r="D2411" s="1">
        <v>42136</v>
      </c>
      <c r="E2411">
        <v>3.0381999999999998</v>
      </c>
      <c r="F2411" s="1">
        <v>41808</v>
      </c>
      <c r="G2411">
        <v>124.46899999999999</v>
      </c>
      <c r="H2411" s="4">
        <f t="shared" si="244"/>
        <v>378161.71579999995</v>
      </c>
      <c r="I2411" s="5">
        <v>42096</v>
      </c>
      <c r="J2411" s="4">
        <v>5288.09</v>
      </c>
      <c r="K2411" s="4">
        <f t="shared" si="245"/>
        <v>52880.9</v>
      </c>
    </row>
    <row r="2412" spans="4:11" x14ac:dyDescent="0.35">
      <c r="D2412" s="1">
        <v>42135</v>
      </c>
      <c r="E2412">
        <v>3.0169000000000001</v>
      </c>
      <c r="F2412" s="1">
        <v>41807</v>
      </c>
      <c r="G2412">
        <v>123.875</v>
      </c>
      <c r="H2412" s="4">
        <f t="shared" si="244"/>
        <v>373718.48750000005</v>
      </c>
      <c r="I2412" s="5">
        <v>42095</v>
      </c>
      <c r="J2412" s="4">
        <v>5348.43</v>
      </c>
      <c r="K2412" s="4">
        <f t="shared" si="245"/>
        <v>53484.3</v>
      </c>
    </row>
    <row r="2413" spans="4:11" x14ac:dyDescent="0.35">
      <c r="D2413" s="1">
        <v>42132</v>
      </c>
      <c r="E2413">
        <v>2.9958999999999998</v>
      </c>
      <c r="F2413" s="1">
        <v>41806</v>
      </c>
      <c r="G2413">
        <v>124.328</v>
      </c>
      <c r="H2413" s="4">
        <f t="shared" si="244"/>
        <v>372474.25519999996</v>
      </c>
      <c r="I2413" s="5">
        <v>42094</v>
      </c>
      <c r="J2413" s="4">
        <v>5398.72</v>
      </c>
      <c r="K2413" s="4">
        <f t="shared" si="245"/>
        <v>53987.200000000004</v>
      </c>
    </row>
    <row r="2414" spans="4:11" x14ac:dyDescent="0.35">
      <c r="D2414" s="1">
        <v>42131</v>
      </c>
      <c r="E2414">
        <v>3.0415000000000001</v>
      </c>
      <c r="F2414" s="1">
        <v>41803</v>
      </c>
      <c r="G2414">
        <v>124.28100000000001</v>
      </c>
      <c r="H2414" s="4">
        <f t="shared" si="244"/>
        <v>378000.66150000005</v>
      </c>
      <c r="I2414" s="5">
        <v>42093</v>
      </c>
      <c r="J2414" s="4">
        <v>5452.35</v>
      </c>
      <c r="K2414" s="4">
        <f t="shared" si="245"/>
        <v>54523.5</v>
      </c>
    </row>
    <row r="2415" spans="4:11" x14ac:dyDescent="0.35">
      <c r="D2415" s="1">
        <v>42130</v>
      </c>
      <c r="E2415">
        <v>3.0413999999999999</v>
      </c>
      <c r="F2415" s="1">
        <v>41800</v>
      </c>
      <c r="G2415">
        <v>124.172</v>
      </c>
      <c r="H2415" s="4">
        <f t="shared" si="244"/>
        <v>377656.72079999995</v>
      </c>
      <c r="I2415" s="5">
        <v>42090</v>
      </c>
      <c r="J2415" s="4">
        <v>5491.19</v>
      </c>
      <c r="K2415" s="4">
        <f t="shared" si="245"/>
        <v>54911.899999999994</v>
      </c>
    </row>
    <row r="2416" spans="4:11" x14ac:dyDescent="0.35">
      <c r="D2416" s="1">
        <v>42129</v>
      </c>
      <c r="E2416">
        <v>3.0619000000000001</v>
      </c>
      <c r="F2416" s="1">
        <v>41799</v>
      </c>
      <c r="G2416">
        <v>124.133</v>
      </c>
      <c r="H2416" s="4">
        <f t="shared" si="244"/>
        <v>380082.83269999997</v>
      </c>
      <c r="I2416" s="5">
        <v>42089</v>
      </c>
      <c r="J2416" s="4">
        <v>5378.9</v>
      </c>
      <c r="K2416" s="4">
        <f t="shared" si="245"/>
        <v>53789</v>
      </c>
    </row>
    <row r="2417" spans="4:11" x14ac:dyDescent="0.35">
      <c r="D2417" s="1">
        <v>42128</v>
      </c>
      <c r="E2417">
        <v>3.0748000000000002</v>
      </c>
      <c r="F2417" s="1">
        <v>41796</v>
      </c>
      <c r="G2417">
        <v>124.64100000000001</v>
      </c>
      <c r="H2417" s="4">
        <f t="shared" si="244"/>
        <v>383246.14680000005</v>
      </c>
      <c r="I2417" s="5">
        <v>42088</v>
      </c>
      <c r="J2417" s="4">
        <v>5418.58</v>
      </c>
      <c r="K2417" s="4">
        <f t="shared" si="245"/>
        <v>54185.8</v>
      </c>
    </row>
    <row r="2418" spans="4:11" x14ac:dyDescent="0.35">
      <c r="D2418" s="1">
        <v>42124</v>
      </c>
      <c r="E2418">
        <v>2.9929999999999999</v>
      </c>
      <c r="F2418" s="1">
        <v>41795</v>
      </c>
      <c r="G2418">
        <v>124.125</v>
      </c>
      <c r="H2418" s="4">
        <f t="shared" si="244"/>
        <v>371506.125</v>
      </c>
      <c r="I2418" s="5">
        <v>42087</v>
      </c>
      <c r="J2418" s="4">
        <v>5313.04</v>
      </c>
      <c r="K2418" s="4">
        <f t="shared" si="245"/>
        <v>53130.400000000001</v>
      </c>
    </row>
    <row r="2419" spans="4:11" x14ac:dyDescent="0.35">
      <c r="D2419" s="1">
        <v>42123</v>
      </c>
      <c r="E2419">
        <v>2.9369000000000001</v>
      </c>
      <c r="F2419" s="1">
        <v>41794</v>
      </c>
      <c r="G2419">
        <v>124.35899999999999</v>
      </c>
      <c r="H2419" s="4">
        <f t="shared" si="244"/>
        <v>365229.94709999999</v>
      </c>
      <c r="I2419" s="5">
        <v>42086</v>
      </c>
      <c r="J2419" s="4">
        <v>5311.36</v>
      </c>
      <c r="K2419" s="4">
        <f t="shared" si="245"/>
        <v>53113.599999999999</v>
      </c>
    </row>
    <row r="2420" spans="4:11" x14ac:dyDescent="0.35">
      <c r="D2420" s="1">
        <v>42122</v>
      </c>
      <c r="E2420">
        <v>2.8936999999999999</v>
      </c>
      <c r="F2420" s="1">
        <v>41793</v>
      </c>
      <c r="G2420">
        <v>124.432</v>
      </c>
      <c r="H2420" s="4">
        <f t="shared" si="244"/>
        <v>360068.87840000005</v>
      </c>
      <c r="I2420" s="5">
        <v>42083</v>
      </c>
      <c r="J2420" s="4">
        <v>5470.08</v>
      </c>
      <c r="K2420" s="4">
        <f t="shared" si="245"/>
        <v>54700.800000000003</v>
      </c>
    </row>
    <row r="2421" spans="4:11" x14ac:dyDescent="0.35">
      <c r="D2421" s="1">
        <v>42121</v>
      </c>
      <c r="E2421">
        <v>2.9228999999999998</v>
      </c>
      <c r="F2421" s="1">
        <v>41792</v>
      </c>
      <c r="G2421">
        <v>125.133</v>
      </c>
      <c r="H2421" s="4">
        <f t="shared" si="244"/>
        <v>365751.24569999997</v>
      </c>
      <c r="I2421" s="5">
        <v>42082</v>
      </c>
      <c r="J2421" s="4">
        <v>5582.37</v>
      </c>
      <c r="K2421" s="4">
        <f t="shared" si="245"/>
        <v>55823.7</v>
      </c>
    </row>
    <row r="2422" spans="4:11" x14ac:dyDescent="0.35">
      <c r="D2422" s="1">
        <v>42118</v>
      </c>
      <c r="E2422">
        <v>2.9739</v>
      </c>
      <c r="F2422" s="1">
        <v>41788</v>
      </c>
      <c r="G2422">
        <v>126.51600000000001</v>
      </c>
      <c r="H2422" s="4">
        <f t="shared" si="244"/>
        <v>376245.93239999999</v>
      </c>
      <c r="I2422" s="5">
        <v>42081</v>
      </c>
      <c r="J2422" s="4">
        <v>5445.6</v>
      </c>
      <c r="K2422" s="4">
        <f t="shared" si="245"/>
        <v>54456</v>
      </c>
    </row>
    <row r="2423" spans="4:11" x14ac:dyDescent="0.35">
      <c r="D2423" s="1">
        <v>42117</v>
      </c>
      <c r="E2423">
        <v>3.0076999999999998</v>
      </c>
      <c r="F2423" s="1">
        <v>41787</v>
      </c>
      <c r="G2423">
        <v>125.938</v>
      </c>
      <c r="H2423" s="4">
        <f t="shared" si="244"/>
        <v>378783.72259999998</v>
      </c>
      <c r="I2423" s="5">
        <v>42080</v>
      </c>
      <c r="J2423" s="4">
        <v>5494.56</v>
      </c>
      <c r="K2423" s="4">
        <f t="shared" si="245"/>
        <v>54945.600000000006</v>
      </c>
    </row>
    <row r="2424" spans="4:11" x14ac:dyDescent="0.35">
      <c r="D2424" s="1">
        <v>42116</v>
      </c>
      <c r="E2424">
        <v>3.0179999999999998</v>
      </c>
      <c r="F2424" s="1">
        <v>41786</v>
      </c>
      <c r="G2424">
        <v>125.75</v>
      </c>
      <c r="H2424" s="4">
        <f t="shared" si="244"/>
        <v>379513.49999999994</v>
      </c>
      <c r="I2424" s="5">
        <v>42079</v>
      </c>
      <c r="J2424" s="4">
        <v>5504.7</v>
      </c>
      <c r="K2424" s="4">
        <f t="shared" si="245"/>
        <v>55047</v>
      </c>
    </row>
    <row r="2425" spans="4:11" x14ac:dyDescent="0.35">
      <c r="D2425" s="1">
        <v>42114</v>
      </c>
      <c r="E2425">
        <v>3.0467</v>
      </c>
      <c r="F2425" s="1">
        <v>41780</v>
      </c>
      <c r="G2425">
        <v>125.688</v>
      </c>
      <c r="H2425" s="4">
        <f t="shared" si="244"/>
        <v>382933.62960000004</v>
      </c>
      <c r="I2425" s="5">
        <v>42076</v>
      </c>
      <c r="J2425" s="4">
        <v>5516.52</v>
      </c>
      <c r="K2425" s="4">
        <f t="shared" si="245"/>
        <v>55165.200000000004</v>
      </c>
    </row>
    <row r="2426" spans="4:11" x14ac:dyDescent="0.35">
      <c r="D2426" s="1">
        <v>42111</v>
      </c>
      <c r="E2426">
        <v>3.0537999999999998</v>
      </c>
      <c r="F2426" s="1">
        <v>41775</v>
      </c>
      <c r="G2426">
        <v>125.75</v>
      </c>
      <c r="H2426" s="4">
        <f t="shared" si="244"/>
        <v>384015.35</v>
      </c>
      <c r="I2426" s="5">
        <v>42075</v>
      </c>
      <c r="J2426" s="4">
        <v>5375.52</v>
      </c>
      <c r="K2426" s="4">
        <f t="shared" si="245"/>
        <v>53755.200000000004</v>
      </c>
    </row>
    <row r="2427" spans="4:11" x14ac:dyDescent="0.35">
      <c r="D2427" s="1">
        <v>42110</v>
      </c>
      <c r="E2427">
        <v>3.0243000000000002</v>
      </c>
      <c r="F2427" s="1">
        <v>41774</v>
      </c>
      <c r="G2427">
        <v>126.063</v>
      </c>
      <c r="H2427" s="4">
        <f t="shared" si="244"/>
        <v>381252.33090000006</v>
      </c>
      <c r="I2427" s="5">
        <v>42074</v>
      </c>
      <c r="J2427" s="4">
        <v>5313.04</v>
      </c>
      <c r="K2427" s="4">
        <f t="shared" si="245"/>
        <v>53130.400000000001</v>
      </c>
    </row>
    <row r="2428" spans="4:11" x14ac:dyDescent="0.35">
      <c r="D2428" s="1">
        <v>42109</v>
      </c>
      <c r="E2428">
        <v>3.0674999999999999</v>
      </c>
      <c r="F2428" s="1">
        <v>41773</v>
      </c>
      <c r="G2428">
        <v>125.563</v>
      </c>
      <c r="H2428" s="4">
        <f t="shared" si="244"/>
        <v>385164.50249999994</v>
      </c>
      <c r="I2428" s="5">
        <v>42073</v>
      </c>
      <c r="J2428" s="4">
        <v>5272.52</v>
      </c>
      <c r="K2428" s="4">
        <f t="shared" si="245"/>
        <v>52725.200000000004</v>
      </c>
    </row>
    <row r="2429" spans="4:11" x14ac:dyDescent="0.35">
      <c r="D2429" s="1">
        <v>42108</v>
      </c>
      <c r="E2429">
        <v>3.0874000000000001</v>
      </c>
      <c r="F2429" s="1">
        <v>41772</v>
      </c>
      <c r="G2429">
        <v>125.188</v>
      </c>
      <c r="H2429" s="4">
        <f t="shared" si="244"/>
        <v>386505.43120000005</v>
      </c>
      <c r="I2429" s="5">
        <v>42072</v>
      </c>
      <c r="J2429" s="4">
        <v>5310.51</v>
      </c>
      <c r="K2429" s="4">
        <f t="shared" si="245"/>
        <v>53105.100000000006</v>
      </c>
    </row>
    <row r="2430" spans="4:11" x14ac:dyDescent="0.35">
      <c r="D2430" s="1">
        <v>42107</v>
      </c>
      <c r="E2430">
        <v>3.1004999999999998</v>
      </c>
      <c r="F2430" s="1">
        <v>41768</v>
      </c>
      <c r="G2430">
        <v>125.063</v>
      </c>
      <c r="H2430" s="4">
        <f t="shared" si="244"/>
        <v>387757.83150000003</v>
      </c>
      <c r="I2430" s="5">
        <v>42069</v>
      </c>
      <c r="J2430" s="4">
        <v>5214.26</v>
      </c>
      <c r="K2430" s="4">
        <f t="shared" si="245"/>
        <v>52142.600000000006</v>
      </c>
    </row>
    <row r="2431" spans="4:11" x14ac:dyDescent="0.35">
      <c r="D2431" s="1">
        <v>42104</v>
      </c>
      <c r="E2431">
        <v>3.0789</v>
      </c>
      <c r="F2431" s="1">
        <v>41767</v>
      </c>
      <c r="G2431">
        <v>125.10899999999999</v>
      </c>
      <c r="H2431" s="4">
        <f t="shared" si="244"/>
        <v>385198.10009999998</v>
      </c>
      <c r="I2431" s="5">
        <v>42068</v>
      </c>
      <c r="J2431" s="4">
        <v>5112.95</v>
      </c>
      <c r="K2431" s="4">
        <f t="shared" si="245"/>
        <v>51129.5</v>
      </c>
    </row>
    <row r="2432" spans="4:11" x14ac:dyDescent="0.35">
      <c r="D2432" s="1">
        <v>42103</v>
      </c>
      <c r="E2432">
        <v>3.0459000000000001</v>
      </c>
      <c r="F2432" s="1">
        <v>41766</v>
      </c>
      <c r="G2432">
        <v>124.938</v>
      </c>
      <c r="H2432" s="4">
        <f t="shared" si="244"/>
        <v>380548.65419999999</v>
      </c>
      <c r="I2432" s="5">
        <v>42067</v>
      </c>
      <c r="J2432" s="4">
        <v>5072.43</v>
      </c>
      <c r="K2432" s="4">
        <f t="shared" si="245"/>
        <v>50724.3</v>
      </c>
    </row>
    <row r="2433" spans="4:11" x14ac:dyDescent="0.35">
      <c r="D2433" s="1">
        <v>42102</v>
      </c>
      <c r="E2433">
        <v>3.0828000000000002</v>
      </c>
      <c r="F2433" s="1">
        <v>41765</v>
      </c>
      <c r="G2433">
        <v>124.55</v>
      </c>
      <c r="H2433" s="4">
        <f t="shared" si="244"/>
        <v>383962.74</v>
      </c>
      <c r="I2433" s="5">
        <v>42066</v>
      </c>
      <c r="J2433" s="4">
        <v>4993.0600000000004</v>
      </c>
      <c r="K2433" s="4">
        <f t="shared" si="245"/>
        <v>49930.600000000006</v>
      </c>
    </row>
    <row r="2434" spans="4:11" x14ac:dyDescent="0.35">
      <c r="D2434" s="1">
        <v>42101</v>
      </c>
      <c r="E2434">
        <v>3.1225000000000001</v>
      </c>
      <c r="F2434" s="1">
        <v>41764</v>
      </c>
      <c r="G2434">
        <v>124.563</v>
      </c>
      <c r="H2434" s="4">
        <f t="shared" si="244"/>
        <v>388947.96750000003</v>
      </c>
      <c r="I2434" s="5">
        <v>42065</v>
      </c>
      <c r="J2434" s="4">
        <v>4932.2700000000004</v>
      </c>
      <c r="K2434" s="4">
        <f t="shared" si="245"/>
        <v>49322.700000000004</v>
      </c>
    </row>
    <row r="2435" spans="4:11" x14ac:dyDescent="0.35">
      <c r="D2435" s="1">
        <v>42100</v>
      </c>
      <c r="E2435">
        <v>3.0920000000000001</v>
      </c>
      <c r="F2435" s="1">
        <v>41761</v>
      </c>
      <c r="G2435">
        <v>124.797</v>
      </c>
      <c r="H2435" s="4">
        <f t="shared" si="244"/>
        <v>385872.32399999996</v>
      </c>
      <c r="I2435" s="5">
        <v>42062</v>
      </c>
      <c r="J2435" s="4">
        <v>4839.3999999999996</v>
      </c>
      <c r="K2435" s="4">
        <f t="shared" si="245"/>
        <v>48394</v>
      </c>
    </row>
    <row r="2436" spans="4:11" x14ac:dyDescent="0.35">
      <c r="D2436" s="1">
        <v>42096</v>
      </c>
      <c r="E2436">
        <v>3.1486000000000001</v>
      </c>
      <c r="F2436" s="1">
        <v>41759</v>
      </c>
      <c r="G2436">
        <v>124.28100000000001</v>
      </c>
      <c r="H2436" s="4">
        <f t="shared" ref="H2436:H2499" si="246">G2436*E2436*1000</f>
        <v>391311.15659999999</v>
      </c>
      <c r="I2436" s="5">
        <v>42061</v>
      </c>
      <c r="J2436" s="4">
        <v>4956.76</v>
      </c>
      <c r="K2436" s="4">
        <f t="shared" si="245"/>
        <v>49567.600000000006</v>
      </c>
    </row>
    <row r="2437" spans="4:11" x14ac:dyDescent="0.35">
      <c r="D2437" s="1">
        <v>42095</v>
      </c>
      <c r="E2437">
        <v>3.1549</v>
      </c>
      <c r="F2437" s="1">
        <v>41758</v>
      </c>
      <c r="G2437">
        <v>124.062</v>
      </c>
      <c r="H2437" s="4">
        <f t="shared" si="246"/>
        <v>391403.20379999996</v>
      </c>
      <c r="I2437" s="5">
        <v>42060</v>
      </c>
      <c r="J2437" s="4">
        <v>4900.4799999999996</v>
      </c>
      <c r="K2437" s="4">
        <f t="shared" ref="K2437:K2500" si="247">J2437*10</f>
        <v>49004.799999999996</v>
      </c>
    </row>
    <row r="2438" spans="4:11" x14ac:dyDescent="0.35">
      <c r="D2438" s="1">
        <v>42094</v>
      </c>
      <c r="E2438">
        <v>3.2850000000000001</v>
      </c>
      <c r="F2438" s="1">
        <v>41757</v>
      </c>
      <c r="G2438">
        <v>123.703</v>
      </c>
      <c r="H2438" s="4">
        <f t="shared" si="246"/>
        <v>406364.35500000004</v>
      </c>
      <c r="I2438" s="5">
        <v>42059</v>
      </c>
      <c r="J2438" s="4">
        <v>4826.3</v>
      </c>
      <c r="K2438" s="4">
        <f t="shared" si="247"/>
        <v>48263</v>
      </c>
    </row>
    <row r="2439" spans="4:11" x14ac:dyDescent="0.35">
      <c r="D2439" s="1">
        <v>42093</v>
      </c>
      <c r="E2439">
        <v>3.2595000000000001</v>
      </c>
      <c r="F2439" s="1">
        <v>41754</v>
      </c>
      <c r="G2439">
        <v>124.01600000000001</v>
      </c>
      <c r="H2439" s="4">
        <f t="shared" si="246"/>
        <v>404230.15200000006</v>
      </c>
      <c r="I2439" s="5">
        <v>42058</v>
      </c>
      <c r="J2439" s="4">
        <v>4918.3900000000003</v>
      </c>
      <c r="K2439" s="4">
        <f t="shared" si="247"/>
        <v>49183.9</v>
      </c>
    </row>
    <row r="2440" spans="4:11" x14ac:dyDescent="0.35">
      <c r="D2440" s="1">
        <v>42090</v>
      </c>
      <c r="E2440">
        <v>3.2252999999999998</v>
      </c>
      <c r="F2440" s="1">
        <v>41753</v>
      </c>
      <c r="G2440">
        <v>123.76600000000001</v>
      </c>
      <c r="H2440" s="4">
        <f t="shared" si="246"/>
        <v>399182.47980000003</v>
      </c>
      <c r="I2440" s="5">
        <v>42055</v>
      </c>
      <c r="J2440" s="4">
        <v>4904.74</v>
      </c>
      <c r="K2440" s="4">
        <f t="shared" si="247"/>
        <v>49047.399999999994</v>
      </c>
    </row>
    <row r="2441" spans="4:11" x14ac:dyDescent="0.35">
      <c r="D2441" s="1">
        <v>42089</v>
      </c>
      <c r="E2441">
        <v>3.1909000000000001</v>
      </c>
      <c r="F2441" s="1">
        <v>41751</v>
      </c>
      <c r="G2441">
        <v>123.703</v>
      </c>
      <c r="H2441" s="4">
        <f t="shared" si="246"/>
        <v>394723.90269999998</v>
      </c>
      <c r="I2441" s="5">
        <v>42054</v>
      </c>
      <c r="J2441" s="4">
        <v>4904.74</v>
      </c>
      <c r="K2441" s="4">
        <f t="shared" si="247"/>
        <v>49047.399999999994</v>
      </c>
    </row>
    <row r="2442" spans="4:11" x14ac:dyDescent="0.35">
      <c r="D2442" s="1">
        <v>42088</v>
      </c>
      <c r="E2442">
        <v>3.1469</v>
      </c>
      <c r="F2442" s="1">
        <v>41746</v>
      </c>
      <c r="G2442">
        <v>123.73399999999999</v>
      </c>
      <c r="H2442" s="4">
        <f t="shared" si="246"/>
        <v>389378.5246</v>
      </c>
      <c r="I2442" s="5">
        <v>42053</v>
      </c>
      <c r="J2442" s="4">
        <v>4851.0200000000004</v>
      </c>
      <c r="K2442" s="4">
        <f t="shared" si="247"/>
        <v>48510.200000000004</v>
      </c>
    </row>
    <row r="2443" spans="4:11" x14ac:dyDescent="0.35">
      <c r="D2443" s="1">
        <v>42087</v>
      </c>
      <c r="E2443">
        <v>3.1303999999999998</v>
      </c>
      <c r="F2443" s="1">
        <v>41745</v>
      </c>
      <c r="G2443">
        <v>124.35899999999999</v>
      </c>
      <c r="H2443" s="4">
        <f t="shared" si="246"/>
        <v>389293.41359999997</v>
      </c>
      <c r="I2443" s="5">
        <v>42048</v>
      </c>
      <c r="J2443" s="4">
        <v>4854.43</v>
      </c>
      <c r="K2443" s="4">
        <f t="shared" si="247"/>
        <v>48544.3</v>
      </c>
    </row>
    <row r="2444" spans="4:11" x14ac:dyDescent="0.35">
      <c r="D2444" s="1">
        <v>42086</v>
      </c>
      <c r="E2444">
        <v>3.1793</v>
      </c>
      <c r="F2444" s="1">
        <v>41744</v>
      </c>
      <c r="G2444">
        <v>124.797</v>
      </c>
      <c r="H2444" s="4">
        <f t="shared" si="246"/>
        <v>396767.10209999996</v>
      </c>
      <c r="I2444" s="5">
        <v>42047</v>
      </c>
      <c r="J2444" s="4">
        <v>4822.88</v>
      </c>
      <c r="K2444" s="4">
        <f t="shared" si="247"/>
        <v>48228.800000000003</v>
      </c>
    </row>
    <row r="2445" spans="4:11" x14ac:dyDescent="0.35">
      <c r="D2445" s="1">
        <v>42083</v>
      </c>
      <c r="E2445">
        <v>3.2416999999999998</v>
      </c>
      <c r="F2445" s="1">
        <v>41743</v>
      </c>
      <c r="G2445">
        <v>124.64100000000001</v>
      </c>
      <c r="H2445" s="4">
        <f t="shared" si="246"/>
        <v>404048.72969999997</v>
      </c>
      <c r="I2445" s="5">
        <v>42046</v>
      </c>
      <c r="J2445" s="4">
        <v>4913.2700000000004</v>
      </c>
      <c r="K2445" s="4">
        <f t="shared" si="247"/>
        <v>49132.700000000004</v>
      </c>
    </row>
    <row r="2446" spans="4:11" x14ac:dyDescent="0.35">
      <c r="D2446" s="1">
        <v>42082</v>
      </c>
      <c r="E2446">
        <v>3.2635000000000001</v>
      </c>
      <c r="F2446" s="1">
        <v>41740</v>
      </c>
      <c r="G2446">
        <v>124.922</v>
      </c>
      <c r="H2446" s="4">
        <f t="shared" si="246"/>
        <v>407682.94699999999</v>
      </c>
      <c r="I2446" s="5">
        <v>42045</v>
      </c>
      <c r="J2446" s="4">
        <v>4850.17</v>
      </c>
      <c r="K2446" s="4">
        <f t="shared" si="247"/>
        <v>48501.7</v>
      </c>
    </row>
    <row r="2447" spans="4:11" x14ac:dyDescent="0.35">
      <c r="D2447" s="1">
        <v>42081</v>
      </c>
      <c r="E2447">
        <v>3.2511999999999999</v>
      </c>
      <c r="F2447" s="1">
        <v>41739</v>
      </c>
      <c r="G2447">
        <v>124.75</v>
      </c>
      <c r="H2447" s="4">
        <f t="shared" si="246"/>
        <v>405587.20000000001</v>
      </c>
      <c r="I2447" s="5">
        <v>42044</v>
      </c>
      <c r="J2447" s="4">
        <v>4754.67</v>
      </c>
      <c r="K2447" s="4">
        <f t="shared" si="247"/>
        <v>47546.7</v>
      </c>
    </row>
    <row r="2448" spans="4:11" x14ac:dyDescent="0.35">
      <c r="D2448" s="1">
        <v>42080</v>
      </c>
      <c r="E2448">
        <v>3.2677</v>
      </c>
      <c r="F2448" s="1">
        <v>41738</v>
      </c>
      <c r="G2448">
        <v>124.125</v>
      </c>
      <c r="H2448" s="4">
        <f t="shared" si="246"/>
        <v>405603.26250000001</v>
      </c>
      <c r="I2448" s="5">
        <v>42041</v>
      </c>
      <c r="J2448" s="4">
        <v>4768.3100000000004</v>
      </c>
      <c r="K2448" s="4">
        <f t="shared" si="247"/>
        <v>47683.100000000006</v>
      </c>
    </row>
    <row r="2449" spans="4:11" x14ac:dyDescent="0.35">
      <c r="D2449" s="1">
        <v>42079</v>
      </c>
      <c r="E2449">
        <v>3.2250999999999999</v>
      </c>
      <c r="F2449" s="1">
        <v>41737</v>
      </c>
      <c r="G2449">
        <v>123.89100000000001</v>
      </c>
      <c r="H2449" s="4">
        <f t="shared" si="246"/>
        <v>399560.86410000001</v>
      </c>
      <c r="I2449" s="5">
        <v>42040</v>
      </c>
      <c r="J2449" s="4">
        <v>4707.7700000000004</v>
      </c>
      <c r="K2449" s="4">
        <f t="shared" si="247"/>
        <v>47077.700000000004</v>
      </c>
    </row>
    <row r="2450" spans="4:11" x14ac:dyDescent="0.35">
      <c r="D2450" s="1">
        <v>42076</v>
      </c>
      <c r="E2450">
        <v>3.2258</v>
      </c>
      <c r="F2450" s="1">
        <v>41736</v>
      </c>
      <c r="G2450">
        <v>123.953</v>
      </c>
      <c r="H2450" s="4">
        <f t="shared" si="246"/>
        <v>399847.58740000002</v>
      </c>
      <c r="I2450" s="5">
        <v>42039</v>
      </c>
      <c r="J2450" s="4">
        <v>4706.92</v>
      </c>
      <c r="K2450" s="4">
        <f t="shared" si="247"/>
        <v>47069.2</v>
      </c>
    </row>
    <row r="2451" spans="4:11" x14ac:dyDescent="0.35">
      <c r="D2451" s="1">
        <v>42075</v>
      </c>
      <c r="E2451">
        <v>3.1164999999999998</v>
      </c>
      <c r="F2451" s="1">
        <v>41733</v>
      </c>
      <c r="G2451">
        <v>123.51600000000001</v>
      </c>
      <c r="H2451" s="4">
        <f t="shared" si="246"/>
        <v>384937.614</v>
      </c>
      <c r="I2451" s="5">
        <v>42038</v>
      </c>
      <c r="J2451" s="4">
        <v>4628.47</v>
      </c>
      <c r="K2451" s="4">
        <f t="shared" si="247"/>
        <v>46284.700000000004</v>
      </c>
    </row>
    <row r="2452" spans="4:11" x14ac:dyDescent="0.35">
      <c r="D2452" s="1">
        <v>42074</v>
      </c>
      <c r="E2452">
        <v>3.1156000000000001</v>
      </c>
      <c r="F2452" s="1">
        <v>41732</v>
      </c>
      <c r="G2452">
        <v>122.938</v>
      </c>
      <c r="H2452" s="4">
        <f t="shared" si="246"/>
        <v>383025.63280000002</v>
      </c>
      <c r="I2452" s="5">
        <v>42037</v>
      </c>
      <c r="J2452" s="4">
        <v>4683.04</v>
      </c>
      <c r="K2452" s="4">
        <f t="shared" si="247"/>
        <v>46830.400000000001</v>
      </c>
    </row>
    <row r="2453" spans="4:11" x14ac:dyDescent="0.35">
      <c r="D2453" s="1">
        <v>42073</v>
      </c>
      <c r="E2453">
        <v>3.1293000000000002</v>
      </c>
      <c r="F2453" s="1">
        <v>41731</v>
      </c>
      <c r="G2453">
        <v>123.188</v>
      </c>
      <c r="H2453" s="4">
        <f t="shared" si="246"/>
        <v>385492.20840000006</v>
      </c>
      <c r="I2453" s="5">
        <v>42034</v>
      </c>
      <c r="J2453" s="4">
        <v>4606.3</v>
      </c>
      <c r="K2453" s="4">
        <f t="shared" si="247"/>
        <v>46063</v>
      </c>
    </row>
    <row r="2454" spans="4:11" x14ac:dyDescent="0.35">
      <c r="D2454" s="1">
        <v>42072</v>
      </c>
      <c r="E2454">
        <v>3.1012</v>
      </c>
      <c r="F2454" s="1">
        <v>41730</v>
      </c>
      <c r="G2454">
        <v>123.25</v>
      </c>
      <c r="H2454" s="4">
        <f t="shared" si="246"/>
        <v>382222.89999999997</v>
      </c>
      <c r="I2454" s="5">
        <v>42033</v>
      </c>
      <c r="J2454" s="4">
        <v>4476.6899999999996</v>
      </c>
      <c r="K2454" s="4">
        <f t="shared" si="247"/>
        <v>44766.899999999994</v>
      </c>
    </row>
    <row r="2455" spans="4:11" x14ac:dyDescent="0.35">
      <c r="D2455" s="1">
        <v>42069</v>
      </c>
      <c r="E2455">
        <v>3.036</v>
      </c>
      <c r="F2455" s="1">
        <v>41729</v>
      </c>
      <c r="G2455">
        <v>123.21899999999999</v>
      </c>
      <c r="H2455" s="4">
        <f t="shared" si="246"/>
        <v>374092.88399999996</v>
      </c>
      <c r="I2455" s="5">
        <v>42032</v>
      </c>
      <c r="J2455" s="4">
        <v>4429.4799999999996</v>
      </c>
      <c r="K2455" s="4">
        <f t="shared" si="247"/>
        <v>44294.799999999996</v>
      </c>
    </row>
    <row r="2456" spans="4:11" x14ac:dyDescent="0.35">
      <c r="D2456" s="1">
        <v>42068</v>
      </c>
      <c r="E2456">
        <v>2.9925000000000002</v>
      </c>
      <c r="F2456" s="1">
        <v>41726</v>
      </c>
      <c r="G2456">
        <v>123.547</v>
      </c>
      <c r="H2456" s="4">
        <f t="shared" si="246"/>
        <v>369714.39750000002</v>
      </c>
      <c r="I2456" s="5">
        <v>42031</v>
      </c>
      <c r="J2456" s="4">
        <v>4421.76</v>
      </c>
      <c r="K2456" s="4">
        <f t="shared" si="247"/>
        <v>44217.600000000006</v>
      </c>
    </row>
    <row r="2457" spans="4:11" x14ac:dyDescent="0.35">
      <c r="D2457" s="1">
        <v>42067</v>
      </c>
      <c r="E2457">
        <v>2.9798</v>
      </c>
      <c r="F2457" s="1">
        <v>41725</v>
      </c>
      <c r="G2457">
        <v>123.84399999999999</v>
      </c>
      <c r="H2457" s="4">
        <f t="shared" si="246"/>
        <v>369030.35119999998</v>
      </c>
      <c r="I2457" s="5">
        <v>42030</v>
      </c>
      <c r="J2457" s="4">
        <v>4442.3599999999997</v>
      </c>
      <c r="K2457" s="4">
        <f t="shared" si="247"/>
        <v>44423.6</v>
      </c>
    </row>
    <row r="2458" spans="4:11" x14ac:dyDescent="0.35">
      <c r="D2458" s="1">
        <v>42066</v>
      </c>
      <c r="E2458">
        <v>2.9045000000000001</v>
      </c>
      <c r="F2458" s="1">
        <v>41724</v>
      </c>
      <c r="G2458">
        <v>123.71899999999999</v>
      </c>
      <c r="H2458" s="4">
        <f t="shared" si="246"/>
        <v>359341.83549999999</v>
      </c>
      <c r="I2458" s="5">
        <v>42027</v>
      </c>
      <c r="J2458" s="4">
        <v>4437.21</v>
      </c>
      <c r="K2458" s="4">
        <f t="shared" si="247"/>
        <v>44372.1</v>
      </c>
    </row>
    <row r="2459" spans="4:11" x14ac:dyDescent="0.35">
      <c r="D2459" s="1">
        <v>42065</v>
      </c>
      <c r="E2459">
        <v>2.8649</v>
      </c>
      <c r="F2459" s="1">
        <v>41723</v>
      </c>
      <c r="G2459">
        <v>123.39100000000001</v>
      </c>
      <c r="H2459" s="4">
        <f t="shared" si="246"/>
        <v>353502.87589999998</v>
      </c>
      <c r="I2459" s="5">
        <v>42026</v>
      </c>
      <c r="J2459" s="4">
        <v>4432.0600000000004</v>
      </c>
      <c r="K2459" s="4">
        <f t="shared" si="247"/>
        <v>44320.600000000006</v>
      </c>
    </row>
    <row r="2460" spans="4:11" x14ac:dyDescent="0.35">
      <c r="D2460" s="1">
        <v>42062</v>
      </c>
      <c r="E2460">
        <v>2.8776999999999999</v>
      </c>
      <c r="F2460" s="1">
        <v>41722</v>
      </c>
      <c r="G2460">
        <v>123.313</v>
      </c>
      <c r="H2460" s="4">
        <f t="shared" si="246"/>
        <v>354857.82009999995</v>
      </c>
      <c r="I2460" s="5">
        <v>42025</v>
      </c>
      <c r="J2460" s="4">
        <v>4476.6899999999996</v>
      </c>
      <c r="K2460" s="4">
        <f t="shared" si="247"/>
        <v>44766.899999999994</v>
      </c>
    </row>
    <row r="2461" spans="4:11" x14ac:dyDescent="0.35">
      <c r="D2461" s="1">
        <v>42061</v>
      </c>
      <c r="E2461">
        <v>2.8721000000000001</v>
      </c>
      <c r="F2461" s="1">
        <v>41719</v>
      </c>
      <c r="G2461">
        <v>123.51600000000001</v>
      </c>
      <c r="H2461" s="4">
        <f t="shared" si="246"/>
        <v>354750.30360000004</v>
      </c>
      <c r="I2461" s="5">
        <v>42024</v>
      </c>
      <c r="J2461" s="4">
        <v>4500.72</v>
      </c>
      <c r="K2461" s="4">
        <f t="shared" si="247"/>
        <v>45007.200000000004</v>
      </c>
    </row>
    <row r="2462" spans="4:11" x14ac:dyDescent="0.35">
      <c r="D2462" s="1">
        <v>42060</v>
      </c>
      <c r="E2462">
        <v>2.8639999999999999</v>
      </c>
      <c r="F2462" s="1">
        <v>41718</v>
      </c>
      <c r="G2462">
        <v>123.5</v>
      </c>
      <c r="H2462" s="4">
        <f t="shared" si="246"/>
        <v>353704</v>
      </c>
      <c r="I2462" s="5">
        <v>42023</v>
      </c>
      <c r="J2462" s="4">
        <v>4565.95</v>
      </c>
      <c r="K2462" s="4">
        <f t="shared" si="247"/>
        <v>45659.5</v>
      </c>
    </row>
    <row r="2463" spans="4:11" x14ac:dyDescent="0.35">
      <c r="D2463" s="1">
        <v>42059</v>
      </c>
      <c r="E2463">
        <v>2.8643000000000001</v>
      </c>
      <c r="F2463" s="1">
        <v>41717</v>
      </c>
      <c r="G2463">
        <v>123.34399999999999</v>
      </c>
      <c r="H2463" s="4">
        <f t="shared" si="246"/>
        <v>353294.21919999999</v>
      </c>
      <c r="I2463" s="5">
        <v>42020</v>
      </c>
      <c r="J2463" s="4">
        <v>4517.88</v>
      </c>
      <c r="K2463" s="4">
        <f t="shared" si="247"/>
        <v>45178.8</v>
      </c>
    </row>
    <row r="2464" spans="4:11" x14ac:dyDescent="0.35">
      <c r="D2464" s="1">
        <v>42058</v>
      </c>
      <c r="E2464">
        <v>2.8805000000000001</v>
      </c>
      <c r="F2464" s="1">
        <v>41716</v>
      </c>
      <c r="G2464">
        <v>124.28100000000001</v>
      </c>
      <c r="H2464" s="4">
        <f t="shared" si="246"/>
        <v>357991.42050000001</v>
      </c>
      <c r="I2464" s="5">
        <v>42019</v>
      </c>
      <c r="J2464" s="4">
        <v>4553.07</v>
      </c>
      <c r="K2464" s="4">
        <f t="shared" si="247"/>
        <v>45530.7</v>
      </c>
    </row>
    <row r="2465" spans="4:11" x14ac:dyDescent="0.35">
      <c r="D2465" s="1">
        <v>42055</v>
      </c>
      <c r="E2465">
        <v>2.8694000000000002</v>
      </c>
      <c r="F2465" s="1">
        <v>41715</v>
      </c>
      <c r="G2465">
        <v>124.46899999999999</v>
      </c>
      <c r="H2465" s="4">
        <f t="shared" si="246"/>
        <v>357151.34860000003</v>
      </c>
      <c r="I2465" s="5">
        <v>42018</v>
      </c>
      <c r="J2465" s="4">
        <v>4513.59</v>
      </c>
      <c r="K2465" s="4">
        <f t="shared" si="247"/>
        <v>45135.9</v>
      </c>
    </row>
    <row r="2466" spans="4:11" x14ac:dyDescent="0.35">
      <c r="D2466" s="1">
        <v>42054</v>
      </c>
      <c r="E2466">
        <v>2.8538999999999999</v>
      </c>
      <c r="F2466" s="1">
        <v>41712</v>
      </c>
      <c r="G2466">
        <v>124.78100000000001</v>
      </c>
      <c r="H2466" s="4">
        <f t="shared" si="246"/>
        <v>356112.49589999998</v>
      </c>
      <c r="I2466" s="5">
        <v>42017</v>
      </c>
      <c r="J2466" s="4">
        <v>4565.95</v>
      </c>
      <c r="K2466" s="4">
        <f t="shared" si="247"/>
        <v>45659.5</v>
      </c>
    </row>
    <row r="2467" spans="4:11" x14ac:dyDescent="0.35">
      <c r="D2467" s="1">
        <v>42053</v>
      </c>
      <c r="E2467">
        <v>2.8424</v>
      </c>
      <c r="F2467" s="1">
        <v>41711</v>
      </c>
      <c r="G2467">
        <v>124.46899999999999</v>
      </c>
      <c r="H2467" s="4">
        <f t="shared" si="246"/>
        <v>353790.68559999997</v>
      </c>
      <c r="I2467" s="5">
        <v>42016</v>
      </c>
      <c r="J2467" s="4">
        <v>4613.1499999999996</v>
      </c>
      <c r="K2467" s="4">
        <f t="shared" si="247"/>
        <v>46131.5</v>
      </c>
    </row>
    <row r="2468" spans="4:11" x14ac:dyDescent="0.35">
      <c r="D2468" s="1">
        <v>42048</v>
      </c>
      <c r="E2468">
        <v>2.8384999999999998</v>
      </c>
      <c r="F2468" s="1">
        <v>41710</v>
      </c>
      <c r="G2468">
        <v>124</v>
      </c>
      <c r="H2468" s="4">
        <f t="shared" si="246"/>
        <v>351974</v>
      </c>
      <c r="I2468" s="5">
        <v>42013</v>
      </c>
      <c r="J2468" s="4">
        <v>4543.63</v>
      </c>
      <c r="K2468" s="4">
        <f t="shared" si="247"/>
        <v>45436.3</v>
      </c>
    </row>
    <row r="2469" spans="4:11" x14ac:dyDescent="0.35">
      <c r="D2469" s="1">
        <v>42047</v>
      </c>
      <c r="E2469">
        <v>2.8618999999999999</v>
      </c>
      <c r="F2469" s="1">
        <v>41708</v>
      </c>
      <c r="G2469">
        <v>123.65600000000001</v>
      </c>
      <c r="H2469" s="4">
        <f t="shared" si="246"/>
        <v>353891.10639999999</v>
      </c>
      <c r="I2469" s="5">
        <v>42012</v>
      </c>
      <c r="J2469" s="4">
        <v>4599.42</v>
      </c>
      <c r="K2469" s="4">
        <f t="shared" si="247"/>
        <v>45994.2</v>
      </c>
    </row>
    <row r="2470" spans="4:11" x14ac:dyDescent="0.35">
      <c r="D2470" s="1">
        <v>42046</v>
      </c>
      <c r="E2470">
        <v>2.8570000000000002</v>
      </c>
      <c r="F2470" s="1">
        <v>41705</v>
      </c>
      <c r="G2470">
        <v>123.578</v>
      </c>
      <c r="H2470" s="4">
        <f t="shared" si="246"/>
        <v>353062.34600000002</v>
      </c>
      <c r="I2470" s="5">
        <v>42011</v>
      </c>
      <c r="J2470" s="4">
        <v>4636.32</v>
      </c>
      <c r="K2470" s="4">
        <f t="shared" si="247"/>
        <v>46363.199999999997</v>
      </c>
    </row>
    <row r="2471" spans="4:11" x14ac:dyDescent="0.35">
      <c r="D2471" s="1">
        <v>42045</v>
      </c>
      <c r="E2471">
        <v>2.8069000000000002</v>
      </c>
      <c r="F2471" s="1">
        <v>41704</v>
      </c>
      <c r="G2471">
        <v>124.01600000000001</v>
      </c>
      <c r="H2471" s="4">
        <f t="shared" si="246"/>
        <v>348100.51040000003</v>
      </c>
      <c r="I2471" s="5">
        <v>42010</v>
      </c>
      <c r="J2471" s="4">
        <v>4664.6499999999996</v>
      </c>
      <c r="K2471" s="4">
        <f t="shared" si="247"/>
        <v>46646.5</v>
      </c>
    </row>
    <row r="2472" spans="4:11" x14ac:dyDescent="0.35">
      <c r="D2472" s="1">
        <v>42044</v>
      </c>
      <c r="E2472">
        <v>2.7867000000000002</v>
      </c>
      <c r="F2472" s="1">
        <v>41703</v>
      </c>
      <c r="G2472">
        <v>124.313</v>
      </c>
      <c r="H2472" s="4">
        <f t="shared" si="246"/>
        <v>346423.03710000002</v>
      </c>
      <c r="I2472" s="5">
        <v>42009</v>
      </c>
      <c r="J2472" s="4">
        <v>4674.95</v>
      </c>
      <c r="K2472" s="4">
        <f t="shared" si="247"/>
        <v>46749.5</v>
      </c>
    </row>
    <row r="2473" spans="4:11" x14ac:dyDescent="0.35">
      <c r="D2473" s="1">
        <v>42041</v>
      </c>
      <c r="E2473">
        <v>2.7635000000000001</v>
      </c>
      <c r="F2473" s="1">
        <v>41697</v>
      </c>
      <c r="G2473">
        <v>126.297</v>
      </c>
      <c r="H2473" s="4">
        <f t="shared" si="246"/>
        <v>349021.75949999999</v>
      </c>
      <c r="I2473" s="5">
        <v>42006</v>
      </c>
      <c r="J2473" s="4">
        <v>4656.92</v>
      </c>
      <c r="K2473" s="4">
        <f t="shared" si="247"/>
        <v>46569.2</v>
      </c>
    </row>
    <row r="2474" spans="4:11" x14ac:dyDescent="0.35">
      <c r="D2474" s="1">
        <v>42040</v>
      </c>
      <c r="E2474">
        <v>2.738</v>
      </c>
      <c r="F2474" s="1">
        <v>41696</v>
      </c>
      <c r="G2474">
        <v>126.03100000000001</v>
      </c>
      <c r="H2474" s="4">
        <f t="shared" si="246"/>
        <v>345072.87800000003</v>
      </c>
      <c r="I2474" s="5">
        <v>42003</v>
      </c>
      <c r="J2474" s="4">
        <v>4597.7</v>
      </c>
      <c r="K2474" s="4">
        <f t="shared" si="247"/>
        <v>45977</v>
      </c>
    </row>
    <row r="2475" spans="4:11" x14ac:dyDescent="0.35">
      <c r="D2475" s="1">
        <v>42039</v>
      </c>
      <c r="E2475">
        <v>2.7141999999999999</v>
      </c>
      <c r="F2475" s="1">
        <v>41695</v>
      </c>
      <c r="G2475">
        <v>125.875</v>
      </c>
      <c r="H2475" s="4">
        <f t="shared" si="246"/>
        <v>341649.92499999999</v>
      </c>
      <c r="I2475" s="5">
        <v>42002</v>
      </c>
      <c r="J2475" s="4">
        <v>4680.95</v>
      </c>
      <c r="K2475" s="4">
        <f t="shared" si="247"/>
        <v>46809.5</v>
      </c>
    </row>
    <row r="2476" spans="4:11" x14ac:dyDescent="0.35">
      <c r="D2476" s="1">
        <v>42038</v>
      </c>
      <c r="E2476">
        <v>2.7052999999999998</v>
      </c>
      <c r="F2476" s="1">
        <v>41694</v>
      </c>
      <c r="G2476">
        <v>125.44499999999999</v>
      </c>
      <c r="H2476" s="4">
        <f t="shared" si="246"/>
        <v>339366.35849999991</v>
      </c>
      <c r="I2476" s="5">
        <v>41999</v>
      </c>
      <c r="J2476" s="4">
        <v>4618.67</v>
      </c>
      <c r="K2476" s="4">
        <f t="shared" si="247"/>
        <v>46186.7</v>
      </c>
    </row>
    <row r="2477" spans="4:11" x14ac:dyDescent="0.35">
      <c r="D2477" s="1">
        <v>42037</v>
      </c>
      <c r="E2477">
        <v>2.6888000000000001</v>
      </c>
      <c r="F2477" s="1">
        <v>41690</v>
      </c>
      <c r="G2477">
        <v>125.563</v>
      </c>
      <c r="H2477" s="4">
        <f t="shared" si="246"/>
        <v>337613.79440000001</v>
      </c>
      <c r="I2477" s="5">
        <v>41996</v>
      </c>
      <c r="J2477" s="4">
        <v>4673.17</v>
      </c>
      <c r="K2477" s="4">
        <f t="shared" si="247"/>
        <v>46731.7</v>
      </c>
    </row>
    <row r="2478" spans="4:11" x14ac:dyDescent="0.35">
      <c r="D2478" s="1">
        <v>42034</v>
      </c>
      <c r="E2478">
        <v>2.6617000000000002</v>
      </c>
      <c r="F2478" s="1">
        <v>41689</v>
      </c>
      <c r="G2478">
        <v>125.703</v>
      </c>
      <c r="H2478" s="4">
        <f t="shared" si="246"/>
        <v>334583.67510000005</v>
      </c>
      <c r="I2478" s="5">
        <v>41995</v>
      </c>
      <c r="J2478" s="4">
        <v>4615.21</v>
      </c>
      <c r="K2478" s="4">
        <f t="shared" si="247"/>
        <v>46152.1</v>
      </c>
    </row>
    <row r="2479" spans="4:11" x14ac:dyDescent="0.35">
      <c r="D2479" s="1">
        <v>42033</v>
      </c>
      <c r="E2479">
        <v>2.5954000000000002</v>
      </c>
      <c r="F2479" s="1">
        <v>41683</v>
      </c>
      <c r="G2479">
        <v>125.672</v>
      </c>
      <c r="H2479" s="4">
        <f t="shared" si="246"/>
        <v>326169.10879999999</v>
      </c>
      <c r="I2479" s="5">
        <v>41992</v>
      </c>
      <c r="J2479" s="4">
        <v>4610.88</v>
      </c>
      <c r="K2479" s="4">
        <f t="shared" si="247"/>
        <v>46108.800000000003</v>
      </c>
    </row>
    <row r="2480" spans="4:11" x14ac:dyDescent="0.35">
      <c r="D2480" s="1">
        <v>42032</v>
      </c>
      <c r="E2480">
        <v>2.5790999999999999</v>
      </c>
      <c r="F2480" s="1">
        <v>41682</v>
      </c>
      <c r="G2480">
        <v>125.25</v>
      </c>
      <c r="H2480" s="4">
        <f t="shared" si="246"/>
        <v>323032.27499999997</v>
      </c>
      <c r="I2480" s="5">
        <v>41991</v>
      </c>
      <c r="J2480" s="4">
        <v>4616.07</v>
      </c>
      <c r="K2480" s="4">
        <f t="shared" si="247"/>
        <v>46160.7</v>
      </c>
    </row>
    <row r="2481" spans="4:11" x14ac:dyDescent="0.35">
      <c r="D2481" s="1">
        <v>42031</v>
      </c>
      <c r="E2481">
        <v>2.5802999999999998</v>
      </c>
      <c r="F2481" s="1">
        <v>41681</v>
      </c>
      <c r="G2481">
        <v>125.625</v>
      </c>
      <c r="H2481" s="4">
        <f t="shared" si="246"/>
        <v>324150.18749999994</v>
      </c>
      <c r="I2481" s="5">
        <v>41990</v>
      </c>
      <c r="J2481" s="4">
        <v>4715.5600000000004</v>
      </c>
      <c r="K2481" s="4">
        <f t="shared" si="247"/>
        <v>47155.600000000006</v>
      </c>
    </row>
    <row r="2482" spans="4:11" x14ac:dyDescent="0.35">
      <c r="D2482" s="1">
        <v>42030</v>
      </c>
      <c r="E2482">
        <v>2.5960000000000001</v>
      </c>
      <c r="F2482" s="1">
        <v>41680</v>
      </c>
      <c r="G2482">
        <v>126.14100000000001</v>
      </c>
      <c r="H2482" s="4">
        <f t="shared" si="246"/>
        <v>327462.03600000002</v>
      </c>
      <c r="I2482" s="5">
        <v>41989</v>
      </c>
      <c r="J2482" s="4">
        <v>4757.95</v>
      </c>
      <c r="K2482" s="4">
        <f t="shared" si="247"/>
        <v>47579.5</v>
      </c>
    </row>
    <row r="2483" spans="4:11" x14ac:dyDescent="0.35">
      <c r="D2483" s="1">
        <v>42027</v>
      </c>
      <c r="E2483">
        <v>2.585</v>
      </c>
      <c r="F2483" s="1">
        <v>41677</v>
      </c>
      <c r="G2483">
        <v>125.922</v>
      </c>
      <c r="H2483" s="4">
        <f t="shared" si="246"/>
        <v>325508.37</v>
      </c>
      <c r="I2483" s="5">
        <v>41988</v>
      </c>
      <c r="J2483" s="4">
        <v>4681.82</v>
      </c>
      <c r="K2483" s="4">
        <f t="shared" si="247"/>
        <v>46818.2</v>
      </c>
    </row>
    <row r="2484" spans="4:11" x14ac:dyDescent="0.35">
      <c r="D2484" s="1">
        <v>42026</v>
      </c>
      <c r="E2484">
        <v>2.5748000000000002</v>
      </c>
      <c r="F2484" s="1">
        <v>41676</v>
      </c>
      <c r="G2484">
        <v>125.625</v>
      </c>
      <c r="H2484" s="4">
        <f t="shared" si="246"/>
        <v>323459.25</v>
      </c>
      <c r="I2484" s="5">
        <v>41985</v>
      </c>
      <c r="J2484" s="4">
        <v>4611.75</v>
      </c>
      <c r="K2484" s="4">
        <f t="shared" si="247"/>
        <v>46117.5</v>
      </c>
    </row>
    <row r="2485" spans="4:11" x14ac:dyDescent="0.35">
      <c r="D2485" s="1">
        <v>42025</v>
      </c>
      <c r="E2485">
        <v>2.5960999999999999</v>
      </c>
      <c r="F2485" s="1">
        <v>41675</v>
      </c>
      <c r="G2485">
        <v>126.26600000000001</v>
      </c>
      <c r="H2485" s="4">
        <f t="shared" si="246"/>
        <v>327799.16259999998</v>
      </c>
      <c r="I2485" s="5">
        <v>41984</v>
      </c>
      <c r="J2485" s="4">
        <v>4610.0200000000004</v>
      </c>
      <c r="K2485" s="4">
        <f t="shared" si="247"/>
        <v>46100.200000000004</v>
      </c>
    </row>
    <row r="2486" spans="4:11" x14ac:dyDescent="0.35">
      <c r="D2486" s="1">
        <v>42024</v>
      </c>
      <c r="E2486">
        <v>2.6240999999999999</v>
      </c>
      <c r="F2486" s="1">
        <v>41674</v>
      </c>
      <c r="G2486">
        <v>126.09399999999999</v>
      </c>
      <c r="H2486" s="4">
        <f t="shared" si="246"/>
        <v>330883.26539999997</v>
      </c>
      <c r="I2486" s="5">
        <v>41983</v>
      </c>
      <c r="J2486" s="4">
        <v>4560.71</v>
      </c>
      <c r="K2486" s="4">
        <f t="shared" si="247"/>
        <v>45607.1</v>
      </c>
    </row>
    <row r="2487" spans="4:11" x14ac:dyDescent="0.35">
      <c r="D2487" s="1">
        <v>42023</v>
      </c>
      <c r="E2487">
        <v>2.6236999999999999</v>
      </c>
      <c r="F2487" s="1">
        <v>41673</v>
      </c>
      <c r="G2487">
        <v>126.125</v>
      </c>
      <c r="H2487" s="4">
        <f t="shared" si="246"/>
        <v>330914.16249999998</v>
      </c>
      <c r="I2487" s="5">
        <v>41982</v>
      </c>
      <c r="J2487" s="4">
        <v>4517.45</v>
      </c>
      <c r="K2487" s="4">
        <f t="shared" si="247"/>
        <v>45174.5</v>
      </c>
    </row>
    <row r="2488" spans="4:11" x14ac:dyDescent="0.35">
      <c r="D2488" s="1">
        <v>42020</v>
      </c>
      <c r="E2488">
        <v>2.6187</v>
      </c>
      <c r="F2488" s="1">
        <v>41670</v>
      </c>
      <c r="G2488">
        <v>125.84399999999999</v>
      </c>
      <c r="H2488" s="4">
        <f t="shared" si="246"/>
        <v>329547.68279999995</v>
      </c>
      <c r="I2488" s="5">
        <v>41981</v>
      </c>
      <c r="J2488" s="4">
        <v>4527.83</v>
      </c>
      <c r="K2488" s="4">
        <f t="shared" si="247"/>
        <v>45278.3</v>
      </c>
    </row>
    <row r="2489" spans="4:11" x14ac:dyDescent="0.35">
      <c r="D2489" s="1">
        <v>42019</v>
      </c>
      <c r="E2489">
        <v>2.6116000000000001</v>
      </c>
      <c r="F2489" s="1">
        <v>41668</v>
      </c>
      <c r="G2489">
        <v>125.40600000000001</v>
      </c>
      <c r="H2489" s="4">
        <f t="shared" si="246"/>
        <v>327510.30960000004</v>
      </c>
      <c r="I2489" s="5">
        <v>41978</v>
      </c>
      <c r="J2489" s="4">
        <v>4506.21</v>
      </c>
      <c r="K2489" s="4">
        <f t="shared" si="247"/>
        <v>45062.1</v>
      </c>
    </row>
    <row r="2490" spans="4:11" x14ac:dyDescent="0.35">
      <c r="D2490" s="1">
        <v>42018</v>
      </c>
      <c r="E2490">
        <v>2.6215999999999999</v>
      </c>
      <c r="F2490" s="1">
        <v>41667</v>
      </c>
      <c r="G2490">
        <v>124.96899999999999</v>
      </c>
      <c r="H2490" s="4">
        <f t="shared" si="246"/>
        <v>327618.7304</v>
      </c>
      <c r="I2490" s="5">
        <v>41977</v>
      </c>
      <c r="J2490" s="4">
        <v>4518.32</v>
      </c>
      <c r="K2490" s="4">
        <f t="shared" si="247"/>
        <v>45183.199999999997</v>
      </c>
    </row>
    <row r="2491" spans="4:11" x14ac:dyDescent="0.35">
      <c r="D2491" s="1">
        <v>42017</v>
      </c>
      <c r="E2491">
        <v>2.6478999999999999</v>
      </c>
      <c r="F2491" s="1">
        <v>41666</v>
      </c>
      <c r="G2491">
        <v>124.938</v>
      </c>
      <c r="H2491" s="4">
        <f t="shared" si="246"/>
        <v>330823.33019999997</v>
      </c>
      <c r="I2491" s="5">
        <v>41976</v>
      </c>
      <c r="J2491" s="4">
        <v>4449.1099999999997</v>
      </c>
      <c r="K2491" s="4">
        <f t="shared" si="247"/>
        <v>44491.1</v>
      </c>
    </row>
    <row r="2492" spans="4:11" x14ac:dyDescent="0.35">
      <c r="D2492" s="1">
        <v>42016</v>
      </c>
      <c r="E2492">
        <v>2.6568999999999998</v>
      </c>
      <c r="F2492" s="1">
        <v>41663</v>
      </c>
      <c r="G2492">
        <v>124.98399999999999</v>
      </c>
      <c r="H2492" s="4">
        <f t="shared" si="246"/>
        <v>332069.98959999997</v>
      </c>
      <c r="I2492" s="5">
        <v>41975</v>
      </c>
      <c r="J2492" s="4">
        <v>4478.5200000000004</v>
      </c>
      <c r="K2492" s="4">
        <f t="shared" si="247"/>
        <v>44785.200000000004</v>
      </c>
    </row>
    <row r="2493" spans="4:11" x14ac:dyDescent="0.35">
      <c r="D2493" s="1">
        <v>42013</v>
      </c>
      <c r="E2493">
        <v>2.6577000000000002</v>
      </c>
      <c r="F2493" s="1">
        <v>41662</v>
      </c>
      <c r="G2493">
        <v>124.75</v>
      </c>
      <c r="H2493" s="4">
        <f t="shared" si="246"/>
        <v>331548.07500000001</v>
      </c>
      <c r="I2493" s="5">
        <v>41974</v>
      </c>
      <c r="J2493" s="4">
        <v>4465.55</v>
      </c>
      <c r="K2493" s="4">
        <f t="shared" si="247"/>
        <v>44655.5</v>
      </c>
    </row>
    <row r="2494" spans="4:11" x14ac:dyDescent="0.35">
      <c r="D2494" s="1">
        <v>42012</v>
      </c>
      <c r="E2494">
        <v>2.6913</v>
      </c>
      <c r="F2494" s="1">
        <v>41661</v>
      </c>
      <c r="G2494">
        <v>123.96899999999999</v>
      </c>
      <c r="H2494" s="4">
        <f t="shared" si="246"/>
        <v>333637.7697</v>
      </c>
      <c r="I2494" s="5">
        <v>41971</v>
      </c>
      <c r="J2494" s="4">
        <v>4475.93</v>
      </c>
      <c r="K2494" s="4">
        <f t="shared" si="247"/>
        <v>44759.3</v>
      </c>
    </row>
    <row r="2495" spans="4:11" x14ac:dyDescent="0.35">
      <c r="D2495" s="1">
        <v>42011</v>
      </c>
      <c r="E2495">
        <v>2.6800999999999999</v>
      </c>
      <c r="F2495" s="1">
        <v>41659</v>
      </c>
      <c r="G2495">
        <v>124.48399999999999</v>
      </c>
      <c r="H2495" s="4">
        <f t="shared" si="246"/>
        <v>333629.56839999999</v>
      </c>
      <c r="I2495" s="5">
        <v>41970</v>
      </c>
      <c r="J2495" s="4">
        <v>4419.7</v>
      </c>
      <c r="K2495" s="4">
        <f t="shared" si="247"/>
        <v>44197</v>
      </c>
    </row>
    <row r="2496" spans="4:11" x14ac:dyDescent="0.35">
      <c r="D2496" s="1">
        <v>42010</v>
      </c>
      <c r="E2496">
        <v>2.7016</v>
      </c>
      <c r="F2496" s="1">
        <v>41656</v>
      </c>
      <c r="G2496">
        <v>124.35899999999999</v>
      </c>
      <c r="H2496" s="4">
        <f t="shared" si="246"/>
        <v>335968.27439999999</v>
      </c>
      <c r="I2496" s="5">
        <v>41969</v>
      </c>
      <c r="J2496" s="4">
        <v>4363.04</v>
      </c>
      <c r="K2496" s="4">
        <f t="shared" si="247"/>
        <v>43630.400000000001</v>
      </c>
    </row>
    <row r="2497" spans="4:11" x14ac:dyDescent="0.35">
      <c r="D2497" s="1">
        <v>42009</v>
      </c>
      <c r="E2497">
        <v>2.7101000000000002</v>
      </c>
      <c r="F2497" s="1">
        <v>41654</v>
      </c>
      <c r="G2497">
        <v>123.828</v>
      </c>
      <c r="H2497" s="4">
        <f t="shared" si="246"/>
        <v>335586.26280000003</v>
      </c>
      <c r="I2497" s="5">
        <v>41968</v>
      </c>
      <c r="J2497" s="4">
        <v>4416.21</v>
      </c>
      <c r="K2497" s="4">
        <f t="shared" si="247"/>
        <v>44162.1</v>
      </c>
    </row>
    <row r="2498" spans="4:11" x14ac:dyDescent="0.35">
      <c r="D2498" s="1">
        <v>42006</v>
      </c>
      <c r="E2498">
        <v>2.6922999999999999</v>
      </c>
      <c r="F2498" s="1">
        <v>41653</v>
      </c>
      <c r="G2498">
        <v>124.23399999999999</v>
      </c>
      <c r="H2498" s="4">
        <f t="shared" si="246"/>
        <v>334475.19819999998</v>
      </c>
      <c r="I2498" s="5">
        <v>41967</v>
      </c>
      <c r="J2498" s="4">
        <v>4447.59</v>
      </c>
      <c r="K2498" s="4">
        <f t="shared" si="247"/>
        <v>44475.9</v>
      </c>
    </row>
    <row r="2499" spans="4:11" x14ac:dyDescent="0.35">
      <c r="D2499" s="1">
        <v>42004</v>
      </c>
      <c r="E2499">
        <v>2.6556000000000002</v>
      </c>
      <c r="F2499" s="1">
        <v>41652</v>
      </c>
      <c r="G2499">
        <v>124.53100000000001</v>
      </c>
      <c r="H2499" s="4">
        <f t="shared" si="246"/>
        <v>330704.52360000001</v>
      </c>
      <c r="I2499" s="5">
        <v>41964</v>
      </c>
      <c r="J2499" s="4">
        <v>4395.29</v>
      </c>
      <c r="K2499" s="4">
        <f t="shared" si="247"/>
        <v>43952.9</v>
      </c>
    </row>
    <row r="2500" spans="4:11" x14ac:dyDescent="0.35">
      <c r="D2500" s="1">
        <v>42003</v>
      </c>
      <c r="E2500">
        <v>2.6556000000000002</v>
      </c>
      <c r="F2500" s="1">
        <v>41649</v>
      </c>
      <c r="G2500">
        <v>124</v>
      </c>
      <c r="H2500" s="4">
        <f t="shared" ref="H2500:H2563" si="248">G2500*E2500*1000</f>
        <v>329294.40000000002</v>
      </c>
      <c r="I2500" s="5">
        <v>41962</v>
      </c>
      <c r="J2500" s="4">
        <v>4499.8999999999996</v>
      </c>
      <c r="K2500" s="4">
        <f t="shared" si="247"/>
        <v>44999</v>
      </c>
    </row>
    <row r="2501" spans="4:11" x14ac:dyDescent="0.35">
      <c r="D2501" s="1">
        <v>42002</v>
      </c>
      <c r="E2501">
        <v>2.6777000000000002</v>
      </c>
      <c r="F2501" s="1">
        <v>41647</v>
      </c>
      <c r="G2501">
        <v>123.09399999999999</v>
      </c>
      <c r="H2501" s="4">
        <f t="shared" si="248"/>
        <v>329608.80380000005</v>
      </c>
      <c r="I2501" s="5">
        <v>41961</v>
      </c>
      <c r="J2501" s="4">
        <v>4519.08</v>
      </c>
      <c r="K2501" s="4">
        <f t="shared" ref="K2501:K2564" si="249">J2501*10</f>
        <v>45190.8</v>
      </c>
    </row>
    <row r="2502" spans="4:11" x14ac:dyDescent="0.35">
      <c r="D2502" s="1">
        <v>41999</v>
      </c>
      <c r="E2502">
        <v>2.6806000000000001</v>
      </c>
      <c r="F2502" s="1">
        <v>41646</v>
      </c>
      <c r="G2502">
        <v>123.672</v>
      </c>
      <c r="H2502" s="4">
        <f t="shared" si="248"/>
        <v>331515.16320000001</v>
      </c>
      <c r="I2502" s="5">
        <v>41960</v>
      </c>
      <c r="J2502" s="4">
        <v>4567.8900000000003</v>
      </c>
      <c r="K2502" s="4">
        <f t="shared" si="249"/>
        <v>45678.9</v>
      </c>
    </row>
    <row r="2503" spans="4:11" x14ac:dyDescent="0.35">
      <c r="D2503" s="1">
        <v>41997</v>
      </c>
      <c r="E2503">
        <v>2.6821999999999999</v>
      </c>
      <c r="F2503" s="1">
        <v>41645</v>
      </c>
      <c r="G2503">
        <v>123.453</v>
      </c>
      <c r="H2503" s="4">
        <f t="shared" si="248"/>
        <v>331125.63660000003</v>
      </c>
      <c r="I2503" s="5">
        <v>41957</v>
      </c>
      <c r="J2503" s="4">
        <v>4553.95</v>
      </c>
      <c r="K2503" s="4">
        <f t="shared" si="249"/>
        <v>45539.5</v>
      </c>
    </row>
    <row r="2504" spans="4:11" x14ac:dyDescent="0.35">
      <c r="D2504" s="1">
        <v>41996</v>
      </c>
      <c r="E2504">
        <v>2.6768999999999998</v>
      </c>
      <c r="F2504" s="1">
        <v>41642</v>
      </c>
      <c r="G2504">
        <v>123.26600000000001</v>
      </c>
      <c r="H2504" s="4">
        <f t="shared" si="248"/>
        <v>329970.75539999997</v>
      </c>
      <c r="I2504" s="5">
        <v>41956</v>
      </c>
      <c r="J2504" s="4">
        <v>4535.6400000000003</v>
      </c>
      <c r="K2504" s="4">
        <f t="shared" si="249"/>
        <v>45356.4</v>
      </c>
    </row>
    <row r="2505" spans="4:11" x14ac:dyDescent="0.35">
      <c r="D2505" s="1">
        <v>41995</v>
      </c>
      <c r="E2505">
        <v>2.6520000000000001</v>
      </c>
      <c r="F2505" s="1">
        <v>41641</v>
      </c>
      <c r="G2505">
        <v>123.21899999999999</v>
      </c>
      <c r="H2505" s="4">
        <f t="shared" si="248"/>
        <v>326776.788</v>
      </c>
      <c r="I2505" s="5">
        <v>41955</v>
      </c>
      <c r="J2505" s="4">
        <v>4499.03</v>
      </c>
      <c r="K2505" s="4">
        <f t="shared" si="249"/>
        <v>44990.299999999996</v>
      </c>
    </row>
    <row r="2506" spans="4:11" x14ac:dyDescent="0.35">
      <c r="D2506" s="1">
        <v>41992</v>
      </c>
      <c r="E2506">
        <v>2.6480000000000001</v>
      </c>
      <c r="F2506" s="1">
        <v>41638</v>
      </c>
      <c r="G2506">
        <v>123.10899999999999</v>
      </c>
      <c r="H2506" s="4">
        <f t="shared" si="248"/>
        <v>325992.63200000004</v>
      </c>
      <c r="I2506" s="5">
        <v>41954</v>
      </c>
      <c r="J2506" s="4">
        <v>4479.8500000000004</v>
      </c>
      <c r="K2506" s="4">
        <f t="shared" si="249"/>
        <v>44798.5</v>
      </c>
    </row>
    <row r="2507" spans="4:11" x14ac:dyDescent="0.35">
      <c r="D2507" s="1">
        <v>41991</v>
      </c>
      <c r="E2507">
        <v>2.6669</v>
      </c>
      <c r="F2507" s="1">
        <v>41635</v>
      </c>
      <c r="G2507">
        <v>122.89100000000001</v>
      </c>
      <c r="H2507" s="4">
        <f t="shared" si="248"/>
        <v>327738.00790000003</v>
      </c>
      <c r="I2507" s="5">
        <v>41953</v>
      </c>
      <c r="J2507" s="4">
        <v>4472</v>
      </c>
      <c r="K2507" s="4">
        <f t="shared" si="249"/>
        <v>44720</v>
      </c>
    </row>
    <row r="2508" spans="4:11" x14ac:dyDescent="0.35">
      <c r="D2508" s="1">
        <v>41990</v>
      </c>
      <c r="E2508">
        <v>2.7240000000000002</v>
      </c>
      <c r="F2508" s="1">
        <v>41627</v>
      </c>
      <c r="G2508">
        <v>123.578</v>
      </c>
      <c r="H2508" s="4">
        <f t="shared" si="248"/>
        <v>336626.47200000001</v>
      </c>
      <c r="I2508" s="5">
        <v>41950</v>
      </c>
      <c r="J2508" s="4">
        <v>4485.95</v>
      </c>
      <c r="K2508" s="4">
        <f t="shared" si="249"/>
        <v>44859.5</v>
      </c>
    </row>
    <row r="2509" spans="4:11" x14ac:dyDescent="0.35">
      <c r="D2509" s="1">
        <v>41989</v>
      </c>
      <c r="E2509">
        <v>2.7397</v>
      </c>
      <c r="F2509" s="1">
        <v>41626</v>
      </c>
      <c r="G2509">
        <v>124.03100000000001</v>
      </c>
      <c r="H2509" s="4">
        <f t="shared" si="248"/>
        <v>339807.73070000001</v>
      </c>
      <c r="I2509" s="5">
        <v>41949</v>
      </c>
      <c r="J2509" s="4">
        <v>4508.62</v>
      </c>
      <c r="K2509" s="4">
        <f t="shared" si="249"/>
        <v>45086.2</v>
      </c>
    </row>
    <row r="2510" spans="4:11" x14ac:dyDescent="0.35">
      <c r="D2510" s="1">
        <v>41988</v>
      </c>
      <c r="E2510">
        <v>2.6711</v>
      </c>
      <c r="F2510" s="1">
        <v>41625</v>
      </c>
      <c r="G2510">
        <v>124.35899999999999</v>
      </c>
      <c r="H2510" s="4">
        <f t="shared" si="248"/>
        <v>332175.32489999995</v>
      </c>
      <c r="I2510" s="5">
        <v>41948</v>
      </c>
      <c r="J2510" s="4">
        <v>4402.26</v>
      </c>
      <c r="K2510" s="4">
        <f t="shared" si="249"/>
        <v>44022.600000000006</v>
      </c>
    </row>
    <row r="2511" spans="4:11" x14ac:dyDescent="0.35">
      <c r="D2511" s="1">
        <v>41985</v>
      </c>
      <c r="E2511">
        <v>2.6551999999999998</v>
      </c>
      <c r="F2511" s="1">
        <v>41624</v>
      </c>
      <c r="G2511">
        <v>124.375</v>
      </c>
      <c r="H2511" s="4">
        <f t="shared" si="248"/>
        <v>330240.5</v>
      </c>
      <c r="I2511" s="5">
        <v>41947</v>
      </c>
      <c r="J2511" s="4">
        <v>4382.21</v>
      </c>
      <c r="K2511" s="4">
        <f t="shared" si="249"/>
        <v>43822.1</v>
      </c>
    </row>
    <row r="2512" spans="4:11" x14ac:dyDescent="0.35">
      <c r="D2512" s="1">
        <v>41984</v>
      </c>
      <c r="E2512">
        <v>2.6265000000000001</v>
      </c>
      <c r="F2512" s="1">
        <v>41621</v>
      </c>
      <c r="G2512">
        <v>124.34399999999999</v>
      </c>
      <c r="H2512" s="4">
        <f t="shared" si="248"/>
        <v>326589.516</v>
      </c>
      <c r="I2512" s="5">
        <v>41946</v>
      </c>
      <c r="J2512" s="4">
        <v>4384.83</v>
      </c>
      <c r="K2512" s="4">
        <f t="shared" si="249"/>
        <v>43848.3</v>
      </c>
    </row>
    <row r="2513" spans="4:11" x14ac:dyDescent="0.35">
      <c r="D2513" s="1">
        <v>41983</v>
      </c>
      <c r="E2513">
        <v>2.5924999999999998</v>
      </c>
      <c r="F2513" s="1">
        <v>41618</v>
      </c>
      <c r="G2513">
        <v>124.78100000000001</v>
      </c>
      <c r="H2513" s="4">
        <f t="shared" si="248"/>
        <v>323494.74249999999</v>
      </c>
      <c r="I2513" s="5">
        <v>41943</v>
      </c>
      <c r="J2513" s="4">
        <v>4348.22</v>
      </c>
      <c r="K2513" s="4">
        <f t="shared" si="249"/>
        <v>43482.200000000004</v>
      </c>
    </row>
    <row r="2514" spans="4:11" x14ac:dyDescent="0.35">
      <c r="D2514" s="1">
        <v>41982</v>
      </c>
      <c r="E2514">
        <v>2.601</v>
      </c>
      <c r="F2514" s="1">
        <v>41617</v>
      </c>
      <c r="G2514">
        <v>124.563</v>
      </c>
      <c r="H2514" s="4">
        <f t="shared" si="248"/>
        <v>323988.36300000001</v>
      </c>
      <c r="I2514" s="5">
        <v>41942</v>
      </c>
      <c r="J2514" s="4">
        <v>4220.9399999999996</v>
      </c>
      <c r="K2514" s="4">
        <f t="shared" si="249"/>
        <v>42209.399999999994</v>
      </c>
    </row>
    <row r="2515" spans="4:11" x14ac:dyDescent="0.35">
      <c r="D2515" s="1">
        <v>41981</v>
      </c>
      <c r="E2515">
        <v>2.5916999999999999</v>
      </c>
      <c r="F2515" s="1">
        <v>41614</v>
      </c>
      <c r="G2515">
        <v>124.28100000000001</v>
      </c>
      <c r="H2515" s="4">
        <f t="shared" si="248"/>
        <v>322099.06769999996</v>
      </c>
      <c r="I2515" s="5">
        <v>41941</v>
      </c>
      <c r="J2515" s="4">
        <v>4331.6499999999996</v>
      </c>
      <c r="K2515" s="4">
        <f t="shared" si="249"/>
        <v>43316.5</v>
      </c>
    </row>
    <row r="2516" spans="4:11" x14ac:dyDescent="0.35">
      <c r="D2516" s="1">
        <v>41978</v>
      </c>
      <c r="E2516">
        <v>2.5882000000000001</v>
      </c>
      <c r="F2516" s="1">
        <v>41613</v>
      </c>
      <c r="G2516">
        <v>124.297</v>
      </c>
      <c r="H2516" s="4">
        <f t="shared" si="248"/>
        <v>321705.49540000001</v>
      </c>
      <c r="I2516" s="5">
        <v>41940</v>
      </c>
      <c r="J2516" s="4">
        <v>4329.8900000000003</v>
      </c>
      <c r="K2516" s="4">
        <f t="shared" si="249"/>
        <v>43298.9</v>
      </c>
    </row>
    <row r="2517" spans="4:11" x14ac:dyDescent="0.35">
      <c r="D2517" s="1">
        <v>41977</v>
      </c>
      <c r="E2517">
        <v>2.5790999999999999</v>
      </c>
      <c r="F2517" s="1">
        <v>41612</v>
      </c>
      <c r="G2517">
        <v>124.563</v>
      </c>
      <c r="H2517" s="4">
        <f t="shared" si="248"/>
        <v>321260.43329999998</v>
      </c>
      <c r="I2517" s="5">
        <v>41939</v>
      </c>
      <c r="J2517" s="4">
        <v>4437.09</v>
      </c>
      <c r="K2517" s="4">
        <f t="shared" si="249"/>
        <v>44370.9</v>
      </c>
    </row>
    <row r="2518" spans="4:11" x14ac:dyDescent="0.35">
      <c r="D2518" s="1">
        <v>41976</v>
      </c>
      <c r="E2518">
        <v>2.5600999999999998</v>
      </c>
      <c r="F2518" s="1">
        <v>41611</v>
      </c>
      <c r="G2518">
        <v>125.125</v>
      </c>
      <c r="H2518" s="4">
        <f t="shared" si="248"/>
        <v>320332.51249999995</v>
      </c>
      <c r="I2518" s="5">
        <v>41936</v>
      </c>
      <c r="J2518" s="4">
        <v>4358.01</v>
      </c>
      <c r="K2518" s="4">
        <f t="shared" si="249"/>
        <v>43580.100000000006</v>
      </c>
    </row>
    <row r="2519" spans="4:11" x14ac:dyDescent="0.35">
      <c r="D2519" s="1">
        <v>41975</v>
      </c>
      <c r="E2519">
        <v>2.5657999999999999</v>
      </c>
      <c r="F2519" s="1">
        <v>41610</v>
      </c>
      <c r="G2519">
        <v>124.828</v>
      </c>
      <c r="H2519" s="4">
        <f t="shared" si="248"/>
        <v>320283.68239999999</v>
      </c>
      <c r="I2519" s="5">
        <v>41935</v>
      </c>
      <c r="J2519" s="4">
        <v>4401.9399999999996</v>
      </c>
      <c r="K2519" s="4">
        <f t="shared" si="249"/>
        <v>44019.399999999994</v>
      </c>
    </row>
    <row r="2520" spans="4:11" x14ac:dyDescent="0.35">
      <c r="D2520" s="1">
        <v>41974</v>
      </c>
      <c r="E2520">
        <v>2.5617999999999999</v>
      </c>
      <c r="F2520" s="1">
        <v>41607</v>
      </c>
      <c r="G2520">
        <v>125.297</v>
      </c>
      <c r="H2520" s="4">
        <f t="shared" si="248"/>
        <v>320985.85459999996</v>
      </c>
      <c r="I2520" s="5">
        <v>41934</v>
      </c>
      <c r="J2520" s="4">
        <v>4383.49</v>
      </c>
      <c r="K2520" s="4">
        <f t="shared" si="249"/>
        <v>43834.899999999994</v>
      </c>
    </row>
    <row r="2521" spans="4:11" x14ac:dyDescent="0.35">
      <c r="D2521" s="1">
        <v>41971</v>
      </c>
      <c r="E2521">
        <v>2.5594999999999999</v>
      </c>
      <c r="F2521" s="1">
        <v>41606</v>
      </c>
      <c r="G2521">
        <v>126.875</v>
      </c>
      <c r="H2521" s="4">
        <f t="shared" si="248"/>
        <v>324736.5625</v>
      </c>
      <c r="I2521" s="5">
        <v>41933</v>
      </c>
      <c r="J2521" s="4">
        <v>4377.34</v>
      </c>
      <c r="K2521" s="4">
        <f t="shared" si="249"/>
        <v>43773.4</v>
      </c>
    </row>
    <row r="2522" spans="4:11" x14ac:dyDescent="0.35">
      <c r="D2522" s="1">
        <v>41970</v>
      </c>
      <c r="E2522">
        <v>2.5059</v>
      </c>
      <c r="F2522" s="1">
        <v>41605</v>
      </c>
      <c r="G2522">
        <v>126.5</v>
      </c>
      <c r="H2522" s="4">
        <f t="shared" si="248"/>
        <v>316996.35000000003</v>
      </c>
      <c r="I2522" s="5">
        <v>41932</v>
      </c>
      <c r="J2522" s="4">
        <v>4345.71</v>
      </c>
      <c r="K2522" s="4">
        <f t="shared" si="249"/>
        <v>43457.1</v>
      </c>
    </row>
    <row r="2523" spans="4:11" x14ac:dyDescent="0.35">
      <c r="D2523" s="1">
        <v>41969</v>
      </c>
      <c r="E2523">
        <v>2.5097</v>
      </c>
      <c r="F2523" s="1">
        <v>41604</v>
      </c>
      <c r="G2523">
        <v>126.747</v>
      </c>
      <c r="H2523" s="4">
        <f t="shared" si="248"/>
        <v>318096.94589999999</v>
      </c>
      <c r="I2523" s="5">
        <v>41929</v>
      </c>
      <c r="J2523" s="4">
        <v>4297.38</v>
      </c>
      <c r="K2523" s="4">
        <f t="shared" si="249"/>
        <v>42973.8</v>
      </c>
    </row>
    <row r="2524" spans="4:11" x14ac:dyDescent="0.35">
      <c r="D2524" s="1">
        <v>41968</v>
      </c>
      <c r="E2524">
        <v>2.5230000000000001</v>
      </c>
      <c r="F2524" s="1">
        <v>41603</v>
      </c>
      <c r="G2524">
        <v>126.65600000000001</v>
      </c>
      <c r="H2524" s="4">
        <f t="shared" si="248"/>
        <v>319553.08800000005</v>
      </c>
      <c r="I2524" s="5">
        <v>41928</v>
      </c>
      <c r="J2524" s="4">
        <v>4366.8</v>
      </c>
      <c r="K2524" s="4">
        <f t="shared" si="249"/>
        <v>43668</v>
      </c>
    </row>
    <row r="2525" spans="4:11" x14ac:dyDescent="0.35">
      <c r="D2525" s="1">
        <v>41967</v>
      </c>
      <c r="E2525">
        <v>2.5276000000000001</v>
      </c>
      <c r="F2525" s="1">
        <v>41600</v>
      </c>
      <c r="G2525">
        <v>126.5</v>
      </c>
      <c r="H2525" s="4">
        <f t="shared" si="248"/>
        <v>319741.40000000002</v>
      </c>
      <c r="I2525" s="5">
        <v>41927</v>
      </c>
      <c r="J2525" s="4">
        <v>4333.41</v>
      </c>
      <c r="K2525" s="4">
        <f t="shared" si="249"/>
        <v>43334.1</v>
      </c>
    </row>
    <row r="2526" spans="4:11" x14ac:dyDescent="0.35">
      <c r="D2526" s="1">
        <v>41964</v>
      </c>
      <c r="E2526">
        <v>2.5384000000000002</v>
      </c>
      <c r="F2526" s="1">
        <v>41599</v>
      </c>
      <c r="G2526">
        <v>126.188</v>
      </c>
      <c r="H2526" s="4">
        <f t="shared" si="248"/>
        <v>320315.61920000002</v>
      </c>
      <c r="I2526" s="5">
        <v>41926</v>
      </c>
      <c r="J2526" s="4">
        <v>4242.91</v>
      </c>
      <c r="K2526" s="4">
        <f t="shared" si="249"/>
        <v>42429.1</v>
      </c>
    </row>
    <row r="2527" spans="4:11" x14ac:dyDescent="0.35">
      <c r="D2527" s="1">
        <v>41963</v>
      </c>
      <c r="E2527">
        <v>2.544</v>
      </c>
      <c r="F2527" s="1">
        <v>41597</v>
      </c>
      <c r="G2527">
        <v>127.14100000000001</v>
      </c>
      <c r="H2527" s="4">
        <f t="shared" si="248"/>
        <v>323446.70400000003</v>
      </c>
      <c r="I2527" s="5">
        <v>41925</v>
      </c>
      <c r="J2527" s="4">
        <v>4227.97</v>
      </c>
      <c r="K2527" s="4">
        <f t="shared" si="249"/>
        <v>42279.700000000004</v>
      </c>
    </row>
    <row r="2528" spans="4:11" x14ac:dyDescent="0.35">
      <c r="D2528" s="1">
        <v>41962</v>
      </c>
      <c r="E2528">
        <v>2.5842999999999998</v>
      </c>
      <c r="F2528" s="1">
        <v>41592</v>
      </c>
      <c r="G2528">
        <v>126.65600000000001</v>
      </c>
      <c r="H2528" s="4">
        <f t="shared" si="248"/>
        <v>327317.10080000001</v>
      </c>
      <c r="I2528" s="5">
        <v>41922</v>
      </c>
      <c r="J2528" s="4">
        <v>4291.2299999999996</v>
      </c>
      <c r="K2528" s="4">
        <f t="shared" si="249"/>
        <v>42912.299999999996</v>
      </c>
    </row>
    <row r="2529" spans="4:11" x14ac:dyDescent="0.35">
      <c r="D2529" s="1">
        <v>41961</v>
      </c>
      <c r="E2529">
        <v>2.5960999999999999</v>
      </c>
      <c r="F2529" s="1">
        <v>41591</v>
      </c>
      <c r="G2529">
        <v>126.25</v>
      </c>
      <c r="H2529" s="4">
        <f t="shared" si="248"/>
        <v>327757.62499999994</v>
      </c>
      <c r="I2529" s="5">
        <v>41921</v>
      </c>
      <c r="J2529" s="4">
        <v>4240.2700000000004</v>
      </c>
      <c r="K2529" s="4">
        <f t="shared" si="249"/>
        <v>42402.700000000004</v>
      </c>
    </row>
    <row r="2530" spans="4:11" x14ac:dyDescent="0.35">
      <c r="D2530" s="1">
        <v>41960</v>
      </c>
      <c r="E2530">
        <v>2.6029</v>
      </c>
      <c r="F2530" s="1">
        <v>41590</v>
      </c>
      <c r="G2530">
        <v>125.90600000000001</v>
      </c>
      <c r="H2530" s="4">
        <f t="shared" si="248"/>
        <v>327720.72739999997</v>
      </c>
      <c r="I2530" s="5">
        <v>41920</v>
      </c>
      <c r="J2530" s="4">
        <v>4205.13</v>
      </c>
      <c r="K2530" s="4">
        <f t="shared" si="249"/>
        <v>42051.3</v>
      </c>
    </row>
    <row r="2531" spans="4:11" x14ac:dyDescent="0.35">
      <c r="D2531" s="1">
        <v>41957</v>
      </c>
      <c r="E2531">
        <v>2.6128999999999998</v>
      </c>
      <c r="F2531" s="1">
        <v>41589</v>
      </c>
      <c r="G2531">
        <v>125.828</v>
      </c>
      <c r="H2531" s="4">
        <f t="shared" si="248"/>
        <v>328775.98119999998</v>
      </c>
      <c r="I2531" s="5">
        <v>41919</v>
      </c>
      <c r="J2531" s="4">
        <v>4247.3</v>
      </c>
      <c r="K2531" s="4">
        <f t="shared" si="249"/>
        <v>42473</v>
      </c>
    </row>
    <row r="2532" spans="4:11" x14ac:dyDescent="0.35">
      <c r="D2532" s="1">
        <v>41956</v>
      </c>
      <c r="E2532">
        <v>2.5718999999999999</v>
      </c>
      <c r="F2532" s="1">
        <v>41586</v>
      </c>
      <c r="G2532">
        <v>126.203</v>
      </c>
      <c r="H2532" s="4">
        <f t="shared" si="248"/>
        <v>324581.49570000003</v>
      </c>
      <c r="I2532" s="5">
        <v>41918</v>
      </c>
      <c r="J2532" s="4">
        <v>4296.51</v>
      </c>
      <c r="K2532" s="4">
        <f t="shared" si="249"/>
        <v>42965.100000000006</v>
      </c>
    </row>
    <row r="2533" spans="4:11" x14ac:dyDescent="0.35">
      <c r="D2533" s="1">
        <v>41955</v>
      </c>
      <c r="E2533">
        <v>2.5543999999999998</v>
      </c>
      <c r="F2533" s="1">
        <v>41585</v>
      </c>
      <c r="G2533">
        <v>127.25</v>
      </c>
      <c r="H2533" s="4">
        <f t="shared" si="248"/>
        <v>325047.39999999997</v>
      </c>
      <c r="I2533" s="5">
        <v>41915</v>
      </c>
      <c r="J2533" s="4">
        <v>4358.01</v>
      </c>
      <c r="K2533" s="4">
        <f t="shared" si="249"/>
        <v>43580.100000000006</v>
      </c>
    </row>
    <row r="2534" spans="4:11" x14ac:dyDescent="0.35">
      <c r="D2534" s="1">
        <v>41954</v>
      </c>
      <c r="E2534">
        <v>2.5638000000000001</v>
      </c>
      <c r="F2534" s="1">
        <v>41584</v>
      </c>
      <c r="G2534">
        <v>126.875</v>
      </c>
      <c r="H2534" s="4">
        <f t="shared" si="248"/>
        <v>325282.125</v>
      </c>
      <c r="I2534" s="5">
        <v>41914</v>
      </c>
      <c r="J2534" s="4">
        <v>4423.03</v>
      </c>
      <c r="K2534" s="4">
        <f t="shared" si="249"/>
        <v>44230.299999999996</v>
      </c>
    </row>
    <row r="2535" spans="4:11" x14ac:dyDescent="0.35">
      <c r="D2535" s="1">
        <v>41953</v>
      </c>
      <c r="E2535">
        <v>2.5384000000000002</v>
      </c>
      <c r="F2535" s="1">
        <v>41583</v>
      </c>
      <c r="G2535">
        <v>126.53100000000001</v>
      </c>
      <c r="H2535" s="4">
        <f t="shared" si="248"/>
        <v>321186.2904</v>
      </c>
      <c r="I2535" s="5">
        <v>41913</v>
      </c>
      <c r="J2535" s="4">
        <v>4396.67</v>
      </c>
      <c r="K2535" s="4">
        <f t="shared" si="249"/>
        <v>43966.7</v>
      </c>
    </row>
    <row r="2536" spans="4:11" x14ac:dyDescent="0.35">
      <c r="D2536" s="1">
        <v>41950</v>
      </c>
      <c r="E2536">
        <v>2.5714999999999999</v>
      </c>
      <c r="F2536" s="1">
        <v>41582</v>
      </c>
      <c r="G2536">
        <v>126.90600000000001</v>
      </c>
      <c r="H2536" s="4">
        <f t="shared" si="248"/>
        <v>326338.77899999998</v>
      </c>
      <c r="I2536" s="5">
        <v>41912</v>
      </c>
      <c r="J2536" s="4">
        <v>4335.17</v>
      </c>
      <c r="K2536" s="4">
        <f t="shared" si="249"/>
        <v>43351.7</v>
      </c>
    </row>
    <row r="2537" spans="4:11" x14ac:dyDescent="0.35">
      <c r="D2537" s="1">
        <v>41949</v>
      </c>
      <c r="E2537">
        <v>2.5318999999999998</v>
      </c>
      <c r="F2537" s="1">
        <v>41579</v>
      </c>
      <c r="G2537">
        <v>127.01600000000001</v>
      </c>
      <c r="H2537" s="4">
        <f t="shared" si="248"/>
        <v>321591.81039999996</v>
      </c>
      <c r="I2537" s="5">
        <v>41911</v>
      </c>
      <c r="J2537" s="4">
        <v>4342.1899999999996</v>
      </c>
      <c r="K2537" s="4">
        <f t="shared" si="249"/>
        <v>43421.899999999994</v>
      </c>
    </row>
    <row r="2538" spans="4:11" x14ac:dyDescent="0.35">
      <c r="D2538" s="1">
        <v>41948</v>
      </c>
      <c r="E2538">
        <v>2.5162</v>
      </c>
      <c r="F2538" s="1">
        <v>41578</v>
      </c>
      <c r="G2538">
        <v>127.73399999999999</v>
      </c>
      <c r="H2538" s="4">
        <f t="shared" si="248"/>
        <v>321404.29080000002</v>
      </c>
      <c r="I2538" s="5">
        <v>41908</v>
      </c>
      <c r="J2538" s="4">
        <v>4297.88</v>
      </c>
      <c r="K2538" s="4">
        <f t="shared" si="249"/>
        <v>42978.8</v>
      </c>
    </row>
    <row r="2539" spans="4:11" x14ac:dyDescent="0.35">
      <c r="D2539" s="1">
        <v>41947</v>
      </c>
      <c r="E2539">
        <v>2.5188999999999999</v>
      </c>
      <c r="F2539" s="1">
        <v>41577</v>
      </c>
      <c r="G2539">
        <v>127.5</v>
      </c>
      <c r="H2539" s="4">
        <f t="shared" si="248"/>
        <v>321159.75</v>
      </c>
      <c r="I2539" s="5">
        <v>41907</v>
      </c>
      <c r="J2539" s="4">
        <v>4308.51</v>
      </c>
      <c r="K2539" s="4">
        <f t="shared" si="249"/>
        <v>43085.100000000006</v>
      </c>
    </row>
    <row r="2540" spans="4:11" x14ac:dyDescent="0.35">
      <c r="D2540" s="1">
        <v>41946</v>
      </c>
      <c r="E2540">
        <v>2.4832999999999998</v>
      </c>
      <c r="F2540" s="1">
        <v>41576</v>
      </c>
      <c r="G2540">
        <v>127.5</v>
      </c>
      <c r="H2540" s="4">
        <f t="shared" si="248"/>
        <v>316620.75</v>
      </c>
      <c r="I2540" s="5">
        <v>41906</v>
      </c>
      <c r="J2540" s="4">
        <v>4231.3999999999996</v>
      </c>
      <c r="K2540" s="4">
        <f t="shared" si="249"/>
        <v>42314</v>
      </c>
    </row>
    <row r="2541" spans="4:11" x14ac:dyDescent="0.35">
      <c r="D2541" s="1">
        <v>41943</v>
      </c>
      <c r="E2541">
        <v>2.4436</v>
      </c>
      <c r="F2541" s="1">
        <v>41575</v>
      </c>
      <c r="G2541">
        <v>127.65600000000001</v>
      </c>
      <c r="H2541" s="4">
        <f t="shared" si="248"/>
        <v>311940.20160000003</v>
      </c>
      <c r="I2541" s="5">
        <v>41905</v>
      </c>
      <c r="J2541" s="4">
        <v>4283.7</v>
      </c>
      <c r="K2541" s="4">
        <f t="shared" si="249"/>
        <v>42837</v>
      </c>
    </row>
    <row r="2542" spans="4:11" x14ac:dyDescent="0.35">
      <c r="D2542" s="1">
        <v>41942</v>
      </c>
      <c r="E2542">
        <v>2.4113000000000002</v>
      </c>
      <c r="F2542" s="1">
        <v>41572</v>
      </c>
      <c r="G2542">
        <v>127.563</v>
      </c>
      <c r="H2542" s="4">
        <f t="shared" si="248"/>
        <v>307592.66190000006</v>
      </c>
      <c r="I2542" s="5">
        <v>41904</v>
      </c>
      <c r="J2542" s="4">
        <v>4263.3100000000004</v>
      </c>
      <c r="K2542" s="4">
        <f t="shared" si="249"/>
        <v>42633.100000000006</v>
      </c>
    </row>
    <row r="2543" spans="4:11" x14ac:dyDescent="0.35">
      <c r="D2543" s="1">
        <v>41941</v>
      </c>
      <c r="E2543">
        <v>2.4340000000000002</v>
      </c>
      <c r="F2543" s="1">
        <v>41571</v>
      </c>
      <c r="G2543">
        <v>127.375</v>
      </c>
      <c r="H2543" s="4">
        <f t="shared" si="248"/>
        <v>310030.75</v>
      </c>
      <c r="I2543" s="5">
        <v>41901</v>
      </c>
      <c r="J2543" s="4">
        <v>4211.0200000000004</v>
      </c>
      <c r="K2543" s="4">
        <f t="shared" si="249"/>
        <v>42110.200000000004</v>
      </c>
    </row>
    <row r="2544" spans="4:11" x14ac:dyDescent="0.35">
      <c r="D2544" s="1">
        <v>41940</v>
      </c>
      <c r="E2544">
        <v>2.4863</v>
      </c>
      <c r="F2544" s="1">
        <v>41570</v>
      </c>
      <c r="G2544">
        <v>127.65600000000001</v>
      </c>
      <c r="H2544" s="4">
        <f t="shared" si="248"/>
        <v>317391.1128</v>
      </c>
      <c r="I2544" s="5">
        <v>41900</v>
      </c>
      <c r="J2544" s="4">
        <v>4206.58</v>
      </c>
      <c r="K2544" s="4">
        <f t="shared" si="249"/>
        <v>42065.8</v>
      </c>
    </row>
    <row r="2545" spans="4:11" x14ac:dyDescent="0.35">
      <c r="D2545" s="1">
        <v>41939</v>
      </c>
      <c r="E2545">
        <v>2.5335000000000001</v>
      </c>
      <c r="F2545" s="1">
        <v>41569</v>
      </c>
      <c r="G2545">
        <v>127.313</v>
      </c>
      <c r="H2545" s="4">
        <f t="shared" si="248"/>
        <v>322547.48550000001</v>
      </c>
      <c r="I2545" s="5">
        <v>41899</v>
      </c>
      <c r="J2545" s="4">
        <v>4197.72</v>
      </c>
      <c r="K2545" s="4">
        <f t="shared" si="249"/>
        <v>41977.200000000004</v>
      </c>
    </row>
    <row r="2546" spans="4:11" x14ac:dyDescent="0.35">
      <c r="D2546" s="1">
        <v>41936</v>
      </c>
      <c r="E2546">
        <v>2.4799000000000002</v>
      </c>
      <c r="F2546" s="1">
        <v>41565</v>
      </c>
      <c r="G2546">
        <v>127.03100000000001</v>
      </c>
      <c r="H2546" s="4">
        <f t="shared" si="248"/>
        <v>315024.17690000002</v>
      </c>
      <c r="I2546" s="5">
        <v>41898</v>
      </c>
      <c r="J2546" s="4">
        <v>4156.95</v>
      </c>
      <c r="K2546" s="4">
        <f t="shared" si="249"/>
        <v>41569.5</v>
      </c>
    </row>
    <row r="2547" spans="4:11" x14ac:dyDescent="0.35">
      <c r="D2547" s="1">
        <v>41935</v>
      </c>
      <c r="E2547">
        <v>2.4998</v>
      </c>
      <c r="F2547" s="1">
        <v>41564</v>
      </c>
      <c r="G2547">
        <v>126.85899999999999</v>
      </c>
      <c r="H2547" s="4">
        <f t="shared" si="248"/>
        <v>317122.12819999998</v>
      </c>
      <c r="I2547" s="5">
        <v>41897</v>
      </c>
      <c r="J2547" s="4">
        <v>4170.24</v>
      </c>
      <c r="K2547" s="4">
        <f t="shared" si="249"/>
        <v>41702.399999999994</v>
      </c>
    </row>
    <row r="2548" spans="4:11" x14ac:dyDescent="0.35">
      <c r="D2548" s="1">
        <v>41934</v>
      </c>
      <c r="E2548">
        <v>2.4775</v>
      </c>
      <c r="F2548" s="1">
        <v>41562</v>
      </c>
      <c r="G2548">
        <v>125.875</v>
      </c>
      <c r="H2548" s="4">
        <f t="shared" si="248"/>
        <v>311855.3125</v>
      </c>
      <c r="I2548" s="5">
        <v>41894</v>
      </c>
      <c r="J2548" s="4">
        <v>4168.47</v>
      </c>
      <c r="K2548" s="4">
        <f t="shared" si="249"/>
        <v>41684.700000000004</v>
      </c>
    </row>
    <row r="2549" spans="4:11" x14ac:dyDescent="0.35">
      <c r="D2549" s="1">
        <v>41933</v>
      </c>
      <c r="E2549">
        <v>2.4790999999999999</v>
      </c>
      <c r="F2549" s="1">
        <v>41556</v>
      </c>
      <c r="G2549">
        <v>126.15600000000001</v>
      </c>
      <c r="H2549" s="4">
        <f t="shared" si="248"/>
        <v>312753.33960000001</v>
      </c>
      <c r="I2549" s="5">
        <v>41893</v>
      </c>
      <c r="J2549" s="4">
        <v>4096.68</v>
      </c>
      <c r="K2549" s="4">
        <f t="shared" si="249"/>
        <v>40966.800000000003</v>
      </c>
    </row>
    <row r="2550" spans="4:11" x14ac:dyDescent="0.35">
      <c r="D2550" s="1">
        <v>41932</v>
      </c>
      <c r="E2550">
        <v>2.4548000000000001</v>
      </c>
      <c r="F2550" s="1">
        <v>41551</v>
      </c>
      <c r="G2550">
        <v>126.28100000000001</v>
      </c>
      <c r="H2550" s="4">
        <f t="shared" si="248"/>
        <v>309994.59879999998</v>
      </c>
      <c r="I2550" s="5">
        <v>41892</v>
      </c>
      <c r="J2550" s="4">
        <v>4078.06</v>
      </c>
      <c r="K2550" s="4">
        <f t="shared" si="249"/>
        <v>40780.6</v>
      </c>
    </row>
    <row r="2551" spans="4:11" x14ac:dyDescent="0.35">
      <c r="D2551" s="1">
        <v>41929</v>
      </c>
      <c r="E2551">
        <v>2.4470000000000001</v>
      </c>
      <c r="F2551" s="1">
        <v>41550</v>
      </c>
      <c r="G2551">
        <v>126.813</v>
      </c>
      <c r="H2551" s="4">
        <f t="shared" si="248"/>
        <v>310311.41100000002</v>
      </c>
      <c r="I2551" s="5">
        <v>41891</v>
      </c>
      <c r="J2551" s="4">
        <v>4075.41</v>
      </c>
      <c r="K2551" s="4">
        <f t="shared" si="249"/>
        <v>40754.1</v>
      </c>
    </row>
    <row r="2552" spans="4:11" x14ac:dyDescent="0.35">
      <c r="D2552" s="1">
        <v>41928</v>
      </c>
      <c r="E2552">
        <v>2.4763000000000002</v>
      </c>
      <c r="F2552" s="1">
        <v>41544</v>
      </c>
      <c r="G2552">
        <v>126.23399999999999</v>
      </c>
      <c r="H2552" s="4">
        <f t="shared" si="248"/>
        <v>312593.25419999997</v>
      </c>
      <c r="I2552" s="5">
        <v>41890</v>
      </c>
      <c r="J2552" s="4">
        <v>4046.16</v>
      </c>
      <c r="K2552" s="4">
        <f t="shared" si="249"/>
        <v>40461.599999999999</v>
      </c>
    </row>
    <row r="2553" spans="4:11" x14ac:dyDescent="0.35">
      <c r="D2553" s="1">
        <v>41927</v>
      </c>
      <c r="E2553">
        <v>2.431</v>
      </c>
      <c r="F2553" s="1">
        <v>41543</v>
      </c>
      <c r="G2553">
        <v>125.953</v>
      </c>
      <c r="H2553" s="4">
        <f t="shared" si="248"/>
        <v>306191.74300000002</v>
      </c>
      <c r="I2553" s="5">
        <v>41887</v>
      </c>
      <c r="J2553" s="4">
        <v>4002.73</v>
      </c>
      <c r="K2553" s="4">
        <f t="shared" si="249"/>
        <v>40027.300000000003</v>
      </c>
    </row>
    <row r="2554" spans="4:11" x14ac:dyDescent="0.35">
      <c r="D2554" s="1">
        <v>41926</v>
      </c>
      <c r="E2554">
        <v>2.3984999999999999</v>
      </c>
      <c r="F2554" s="1">
        <v>41542</v>
      </c>
      <c r="G2554">
        <v>126.10899999999999</v>
      </c>
      <c r="H2554" s="4">
        <f t="shared" si="248"/>
        <v>302472.43649999995</v>
      </c>
      <c r="I2554" s="5">
        <v>41886</v>
      </c>
      <c r="J2554" s="4">
        <v>4000.95</v>
      </c>
      <c r="K2554" s="4">
        <f t="shared" si="249"/>
        <v>40009.5</v>
      </c>
    </row>
    <row r="2555" spans="4:11" x14ac:dyDescent="0.35">
      <c r="D2555" s="1">
        <v>41925</v>
      </c>
      <c r="E2555">
        <v>2.3917000000000002</v>
      </c>
      <c r="F2555" s="1">
        <v>41541</v>
      </c>
      <c r="G2555">
        <v>125.98399999999999</v>
      </c>
      <c r="H2555" s="4">
        <f t="shared" si="248"/>
        <v>301315.93280000001</v>
      </c>
      <c r="I2555" s="5">
        <v>41885</v>
      </c>
      <c r="J2555" s="4">
        <v>3993.86</v>
      </c>
      <c r="K2555" s="4">
        <f t="shared" si="249"/>
        <v>39938.6</v>
      </c>
    </row>
    <row r="2556" spans="4:11" x14ac:dyDescent="0.35">
      <c r="D2556" s="1">
        <v>41922</v>
      </c>
      <c r="E2556">
        <v>2.4096000000000002</v>
      </c>
      <c r="F2556" s="1">
        <v>41537</v>
      </c>
      <c r="G2556">
        <v>125.328</v>
      </c>
      <c r="H2556" s="4">
        <f t="shared" si="248"/>
        <v>301990.34880000004</v>
      </c>
      <c r="I2556" s="5">
        <v>41884</v>
      </c>
      <c r="J2556" s="4">
        <v>4009.82</v>
      </c>
      <c r="K2556" s="4">
        <f t="shared" si="249"/>
        <v>40098.200000000004</v>
      </c>
    </row>
    <row r="2557" spans="4:11" x14ac:dyDescent="0.35">
      <c r="D2557" s="1">
        <v>41921</v>
      </c>
      <c r="E2557">
        <v>2.3908</v>
      </c>
      <c r="F2557" s="1">
        <v>41536</v>
      </c>
      <c r="G2557">
        <v>125.32</v>
      </c>
      <c r="H2557" s="4">
        <f t="shared" si="248"/>
        <v>299615.05599999998</v>
      </c>
      <c r="I2557" s="5">
        <v>41883</v>
      </c>
      <c r="J2557" s="4">
        <v>4013.36</v>
      </c>
      <c r="K2557" s="4">
        <f t="shared" si="249"/>
        <v>40133.599999999999</v>
      </c>
    </row>
    <row r="2558" spans="4:11" x14ac:dyDescent="0.35">
      <c r="D2558" s="1">
        <v>41920</v>
      </c>
      <c r="E2558">
        <v>2.4064999999999999</v>
      </c>
      <c r="F2558" s="1">
        <v>41535</v>
      </c>
      <c r="G2558">
        <v>125.10899999999999</v>
      </c>
      <c r="H2558" s="4">
        <f t="shared" si="248"/>
        <v>301074.80849999998</v>
      </c>
      <c r="I2558" s="5">
        <v>41880</v>
      </c>
      <c r="J2558" s="4">
        <v>3997.41</v>
      </c>
      <c r="K2558" s="4">
        <f t="shared" si="249"/>
        <v>39974.1</v>
      </c>
    </row>
    <row r="2559" spans="4:11" x14ac:dyDescent="0.35">
      <c r="D2559" s="1">
        <v>41919</v>
      </c>
      <c r="E2559">
        <v>2.4032</v>
      </c>
      <c r="F2559" s="1">
        <v>41533</v>
      </c>
      <c r="G2559">
        <v>124.60899999999999</v>
      </c>
      <c r="H2559" s="4">
        <f t="shared" si="248"/>
        <v>299460.34879999998</v>
      </c>
      <c r="I2559" s="5">
        <v>41879</v>
      </c>
      <c r="J2559" s="4">
        <v>4007.16</v>
      </c>
      <c r="K2559" s="4">
        <f t="shared" si="249"/>
        <v>40071.599999999999</v>
      </c>
    </row>
    <row r="2560" spans="4:11" x14ac:dyDescent="0.35">
      <c r="D2560" s="1">
        <v>41918</v>
      </c>
      <c r="E2560">
        <v>2.4091999999999998</v>
      </c>
      <c r="F2560" s="1">
        <v>41530</v>
      </c>
      <c r="G2560">
        <v>123.188</v>
      </c>
      <c r="H2560" s="4">
        <f t="shared" si="248"/>
        <v>296784.52960000001</v>
      </c>
      <c r="I2560" s="5">
        <v>41878</v>
      </c>
      <c r="J2560" s="4">
        <v>4022.35</v>
      </c>
      <c r="K2560" s="4">
        <f t="shared" si="249"/>
        <v>40223.5</v>
      </c>
    </row>
    <row r="2561" spans="4:11" x14ac:dyDescent="0.35">
      <c r="D2561" s="1">
        <v>41915</v>
      </c>
      <c r="E2561">
        <v>2.4925999999999999</v>
      </c>
      <c r="F2561" s="1">
        <v>41528</v>
      </c>
      <c r="G2561">
        <v>123.35899999999999</v>
      </c>
      <c r="H2561" s="4">
        <f t="shared" si="248"/>
        <v>307484.6434</v>
      </c>
      <c r="I2561" s="5">
        <v>41877</v>
      </c>
      <c r="J2561" s="4">
        <v>4048.27</v>
      </c>
      <c r="K2561" s="4">
        <f t="shared" si="249"/>
        <v>40482.699999999997</v>
      </c>
    </row>
    <row r="2562" spans="4:11" x14ac:dyDescent="0.35">
      <c r="D2562" s="1">
        <v>41914</v>
      </c>
      <c r="E2562">
        <v>2.4779</v>
      </c>
      <c r="F2562" s="1">
        <v>41526</v>
      </c>
      <c r="G2562">
        <v>123.15600000000001</v>
      </c>
      <c r="H2562" s="4">
        <f t="shared" si="248"/>
        <v>305168.25240000006</v>
      </c>
      <c r="I2562" s="5">
        <v>41876</v>
      </c>
      <c r="J2562" s="4">
        <v>4099.22</v>
      </c>
      <c r="K2562" s="4">
        <f t="shared" si="249"/>
        <v>40992.200000000004</v>
      </c>
    </row>
    <row r="2563" spans="4:11" x14ac:dyDescent="0.35">
      <c r="D2563" s="1">
        <v>41913</v>
      </c>
      <c r="E2563">
        <v>2.4617</v>
      </c>
      <c r="F2563" s="1">
        <v>41523</v>
      </c>
      <c r="G2563">
        <v>122.563</v>
      </c>
      <c r="H2563" s="4">
        <f t="shared" si="248"/>
        <v>301713.3371</v>
      </c>
      <c r="I2563" s="5">
        <v>41873</v>
      </c>
      <c r="J2563" s="4">
        <v>4079.56</v>
      </c>
      <c r="K2563" s="4">
        <f t="shared" si="249"/>
        <v>40795.599999999999</v>
      </c>
    </row>
    <row r="2564" spans="4:11" x14ac:dyDescent="0.35">
      <c r="D2564" s="1">
        <v>41911</v>
      </c>
      <c r="E2564">
        <v>2.4516</v>
      </c>
      <c r="F2564" s="1">
        <v>41522</v>
      </c>
      <c r="G2564">
        <v>122.23399999999999</v>
      </c>
      <c r="H2564" s="4">
        <f t="shared" ref="H2564:H2627" si="250">G2564*E2564*1000</f>
        <v>299668.87439999997</v>
      </c>
      <c r="I2564" s="5">
        <v>41872</v>
      </c>
      <c r="J2564" s="4">
        <v>4070.62</v>
      </c>
      <c r="K2564" s="4">
        <f t="shared" si="249"/>
        <v>40706.199999999997</v>
      </c>
    </row>
    <row r="2565" spans="4:11" x14ac:dyDescent="0.35">
      <c r="D2565" s="1">
        <v>41908</v>
      </c>
      <c r="E2565">
        <v>2.4304000000000001</v>
      </c>
      <c r="F2565" s="1">
        <v>41521</v>
      </c>
      <c r="G2565">
        <v>123.188</v>
      </c>
      <c r="H2565" s="4">
        <f t="shared" si="250"/>
        <v>299396.1152</v>
      </c>
      <c r="I2565" s="5">
        <v>41871</v>
      </c>
      <c r="J2565" s="4">
        <v>4055.43</v>
      </c>
      <c r="K2565" s="4">
        <f t="shared" ref="K2565:K2628" si="251">J2565*10</f>
        <v>40554.299999999996</v>
      </c>
    </row>
    <row r="2566" spans="4:11" x14ac:dyDescent="0.35">
      <c r="D2566" s="1">
        <v>41907</v>
      </c>
      <c r="E2566">
        <v>2.4077999999999999</v>
      </c>
      <c r="F2566" s="1">
        <v>41520</v>
      </c>
      <c r="G2566">
        <v>123.46899999999999</v>
      </c>
      <c r="H2566" s="4">
        <f t="shared" si="250"/>
        <v>297288.65820000001</v>
      </c>
      <c r="I2566" s="5">
        <v>41870</v>
      </c>
      <c r="J2566" s="4">
        <v>4029.5</v>
      </c>
      <c r="K2566" s="4">
        <f t="shared" si="251"/>
        <v>40295</v>
      </c>
    </row>
    <row r="2567" spans="4:11" x14ac:dyDescent="0.35">
      <c r="D2567" s="1">
        <v>41906</v>
      </c>
      <c r="E2567">
        <v>2.4064000000000001</v>
      </c>
      <c r="F2567" s="1">
        <v>41519</v>
      </c>
      <c r="G2567">
        <v>124.39100000000001</v>
      </c>
      <c r="H2567" s="4">
        <f t="shared" si="250"/>
        <v>299334.5024</v>
      </c>
      <c r="I2567" s="5">
        <v>41869</v>
      </c>
      <c r="J2567" s="4">
        <v>4053.64</v>
      </c>
      <c r="K2567" s="4">
        <f t="shared" si="251"/>
        <v>40536.400000000001</v>
      </c>
    </row>
    <row r="2568" spans="4:11" x14ac:dyDescent="0.35">
      <c r="D2568" s="1">
        <v>41905</v>
      </c>
      <c r="E2568">
        <v>2.4020000000000001</v>
      </c>
      <c r="F2568" s="1">
        <v>41516</v>
      </c>
      <c r="G2568">
        <v>124.23399999999999</v>
      </c>
      <c r="H2568" s="4">
        <f t="shared" si="250"/>
        <v>298410.06800000003</v>
      </c>
      <c r="I2568" s="5">
        <v>41866</v>
      </c>
      <c r="J2568" s="4">
        <v>4056.32</v>
      </c>
      <c r="K2568" s="4">
        <f t="shared" si="251"/>
        <v>40563.200000000004</v>
      </c>
    </row>
    <row r="2569" spans="4:11" x14ac:dyDescent="0.35">
      <c r="D2569" s="1">
        <v>41904</v>
      </c>
      <c r="E2569">
        <v>2.3864000000000001</v>
      </c>
      <c r="F2569" s="1">
        <v>41515</v>
      </c>
      <c r="G2569">
        <v>125.03100000000001</v>
      </c>
      <c r="H2569" s="4">
        <f t="shared" si="250"/>
        <v>298373.97840000002</v>
      </c>
      <c r="I2569" s="5">
        <v>41865</v>
      </c>
      <c r="J2569" s="4">
        <v>4069.73</v>
      </c>
      <c r="K2569" s="4">
        <f t="shared" si="251"/>
        <v>40697.300000000003</v>
      </c>
    </row>
    <row r="2570" spans="4:11" x14ac:dyDescent="0.35">
      <c r="D2570" s="1">
        <v>41901</v>
      </c>
      <c r="E2570">
        <v>2.3650000000000002</v>
      </c>
      <c r="F2570" s="1">
        <v>41514</v>
      </c>
      <c r="G2570">
        <v>125.23399999999999</v>
      </c>
      <c r="H2570" s="4">
        <f t="shared" si="250"/>
        <v>296178.41000000003</v>
      </c>
      <c r="I2570" s="5">
        <v>41864</v>
      </c>
      <c r="J2570" s="4">
        <v>4098.33</v>
      </c>
      <c r="K2570" s="4">
        <f t="shared" si="251"/>
        <v>40983.300000000003</v>
      </c>
    </row>
    <row r="2571" spans="4:11" x14ac:dyDescent="0.35">
      <c r="D2571" s="1">
        <v>41900</v>
      </c>
      <c r="E2571">
        <v>2.3660999999999999</v>
      </c>
      <c r="F2571" s="1">
        <v>41513</v>
      </c>
      <c r="G2571">
        <v>125.65600000000001</v>
      </c>
      <c r="H2571" s="4">
        <f t="shared" si="250"/>
        <v>297314.66160000005</v>
      </c>
      <c r="I2571" s="5">
        <v>41863</v>
      </c>
      <c r="J2571" s="4">
        <v>4096.54</v>
      </c>
      <c r="K2571" s="4">
        <f t="shared" si="251"/>
        <v>40965.4</v>
      </c>
    </row>
    <row r="2572" spans="4:11" x14ac:dyDescent="0.35">
      <c r="D2572" s="1">
        <v>41899</v>
      </c>
      <c r="E2572">
        <v>2.3378000000000001</v>
      </c>
      <c r="F2572" s="1">
        <v>41509</v>
      </c>
      <c r="G2572">
        <v>124.875</v>
      </c>
      <c r="H2572" s="4">
        <f t="shared" si="250"/>
        <v>291932.77499999997</v>
      </c>
      <c r="I2572" s="5">
        <v>41862</v>
      </c>
      <c r="J2572" s="4">
        <v>4093.86</v>
      </c>
      <c r="K2572" s="4">
        <f t="shared" si="251"/>
        <v>40938.6</v>
      </c>
    </row>
    <row r="2573" spans="4:11" x14ac:dyDescent="0.35">
      <c r="D2573" s="1">
        <v>41898</v>
      </c>
      <c r="E2573">
        <v>2.3344999999999998</v>
      </c>
      <c r="F2573" s="1">
        <v>41508</v>
      </c>
      <c r="G2573">
        <v>124.438</v>
      </c>
      <c r="H2573" s="4">
        <f t="shared" si="250"/>
        <v>290500.51099999994</v>
      </c>
      <c r="I2573" s="5">
        <v>41859</v>
      </c>
      <c r="J2573" s="4">
        <v>4102.8</v>
      </c>
      <c r="K2573" s="4">
        <f t="shared" si="251"/>
        <v>41028</v>
      </c>
    </row>
    <row r="2574" spans="4:11" x14ac:dyDescent="0.35">
      <c r="D2574" s="1">
        <v>41897</v>
      </c>
      <c r="E2574">
        <v>2.3395000000000001</v>
      </c>
      <c r="F2574" s="1">
        <v>41506</v>
      </c>
      <c r="G2574">
        <v>125.09399999999999</v>
      </c>
      <c r="H2574" s="4">
        <f t="shared" si="250"/>
        <v>292657.413</v>
      </c>
      <c r="I2574" s="5">
        <v>41858</v>
      </c>
      <c r="J2574" s="4">
        <v>4134.9799999999996</v>
      </c>
      <c r="K2574" s="4">
        <f t="shared" si="251"/>
        <v>41349.799999999996</v>
      </c>
    </row>
    <row r="2575" spans="4:11" x14ac:dyDescent="0.35">
      <c r="D2575" s="1">
        <v>41894</v>
      </c>
      <c r="E2575">
        <v>2.3243999999999998</v>
      </c>
      <c r="F2575" s="1">
        <v>41505</v>
      </c>
      <c r="G2575">
        <v>124.65600000000001</v>
      </c>
      <c r="H2575" s="4">
        <f t="shared" si="250"/>
        <v>289750.40639999998</v>
      </c>
      <c r="I2575" s="5">
        <v>41857</v>
      </c>
      <c r="J2575" s="4">
        <v>4091.18</v>
      </c>
      <c r="K2575" s="4">
        <f t="shared" si="251"/>
        <v>40911.799999999996</v>
      </c>
    </row>
    <row r="2576" spans="4:11" x14ac:dyDescent="0.35">
      <c r="D2576" s="1">
        <v>41893</v>
      </c>
      <c r="E2576">
        <v>2.2873999999999999</v>
      </c>
      <c r="F2576" s="1">
        <v>41502</v>
      </c>
      <c r="G2576">
        <v>124.84399999999999</v>
      </c>
      <c r="H2576" s="4">
        <f t="shared" si="250"/>
        <v>285568.16560000001</v>
      </c>
      <c r="I2576" s="5">
        <v>41856</v>
      </c>
      <c r="J2576" s="4">
        <v>4108.16</v>
      </c>
      <c r="K2576" s="4">
        <f t="shared" si="251"/>
        <v>41081.599999999999</v>
      </c>
    </row>
    <row r="2577" spans="4:11" x14ac:dyDescent="0.35">
      <c r="D2577" s="1">
        <v>41892</v>
      </c>
      <c r="E2577">
        <v>2.2961</v>
      </c>
      <c r="F2577" s="1">
        <v>41501</v>
      </c>
      <c r="G2577">
        <v>125.328</v>
      </c>
      <c r="H2577" s="4">
        <f t="shared" si="250"/>
        <v>287765.62080000003</v>
      </c>
      <c r="I2577" s="5">
        <v>41855</v>
      </c>
      <c r="J2577" s="4">
        <v>4067.05</v>
      </c>
      <c r="K2577" s="4">
        <f t="shared" si="251"/>
        <v>40670.5</v>
      </c>
    </row>
    <row r="2578" spans="4:11" x14ac:dyDescent="0.35">
      <c r="D2578" s="1">
        <v>41891</v>
      </c>
      <c r="E2578">
        <v>2.2806999999999999</v>
      </c>
      <c r="F2578" s="1">
        <v>41500</v>
      </c>
      <c r="G2578">
        <v>125.71899999999999</v>
      </c>
      <c r="H2578" s="4">
        <f t="shared" si="250"/>
        <v>286727.32329999999</v>
      </c>
      <c r="I2578" s="5">
        <v>41852</v>
      </c>
      <c r="J2578" s="4">
        <v>4067.05</v>
      </c>
      <c r="K2578" s="4">
        <f t="shared" si="251"/>
        <v>40670.5</v>
      </c>
    </row>
    <row r="2579" spans="4:11" x14ac:dyDescent="0.35">
      <c r="D2579" s="1">
        <v>41890</v>
      </c>
      <c r="E2579">
        <v>2.2484999999999999</v>
      </c>
      <c r="F2579" s="1">
        <v>41499</v>
      </c>
      <c r="G2579">
        <v>125.797</v>
      </c>
      <c r="H2579" s="4">
        <f t="shared" si="250"/>
        <v>282854.55450000003</v>
      </c>
      <c r="I2579" s="5">
        <v>41851</v>
      </c>
      <c r="J2579" s="4">
        <v>4080.45</v>
      </c>
      <c r="K2579" s="4">
        <f t="shared" si="251"/>
        <v>40804.5</v>
      </c>
    </row>
    <row r="2580" spans="4:11" x14ac:dyDescent="0.35">
      <c r="D2580" s="1">
        <v>41887</v>
      </c>
      <c r="E2580">
        <v>2.2410000000000001</v>
      </c>
      <c r="F2580" s="1">
        <v>41495</v>
      </c>
      <c r="G2580">
        <v>126.65600000000001</v>
      </c>
      <c r="H2580" s="4">
        <f t="shared" si="250"/>
        <v>283836.09600000008</v>
      </c>
      <c r="I2580" s="5">
        <v>41850</v>
      </c>
      <c r="J2580" s="4">
        <v>4050.96</v>
      </c>
      <c r="K2580" s="4">
        <f t="shared" si="251"/>
        <v>40509.599999999999</v>
      </c>
    </row>
    <row r="2581" spans="4:11" x14ac:dyDescent="0.35">
      <c r="D2581" s="1">
        <v>41886</v>
      </c>
      <c r="E2581">
        <v>2.2349999999999999</v>
      </c>
      <c r="F2581" s="1">
        <v>41492</v>
      </c>
      <c r="G2581">
        <v>126.313</v>
      </c>
      <c r="H2581" s="4">
        <f t="shared" si="250"/>
        <v>282309.55499999999</v>
      </c>
      <c r="I2581" s="5">
        <v>41849</v>
      </c>
      <c r="J2581" s="4">
        <v>4021.19</v>
      </c>
      <c r="K2581" s="4">
        <f t="shared" si="251"/>
        <v>40211.9</v>
      </c>
    </row>
    <row r="2582" spans="4:11" x14ac:dyDescent="0.35">
      <c r="D2582" s="1">
        <v>41885</v>
      </c>
      <c r="E2582">
        <v>2.2313000000000001</v>
      </c>
      <c r="F2582" s="1">
        <v>41491</v>
      </c>
      <c r="G2582">
        <v>126.203</v>
      </c>
      <c r="H2582" s="4">
        <f t="shared" si="250"/>
        <v>281596.75390000001</v>
      </c>
      <c r="I2582" s="5">
        <v>41848</v>
      </c>
      <c r="J2582" s="4">
        <v>4012.17</v>
      </c>
      <c r="K2582" s="4">
        <f t="shared" si="251"/>
        <v>40121.699999999997</v>
      </c>
    </row>
    <row r="2583" spans="4:11" x14ac:dyDescent="0.35">
      <c r="D2583" s="1">
        <v>41884</v>
      </c>
      <c r="E2583">
        <v>2.2515000000000001</v>
      </c>
      <c r="F2583" s="1">
        <v>41488</v>
      </c>
      <c r="G2583">
        <v>126.23399999999999</v>
      </c>
      <c r="H2583" s="4">
        <f t="shared" si="250"/>
        <v>284215.85099999997</v>
      </c>
      <c r="I2583" s="5">
        <v>41845</v>
      </c>
      <c r="J2583" s="4">
        <v>4028.41</v>
      </c>
      <c r="K2583" s="4">
        <f t="shared" si="251"/>
        <v>40284.1</v>
      </c>
    </row>
    <row r="2584" spans="4:11" x14ac:dyDescent="0.35">
      <c r="D2584" s="1">
        <v>41883</v>
      </c>
      <c r="E2584">
        <v>2.2357999999999998</v>
      </c>
      <c r="F2584" s="1">
        <v>41487</v>
      </c>
      <c r="G2584">
        <v>125.438</v>
      </c>
      <c r="H2584" s="4">
        <f t="shared" si="250"/>
        <v>280454.28039999993</v>
      </c>
      <c r="I2584" s="5">
        <v>41844</v>
      </c>
      <c r="J2584" s="4">
        <v>4018.48</v>
      </c>
      <c r="K2584" s="4">
        <f t="shared" si="251"/>
        <v>40184.800000000003</v>
      </c>
    </row>
    <row r="2585" spans="4:11" x14ac:dyDescent="0.35">
      <c r="D2585" s="1">
        <v>41880</v>
      </c>
      <c r="E2585">
        <v>2.2389999999999999</v>
      </c>
      <c r="F2585" s="1">
        <v>41486</v>
      </c>
      <c r="G2585">
        <v>125.75</v>
      </c>
      <c r="H2585" s="4">
        <f t="shared" si="250"/>
        <v>281554.24999999994</v>
      </c>
      <c r="I2585" s="5">
        <v>41843</v>
      </c>
      <c r="J2585" s="4">
        <v>4013.07</v>
      </c>
      <c r="K2585" s="4">
        <f t="shared" si="251"/>
        <v>40130.700000000004</v>
      </c>
    </row>
    <row r="2586" spans="4:11" x14ac:dyDescent="0.35">
      <c r="D2586" s="1">
        <v>41879</v>
      </c>
      <c r="E2586">
        <v>2.2492999999999999</v>
      </c>
      <c r="F2586" s="1">
        <v>41485</v>
      </c>
      <c r="G2586">
        <v>126.46899999999999</v>
      </c>
      <c r="H2586" s="4">
        <f t="shared" si="250"/>
        <v>284466.72169999999</v>
      </c>
      <c r="I2586" s="5">
        <v>41842</v>
      </c>
      <c r="J2586" s="4">
        <v>4005.85</v>
      </c>
      <c r="K2586" s="4">
        <f t="shared" si="251"/>
        <v>40058.5</v>
      </c>
    </row>
    <row r="2587" spans="4:11" x14ac:dyDescent="0.35">
      <c r="D2587" s="1">
        <v>41878</v>
      </c>
      <c r="E2587">
        <v>2.2585000000000002</v>
      </c>
      <c r="F2587" s="1">
        <v>41481</v>
      </c>
      <c r="G2587">
        <v>126.563</v>
      </c>
      <c r="H2587" s="4">
        <f t="shared" si="250"/>
        <v>285842.53550000006</v>
      </c>
      <c r="I2587" s="5">
        <v>41841</v>
      </c>
      <c r="J2587" s="4">
        <v>4022.99</v>
      </c>
      <c r="K2587" s="4">
        <f t="shared" si="251"/>
        <v>40229.899999999994</v>
      </c>
    </row>
    <row r="2588" spans="4:11" x14ac:dyDescent="0.35">
      <c r="D2588" s="1">
        <v>41877</v>
      </c>
      <c r="E2588">
        <v>2.2742</v>
      </c>
      <c r="F2588" s="1">
        <v>41480</v>
      </c>
      <c r="G2588">
        <v>126.297</v>
      </c>
      <c r="H2588" s="4">
        <f t="shared" si="250"/>
        <v>287224.63740000001</v>
      </c>
      <c r="I2588" s="5">
        <v>41838</v>
      </c>
      <c r="J2588" s="4">
        <v>4033.82</v>
      </c>
      <c r="K2588" s="4">
        <f t="shared" si="251"/>
        <v>40338.200000000004</v>
      </c>
    </row>
    <row r="2589" spans="4:11" x14ac:dyDescent="0.35">
      <c r="D2589" s="1">
        <v>41876</v>
      </c>
      <c r="E2589">
        <v>2.2801999999999998</v>
      </c>
      <c r="F2589" s="1">
        <v>41479</v>
      </c>
      <c r="G2589">
        <v>126.438</v>
      </c>
      <c r="H2589" s="4">
        <f t="shared" si="250"/>
        <v>288303.92759999994</v>
      </c>
      <c r="I2589" s="5">
        <v>41837</v>
      </c>
      <c r="J2589" s="4">
        <v>4092.45</v>
      </c>
      <c r="K2589" s="4">
        <f t="shared" si="251"/>
        <v>40924.5</v>
      </c>
    </row>
    <row r="2590" spans="4:11" x14ac:dyDescent="0.35">
      <c r="D2590" s="1">
        <v>41873</v>
      </c>
      <c r="E2590">
        <v>2.2772000000000001</v>
      </c>
      <c r="F2590" s="1">
        <v>41473</v>
      </c>
      <c r="G2590">
        <v>126.71899999999999</v>
      </c>
      <c r="H2590" s="4">
        <f t="shared" si="250"/>
        <v>288564.50680000003</v>
      </c>
      <c r="I2590" s="5">
        <v>41836</v>
      </c>
      <c r="J2590" s="4">
        <v>4027.5</v>
      </c>
      <c r="K2590" s="4">
        <f t="shared" si="251"/>
        <v>40275</v>
      </c>
    </row>
    <row r="2591" spans="4:11" x14ac:dyDescent="0.35">
      <c r="D2591" s="1">
        <v>41872</v>
      </c>
      <c r="E2591">
        <v>2.2576000000000001</v>
      </c>
      <c r="F2591" s="1">
        <v>41472</v>
      </c>
      <c r="G2591">
        <v>126.98399999999999</v>
      </c>
      <c r="H2591" s="4">
        <f t="shared" si="250"/>
        <v>286679.0784</v>
      </c>
      <c r="I2591" s="5">
        <v>41835</v>
      </c>
      <c r="J2591" s="4">
        <v>4019.39</v>
      </c>
      <c r="K2591" s="4">
        <f t="shared" si="251"/>
        <v>40193.9</v>
      </c>
    </row>
    <row r="2592" spans="4:11" x14ac:dyDescent="0.35">
      <c r="D2592" s="1">
        <v>41871</v>
      </c>
      <c r="E2592">
        <v>2.2544</v>
      </c>
      <c r="F2592" s="1">
        <v>41471</v>
      </c>
      <c r="G2592">
        <v>126.64100000000001</v>
      </c>
      <c r="H2592" s="4">
        <f t="shared" si="250"/>
        <v>285499.47039999999</v>
      </c>
      <c r="I2592" s="5">
        <v>41834</v>
      </c>
      <c r="J2592" s="4">
        <v>4011.27</v>
      </c>
      <c r="K2592" s="4">
        <f t="shared" si="251"/>
        <v>40112.699999999997</v>
      </c>
    </row>
    <row r="2593" spans="4:11" x14ac:dyDescent="0.35">
      <c r="D2593" s="1">
        <v>41870</v>
      </c>
      <c r="E2593">
        <v>2.2581000000000002</v>
      </c>
      <c r="F2593" s="1">
        <v>41470</v>
      </c>
      <c r="G2593">
        <v>126.578</v>
      </c>
      <c r="H2593" s="4">
        <f t="shared" si="250"/>
        <v>285825.7818</v>
      </c>
      <c r="I2593" s="5">
        <v>41831</v>
      </c>
      <c r="J2593" s="4">
        <v>4030.21</v>
      </c>
      <c r="K2593" s="4">
        <f t="shared" si="251"/>
        <v>40302.1</v>
      </c>
    </row>
    <row r="2594" spans="4:11" x14ac:dyDescent="0.35">
      <c r="D2594" s="1">
        <v>41869</v>
      </c>
      <c r="E2594">
        <v>2.2589000000000001</v>
      </c>
      <c r="F2594" s="1">
        <v>41467</v>
      </c>
      <c r="G2594">
        <v>126.15600000000001</v>
      </c>
      <c r="H2594" s="4">
        <f t="shared" si="250"/>
        <v>284973.78840000002</v>
      </c>
      <c r="I2594" s="5">
        <v>41830</v>
      </c>
      <c r="J2594" s="4">
        <v>4031.11</v>
      </c>
      <c r="K2594" s="4">
        <f t="shared" si="251"/>
        <v>40311.1</v>
      </c>
    </row>
    <row r="2595" spans="4:11" x14ac:dyDescent="0.35">
      <c r="D2595" s="1">
        <v>41866</v>
      </c>
      <c r="E2595">
        <v>2.2684000000000002</v>
      </c>
      <c r="F2595" s="1">
        <v>41466</v>
      </c>
      <c r="G2595">
        <v>126.203</v>
      </c>
      <c r="H2595" s="4">
        <f t="shared" si="250"/>
        <v>286278.88520000002</v>
      </c>
      <c r="I2595" s="5">
        <v>41828</v>
      </c>
      <c r="J2595" s="4">
        <v>4021.19</v>
      </c>
      <c r="K2595" s="4">
        <f t="shared" si="251"/>
        <v>40211.9</v>
      </c>
    </row>
    <row r="2596" spans="4:11" x14ac:dyDescent="0.35">
      <c r="D2596" s="1">
        <v>41865</v>
      </c>
      <c r="E2596">
        <v>2.2696999999999998</v>
      </c>
      <c r="F2596" s="1">
        <v>41465</v>
      </c>
      <c r="G2596">
        <v>125.59399999999999</v>
      </c>
      <c r="H2596" s="4">
        <f t="shared" si="250"/>
        <v>285060.70179999992</v>
      </c>
      <c r="I2596" s="5">
        <v>41827</v>
      </c>
      <c r="J2596" s="4">
        <v>4044.64</v>
      </c>
      <c r="K2596" s="4">
        <f t="shared" si="251"/>
        <v>40446.400000000001</v>
      </c>
    </row>
    <row r="2597" spans="4:11" x14ac:dyDescent="0.35">
      <c r="D2597" s="1">
        <v>41864</v>
      </c>
      <c r="E2597">
        <v>2.2686000000000002</v>
      </c>
      <c r="F2597" s="1">
        <v>41463</v>
      </c>
      <c r="G2597">
        <v>125.125</v>
      </c>
      <c r="H2597" s="4">
        <f t="shared" si="250"/>
        <v>283858.57500000001</v>
      </c>
      <c r="I2597" s="5">
        <v>41824</v>
      </c>
      <c r="J2597" s="4">
        <v>4026.6</v>
      </c>
      <c r="K2597" s="4">
        <f t="shared" si="251"/>
        <v>40266</v>
      </c>
    </row>
    <row r="2598" spans="4:11" x14ac:dyDescent="0.35">
      <c r="D2598" s="1">
        <v>41863</v>
      </c>
      <c r="E2598">
        <v>2.2764000000000002</v>
      </c>
      <c r="F2598" s="1">
        <v>41460</v>
      </c>
      <c r="G2598">
        <v>124.78100000000001</v>
      </c>
      <c r="H2598" s="4">
        <f t="shared" si="250"/>
        <v>284051.46840000001</v>
      </c>
      <c r="I2598" s="5">
        <v>41823</v>
      </c>
      <c r="J2598" s="4">
        <v>4018.48</v>
      </c>
      <c r="K2598" s="4">
        <f t="shared" si="251"/>
        <v>40184.800000000003</v>
      </c>
    </row>
    <row r="2599" spans="4:11" x14ac:dyDescent="0.35">
      <c r="D2599" s="1">
        <v>41862</v>
      </c>
      <c r="E2599">
        <v>2.2772999999999999</v>
      </c>
      <c r="F2599" s="1">
        <v>41459</v>
      </c>
      <c r="G2599">
        <v>126.172</v>
      </c>
      <c r="H2599" s="4">
        <f t="shared" si="250"/>
        <v>287331.49559999997</v>
      </c>
      <c r="I2599" s="5">
        <v>41822</v>
      </c>
      <c r="J2599" s="4">
        <v>4041.94</v>
      </c>
      <c r="K2599" s="4">
        <f t="shared" si="251"/>
        <v>40419.4</v>
      </c>
    </row>
    <row r="2600" spans="4:11" x14ac:dyDescent="0.35">
      <c r="D2600" s="1">
        <v>41859</v>
      </c>
      <c r="E2600">
        <v>2.298</v>
      </c>
      <c r="F2600" s="1">
        <v>41458</v>
      </c>
      <c r="G2600">
        <v>126.25</v>
      </c>
      <c r="H2600" s="4">
        <f t="shared" si="250"/>
        <v>290122.5</v>
      </c>
      <c r="I2600" s="5">
        <v>41821</v>
      </c>
      <c r="J2600" s="4">
        <v>4006.76</v>
      </c>
      <c r="K2600" s="4">
        <f t="shared" si="251"/>
        <v>40067.600000000006</v>
      </c>
    </row>
    <row r="2601" spans="4:11" x14ac:dyDescent="0.35">
      <c r="D2601" s="1">
        <v>41858</v>
      </c>
      <c r="E2601">
        <v>2.2795999999999998</v>
      </c>
      <c r="F2601" s="1">
        <v>41457</v>
      </c>
      <c r="G2601">
        <v>126.64100000000001</v>
      </c>
      <c r="H2601" s="4">
        <f t="shared" si="250"/>
        <v>288690.8236</v>
      </c>
      <c r="I2601" s="5">
        <v>41820</v>
      </c>
      <c r="J2601" s="4">
        <v>4030.21</v>
      </c>
      <c r="K2601" s="4">
        <f t="shared" si="251"/>
        <v>40302.1</v>
      </c>
    </row>
    <row r="2602" spans="4:11" x14ac:dyDescent="0.35">
      <c r="D2602" s="1">
        <v>41857</v>
      </c>
      <c r="E2602">
        <v>2.2784</v>
      </c>
      <c r="F2602" s="1">
        <v>41456</v>
      </c>
      <c r="G2602">
        <v>126.547</v>
      </c>
      <c r="H2602" s="4">
        <f t="shared" si="250"/>
        <v>288324.68479999999</v>
      </c>
      <c r="I2602" s="5">
        <v>41817</v>
      </c>
      <c r="J2602" s="4">
        <v>3999.54</v>
      </c>
      <c r="K2602" s="4">
        <f t="shared" si="251"/>
        <v>39995.4</v>
      </c>
    </row>
    <row r="2603" spans="4:11" x14ac:dyDescent="0.35">
      <c r="D2603" s="1">
        <v>41856</v>
      </c>
      <c r="E2603">
        <v>2.2749999999999999</v>
      </c>
      <c r="F2603" s="1">
        <v>41451</v>
      </c>
      <c r="G2603">
        <v>126.047</v>
      </c>
      <c r="H2603" s="4">
        <f t="shared" si="250"/>
        <v>286756.92499999999</v>
      </c>
      <c r="I2603" s="5">
        <v>41816</v>
      </c>
      <c r="J2603" s="4">
        <v>4005</v>
      </c>
      <c r="K2603" s="4">
        <f t="shared" si="251"/>
        <v>40050</v>
      </c>
    </row>
    <row r="2604" spans="4:11" x14ac:dyDescent="0.35">
      <c r="D2604" s="1">
        <v>41855</v>
      </c>
      <c r="E2604">
        <v>2.2570999999999999</v>
      </c>
      <c r="F2604" s="1">
        <v>41449</v>
      </c>
      <c r="G2604">
        <v>126.047</v>
      </c>
      <c r="H2604" s="4">
        <f t="shared" si="250"/>
        <v>284500.68369999999</v>
      </c>
      <c r="I2604" s="5">
        <v>41815</v>
      </c>
      <c r="J2604" s="4">
        <v>4024.12</v>
      </c>
      <c r="K2604" s="4">
        <f t="shared" si="251"/>
        <v>40241.199999999997</v>
      </c>
    </row>
    <row r="2605" spans="4:11" x14ac:dyDescent="0.35">
      <c r="D2605" s="1">
        <v>41852</v>
      </c>
      <c r="E2605">
        <v>2.2599999999999998</v>
      </c>
      <c r="F2605" s="1">
        <v>41445</v>
      </c>
      <c r="G2605">
        <v>127.15600000000001</v>
      </c>
      <c r="H2605" s="4">
        <f t="shared" si="250"/>
        <v>287372.55999999994</v>
      </c>
      <c r="I2605" s="5">
        <v>41814</v>
      </c>
      <c r="J2605" s="4">
        <v>4059.63</v>
      </c>
      <c r="K2605" s="4">
        <f t="shared" si="251"/>
        <v>40596.300000000003</v>
      </c>
    </row>
    <row r="2606" spans="4:11" x14ac:dyDescent="0.35">
      <c r="D2606" s="1">
        <v>41851</v>
      </c>
      <c r="E2606">
        <v>2.2667999999999999</v>
      </c>
      <c r="F2606" s="1">
        <v>41444</v>
      </c>
      <c r="G2606">
        <v>127.563</v>
      </c>
      <c r="H2606" s="4">
        <f t="shared" si="250"/>
        <v>289159.80839999998</v>
      </c>
      <c r="I2606" s="5">
        <v>41813</v>
      </c>
      <c r="J2606" s="4">
        <v>4045.97</v>
      </c>
      <c r="K2606" s="4">
        <f t="shared" si="251"/>
        <v>40459.699999999997</v>
      </c>
    </row>
    <row r="2607" spans="4:11" x14ac:dyDescent="0.35">
      <c r="D2607" s="1">
        <v>41850</v>
      </c>
      <c r="E2607">
        <v>2.2441</v>
      </c>
      <c r="F2607" s="1">
        <v>41443</v>
      </c>
      <c r="G2607">
        <v>129.297</v>
      </c>
      <c r="H2607" s="4">
        <f t="shared" si="250"/>
        <v>290155.39769999997</v>
      </c>
      <c r="I2607" s="5">
        <v>41810</v>
      </c>
      <c r="J2607" s="4">
        <v>4073.29</v>
      </c>
      <c r="K2607" s="4">
        <f t="shared" si="251"/>
        <v>40732.9</v>
      </c>
    </row>
    <row r="2608" spans="4:11" x14ac:dyDescent="0.35">
      <c r="D2608" s="1">
        <v>41849</v>
      </c>
      <c r="E2608">
        <v>2.2271999999999998</v>
      </c>
      <c r="F2608" s="1">
        <v>41442</v>
      </c>
      <c r="G2608">
        <v>129.375</v>
      </c>
      <c r="H2608" s="4">
        <f t="shared" si="250"/>
        <v>288144</v>
      </c>
      <c r="I2608" s="5">
        <v>41808</v>
      </c>
      <c r="J2608" s="4">
        <v>4067.82</v>
      </c>
      <c r="K2608" s="4">
        <f t="shared" si="251"/>
        <v>40678.200000000004</v>
      </c>
    </row>
    <row r="2609" spans="4:11" x14ac:dyDescent="0.35">
      <c r="D2609" s="1">
        <v>41848</v>
      </c>
      <c r="E2609">
        <v>2.2296</v>
      </c>
      <c r="F2609" s="1">
        <v>41439</v>
      </c>
      <c r="G2609">
        <v>129.60900000000001</v>
      </c>
      <c r="H2609" s="4">
        <f t="shared" si="250"/>
        <v>288976.22640000004</v>
      </c>
      <c r="I2609" s="5">
        <v>41807</v>
      </c>
      <c r="J2609" s="4">
        <v>4132.46</v>
      </c>
      <c r="K2609" s="4">
        <f t="shared" si="251"/>
        <v>41324.6</v>
      </c>
    </row>
    <row r="2610" spans="4:11" x14ac:dyDescent="0.35">
      <c r="D2610" s="1">
        <v>41845</v>
      </c>
      <c r="E2610">
        <v>2.2286999999999999</v>
      </c>
      <c r="F2610" s="1">
        <v>41438</v>
      </c>
      <c r="G2610">
        <v>129.39599999999999</v>
      </c>
      <c r="H2610" s="4">
        <f t="shared" si="250"/>
        <v>288384.8652</v>
      </c>
      <c r="I2610" s="5">
        <v>41806</v>
      </c>
      <c r="J2610" s="4">
        <v>4083.3</v>
      </c>
      <c r="K2610" s="4">
        <f t="shared" si="251"/>
        <v>40833</v>
      </c>
    </row>
    <row r="2611" spans="4:11" x14ac:dyDescent="0.35">
      <c r="D2611" s="1">
        <v>41844</v>
      </c>
      <c r="E2611">
        <v>2.2198000000000002</v>
      </c>
      <c r="F2611" s="1">
        <v>41437</v>
      </c>
      <c r="G2611">
        <v>128.59399999999999</v>
      </c>
      <c r="H2611" s="4">
        <f t="shared" si="250"/>
        <v>285452.96120000002</v>
      </c>
      <c r="I2611" s="5">
        <v>41803</v>
      </c>
      <c r="J2611" s="4">
        <v>4067.82</v>
      </c>
      <c r="K2611" s="4">
        <f t="shared" si="251"/>
        <v>40678.200000000004</v>
      </c>
    </row>
    <row r="2612" spans="4:11" x14ac:dyDescent="0.35">
      <c r="D2612" s="1">
        <v>41843</v>
      </c>
      <c r="E2612">
        <v>2.2195999999999998</v>
      </c>
      <c r="F2612" s="1">
        <v>41436</v>
      </c>
      <c r="G2612">
        <v>128.90600000000001</v>
      </c>
      <c r="H2612" s="4">
        <f t="shared" si="250"/>
        <v>286119.75760000001</v>
      </c>
      <c r="I2612" s="5">
        <v>41801</v>
      </c>
      <c r="J2612" s="4">
        <v>4087.85</v>
      </c>
      <c r="K2612" s="4">
        <f t="shared" si="251"/>
        <v>40878.5</v>
      </c>
    </row>
    <row r="2613" spans="4:11" x14ac:dyDescent="0.35">
      <c r="D2613" s="1">
        <v>41842</v>
      </c>
      <c r="E2613">
        <v>2.2122999999999999</v>
      </c>
      <c r="F2613" s="1">
        <v>41432</v>
      </c>
      <c r="G2613">
        <v>128.85900000000001</v>
      </c>
      <c r="H2613" s="4">
        <f t="shared" si="250"/>
        <v>285074.76569999999</v>
      </c>
      <c r="I2613" s="5">
        <v>41800</v>
      </c>
      <c r="J2613" s="4">
        <v>4066</v>
      </c>
      <c r="K2613" s="4">
        <f t="shared" si="251"/>
        <v>40660</v>
      </c>
    </row>
    <row r="2614" spans="4:11" x14ac:dyDescent="0.35">
      <c r="D2614" s="1">
        <v>41841</v>
      </c>
      <c r="E2614">
        <v>2.2231999999999998</v>
      </c>
      <c r="F2614" s="1">
        <v>41431</v>
      </c>
      <c r="G2614">
        <v>129.75</v>
      </c>
      <c r="H2614" s="4">
        <f t="shared" si="250"/>
        <v>288460.2</v>
      </c>
      <c r="I2614" s="5">
        <v>41799</v>
      </c>
      <c r="J2614" s="4">
        <v>4086.03</v>
      </c>
      <c r="K2614" s="4">
        <f t="shared" si="251"/>
        <v>40860.300000000003</v>
      </c>
    </row>
    <row r="2615" spans="4:11" x14ac:dyDescent="0.35">
      <c r="D2615" s="1">
        <v>41838</v>
      </c>
      <c r="E2615">
        <v>2.2355999999999998</v>
      </c>
      <c r="F2615" s="1">
        <v>41430</v>
      </c>
      <c r="G2615">
        <v>129.64099999999999</v>
      </c>
      <c r="H2615" s="4">
        <f t="shared" si="250"/>
        <v>289825.41959999996</v>
      </c>
      <c r="I2615" s="5">
        <v>41796</v>
      </c>
      <c r="J2615" s="4">
        <v>4120.63</v>
      </c>
      <c r="K2615" s="4">
        <f t="shared" si="251"/>
        <v>41206.300000000003</v>
      </c>
    </row>
    <row r="2616" spans="4:11" x14ac:dyDescent="0.35">
      <c r="D2616" s="1">
        <v>41837</v>
      </c>
      <c r="E2616">
        <v>2.2397</v>
      </c>
      <c r="F2616" s="1">
        <v>41428</v>
      </c>
      <c r="G2616">
        <v>129.672</v>
      </c>
      <c r="H2616" s="4">
        <f t="shared" si="250"/>
        <v>290426.37839999999</v>
      </c>
      <c r="I2616" s="5">
        <v>41795</v>
      </c>
      <c r="J2616" s="4">
        <v>4147.9399999999996</v>
      </c>
      <c r="K2616" s="4">
        <f t="shared" si="251"/>
        <v>41479.399999999994</v>
      </c>
    </row>
    <row r="2617" spans="4:11" x14ac:dyDescent="0.35">
      <c r="D2617" s="1">
        <v>41836</v>
      </c>
      <c r="E2617">
        <v>2.2187000000000001</v>
      </c>
      <c r="F2617" s="1">
        <v>41425</v>
      </c>
      <c r="G2617">
        <v>129.15600000000001</v>
      </c>
      <c r="H2617" s="4">
        <f t="shared" si="250"/>
        <v>286558.41720000003</v>
      </c>
      <c r="I2617" s="5">
        <v>41794</v>
      </c>
      <c r="J2617" s="4">
        <v>4177.08</v>
      </c>
      <c r="K2617" s="4">
        <f t="shared" si="251"/>
        <v>41770.800000000003</v>
      </c>
    </row>
    <row r="2618" spans="4:11" x14ac:dyDescent="0.35">
      <c r="D2618" s="1">
        <v>41835</v>
      </c>
      <c r="E2618">
        <v>2.2189000000000001</v>
      </c>
      <c r="F2618" s="1">
        <v>41423</v>
      </c>
      <c r="G2618">
        <v>129.36699999999999</v>
      </c>
      <c r="H2618" s="4">
        <f t="shared" si="250"/>
        <v>287052.4363</v>
      </c>
      <c r="I2618" s="5">
        <v>41793</v>
      </c>
      <c r="J2618" s="4">
        <v>4180.72</v>
      </c>
      <c r="K2618" s="4">
        <f t="shared" si="251"/>
        <v>41807.200000000004</v>
      </c>
    </row>
    <row r="2619" spans="4:11" x14ac:dyDescent="0.35">
      <c r="D2619" s="1">
        <v>41834</v>
      </c>
      <c r="E2619">
        <v>2.2170000000000001</v>
      </c>
      <c r="F2619" s="1">
        <v>41422</v>
      </c>
      <c r="G2619">
        <v>130.15600000000001</v>
      </c>
      <c r="H2619" s="4">
        <f t="shared" si="250"/>
        <v>288555.85200000001</v>
      </c>
      <c r="I2619" s="5">
        <v>41792</v>
      </c>
      <c r="J2619" s="4">
        <v>4178.8999999999996</v>
      </c>
      <c r="K2619" s="4">
        <f t="shared" si="251"/>
        <v>41789</v>
      </c>
    </row>
    <row r="2620" spans="4:11" x14ac:dyDescent="0.35">
      <c r="D2620" s="1">
        <v>41831</v>
      </c>
      <c r="E2620">
        <v>2.2222</v>
      </c>
      <c r="F2620" s="1">
        <v>41418</v>
      </c>
      <c r="G2620">
        <v>131.297</v>
      </c>
      <c r="H2620" s="4">
        <f t="shared" si="250"/>
        <v>291768.19339999999</v>
      </c>
      <c r="I2620" s="5">
        <v>41789</v>
      </c>
      <c r="J2620" s="4">
        <v>4114.26</v>
      </c>
      <c r="K2620" s="4">
        <f t="shared" si="251"/>
        <v>41142.600000000006</v>
      </c>
    </row>
    <row r="2621" spans="4:11" x14ac:dyDescent="0.35">
      <c r="D2621" s="1">
        <v>41830</v>
      </c>
      <c r="E2621">
        <v>2.2231000000000001</v>
      </c>
      <c r="F2621" s="1">
        <v>41417</v>
      </c>
      <c r="G2621">
        <v>131.21899999999999</v>
      </c>
      <c r="H2621" s="4">
        <f t="shared" si="250"/>
        <v>291712.95889999997</v>
      </c>
      <c r="I2621" s="5">
        <v>41788</v>
      </c>
      <c r="J2621" s="4">
        <v>4082.39</v>
      </c>
      <c r="K2621" s="4">
        <f t="shared" si="251"/>
        <v>40823.9</v>
      </c>
    </row>
    <row r="2622" spans="4:11" x14ac:dyDescent="0.35">
      <c r="D2622" s="1">
        <v>41829</v>
      </c>
      <c r="E2622">
        <v>2.2128000000000001</v>
      </c>
      <c r="F2622" s="1">
        <v>41416</v>
      </c>
      <c r="G2622">
        <v>131.25</v>
      </c>
      <c r="H2622" s="4">
        <f t="shared" si="250"/>
        <v>290430</v>
      </c>
      <c r="I2622" s="5">
        <v>41787</v>
      </c>
      <c r="J2622" s="4">
        <v>4097.9799999999996</v>
      </c>
      <c r="K2622" s="4">
        <f t="shared" si="251"/>
        <v>40979.799999999996</v>
      </c>
    </row>
    <row r="2623" spans="4:11" x14ac:dyDescent="0.35">
      <c r="D2623" s="1">
        <v>41828</v>
      </c>
      <c r="E2623">
        <v>2.2143999999999999</v>
      </c>
      <c r="F2623" s="1">
        <v>41415</v>
      </c>
      <c r="G2623">
        <v>131.98400000000001</v>
      </c>
      <c r="H2623" s="4">
        <f t="shared" si="250"/>
        <v>292265.36959999998</v>
      </c>
      <c r="I2623" s="5">
        <v>41786</v>
      </c>
      <c r="J2623" s="4">
        <v>4110.82</v>
      </c>
      <c r="K2623" s="4">
        <f t="shared" si="251"/>
        <v>41108.199999999997</v>
      </c>
    </row>
    <row r="2624" spans="4:11" x14ac:dyDescent="0.35">
      <c r="D2624" s="1">
        <v>41827</v>
      </c>
      <c r="E2624">
        <v>2.2195</v>
      </c>
      <c r="F2624" s="1">
        <v>41414</v>
      </c>
      <c r="G2624">
        <v>132.03100000000001</v>
      </c>
      <c r="H2624" s="4">
        <f t="shared" si="250"/>
        <v>293042.80450000003</v>
      </c>
      <c r="I2624" s="5">
        <v>41785</v>
      </c>
      <c r="J2624" s="4">
        <v>4085.14</v>
      </c>
      <c r="K2624" s="4">
        <f t="shared" si="251"/>
        <v>40851.4</v>
      </c>
    </row>
    <row r="2625" spans="4:11" x14ac:dyDescent="0.35">
      <c r="D2625" s="1">
        <v>41824</v>
      </c>
      <c r="E2625">
        <v>2.2143000000000002</v>
      </c>
      <c r="F2625" s="1">
        <v>41411</v>
      </c>
      <c r="G2625">
        <v>131.75</v>
      </c>
      <c r="H2625" s="4">
        <f t="shared" si="250"/>
        <v>291734.02500000002</v>
      </c>
      <c r="I2625" s="5">
        <v>41782</v>
      </c>
      <c r="J2625" s="4">
        <v>4086.06</v>
      </c>
      <c r="K2625" s="4">
        <f t="shared" si="251"/>
        <v>40860.6</v>
      </c>
    </row>
    <row r="2626" spans="4:11" x14ac:dyDescent="0.35">
      <c r="D2626" s="1">
        <v>41823</v>
      </c>
      <c r="E2626">
        <v>2.2275</v>
      </c>
      <c r="F2626" s="1">
        <v>41410</v>
      </c>
      <c r="G2626">
        <v>132.51599999999999</v>
      </c>
      <c r="H2626" s="4">
        <f t="shared" si="250"/>
        <v>295179.39</v>
      </c>
      <c r="I2626" s="5">
        <v>41781</v>
      </c>
      <c r="J2626" s="4">
        <v>4068.64</v>
      </c>
      <c r="K2626" s="4">
        <f t="shared" si="251"/>
        <v>40686.400000000001</v>
      </c>
    </row>
    <row r="2627" spans="4:11" x14ac:dyDescent="0.35">
      <c r="D2627" s="1">
        <v>41822</v>
      </c>
      <c r="E2627">
        <v>2.2126999999999999</v>
      </c>
      <c r="F2627" s="1">
        <v>41409</v>
      </c>
      <c r="G2627">
        <v>131.875</v>
      </c>
      <c r="H2627" s="4">
        <f t="shared" si="250"/>
        <v>291799.8125</v>
      </c>
      <c r="I2627" s="5">
        <v>41780</v>
      </c>
      <c r="J2627" s="4">
        <v>4065.88</v>
      </c>
      <c r="K2627" s="4">
        <f t="shared" si="251"/>
        <v>40658.800000000003</v>
      </c>
    </row>
    <row r="2628" spans="4:11" x14ac:dyDescent="0.35">
      <c r="D2628" s="1">
        <v>41821</v>
      </c>
      <c r="E2628">
        <v>2.2048000000000001</v>
      </c>
      <c r="F2628" s="1">
        <v>41408</v>
      </c>
      <c r="G2628">
        <v>131.64099999999999</v>
      </c>
      <c r="H2628" s="4">
        <f t="shared" ref="H2628:H2691" si="252">G2628*E2628*1000</f>
        <v>290242.07679999998</v>
      </c>
      <c r="I2628" s="5">
        <v>41779</v>
      </c>
      <c r="J2628" s="4">
        <v>4074.14</v>
      </c>
      <c r="K2628" s="4">
        <f t="shared" si="251"/>
        <v>40741.4</v>
      </c>
    </row>
    <row r="2629" spans="4:11" x14ac:dyDescent="0.35">
      <c r="D2629" s="1">
        <v>41820</v>
      </c>
      <c r="E2629">
        <v>2.2019000000000002</v>
      </c>
      <c r="F2629" s="1">
        <v>41407</v>
      </c>
      <c r="G2629">
        <v>132</v>
      </c>
      <c r="H2629" s="4">
        <f t="shared" si="252"/>
        <v>290650.8</v>
      </c>
      <c r="I2629" s="5">
        <v>41778</v>
      </c>
      <c r="J2629" s="4">
        <v>4060.38</v>
      </c>
      <c r="K2629" s="4">
        <f t="shared" ref="K2629:K2692" si="253">J2629*10</f>
        <v>40603.800000000003</v>
      </c>
    </row>
    <row r="2630" spans="4:11" x14ac:dyDescent="0.35">
      <c r="D2630" s="1">
        <v>41817</v>
      </c>
      <c r="E2630">
        <v>2.1968999999999999</v>
      </c>
      <c r="F2630" s="1">
        <v>41404</v>
      </c>
      <c r="G2630">
        <v>132.09399999999999</v>
      </c>
      <c r="H2630" s="4">
        <f t="shared" si="252"/>
        <v>290197.30859999999</v>
      </c>
      <c r="I2630" s="5">
        <v>41775</v>
      </c>
      <c r="J2630" s="4">
        <v>4077.81</v>
      </c>
      <c r="K2630" s="4">
        <f t="shared" si="253"/>
        <v>40778.1</v>
      </c>
    </row>
    <row r="2631" spans="4:11" x14ac:dyDescent="0.35">
      <c r="D2631" s="1">
        <v>41816</v>
      </c>
      <c r="E2631">
        <v>2.2082999999999999</v>
      </c>
      <c r="F2631" s="1">
        <v>41403</v>
      </c>
      <c r="G2631">
        <v>132.85900000000001</v>
      </c>
      <c r="H2631" s="4">
        <f t="shared" si="252"/>
        <v>293392.52970000001</v>
      </c>
      <c r="I2631" s="5">
        <v>41774</v>
      </c>
      <c r="J2631" s="4">
        <v>4086.06</v>
      </c>
      <c r="K2631" s="4">
        <f t="shared" si="253"/>
        <v>40860.6</v>
      </c>
    </row>
    <row r="2632" spans="4:11" x14ac:dyDescent="0.35">
      <c r="D2632" s="1">
        <v>41815</v>
      </c>
      <c r="E2632">
        <v>2.2046000000000001</v>
      </c>
      <c r="F2632" s="1">
        <v>41400</v>
      </c>
      <c r="G2632">
        <v>132.89099999999999</v>
      </c>
      <c r="H2632" s="4">
        <f t="shared" si="252"/>
        <v>292971.49859999999</v>
      </c>
      <c r="I2632" s="5">
        <v>41773</v>
      </c>
      <c r="J2632" s="4">
        <v>4058.55</v>
      </c>
      <c r="K2632" s="4">
        <f t="shared" si="253"/>
        <v>40585.5</v>
      </c>
    </row>
    <row r="2633" spans="4:11" x14ac:dyDescent="0.35">
      <c r="D2633" s="1">
        <v>41814</v>
      </c>
      <c r="E2633">
        <v>2.2210999999999999</v>
      </c>
      <c r="F2633" s="1">
        <v>41397</v>
      </c>
      <c r="G2633">
        <v>132.922</v>
      </c>
      <c r="H2633" s="4">
        <f t="shared" si="252"/>
        <v>295233.05419999996</v>
      </c>
      <c r="I2633" s="5">
        <v>41772</v>
      </c>
      <c r="J2633" s="4">
        <v>4080.56</v>
      </c>
      <c r="K2633" s="4">
        <f t="shared" si="253"/>
        <v>40805.599999999999</v>
      </c>
    </row>
    <row r="2634" spans="4:11" x14ac:dyDescent="0.35">
      <c r="D2634" s="1">
        <v>41813</v>
      </c>
      <c r="E2634">
        <v>2.2189000000000001</v>
      </c>
      <c r="F2634" s="1">
        <v>41394</v>
      </c>
      <c r="G2634">
        <v>133.35900000000001</v>
      </c>
      <c r="H2634" s="4">
        <f t="shared" si="252"/>
        <v>295910.28510000004</v>
      </c>
      <c r="I2634" s="5">
        <v>41771</v>
      </c>
      <c r="J2634" s="4">
        <v>4083.31</v>
      </c>
      <c r="K2634" s="4">
        <f t="shared" si="253"/>
        <v>40833.1</v>
      </c>
    </row>
    <row r="2635" spans="4:11" x14ac:dyDescent="0.35">
      <c r="D2635" s="1">
        <v>41810</v>
      </c>
      <c r="E2635">
        <v>2.2374000000000001</v>
      </c>
      <c r="F2635" s="1">
        <v>41388</v>
      </c>
      <c r="G2635">
        <v>133.01599999999999</v>
      </c>
      <c r="H2635" s="4">
        <f t="shared" si="252"/>
        <v>297609.99839999998</v>
      </c>
      <c r="I2635" s="5">
        <v>41768</v>
      </c>
      <c r="J2635" s="4">
        <v>4080.56</v>
      </c>
      <c r="K2635" s="4">
        <f t="shared" si="253"/>
        <v>40805.599999999999</v>
      </c>
    </row>
    <row r="2636" spans="4:11" x14ac:dyDescent="0.35">
      <c r="D2636" s="1">
        <v>41808</v>
      </c>
      <c r="E2636">
        <v>2.2528000000000001</v>
      </c>
      <c r="F2636" s="1">
        <v>41383</v>
      </c>
      <c r="G2636">
        <v>133</v>
      </c>
      <c r="H2636" s="4">
        <f t="shared" si="252"/>
        <v>299622.40000000002</v>
      </c>
      <c r="I2636" s="5">
        <v>41767</v>
      </c>
      <c r="J2636" s="4">
        <v>4090.64</v>
      </c>
      <c r="K2636" s="4">
        <f t="shared" si="253"/>
        <v>40906.400000000001</v>
      </c>
    </row>
    <row r="2637" spans="4:11" x14ac:dyDescent="0.35">
      <c r="D2637" s="1">
        <v>41807</v>
      </c>
      <c r="E2637">
        <v>2.2480000000000002</v>
      </c>
      <c r="F2637" s="1">
        <v>41380</v>
      </c>
      <c r="G2637">
        <v>132.922</v>
      </c>
      <c r="H2637" s="4">
        <f t="shared" si="252"/>
        <v>298808.65600000002</v>
      </c>
      <c r="I2637" s="5">
        <v>41766</v>
      </c>
      <c r="J2637" s="4">
        <v>4094.31</v>
      </c>
      <c r="K2637" s="4">
        <f t="shared" si="253"/>
        <v>40943.1</v>
      </c>
    </row>
    <row r="2638" spans="4:11" x14ac:dyDescent="0.35">
      <c r="D2638" s="1">
        <v>41806</v>
      </c>
      <c r="E2638">
        <v>2.2307000000000001</v>
      </c>
      <c r="F2638" s="1">
        <v>41379</v>
      </c>
      <c r="G2638">
        <v>133.203</v>
      </c>
      <c r="H2638" s="4">
        <f t="shared" si="252"/>
        <v>297135.93210000003</v>
      </c>
      <c r="I2638" s="5">
        <v>41765</v>
      </c>
      <c r="J2638" s="4">
        <v>4119.07</v>
      </c>
      <c r="K2638" s="4">
        <f t="shared" si="253"/>
        <v>41190.699999999997</v>
      </c>
    </row>
    <row r="2639" spans="4:11" x14ac:dyDescent="0.35">
      <c r="D2639" s="1">
        <v>41803</v>
      </c>
      <c r="E2639">
        <v>2.2341000000000002</v>
      </c>
      <c r="F2639" s="1">
        <v>41372</v>
      </c>
      <c r="G2639">
        <v>132.953</v>
      </c>
      <c r="H2639" s="4">
        <f t="shared" si="252"/>
        <v>297030.29730000003</v>
      </c>
      <c r="I2639" s="5">
        <v>41764</v>
      </c>
      <c r="J2639" s="4">
        <v>4150.25</v>
      </c>
      <c r="K2639" s="4">
        <f t="shared" si="253"/>
        <v>41502.5</v>
      </c>
    </row>
    <row r="2640" spans="4:11" x14ac:dyDescent="0.35">
      <c r="D2640" s="1">
        <v>41802</v>
      </c>
      <c r="E2640">
        <v>2.2298</v>
      </c>
      <c r="F2640" s="1">
        <v>41369</v>
      </c>
      <c r="G2640">
        <v>133.25</v>
      </c>
      <c r="H2640" s="4">
        <f t="shared" si="252"/>
        <v>297120.85000000003</v>
      </c>
      <c r="I2640" s="5">
        <v>41761</v>
      </c>
      <c r="J2640" s="4">
        <v>4103.4799999999996</v>
      </c>
      <c r="K2640" s="4">
        <f t="shared" si="253"/>
        <v>41034.799999999996</v>
      </c>
    </row>
    <row r="2641" spans="4:11" x14ac:dyDescent="0.35">
      <c r="D2641" s="1">
        <v>41801</v>
      </c>
      <c r="E2641">
        <v>2.2301000000000002</v>
      </c>
      <c r="F2641" s="1">
        <v>41368</v>
      </c>
      <c r="G2641">
        <v>132.81299999999999</v>
      </c>
      <c r="H2641" s="4">
        <f t="shared" si="252"/>
        <v>296186.27129999996</v>
      </c>
      <c r="I2641" s="5">
        <v>41759</v>
      </c>
      <c r="J2641" s="4">
        <v>4130.07</v>
      </c>
      <c r="K2641" s="4">
        <f t="shared" si="253"/>
        <v>41300.699999999997</v>
      </c>
    </row>
    <row r="2642" spans="4:11" x14ac:dyDescent="0.35">
      <c r="D2642" s="1">
        <v>41800</v>
      </c>
      <c r="E2642">
        <v>2.2290000000000001</v>
      </c>
      <c r="F2642" s="1">
        <v>41367</v>
      </c>
      <c r="G2642">
        <v>132.40600000000001</v>
      </c>
      <c r="H2642" s="4">
        <f t="shared" si="252"/>
        <v>295132.97400000005</v>
      </c>
      <c r="I2642" s="5">
        <v>41758</v>
      </c>
      <c r="J2642" s="4">
        <v>4135.58</v>
      </c>
      <c r="K2642" s="4">
        <f t="shared" si="253"/>
        <v>41355.800000000003</v>
      </c>
    </row>
    <row r="2643" spans="4:11" x14ac:dyDescent="0.35">
      <c r="D2643" s="1">
        <v>41799</v>
      </c>
      <c r="E2643">
        <v>2.2330000000000001</v>
      </c>
      <c r="F2643" s="1">
        <v>41366</v>
      </c>
      <c r="G2643">
        <v>132.15600000000001</v>
      </c>
      <c r="H2643" s="4">
        <f t="shared" si="252"/>
        <v>295104.348</v>
      </c>
      <c r="I2643" s="5">
        <v>41757</v>
      </c>
      <c r="J2643" s="4">
        <v>4112.4799999999996</v>
      </c>
      <c r="K2643" s="4">
        <f t="shared" si="253"/>
        <v>41124.799999999996</v>
      </c>
    </row>
    <row r="2644" spans="4:11" x14ac:dyDescent="0.35">
      <c r="D2644" s="1">
        <v>41796</v>
      </c>
      <c r="E2644">
        <v>2.2439</v>
      </c>
      <c r="F2644" s="1">
        <v>41361</v>
      </c>
      <c r="G2644">
        <v>131.90600000000001</v>
      </c>
      <c r="H2644" s="4">
        <f t="shared" si="252"/>
        <v>295983.87339999998</v>
      </c>
      <c r="I2644" s="5">
        <v>41754</v>
      </c>
      <c r="J2644" s="4">
        <v>4153.13</v>
      </c>
      <c r="K2644" s="4">
        <f t="shared" si="253"/>
        <v>41531.300000000003</v>
      </c>
    </row>
    <row r="2645" spans="4:11" x14ac:dyDescent="0.35">
      <c r="D2645" s="1">
        <v>41795</v>
      </c>
      <c r="E2645">
        <v>2.2688999999999999</v>
      </c>
      <c r="F2645" s="1">
        <v>41360</v>
      </c>
      <c r="G2645">
        <v>132.03100000000001</v>
      </c>
      <c r="H2645" s="4">
        <f t="shared" si="252"/>
        <v>299565.13590000005</v>
      </c>
      <c r="I2645" s="5">
        <v>41753</v>
      </c>
      <c r="J2645" s="4">
        <v>4099.54</v>
      </c>
      <c r="K2645" s="4">
        <f t="shared" si="253"/>
        <v>40995.4</v>
      </c>
    </row>
    <row r="2646" spans="4:11" x14ac:dyDescent="0.35">
      <c r="D2646" s="1">
        <v>41794</v>
      </c>
      <c r="E2646">
        <v>2.2795999999999998</v>
      </c>
      <c r="F2646" s="1">
        <v>41359</v>
      </c>
      <c r="G2646">
        <v>131.625</v>
      </c>
      <c r="H2646" s="4">
        <f t="shared" si="252"/>
        <v>300052.34999999998</v>
      </c>
      <c r="I2646" s="5">
        <v>41752</v>
      </c>
      <c r="J2646" s="4">
        <v>4111.55</v>
      </c>
      <c r="K2646" s="4">
        <f t="shared" si="253"/>
        <v>41115.5</v>
      </c>
    </row>
    <row r="2647" spans="4:11" x14ac:dyDescent="0.35">
      <c r="D2647" s="1">
        <v>41793</v>
      </c>
      <c r="E2647">
        <v>2.2648000000000001</v>
      </c>
      <c r="F2647" s="1">
        <v>41354</v>
      </c>
      <c r="G2647">
        <v>131.5</v>
      </c>
      <c r="H2647" s="4">
        <f t="shared" si="252"/>
        <v>297821.2</v>
      </c>
      <c r="I2647" s="5">
        <v>41751</v>
      </c>
      <c r="J2647" s="4">
        <v>4148.51</v>
      </c>
      <c r="K2647" s="4">
        <f t="shared" si="253"/>
        <v>41485.100000000006</v>
      </c>
    </row>
    <row r="2648" spans="4:11" x14ac:dyDescent="0.35">
      <c r="D2648" s="1">
        <v>41792</v>
      </c>
      <c r="E2648">
        <v>2.2633999999999999</v>
      </c>
      <c r="F2648" s="1">
        <v>41353</v>
      </c>
      <c r="G2648">
        <v>131.18799999999999</v>
      </c>
      <c r="H2648" s="4">
        <f t="shared" si="252"/>
        <v>296930.91919999995</v>
      </c>
      <c r="I2648" s="5">
        <v>41746</v>
      </c>
      <c r="J2648" s="4">
        <v>4146.66</v>
      </c>
      <c r="K2648" s="4">
        <f t="shared" si="253"/>
        <v>41466.6</v>
      </c>
    </row>
    <row r="2649" spans="4:11" x14ac:dyDescent="0.35">
      <c r="D2649" s="1">
        <v>41789</v>
      </c>
      <c r="E2649">
        <v>2.2383999999999999</v>
      </c>
      <c r="F2649" s="1">
        <v>41352</v>
      </c>
      <c r="G2649">
        <v>131.5</v>
      </c>
      <c r="H2649" s="4">
        <f t="shared" si="252"/>
        <v>294349.60000000003</v>
      </c>
      <c r="I2649" s="5">
        <v>41745</v>
      </c>
      <c r="J2649" s="4">
        <v>4161.45</v>
      </c>
      <c r="K2649" s="4">
        <f t="shared" si="253"/>
        <v>41614.5</v>
      </c>
    </row>
    <row r="2650" spans="4:11" x14ac:dyDescent="0.35">
      <c r="D2650" s="1">
        <v>41788</v>
      </c>
      <c r="E2650">
        <v>2.2244999999999999</v>
      </c>
      <c r="F2650" s="1">
        <v>41351</v>
      </c>
      <c r="G2650">
        <v>131.09399999999999</v>
      </c>
      <c r="H2650" s="4">
        <f t="shared" si="252"/>
        <v>291618.60299999994</v>
      </c>
      <c r="I2650" s="5">
        <v>41744</v>
      </c>
      <c r="J2650" s="4">
        <v>4139.2700000000004</v>
      </c>
      <c r="K2650" s="4">
        <f t="shared" si="253"/>
        <v>41392.700000000004</v>
      </c>
    </row>
    <row r="2651" spans="4:11" x14ac:dyDescent="0.35">
      <c r="D2651" s="1">
        <v>41787</v>
      </c>
      <c r="E2651">
        <v>2.2399</v>
      </c>
      <c r="F2651" s="1">
        <v>41348</v>
      </c>
      <c r="G2651">
        <v>130.84399999999999</v>
      </c>
      <c r="H2651" s="4">
        <f t="shared" si="252"/>
        <v>293077.47560000001</v>
      </c>
      <c r="I2651" s="5">
        <v>41743</v>
      </c>
      <c r="J2651" s="4">
        <v>4108.78</v>
      </c>
      <c r="K2651" s="4">
        <f t="shared" si="253"/>
        <v>41087.799999999996</v>
      </c>
    </row>
    <row r="2652" spans="4:11" x14ac:dyDescent="0.35">
      <c r="D2652" s="1">
        <v>41786</v>
      </c>
      <c r="E2652">
        <v>2.2347999999999999</v>
      </c>
      <c r="F2652" s="1">
        <v>41345</v>
      </c>
      <c r="G2652">
        <v>130.56299999999999</v>
      </c>
      <c r="H2652" s="4">
        <f t="shared" si="252"/>
        <v>291782.1924</v>
      </c>
      <c r="I2652" s="5">
        <v>41740</v>
      </c>
      <c r="J2652" s="4">
        <v>4118.9399999999996</v>
      </c>
      <c r="K2652" s="4">
        <f t="shared" si="253"/>
        <v>41189.399999999994</v>
      </c>
    </row>
    <row r="2653" spans="4:11" x14ac:dyDescent="0.35">
      <c r="D2653" s="1">
        <v>41785</v>
      </c>
      <c r="E2653">
        <v>2.2202999999999999</v>
      </c>
      <c r="F2653" s="1">
        <v>41344</v>
      </c>
      <c r="G2653">
        <v>130.203</v>
      </c>
      <c r="H2653" s="4">
        <f t="shared" si="252"/>
        <v>289089.72089999996</v>
      </c>
      <c r="I2653" s="5">
        <v>41739</v>
      </c>
      <c r="J2653" s="4">
        <v>4097.6899999999996</v>
      </c>
      <c r="K2653" s="4">
        <f t="shared" si="253"/>
        <v>40976.899999999994</v>
      </c>
    </row>
    <row r="2654" spans="4:11" x14ac:dyDescent="0.35">
      <c r="D2654" s="1">
        <v>41782</v>
      </c>
      <c r="E2654">
        <v>2.2181000000000002</v>
      </c>
      <c r="F2654" s="1">
        <v>41341</v>
      </c>
      <c r="G2654">
        <v>130.28100000000001</v>
      </c>
      <c r="H2654" s="4">
        <f t="shared" si="252"/>
        <v>288976.28610000003</v>
      </c>
      <c r="I2654" s="5">
        <v>41738</v>
      </c>
      <c r="J2654" s="4">
        <v>4061.66</v>
      </c>
      <c r="K2654" s="4">
        <f t="shared" si="253"/>
        <v>40616.6</v>
      </c>
    </row>
    <row r="2655" spans="4:11" x14ac:dyDescent="0.35">
      <c r="D2655" s="1">
        <v>41781</v>
      </c>
      <c r="E2655">
        <v>2.2124999999999999</v>
      </c>
      <c r="F2655" s="1">
        <v>41340</v>
      </c>
      <c r="G2655">
        <v>130.81299999999999</v>
      </c>
      <c r="H2655" s="4">
        <f t="shared" si="252"/>
        <v>289423.76249999995</v>
      </c>
      <c r="I2655" s="5">
        <v>41737</v>
      </c>
      <c r="J2655" s="4">
        <v>4094.92</v>
      </c>
      <c r="K2655" s="4">
        <f t="shared" si="253"/>
        <v>40949.199999999997</v>
      </c>
    </row>
    <row r="2656" spans="4:11" x14ac:dyDescent="0.35">
      <c r="D2656" s="1">
        <v>41780</v>
      </c>
      <c r="E2656">
        <v>2.2105000000000001</v>
      </c>
      <c r="F2656" s="1">
        <v>41339</v>
      </c>
      <c r="G2656">
        <v>131.18799999999999</v>
      </c>
      <c r="H2656" s="4">
        <f t="shared" si="252"/>
        <v>289991.07399999996</v>
      </c>
      <c r="I2656" s="5">
        <v>41736</v>
      </c>
      <c r="J2656" s="4">
        <v>4124.49</v>
      </c>
      <c r="K2656" s="4">
        <f t="shared" si="253"/>
        <v>41244.899999999994</v>
      </c>
    </row>
    <row r="2657" spans="4:11" x14ac:dyDescent="0.35">
      <c r="D2657" s="1">
        <v>41779</v>
      </c>
      <c r="E2657">
        <v>2.2149999999999999</v>
      </c>
      <c r="F2657" s="1">
        <v>41338</v>
      </c>
      <c r="G2657">
        <v>131.43799999999999</v>
      </c>
      <c r="H2657" s="4">
        <f t="shared" si="252"/>
        <v>291135.17</v>
      </c>
      <c r="I2657" s="5">
        <v>41733</v>
      </c>
      <c r="J2657" s="4">
        <v>4157.75</v>
      </c>
      <c r="K2657" s="4">
        <f t="shared" si="253"/>
        <v>41577.5</v>
      </c>
    </row>
    <row r="2658" spans="4:11" x14ac:dyDescent="0.35">
      <c r="D2658" s="1">
        <v>41778</v>
      </c>
      <c r="E2658">
        <v>2.2105000000000001</v>
      </c>
      <c r="F2658" s="1">
        <v>41337</v>
      </c>
      <c r="G2658">
        <v>131.73400000000001</v>
      </c>
      <c r="H2658" s="4">
        <f t="shared" si="252"/>
        <v>291198.00700000004</v>
      </c>
      <c r="I2658" s="5">
        <v>41732</v>
      </c>
      <c r="J2658" s="4">
        <v>4242.75</v>
      </c>
      <c r="K2658" s="4">
        <f t="shared" si="253"/>
        <v>42427.5</v>
      </c>
    </row>
    <row r="2659" spans="4:11" x14ac:dyDescent="0.35">
      <c r="D2659" s="1">
        <v>41775</v>
      </c>
      <c r="E2659">
        <v>2.2103999999999999</v>
      </c>
      <c r="F2659" s="1">
        <v>41333</v>
      </c>
      <c r="G2659">
        <v>131.60599999999999</v>
      </c>
      <c r="H2659" s="4">
        <f t="shared" si="252"/>
        <v>290901.90239999996</v>
      </c>
      <c r="I2659" s="5">
        <v>41731</v>
      </c>
      <c r="J2659" s="4">
        <v>4224.2700000000004</v>
      </c>
      <c r="K2659" s="4">
        <f t="shared" si="253"/>
        <v>42242.700000000004</v>
      </c>
    </row>
    <row r="2660" spans="4:11" x14ac:dyDescent="0.35">
      <c r="D2660" s="1">
        <v>41774</v>
      </c>
      <c r="E2660">
        <v>2.2160000000000002</v>
      </c>
      <c r="F2660" s="1">
        <v>41332</v>
      </c>
      <c r="G2660">
        <v>131.453</v>
      </c>
      <c r="H2660" s="4">
        <f t="shared" si="252"/>
        <v>291299.84800000006</v>
      </c>
      <c r="I2660" s="5">
        <v>41730</v>
      </c>
      <c r="J2660" s="4">
        <v>4210.41</v>
      </c>
      <c r="K2660" s="4">
        <f t="shared" si="253"/>
        <v>42104.1</v>
      </c>
    </row>
    <row r="2661" spans="4:11" x14ac:dyDescent="0.35">
      <c r="D2661" s="1">
        <v>41773</v>
      </c>
      <c r="E2661">
        <v>2.2122999999999999</v>
      </c>
      <c r="F2661" s="1">
        <v>41331</v>
      </c>
      <c r="G2661">
        <v>132.68799999999999</v>
      </c>
      <c r="H2661" s="4">
        <f t="shared" si="252"/>
        <v>293545.66239999997</v>
      </c>
      <c r="I2661" s="5">
        <v>41729</v>
      </c>
      <c r="J2661" s="4">
        <v>4233.51</v>
      </c>
      <c r="K2661" s="4">
        <f t="shared" si="253"/>
        <v>42335.100000000006</v>
      </c>
    </row>
    <row r="2662" spans="4:11" x14ac:dyDescent="0.35">
      <c r="D2662" s="1">
        <v>41772</v>
      </c>
      <c r="E2662">
        <v>2.2094999999999998</v>
      </c>
      <c r="F2662" s="1">
        <v>41330</v>
      </c>
      <c r="G2662">
        <v>131.703</v>
      </c>
      <c r="H2662" s="4">
        <f t="shared" si="252"/>
        <v>290997.77849999996</v>
      </c>
      <c r="I2662" s="5">
        <v>41726</v>
      </c>
      <c r="J2662" s="4">
        <v>4209.49</v>
      </c>
      <c r="K2662" s="4">
        <f t="shared" si="253"/>
        <v>42094.899999999994</v>
      </c>
    </row>
    <row r="2663" spans="4:11" x14ac:dyDescent="0.35">
      <c r="D2663" s="1">
        <v>41771</v>
      </c>
      <c r="E2663">
        <v>2.2158000000000002</v>
      </c>
      <c r="F2663" s="1">
        <v>41326</v>
      </c>
      <c r="G2663">
        <v>131.922</v>
      </c>
      <c r="H2663" s="4">
        <f t="shared" si="252"/>
        <v>292312.76760000002</v>
      </c>
      <c r="I2663" s="5">
        <v>41725</v>
      </c>
      <c r="J2663" s="4">
        <v>4207.63</v>
      </c>
      <c r="K2663" s="4">
        <f t="shared" si="253"/>
        <v>42076.3</v>
      </c>
    </row>
    <row r="2664" spans="4:11" x14ac:dyDescent="0.35">
      <c r="D2664" s="1">
        <v>41768</v>
      </c>
      <c r="E2664">
        <v>2.2185999999999999</v>
      </c>
      <c r="F2664" s="1">
        <v>41324</v>
      </c>
      <c r="G2664">
        <v>131.375</v>
      </c>
      <c r="H2664" s="4">
        <f t="shared" si="252"/>
        <v>291468.57500000001</v>
      </c>
      <c r="I2664" s="5">
        <v>41724</v>
      </c>
      <c r="J2664" s="4">
        <v>4294.2</v>
      </c>
      <c r="K2664" s="4">
        <f t="shared" si="253"/>
        <v>42942</v>
      </c>
    </row>
    <row r="2665" spans="4:11" x14ac:dyDescent="0.35">
      <c r="D2665" s="1">
        <v>41767</v>
      </c>
      <c r="E2665">
        <v>2.2101000000000002</v>
      </c>
      <c r="F2665" s="1">
        <v>41323</v>
      </c>
      <c r="G2665">
        <v>131.48400000000001</v>
      </c>
      <c r="H2665" s="4">
        <f t="shared" si="252"/>
        <v>290592.78840000002</v>
      </c>
      <c r="I2665" s="5">
        <v>41723</v>
      </c>
      <c r="J2665" s="4">
        <v>4310.03</v>
      </c>
      <c r="K2665" s="4">
        <f t="shared" si="253"/>
        <v>43100.299999999996</v>
      </c>
    </row>
    <row r="2666" spans="4:11" x14ac:dyDescent="0.35">
      <c r="D2666" s="1">
        <v>41766</v>
      </c>
      <c r="E2666">
        <v>2.2275999999999998</v>
      </c>
      <c r="F2666" s="1">
        <v>41320</v>
      </c>
      <c r="G2666">
        <v>131.48400000000001</v>
      </c>
      <c r="H2666" s="4">
        <f t="shared" si="252"/>
        <v>292893.75839999999</v>
      </c>
      <c r="I2666" s="5">
        <v>41722</v>
      </c>
      <c r="J2666" s="4">
        <v>4335.16</v>
      </c>
      <c r="K2666" s="4">
        <f t="shared" si="253"/>
        <v>43351.6</v>
      </c>
    </row>
    <row r="2667" spans="4:11" x14ac:dyDescent="0.35">
      <c r="D2667" s="1">
        <v>41765</v>
      </c>
      <c r="E2667">
        <v>2.2315999999999998</v>
      </c>
      <c r="F2667" s="1">
        <v>41318</v>
      </c>
      <c r="G2667">
        <v>131.09399999999999</v>
      </c>
      <c r="H2667" s="4">
        <f t="shared" si="252"/>
        <v>292549.37040000001</v>
      </c>
      <c r="I2667" s="5">
        <v>41719</v>
      </c>
      <c r="J2667" s="4">
        <v>4341.68</v>
      </c>
      <c r="K2667" s="4">
        <f t="shared" si="253"/>
        <v>43416.800000000003</v>
      </c>
    </row>
    <row r="2668" spans="4:11" x14ac:dyDescent="0.35">
      <c r="D2668" s="1">
        <v>41764</v>
      </c>
      <c r="E2668">
        <v>2.2280000000000002</v>
      </c>
      <c r="F2668" s="1">
        <v>41313</v>
      </c>
      <c r="G2668">
        <v>131.672</v>
      </c>
      <c r="H2668" s="4">
        <f t="shared" si="252"/>
        <v>293365.21600000001</v>
      </c>
      <c r="I2668" s="5">
        <v>41718</v>
      </c>
      <c r="J2668" s="4">
        <v>4345.3999999999996</v>
      </c>
      <c r="K2668" s="4">
        <f t="shared" si="253"/>
        <v>43454</v>
      </c>
    </row>
    <row r="2669" spans="4:11" x14ac:dyDescent="0.35">
      <c r="D2669" s="1">
        <v>41761</v>
      </c>
      <c r="E2669">
        <v>2.2214999999999998</v>
      </c>
      <c r="F2669" s="1">
        <v>41311</v>
      </c>
      <c r="G2669">
        <v>131.65600000000001</v>
      </c>
      <c r="H2669" s="4">
        <f t="shared" si="252"/>
        <v>292473.80399999995</v>
      </c>
      <c r="I2669" s="5">
        <v>41717</v>
      </c>
      <c r="J2669" s="4">
        <v>4390.08</v>
      </c>
      <c r="K2669" s="4">
        <f t="shared" si="253"/>
        <v>43900.800000000003</v>
      </c>
    </row>
    <row r="2670" spans="4:11" x14ac:dyDescent="0.35">
      <c r="D2670" s="1">
        <v>41759</v>
      </c>
      <c r="E2670">
        <v>2.2353999999999998</v>
      </c>
      <c r="F2670" s="1">
        <v>41309</v>
      </c>
      <c r="G2670">
        <v>131.28100000000001</v>
      </c>
      <c r="H2670" s="4">
        <f t="shared" si="252"/>
        <v>293465.54739999998</v>
      </c>
      <c r="I2670" s="5">
        <v>41716</v>
      </c>
      <c r="J2670" s="4">
        <v>4360.3</v>
      </c>
      <c r="K2670" s="4">
        <f t="shared" si="253"/>
        <v>43603</v>
      </c>
    </row>
    <row r="2671" spans="4:11" x14ac:dyDescent="0.35">
      <c r="D2671" s="1">
        <v>41758</v>
      </c>
      <c r="E2671">
        <v>2.2193000000000001</v>
      </c>
      <c r="F2671" s="1">
        <v>41306</v>
      </c>
      <c r="G2671">
        <v>131.172</v>
      </c>
      <c r="H2671" s="4">
        <f t="shared" si="252"/>
        <v>291110.0196</v>
      </c>
      <c r="I2671" s="5">
        <v>41715</v>
      </c>
      <c r="J2671" s="4">
        <v>4391.95</v>
      </c>
      <c r="K2671" s="4">
        <f t="shared" si="253"/>
        <v>43919.5</v>
      </c>
    </row>
    <row r="2672" spans="4:11" x14ac:dyDescent="0.35">
      <c r="D2672" s="1">
        <v>41757</v>
      </c>
      <c r="E2672">
        <v>2.2364000000000002</v>
      </c>
      <c r="F2672" s="1">
        <v>41305</v>
      </c>
      <c r="G2672">
        <v>131.172</v>
      </c>
      <c r="H2672" s="4">
        <f t="shared" si="252"/>
        <v>293353.06080000004</v>
      </c>
      <c r="I2672" s="5">
        <v>41712</v>
      </c>
      <c r="J2672" s="4">
        <v>4389.1499999999996</v>
      </c>
      <c r="K2672" s="4">
        <f t="shared" si="253"/>
        <v>43891.5</v>
      </c>
    </row>
    <row r="2673" spans="4:11" x14ac:dyDescent="0.35">
      <c r="D2673" s="1">
        <v>41754</v>
      </c>
      <c r="E2673">
        <v>2.2319</v>
      </c>
      <c r="F2673" s="1">
        <v>41304</v>
      </c>
      <c r="G2673">
        <v>131</v>
      </c>
      <c r="H2673" s="4">
        <f t="shared" si="252"/>
        <v>292378.89999999997</v>
      </c>
      <c r="I2673" s="5">
        <v>41711</v>
      </c>
      <c r="J2673" s="4">
        <v>4420.8</v>
      </c>
      <c r="K2673" s="4">
        <f t="shared" si="253"/>
        <v>44208</v>
      </c>
    </row>
    <row r="2674" spans="4:11" x14ac:dyDescent="0.35">
      <c r="D2674" s="1">
        <v>41753</v>
      </c>
      <c r="E2674">
        <v>2.2223000000000002</v>
      </c>
      <c r="F2674" s="1">
        <v>41303</v>
      </c>
      <c r="G2674">
        <v>131.453</v>
      </c>
      <c r="H2674" s="4">
        <f t="shared" si="252"/>
        <v>292128.00190000003</v>
      </c>
      <c r="I2674" s="5">
        <v>41710</v>
      </c>
      <c r="J2674" s="4">
        <v>4407.7700000000004</v>
      </c>
      <c r="K2674" s="4">
        <f t="shared" si="253"/>
        <v>44077.700000000004</v>
      </c>
    </row>
    <row r="2675" spans="4:11" x14ac:dyDescent="0.35">
      <c r="D2675" s="1">
        <v>41752</v>
      </c>
      <c r="E2675">
        <v>2.242</v>
      </c>
      <c r="F2675" s="1">
        <v>41302</v>
      </c>
      <c r="G2675">
        <v>131.15600000000001</v>
      </c>
      <c r="H2675" s="4">
        <f t="shared" si="252"/>
        <v>294051.75200000004</v>
      </c>
      <c r="I2675" s="5">
        <v>41709</v>
      </c>
      <c r="J2675" s="4">
        <v>4427.32</v>
      </c>
      <c r="K2675" s="4">
        <f t="shared" si="253"/>
        <v>44273.2</v>
      </c>
    </row>
    <row r="2676" spans="4:11" x14ac:dyDescent="0.35">
      <c r="D2676" s="1">
        <v>41751</v>
      </c>
      <c r="E2676">
        <v>2.2443</v>
      </c>
      <c r="F2676" s="1">
        <v>41298</v>
      </c>
      <c r="G2676">
        <v>132.172</v>
      </c>
      <c r="H2676" s="4">
        <f t="shared" si="252"/>
        <v>296633.61959999998</v>
      </c>
      <c r="I2676" s="5">
        <v>41708</v>
      </c>
      <c r="J2676" s="4">
        <v>4404.9799999999996</v>
      </c>
      <c r="K2676" s="4">
        <f t="shared" si="253"/>
        <v>44049.799999999996</v>
      </c>
    </row>
    <row r="2677" spans="4:11" x14ac:dyDescent="0.35">
      <c r="D2677" s="1">
        <v>41746</v>
      </c>
      <c r="E2677">
        <v>2.2475999999999998</v>
      </c>
      <c r="F2677" s="1">
        <v>41296</v>
      </c>
      <c r="G2677">
        <v>132.21899999999999</v>
      </c>
      <c r="H2677" s="4">
        <f t="shared" si="252"/>
        <v>297175.42439999996</v>
      </c>
      <c r="I2677" s="5">
        <v>41705</v>
      </c>
      <c r="J2677" s="4">
        <v>4386.3599999999997</v>
      </c>
      <c r="K2677" s="4">
        <f t="shared" si="253"/>
        <v>43863.6</v>
      </c>
    </row>
    <row r="2678" spans="4:11" x14ac:dyDescent="0.35">
      <c r="D2678" s="1">
        <v>41745</v>
      </c>
      <c r="E2678">
        <v>2.2336</v>
      </c>
      <c r="F2678" s="1">
        <v>41292</v>
      </c>
      <c r="G2678">
        <v>132.15600000000001</v>
      </c>
      <c r="H2678" s="4">
        <f t="shared" si="252"/>
        <v>295183.64160000003</v>
      </c>
      <c r="I2678" s="5">
        <v>41704</v>
      </c>
      <c r="J2678" s="4">
        <v>4350.99</v>
      </c>
      <c r="K2678" s="4">
        <f t="shared" si="253"/>
        <v>43509.899999999994</v>
      </c>
    </row>
    <row r="2679" spans="4:11" x14ac:dyDescent="0.35">
      <c r="D2679" s="1">
        <v>41744</v>
      </c>
      <c r="E2679">
        <v>2.2250999999999999</v>
      </c>
      <c r="F2679" s="1">
        <v>41290</v>
      </c>
      <c r="G2679">
        <v>132.34399999999999</v>
      </c>
      <c r="H2679" s="4">
        <f t="shared" si="252"/>
        <v>294478.63439999998</v>
      </c>
      <c r="I2679" s="5">
        <v>41703</v>
      </c>
      <c r="J2679" s="4">
        <v>4345.3999999999996</v>
      </c>
      <c r="K2679" s="4">
        <f t="shared" si="253"/>
        <v>43454</v>
      </c>
    </row>
    <row r="2680" spans="4:11" x14ac:dyDescent="0.35">
      <c r="D2680" s="1">
        <v>41743</v>
      </c>
      <c r="E2680">
        <v>2.2090000000000001</v>
      </c>
      <c r="F2680" s="1">
        <v>41289</v>
      </c>
      <c r="G2680">
        <v>132.23400000000001</v>
      </c>
      <c r="H2680" s="4">
        <f t="shared" si="252"/>
        <v>292104.90600000002</v>
      </c>
      <c r="I2680" s="5">
        <v>41698</v>
      </c>
      <c r="J2680" s="4">
        <v>4398.46</v>
      </c>
      <c r="K2680" s="4">
        <f t="shared" si="253"/>
        <v>43984.6</v>
      </c>
    </row>
    <row r="2681" spans="4:11" x14ac:dyDescent="0.35">
      <c r="D2681" s="1">
        <v>41740</v>
      </c>
      <c r="E2681">
        <v>2.2052999999999998</v>
      </c>
      <c r="F2681" s="1">
        <v>41285</v>
      </c>
      <c r="G2681">
        <v>131.875</v>
      </c>
      <c r="H2681" s="4">
        <f t="shared" si="252"/>
        <v>290823.9375</v>
      </c>
      <c r="I2681" s="5">
        <v>41697</v>
      </c>
      <c r="J2681" s="4">
        <v>4351.92</v>
      </c>
      <c r="K2681" s="4">
        <f t="shared" si="253"/>
        <v>43519.199999999997</v>
      </c>
    </row>
    <row r="2682" spans="4:11" x14ac:dyDescent="0.35">
      <c r="D2682" s="1">
        <v>41739</v>
      </c>
      <c r="E2682">
        <v>2.1981999999999999</v>
      </c>
      <c r="F2682" s="1">
        <v>41283</v>
      </c>
      <c r="G2682">
        <v>131.90600000000001</v>
      </c>
      <c r="H2682" s="4">
        <f t="shared" si="252"/>
        <v>289955.76920000004</v>
      </c>
      <c r="I2682" s="5">
        <v>41696</v>
      </c>
      <c r="J2682" s="4">
        <v>4410.97</v>
      </c>
      <c r="K2682" s="4">
        <f t="shared" si="253"/>
        <v>44109.700000000004</v>
      </c>
    </row>
    <row r="2683" spans="4:11" x14ac:dyDescent="0.35">
      <c r="D2683" s="1">
        <v>41738</v>
      </c>
      <c r="E2683">
        <v>2.2105000000000001</v>
      </c>
      <c r="F2683" s="1">
        <v>41281</v>
      </c>
      <c r="G2683">
        <v>131.547</v>
      </c>
      <c r="H2683" s="4">
        <f t="shared" si="252"/>
        <v>290784.64350000001</v>
      </c>
      <c r="I2683" s="5">
        <v>41695</v>
      </c>
      <c r="J2683" s="4">
        <v>4392.22</v>
      </c>
      <c r="K2683" s="4">
        <f t="shared" si="253"/>
        <v>43922.200000000004</v>
      </c>
    </row>
    <row r="2684" spans="4:11" x14ac:dyDescent="0.35">
      <c r="D2684" s="1">
        <v>41737</v>
      </c>
      <c r="E2684">
        <v>2.1968000000000001</v>
      </c>
      <c r="F2684" s="1">
        <v>41278</v>
      </c>
      <c r="G2684">
        <v>131.51599999999999</v>
      </c>
      <c r="H2684" s="4">
        <f t="shared" si="252"/>
        <v>288914.34879999998</v>
      </c>
      <c r="I2684" s="5">
        <v>41694</v>
      </c>
      <c r="J2684" s="4">
        <v>4395.97</v>
      </c>
      <c r="K2684" s="4">
        <f t="shared" si="253"/>
        <v>43959.700000000004</v>
      </c>
    </row>
    <row r="2685" spans="4:11" x14ac:dyDescent="0.35">
      <c r="D2685" s="1">
        <v>41736</v>
      </c>
      <c r="E2685">
        <v>2.2320000000000002</v>
      </c>
      <c r="F2685" s="1">
        <v>41277</v>
      </c>
      <c r="G2685">
        <v>131.96899999999999</v>
      </c>
      <c r="H2685" s="4">
        <f t="shared" si="252"/>
        <v>294554.80800000002</v>
      </c>
      <c r="I2685" s="5">
        <v>41691</v>
      </c>
      <c r="J2685" s="4">
        <v>4416.59</v>
      </c>
      <c r="K2685" s="4">
        <f t="shared" si="253"/>
        <v>44165.9</v>
      </c>
    </row>
    <row r="2686" spans="4:11" x14ac:dyDescent="0.35">
      <c r="D2686" s="1">
        <v>41733</v>
      </c>
      <c r="E2686">
        <v>2.2414000000000001</v>
      </c>
      <c r="F2686" s="1">
        <v>41276</v>
      </c>
      <c r="G2686">
        <v>132.28100000000001</v>
      </c>
      <c r="H2686" s="4">
        <f t="shared" si="252"/>
        <v>296494.63339999999</v>
      </c>
      <c r="I2686" s="5">
        <v>41690</v>
      </c>
      <c r="J2686" s="4">
        <v>4456.8999999999996</v>
      </c>
      <c r="K2686" s="4">
        <f t="shared" si="253"/>
        <v>44569</v>
      </c>
    </row>
    <row r="2687" spans="4:11" x14ac:dyDescent="0.35">
      <c r="D2687" s="1">
        <v>41732</v>
      </c>
      <c r="E2687">
        <v>2.2805</v>
      </c>
      <c r="F2687" s="1">
        <v>41256</v>
      </c>
      <c r="G2687">
        <v>132.81200000000001</v>
      </c>
      <c r="H2687" s="4">
        <f t="shared" si="252"/>
        <v>302877.766</v>
      </c>
      <c r="I2687" s="5">
        <v>41689</v>
      </c>
      <c r="J2687" s="4">
        <v>4500.01</v>
      </c>
      <c r="K2687" s="4">
        <f t="shared" si="253"/>
        <v>45000.100000000006</v>
      </c>
    </row>
    <row r="2688" spans="4:11" x14ac:dyDescent="0.35">
      <c r="D2688" s="1">
        <v>41731</v>
      </c>
      <c r="E2688">
        <v>2.2705000000000002</v>
      </c>
      <c r="F2688" s="1">
        <v>41255</v>
      </c>
      <c r="G2688">
        <v>133.06299999999999</v>
      </c>
      <c r="H2688" s="4">
        <f t="shared" si="252"/>
        <v>302119.54150000005</v>
      </c>
      <c r="I2688" s="5">
        <v>41688</v>
      </c>
      <c r="J2688" s="4">
        <v>4504.7</v>
      </c>
      <c r="K2688" s="4">
        <f t="shared" si="253"/>
        <v>45047</v>
      </c>
    </row>
    <row r="2689" spans="4:11" x14ac:dyDescent="0.35">
      <c r="D2689" s="1">
        <v>41730</v>
      </c>
      <c r="E2689">
        <v>2.2614000000000001</v>
      </c>
      <c r="F2689" s="1">
        <v>41254</v>
      </c>
      <c r="G2689">
        <v>133.40600000000001</v>
      </c>
      <c r="H2689" s="4">
        <f t="shared" si="252"/>
        <v>301684.3284</v>
      </c>
      <c r="I2689" s="5">
        <v>41687</v>
      </c>
      <c r="J2689" s="4">
        <v>4497.2</v>
      </c>
      <c r="K2689" s="4">
        <f t="shared" si="253"/>
        <v>44972</v>
      </c>
    </row>
    <row r="2690" spans="4:11" x14ac:dyDescent="0.35">
      <c r="D2690" s="1">
        <v>41729</v>
      </c>
      <c r="E2690">
        <v>2.2624</v>
      </c>
      <c r="F2690" s="1">
        <v>41250</v>
      </c>
      <c r="G2690">
        <v>133.51599999999999</v>
      </c>
      <c r="H2690" s="4">
        <f t="shared" si="252"/>
        <v>302066.59839999996</v>
      </c>
      <c r="I2690" s="5">
        <v>41684</v>
      </c>
      <c r="J2690" s="4">
        <v>4495.33</v>
      </c>
      <c r="K2690" s="4">
        <f t="shared" si="253"/>
        <v>44953.3</v>
      </c>
    </row>
    <row r="2691" spans="4:11" x14ac:dyDescent="0.35">
      <c r="D2691" s="1">
        <v>41726</v>
      </c>
      <c r="E2691">
        <v>2.2597</v>
      </c>
      <c r="F2691" s="1">
        <v>41248</v>
      </c>
      <c r="G2691">
        <v>133.84399999999999</v>
      </c>
      <c r="H2691" s="4">
        <f t="shared" si="252"/>
        <v>302447.28679999994</v>
      </c>
      <c r="I2691" s="5">
        <v>41683</v>
      </c>
      <c r="J2691" s="4">
        <v>4506.57</v>
      </c>
      <c r="K2691" s="4">
        <f t="shared" si="253"/>
        <v>45065.7</v>
      </c>
    </row>
    <row r="2692" spans="4:11" x14ac:dyDescent="0.35">
      <c r="D2692" s="1">
        <v>41725</v>
      </c>
      <c r="E2692">
        <v>2.2824</v>
      </c>
      <c r="F2692" s="1">
        <v>41247</v>
      </c>
      <c r="G2692">
        <v>133.5</v>
      </c>
      <c r="H2692" s="4">
        <f t="shared" ref="H2692:H2755" si="254">G2692*E2692*1000</f>
        <v>304700.40000000002</v>
      </c>
      <c r="I2692" s="5">
        <v>41682</v>
      </c>
      <c r="J2692" s="4">
        <v>4568.4399999999996</v>
      </c>
      <c r="K2692" s="4">
        <f t="shared" si="253"/>
        <v>45684.399999999994</v>
      </c>
    </row>
    <row r="2693" spans="4:11" x14ac:dyDescent="0.35">
      <c r="D2693" s="1">
        <v>41724</v>
      </c>
      <c r="E2693">
        <v>2.3113000000000001</v>
      </c>
      <c r="F2693" s="1">
        <v>41242</v>
      </c>
      <c r="G2693">
        <v>133.953</v>
      </c>
      <c r="H2693" s="4">
        <f t="shared" si="254"/>
        <v>309605.56890000001</v>
      </c>
      <c r="I2693" s="5">
        <v>41681</v>
      </c>
      <c r="J2693" s="4">
        <v>4523.4399999999996</v>
      </c>
      <c r="K2693" s="4">
        <f t="shared" ref="K2693:K2756" si="255">J2693*10</f>
        <v>45234.399999999994</v>
      </c>
    </row>
    <row r="2694" spans="4:11" x14ac:dyDescent="0.35">
      <c r="D2694" s="1">
        <v>41723</v>
      </c>
      <c r="E2694">
        <v>2.3117999999999999</v>
      </c>
      <c r="F2694" s="1">
        <v>41241</v>
      </c>
      <c r="G2694">
        <v>133.75</v>
      </c>
      <c r="H2694" s="4">
        <f t="shared" si="254"/>
        <v>309203.24999999994</v>
      </c>
      <c r="I2694" s="5">
        <v>41680</v>
      </c>
      <c r="J2694" s="4">
        <v>4542.1899999999996</v>
      </c>
      <c r="K2694" s="4">
        <f t="shared" si="255"/>
        <v>45421.899999999994</v>
      </c>
    </row>
    <row r="2695" spans="4:11" x14ac:dyDescent="0.35">
      <c r="D2695" s="1">
        <v>41722</v>
      </c>
      <c r="E2695">
        <v>2.3241999999999998</v>
      </c>
      <c r="F2695" s="1">
        <v>41234</v>
      </c>
      <c r="G2695">
        <v>133.34399999999999</v>
      </c>
      <c r="H2695" s="4">
        <f t="shared" si="254"/>
        <v>309918.12479999999</v>
      </c>
      <c r="I2695" s="5">
        <v>41677</v>
      </c>
      <c r="J2695" s="4">
        <v>4486.8900000000003</v>
      </c>
      <c r="K2695" s="4">
        <f t="shared" si="255"/>
        <v>44868.9</v>
      </c>
    </row>
    <row r="2696" spans="4:11" x14ac:dyDescent="0.35">
      <c r="D2696" s="1">
        <v>41719</v>
      </c>
      <c r="E2696">
        <v>2.3239000000000001</v>
      </c>
      <c r="F2696" s="1">
        <v>41232</v>
      </c>
      <c r="G2696">
        <v>133.73400000000001</v>
      </c>
      <c r="H2696" s="4">
        <f t="shared" si="254"/>
        <v>310784.44260000001</v>
      </c>
      <c r="I2696" s="5">
        <v>41676</v>
      </c>
      <c r="J2696" s="4">
        <v>4494.3900000000003</v>
      </c>
      <c r="K2696" s="4">
        <f t="shared" si="255"/>
        <v>44943.9</v>
      </c>
    </row>
    <row r="2697" spans="4:11" x14ac:dyDescent="0.35">
      <c r="D2697" s="1">
        <v>41718</v>
      </c>
      <c r="E2697">
        <v>2.3414000000000001</v>
      </c>
      <c r="F2697" s="1">
        <v>41222</v>
      </c>
      <c r="G2697">
        <v>133.78100000000001</v>
      </c>
      <c r="H2697" s="4">
        <f t="shared" si="254"/>
        <v>313234.8334</v>
      </c>
      <c r="I2697" s="5">
        <v>41675</v>
      </c>
      <c r="J2697" s="4">
        <v>4534.6899999999996</v>
      </c>
      <c r="K2697" s="4">
        <f t="shared" si="255"/>
        <v>45346.899999999994</v>
      </c>
    </row>
    <row r="2698" spans="4:11" x14ac:dyDescent="0.35">
      <c r="D2698" s="1">
        <v>41717</v>
      </c>
      <c r="E2698">
        <v>2.3332999999999999</v>
      </c>
      <c r="F2698" s="1">
        <v>41221</v>
      </c>
      <c r="G2698">
        <v>133.76599999999999</v>
      </c>
      <c r="H2698" s="4">
        <f t="shared" si="254"/>
        <v>312116.20779999997</v>
      </c>
      <c r="I2698" s="5">
        <v>41674</v>
      </c>
      <c r="J2698" s="4">
        <v>4540.32</v>
      </c>
      <c r="K2698" s="4">
        <f t="shared" si="255"/>
        <v>45403.199999999997</v>
      </c>
    </row>
    <row r="2699" spans="4:11" x14ac:dyDescent="0.35">
      <c r="D2699" s="1">
        <v>41716</v>
      </c>
      <c r="E2699">
        <v>2.3515999999999999</v>
      </c>
      <c r="F2699" s="1">
        <v>41220</v>
      </c>
      <c r="G2699">
        <v>133.547</v>
      </c>
      <c r="H2699" s="4">
        <f t="shared" si="254"/>
        <v>314049.12520000001</v>
      </c>
      <c r="I2699" s="5">
        <v>41673</v>
      </c>
      <c r="J2699" s="4">
        <v>4607.8</v>
      </c>
      <c r="K2699" s="4">
        <f t="shared" si="255"/>
        <v>46078</v>
      </c>
    </row>
    <row r="2700" spans="4:11" x14ac:dyDescent="0.35">
      <c r="D2700" s="1">
        <v>41715</v>
      </c>
      <c r="E2700">
        <v>2.3513000000000002</v>
      </c>
      <c r="F2700" s="1">
        <v>41208</v>
      </c>
      <c r="G2700">
        <v>132.26599999999999</v>
      </c>
      <c r="H2700" s="4">
        <f t="shared" si="254"/>
        <v>310997.04580000002</v>
      </c>
      <c r="I2700" s="5">
        <v>41670</v>
      </c>
      <c r="J2700" s="4">
        <v>4559.0600000000004</v>
      </c>
      <c r="K2700" s="4">
        <f t="shared" si="255"/>
        <v>45590.600000000006</v>
      </c>
    </row>
    <row r="2701" spans="4:11" x14ac:dyDescent="0.35">
      <c r="D2701" s="1">
        <v>41712</v>
      </c>
      <c r="E2701">
        <v>2.3631000000000002</v>
      </c>
      <c r="F2701" s="1">
        <v>41207</v>
      </c>
      <c r="G2701">
        <v>132.06299999999999</v>
      </c>
      <c r="H2701" s="4">
        <f t="shared" si="254"/>
        <v>312078.07530000003</v>
      </c>
      <c r="I2701" s="5">
        <v>41669</v>
      </c>
      <c r="J2701" s="4">
        <v>4555.3100000000004</v>
      </c>
      <c r="K2701" s="4">
        <f t="shared" si="255"/>
        <v>45553.100000000006</v>
      </c>
    </row>
    <row r="2702" spans="4:11" x14ac:dyDescent="0.35">
      <c r="D2702" s="1">
        <v>41711</v>
      </c>
      <c r="E2702">
        <v>2.3479999999999999</v>
      </c>
      <c r="F2702" s="1">
        <v>41192</v>
      </c>
      <c r="G2702">
        <v>133.203</v>
      </c>
      <c r="H2702" s="4">
        <f t="shared" si="254"/>
        <v>312760.64400000003</v>
      </c>
      <c r="I2702" s="5">
        <v>41668</v>
      </c>
      <c r="J2702" s="4">
        <v>4606.3100000000004</v>
      </c>
      <c r="K2702" s="4">
        <f t="shared" si="255"/>
        <v>46063.100000000006</v>
      </c>
    </row>
    <row r="2703" spans="4:11" x14ac:dyDescent="0.35">
      <c r="D2703" s="1">
        <v>41710</v>
      </c>
      <c r="E2703">
        <v>2.3643000000000001</v>
      </c>
      <c r="F2703" s="1">
        <v>41191</v>
      </c>
      <c r="G2703">
        <v>133.06299999999999</v>
      </c>
      <c r="H2703" s="4">
        <f t="shared" si="254"/>
        <v>314600.85089999996</v>
      </c>
      <c r="I2703" s="5">
        <v>41667</v>
      </c>
      <c r="J2703" s="4">
        <v>4579.8599999999997</v>
      </c>
      <c r="K2703" s="4">
        <f t="shared" si="255"/>
        <v>45798.6</v>
      </c>
    </row>
    <row r="2704" spans="4:11" x14ac:dyDescent="0.35">
      <c r="D2704" s="1">
        <v>41709</v>
      </c>
      <c r="E2704">
        <v>2.3454999999999999</v>
      </c>
      <c r="F2704" s="1">
        <v>41187</v>
      </c>
      <c r="G2704">
        <v>132.93799999999999</v>
      </c>
      <c r="H2704" s="4">
        <f t="shared" si="254"/>
        <v>311806.07899999997</v>
      </c>
      <c r="I2704" s="5">
        <v>41666</v>
      </c>
      <c r="J2704" s="4">
        <v>4583.6400000000003</v>
      </c>
      <c r="K2704" s="4">
        <f t="shared" si="255"/>
        <v>45836.4</v>
      </c>
    </row>
    <row r="2705" spans="4:11" x14ac:dyDescent="0.35">
      <c r="D2705" s="1">
        <v>41708</v>
      </c>
      <c r="E2705">
        <v>2.3403999999999998</v>
      </c>
      <c r="F2705" s="1">
        <v>41184</v>
      </c>
      <c r="G2705">
        <v>133.547</v>
      </c>
      <c r="H2705" s="4">
        <f t="shared" si="254"/>
        <v>312553.39879999997</v>
      </c>
      <c r="I2705" s="5">
        <v>41663</v>
      </c>
      <c r="J2705" s="4">
        <v>4537.37</v>
      </c>
      <c r="K2705" s="4">
        <f t="shared" si="255"/>
        <v>45373.7</v>
      </c>
    </row>
    <row r="2706" spans="4:11" x14ac:dyDescent="0.35">
      <c r="D2706" s="1">
        <v>41705</v>
      </c>
      <c r="E2706">
        <v>2.3376000000000001</v>
      </c>
      <c r="F2706" s="1">
        <v>41183</v>
      </c>
      <c r="G2706">
        <v>133.6</v>
      </c>
      <c r="H2706" s="4">
        <f t="shared" si="254"/>
        <v>312303.35999999999</v>
      </c>
      <c r="I2706" s="5">
        <v>41662</v>
      </c>
      <c r="J2706" s="4">
        <v>4540.2</v>
      </c>
      <c r="K2706" s="4">
        <f t="shared" si="255"/>
        <v>45402</v>
      </c>
    </row>
    <row r="2707" spans="4:11" x14ac:dyDescent="0.35">
      <c r="D2707" s="1">
        <v>41704</v>
      </c>
      <c r="E2707">
        <v>2.3088000000000002</v>
      </c>
      <c r="F2707" s="1">
        <v>41180</v>
      </c>
      <c r="G2707">
        <v>133.375</v>
      </c>
      <c r="H2707" s="4">
        <f t="shared" si="254"/>
        <v>307936.20000000007</v>
      </c>
      <c r="I2707" s="5">
        <v>41661</v>
      </c>
      <c r="J2707" s="4">
        <v>4491.1000000000004</v>
      </c>
      <c r="K2707" s="4">
        <f t="shared" si="255"/>
        <v>44911</v>
      </c>
    </row>
    <row r="2708" spans="4:11" x14ac:dyDescent="0.35">
      <c r="D2708" s="1">
        <v>41703</v>
      </c>
      <c r="E2708">
        <v>2.3233999999999999</v>
      </c>
      <c r="F2708" s="1">
        <v>41177</v>
      </c>
      <c r="G2708">
        <v>133.21899999999999</v>
      </c>
      <c r="H2708" s="4">
        <f t="shared" si="254"/>
        <v>309521.0246</v>
      </c>
      <c r="I2708" s="5">
        <v>41660</v>
      </c>
      <c r="J2708" s="4">
        <v>4471.2700000000004</v>
      </c>
      <c r="K2708" s="4">
        <f t="shared" si="255"/>
        <v>44712.700000000004</v>
      </c>
    </row>
    <row r="2709" spans="4:11" x14ac:dyDescent="0.35">
      <c r="D2709" s="1">
        <v>41698</v>
      </c>
      <c r="E2709">
        <v>2.3327</v>
      </c>
      <c r="F2709" s="1">
        <v>41170</v>
      </c>
      <c r="G2709">
        <v>132.26599999999999</v>
      </c>
      <c r="H2709" s="4">
        <f t="shared" si="254"/>
        <v>308536.8982</v>
      </c>
      <c r="I2709" s="5">
        <v>41659</v>
      </c>
      <c r="J2709" s="4">
        <v>4440.1099999999997</v>
      </c>
      <c r="K2709" s="4">
        <f t="shared" si="255"/>
        <v>44401.1</v>
      </c>
    </row>
    <row r="2710" spans="4:11" x14ac:dyDescent="0.35">
      <c r="D2710" s="1">
        <v>41697</v>
      </c>
      <c r="E2710">
        <v>2.3431000000000002</v>
      </c>
      <c r="F2710" s="1">
        <v>41166</v>
      </c>
      <c r="G2710">
        <v>132.047</v>
      </c>
      <c r="H2710" s="4">
        <f t="shared" si="254"/>
        <v>309399.32570000004</v>
      </c>
      <c r="I2710" s="5">
        <v>41656</v>
      </c>
      <c r="J2710" s="4">
        <v>4441.05</v>
      </c>
      <c r="K2710" s="4">
        <f t="shared" si="255"/>
        <v>44410.5</v>
      </c>
    </row>
    <row r="2711" spans="4:11" x14ac:dyDescent="0.35">
      <c r="D2711" s="1">
        <v>41696</v>
      </c>
      <c r="E2711">
        <v>2.3448000000000002</v>
      </c>
      <c r="F2711" s="1">
        <v>41165</v>
      </c>
      <c r="G2711">
        <v>132.25</v>
      </c>
      <c r="H2711" s="4">
        <f t="shared" si="254"/>
        <v>310099.8</v>
      </c>
      <c r="I2711" s="5">
        <v>41655</v>
      </c>
      <c r="J2711" s="4">
        <v>4478.82</v>
      </c>
      <c r="K2711" s="4">
        <f t="shared" si="255"/>
        <v>44788.2</v>
      </c>
    </row>
    <row r="2712" spans="4:11" x14ac:dyDescent="0.35">
      <c r="D2712" s="1">
        <v>41695</v>
      </c>
      <c r="E2712">
        <v>2.3361000000000001</v>
      </c>
      <c r="F2712" s="1">
        <v>41164</v>
      </c>
      <c r="G2712">
        <v>132.51599999999999</v>
      </c>
      <c r="H2712" s="4">
        <f t="shared" si="254"/>
        <v>309570.62759999995</v>
      </c>
      <c r="I2712" s="5">
        <v>41654</v>
      </c>
      <c r="J2712" s="4">
        <v>4475.05</v>
      </c>
      <c r="K2712" s="4">
        <f t="shared" si="255"/>
        <v>44750.5</v>
      </c>
    </row>
    <row r="2713" spans="4:11" x14ac:dyDescent="0.35">
      <c r="D2713" s="1">
        <v>41694</v>
      </c>
      <c r="E2713">
        <v>2.3384999999999998</v>
      </c>
      <c r="F2713" s="1">
        <v>41158</v>
      </c>
      <c r="G2713">
        <v>132.63999999999999</v>
      </c>
      <c r="H2713" s="4">
        <f t="shared" si="254"/>
        <v>310178.6399999999</v>
      </c>
      <c r="I2713" s="5">
        <v>41653</v>
      </c>
      <c r="J2713" s="4">
        <v>4461.83</v>
      </c>
      <c r="K2713" s="4">
        <f t="shared" si="255"/>
        <v>44618.3</v>
      </c>
    </row>
    <row r="2714" spans="4:11" x14ac:dyDescent="0.35">
      <c r="D2714" s="1">
        <v>41691</v>
      </c>
      <c r="E2714">
        <v>2.3618999999999999</v>
      </c>
      <c r="F2714" s="1">
        <v>41151</v>
      </c>
      <c r="G2714">
        <v>133.90600000000001</v>
      </c>
      <c r="H2714" s="4">
        <f t="shared" si="254"/>
        <v>316272.58139999997</v>
      </c>
      <c r="I2714" s="5">
        <v>41652</v>
      </c>
      <c r="J2714" s="4">
        <v>4475.99</v>
      </c>
      <c r="K2714" s="4">
        <f t="shared" si="255"/>
        <v>44759.899999999994</v>
      </c>
    </row>
    <row r="2715" spans="4:11" x14ac:dyDescent="0.35">
      <c r="D2715" s="1">
        <v>41690</v>
      </c>
      <c r="E2715">
        <v>2.3793000000000002</v>
      </c>
      <c r="F2715" s="1">
        <v>41150</v>
      </c>
      <c r="G2715">
        <v>133.78100000000001</v>
      </c>
      <c r="H2715" s="4">
        <f t="shared" si="254"/>
        <v>318305.13330000004</v>
      </c>
      <c r="I2715" s="5">
        <v>41649</v>
      </c>
      <c r="J2715" s="4">
        <v>4477.88</v>
      </c>
      <c r="K2715" s="4">
        <f t="shared" si="255"/>
        <v>44778.8</v>
      </c>
    </row>
    <row r="2716" spans="4:11" x14ac:dyDescent="0.35">
      <c r="D2716" s="1">
        <v>41689</v>
      </c>
      <c r="E2716">
        <v>2.3980000000000001</v>
      </c>
      <c r="F2716" s="1">
        <v>41149</v>
      </c>
      <c r="G2716">
        <v>134.03100000000001</v>
      </c>
      <c r="H2716" s="4">
        <f t="shared" si="254"/>
        <v>321406.33799999999</v>
      </c>
      <c r="I2716" s="5">
        <v>41648</v>
      </c>
      <c r="J2716" s="4">
        <v>4540.2</v>
      </c>
      <c r="K2716" s="4">
        <f t="shared" si="255"/>
        <v>45402</v>
      </c>
    </row>
    <row r="2717" spans="4:11" x14ac:dyDescent="0.35">
      <c r="D2717" s="1">
        <v>41688</v>
      </c>
      <c r="E2717">
        <v>2.3976999999999999</v>
      </c>
      <c r="F2717" s="1">
        <v>41148</v>
      </c>
      <c r="G2717">
        <v>133.78100000000001</v>
      </c>
      <c r="H2717" s="4">
        <f t="shared" si="254"/>
        <v>320766.70370000001</v>
      </c>
      <c r="I2717" s="5">
        <v>41647</v>
      </c>
      <c r="J2717" s="4">
        <v>4559.09</v>
      </c>
      <c r="K2717" s="4">
        <f t="shared" si="255"/>
        <v>45590.9</v>
      </c>
    </row>
    <row r="2718" spans="4:11" x14ac:dyDescent="0.35">
      <c r="D2718" s="1">
        <v>41687</v>
      </c>
      <c r="E2718">
        <v>2.3864000000000001</v>
      </c>
      <c r="F2718" s="1">
        <v>41145</v>
      </c>
      <c r="G2718">
        <v>133.98400000000001</v>
      </c>
      <c r="H2718" s="4">
        <f t="shared" si="254"/>
        <v>319739.41760000004</v>
      </c>
      <c r="I2718" s="5">
        <v>41646</v>
      </c>
      <c r="J2718" s="4">
        <v>4508.1000000000004</v>
      </c>
      <c r="K2718" s="4">
        <f t="shared" si="255"/>
        <v>45081</v>
      </c>
    </row>
    <row r="2719" spans="4:11" x14ac:dyDescent="0.35">
      <c r="D2719" s="1">
        <v>41684</v>
      </c>
      <c r="E2719">
        <v>2.3919000000000001</v>
      </c>
      <c r="F2719" s="1">
        <v>41143</v>
      </c>
      <c r="G2719">
        <v>132.80000000000001</v>
      </c>
      <c r="H2719" s="4">
        <f t="shared" si="254"/>
        <v>317644.32000000007</v>
      </c>
      <c r="I2719" s="5">
        <v>41645</v>
      </c>
      <c r="J2719" s="4">
        <v>4525.1000000000004</v>
      </c>
      <c r="K2719" s="4">
        <f t="shared" si="255"/>
        <v>45251</v>
      </c>
    </row>
    <row r="2720" spans="4:11" x14ac:dyDescent="0.35">
      <c r="D2720" s="1">
        <v>41683</v>
      </c>
      <c r="E2720">
        <v>2.4232</v>
      </c>
      <c r="F2720" s="1">
        <v>41142</v>
      </c>
      <c r="G2720">
        <v>132.625</v>
      </c>
      <c r="H2720" s="4">
        <f t="shared" si="254"/>
        <v>321376.89999999997</v>
      </c>
      <c r="I2720" s="5">
        <v>41642</v>
      </c>
      <c r="J2720" s="4">
        <v>4532.6499999999996</v>
      </c>
      <c r="K2720" s="4">
        <f t="shared" si="255"/>
        <v>45326.5</v>
      </c>
    </row>
    <row r="2721" spans="4:11" x14ac:dyDescent="0.35">
      <c r="D2721" s="1">
        <v>41682</v>
      </c>
      <c r="E2721">
        <v>2.4079999999999999</v>
      </c>
      <c r="F2721" s="1">
        <v>41138</v>
      </c>
      <c r="G2721">
        <v>132.547</v>
      </c>
      <c r="H2721" s="4">
        <f t="shared" si="254"/>
        <v>319173.17599999998</v>
      </c>
      <c r="I2721" s="5">
        <v>41641</v>
      </c>
      <c r="J2721" s="4">
        <v>4542.09</v>
      </c>
      <c r="K2721" s="4">
        <f t="shared" si="255"/>
        <v>45420.9</v>
      </c>
    </row>
    <row r="2722" spans="4:11" x14ac:dyDescent="0.35">
      <c r="D2722" s="1">
        <v>41681</v>
      </c>
      <c r="E2722">
        <v>2.407</v>
      </c>
      <c r="F2722" s="1">
        <v>41137</v>
      </c>
      <c r="G2722">
        <v>132.375</v>
      </c>
      <c r="H2722" s="4">
        <f t="shared" si="254"/>
        <v>318626.625</v>
      </c>
      <c r="I2722" s="5">
        <v>41638</v>
      </c>
      <c r="J2722" s="4">
        <v>4496.7700000000004</v>
      </c>
      <c r="K2722" s="4">
        <f t="shared" si="255"/>
        <v>44967.700000000004</v>
      </c>
    </row>
    <row r="2723" spans="4:11" x14ac:dyDescent="0.35">
      <c r="D2723" s="1">
        <v>41680</v>
      </c>
      <c r="E2723">
        <v>2.3929999999999998</v>
      </c>
      <c r="F2723" s="1">
        <v>41136</v>
      </c>
      <c r="G2723">
        <v>132.75</v>
      </c>
      <c r="H2723" s="4">
        <f t="shared" si="254"/>
        <v>317670.75</v>
      </c>
      <c r="I2723" s="5">
        <v>41635</v>
      </c>
      <c r="J2723" s="4">
        <v>4456.16</v>
      </c>
      <c r="K2723" s="4">
        <f t="shared" si="255"/>
        <v>44561.599999999999</v>
      </c>
    </row>
    <row r="2724" spans="4:11" x14ac:dyDescent="0.35">
      <c r="D2724" s="1">
        <v>41677</v>
      </c>
      <c r="E2724">
        <v>2.3811</v>
      </c>
      <c r="F2724" s="1">
        <v>41135</v>
      </c>
      <c r="G2724">
        <v>133.172</v>
      </c>
      <c r="H2724" s="4">
        <f t="shared" si="254"/>
        <v>317095.8492</v>
      </c>
      <c r="I2724" s="5">
        <v>41634</v>
      </c>
      <c r="J2724" s="4">
        <v>4488.55</v>
      </c>
      <c r="K2724" s="4">
        <f t="shared" si="255"/>
        <v>44885.5</v>
      </c>
    </row>
    <row r="2725" spans="4:11" x14ac:dyDescent="0.35">
      <c r="D2725" s="1">
        <v>41676</v>
      </c>
      <c r="E2725">
        <v>2.4035000000000002</v>
      </c>
      <c r="F2725" s="1">
        <v>41129</v>
      </c>
      <c r="G2725">
        <v>133.46899999999999</v>
      </c>
      <c r="H2725" s="4">
        <f t="shared" si="254"/>
        <v>320792.74150000006</v>
      </c>
      <c r="I2725" s="5">
        <v>41631</v>
      </c>
      <c r="J2725" s="4">
        <v>4500.93</v>
      </c>
      <c r="K2725" s="4">
        <f t="shared" si="255"/>
        <v>45009.3</v>
      </c>
    </row>
    <row r="2726" spans="4:11" x14ac:dyDescent="0.35">
      <c r="D2726" s="1">
        <v>41675</v>
      </c>
      <c r="E2726">
        <v>2.4100999999999999</v>
      </c>
      <c r="F2726" s="1">
        <v>41128</v>
      </c>
      <c r="G2726">
        <v>133.59399999999999</v>
      </c>
      <c r="H2726" s="4">
        <f t="shared" si="254"/>
        <v>321974.89939999999</v>
      </c>
      <c r="I2726" s="5">
        <v>41628</v>
      </c>
      <c r="J2726" s="4">
        <v>4550.47</v>
      </c>
      <c r="K2726" s="4">
        <f t="shared" si="255"/>
        <v>45504.700000000004</v>
      </c>
    </row>
    <row r="2727" spans="4:11" x14ac:dyDescent="0.35">
      <c r="D2727" s="1">
        <v>41674</v>
      </c>
      <c r="E2727">
        <v>2.4171</v>
      </c>
      <c r="F2727" s="1">
        <v>41117</v>
      </c>
      <c r="G2727">
        <v>134.25</v>
      </c>
      <c r="H2727" s="4">
        <f t="shared" si="254"/>
        <v>324495.67499999999</v>
      </c>
      <c r="I2727" s="5">
        <v>41627</v>
      </c>
      <c r="J2727" s="4">
        <v>4499.03</v>
      </c>
      <c r="K2727" s="4">
        <f t="shared" si="255"/>
        <v>44990.299999999996</v>
      </c>
    </row>
    <row r="2728" spans="4:11" x14ac:dyDescent="0.35">
      <c r="D2728" s="1">
        <v>41673</v>
      </c>
      <c r="E2728">
        <v>2.4083999999999999</v>
      </c>
      <c r="F2728" s="1">
        <v>41116</v>
      </c>
      <c r="G2728">
        <v>135.06</v>
      </c>
      <c r="H2728" s="4">
        <f t="shared" si="254"/>
        <v>325278.50400000002</v>
      </c>
      <c r="I2728" s="5">
        <v>41626</v>
      </c>
      <c r="J2728" s="4">
        <v>4456.16</v>
      </c>
      <c r="K2728" s="4">
        <f t="shared" si="255"/>
        <v>44561.599999999999</v>
      </c>
    </row>
    <row r="2729" spans="4:11" x14ac:dyDescent="0.35">
      <c r="D2729" s="1">
        <v>41670</v>
      </c>
      <c r="E2729">
        <v>2.4257</v>
      </c>
      <c r="F2729" s="1">
        <v>41114</v>
      </c>
      <c r="G2729">
        <v>135.203</v>
      </c>
      <c r="H2729" s="4">
        <f t="shared" si="254"/>
        <v>327961.91710000002</v>
      </c>
      <c r="I2729" s="5">
        <v>41625</v>
      </c>
      <c r="J2729" s="4">
        <v>4432.3500000000004</v>
      </c>
      <c r="K2729" s="4">
        <f t="shared" si="255"/>
        <v>44323.5</v>
      </c>
    </row>
    <row r="2730" spans="4:11" x14ac:dyDescent="0.35">
      <c r="D2730" s="1">
        <v>41669</v>
      </c>
      <c r="E2730">
        <v>2.4218000000000002</v>
      </c>
      <c r="F2730" s="1">
        <v>41107</v>
      </c>
      <c r="G2730">
        <v>134.78100000000001</v>
      </c>
      <c r="H2730" s="4">
        <f t="shared" si="254"/>
        <v>326412.62580000004</v>
      </c>
      <c r="I2730" s="5">
        <v>41624</v>
      </c>
      <c r="J2730" s="4">
        <v>4447.59</v>
      </c>
      <c r="K2730" s="4">
        <f t="shared" si="255"/>
        <v>44475.9</v>
      </c>
    </row>
    <row r="2731" spans="4:11" x14ac:dyDescent="0.35">
      <c r="D2731" s="1">
        <v>41668</v>
      </c>
      <c r="E2731">
        <v>2.4390000000000001</v>
      </c>
      <c r="F2731" s="1">
        <v>41106</v>
      </c>
      <c r="G2731">
        <v>134.90600000000001</v>
      </c>
      <c r="H2731" s="4">
        <f t="shared" si="254"/>
        <v>329035.73400000005</v>
      </c>
      <c r="I2731" s="5">
        <v>41621</v>
      </c>
      <c r="J2731" s="4">
        <v>4455.21</v>
      </c>
      <c r="K2731" s="4">
        <f t="shared" si="255"/>
        <v>44552.1</v>
      </c>
    </row>
    <row r="2732" spans="4:11" x14ac:dyDescent="0.35">
      <c r="D2732" s="1">
        <v>41667</v>
      </c>
      <c r="E2732">
        <v>2.4159000000000002</v>
      </c>
      <c r="F2732" s="1">
        <v>41103</v>
      </c>
      <c r="G2732">
        <v>134.375</v>
      </c>
      <c r="H2732" s="4">
        <f t="shared" si="254"/>
        <v>324636.5625</v>
      </c>
      <c r="I2732" s="5">
        <v>41620</v>
      </c>
      <c r="J2732" s="4">
        <v>4468.54</v>
      </c>
      <c r="K2732" s="4">
        <f t="shared" si="255"/>
        <v>44685.4</v>
      </c>
    </row>
    <row r="2733" spans="4:11" x14ac:dyDescent="0.35">
      <c r="D2733" s="1">
        <v>41666</v>
      </c>
      <c r="E2733">
        <v>2.4037999999999999</v>
      </c>
      <c r="F2733" s="1">
        <v>41101</v>
      </c>
      <c r="G2733">
        <v>134.43799999999999</v>
      </c>
      <c r="H2733" s="4">
        <f t="shared" si="254"/>
        <v>323162.06439999997</v>
      </c>
      <c r="I2733" s="5">
        <v>41619</v>
      </c>
      <c r="J2733" s="4">
        <v>4481.88</v>
      </c>
      <c r="K2733" s="4">
        <f t="shared" si="255"/>
        <v>44818.8</v>
      </c>
    </row>
    <row r="2734" spans="4:11" x14ac:dyDescent="0.35">
      <c r="D2734" s="1">
        <v>41663</v>
      </c>
      <c r="E2734">
        <v>2.4123000000000001</v>
      </c>
      <c r="F2734" s="1">
        <v>41100</v>
      </c>
      <c r="G2734">
        <v>134.625</v>
      </c>
      <c r="H2734" s="4">
        <f t="shared" si="254"/>
        <v>324755.88750000001</v>
      </c>
      <c r="I2734" s="5">
        <v>41618</v>
      </c>
      <c r="J2734" s="4">
        <v>4414.25</v>
      </c>
      <c r="K2734" s="4">
        <f t="shared" si="255"/>
        <v>44142.5</v>
      </c>
    </row>
    <row r="2735" spans="4:11" x14ac:dyDescent="0.35">
      <c r="D2735" s="1">
        <v>41662</v>
      </c>
      <c r="E2735">
        <v>2.3755000000000002</v>
      </c>
      <c r="F2735" s="1">
        <v>41096</v>
      </c>
      <c r="G2735">
        <v>134.328</v>
      </c>
      <c r="H2735" s="4">
        <f t="shared" si="254"/>
        <v>319096.16400000005</v>
      </c>
      <c r="I2735" s="5">
        <v>41617</v>
      </c>
      <c r="J2735" s="4">
        <v>4433.3</v>
      </c>
      <c r="K2735" s="4">
        <f t="shared" si="255"/>
        <v>44333</v>
      </c>
    </row>
    <row r="2736" spans="4:11" x14ac:dyDescent="0.35">
      <c r="D2736" s="1">
        <v>41661</v>
      </c>
      <c r="E2736">
        <v>2.3595000000000002</v>
      </c>
      <c r="F2736" s="1">
        <v>41095</v>
      </c>
      <c r="G2736">
        <v>133.875</v>
      </c>
      <c r="H2736" s="4">
        <f t="shared" si="254"/>
        <v>315878.0625</v>
      </c>
      <c r="I2736" s="5">
        <v>41614</v>
      </c>
      <c r="J2736" s="4">
        <v>4464.7299999999996</v>
      </c>
      <c r="K2736" s="4">
        <f t="shared" si="255"/>
        <v>44647.299999999996</v>
      </c>
    </row>
    <row r="2737" spans="4:11" x14ac:dyDescent="0.35">
      <c r="D2737" s="1">
        <v>41660</v>
      </c>
      <c r="E2737">
        <v>2.3601999999999999</v>
      </c>
      <c r="F2737" s="1">
        <v>41089</v>
      </c>
      <c r="G2737">
        <v>133.40600000000001</v>
      </c>
      <c r="H2737" s="4">
        <f t="shared" si="254"/>
        <v>314864.84120000002</v>
      </c>
      <c r="I2737" s="5">
        <v>41613</v>
      </c>
      <c r="J2737" s="4">
        <v>4512.3599999999997</v>
      </c>
      <c r="K2737" s="4">
        <f t="shared" si="255"/>
        <v>45123.6</v>
      </c>
    </row>
    <row r="2738" spans="4:11" x14ac:dyDescent="0.35">
      <c r="D2738" s="1">
        <v>41659</v>
      </c>
      <c r="E2738">
        <v>2.3329</v>
      </c>
      <c r="F2738" s="1">
        <v>41079</v>
      </c>
      <c r="G2738">
        <v>133.453</v>
      </c>
      <c r="H2738" s="4">
        <f t="shared" si="254"/>
        <v>311332.5037</v>
      </c>
      <c r="I2738" s="5">
        <v>41612</v>
      </c>
      <c r="J2738" s="4">
        <v>4579.04</v>
      </c>
      <c r="K2738" s="4">
        <f t="shared" si="255"/>
        <v>45790.400000000001</v>
      </c>
    </row>
    <row r="2739" spans="4:11" x14ac:dyDescent="0.35">
      <c r="D2739" s="1">
        <v>41656</v>
      </c>
      <c r="E2739">
        <v>2.3595000000000002</v>
      </c>
      <c r="F2739" s="1">
        <v>41074</v>
      </c>
      <c r="G2739">
        <v>133.453</v>
      </c>
      <c r="H2739" s="4">
        <f t="shared" si="254"/>
        <v>314882.35350000003</v>
      </c>
      <c r="I2739" s="5">
        <v>41611</v>
      </c>
      <c r="J2739" s="4">
        <v>4543.8</v>
      </c>
      <c r="K2739" s="4">
        <f t="shared" si="255"/>
        <v>45438</v>
      </c>
    </row>
    <row r="2740" spans="4:11" x14ac:dyDescent="0.35">
      <c r="D2740" s="1">
        <v>41655</v>
      </c>
      <c r="E2740">
        <v>2.3677000000000001</v>
      </c>
      <c r="F2740" s="1">
        <v>41071</v>
      </c>
      <c r="G2740">
        <v>133.78100000000001</v>
      </c>
      <c r="H2740" s="4">
        <f t="shared" si="254"/>
        <v>316753.27370000002</v>
      </c>
      <c r="I2740" s="5">
        <v>41610</v>
      </c>
      <c r="J2740" s="4">
        <v>4516.17</v>
      </c>
      <c r="K2740" s="4">
        <f t="shared" si="255"/>
        <v>45161.7</v>
      </c>
    </row>
    <row r="2741" spans="4:11" x14ac:dyDescent="0.35">
      <c r="D2741" s="1">
        <v>41654</v>
      </c>
      <c r="E2741">
        <v>2.3464999999999998</v>
      </c>
      <c r="F2741" s="1">
        <v>41061</v>
      </c>
      <c r="G2741">
        <v>134.78100000000001</v>
      </c>
      <c r="H2741" s="4">
        <f t="shared" si="254"/>
        <v>316263.6165</v>
      </c>
      <c r="I2741" s="5">
        <v>41607</v>
      </c>
      <c r="J2741" s="4">
        <v>4484.74</v>
      </c>
      <c r="K2741" s="4">
        <f t="shared" si="255"/>
        <v>44847.399999999994</v>
      </c>
    </row>
    <row r="2742" spans="4:11" x14ac:dyDescent="0.35">
      <c r="D2742" s="1">
        <v>41653</v>
      </c>
      <c r="E2742">
        <v>2.3611</v>
      </c>
      <c r="F2742" s="1">
        <v>41058</v>
      </c>
      <c r="G2742">
        <v>133.71899999999999</v>
      </c>
      <c r="H2742" s="4">
        <f t="shared" si="254"/>
        <v>315723.93089999998</v>
      </c>
      <c r="I2742" s="5">
        <v>41606</v>
      </c>
      <c r="J2742" s="4">
        <v>4448.54</v>
      </c>
      <c r="K2742" s="4">
        <f t="shared" si="255"/>
        <v>44485.4</v>
      </c>
    </row>
    <row r="2743" spans="4:11" x14ac:dyDescent="0.35">
      <c r="D2743" s="1">
        <v>41652</v>
      </c>
      <c r="E2743">
        <v>2.3485</v>
      </c>
      <c r="F2743" s="1">
        <v>41053</v>
      </c>
      <c r="G2743">
        <v>133.625</v>
      </c>
      <c r="H2743" s="4">
        <f t="shared" si="254"/>
        <v>313818.3125</v>
      </c>
      <c r="I2743" s="5">
        <v>41605</v>
      </c>
      <c r="J2743" s="4">
        <v>4474.4399999999996</v>
      </c>
      <c r="K2743" s="4">
        <f t="shared" si="255"/>
        <v>44744.399999999994</v>
      </c>
    </row>
    <row r="2744" spans="4:11" x14ac:dyDescent="0.35">
      <c r="D2744" s="1">
        <v>41649</v>
      </c>
      <c r="E2744">
        <v>2.3813</v>
      </c>
      <c r="F2744" s="1">
        <v>41051</v>
      </c>
      <c r="G2744">
        <v>133.48400000000001</v>
      </c>
      <c r="H2744" s="4">
        <f t="shared" si="254"/>
        <v>317865.44919999997</v>
      </c>
      <c r="I2744" s="5">
        <v>41604</v>
      </c>
      <c r="J2744" s="4">
        <v>4406.34</v>
      </c>
      <c r="K2744" s="4">
        <f t="shared" si="255"/>
        <v>44063.4</v>
      </c>
    </row>
    <row r="2745" spans="4:11" x14ac:dyDescent="0.35">
      <c r="D2745" s="1">
        <v>41648</v>
      </c>
      <c r="E2745">
        <v>2.3954</v>
      </c>
      <c r="F2745" s="1">
        <v>41047</v>
      </c>
      <c r="G2745">
        <v>133.85900000000001</v>
      </c>
      <c r="H2745" s="4">
        <f t="shared" si="254"/>
        <v>320645.84860000003</v>
      </c>
      <c r="I2745" s="5">
        <v>41603</v>
      </c>
      <c r="J2745" s="4">
        <v>4402.5</v>
      </c>
      <c r="K2745" s="4">
        <f t="shared" si="255"/>
        <v>44025</v>
      </c>
    </row>
    <row r="2746" spans="4:11" x14ac:dyDescent="0.35">
      <c r="D2746" s="1">
        <v>41647</v>
      </c>
      <c r="E2746">
        <v>2.3773</v>
      </c>
      <c r="F2746" s="1">
        <v>41046</v>
      </c>
      <c r="G2746">
        <v>133.79900000000001</v>
      </c>
      <c r="H2746" s="4">
        <f t="shared" si="254"/>
        <v>318080.3627</v>
      </c>
      <c r="I2746" s="5">
        <v>41600</v>
      </c>
      <c r="J2746" s="4">
        <v>4382.3599999999997</v>
      </c>
      <c r="K2746" s="4">
        <f t="shared" si="255"/>
        <v>43823.6</v>
      </c>
    </row>
    <row r="2747" spans="4:11" x14ac:dyDescent="0.35">
      <c r="D2747" s="1">
        <v>41646</v>
      </c>
      <c r="E2747">
        <v>2.3628</v>
      </c>
      <c r="F2747" s="1">
        <v>41045</v>
      </c>
      <c r="G2747">
        <v>133.11000000000001</v>
      </c>
      <c r="H2747" s="4">
        <f t="shared" si="254"/>
        <v>314512.30800000002</v>
      </c>
      <c r="I2747" s="5">
        <v>41599</v>
      </c>
      <c r="J2747" s="4">
        <v>4431.28</v>
      </c>
      <c r="K2747" s="4">
        <f t="shared" si="255"/>
        <v>44312.799999999996</v>
      </c>
    </row>
    <row r="2748" spans="4:11" x14ac:dyDescent="0.35">
      <c r="D2748" s="1">
        <v>41645</v>
      </c>
      <c r="E2748">
        <v>2.3782999999999999</v>
      </c>
      <c r="F2748" s="1">
        <v>41044</v>
      </c>
      <c r="G2748">
        <v>133.40600000000001</v>
      </c>
      <c r="H2748" s="4">
        <f t="shared" si="254"/>
        <v>317279.48980000004</v>
      </c>
      <c r="I2748" s="5">
        <v>41597</v>
      </c>
      <c r="J2748" s="4">
        <v>4368.93</v>
      </c>
      <c r="K2748" s="4">
        <f t="shared" si="255"/>
        <v>43689.3</v>
      </c>
    </row>
    <row r="2749" spans="4:11" x14ac:dyDescent="0.35">
      <c r="D2749" s="1">
        <v>41642</v>
      </c>
      <c r="E2749">
        <v>2.3734000000000002</v>
      </c>
      <c r="F2749" s="1">
        <v>41043</v>
      </c>
      <c r="G2749">
        <v>133.34399999999999</v>
      </c>
      <c r="H2749" s="4">
        <f t="shared" si="254"/>
        <v>316478.6496</v>
      </c>
      <c r="I2749" s="5">
        <v>41596</v>
      </c>
      <c r="J2749" s="4">
        <v>4358.38</v>
      </c>
      <c r="K2749" s="4">
        <f t="shared" si="255"/>
        <v>43583.8</v>
      </c>
    </row>
    <row r="2750" spans="4:11" x14ac:dyDescent="0.35">
      <c r="D2750" s="1">
        <v>41641</v>
      </c>
      <c r="E2750">
        <v>2.3969</v>
      </c>
      <c r="F2750" s="1">
        <v>41040</v>
      </c>
      <c r="G2750">
        <v>132.03100000000001</v>
      </c>
      <c r="H2750" s="4">
        <f t="shared" si="254"/>
        <v>316465.10390000005</v>
      </c>
      <c r="I2750" s="5">
        <v>41592</v>
      </c>
      <c r="J2750" s="4">
        <v>4454.3</v>
      </c>
      <c r="K2750" s="4">
        <f t="shared" si="255"/>
        <v>44543</v>
      </c>
    </row>
    <row r="2751" spans="4:11" x14ac:dyDescent="0.35">
      <c r="D2751" s="1">
        <v>41639</v>
      </c>
      <c r="E2751">
        <v>2.3420000000000001</v>
      </c>
      <c r="F2751" s="1">
        <v>41039</v>
      </c>
      <c r="G2751">
        <v>132.625</v>
      </c>
      <c r="H2751" s="4">
        <f t="shared" si="254"/>
        <v>310607.75</v>
      </c>
      <c r="I2751" s="5">
        <v>41591</v>
      </c>
      <c r="J2751" s="4">
        <v>4493.62</v>
      </c>
      <c r="K2751" s="4">
        <f t="shared" si="255"/>
        <v>44936.2</v>
      </c>
    </row>
    <row r="2752" spans="4:11" x14ac:dyDescent="0.35">
      <c r="D2752" s="1">
        <v>41638</v>
      </c>
      <c r="E2752">
        <v>2.3420000000000001</v>
      </c>
      <c r="F2752" s="1">
        <v>41038</v>
      </c>
      <c r="G2752">
        <v>132.81299999999999</v>
      </c>
      <c r="H2752" s="4">
        <f t="shared" si="254"/>
        <v>311048.04599999997</v>
      </c>
      <c r="I2752" s="5">
        <v>41590</v>
      </c>
      <c r="J2752" s="4">
        <v>4496.5</v>
      </c>
      <c r="K2752" s="4">
        <f t="shared" si="255"/>
        <v>44965</v>
      </c>
    </row>
    <row r="2753" spans="4:11" x14ac:dyDescent="0.35">
      <c r="D2753" s="1">
        <v>41635</v>
      </c>
      <c r="E2753">
        <v>2.3532000000000002</v>
      </c>
      <c r="F2753" s="1">
        <v>41036</v>
      </c>
      <c r="G2753">
        <v>132.625</v>
      </c>
      <c r="H2753" s="4">
        <f t="shared" si="254"/>
        <v>312093.15000000002</v>
      </c>
      <c r="I2753" s="5">
        <v>41589</v>
      </c>
      <c r="J2753" s="4">
        <v>4496.5</v>
      </c>
      <c r="K2753" s="4">
        <f t="shared" si="255"/>
        <v>44965</v>
      </c>
    </row>
    <row r="2754" spans="4:11" x14ac:dyDescent="0.35">
      <c r="D2754" s="1">
        <v>41634</v>
      </c>
      <c r="E2754">
        <v>2.3500999999999999</v>
      </c>
      <c r="F2754" s="1">
        <v>41033</v>
      </c>
      <c r="G2754">
        <v>132.375</v>
      </c>
      <c r="H2754" s="4">
        <f t="shared" si="254"/>
        <v>311094.48749999993</v>
      </c>
      <c r="I2754" s="5">
        <v>41586</v>
      </c>
      <c r="J2754" s="4">
        <v>4461.01</v>
      </c>
      <c r="K2754" s="4">
        <f t="shared" si="255"/>
        <v>44610.100000000006</v>
      </c>
    </row>
    <row r="2755" spans="4:11" x14ac:dyDescent="0.35">
      <c r="D2755" s="1">
        <v>41632</v>
      </c>
      <c r="E2755">
        <v>2.3542999999999998</v>
      </c>
      <c r="F2755" s="1">
        <v>41029</v>
      </c>
      <c r="G2755">
        <v>132.31299999999999</v>
      </c>
      <c r="H2755" s="4">
        <f t="shared" si="254"/>
        <v>311504.49589999992</v>
      </c>
      <c r="I2755" s="5">
        <v>41585</v>
      </c>
      <c r="J2755" s="4">
        <v>4444.7</v>
      </c>
      <c r="K2755" s="4">
        <f t="shared" si="255"/>
        <v>44447</v>
      </c>
    </row>
    <row r="2756" spans="4:11" x14ac:dyDescent="0.35">
      <c r="D2756" s="1">
        <v>41631</v>
      </c>
      <c r="E2756">
        <v>2.37</v>
      </c>
      <c r="F2756" s="1">
        <v>41026</v>
      </c>
      <c r="G2756">
        <v>132.13999999999999</v>
      </c>
      <c r="H2756" s="4">
        <f t="shared" ref="H2756:H2819" si="256">G2756*E2756*1000</f>
        <v>313171.8</v>
      </c>
      <c r="I2756" s="5">
        <v>41584</v>
      </c>
      <c r="J2756" s="4">
        <v>4412.09</v>
      </c>
      <c r="K2756" s="4">
        <f t="shared" si="255"/>
        <v>44120.9</v>
      </c>
    </row>
    <row r="2757" spans="4:11" x14ac:dyDescent="0.35">
      <c r="D2757" s="1">
        <v>41628</v>
      </c>
      <c r="E2757">
        <v>2.3811</v>
      </c>
      <c r="F2757" s="1">
        <v>41025</v>
      </c>
      <c r="G2757">
        <v>131.875</v>
      </c>
      <c r="H2757" s="4">
        <f t="shared" si="256"/>
        <v>314007.5625</v>
      </c>
      <c r="I2757" s="5">
        <v>41583</v>
      </c>
      <c r="J2757" s="4">
        <v>4413.05</v>
      </c>
      <c r="K2757" s="4">
        <f t="shared" ref="K2757:K2820" si="257">J2757*10</f>
        <v>44130.5</v>
      </c>
    </row>
    <row r="2758" spans="4:11" x14ac:dyDescent="0.35">
      <c r="D2758" s="1">
        <v>41627</v>
      </c>
      <c r="E2758">
        <v>2.3521999999999998</v>
      </c>
      <c r="F2758" s="1">
        <v>41024</v>
      </c>
      <c r="G2758">
        <v>131.53100000000001</v>
      </c>
      <c r="H2758" s="4">
        <f t="shared" si="256"/>
        <v>309387.2182</v>
      </c>
      <c r="I2758" s="5">
        <v>41582</v>
      </c>
      <c r="J2758" s="4">
        <v>4337.28</v>
      </c>
      <c r="K2758" s="4">
        <f t="shared" si="257"/>
        <v>43372.799999999996</v>
      </c>
    </row>
    <row r="2759" spans="4:11" x14ac:dyDescent="0.35">
      <c r="D2759" s="1">
        <v>41626</v>
      </c>
      <c r="E2759">
        <v>2.3268</v>
      </c>
      <c r="F2759" s="1">
        <v>41022</v>
      </c>
      <c r="G2759">
        <v>132.078</v>
      </c>
      <c r="H2759" s="4">
        <f t="shared" si="256"/>
        <v>307319.09039999999</v>
      </c>
      <c r="I2759" s="5">
        <v>41579</v>
      </c>
      <c r="J2759" s="4">
        <v>4358.38</v>
      </c>
      <c r="K2759" s="4">
        <f t="shared" si="257"/>
        <v>43583.8</v>
      </c>
    </row>
    <row r="2760" spans="4:11" x14ac:dyDescent="0.35">
      <c r="D2760" s="1">
        <v>41625</v>
      </c>
      <c r="E2760">
        <v>2.3214999999999999</v>
      </c>
      <c r="F2760" s="1">
        <v>41019</v>
      </c>
      <c r="G2760">
        <v>131.73500000000001</v>
      </c>
      <c r="H2760" s="4">
        <f t="shared" si="256"/>
        <v>305822.80250000005</v>
      </c>
      <c r="I2760" s="5">
        <v>41578</v>
      </c>
      <c r="J2760" s="4">
        <v>4324.8100000000004</v>
      </c>
      <c r="K2760" s="4">
        <f t="shared" si="257"/>
        <v>43248.100000000006</v>
      </c>
    </row>
    <row r="2761" spans="4:11" x14ac:dyDescent="0.35">
      <c r="D2761" s="1">
        <v>41624</v>
      </c>
      <c r="E2761">
        <v>2.3249</v>
      </c>
      <c r="F2761" s="1">
        <v>41016</v>
      </c>
      <c r="G2761">
        <v>131.35900000000001</v>
      </c>
      <c r="H2761" s="4">
        <f t="shared" si="256"/>
        <v>305396.53910000005</v>
      </c>
      <c r="I2761" s="5">
        <v>41577</v>
      </c>
      <c r="J2761" s="4">
        <v>4235.6099999999997</v>
      </c>
      <c r="K2761" s="4">
        <f t="shared" si="257"/>
        <v>42356.1</v>
      </c>
    </row>
    <row r="2762" spans="4:11" x14ac:dyDescent="0.35">
      <c r="D2762" s="1">
        <v>41621</v>
      </c>
      <c r="E2762">
        <v>2.3348</v>
      </c>
      <c r="F2762" s="1">
        <v>41010</v>
      </c>
      <c r="G2762">
        <v>131.25</v>
      </c>
      <c r="H2762" s="4">
        <f t="shared" si="256"/>
        <v>306442.5</v>
      </c>
      <c r="I2762" s="5">
        <v>41576</v>
      </c>
      <c r="J2762" s="4">
        <v>4225.95</v>
      </c>
      <c r="K2762" s="4">
        <f t="shared" si="257"/>
        <v>42259.5</v>
      </c>
    </row>
    <row r="2763" spans="4:11" x14ac:dyDescent="0.35">
      <c r="D2763" s="1">
        <v>41620</v>
      </c>
      <c r="E2763">
        <v>2.3332999999999999</v>
      </c>
      <c r="F2763" s="1">
        <v>41009</v>
      </c>
      <c r="G2763">
        <v>131.65600000000001</v>
      </c>
      <c r="H2763" s="4">
        <f t="shared" si="256"/>
        <v>307192.9448</v>
      </c>
      <c r="I2763" s="5">
        <v>41575</v>
      </c>
      <c r="J2763" s="4">
        <v>4218.22</v>
      </c>
      <c r="K2763" s="4">
        <f t="shared" si="257"/>
        <v>42182.200000000004</v>
      </c>
    </row>
    <row r="2764" spans="4:11" x14ac:dyDescent="0.35">
      <c r="D2764" s="1">
        <v>41619</v>
      </c>
      <c r="E2764">
        <v>2.3256000000000001</v>
      </c>
      <c r="F2764" s="1">
        <v>41008</v>
      </c>
      <c r="G2764">
        <v>131.09399999999999</v>
      </c>
      <c r="H2764" s="4">
        <f t="shared" si="256"/>
        <v>304872.20639999997</v>
      </c>
      <c r="I2764" s="5">
        <v>41572</v>
      </c>
      <c r="J2764" s="4">
        <v>4231.74</v>
      </c>
      <c r="K2764" s="4">
        <f t="shared" si="257"/>
        <v>42317.399999999994</v>
      </c>
    </row>
    <row r="2765" spans="4:11" x14ac:dyDescent="0.35">
      <c r="D2765" s="1">
        <v>41618</v>
      </c>
      <c r="E2765">
        <v>2.3096000000000001</v>
      </c>
      <c r="F2765" s="1">
        <v>41004</v>
      </c>
      <c r="G2765">
        <v>129.81299999999999</v>
      </c>
      <c r="H2765" s="4">
        <f t="shared" si="256"/>
        <v>299816.10480000003</v>
      </c>
      <c r="I2765" s="5">
        <v>41571</v>
      </c>
      <c r="J2765" s="4">
        <v>4265.5600000000004</v>
      </c>
      <c r="K2765" s="4">
        <f t="shared" si="257"/>
        <v>42655.600000000006</v>
      </c>
    </row>
    <row r="2766" spans="4:11" x14ac:dyDescent="0.35">
      <c r="D2766" s="1">
        <v>41617</v>
      </c>
      <c r="E2766">
        <v>2.3218000000000001</v>
      </c>
      <c r="F2766" s="1">
        <v>41002</v>
      </c>
      <c r="G2766">
        <v>128.85900000000001</v>
      </c>
      <c r="H2766" s="4">
        <f t="shared" si="256"/>
        <v>299184.82620000001</v>
      </c>
      <c r="I2766" s="5">
        <v>41570</v>
      </c>
      <c r="J2766" s="4">
        <v>4241.41</v>
      </c>
      <c r="K2766" s="4">
        <f t="shared" si="257"/>
        <v>42414.1</v>
      </c>
    </row>
    <row r="2767" spans="4:11" x14ac:dyDescent="0.35">
      <c r="D2767" s="1">
        <v>41614</v>
      </c>
      <c r="E2767">
        <v>2.3519000000000001</v>
      </c>
      <c r="F2767" s="1">
        <v>41001</v>
      </c>
      <c r="G2767">
        <v>129.672</v>
      </c>
      <c r="H2767" s="4">
        <f t="shared" si="256"/>
        <v>304975.57679999998</v>
      </c>
      <c r="I2767" s="5">
        <v>41569</v>
      </c>
      <c r="J2767" s="4">
        <v>4205.66</v>
      </c>
      <c r="K2767" s="4">
        <f t="shared" si="257"/>
        <v>42056.6</v>
      </c>
    </row>
    <row r="2768" spans="4:11" x14ac:dyDescent="0.35">
      <c r="D2768" s="1">
        <v>41613</v>
      </c>
      <c r="E2768">
        <v>2.3740999999999999</v>
      </c>
      <c r="F2768" s="1">
        <v>40998</v>
      </c>
      <c r="G2768">
        <v>129.89099999999999</v>
      </c>
      <c r="H2768" s="4">
        <f t="shared" si="256"/>
        <v>308374.22309999994</v>
      </c>
      <c r="I2768" s="5">
        <v>41568</v>
      </c>
      <c r="J2768" s="4">
        <v>4220.1499999999996</v>
      </c>
      <c r="K2768" s="4">
        <f t="shared" si="257"/>
        <v>42201.5</v>
      </c>
    </row>
    <row r="2769" spans="4:11" x14ac:dyDescent="0.35">
      <c r="D2769" s="1">
        <v>41612</v>
      </c>
      <c r="E2769">
        <v>2.3734000000000002</v>
      </c>
      <c r="F2769" s="1">
        <v>40997</v>
      </c>
      <c r="G2769">
        <v>129.81299999999999</v>
      </c>
      <c r="H2769" s="4">
        <f t="shared" si="256"/>
        <v>308098.17420000001</v>
      </c>
      <c r="I2769" s="5">
        <v>41565</v>
      </c>
      <c r="J2769" s="4">
        <v>4218.22</v>
      </c>
      <c r="K2769" s="4">
        <f t="shared" si="257"/>
        <v>42182.200000000004</v>
      </c>
    </row>
    <row r="2770" spans="4:11" x14ac:dyDescent="0.35">
      <c r="D2770" s="1">
        <v>41611</v>
      </c>
      <c r="E2770">
        <v>2.3552</v>
      </c>
      <c r="F2770" s="1">
        <v>40996</v>
      </c>
      <c r="G2770">
        <v>129.46899999999999</v>
      </c>
      <c r="H2770" s="4">
        <f t="shared" si="256"/>
        <v>304925.38880000002</v>
      </c>
      <c r="I2770" s="5">
        <v>41564</v>
      </c>
      <c r="J2770" s="4">
        <v>4174.74</v>
      </c>
      <c r="K2770" s="4">
        <f t="shared" si="257"/>
        <v>41747.399999999994</v>
      </c>
    </row>
    <row r="2771" spans="4:11" x14ac:dyDescent="0.35">
      <c r="D2771" s="1">
        <v>41610</v>
      </c>
      <c r="E2771">
        <v>2.3443000000000001</v>
      </c>
      <c r="F2771" s="1">
        <v>40995</v>
      </c>
      <c r="G2771">
        <v>129.73400000000001</v>
      </c>
      <c r="H2771" s="4">
        <f t="shared" si="256"/>
        <v>304135.41620000004</v>
      </c>
      <c r="I2771" s="5">
        <v>41563</v>
      </c>
      <c r="J2771" s="4">
        <v>4229.8100000000004</v>
      </c>
      <c r="K2771" s="4">
        <f t="shared" si="257"/>
        <v>42298.100000000006</v>
      </c>
    </row>
    <row r="2772" spans="4:11" x14ac:dyDescent="0.35">
      <c r="D2772" s="1">
        <v>41607</v>
      </c>
      <c r="E2772">
        <v>2.3243</v>
      </c>
      <c r="F2772" s="1">
        <v>40994</v>
      </c>
      <c r="G2772">
        <v>128.76499999999999</v>
      </c>
      <c r="H2772" s="4">
        <f t="shared" si="256"/>
        <v>299288.48949999997</v>
      </c>
      <c r="I2772" s="5">
        <v>41562</v>
      </c>
      <c r="J2772" s="4">
        <v>4226.91</v>
      </c>
      <c r="K2772" s="4">
        <f t="shared" si="257"/>
        <v>42269.1</v>
      </c>
    </row>
    <row r="2773" spans="4:11" x14ac:dyDescent="0.35">
      <c r="D2773" s="1">
        <v>41606</v>
      </c>
      <c r="E2773">
        <v>2.3201999999999998</v>
      </c>
      <c r="F2773" s="1">
        <v>40991</v>
      </c>
      <c r="G2773">
        <v>129.09399999999999</v>
      </c>
      <c r="H2773" s="4">
        <f t="shared" si="256"/>
        <v>299523.89879999997</v>
      </c>
      <c r="I2773" s="5">
        <v>41561</v>
      </c>
      <c r="J2773" s="4">
        <v>4237.54</v>
      </c>
      <c r="K2773" s="4">
        <f t="shared" si="257"/>
        <v>42375.4</v>
      </c>
    </row>
    <row r="2774" spans="4:11" x14ac:dyDescent="0.35">
      <c r="D2774" s="1">
        <v>41605</v>
      </c>
      <c r="E2774">
        <v>2.3052000000000001</v>
      </c>
      <c r="F2774" s="1">
        <v>40990</v>
      </c>
      <c r="G2774">
        <v>128.828</v>
      </c>
      <c r="H2774" s="4">
        <f t="shared" si="256"/>
        <v>296974.30560000002</v>
      </c>
      <c r="I2774" s="5">
        <v>41558</v>
      </c>
      <c r="J2774" s="4">
        <v>4222.08</v>
      </c>
      <c r="K2774" s="4">
        <f t="shared" si="257"/>
        <v>42220.800000000003</v>
      </c>
    </row>
    <row r="2775" spans="4:11" x14ac:dyDescent="0.35">
      <c r="D2775" s="1">
        <v>41604</v>
      </c>
      <c r="E2775">
        <v>2.3033999999999999</v>
      </c>
      <c r="F2775" s="1">
        <v>40989</v>
      </c>
      <c r="G2775">
        <v>128.51499999999999</v>
      </c>
      <c r="H2775" s="4">
        <f t="shared" si="256"/>
        <v>296021.45099999994</v>
      </c>
      <c r="I2775" s="5">
        <v>41557</v>
      </c>
      <c r="J2775" s="4">
        <v>4230.78</v>
      </c>
      <c r="K2775" s="4">
        <f t="shared" si="257"/>
        <v>42307.799999999996</v>
      </c>
    </row>
    <row r="2776" spans="4:11" x14ac:dyDescent="0.35">
      <c r="D2776" s="1">
        <v>41603</v>
      </c>
      <c r="E2776">
        <v>2.2865000000000002</v>
      </c>
      <c r="F2776" s="1">
        <v>40987</v>
      </c>
      <c r="G2776">
        <v>127.85899999999999</v>
      </c>
      <c r="H2776" s="4">
        <f t="shared" si="256"/>
        <v>292349.60350000003</v>
      </c>
      <c r="I2776" s="5">
        <v>41556</v>
      </c>
      <c r="J2776" s="4">
        <v>4287.78</v>
      </c>
      <c r="K2776" s="4">
        <f t="shared" si="257"/>
        <v>42877.799999999996</v>
      </c>
    </row>
    <row r="2777" spans="4:11" x14ac:dyDescent="0.35">
      <c r="D2777" s="1">
        <v>41600</v>
      </c>
      <c r="E2777">
        <v>2.2906</v>
      </c>
      <c r="F2777" s="1">
        <v>40984</v>
      </c>
      <c r="G2777">
        <v>128.43799999999999</v>
      </c>
      <c r="H2777" s="4">
        <f t="shared" si="256"/>
        <v>294200.08279999997</v>
      </c>
      <c r="I2777" s="5">
        <v>41555</v>
      </c>
      <c r="J2777" s="4">
        <v>4296.4799999999996</v>
      </c>
      <c r="K2777" s="4">
        <f t="shared" si="257"/>
        <v>42964.799999999996</v>
      </c>
    </row>
    <row r="2778" spans="4:11" x14ac:dyDescent="0.35">
      <c r="D2778" s="1">
        <v>41599</v>
      </c>
      <c r="E2778">
        <v>2.3060999999999998</v>
      </c>
      <c r="F2778" s="1">
        <v>40982</v>
      </c>
      <c r="G2778">
        <v>129.047</v>
      </c>
      <c r="H2778" s="4">
        <f t="shared" si="256"/>
        <v>297595.2867</v>
      </c>
      <c r="I2778" s="5">
        <v>41554</v>
      </c>
      <c r="J2778" s="4">
        <v>4292.6099999999997</v>
      </c>
      <c r="K2778" s="4">
        <f t="shared" si="257"/>
        <v>42926.1</v>
      </c>
    </row>
    <row r="2779" spans="4:11" x14ac:dyDescent="0.35">
      <c r="D2779" s="1">
        <v>41598</v>
      </c>
      <c r="E2779">
        <v>2.2713000000000001</v>
      </c>
      <c r="F2779" s="1">
        <v>40981</v>
      </c>
      <c r="G2779">
        <v>129.923</v>
      </c>
      <c r="H2779" s="4">
        <f t="shared" si="256"/>
        <v>295094.10990000004</v>
      </c>
      <c r="I2779" s="5">
        <v>41551</v>
      </c>
      <c r="J2779" s="4">
        <v>4305.17</v>
      </c>
      <c r="K2779" s="4">
        <f t="shared" si="257"/>
        <v>43051.7</v>
      </c>
    </row>
    <row r="2780" spans="4:11" x14ac:dyDescent="0.35">
      <c r="D2780" s="1">
        <v>41597</v>
      </c>
      <c r="E2780">
        <v>2.2656000000000001</v>
      </c>
      <c r="F2780" s="1">
        <v>40976</v>
      </c>
      <c r="G2780">
        <v>131.01599999999999</v>
      </c>
      <c r="H2780" s="4">
        <f t="shared" si="256"/>
        <v>296829.84960000002</v>
      </c>
      <c r="I2780" s="5">
        <v>41550</v>
      </c>
      <c r="J2780" s="4">
        <v>4293.58</v>
      </c>
      <c r="K2780" s="4">
        <f t="shared" si="257"/>
        <v>42935.8</v>
      </c>
    </row>
    <row r="2781" spans="4:11" x14ac:dyDescent="0.35">
      <c r="D2781" s="1">
        <v>41596</v>
      </c>
      <c r="E2781">
        <v>2.2822</v>
      </c>
      <c r="F2781" s="1">
        <v>40975</v>
      </c>
      <c r="G2781">
        <v>131.39099999999999</v>
      </c>
      <c r="H2781" s="4">
        <f t="shared" si="256"/>
        <v>299860.54019999999</v>
      </c>
      <c r="I2781" s="5">
        <v>41549</v>
      </c>
      <c r="J2781" s="4">
        <v>4264.59</v>
      </c>
      <c r="K2781" s="4">
        <f t="shared" si="257"/>
        <v>42645.9</v>
      </c>
    </row>
    <row r="2782" spans="4:11" x14ac:dyDescent="0.35">
      <c r="D2782" s="1">
        <v>41592</v>
      </c>
      <c r="E2782">
        <v>2.3283</v>
      </c>
      <c r="F2782" s="1">
        <v>40974</v>
      </c>
      <c r="G2782">
        <v>131.39099999999999</v>
      </c>
      <c r="H2782" s="4">
        <f t="shared" si="256"/>
        <v>305917.66529999999</v>
      </c>
      <c r="I2782" s="5">
        <v>41548</v>
      </c>
      <c r="J2782" s="4">
        <v>4315.8</v>
      </c>
      <c r="K2782" s="4">
        <f t="shared" si="257"/>
        <v>43158</v>
      </c>
    </row>
    <row r="2783" spans="4:11" x14ac:dyDescent="0.35">
      <c r="D2783" s="1">
        <v>41591</v>
      </c>
      <c r="E2783">
        <v>2.3228</v>
      </c>
      <c r="F2783" s="1">
        <v>40970</v>
      </c>
      <c r="G2783">
        <v>131.078</v>
      </c>
      <c r="H2783" s="4">
        <f t="shared" si="256"/>
        <v>304467.97840000002</v>
      </c>
      <c r="I2783" s="5">
        <v>41547</v>
      </c>
      <c r="J2783" s="4">
        <v>4316.7700000000004</v>
      </c>
      <c r="K2783" s="4">
        <f t="shared" si="257"/>
        <v>43167.700000000004</v>
      </c>
    </row>
    <row r="2784" spans="4:11" x14ac:dyDescent="0.35">
      <c r="D2784" s="1">
        <v>41590</v>
      </c>
      <c r="E2784">
        <v>2.3355999999999999</v>
      </c>
      <c r="F2784" s="1">
        <v>40969</v>
      </c>
      <c r="G2784">
        <v>130.55000000000001</v>
      </c>
      <c r="H2784" s="4">
        <f t="shared" si="256"/>
        <v>304912.58</v>
      </c>
      <c r="I2784" s="5">
        <v>41544</v>
      </c>
      <c r="J2784" s="4">
        <v>4386.33</v>
      </c>
      <c r="K2784" s="4">
        <f t="shared" si="257"/>
        <v>43863.3</v>
      </c>
    </row>
    <row r="2785" spans="4:11" x14ac:dyDescent="0.35">
      <c r="D2785" s="1">
        <v>41589</v>
      </c>
      <c r="E2785">
        <v>2.3136000000000001</v>
      </c>
      <c r="F2785" s="1">
        <v>40967</v>
      </c>
      <c r="G2785">
        <v>131.625</v>
      </c>
      <c r="H2785" s="4">
        <f t="shared" si="256"/>
        <v>304527.60000000003</v>
      </c>
      <c r="I2785" s="5">
        <v>41543</v>
      </c>
      <c r="J2785" s="4">
        <v>4375.62</v>
      </c>
      <c r="K2785" s="4">
        <f t="shared" si="257"/>
        <v>43756.2</v>
      </c>
    </row>
    <row r="2786" spans="4:11" x14ac:dyDescent="0.35">
      <c r="D2786" s="1">
        <v>41586</v>
      </c>
      <c r="E2786">
        <v>2.3163999999999998</v>
      </c>
      <c r="F2786" s="1">
        <v>40966</v>
      </c>
      <c r="G2786">
        <v>131.18799999999999</v>
      </c>
      <c r="H2786" s="4">
        <f t="shared" si="256"/>
        <v>303883.88319999998</v>
      </c>
      <c r="I2786" s="5">
        <v>41542</v>
      </c>
      <c r="J2786" s="4">
        <v>4346.42</v>
      </c>
      <c r="K2786" s="4">
        <f t="shared" si="257"/>
        <v>43464.2</v>
      </c>
    </row>
    <row r="2787" spans="4:11" x14ac:dyDescent="0.35">
      <c r="D2787" s="1">
        <v>41585</v>
      </c>
      <c r="E2787">
        <v>2.2818999999999998</v>
      </c>
      <c r="F2787" s="1">
        <v>40963</v>
      </c>
      <c r="G2787">
        <v>131.15600000000001</v>
      </c>
      <c r="H2787" s="4">
        <f t="shared" si="256"/>
        <v>299284.87639999995</v>
      </c>
      <c r="I2787" s="5">
        <v>41541</v>
      </c>
      <c r="J2787" s="4">
        <v>4287.04</v>
      </c>
      <c r="K2787" s="4">
        <f t="shared" si="257"/>
        <v>42870.400000000001</v>
      </c>
    </row>
    <row r="2788" spans="4:11" x14ac:dyDescent="0.35">
      <c r="D2788" s="1">
        <v>41584</v>
      </c>
      <c r="E2788">
        <v>2.2778999999999998</v>
      </c>
      <c r="F2788" s="1">
        <v>40961</v>
      </c>
      <c r="G2788">
        <v>130.953</v>
      </c>
      <c r="H2788" s="4">
        <f t="shared" si="256"/>
        <v>298297.83870000002</v>
      </c>
      <c r="I2788" s="5">
        <v>41540</v>
      </c>
      <c r="J2788" s="4">
        <v>4287.04</v>
      </c>
      <c r="K2788" s="4">
        <f t="shared" si="257"/>
        <v>42870.400000000001</v>
      </c>
    </row>
    <row r="2789" spans="4:11" x14ac:dyDescent="0.35">
      <c r="D2789" s="1">
        <v>41583</v>
      </c>
      <c r="E2789">
        <v>2.2740999999999998</v>
      </c>
      <c r="F2789" s="1">
        <v>40956</v>
      </c>
      <c r="G2789">
        <v>130.71899999999999</v>
      </c>
      <c r="H2789" s="4">
        <f t="shared" si="256"/>
        <v>297268.07789999997</v>
      </c>
      <c r="I2789" s="5">
        <v>41537</v>
      </c>
      <c r="J2789" s="4">
        <v>4310.3999999999996</v>
      </c>
      <c r="K2789" s="4">
        <f t="shared" si="257"/>
        <v>43104</v>
      </c>
    </row>
    <row r="2790" spans="4:11" x14ac:dyDescent="0.35">
      <c r="D2790" s="1">
        <v>41582</v>
      </c>
      <c r="E2790">
        <v>2.242</v>
      </c>
      <c r="F2790" s="1">
        <v>40955</v>
      </c>
      <c r="G2790">
        <v>130.90600000000001</v>
      </c>
      <c r="H2790" s="4">
        <f t="shared" si="256"/>
        <v>293491.25200000004</v>
      </c>
      <c r="I2790" s="5">
        <v>41536</v>
      </c>
      <c r="J2790" s="4">
        <v>4296.7700000000004</v>
      </c>
      <c r="K2790" s="4">
        <f t="shared" si="257"/>
        <v>42967.700000000004</v>
      </c>
    </row>
    <row r="2791" spans="4:11" x14ac:dyDescent="0.35">
      <c r="D2791" s="1">
        <v>41579</v>
      </c>
      <c r="E2791">
        <v>2.2462</v>
      </c>
      <c r="F2791" s="1">
        <v>40954</v>
      </c>
      <c r="G2791">
        <v>131.672</v>
      </c>
      <c r="H2791" s="4">
        <f t="shared" si="256"/>
        <v>295761.64640000003</v>
      </c>
      <c r="I2791" s="5">
        <v>41535</v>
      </c>
      <c r="J2791" s="4">
        <v>4267.57</v>
      </c>
      <c r="K2791" s="4">
        <f t="shared" si="257"/>
        <v>42675.7</v>
      </c>
    </row>
    <row r="2792" spans="4:11" x14ac:dyDescent="0.35">
      <c r="D2792" s="1">
        <v>41578</v>
      </c>
      <c r="E2792">
        <v>2.202</v>
      </c>
      <c r="F2792" s="1">
        <v>40953</v>
      </c>
      <c r="G2792">
        <v>131.43799999999999</v>
      </c>
      <c r="H2792" s="4">
        <f t="shared" si="256"/>
        <v>289426.47599999997</v>
      </c>
      <c r="I2792" s="5">
        <v>41534</v>
      </c>
      <c r="J2792" s="4">
        <v>4405.8</v>
      </c>
      <c r="K2792" s="4">
        <f t="shared" si="257"/>
        <v>44058</v>
      </c>
    </row>
    <row r="2793" spans="4:11" x14ac:dyDescent="0.35">
      <c r="D2793" s="1">
        <v>41577</v>
      </c>
      <c r="E2793">
        <v>2.1882000000000001</v>
      </c>
      <c r="F2793" s="1">
        <v>40952</v>
      </c>
      <c r="G2793">
        <v>130.93799999999999</v>
      </c>
      <c r="H2793" s="4">
        <f t="shared" si="256"/>
        <v>286518.53160000005</v>
      </c>
      <c r="I2793" s="5">
        <v>41533</v>
      </c>
      <c r="J2793" s="4">
        <v>4466.1499999999996</v>
      </c>
      <c r="K2793" s="4">
        <f t="shared" si="257"/>
        <v>44661.5</v>
      </c>
    </row>
    <row r="2794" spans="4:11" x14ac:dyDescent="0.35">
      <c r="D2794" s="1">
        <v>41576</v>
      </c>
      <c r="E2794">
        <v>2.1798000000000002</v>
      </c>
      <c r="F2794" s="1">
        <v>40949</v>
      </c>
      <c r="G2794">
        <v>131.422</v>
      </c>
      <c r="H2794" s="4">
        <f t="shared" si="256"/>
        <v>286473.67560000002</v>
      </c>
      <c r="I2794" s="5">
        <v>41530</v>
      </c>
      <c r="J2794" s="4">
        <v>4453.5</v>
      </c>
      <c r="K2794" s="4">
        <f t="shared" si="257"/>
        <v>44535</v>
      </c>
    </row>
    <row r="2795" spans="4:11" x14ac:dyDescent="0.35">
      <c r="D2795" s="1">
        <v>41575</v>
      </c>
      <c r="E2795">
        <v>2.1840000000000002</v>
      </c>
      <c r="F2795" s="1">
        <v>40948</v>
      </c>
      <c r="G2795">
        <v>130.71899999999999</v>
      </c>
      <c r="H2795" s="4">
        <f t="shared" si="256"/>
        <v>285490.29599999997</v>
      </c>
      <c r="I2795" s="5">
        <v>41529</v>
      </c>
      <c r="J2795" s="4">
        <v>4442.79</v>
      </c>
      <c r="K2795" s="4">
        <f t="shared" si="257"/>
        <v>44427.9</v>
      </c>
    </row>
    <row r="2796" spans="4:11" x14ac:dyDescent="0.35">
      <c r="D2796" s="1">
        <v>41572</v>
      </c>
      <c r="E2796">
        <v>2.1842000000000001</v>
      </c>
      <c r="F2796" s="1">
        <v>40947</v>
      </c>
      <c r="G2796">
        <v>130.96899999999999</v>
      </c>
      <c r="H2796" s="4">
        <f t="shared" si="256"/>
        <v>286062.48979999998</v>
      </c>
      <c r="I2796" s="5">
        <v>41528</v>
      </c>
      <c r="J2796" s="4">
        <v>4455.4399999999996</v>
      </c>
      <c r="K2796" s="4">
        <f t="shared" si="257"/>
        <v>44554.399999999994</v>
      </c>
    </row>
    <row r="2797" spans="4:11" x14ac:dyDescent="0.35">
      <c r="D2797" s="1">
        <v>41571</v>
      </c>
      <c r="E2797">
        <v>2.1997</v>
      </c>
      <c r="F2797" s="1">
        <v>40946</v>
      </c>
      <c r="G2797">
        <v>131.078</v>
      </c>
      <c r="H2797" s="4">
        <f t="shared" si="256"/>
        <v>288332.27659999998</v>
      </c>
      <c r="I2797" s="5">
        <v>41527</v>
      </c>
      <c r="J2797" s="4">
        <v>4466.1499999999996</v>
      </c>
      <c r="K2797" s="4">
        <f t="shared" si="257"/>
        <v>44661.5</v>
      </c>
    </row>
    <row r="2798" spans="4:11" x14ac:dyDescent="0.35">
      <c r="D2798" s="1">
        <v>41570</v>
      </c>
      <c r="E2798">
        <v>2.1821000000000002</v>
      </c>
      <c r="F2798" s="1">
        <v>40945</v>
      </c>
      <c r="G2798">
        <v>131.78</v>
      </c>
      <c r="H2798" s="4">
        <f t="shared" si="256"/>
        <v>287557.13800000004</v>
      </c>
      <c r="I2798" s="5">
        <v>41526</v>
      </c>
      <c r="J2798" s="4">
        <v>4453.5</v>
      </c>
      <c r="K2798" s="4">
        <f t="shared" si="257"/>
        <v>44535</v>
      </c>
    </row>
    <row r="2799" spans="4:11" x14ac:dyDescent="0.35">
      <c r="D2799" s="1">
        <v>41569</v>
      </c>
      <c r="E2799">
        <v>2.1753999999999998</v>
      </c>
      <c r="F2799" s="1">
        <v>40940</v>
      </c>
      <c r="G2799">
        <v>132</v>
      </c>
      <c r="H2799" s="4">
        <f t="shared" si="256"/>
        <v>287152.79999999993</v>
      </c>
      <c r="I2799" s="5">
        <v>41523</v>
      </c>
      <c r="J2799" s="4">
        <v>4500.22</v>
      </c>
      <c r="K2799" s="4">
        <f t="shared" si="257"/>
        <v>45002.200000000004</v>
      </c>
    </row>
    <row r="2800" spans="4:11" x14ac:dyDescent="0.35">
      <c r="D2800" s="1">
        <v>41568</v>
      </c>
      <c r="E2800">
        <v>2.1732</v>
      </c>
      <c r="F2800" s="1">
        <v>40938</v>
      </c>
      <c r="G2800">
        <v>132.10900000000001</v>
      </c>
      <c r="H2800" s="4">
        <f t="shared" si="256"/>
        <v>287099.27880000003</v>
      </c>
      <c r="I2800" s="5">
        <v>41522</v>
      </c>
      <c r="J2800" s="4">
        <v>4547.92</v>
      </c>
      <c r="K2800" s="4">
        <f t="shared" si="257"/>
        <v>45479.199999999997</v>
      </c>
    </row>
    <row r="2801" spans="4:11" x14ac:dyDescent="0.35">
      <c r="D2801" s="1">
        <v>41565</v>
      </c>
      <c r="E2801">
        <v>2.161</v>
      </c>
      <c r="F2801" s="1">
        <v>40934</v>
      </c>
      <c r="G2801">
        <v>131.453</v>
      </c>
      <c r="H2801" s="4">
        <f t="shared" si="256"/>
        <v>284069.93300000002</v>
      </c>
      <c r="I2801" s="5">
        <v>41521</v>
      </c>
      <c r="J2801" s="4">
        <v>4616.0600000000004</v>
      </c>
      <c r="K2801" s="4">
        <f t="shared" si="257"/>
        <v>46160.600000000006</v>
      </c>
    </row>
    <row r="2802" spans="4:11" x14ac:dyDescent="0.35">
      <c r="D2802" s="1">
        <v>41564</v>
      </c>
      <c r="E2802">
        <v>2.1604999999999999</v>
      </c>
      <c r="F2802" s="1">
        <v>40932</v>
      </c>
      <c r="G2802">
        <v>130.14099999999999</v>
      </c>
      <c r="H2802" s="4">
        <f t="shared" si="256"/>
        <v>281169.63049999997</v>
      </c>
      <c r="I2802" s="5">
        <v>41520</v>
      </c>
      <c r="J2802" s="4">
        <v>4615.09</v>
      </c>
      <c r="K2802" s="4">
        <f t="shared" si="257"/>
        <v>46150.9</v>
      </c>
    </row>
    <row r="2803" spans="4:11" x14ac:dyDescent="0.35">
      <c r="D2803" s="1">
        <v>41563</v>
      </c>
      <c r="E2803">
        <v>2.1623000000000001</v>
      </c>
      <c r="F2803" s="1">
        <v>40931</v>
      </c>
      <c r="G2803">
        <v>129.96899999999999</v>
      </c>
      <c r="H2803" s="4">
        <f t="shared" si="256"/>
        <v>281031.96869999997</v>
      </c>
      <c r="I2803" s="5">
        <v>41519</v>
      </c>
      <c r="J2803" s="4">
        <v>4661.8100000000004</v>
      </c>
      <c r="K2803" s="4">
        <f t="shared" si="257"/>
        <v>46618.100000000006</v>
      </c>
    </row>
    <row r="2804" spans="4:11" x14ac:dyDescent="0.35">
      <c r="D2804" s="1">
        <v>41562</v>
      </c>
      <c r="E2804">
        <v>2.1812</v>
      </c>
      <c r="F2804" s="1">
        <v>40927</v>
      </c>
      <c r="G2804">
        <v>130.53100000000001</v>
      </c>
      <c r="H2804" s="4">
        <f t="shared" si="256"/>
        <v>284714.21720000001</v>
      </c>
      <c r="I2804" s="5">
        <v>41516</v>
      </c>
      <c r="J2804" s="4">
        <v>4677.3900000000003</v>
      </c>
      <c r="K2804" s="4">
        <f t="shared" si="257"/>
        <v>46773.9</v>
      </c>
    </row>
    <row r="2805" spans="4:11" x14ac:dyDescent="0.35">
      <c r="D2805" s="1">
        <v>41561</v>
      </c>
      <c r="E2805">
        <v>2.1810999999999998</v>
      </c>
      <c r="F2805" s="1">
        <v>40926</v>
      </c>
      <c r="G2805">
        <v>131.375</v>
      </c>
      <c r="H2805" s="4">
        <f t="shared" si="256"/>
        <v>286542.01250000001</v>
      </c>
      <c r="I2805" s="5">
        <v>41515</v>
      </c>
      <c r="J2805" s="4">
        <v>4623.8500000000004</v>
      </c>
      <c r="K2805" s="4">
        <f t="shared" si="257"/>
        <v>46238.5</v>
      </c>
    </row>
    <row r="2806" spans="4:11" x14ac:dyDescent="0.35">
      <c r="D2806" s="1">
        <v>41558</v>
      </c>
      <c r="E2806">
        <v>2.1815000000000002</v>
      </c>
      <c r="F2806" s="1">
        <v>40925</v>
      </c>
      <c r="G2806">
        <v>131.20400000000001</v>
      </c>
      <c r="H2806" s="4">
        <f t="shared" si="256"/>
        <v>286221.52600000001</v>
      </c>
      <c r="I2806" s="5">
        <v>41514</v>
      </c>
      <c r="J2806" s="4">
        <v>4601.32</v>
      </c>
      <c r="K2806" s="4">
        <f t="shared" si="257"/>
        <v>46013.2</v>
      </c>
    </row>
    <row r="2807" spans="4:11" x14ac:dyDescent="0.35">
      <c r="D2807" s="1">
        <v>41557</v>
      </c>
      <c r="E2807">
        <v>2.1844000000000001</v>
      </c>
      <c r="F2807" s="1">
        <v>40924</v>
      </c>
      <c r="G2807">
        <v>131.59399999999999</v>
      </c>
      <c r="H2807" s="4">
        <f t="shared" si="256"/>
        <v>287453.93360000005</v>
      </c>
      <c r="I2807" s="5">
        <v>41513</v>
      </c>
      <c r="J2807" s="4">
        <v>4657.16</v>
      </c>
      <c r="K2807" s="4">
        <f t="shared" si="257"/>
        <v>46571.6</v>
      </c>
    </row>
    <row r="2808" spans="4:11" x14ac:dyDescent="0.35">
      <c r="D2808" s="1">
        <v>41556</v>
      </c>
      <c r="E2808">
        <v>2.2048000000000001</v>
      </c>
      <c r="F2808" s="1">
        <v>40920</v>
      </c>
      <c r="G2808">
        <v>131.328</v>
      </c>
      <c r="H2808" s="4">
        <f t="shared" si="256"/>
        <v>289551.97440000001</v>
      </c>
      <c r="I2808" s="5">
        <v>41512</v>
      </c>
      <c r="J2808" s="4">
        <v>4666.95</v>
      </c>
      <c r="K2808" s="4">
        <f t="shared" si="257"/>
        <v>46669.5</v>
      </c>
    </row>
    <row r="2809" spans="4:11" x14ac:dyDescent="0.35">
      <c r="D2809" s="1">
        <v>41555</v>
      </c>
      <c r="E2809">
        <v>2.2010000000000001</v>
      </c>
      <c r="F2809" s="1">
        <v>40917</v>
      </c>
      <c r="G2809">
        <v>131.06299999999999</v>
      </c>
      <c r="H2809" s="4">
        <f t="shared" si="256"/>
        <v>288469.66299999994</v>
      </c>
      <c r="I2809" s="5">
        <v>41509</v>
      </c>
      <c r="J2809" s="4">
        <v>4606.22</v>
      </c>
      <c r="K2809" s="4">
        <f t="shared" si="257"/>
        <v>46062.200000000004</v>
      </c>
    </row>
    <row r="2810" spans="4:11" x14ac:dyDescent="0.35">
      <c r="D2810" s="1">
        <v>41554</v>
      </c>
      <c r="E2810">
        <v>2.2081</v>
      </c>
      <c r="F2810" s="1">
        <v>40913</v>
      </c>
      <c r="G2810">
        <v>130.59399999999999</v>
      </c>
      <c r="H2810" s="4">
        <f t="shared" si="256"/>
        <v>288364.61139999999</v>
      </c>
      <c r="I2810" s="5">
        <v>41508</v>
      </c>
      <c r="J2810" s="4">
        <v>4782.55</v>
      </c>
      <c r="K2810" s="4">
        <f t="shared" si="257"/>
        <v>47825.5</v>
      </c>
    </row>
    <row r="2811" spans="4:11" x14ac:dyDescent="0.35">
      <c r="D2811" s="1">
        <v>41551</v>
      </c>
      <c r="E2811">
        <v>2.2044999999999999</v>
      </c>
      <c r="F2811" s="1">
        <v>40912</v>
      </c>
      <c r="G2811">
        <v>130.34399999999999</v>
      </c>
      <c r="H2811" s="4">
        <f t="shared" si="256"/>
        <v>287343.348</v>
      </c>
      <c r="I2811" s="5">
        <v>41507</v>
      </c>
      <c r="J2811" s="4">
        <v>4823.6899999999996</v>
      </c>
      <c r="K2811" s="4">
        <f t="shared" si="257"/>
        <v>48236.899999999994</v>
      </c>
    </row>
    <row r="2812" spans="4:11" x14ac:dyDescent="0.35">
      <c r="D2812" s="1">
        <v>41550</v>
      </c>
      <c r="E2812">
        <v>2.2063000000000001</v>
      </c>
      <c r="F2812" s="1">
        <v>40911</v>
      </c>
      <c r="G2812">
        <v>130.797</v>
      </c>
      <c r="H2812" s="4">
        <f t="shared" si="256"/>
        <v>288577.42110000004</v>
      </c>
      <c r="I2812" s="5">
        <v>41506</v>
      </c>
      <c r="J2812" s="4">
        <v>4702.22</v>
      </c>
      <c r="K2812" s="4">
        <f t="shared" si="257"/>
        <v>47022.200000000004</v>
      </c>
    </row>
    <row r="2813" spans="4:11" x14ac:dyDescent="0.35">
      <c r="D2813" s="1">
        <v>41549</v>
      </c>
      <c r="E2813">
        <v>2.2082000000000002</v>
      </c>
      <c r="F2813" s="1">
        <v>40898</v>
      </c>
      <c r="G2813">
        <v>130.76599999999999</v>
      </c>
      <c r="H2813" s="4">
        <f t="shared" si="256"/>
        <v>288757.48120000004</v>
      </c>
      <c r="I2813" s="5">
        <v>41505</v>
      </c>
      <c r="J2813" s="4">
        <v>4749.24</v>
      </c>
      <c r="K2813" s="4">
        <f t="shared" si="257"/>
        <v>47492.399999999994</v>
      </c>
    </row>
    <row r="2814" spans="4:11" x14ac:dyDescent="0.35">
      <c r="D2814" s="1">
        <v>41548</v>
      </c>
      <c r="E2814">
        <v>2.2118000000000002</v>
      </c>
      <c r="F2814" s="1">
        <v>40896</v>
      </c>
      <c r="G2814">
        <v>131.26599999999999</v>
      </c>
      <c r="H2814" s="4">
        <f t="shared" si="256"/>
        <v>290334.13880000002</v>
      </c>
      <c r="I2814" s="5">
        <v>41502</v>
      </c>
      <c r="J2814" s="4">
        <v>4703.2</v>
      </c>
      <c r="K2814" s="4">
        <f t="shared" si="257"/>
        <v>47032</v>
      </c>
    </row>
    <row r="2815" spans="4:11" x14ac:dyDescent="0.35">
      <c r="D2815" s="1">
        <v>41547</v>
      </c>
      <c r="E2815">
        <v>2.2294</v>
      </c>
      <c r="F2815" s="1">
        <v>40893</v>
      </c>
      <c r="G2815">
        <v>131.078</v>
      </c>
      <c r="H2815" s="4">
        <f t="shared" si="256"/>
        <v>292225.29320000001</v>
      </c>
      <c r="I2815" s="5">
        <v>41501</v>
      </c>
      <c r="J2815" s="4">
        <v>4596.42</v>
      </c>
      <c r="K2815" s="4">
        <f t="shared" si="257"/>
        <v>45964.2</v>
      </c>
    </row>
    <row r="2816" spans="4:11" x14ac:dyDescent="0.35">
      <c r="D2816" s="1">
        <v>41544</v>
      </c>
      <c r="E2816">
        <v>2.2565</v>
      </c>
      <c r="F2816" s="1">
        <v>40892</v>
      </c>
      <c r="G2816">
        <v>130.59399999999999</v>
      </c>
      <c r="H2816" s="4">
        <f t="shared" si="256"/>
        <v>294685.36099999998</v>
      </c>
      <c r="I2816" s="5">
        <v>41500</v>
      </c>
      <c r="J2816" s="4">
        <v>4570.95</v>
      </c>
      <c r="K2816" s="4">
        <f t="shared" si="257"/>
        <v>45709.5</v>
      </c>
    </row>
    <row r="2817" spans="4:11" x14ac:dyDescent="0.35">
      <c r="D2817" s="1">
        <v>41543</v>
      </c>
      <c r="E2817">
        <v>2.2279</v>
      </c>
      <c r="F2817" s="1">
        <v>40891</v>
      </c>
      <c r="G2817">
        <v>130.64099999999999</v>
      </c>
      <c r="H2817" s="4">
        <f t="shared" si="256"/>
        <v>291055.08390000003</v>
      </c>
      <c r="I2817" s="5">
        <v>41499</v>
      </c>
      <c r="J2817" s="4">
        <v>4549.3999999999996</v>
      </c>
      <c r="K2817" s="4">
        <f t="shared" si="257"/>
        <v>45494</v>
      </c>
    </row>
    <row r="2818" spans="4:11" x14ac:dyDescent="0.35">
      <c r="D2818" s="1">
        <v>41542</v>
      </c>
      <c r="E2818">
        <v>2.2218</v>
      </c>
      <c r="F2818" s="1">
        <v>40890</v>
      </c>
      <c r="G2818">
        <v>130.5</v>
      </c>
      <c r="H2818" s="4">
        <f t="shared" si="256"/>
        <v>289944.90000000002</v>
      </c>
      <c r="I2818" s="5">
        <v>41498</v>
      </c>
      <c r="J2818" s="4">
        <v>4504.33</v>
      </c>
      <c r="K2818" s="4">
        <f t="shared" si="257"/>
        <v>45043.3</v>
      </c>
    </row>
    <row r="2819" spans="4:11" x14ac:dyDescent="0.35">
      <c r="D2819" s="1">
        <v>41541</v>
      </c>
      <c r="E2819">
        <v>2.2025000000000001</v>
      </c>
      <c r="F2819" s="1">
        <v>40886</v>
      </c>
      <c r="G2819">
        <v>129.90600000000001</v>
      </c>
      <c r="H2819" s="4">
        <f t="shared" si="256"/>
        <v>286117.96500000003</v>
      </c>
      <c r="I2819" s="5">
        <v>41495</v>
      </c>
      <c r="J2819" s="4">
        <v>4464.17</v>
      </c>
      <c r="K2819" s="4">
        <f t="shared" si="257"/>
        <v>44641.7</v>
      </c>
    </row>
    <row r="2820" spans="4:11" x14ac:dyDescent="0.35">
      <c r="D2820" s="1">
        <v>41540</v>
      </c>
      <c r="E2820">
        <v>2.2025999999999999</v>
      </c>
      <c r="F2820" s="1">
        <v>40876</v>
      </c>
      <c r="G2820">
        <v>130.71899999999999</v>
      </c>
      <c r="H2820" s="4">
        <f t="shared" ref="H2820:H2883" si="258">G2820*E2820*1000</f>
        <v>287921.66940000001</v>
      </c>
      <c r="I2820" s="5">
        <v>41494</v>
      </c>
      <c r="J2820" s="4">
        <v>4498.46</v>
      </c>
      <c r="K2820" s="4">
        <f t="shared" si="257"/>
        <v>44984.6</v>
      </c>
    </row>
    <row r="2821" spans="4:11" x14ac:dyDescent="0.35">
      <c r="D2821" s="1">
        <v>41537</v>
      </c>
      <c r="E2821">
        <v>2.2046999999999999</v>
      </c>
      <c r="F2821" s="1">
        <v>40875</v>
      </c>
      <c r="G2821">
        <v>130.68799999999999</v>
      </c>
      <c r="H2821" s="4">
        <f t="shared" si="258"/>
        <v>288127.83359999995</v>
      </c>
      <c r="I2821" s="5">
        <v>41493</v>
      </c>
      <c r="J2821" s="4">
        <v>4567.03</v>
      </c>
      <c r="K2821" s="4">
        <f t="shared" ref="K2821:K2884" si="259">J2821*10</f>
        <v>45670.299999999996</v>
      </c>
    </row>
    <row r="2822" spans="4:11" x14ac:dyDescent="0.35">
      <c r="D2822" s="1">
        <v>41536</v>
      </c>
      <c r="E2822">
        <v>2.2029000000000001</v>
      </c>
      <c r="F2822" s="1">
        <v>40872</v>
      </c>
      <c r="G2822">
        <v>131.25</v>
      </c>
      <c r="H2822" s="4">
        <f t="shared" si="258"/>
        <v>289130.625</v>
      </c>
      <c r="I2822" s="5">
        <v>41492</v>
      </c>
      <c r="J2822" s="4">
        <v>4527.84</v>
      </c>
      <c r="K2822" s="4">
        <f t="shared" si="259"/>
        <v>45278.400000000001</v>
      </c>
    </row>
    <row r="2823" spans="4:11" x14ac:dyDescent="0.35">
      <c r="D2823" s="1">
        <v>41535</v>
      </c>
      <c r="E2823">
        <v>2.2483</v>
      </c>
      <c r="F2823" s="1">
        <v>40870</v>
      </c>
      <c r="G2823">
        <v>130.75</v>
      </c>
      <c r="H2823" s="4">
        <f t="shared" si="258"/>
        <v>293965.22499999998</v>
      </c>
      <c r="I2823" s="5">
        <v>41491</v>
      </c>
      <c r="J2823" s="4">
        <v>4547.4399999999996</v>
      </c>
      <c r="K2823" s="4">
        <f t="shared" si="259"/>
        <v>45474.399999999994</v>
      </c>
    </row>
    <row r="2824" spans="4:11" x14ac:dyDescent="0.35">
      <c r="D2824" s="1">
        <v>41534</v>
      </c>
      <c r="E2824">
        <v>2.2610999999999999</v>
      </c>
      <c r="F2824" s="1">
        <v>40869</v>
      </c>
      <c r="G2824">
        <v>130.75</v>
      </c>
      <c r="H2824" s="4">
        <f t="shared" si="258"/>
        <v>295638.82500000001</v>
      </c>
      <c r="I2824" s="5">
        <v>41488</v>
      </c>
      <c r="J2824" s="4">
        <v>4508.25</v>
      </c>
      <c r="K2824" s="4">
        <f t="shared" si="259"/>
        <v>45082.5</v>
      </c>
    </row>
    <row r="2825" spans="4:11" x14ac:dyDescent="0.35">
      <c r="D2825" s="1">
        <v>41533</v>
      </c>
      <c r="E2825">
        <v>2.2643</v>
      </c>
      <c r="F2825" s="1">
        <v>40868</v>
      </c>
      <c r="G2825">
        <v>130.6</v>
      </c>
      <c r="H2825" s="4">
        <f t="shared" si="258"/>
        <v>295717.58</v>
      </c>
      <c r="I2825" s="5">
        <v>41487</v>
      </c>
      <c r="J2825" s="4">
        <v>4545.4799999999996</v>
      </c>
      <c r="K2825" s="4">
        <f t="shared" si="259"/>
        <v>45454.799999999996</v>
      </c>
    </row>
    <row r="2826" spans="4:11" x14ac:dyDescent="0.35">
      <c r="D2826" s="1">
        <v>41530</v>
      </c>
      <c r="E2826">
        <v>2.2778999999999998</v>
      </c>
      <c r="F2826" s="1">
        <v>40865</v>
      </c>
      <c r="G2826">
        <v>130.453</v>
      </c>
      <c r="H2826" s="4">
        <f t="shared" si="258"/>
        <v>297158.88869999995</v>
      </c>
      <c r="I2826" s="5">
        <v>41486</v>
      </c>
      <c r="J2826" s="4">
        <v>4488.66</v>
      </c>
      <c r="K2826" s="4">
        <f t="shared" si="259"/>
        <v>44886.6</v>
      </c>
    </row>
    <row r="2827" spans="4:11" x14ac:dyDescent="0.35">
      <c r="D2827" s="1">
        <v>41529</v>
      </c>
      <c r="E2827">
        <v>2.2763</v>
      </c>
      <c r="F2827" s="1">
        <v>40858</v>
      </c>
      <c r="G2827">
        <v>130.01599999999999</v>
      </c>
      <c r="H2827" s="4">
        <f t="shared" si="258"/>
        <v>295955.42079999996</v>
      </c>
      <c r="I2827" s="5">
        <v>41485</v>
      </c>
      <c r="J2827" s="4">
        <v>4505.3100000000004</v>
      </c>
      <c r="K2827" s="4">
        <f t="shared" si="259"/>
        <v>45053.100000000006</v>
      </c>
    </row>
    <row r="2828" spans="4:11" x14ac:dyDescent="0.35">
      <c r="D2828" s="1">
        <v>41528</v>
      </c>
      <c r="E2828">
        <v>2.2940999999999998</v>
      </c>
      <c r="F2828" s="1">
        <v>40851</v>
      </c>
      <c r="G2828">
        <v>130.23400000000001</v>
      </c>
      <c r="H2828" s="4">
        <f t="shared" si="258"/>
        <v>298769.81940000004</v>
      </c>
      <c r="I2828" s="5">
        <v>41484</v>
      </c>
      <c r="J2828" s="4">
        <v>4482.62</v>
      </c>
      <c r="K2828" s="4">
        <f t="shared" si="259"/>
        <v>44826.2</v>
      </c>
    </row>
    <row r="2829" spans="4:11" x14ac:dyDescent="0.35">
      <c r="D2829" s="1">
        <v>41527</v>
      </c>
      <c r="E2829">
        <v>2.2772999999999999</v>
      </c>
      <c r="F2829" s="1">
        <v>40850</v>
      </c>
      <c r="G2829">
        <v>129.98400000000001</v>
      </c>
      <c r="H2829" s="4">
        <f t="shared" si="258"/>
        <v>296012.56319999998</v>
      </c>
      <c r="I2829" s="5">
        <v>41481</v>
      </c>
      <c r="J2829" s="4">
        <v>4458.95</v>
      </c>
      <c r="K2829" s="4">
        <f t="shared" si="259"/>
        <v>44589.5</v>
      </c>
    </row>
    <row r="2830" spans="4:11" x14ac:dyDescent="0.35">
      <c r="D2830" s="1">
        <v>41526</v>
      </c>
      <c r="E2830">
        <v>2.2862</v>
      </c>
      <c r="F2830" s="1">
        <v>40844</v>
      </c>
      <c r="G2830">
        <v>128.06299999999999</v>
      </c>
      <c r="H2830" s="4">
        <f t="shared" si="258"/>
        <v>292777.63059999997</v>
      </c>
      <c r="I2830" s="5">
        <v>41480</v>
      </c>
      <c r="J2830" s="4">
        <v>4433.3</v>
      </c>
      <c r="K2830" s="4">
        <f t="shared" si="259"/>
        <v>44333</v>
      </c>
    </row>
    <row r="2831" spans="4:11" x14ac:dyDescent="0.35">
      <c r="D2831" s="1">
        <v>41523</v>
      </c>
      <c r="E2831">
        <v>2.2972999999999999</v>
      </c>
      <c r="F2831" s="1">
        <v>40843</v>
      </c>
      <c r="G2831">
        <v>127.25</v>
      </c>
      <c r="H2831" s="4">
        <f t="shared" si="258"/>
        <v>292331.42499999999</v>
      </c>
      <c r="I2831" s="5">
        <v>41479</v>
      </c>
      <c r="J2831" s="4">
        <v>4449.08</v>
      </c>
      <c r="K2831" s="4">
        <f t="shared" si="259"/>
        <v>44490.8</v>
      </c>
    </row>
    <row r="2832" spans="4:11" x14ac:dyDescent="0.35">
      <c r="D2832" s="1">
        <v>41522</v>
      </c>
      <c r="E2832">
        <v>2.3308</v>
      </c>
      <c r="F2832" s="1">
        <v>40830</v>
      </c>
      <c r="G2832">
        <v>128.10900000000001</v>
      </c>
      <c r="H2832" s="4">
        <f t="shared" si="258"/>
        <v>298596.4572</v>
      </c>
      <c r="I2832" s="5">
        <v>41478</v>
      </c>
      <c r="J2832" s="4">
        <v>4376.08</v>
      </c>
      <c r="K2832" s="4">
        <f t="shared" si="259"/>
        <v>43760.800000000003</v>
      </c>
    </row>
    <row r="2833" spans="4:11" x14ac:dyDescent="0.35">
      <c r="D2833" s="1">
        <v>41521</v>
      </c>
      <c r="E2833">
        <v>2.3532000000000002</v>
      </c>
      <c r="F2833" s="1">
        <v>40826</v>
      </c>
      <c r="G2833">
        <v>127.953</v>
      </c>
      <c r="H2833" s="4">
        <f t="shared" si="258"/>
        <v>301098.99960000004</v>
      </c>
      <c r="I2833" s="5">
        <v>41477</v>
      </c>
      <c r="J2833" s="4">
        <v>4417.5200000000004</v>
      </c>
      <c r="K2833" s="4">
        <f t="shared" si="259"/>
        <v>44175.200000000004</v>
      </c>
    </row>
    <row r="2834" spans="4:11" x14ac:dyDescent="0.35">
      <c r="D2834" s="1">
        <v>41520</v>
      </c>
      <c r="E2834">
        <v>2.3891</v>
      </c>
      <c r="F2834" s="1">
        <v>40823</v>
      </c>
      <c r="G2834">
        <v>128.875</v>
      </c>
      <c r="H2834" s="4">
        <f t="shared" si="258"/>
        <v>307895.26250000001</v>
      </c>
      <c r="I2834" s="5">
        <v>41474</v>
      </c>
      <c r="J2834" s="4">
        <v>4447.1099999999997</v>
      </c>
      <c r="K2834" s="4">
        <f t="shared" si="259"/>
        <v>44471.1</v>
      </c>
    </row>
    <row r="2835" spans="4:11" x14ac:dyDescent="0.35">
      <c r="D2835" s="1">
        <v>41519</v>
      </c>
      <c r="E2835">
        <v>2.3637000000000001</v>
      </c>
      <c r="F2835" s="1">
        <v>40822</v>
      </c>
      <c r="G2835">
        <v>129.51599999999999</v>
      </c>
      <c r="H2835" s="4">
        <f t="shared" si="258"/>
        <v>306136.96919999999</v>
      </c>
      <c r="I2835" s="5">
        <v>41473</v>
      </c>
      <c r="J2835" s="4">
        <v>4405.68</v>
      </c>
      <c r="K2835" s="4">
        <f t="shared" si="259"/>
        <v>44056.800000000003</v>
      </c>
    </row>
    <row r="2836" spans="4:11" x14ac:dyDescent="0.35">
      <c r="D2836" s="1">
        <v>41516</v>
      </c>
      <c r="E2836">
        <v>2.3719000000000001</v>
      </c>
      <c r="F2836" s="1">
        <v>40821</v>
      </c>
      <c r="G2836">
        <v>130.31299999999999</v>
      </c>
      <c r="H2836" s="4">
        <f t="shared" si="258"/>
        <v>309089.40470000001</v>
      </c>
      <c r="I2836" s="5">
        <v>41472</v>
      </c>
      <c r="J2836" s="4">
        <v>4414.5600000000004</v>
      </c>
      <c r="K2836" s="4">
        <f t="shared" si="259"/>
        <v>44145.600000000006</v>
      </c>
    </row>
    <row r="2837" spans="4:11" x14ac:dyDescent="0.35">
      <c r="D2837" s="1">
        <v>41515</v>
      </c>
      <c r="E2837">
        <v>2.3572000000000002</v>
      </c>
      <c r="F2837" s="1">
        <v>40820</v>
      </c>
      <c r="G2837">
        <v>130.703</v>
      </c>
      <c r="H2837" s="4">
        <f t="shared" si="258"/>
        <v>308093.11160000006</v>
      </c>
      <c r="I2837" s="5">
        <v>41471</v>
      </c>
      <c r="J2837" s="4">
        <v>4464.87</v>
      </c>
      <c r="K2837" s="4">
        <f t="shared" si="259"/>
        <v>44648.7</v>
      </c>
    </row>
    <row r="2838" spans="4:11" x14ac:dyDescent="0.35">
      <c r="D2838" s="1">
        <v>41514</v>
      </c>
      <c r="E2838">
        <v>2.3509000000000002</v>
      </c>
      <c r="F2838" s="1">
        <v>40819</v>
      </c>
      <c r="G2838">
        <v>130.547</v>
      </c>
      <c r="H2838" s="4">
        <f t="shared" si="258"/>
        <v>306902.9423</v>
      </c>
      <c r="I2838" s="5">
        <v>41470</v>
      </c>
      <c r="J2838" s="4">
        <v>4391.87</v>
      </c>
      <c r="K2838" s="4">
        <f t="shared" si="259"/>
        <v>43918.7</v>
      </c>
    </row>
    <row r="2839" spans="4:11" x14ac:dyDescent="0.35">
      <c r="D2839" s="1">
        <v>41513</v>
      </c>
      <c r="E2839">
        <v>2.3992</v>
      </c>
      <c r="F2839" s="1">
        <v>40814</v>
      </c>
      <c r="G2839">
        <v>129.39099999999999</v>
      </c>
      <c r="H2839" s="4">
        <f t="shared" si="258"/>
        <v>310434.8872</v>
      </c>
      <c r="I2839" s="5">
        <v>41467</v>
      </c>
      <c r="J2839" s="4">
        <v>4496.43</v>
      </c>
      <c r="K2839" s="4">
        <f t="shared" si="259"/>
        <v>44964.3</v>
      </c>
    </row>
    <row r="2840" spans="4:11" x14ac:dyDescent="0.35">
      <c r="D2840" s="1">
        <v>41512</v>
      </c>
      <c r="E2840">
        <v>2.3698999999999999</v>
      </c>
      <c r="F2840" s="1">
        <v>40809</v>
      </c>
      <c r="G2840">
        <v>130.875</v>
      </c>
      <c r="H2840" s="4">
        <f t="shared" si="258"/>
        <v>310160.66249999998</v>
      </c>
      <c r="I2840" s="5">
        <v>41466</v>
      </c>
      <c r="J2840" s="4">
        <v>4468.8100000000004</v>
      </c>
      <c r="K2840" s="4">
        <f t="shared" si="259"/>
        <v>44688.100000000006</v>
      </c>
    </row>
    <row r="2841" spans="4:11" x14ac:dyDescent="0.35">
      <c r="D2841" s="1">
        <v>41509</v>
      </c>
      <c r="E2841">
        <v>2.3862000000000001</v>
      </c>
      <c r="F2841" s="1">
        <v>40808</v>
      </c>
      <c r="G2841">
        <v>131.875</v>
      </c>
      <c r="H2841" s="4">
        <f t="shared" si="258"/>
        <v>314680.12500000006</v>
      </c>
      <c r="I2841" s="5">
        <v>41465</v>
      </c>
      <c r="J2841" s="4">
        <v>4486.57</v>
      </c>
      <c r="K2841" s="4">
        <f t="shared" si="259"/>
        <v>44865.7</v>
      </c>
    </row>
    <row r="2842" spans="4:11" x14ac:dyDescent="0.35">
      <c r="D2842" s="1">
        <v>41508</v>
      </c>
      <c r="E2842">
        <v>2.4451000000000001</v>
      </c>
      <c r="F2842" s="1">
        <v>40801</v>
      </c>
      <c r="G2842">
        <v>129.28100000000001</v>
      </c>
      <c r="H2842" s="4">
        <f t="shared" si="258"/>
        <v>316104.9731</v>
      </c>
      <c r="I2842" s="5">
        <v>41463</v>
      </c>
      <c r="J2842" s="4">
        <v>4488.54</v>
      </c>
      <c r="K2842" s="4">
        <f t="shared" si="259"/>
        <v>44885.4</v>
      </c>
    </row>
    <row r="2843" spans="4:11" x14ac:dyDescent="0.35">
      <c r="D2843" s="1">
        <v>41507</v>
      </c>
      <c r="E2843">
        <v>2.4163000000000001</v>
      </c>
      <c r="F2843" s="1">
        <v>40800</v>
      </c>
      <c r="G2843">
        <v>130</v>
      </c>
      <c r="H2843" s="4">
        <f t="shared" si="258"/>
        <v>314119</v>
      </c>
      <c r="I2843" s="5">
        <v>41460</v>
      </c>
      <c r="J2843" s="4">
        <v>4474.7299999999996</v>
      </c>
      <c r="K2843" s="4">
        <f t="shared" si="259"/>
        <v>44747.299999999996</v>
      </c>
    </row>
    <row r="2844" spans="4:11" x14ac:dyDescent="0.35">
      <c r="D2844" s="1">
        <v>41506</v>
      </c>
      <c r="E2844">
        <v>2.3936999999999999</v>
      </c>
      <c r="F2844" s="1">
        <v>40799</v>
      </c>
      <c r="G2844">
        <v>130.28100000000001</v>
      </c>
      <c r="H2844" s="4">
        <f t="shared" si="258"/>
        <v>311853.62969999999</v>
      </c>
      <c r="I2844" s="5">
        <v>41459</v>
      </c>
      <c r="J2844" s="4">
        <v>4458.95</v>
      </c>
      <c r="K2844" s="4">
        <f t="shared" si="259"/>
        <v>44589.5</v>
      </c>
    </row>
    <row r="2845" spans="4:11" x14ac:dyDescent="0.35">
      <c r="D2845" s="1">
        <v>41505</v>
      </c>
      <c r="E2845">
        <v>2.3974000000000002</v>
      </c>
      <c r="F2845" s="1">
        <v>40792</v>
      </c>
      <c r="G2845">
        <v>130.328</v>
      </c>
      <c r="H2845" s="4">
        <f t="shared" si="258"/>
        <v>312448.34720000008</v>
      </c>
      <c r="I2845" s="5">
        <v>41458</v>
      </c>
      <c r="J2845" s="4">
        <v>4510.25</v>
      </c>
      <c r="K2845" s="4">
        <f t="shared" si="259"/>
        <v>45102.5</v>
      </c>
    </row>
    <row r="2846" spans="4:11" x14ac:dyDescent="0.35">
      <c r="D2846" s="1">
        <v>41502</v>
      </c>
      <c r="E2846">
        <v>2.3559000000000001</v>
      </c>
      <c r="F2846" s="1">
        <v>40781</v>
      </c>
      <c r="G2846">
        <v>129.98400000000001</v>
      </c>
      <c r="H2846" s="4">
        <f t="shared" si="258"/>
        <v>306229.30560000002</v>
      </c>
      <c r="I2846" s="5">
        <v>41457</v>
      </c>
      <c r="J2846" s="4">
        <v>4474.7299999999996</v>
      </c>
      <c r="K2846" s="4">
        <f t="shared" si="259"/>
        <v>44747.299999999996</v>
      </c>
    </row>
    <row r="2847" spans="4:11" x14ac:dyDescent="0.35">
      <c r="D2847" s="1">
        <v>41501</v>
      </c>
      <c r="E2847">
        <v>2.3428</v>
      </c>
      <c r="F2847" s="1">
        <v>40779</v>
      </c>
      <c r="G2847">
        <v>129.453</v>
      </c>
      <c r="H2847" s="4">
        <f t="shared" si="258"/>
        <v>303282.48840000003</v>
      </c>
      <c r="I2847" s="5">
        <v>41456</v>
      </c>
      <c r="J2847" s="4">
        <v>4432.3100000000004</v>
      </c>
      <c r="K2847" s="4">
        <f t="shared" si="259"/>
        <v>44323.100000000006</v>
      </c>
    </row>
    <row r="2848" spans="4:11" x14ac:dyDescent="0.35">
      <c r="D2848" s="1">
        <v>41500</v>
      </c>
      <c r="E2848">
        <v>2.3111999999999999</v>
      </c>
      <c r="F2848" s="1">
        <v>40778</v>
      </c>
      <c r="G2848">
        <v>130.59399999999999</v>
      </c>
      <c r="H2848" s="4">
        <f t="shared" si="258"/>
        <v>301828.85279999999</v>
      </c>
      <c r="I2848" s="5">
        <v>41453</v>
      </c>
      <c r="J2848" s="4">
        <v>4439.22</v>
      </c>
      <c r="K2848" s="4">
        <f t="shared" si="259"/>
        <v>44392.200000000004</v>
      </c>
    </row>
    <row r="2849" spans="4:11" x14ac:dyDescent="0.35">
      <c r="D2849" s="1">
        <v>41499</v>
      </c>
      <c r="E2849">
        <v>2.3029000000000002</v>
      </c>
      <c r="F2849" s="1">
        <v>40774</v>
      </c>
      <c r="G2849">
        <v>130.75</v>
      </c>
      <c r="H2849" s="4">
        <f t="shared" si="258"/>
        <v>301104.17499999999</v>
      </c>
      <c r="I2849" s="5">
        <v>41452</v>
      </c>
      <c r="J2849" s="4">
        <v>4367.2</v>
      </c>
      <c r="K2849" s="4">
        <f t="shared" si="259"/>
        <v>43672</v>
      </c>
    </row>
    <row r="2850" spans="4:11" x14ac:dyDescent="0.35">
      <c r="D2850" s="1">
        <v>41498</v>
      </c>
      <c r="E2850">
        <v>2.2715999999999998</v>
      </c>
      <c r="F2850" s="1">
        <v>40773</v>
      </c>
      <c r="G2850">
        <v>131.43799999999999</v>
      </c>
      <c r="H2850" s="4">
        <f t="shared" si="258"/>
        <v>298574.56079999998</v>
      </c>
      <c r="I2850" s="5">
        <v>41451</v>
      </c>
      <c r="J2850" s="4">
        <v>4346.3500000000004</v>
      </c>
      <c r="K2850" s="4">
        <f t="shared" si="259"/>
        <v>43463.5</v>
      </c>
    </row>
    <row r="2851" spans="4:11" x14ac:dyDescent="0.35">
      <c r="D2851" s="1">
        <v>41495</v>
      </c>
      <c r="E2851">
        <v>2.2743000000000002</v>
      </c>
      <c r="F2851" s="1">
        <v>40772</v>
      </c>
      <c r="G2851">
        <v>130.31299999999999</v>
      </c>
      <c r="H2851" s="4">
        <f t="shared" si="258"/>
        <v>296370.85589999997</v>
      </c>
      <c r="I2851" s="5">
        <v>41450</v>
      </c>
      <c r="J2851" s="4">
        <v>4403.95</v>
      </c>
      <c r="K2851" s="4">
        <f t="shared" si="259"/>
        <v>44039.5</v>
      </c>
    </row>
    <row r="2852" spans="4:11" x14ac:dyDescent="0.35">
      <c r="D2852" s="1">
        <v>41494</v>
      </c>
      <c r="E2852">
        <v>2.2875999999999999</v>
      </c>
      <c r="F2852" s="1">
        <v>40766</v>
      </c>
      <c r="G2852">
        <v>129.34399999999999</v>
      </c>
      <c r="H2852" s="4">
        <f t="shared" si="258"/>
        <v>295887.33439999999</v>
      </c>
      <c r="I2852" s="5">
        <v>41449</v>
      </c>
      <c r="J2852" s="4">
        <v>4427.78</v>
      </c>
      <c r="K2852" s="4">
        <f t="shared" si="259"/>
        <v>44277.799999999996</v>
      </c>
    </row>
    <row r="2853" spans="4:11" x14ac:dyDescent="0.35">
      <c r="D2853" s="1">
        <v>41493</v>
      </c>
      <c r="E2853">
        <v>2.3022</v>
      </c>
      <c r="F2853" s="1">
        <v>40764</v>
      </c>
      <c r="G2853">
        <v>130.078</v>
      </c>
      <c r="H2853" s="4">
        <f t="shared" si="258"/>
        <v>299465.57160000002</v>
      </c>
      <c r="I2853" s="5">
        <v>41446</v>
      </c>
      <c r="J2853" s="4">
        <v>4463.53</v>
      </c>
      <c r="K2853" s="4">
        <f t="shared" si="259"/>
        <v>44635.299999999996</v>
      </c>
    </row>
    <row r="2854" spans="4:11" x14ac:dyDescent="0.35">
      <c r="D2854" s="1">
        <v>41492</v>
      </c>
      <c r="E2854">
        <v>2.2949000000000002</v>
      </c>
      <c r="F2854" s="1">
        <v>40763</v>
      </c>
      <c r="G2854">
        <v>128</v>
      </c>
      <c r="H2854" s="4">
        <f t="shared" si="258"/>
        <v>293747.20000000001</v>
      </c>
      <c r="I2854" s="5">
        <v>41445</v>
      </c>
      <c r="J2854" s="4">
        <v>4486.3599999999997</v>
      </c>
      <c r="K2854" s="4">
        <f t="shared" si="259"/>
        <v>44863.6</v>
      </c>
    </row>
    <row r="2855" spans="4:11" x14ac:dyDescent="0.35">
      <c r="D2855" s="1">
        <v>41491</v>
      </c>
      <c r="E2855">
        <v>2.3003999999999998</v>
      </c>
      <c r="F2855" s="1">
        <v>40760</v>
      </c>
      <c r="G2855">
        <v>126.90600000000001</v>
      </c>
      <c r="H2855" s="4">
        <f t="shared" si="258"/>
        <v>291934.5624</v>
      </c>
      <c r="I2855" s="5">
        <v>41444</v>
      </c>
      <c r="J2855" s="4">
        <v>4428.7700000000004</v>
      </c>
      <c r="K2855" s="4">
        <f t="shared" si="259"/>
        <v>44287.700000000004</v>
      </c>
    </row>
    <row r="2856" spans="4:11" x14ac:dyDescent="0.35">
      <c r="D2856" s="1">
        <v>41488</v>
      </c>
      <c r="E2856">
        <v>2.2927</v>
      </c>
      <c r="F2856" s="1">
        <v>40759</v>
      </c>
      <c r="G2856">
        <v>128.422</v>
      </c>
      <c r="H2856" s="4">
        <f t="shared" si="258"/>
        <v>294433.11940000003</v>
      </c>
      <c r="I2856" s="5">
        <v>41443</v>
      </c>
      <c r="J2856" s="4">
        <v>4347.34</v>
      </c>
      <c r="K2856" s="4">
        <f t="shared" si="259"/>
        <v>43473.4</v>
      </c>
    </row>
    <row r="2857" spans="4:11" x14ac:dyDescent="0.35">
      <c r="D2857" s="1">
        <v>41487</v>
      </c>
      <c r="E2857">
        <v>2.2907999999999999</v>
      </c>
      <c r="F2857" s="1">
        <v>40756</v>
      </c>
      <c r="G2857">
        <v>126.172</v>
      </c>
      <c r="H2857" s="4">
        <f t="shared" si="258"/>
        <v>289034.81760000001</v>
      </c>
      <c r="I2857" s="5">
        <v>41442</v>
      </c>
      <c r="J2857" s="4">
        <v>4323.51</v>
      </c>
      <c r="K2857" s="4">
        <f t="shared" si="259"/>
        <v>43235.100000000006</v>
      </c>
    </row>
    <row r="2858" spans="4:11" x14ac:dyDescent="0.35">
      <c r="D2858" s="1">
        <v>41486</v>
      </c>
      <c r="E2858">
        <v>2.2896999999999998</v>
      </c>
      <c r="F2858" s="1">
        <v>40753</v>
      </c>
      <c r="G2858">
        <v>125.65600000000001</v>
      </c>
      <c r="H2858" s="4">
        <f t="shared" si="258"/>
        <v>287714.54319999996</v>
      </c>
      <c r="I2858" s="5">
        <v>41439</v>
      </c>
      <c r="J2858" s="4">
        <v>4288.76</v>
      </c>
      <c r="K2858" s="4">
        <f t="shared" si="259"/>
        <v>42887.600000000006</v>
      </c>
    </row>
    <row r="2859" spans="4:11" x14ac:dyDescent="0.35">
      <c r="D2859" s="1">
        <v>41485</v>
      </c>
      <c r="E2859">
        <v>2.2728999999999999</v>
      </c>
      <c r="F2859" s="1">
        <v>40752</v>
      </c>
      <c r="G2859">
        <v>124.438</v>
      </c>
      <c r="H2859" s="4">
        <f t="shared" si="258"/>
        <v>282835.13019999996</v>
      </c>
      <c r="I2859" s="5">
        <v>41438</v>
      </c>
      <c r="J2859" s="4">
        <v>4224.21</v>
      </c>
      <c r="K2859" s="4">
        <f t="shared" si="259"/>
        <v>42242.1</v>
      </c>
    </row>
    <row r="2860" spans="4:11" x14ac:dyDescent="0.35">
      <c r="D2860" s="1">
        <v>41484</v>
      </c>
      <c r="E2860">
        <v>2.2603</v>
      </c>
      <c r="F2860" s="1">
        <v>40751</v>
      </c>
      <c r="G2860">
        <v>124.1</v>
      </c>
      <c r="H2860" s="4">
        <f t="shared" si="258"/>
        <v>280503.23</v>
      </c>
      <c r="I2860" s="5">
        <v>41437</v>
      </c>
      <c r="J2860" s="4">
        <v>4301.67</v>
      </c>
      <c r="K2860" s="4">
        <f t="shared" si="259"/>
        <v>43016.7</v>
      </c>
    </row>
    <row r="2861" spans="4:11" x14ac:dyDescent="0.35">
      <c r="D2861" s="1">
        <v>41481</v>
      </c>
      <c r="E2861">
        <v>2.2483</v>
      </c>
      <c r="F2861" s="1">
        <v>40750</v>
      </c>
      <c r="G2861">
        <v>124.5</v>
      </c>
      <c r="H2861" s="4">
        <f t="shared" si="258"/>
        <v>279913.34999999998</v>
      </c>
      <c r="I2861" s="5">
        <v>41436</v>
      </c>
      <c r="J2861" s="4">
        <v>4256.9799999999996</v>
      </c>
      <c r="K2861" s="4">
        <f t="shared" si="259"/>
        <v>42569.799999999996</v>
      </c>
    </row>
    <row r="2862" spans="4:11" x14ac:dyDescent="0.35">
      <c r="D2862" s="1">
        <v>41480</v>
      </c>
      <c r="E2862">
        <v>2.2490999999999999</v>
      </c>
      <c r="F2862" s="1">
        <v>40749</v>
      </c>
      <c r="G2862">
        <v>124.063</v>
      </c>
      <c r="H2862" s="4">
        <f t="shared" si="258"/>
        <v>279030.09329999995</v>
      </c>
      <c r="I2862" s="5">
        <v>41435</v>
      </c>
      <c r="J2862" s="4">
        <v>4282.8</v>
      </c>
      <c r="K2862" s="4">
        <f t="shared" si="259"/>
        <v>42828</v>
      </c>
    </row>
    <row r="2863" spans="4:11" x14ac:dyDescent="0.35">
      <c r="D2863" s="1">
        <v>41479</v>
      </c>
      <c r="E2863">
        <v>2.2342</v>
      </c>
      <c r="F2863" s="1">
        <v>40745</v>
      </c>
      <c r="G2863">
        <v>123.90600000000001</v>
      </c>
      <c r="H2863" s="4">
        <f t="shared" si="258"/>
        <v>276830.78520000004</v>
      </c>
      <c r="I2863" s="5">
        <v>41432</v>
      </c>
      <c r="J2863" s="4">
        <v>4259.96</v>
      </c>
      <c r="K2863" s="4">
        <f t="shared" si="259"/>
        <v>42599.6</v>
      </c>
    </row>
    <row r="2864" spans="4:11" x14ac:dyDescent="0.35">
      <c r="D2864" s="1">
        <v>41478</v>
      </c>
      <c r="E2864">
        <v>2.2261000000000002</v>
      </c>
      <c r="F2864" s="1">
        <v>40743</v>
      </c>
      <c r="G2864">
        <v>124.65600000000001</v>
      </c>
      <c r="H2864" s="4">
        <f t="shared" si="258"/>
        <v>277496.72160000005</v>
      </c>
      <c r="I2864" s="5">
        <v>41431</v>
      </c>
      <c r="J2864" s="4">
        <v>4250.03</v>
      </c>
      <c r="K2864" s="4">
        <f t="shared" si="259"/>
        <v>42500.299999999996</v>
      </c>
    </row>
    <row r="2865" spans="4:11" x14ac:dyDescent="0.35">
      <c r="D2865" s="1">
        <v>41477</v>
      </c>
      <c r="E2865">
        <v>2.238</v>
      </c>
      <c r="F2865" s="1">
        <v>40742</v>
      </c>
      <c r="G2865">
        <v>124.90600000000001</v>
      </c>
      <c r="H2865" s="4">
        <f t="shared" si="258"/>
        <v>279539.62799999997</v>
      </c>
      <c r="I2865" s="5">
        <v>41430</v>
      </c>
      <c r="J2865" s="4">
        <v>4246.0600000000004</v>
      </c>
      <c r="K2865" s="4">
        <f t="shared" si="259"/>
        <v>42460.600000000006</v>
      </c>
    </row>
    <row r="2866" spans="4:11" x14ac:dyDescent="0.35">
      <c r="D2866" s="1">
        <v>41474</v>
      </c>
      <c r="E2866">
        <v>2.2357999999999998</v>
      </c>
      <c r="F2866" s="1">
        <v>40739</v>
      </c>
      <c r="G2866">
        <v>124.828</v>
      </c>
      <c r="H2866" s="4">
        <f t="shared" si="258"/>
        <v>279090.4424</v>
      </c>
      <c r="I2866" s="5">
        <v>41429</v>
      </c>
      <c r="J2866" s="4">
        <v>4243.08</v>
      </c>
      <c r="K2866" s="4">
        <f t="shared" si="259"/>
        <v>42430.8</v>
      </c>
    </row>
    <row r="2867" spans="4:11" x14ac:dyDescent="0.35">
      <c r="D2867" s="1">
        <v>41473</v>
      </c>
      <c r="E2867">
        <v>2.2290999999999999</v>
      </c>
      <c r="F2867" s="1">
        <v>40738</v>
      </c>
      <c r="G2867">
        <v>124.563</v>
      </c>
      <c r="H2867" s="4">
        <f t="shared" si="258"/>
        <v>277663.38329999999</v>
      </c>
      <c r="I2867" s="5">
        <v>41428</v>
      </c>
      <c r="J2867" s="4">
        <v>4244.07</v>
      </c>
      <c r="K2867" s="4">
        <f t="shared" si="259"/>
        <v>42440.7</v>
      </c>
    </row>
    <row r="2868" spans="4:11" x14ac:dyDescent="0.35">
      <c r="D2868" s="1">
        <v>41472</v>
      </c>
      <c r="E2868">
        <v>2.2366000000000001</v>
      </c>
      <c r="F2868" s="1">
        <v>40737</v>
      </c>
      <c r="G2868">
        <v>124.89100000000001</v>
      </c>
      <c r="H2868" s="4">
        <f t="shared" si="258"/>
        <v>279331.21059999999</v>
      </c>
      <c r="I2868" s="5">
        <v>41425</v>
      </c>
      <c r="J2868" s="4">
        <v>4275.8500000000004</v>
      </c>
      <c r="K2868" s="4">
        <f t="shared" si="259"/>
        <v>42758.5</v>
      </c>
    </row>
    <row r="2869" spans="4:11" x14ac:dyDescent="0.35">
      <c r="D2869" s="1">
        <v>41471</v>
      </c>
      <c r="E2869">
        <v>2.2347000000000001</v>
      </c>
      <c r="F2869" s="1">
        <v>40736</v>
      </c>
      <c r="G2869">
        <v>124.59399999999999</v>
      </c>
      <c r="H2869" s="4">
        <f t="shared" si="258"/>
        <v>278430.21179999999</v>
      </c>
      <c r="I2869" s="5">
        <v>41423</v>
      </c>
      <c r="J2869" s="4">
        <v>4220.24</v>
      </c>
      <c r="K2869" s="4">
        <f t="shared" si="259"/>
        <v>42202.399999999994</v>
      </c>
    </row>
    <row r="2870" spans="4:11" x14ac:dyDescent="0.35">
      <c r="D2870" s="1">
        <v>41470</v>
      </c>
      <c r="E2870">
        <v>2.2543000000000002</v>
      </c>
      <c r="F2870" s="1">
        <v>40735</v>
      </c>
      <c r="G2870">
        <v>124.437</v>
      </c>
      <c r="H2870" s="4">
        <f t="shared" si="258"/>
        <v>280518.32910000003</v>
      </c>
      <c r="I2870" s="5">
        <v>41422</v>
      </c>
      <c r="J2870" s="4">
        <v>4153.2700000000004</v>
      </c>
      <c r="K2870" s="4">
        <f t="shared" si="259"/>
        <v>41532.700000000004</v>
      </c>
    </row>
    <row r="2871" spans="4:11" x14ac:dyDescent="0.35">
      <c r="D2871" s="1">
        <v>41467</v>
      </c>
      <c r="E2871">
        <v>2.2664</v>
      </c>
      <c r="F2871" s="1">
        <v>40732</v>
      </c>
      <c r="G2871">
        <v>122.28100000000001</v>
      </c>
      <c r="H2871" s="4">
        <f t="shared" si="258"/>
        <v>277137.65840000001</v>
      </c>
      <c r="I2871" s="5">
        <v>41421</v>
      </c>
      <c r="J2871" s="4">
        <v>4119.28</v>
      </c>
      <c r="K2871" s="4">
        <f t="shared" si="259"/>
        <v>41192.799999999996</v>
      </c>
    </row>
    <row r="2872" spans="4:11" x14ac:dyDescent="0.35">
      <c r="D2872" s="1">
        <v>41466</v>
      </c>
      <c r="E2872">
        <v>2.2665999999999999</v>
      </c>
      <c r="F2872" s="1">
        <v>40731</v>
      </c>
      <c r="G2872">
        <v>122.46899999999999</v>
      </c>
      <c r="H2872" s="4">
        <f t="shared" si="258"/>
        <v>277588.23539999995</v>
      </c>
      <c r="I2872" s="5">
        <v>41418</v>
      </c>
      <c r="J2872" s="4">
        <v>4106.29</v>
      </c>
      <c r="K2872" s="4">
        <f t="shared" si="259"/>
        <v>41062.9</v>
      </c>
    </row>
    <row r="2873" spans="4:11" x14ac:dyDescent="0.35">
      <c r="D2873" s="1">
        <v>41465</v>
      </c>
      <c r="E2873">
        <v>2.2690999999999999</v>
      </c>
      <c r="F2873" s="1">
        <v>40730</v>
      </c>
      <c r="G2873">
        <v>123.01600000000001</v>
      </c>
      <c r="H2873" s="4">
        <f t="shared" si="258"/>
        <v>279135.60560000001</v>
      </c>
      <c r="I2873" s="5">
        <v>41417</v>
      </c>
      <c r="J2873" s="4">
        <v>4092.29</v>
      </c>
      <c r="K2873" s="4">
        <f t="shared" si="259"/>
        <v>40922.9</v>
      </c>
    </row>
    <row r="2874" spans="4:11" x14ac:dyDescent="0.35">
      <c r="D2874" s="1">
        <v>41464</v>
      </c>
      <c r="E2874">
        <v>2.2614999999999998</v>
      </c>
      <c r="F2874" s="1">
        <v>40729</v>
      </c>
      <c r="G2874">
        <v>122.672</v>
      </c>
      <c r="H2874" s="4">
        <f t="shared" si="258"/>
        <v>277422.72799999994</v>
      </c>
      <c r="I2874" s="5">
        <v>41416</v>
      </c>
      <c r="J2874" s="4">
        <v>4106.29</v>
      </c>
      <c r="K2874" s="4">
        <f t="shared" si="259"/>
        <v>41062.9</v>
      </c>
    </row>
    <row r="2875" spans="4:11" x14ac:dyDescent="0.35">
      <c r="D2875" s="1">
        <v>41463</v>
      </c>
      <c r="E2875">
        <v>2.2576999999999998</v>
      </c>
      <c r="F2875" s="1">
        <v>40725</v>
      </c>
      <c r="G2875">
        <v>122.03100000000001</v>
      </c>
      <c r="H2875" s="4">
        <f t="shared" si="258"/>
        <v>275509.38870000001</v>
      </c>
      <c r="I2875" s="5">
        <v>41415</v>
      </c>
      <c r="J2875" s="4">
        <v>4085.3</v>
      </c>
      <c r="K2875" s="4">
        <f t="shared" si="259"/>
        <v>40853</v>
      </c>
    </row>
    <row r="2876" spans="4:11" x14ac:dyDescent="0.35">
      <c r="D2876" s="1">
        <v>41460</v>
      </c>
      <c r="E2876">
        <v>2.2639</v>
      </c>
      <c r="F2876" s="1">
        <v>40724</v>
      </c>
      <c r="G2876">
        <v>122.28100000000001</v>
      </c>
      <c r="H2876" s="4">
        <f t="shared" si="258"/>
        <v>276831.9559</v>
      </c>
      <c r="I2876" s="5">
        <v>41414</v>
      </c>
      <c r="J2876" s="4">
        <v>4088.3</v>
      </c>
      <c r="K2876" s="4">
        <f t="shared" si="259"/>
        <v>40883</v>
      </c>
    </row>
    <row r="2877" spans="4:11" x14ac:dyDescent="0.35">
      <c r="D2877" s="1">
        <v>41459</v>
      </c>
      <c r="E2877">
        <v>2.2589000000000001</v>
      </c>
      <c r="F2877" s="1">
        <v>40723</v>
      </c>
      <c r="G2877">
        <v>122.71899999999999</v>
      </c>
      <c r="H2877" s="4">
        <f t="shared" si="258"/>
        <v>277209.94910000003</v>
      </c>
      <c r="I2877" s="5">
        <v>41411</v>
      </c>
      <c r="J2877" s="4">
        <v>4080.3</v>
      </c>
      <c r="K2877" s="4">
        <f t="shared" si="259"/>
        <v>40803</v>
      </c>
    </row>
    <row r="2878" spans="4:11" x14ac:dyDescent="0.35">
      <c r="D2878" s="1">
        <v>41458</v>
      </c>
      <c r="E2878">
        <v>2.2627999999999999</v>
      </c>
      <c r="F2878" s="1">
        <v>40722</v>
      </c>
      <c r="G2878">
        <v>124</v>
      </c>
      <c r="H2878" s="4">
        <f t="shared" si="258"/>
        <v>280587.2</v>
      </c>
      <c r="I2878" s="5">
        <v>41410</v>
      </c>
      <c r="J2878" s="4">
        <v>4061.31</v>
      </c>
      <c r="K2878" s="4">
        <f t="shared" si="259"/>
        <v>40613.1</v>
      </c>
    </row>
    <row r="2879" spans="4:11" x14ac:dyDescent="0.35">
      <c r="D2879" s="1">
        <v>41457</v>
      </c>
      <c r="E2879">
        <v>2.2406999999999999</v>
      </c>
      <c r="F2879" s="1">
        <v>40721</v>
      </c>
      <c r="G2879">
        <v>124.78100000000001</v>
      </c>
      <c r="H2879" s="4">
        <f t="shared" si="258"/>
        <v>279596.7867</v>
      </c>
      <c r="I2879" s="5">
        <v>41409</v>
      </c>
      <c r="J2879" s="4">
        <v>4054.31</v>
      </c>
      <c r="K2879" s="4">
        <f t="shared" si="259"/>
        <v>40543.1</v>
      </c>
    </row>
    <row r="2880" spans="4:11" x14ac:dyDescent="0.35">
      <c r="D2880" s="1">
        <v>41456</v>
      </c>
      <c r="E2880">
        <v>2.2292000000000001</v>
      </c>
      <c r="F2880" s="1">
        <v>40718</v>
      </c>
      <c r="G2880">
        <v>124.90600000000001</v>
      </c>
      <c r="H2880" s="4">
        <f t="shared" si="258"/>
        <v>278440.45520000003</v>
      </c>
      <c r="I2880" s="5">
        <v>41408</v>
      </c>
      <c r="J2880" s="4">
        <v>4058.31</v>
      </c>
      <c r="K2880" s="4">
        <f t="shared" si="259"/>
        <v>40583.1</v>
      </c>
    </row>
    <row r="2881" spans="4:11" x14ac:dyDescent="0.35">
      <c r="D2881" s="1">
        <v>41453</v>
      </c>
      <c r="E2881">
        <v>2.2149999999999999</v>
      </c>
      <c r="F2881" s="1">
        <v>40715</v>
      </c>
      <c r="G2881">
        <v>123.813</v>
      </c>
      <c r="H2881" s="4">
        <f t="shared" si="258"/>
        <v>274245.79499999998</v>
      </c>
      <c r="I2881" s="5">
        <v>41407</v>
      </c>
      <c r="J2881" s="4">
        <v>4028.32</v>
      </c>
      <c r="K2881" s="4">
        <f t="shared" si="259"/>
        <v>40283.200000000004</v>
      </c>
    </row>
    <row r="2882" spans="4:11" x14ac:dyDescent="0.35">
      <c r="D2882" s="1">
        <v>41452</v>
      </c>
      <c r="E2882">
        <v>2.1840000000000002</v>
      </c>
      <c r="F2882" s="1">
        <v>40714</v>
      </c>
      <c r="G2882">
        <v>123.98399999999999</v>
      </c>
      <c r="H2882" s="4">
        <f t="shared" si="258"/>
        <v>270781.05600000004</v>
      </c>
      <c r="I2882" s="5">
        <v>41404</v>
      </c>
      <c r="J2882" s="4">
        <v>4056.31</v>
      </c>
      <c r="K2882" s="4">
        <f t="shared" si="259"/>
        <v>40563.1</v>
      </c>
    </row>
    <row r="2883" spans="4:11" x14ac:dyDescent="0.35">
      <c r="D2883" s="1">
        <v>41451</v>
      </c>
      <c r="E2883">
        <v>2.1968999999999999</v>
      </c>
      <c r="F2883" s="1">
        <v>40711</v>
      </c>
      <c r="G2883">
        <v>123.578</v>
      </c>
      <c r="H2883" s="4">
        <f t="shared" si="258"/>
        <v>271488.50820000004</v>
      </c>
      <c r="I2883" s="5">
        <v>41403</v>
      </c>
      <c r="J2883" s="4">
        <v>4045.31</v>
      </c>
      <c r="K2883" s="4">
        <f t="shared" si="259"/>
        <v>40453.1</v>
      </c>
    </row>
    <row r="2884" spans="4:11" x14ac:dyDescent="0.35">
      <c r="D2884" s="1">
        <v>41450</v>
      </c>
      <c r="E2884">
        <v>2.218</v>
      </c>
      <c r="F2884" s="1">
        <v>40710</v>
      </c>
      <c r="G2884">
        <v>124.21899999999999</v>
      </c>
      <c r="H2884" s="4">
        <f t="shared" ref="H2884:H2947" si="260">G2884*E2884*1000</f>
        <v>275517.74199999997</v>
      </c>
      <c r="I2884" s="5">
        <v>41402</v>
      </c>
      <c r="J2884" s="4">
        <v>4026.32</v>
      </c>
      <c r="K2884" s="4">
        <f t="shared" si="259"/>
        <v>40263.200000000004</v>
      </c>
    </row>
    <row r="2885" spans="4:11" x14ac:dyDescent="0.35">
      <c r="D2885" s="1">
        <v>41449</v>
      </c>
      <c r="E2885">
        <v>2.2509000000000001</v>
      </c>
      <c r="F2885" s="1">
        <v>40709</v>
      </c>
      <c r="G2885">
        <v>123.76600000000001</v>
      </c>
      <c r="H2885" s="4">
        <f t="shared" si="260"/>
        <v>278584.88939999999</v>
      </c>
      <c r="I2885" s="5">
        <v>41401</v>
      </c>
      <c r="J2885" s="4">
        <v>4032.32</v>
      </c>
      <c r="K2885" s="4">
        <f t="shared" ref="K2885:K2948" si="261">J2885*10</f>
        <v>40323.200000000004</v>
      </c>
    </row>
    <row r="2886" spans="4:11" x14ac:dyDescent="0.35">
      <c r="D2886" s="1">
        <v>41446</v>
      </c>
      <c r="E2886">
        <v>2.2642000000000002</v>
      </c>
      <c r="F2886" s="1">
        <v>40708</v>
      </c>
      <c r="G2886">
        <v>122.76600000000001</v>
      </c>
      <c r="H2886" s="4">
        <f t="shared" si="260"/>
        <v>277966.77720000001</v>
      </c>
      <c r="I2886" s="5">
        <v>41400</v>
      </c>
      <c r="J2886" s="4">
        <v>4036.32</v>
      </c>
      <c r="K2886" s="4">
        <f t="shared" si="261"/>
        <v>40363.200000000004</v>
      </c>
    </row>
    <row r="2887" spans="4:11" x14ac:dyDescent="0.35">
      <c r="D2887" s="1">
        <v>41445</v>
      </c>
      <c r="E2887">
        <v>2.2517</v>
      </c>
      <c r="F2887" s="1">
        <v>40707</v>
      </c>
      <c r="G2887">
        <v>123.46899999999999</v>
      </c>
      <c r="H2887" s="4">
        <f t="shared" si="260"/>
        <v>278015.14729999995</v>
      </c>
      <c r="I2887" s="5">
        <v>41397</v>
      </c>
      <c r="J2887" s="4">
        <v>4035.32</v>
      </c>
      <c r="K2887" s="4">
        <f t="shared" si="261"/>
        <v>40353.200000000004</v>
      </c>
    </row>
    <row r="2888" spans="4:11" x14ac:dyDescent="0.35">
      <c r="D2888" s="1">
        <v>41444</v>
      </c>
      <c r="E2888">
        <v>2.1738</v>
      </c>
      <c r="F2888" s="1">
        <v>40704</v>
      </c>
      <c r="G2888">
        <v>123.71899999999999</v>
      </c>
      <c r="H2888" s="4">
        <f t="shared" si="260"/>
        <v>268940.36219999997</v>
      </c>
      <c r="I2888" s="5">
        <v>41396</v>
      </c>
      <c r="J2888" s="4">
        <v>4035.32</v>
      </c>
      <c r="K2888" s="4">
        <f t="shared" si="261"/>
        <v>40353.200000000004</v>
      </c>
    </row>
    <row r="2889" spans="4:11" x14ac:dyDescent="0.35">
      <c r="D2889" s="1">
        <v>41443</v>
      </c>
      <c r="E2889">
        <v>2.17</v>
      </c>
      <c r="F2889" s="1">
        <v>40697</v>
      </c>
      <c r="G2889">
        <v>123.78100000000001</v>
      </c>
      <c r="H2889" s="4">
        <f t="shared" si="260"/>
        <v>268604.77</v>
      </c>
      <c r="I2889" s="5">
        <v>41394</v>
      </c>
      <c r="J2889" s="4">
        <v>4020.32</v>
      </c>
      <c r="K2889" s="4">
        <f t="shared" si="261"/>
        <v>40203.200000000004</v>
      </c>
    </row>
    <row r="2890" spans="4:11" x14ac:dyDescent="0.35">
      <c r="D2890" s="1">
        <v>41442</v>
      </c>
      <c r="E2890">
        <v>2.1532</v>
      </c>
      <c r="F2890" s="1">
        <v>40696</v>
      </c>
      <c r="G2890">
        <v>122.96899999999999</v>
      </c>
      <c r="H2890" s="4">
        <f t="shared" si="260"/>
        <v>264776.85079999996</v>
      </c>
      <c r="I2890" s="5">
        <v>41393</v>
      </c>
      <c r="J2890" s="4">
        <v>4034.32</v>
      </c>
      <c r="K2890" s="4">
        <f t="shared" si="261"/>
        <v>40343.200000000004</v>
      </c>
    </row>
    <row r="2891" spans="4:11" x14ac:dyDescent="0.35">
      <c r="D2891" s="1">
        <v>41439</v>
      </c>
      <c r="E2891">
        <v>2.1360999999999999</v>
      </c>
      <c r="F2891" s="1">
        <v>40695</v>
      </c>
      <c r="G2891">
        <v>123.453</v>
      </c>
      <c r="H2891" s="4">
        <f t="shared" si="260"/>
        <v>263707.95329999999</v>
      </c>
      <c r="I2891" s="5">
        <v>41390</v>
      </c>
      <c r="J2891" s="4">
        <v>4013.23</v>
      </c>
      <c r="K2891" s="4">
        <f t="shared" si="261"/>
        <v>40132.300000000003</v>
      </c>
    </row>
    <row r="2892" spans="4:11" x14ac:dyDescent="0.35">
      <c r="D2892" s="1">
        <v>41438</v>
      </c>
      <c r="E2892">
        <v>2.1440999999999999</v>
      </c>
      <c r="F2892" s="1">
        <v>40690</v>
      </c>
      <c r="G2892">
        <v>123.78100000000001</v>
      </c>
      <c r="H2892" s="4">
        <f t="shared" si="260"/>
        <v>265398.84210000001</v>
      </c>
      <c r="I2892" s="5">
        <v>41389</v>
      </c>
      <c r="J2892" s="4">
        <v>4031.31</v>
      </c>
      <c r="K2892" s="4">
        <f t="shared" si="261"/>
        <v>40313.1</v>
      </c>
    </row>
    <row r="2893" spans="4:11" x14ac:dyDescent="0.35">
      <c r="D2893" s="1">
        <v>41437</v>
      </c>
      <c r="E2893">
        <v>2.1415000000000002</v>
      </c>
      <c r="F2893" s="1">
        <v>40689</v>
      </c>
      <c r="G2893">
        <v>123.547</v>
      </c>
      <c r="H2893" s="4">
        <f t="shared" si="260"/>
        <v>264575.90049999999</v>
      </c>
      <c r="I2893" s="5">
        <v>41388</v>
      </c>
      <c r="J2893" s="4">
        <v>4037.33</v>
      </c>
      <c r="K2893" s="4">
        <f t="shared" si="261"/>
        <v>40373.300000000003</v>
      </c>
    </row>
    <row r="2894" spans="4:11" x14ac:dyDescent="0.35">
      <c r="D2894" s="1">
        <v>41436</v>
      </c>
      <c r="E2894">
        <v>2.1515</v>
      </c>
      <c r="F2894" s="1">
        <v>40688</v>
      </c>
      <c r="G2894">
        <v>123.143</v>
      </c>
      <c r="H2894" s="4">
        <f t="shared" si="260"/>
        <v>264942.16450000001</v>
      </c>
      <c r="I2894" s="5">
        <v>41387</v>
      </c>
      <c r="J2894" s="4">
        <v>4071.47</v>
      </c>
      <c r="K2894" s="4">
        <f t="shared" si="261"/>
        <v>40714.699999999997</v>
      </c>
    </row>
    <row r="2895" spans="4:11" x14ac:dyDescent="0.35">
      <c r="D2895" s="1">
        <v>41435</v>
      </c>
      <c r="E2895">
        <v>2.1501000000000001</v>
      </c>
      <c r="F2895" s="1">
        <v>40687</v>
      </c>
      <c r="G2895">
        <v>123.203</v>
      </c>
      <c r="H2895" s="4">
        <f t="shared" si="260"/>
        <v>264898.77030000003</v>
      </c>
      <c r="I2895" s="5">
        <v>41386</v>
      </c>
      <c r="J2895" s="4">
        <v>4064.44</v>
      </c>
      <c r="K2895" s="4">
        <f t="shared" si="261"/>
        <v>40644.400000000001</v>
      </c>
    </row>
    <row r="2896" spans="4:11" x14ac:dyDescent="0.35">
      <c r="D2896" s="1">
        <v>41432</v>
      </c>
      <c r="E2896">
        <v>2.1366999999999998</v>
      </c>
      <c r="F2896" s="1">
        <v>40683</v>
      </c>
      <c r="G2896">
        <v>122.703</v>
      </c>
      <c r="H2896" s="4">
        <f t="shared" si="260"/>
        <v>262179.5001</v>
      </c>
      <c r="I2896" s="5">
        <v>41383</v>
      </c>
      <c r="J2896" s="4">
        <v>4044.36</v>
      </c>
      <c r="K2896" s="4">
        <f t="shared" si="261"/>
        <v>40443.599999999999</v>
      </c>
    </row>
    <row r="2897" spans="4:11" x14ac:dyDescent="0.35">
      <c r="D2897" s="1">
        <v>41431</v>
      </c>
      <c r="E2897">
        <v>2.1244000000000001</v>
      </c>
      <c r="F2897" s="1">
        <v>40682</v>
      </c>
      <c r="G2897">
        <v>122.6</v>
      </c>
      <c r="H2897" s="4">
        <f t="shared" si="260"/>
        <v>260451.44</v>
      </c>
      <c r="I2897" s="5">
        <v>41382</v>
      </c>
      <c r="J2897" s="4">
        <v>4062.43</v>
      </c>
      <c r="K2897" s="4">
        <f t="shared" si="261"/>
        <v>40624.299999999996</v>
      </c>
    </row>
    <row r="2898" spans="4:11" x14ac:dyDescent="0.35">
      <c r="D2898" s="1">
        <v>41430</v>
      </c>
      <c r="E2898">
        <v>2.1229</v>
      </c>
      <c r="F2898" s="1">
        <v>40681</v>
      </c>
      <c r="G2898">
        <v>122.53100000000001</v>
      </c>
      <c r="H2898" s="4">
        <f t="shared" si="260"/>
        <v>260121.05990000002</v>
      </c>
      <c r="I2898" s="5">
        <v>41381</v>
      </c>
      <c r="J2898" s="4">
        <v>4021.27</v>
      </c>
      <c r="K2898" s="4">
        <f t="shared" si="261"/>
        <v>40212.699999999997</v>
      </c>
    </row>
    <row r="2899" spans="4:11" x14ac:dyDescent="0.35">
      <c r="D2899" s="1">
        <v>41429</v>
      </c>
      <c r="E2899">
        <v>2.1276000000000002</v>
      </c>
      <c r="F2899" s="1">
        <v>40679</v>
      </c>
      <c r="G2899">
        <v>122.688</v>
      </c>
      <c r="H2899" s="4">
        <f t="shared" si="260"/>
        <v>261030.98880000005</v>
      </c>
      <c r="I2899" s="5">
        <v>41380</v>
      </c>
      <c r="J2899" s="4">
        <v>4001.18</v>
      </c>
      <c r="K2899" s="4">
        <f t="shared" si="261"/>
        <v>40011.799999999996</v>
      </c>
    </row>
    <row r="2900" spans="4:11" x14ac:dyDescent="0.35">
      <c r="D2900" s="1">
        <v>41428</v>
      </c>
      <c r="E2900">
        <v>2.1349</v>
      </c>
      <c r="F2900" s="1">
        <v>40676</v>
      </c>
      <c r="G2900">
        <v>122.60899999999999</v>
      </c>
      <c r="H2900" s="4">
        <f t="shared" si="260"/>
        <v>261757.9541</v>
      </c>
      <c r="I2900" s="5">
        <v>41379</v>
      </c>
      <c r="J2900" s="4">
        <v>4032.31</v>
      </c>
      <c r="K2900" s="4">
        <f t="shared" si="261"/>
        <v>40323.1</v>
      </c>
    </row>
    <row r="2901" spans="4:11" x14ac:dyDescent="0.35">
      <c r="D2901" s="1">
        <v>41425</v>
      </c>
      <c r="E2901">
        <v>2.1314000000000002</v>
      </c>
      <c r="F2901" s="1">
        <v>40674</v>
      </c>
      <c r="G2901">
        <v>122.46899999999999</v>
      </c>
      <c r="H2901" s="4">
        <f t="shared" si="260"/>
        <v>261030.42660000001</v>
      </c>
      <c r="I2901" s="5">
        <v>41376</v>
      </c>
      <c r="J2901" s="4">
        <v>3968.05</v>
      </c>
      <c r="K2901" s="4">
        <f t="shared" si="261"/>
        <v>39680.5</v>
      </c>
    </row>
    <row r="2902" spans="4:11" x14ac:dyDescent="0.35">
      <c r="D2902" s="1">
        <v>41423</v>
      </c>
      <c r="E2902">
        <v>2.0888</v>
      </c>
      <c r="F2902" s="1">
        <v>40673</v>
      </c>
      <c r="G2902">
        <v>122.09399999999999</v>
      </c>
      <c r="H2902" s="4">
        <f t="shared" si="260"/>
        <v>255029.9472</v>
      </c>
      <c r="I2902" s="5">
        <v>41375</v>
      </c>
      <c r="J2902" s="4">
        <v>3978.09</v>
      </c>
      <c r="K2902" s="4">
        <f t="shared" si="261"/>
        <v>39780.9</v>
      </c>
    </row>
    <row r="2903" spans="4:11" x14ac:dyDescent="0.35">
      <c r="D2903" s="1">
        <v>41422</v>
      </c>
      <c r="E2903">
        <v>2.0609999999999999</v>
      </c>
      <c r="F2903" s="1">
        <v>40672</v>
      </c>
      <c r="G2903">
        <v>122.375</v>
      </c>
      <c r="H2903" s="4">
        <f t="shared" si="260"/>
        <v>252214.875</v>
      </c>
      <c r="I2903" s="5">
        <v>41374</v>
      </c>
      <c r="J2903" s="4">
        <v>3976.08</v>
      </c>
      <c r="K2903" s="4">
        <f t="shared" si="261"/>
        <v>39760.800000000003</v>
      </c>
    </row>
    <row r="2904" spans="4:11" x14ac:dyDescent="0.35">
      <c r="D2904" s="1">
        <v>41421</v>
      </c>
      <c r="E2904">
        <v>2.0520999999999998</v>
      </c>
      <c r="F2904" s="1">
        <v>40669</v>
      </c>
      <c r="G2904">
        <v>121.60899999999999</v>
      </c>
      <c r="H2904" s="4">
        <f t="shared" si="260"/>
        <v>249553.82889999996</v>
      </c>
      <c r="I2904" s="5">
        <v>41373</v>
      </c>
      <c r="J2904" s="4">
        <v>3995.16</v>
      </c>
      <c r="K2904" s="4">
        <f t="shared" si="261"/>
        <v>39951.599999999999</v>
      </c>
    </row>
    <row r="2905" spans="4:11" x14ac:dyDescent="0.35">
      <c r="D2905" s="1">
        <v>41418</v>
      </c>
      <c r="E2905">
        <v>2.0489000000000002</v>
      </c>
      <c r="F2905" s="1">
        <v>40668</v>
      </c>
      <c r="G2905">
        <v>122.21899999999999</v>
      </c>
      <c r="H2905" s="4">
        <f t="shared" si="260"/>
        <v>250414.5091</v>
      </c>
      <c r="I2905" s="5">
        <v>41372</v>
      </c>
      <c r="J2905" s="4">
        <v>4017.25</v>
      </c>
      <c r="K2905" s="4">
        <f t="shared" si="261"/>
        <v>40172.5</v>
      </c>
    </row>
    <row r="2906" spans="4:11" x14ac:dyDescent="0.35">
      <c r="D2906" s="1">
        <v>41417</v>
      </c>
      <c r="E2906">
        <v>2.0531000000000001</v>
      </c>
      <c r="F2906" s="1">
        <v>40667</v>
      </c>
      <c r="G2906">
        <v>121.59399999999999</v>
      </c>
      <c r="H2906" s="4">
        <f t="shared" si="260"/>
        <v>249644.64140000002</v>
      </c>
      <c r="I2906" s="5">
        <v>41369</v>
      </c>
      <c r="J2906" s="4">
        <v>4003.19</v>
      </c>
      <c r="K2906" s="4">
        <f t="shared" si="261"/>
        <v>40031.9</v>
      </c>
    </row>
    <row r="2907" spans="4:11" x14ac:dyDescent="0.35">
      <c r="D2907" s="1">
        <v>41416</v>
      </c>
      <c r="E2907">
        <v>2.0381</v>
      </c>
      <c r="F2907" s="1">
        <v>40666</v>
      </c>
      <c r="G2907">
        <v>121.44</v>
      </c>
      <c r="H2907" s="4">
        <f t="shared" si="260"/>
        <v>247506.864</v>
      </c>
      <c r="I2907" s="5">
        <v>41368</v>
      </c>
      <c r="J2907" s="4">
        <v>4065.44</v>
      </c>
      <c r="K2907" s="4">
        <f t="shared" si="261"/>
        <v>40654.400000000001</v>
      </c>
    </row>
    <row r="2908" spans="4:11" x14ac:dyDescent="0.35">
      <c r="D2908" s="1">
        <v>41415</v>
      </c>
      <c r="E2908">
        <v>2.0396000000000001</v>
      </c>
      <c r="F2908" s="1">
        <v>40665</v>
      </c>
      <c r="G2908">
        <v>121.03100000000001</v>
      </c>
      <c r="H2908" s="4">
        <f t="shared" si="260"/>
        <v>246854.82760000002</v>
      </c>
      <c r="I2908" s="5">
        <v>41367</v>
      </c>
      <c r="J2908" s="4">
        <v>4078.5</v>
      </c>
      <c r="K2908" s="4">
        <f t="shared" si="261"/>
        <v>40785</v>
      </c>
    </row>
    <row r="2909" spans="4:11" x14ac:dyDescent="0.35">
      <c r="D2909" s="1">
        <v>41414</v>
      </c>
      <c r="E2909">
        <v>2.0327999999999999</v>
      </c>
      <c r="F2909" s="1">
        <v>40662</v>
      </c>
      <c r="G2909">
        <v>121</v>
      </c>
      <c r="H2909" s="4">
        <f t="shared" si="260"/>
        <v>245968.8</v>
      </c>
      <c r="I2909" s="5">
        <v>41366</v>
      </c>
      <c r="J2909" s="4">
        <v>4075.48</v>
      </c>
      <c r="K2909" s="4">
        <f t="shared" si="261"/>
        <v>40754.800000000003</v>
      </c>
    </row>
    <row r="2910" spans="4:11" x14ac:dyDescent="0.35">
      <c r="D2910" s="1">
        <v>41411</v>
      </c>
      <c r="E2910">
        <v>2.0348000000000002</v>
      </c>
      <c r="F2910" s="1">
        <v>40661</v>
      </c>
      <c r="G2910">
        <v>120.922</v>
      </c>
      <c r="H2910" s="4">
        <f t="shared" si="260"/>
        <v>246052.08560000002</v>
      </c>
      <c r="I2910" s="5">
        <v>41365</v>
      </c>
      <c r="J2910" s="4">
        <v>4072.47</v>
      </c>
      <c r="K2910" s="4">
        <f t="shared" si="261"/>
        <v>40724.699999999997</v>
      </c>
    </row>
    <row r="2911" spans="4:11" x14ac:dyDescent="0.35">
      <c r="D2911" s="1">
        <v>41410</v>
      </c>
      <c r="E2911">
        <v>2.0249000000000001</v>
      </c>
      <c r="F2911" s="1">
        <v>40660</v>
      </c>
      <c r="G2911">
        <v>120.46899999999999</v>
      </c>
      <c r="H2911" s="4">
        <f t="shared" si="260"/>
        <v>243937.67809999999</v>
      </c>
      <c r="I2911" s="5">
        <v>41361</v>
      </c>
      <c r="J2911" s="4">
        <v>4081.51</v>
      </c>
      <c r="K2911" s="4">
        <f t="shared" si="261"/>
        <v>40815.100000000006</v>
      </c>
    </row>
    <row r="2912" spans="4:11" x14ac:dyDescent="0.35">
      <c r="D2912" s="1">
        <v>41409</v>
      </c>
      <c r="E2912">
        <v>2.0226999999999999</v>
      </c>
      <c r="F2912" s="1">
        <v>40659</v>
      </c>
      <c r="G2912">
        <v>120.687</v>
      </c>
      <c r="H2912" s="4">
        <f t="shared" si="260"/>
        <v>244113.59489999997</v>
      </c>
      <c r="I2912" s="5">
        <v>41360</v>
      </c>
      <c r="J2912" s="4">
        <v>4058.42</v>
      </c>
      <c r="K2912" s="4">
        <f t="shared" si="261"/>
        <v>40584.199999999997</v>
      </c>
    </row>
    <row r="2913" spans="4:11" x14ac:dyDescent="0.35">
      <c r="D2913" s="1">
        <v>41408</v>
      </c>
      <c r="E2913">
        <v>2.0057</v>
      </c>
      <c r="F2913" s="1">
        <v>40658</v>
      </c>
      <c r="G2913">
        <v>119.90600000000001</v>
      </c>
      <c r="H2913" s="4">
        <f t="shared" si="260"/>
        <v>240495.46420000002</v>
      </c>
      <c r="I2913" s="5">
        <v>41359</v>
      </c>
      <c r="J2913" s="4">
        <v>4071.52</v>
      </c>
      <c r="K2913" s="4">
        <f t="shared" si="261"/>
        <v>40715.199999999997</v>
      </c>
    </row>
    <row r="2914" spans="4:11" x14ac:dyDescent="0.35">
      <c r="D2914" s="1">
        <v>41407</v>
      </c>
      <c r="E2914">
        <v>2.0144000000000002</v>
      </c>
      <c r="F2914" s="1">
        <v>40653</v>
      </c>
      <c r="G2914">
        <v>119.90600000000001</v>
      </c>
      <c r="H2914" s="4">
        <f t="shared" si="260"/>
        <v>241538.64640000003</v>
      </c>
      <c r="I2914" s="5">
        <v>41358</v>
      </c>
      <c r="J2914" s="4">
        <v>4061.44</v>
      </c>
      <c r="K2914" s="4">
        <f t="shared" si="261"/>
        <v>40614.400000000001</v>
      </c>
    </row>
    <row r="2915" spans="4:11" x14ac:dyDescent="0.35">
      <c r="D2915" s="1">
        <v>41404</v>
      </c>
      <c r="E2915">
        <v>2.0225</v>
      </c>
      <c r="F2915" s="1">
        <v>40652</v>
      </c>
      <c r="G2915">
        <v>120.172</v>
      </c>
      <c r="H2915" s="4">
        <f t="shared" si="260"/>
        <v>243047.87</v>
      </c>
      <c r="I2915" s="5">
        <v>41355</v>
      </c>
      <c r="J2915" s="4">
        <v>4054.38</v>
      </c>
      <c r="K2915" s="4">
        <f t="shared" si="261"/>
        <v>40543.800000000003</v>
      </c>
    </row>
    <row r="2916" spans="4:11" x14ac:dyDescent="0.35">
      <c r="D2916" s="1">
        <v>41403</v>
      </c>
      <c r="E2916">
        <v>2.0045999999999999</v>
      </c>
      <c r="F2916" s="1">
        <v>40651</v>
      </c>
      <c r="G2916">
        <v>119.813</v>
      </c>
      <c r="H2916" s="4">
        <f t="shared" si="260"/>
        <v>240177.1398</v>
      </c>
      <c r="I2916" s="5">
        <v>41354</v>
      </c>
      <c r="J2916" s="4">
        <v>4054.38</v>
      </c>
      <c r="K2916" s="4">
        <f t="shared" si="261"/>
        <v>40543.800000000003</v>
      </c>
    </row>
    <row r="2917" spans="4:11" x14ac:dyDescent="0.35">
      <c r="D2917" s="1">
        <v>41402</v>
      </c>
      <c r="E2917">
        <v>2.0024000000000002</v>
      </c>
      <c r="F2917" s="1">
        <v>40648</v>
      </c>
      <c r="G2917">
        <v>119.84399999999999</v>
      </c>
      <c r="H2917" s="4">
        <f t="shared" si="260"/>
        <v>239975.6256</v>
      </c>
      <c r="I2917" s="5">
        <v>41353</v>
      </c>
      <c r="J2917" s="4">
        <v>4020.1</v>
      </c>
      <c r="K2917" s="4">
        <f t="shared" si="261"/>
        <v>40201</v>
      </c>
    </row>
    <row r="2918" spans="4:11" x14ac:dyDescent="0.35">
      <c r="D2918" s="1">
        <v>41401</v>
      </c>
      <c r="E2918">
        <v>2.0104000000000002</v>
      </c>
      <c r="F2918" s="1">
        <v>40645</v>
      </c>
      <c r="G2918">
        <v>119.01600000000001</v>
      </c>
      <c r="H2918" s="4">
        <f t="shared" si="260"/>
        <v>239269.76640000005</v>
      </c>
      <c r="I2918" s="5">
        <v>41352</v>
      </c>
      <c r="J2918" s="4">
        <v>4010.02</v>
      </c>
      <c r="K2918" s="4">
        <f t="shared" si="261"/>
        <v>40100.199999999997</v>
      </c>
    </row>
    <row r="2919" spans="4:11" x14ac:dyDescent="0.35">
      <c r="D2919" s="1">
        <v>41400</v>
      </c>
      <c r="E2919">
        <v>2.0137</v>
      </c>
      <c r="F2919" s="1">
        <v>40641</v>
      </c>
      <c r="G2919">
        <v>118.328</v>
      </c>
      <c r="H2919" s="4">
        <f t="shared" si="260"/>
        <v>238277.09359999999</v>
      </c>
      <c r="I2919" s="5">
        <v>41351</v>
      </c>
      <c r="J2919" s="4">
        <v>4021.11</v>
      </c>
      <c r="K2919" s="4">
        <f t="shared" si="261"/>
        <v>40211.1</v>
      </c>
    </row>
    <row r="2920" spans="4:11" x14ac:dyDescent="0.35">
      <c r="D2920" s="1">
        <v>41397</v>
      </c>
      <c r="E2920">
        <v>2.0087999999999999</v>
      </c>
      <c r="F2920" s="1">
        <v>40638</v>
      </c>
      <c r="G2920">
        <v>118.71899999999999</v>
      </c>
      <c r="H2920" s="4">
        <f t="shared" si="260"/>
        <v>238482.72719999996</v>
      </c>
      <c r="I2920" s="5">
        <v>41348</v>
      </c>
      <c r="J2920" s="4">
        <v>4006.99</v>
      </c>
      <c r="K2920" s="4">
        <f t="shared" si="261"/>
        <v>40069.899999999994</v>
      </c>
    </row>
    <row r="2921" spans="4:11" x14ac:dyDescent="0.35">
      <c r="D2921" s="1">
        <v>41396</v>
      </c>
      <c r="E2921">
        <v>2.0089000000000001</v>
      </c>
      <c r="F2921" s="1">
        <v>40634</v>
      </c>
      <c r="G2921">
        <v>118.98399999999999</v>
      </c>
      <c r="H2921" s="4">
        <f t="shared" si="260"/>
        <v>239026.95759999999</v>
      </c>
      <c r="I2921" s="5">
        <v>41347</v>
      </c>
      <c r="J2921" s="4">
        <v>3982.79</v>
      </c>
      <c r="K2921" s="4">
        <f t="shared" si="261"/>
        <v>39827.9</v>
      </c>
    </row>
    <row r="2922" spans="4:11" x14ac:dyDescent="0.35">
      <c r="D2922" s="1">
        <v>41394</v>
      </c>
      <c r="E2922">
        <v>2.0011000000000001</v>
      </c>
      <c r="F2922" s="1">
        <v>40633</v>
      </c>
      <c r="G2922">
        <v>119.34399999999999</v>
      </c>
      <c r="H2922" s="4">
        <f t="shared" si="260"/>
        <v>238819.27840000001</v>
      </c>
      <c r="I2922" s="5">
        <v>41346</v>
      </c>
      <c r="J2922" s="4">
        <v>3986.83</v>
      </c>
      <c r="K2922" s="4">
        <f t="shared" si="261"/>
        <v>39868.300000000003</v>
      </c>
    </row>
    <row r="2923" spans="4:11" x14ac:dyDescent="0.35">
      <c r="D2923" s="1">
        <v>41393</v>
      </c>
      <c r="E2923">
        <v>1.9993000000000001</v>
      </c>
      <c r="F2923" s="1">
        <v>40632</v>
      </c>
      <c r="G2923">
        <v>119.188</v>
      </c>
      <c r="H2923" s="4">
        <f t="shared" si="260"/>
        <v>238292.56840000002</v>
      </c>
      <c r="I2923" s="5">
        <v>41345</v>
      </c>
      <c r="J2923" s="4">
        <v>3968.68</v>
      </c>
      <c r="K2923" s="4">
        <f t="shared" si="261"/>
        <v>39686.799999999996</v>
      </c>
    </row>
    <row r="2924" spans="4:11" x14ac:dyDescent="0.35">
      <c r="D2924" s="1">
        <v>41390</v>
      </c>
      <c r="E2924">
        <v>1.9995000000000001</v>
      </c>
      <c r="F2924" s="1">
        <v>40631</v>
      </c>
      <c r="G2924">
        <v>118.813</v>
      </c>
      <c r="H2924" s="4">
        <f t="shared" si="260"/>
        <v>237566.59350000002</v>
      </c>
      <c r="I2924" s="5">
        <v>41344</v>
      </c>
      <c r="J2924" s="4">
        <v>3959.6</v>
      </c>
      <c r="K2924" s="4">
        <f t="shared" si="261"/>
        <v>39596</v>
      </c>
    </row>
    <row r="2925" spans="4:11" x14ac:dyDescent="0.35">
      <c r="D2925" s="1">
        <v>41389</v>
      </c>
      <c r="E2925">
        <v>2.0114000000000001</v>
      </c>
      <c r="F2925" s="1">
        <v>40627</v>
      </c>
      <c r="G2925">
        <v>119.15600000000001</v>
      </c>
      <c r="H2925" s="4">
        <f t="shared" si="260"/>
        <v>239670.37840000005</v>
      </c>
      <c r="I2925" s="5">
        <v>41341</v>
      </c>
      <c r="J2925" s="4">
        <v>3934.39</v>
      </c>
      <c r="K2925" s="4">
        <f t="shared" si="261"/>
        <v>39343.9</v>
      </c>
    </row>
    <row r="2926" spans="4:11" x14ac:dyDescent="0.35">
      <c r="D2926" s="1">
        <v>41388</v>
      </c>
      <c r="E2926">
        <v>2.0238</v>
      </c>
      <c r="F2926" s="1">
        <v>40626</v>
      </c>
      <c r="G2926">
        <v>119.375</v>
      </c>
      <c r="H2926" s="4">
        <f t="shared" si="260"/>
        <v>241591.125</v>
      </c>
      <c r="I2926" s="5">
        <v>41340</v>
      </c>
      <c r="J2926" s="4">
        <v>3960.61</v>
      </c>
      <c r="K2926" s="4">
        <f t="shared" si="261"/>
        <v>39606.1</v>
      </c>
    </row>
    <row r="2927" spans="4:11" x14ac:dyDescent="0.35">
      <c r="D2927" s="1">
        <v>41387</v>
      </c>
      <c r="E2927">
        <v>2.0164</v>
      </c>
      <c r="F2927" s="1">
        <v>40624</v>
      </c>
      <c r="G2927">
        <v>119.875</v>
      </c>
      <c r="H2927" s="4">
        <f t="shared" si="260"/>
        <v>241715.94999999998</v>
      </c>
      <c r="I2927" s="5">
        <v>41339</v>
      </c>
      <c r="J2927" s="4">
        <v>3984.81</v>
      </c>
      <c r="K2927" s="4">
        <f t="shared" si="261"/>
        <v>39848.1</v>
      </c>
    </row>
    <row r="2928" spans="4:11" x14ac:dyDescent="0.35">
      <c r="D2928" s="1">
        <v>41386</v>
      </c>
      <c r="E2928">
        <v>2.0148000000000001</v>
      </c>
      <c r="F2928" s="1">
        <v>40623</v>
      </c>
      <c r="G2928">
        <v>120.25</v>
      </c>
      <c r="H2928" s="4">
        <f t="shared" si="260"/>
        <v>242279.7</v>
      </c>
      <c r="I2928" s="5">
        <v>41338</v>
      </c>
      <c r="J2928" s="4">
        <v>3977.75</v>
      </c>
      <c r="K2928" s="4">
        <f t="shared" si="261"/>
        <v>39777.5</v>
      </c>
    </row>
    <row r="2929" spans="4:11" x14ac:dyDescent="0.35">
      <c r="D2929" s="1">
        <v>41383</v>
      </c>
      <c r="E2929">
        <v>2.0084</v>
      </c>
      <c r="F2929" s="1">
        <v>40620</v>
      </c>
      <c r="G2929">
        <v>120.625</v>
      </c>
      <c r="H2929" s="4">
        <f t="shared" si="260"/>
        <v>242263.25</v>
      </c>
      <c r="I2929" s="5">
        <v>41337</v>
      </c>
      <c r="J2929" s="4">
        <v>3990.86</v>
      </c>
      <c r="K2929" s="4">
        <f t="shared" si="261"/>
        <v>39908.6</v>
      </c>
    </row>
    <row r="2930" spans="4:11" x14ac:dyDescent="0.35">
      <c r="D2930" s="1">
        <v>41382</v>
      </c>
      <c r="E2930">
        <v>2.0146000000000002</v>
      </c>
      <c r="F2930" s="1">
        <v>40618</v>
      </c>
      <c r="G2930">
        <v>121.15600000000001</v>
      </c>
      <c r="H2930" s="4">
        <f t="shared" si="260"/>
        <v>244080.87760000004</v>
      </c>
      <c r="I2930" s="5">
        <v>41334</v>
      </c>
      <c r="J2930" s="4">
        <v>4013.04</v>
      </c>
      <c r="K2930" s="4">
        <f t="shared" si="261"/>
        <v>40130.400000000001</v>
      </c>
    </row>
    <row r="2931" spans="4:11" x14ac:dyDescent="0.35">
      <c r="D2931" s="1">
        <v>41381</v>
      </c>
      <c r="E2931">
        <v>1.9933000000000001</v>
      </c>
      <c r="F2931" s="1">
        <v>40617</v>
      </c>
      <c r="G2931">
        <v>121.10899999999999</v>
      </c>
      <c r="H2931" s="4">
        <f t="shared" si="260"/>
        <v>241406.56969999999</v>
      </c>
      <c r="I2931" s="5">
        <v>41333</v>
      </c>
      <c r="J2931" s="4">
        <v>4002.96</v>
      </c>
      <c r="K2931" s="4">
        <f t="shared" si="261"/>
        <v>40029.599999999999</v>
      </c>
    </row>
    <row r="2932" spans="4:11" x14ac:dyDescent="0.35">
      <c r="D2932" s="1">
        <v>41380</v>
      </c>
      <c r="E2932">
        <v>1.9897</v>
      </c>
      <c r="F2932" s="1">
        <v>40616</v>
      </c>
      <c r="G2932">
        <v>120</v>
      </c>
      <c r="H2932" s="4">
        <f t="shared" si="260"/>
        <v>238764</v>
      </c>
      <c r="I2932" s="5">
        <v>41332</v>
      </c>
      <c r="J2932" s="4">
        <v>3996.91</v>
      </c>
      <c r="K2932" s="4">
        <f t="shared" si="261"/>
        <v>39969.1</v>
      </c>
    </row>
    <row r="2933" spans="4:11" x14ac:dyDescent="0.35">
      <c r="D2933" s="1">
        <v>41379</v>
      </c>
      <c r="E2933">
        <v>1.9783999999999999</v>
      </c>
      <c r="F2933" s="1">
        <v>40613</v>
      </c>
      <c r="G2933">
        <v>119.78100000000001</v>
      </c>
      <c r="H2933" s="4">
        <f t="shared" si="260"/>
        <v>236974.7304</v>
      </c>
      <c r="I2933" s="5">
        <v>41331</v>
      </c>
      <c r="J2933" s="4">
        <v>4016.15</v>
      </c>
      <c r="K2933" s="4">
        <f t="shared" si="261"/>
        <v>40161.5</v>
      </c>
    </row>
    <row r="2934" spans="4:11" x14ac:dyDescent="0.35">
      <c r="D2934" s="1">
        <v>41376</v>
      </c>
      <c r="E2934">
        <v>1.9755</v>
      </c>
      <c r="F2934" s="1">
        <v>40612</v>
      </c>
      <c r="G2934">
        <v>119.047</v>
      </c>
      <c r="H2934" s="4">
        <f t="shared" si="260"/>
        <v>235177.34849999999</v>
      </c>
      <c r="I2934" s="5">
        <v>41330</v>
      </c>
      <c r="J2934" s="4">
        <v>4020.2</v>
      </c>
      <c r="K2934" s="4">
        <f t="shared" si="261"/>
        <v>40202</v>
      </c>
    </row>
    <row r="2935" spans="4:11" x14ac:dyDescent="0.35">
      <c r="D2935" s="1">
        <v>41375</v>
      </c>
      <c r="E2935">
        <v>1.9731000000000001</v>
      </c>
      <c r="F2935" s="1">
        <v>40611</v>
      </c>
      <c r="G2935">
        <v>119.03100000000001</v>
      </c>
      <c r="H2935" s="4">
        <f t="shared" si="260"/>
        <v>234860.06610000003</v>
      </c>
      <c r="I2935" s="5">
        <v>41327</v>
      </c>
      <c r="J2935" s="4">
        <v>3996.91</v>
      </c>
      <c r="K2935" s="4">
        <f t="shared" si="261"/>
        <v>39969.1</v>
      </c>
    </row>
    <row r="2936" spans="4:11" x14ac:dyDescent="0.35">
      <c r="D2936" s="1">
        <v>41374</v>
      </c>
      <c r="E2936">
        <v>1.9803999999999999</v>
      </c>
      <c r="F2936" s="1">
        <v>40606</v>
      </c>
      <c r="G2936">
        <v>118.625</v>
      </c>
      <c r="H2936" s="4">
        <f t="shared" si="260"/>
        <v>234924.94999999998</v>
      </c>
      <c r="I2936" s="5">
        <v>41326</v>
      </c>
      <c r="J2936" s="4">
        <v>3998.93</v>
      </c>
      <c r="K2936" s="4">
        <f t="shared" si="261"/>
        <v>39989.299999999996</v>
      </c>
    </row>
    <row r="2937" spans="4:11" x14ac:dyDescent="0.35">
      <c r="D2937" s="1">
        <v>41373</v>
      </c>
      <c r="E2937">
        <v>1.9855</v>
      </c>
      <c r="F2937" s="1">
        <v>40605</v>
      </c>
      <c r="G2937">
        <v>117.76600000000001</v>
      </c>
      <c r="H2937" s="4">
        <f t="shared" si="260"/>
        <v>233824.39300000001</v>
      </c>
      <c r="I2937" s="5">
        <v>41325</v>
      </c>
      <c r="J2937" s="4">
        <v>3980.71</v>
      </c>
      <c r="K2937" s="4">
        <f t="shared" si="261"/>
        <v>39807.1</v>
      </c>
    </row>
    <row r="2938" spans="4:11" x14ac:dyDescent="0.35">
      <c r="D2938" s="1">
        <v>41372</v>
      </c>
      <c r="E2938">
        <v>1.9897</v>
      </c>
      <c r="F2938" s="1">
        <v>40599</v>
      </c>
      <c r="G2938">
        <v>120.047</v>
      </c>
      <c r="H2938" s="4">
        <f t="shared" si="260"/>
        <v>238857.5159</v>
      </c>
      <c r="I2938" s="5">
        <v>41324</v>
      </c>
      <c r="J2938" s="4">
        <v>3963.49</v>
      </c>
      <c r="K2938" s="4">
        <f t="shared" si="261"/>
        <v>39634.899999999994</v>
      </c>
    </row>
    <row r="2939" spans="4:11" x14ac:dyDescent="0.35">
      <c r="D2939" s="1">
        <v>41369</v>
      </c>
      <c r="E2939">
        <v>2.0028999999999999</v>
      </c>
      <c r="F2939" s="1">
        <v>40598</v>
      </c>
      <c r="G2939">
        <v>119.813</v>
      </c>
      <c r="H2939" s="4">
        <f t="shared" si="260"/>
        <v>239973.45769999997</v>
      </c>
      <c r="I2939" s="5">
        <v>41323</v>
      </c>
      <c r="J2939" s="4">
        <v>3978.68</v>
      </c>
      <c r="K2939" s="4">
        <f t="shared" si="261"/>
        <v>39786.799999999996</v>
      </c>
    </row>
    <row r="2940" spans="4:11" x14ac:dyDescent="0.35">
      <c r="D2940" s="1">
        <v>41368</v>
      </c>
      <c r="E2940">
        <v>2.0194999999999999</v>
      </c>
      <c r="F2940" s="1">
        <v>40597</v>
      </c>
      <c r="G2940">
        <v>119.73399999999999</v>
      </c>
      <c r="H2940" s="4">
        <f t="shared" si="260"/>
        <v>241802.81299999997</v>
      </c>
      <c r="I2940" s="5">
        <v>41320</v>
      </c>
      <c r="J2940" s="4">
        <v>3989.82</v>
      </c>
      <c r="K2940" s="4">
        <f t="shared" si="261"/>
        <v>39898.200000000004</v>
      </c>
    </row>
    <row r="2941" spans="4:11" x14ac:dyDescent="0.35">
      <c r="D2941" s="1">
        <v>41367</v>
      </c>
      <c r="E2941">
        <v>2.0232999999999999</v>
      </c>
      <c r="F2941" s="1">
        <v>40596</v>
      </c>
      <c r="G2941">
        <v>119.78100000000001</v>
      </c>
      <c r="H2941" s="4">
        <f t="shared" si="260"/>
        <v>242352.89729999998</v>
      </c>
      <c r="I2941" s="5">
        <v>41319</v>
      </c>
      <c r="J2941" s="4">
        <v>3970.58</v>
      </c>
      <c r="K2941" s="4">
        <f t="shared" si="261"/>
        <v>39705.800000000003</v>
      </c>
    </row>
    <row r="2942" spans="4:11" x14ac:dyDescent="0.35">
      <c r="D2942" s="1">
        <v>41366</v>
      </c>
      <c r="E2942">
        <v>2.0173000000000001</v>
      </c>
      <c r="F2942" s="1">
        <v>40592</v>
      </c>
      <c r="G2942">
        <v>118.75</v>
      </c>
      <c r="H2942" s="4">
        <f t="shared" si="260"/>
        <v>239554.37500000003</v>
      </c>
      <c r="I2942" s="5">
        <v>41318</v>
      </c>
      <c r="J2942" s="4">
        <v>3989.82</v>
      </c>
      <c r="K2942" s="4">
        <f t="shared" si="261"/>
        <v>39898.200000000004</v>
      </c>
    </row>
    <row r="2943" spans="4:11" x14ac:dyDescent="0.35">
      <c r="D2943" s="1">
        <v>41365</v>
      </c>
      <c r="E2943">
        <v>2.0179999999999998</v>
      </c>
      <c r="F2943" s="1">
        <v>40591</v>
      </c>
      <c r="G2943">
        <v>119.10899999999999</v>
      </c>
      <c r="H2943" s="4">
        <f t="shared" si="260"/>
        <v>240361.96199999997</v>
      </c>
      <c r="I2943" s="5">
        <v>41313</v>
      </c>
      <c r="J2943" s="4">
        <v>4004</v>
      </c>
      <c r="K2943" s="4">
        <f t="shared" si="261"/>
        <v>40040</v>
      </c>
    </row>
    <row r="2944" spans="4:11" x14ac:dyDescent="0.35">
      <c r="D2944" s="1">
        <v>41361</v>
      </c>
      <c r="E2944">
        <v>2.0131999999999999</v>
      </c>
      <c r="F2944" s="1">
        <v>40590</v>
      </c>
      <c r="G2944">
        <v>118.547</v>
      </c>
      <c r="H2944" s="4">
        <f t="shared" si="260"/>
        <v>238658.82039999997</v>
      </c>
      <c r="I2944" s="5">
        <v>41312</v>
      </c>
      <c r="J2944" s="4">
        <v>3992.86</v>
      </c>
      <c r="K2944" s="4">
        <f t="shared" si="261"/>
        <v>39928.6</v>
      </c>
    </row>
    <row r="2945" spans="4:11" x14ac:dyDescent="0.35">
      <c r="D2945" s="1">
        <v>41360</v>
      </c>
      <c r="E2945">
        <v>2.0179</v>
      </c>
      <c r="F2945" s="1">
        <v>40588</v>
      </c>
      <c r="G2945">
        <v>118.59399999999999</v>
      </c>
      <c r="H2945" s="4">
        <f t="shared" si="260"/>
        <v>239310.83259999999</v>
      </c>
      <c r="I2945" s="5">
        <v>41311</v>
      </c>
      <c r="J2945" s="4">
        <v>4044.5</v>
      </c>
      <c r="K2945" s="4">
        <f t="shared" si="261"/>
        <v>40445</v>
      </c>
    </row>
    <row r="2946" spans="4:11" x14ac:dyDescent="0.35">
      <c r="D2946" s="1">
        <v>41359</v>
      </c>
      <c r="E2946">
        <v>2.0081000000000002</v>
      </c>
      <c r="F2946" s="1">
        <v>40585</v>
      </c>
      <c r="G2946">
        <v>118.438</v>
      </c>
      <c r="H2946" s="4">
        <f t="shared" si="260"/>
        <v>237835.34780000002</v>
      </c>
      <c r="I2946" s="5">
        <v>41310</v>
      </c>
      <c r="J2946" s="4">
        <v>4030.33</v>
      </c>
      <c r="K2946" s="4">
        <f t="shared" si="261"/>
        <v>40303.300000000003</v>
      </c>
    </row>
    <row r="2947" spans="4:11" x14ac:dyDescent="0.35">
      <c r="D2947" s="1">
        <v>41358</v>
      </c>
      <c r="E2947">
        <v>2.0133999999999999</v>
      </c>
      <c r="F2947" s="1">
        <v>40583</v>
      </c>
      <c r="G2947">
        <v>118.672</v>
      </c>
      <c r="H2947" s="4">
        <f t="shared" si="260"/>
        <v>238934.20479999998</v>
      </c>
      <c r="I2947" s="5">
        <v>41309</v>
      </c>
      <c r="J2947" s="4">
        <v>4052.6</v>
      </c>
      <c r="K2947" s="4">
        <f t="shared" si="261"/>
        <v>40526</v>
      </c>
    </row>
    <row r="2948" spans="4:11" x14ac:dyDescent="0.35">
      <c r="D2948" s="1">
        <v>41355</v>
      </c>
      <c r="E2948">
        <v>2.012</v>
      </c>
      <c r="F2948" s="1">
        <v>40582</v>
      </c>
      <c r="G2948">
        <v>118.422</v>
      </c>
      <c r="H2948" s="4">
        <f t="shared" ref="H2948:H3011" si="262">G2948*E2948*1000</f>
        <v>238265.06399999998</v>
      </c>
      <c r="I2948" s="5">
        <v>41306</v>
      </c>
      <c r="J2948" s="4">
        <v>4042.48</v>
      </c>
      <c r="K2948" s="4">
        <f t="shared" si="261"/>
        <v>40424.800000000003</v>
      </c>
    </row>
    <row r="2949" spans="4:11" x14ac:dyDescent="0.35">
      <c r="D2949" s="1">
        <v>41354</v>
      </c>
      <c r="E2949">
        <v>1.9924999999999999</v>
      </c>
      <c r="F2949" s="1">
        <v>40581</v>
      </c>
      <c r="G2949">
        <v>118.46899999999999</v>
      </c>
      <c r="H2949" s="4">
        <f t="shared" si="262"/>
        <v>236049.48249999998</v>
      </c>
      <c r="I2949" s="5">
        <v>41305</v>
      </c>
      <c r="J2949" s="4">
        <v>4048.55</v>
      </c>
      <c r="K2949" s="4">
        <f t="shared" ref="K2949:K3012" si="263">J2949*10</f>
        <v>40485.5</v>
      </c>
    </row>
    <row r="2950" spans="4:11" x14ac:dyDescent="0.35">
      <c r="D2950" s="1">
        <v>41353</v>
      </c>
      <c r="E2950">
        <v>1.9862</v>
      </c>
      <c r="F2950" s="1">
        <v>40578</v>
      </c>
      <c r="G2950">
        <v>118.688</v>
      </c>
      <c r="H2950" s="4">
        <f t="shared" si="262"/>
        <v>235738.10560000001</v>
      </c>
      <c r="I2950" s="5">
        <v>41304</v>
      </c>
      <c r="J2950" s="4">
        <v>4044.5</v>
      </c>
      <c r="K2950" s="4">
        <f t="shared" si="263"/>
        <v>40445</v>
      </c>
    </row>
    <row r="2951" spans="4:11" x14ac:dyDescent="0.35">
      <c r="D2951" s="1">
        <v>41352</v>
      </c>
      <c r="E2951">
        <v>1.9823999999999999</v>
      </c>
      <c r="F2951" s="1">
        <v>40577</v>
      </c>
      <c r="G2951">
        <v>119.48399999999999</v>
      </c>
      <c r="H2951" s="4">
        <f t="shared" si="262"/>
        <v>236865.0816</v>
      </c>
      <c r="I2951" s="5">
        <v>41303</v>
      </c>
      <c r="J2951" s="4">
        <v>4034.34</v>
      </c>
      <c r="K2951" s="4">
        <f t="shared" si="263"/>
        <v>40343.4</v>
      </c>
    </row>
    <row r="2952" spans="4:11" x14ac:dyDescent="0.35">
      <c r="D2952" s="1">
        <v>41351</v>
      </c>
      <c r="E2952">
        <v>1.9864999999999999</v>
      </c>
      <c r="F2952" s="1">
        <v>40576</v>
      </c>
      <c r="G2952">
        <v>119.85899999999999</v>
      </c>
      <c r="H2952" s="4">
        <f t="shared" si="262"/>
        <v>238099.90349999999</v>
      </c>
      <c r="I2952" s="5">
        <v>41302</v>
      </c>
      <c r="J2952" s="4">
        <v>4058.74</v>
      </c>
      <c r="K2952" s="4">
        <f t="shared" si="263"/>
        <v>40587.399999999994</v>
      </c>
    </row>
    <row r="2953" spans="4:11" x14ac:dyDescent="0.35">
      <c r="D2953" s="1">
        <v>41348</v>
      </c>
      <c r="E2953">
        <v>1.9742999999999999</v>
      </c>
      <c r="F2953" s="1">
        <v>40574</v>
      </c>
      <c r="G2953">
        <v>120.75</v>
      </c>
      <c r="H2953" s="4">
        <f t="shared" si="262"/>
        <v>238396.72500000001</v>
      </c>
      <c r="I2953" s="5">
        <v>41298</v>
      </c>
      <c r="J2953" s="4">
        <v>4137.0200000000004</v>
      </c>
      <c r="K2953" s="4">
        <f t="shared" si="263"/>
        <v>41370.200000000004</v>
      </c>
    </row>
    <row r="2954" spans="4:11" x14ac:dyDescent="0.35">
      <c r="D2954" s="1">
        <v>41347</v>
      </c>
      <c r="E2954">
        <v>1.9671000000000001</v>
      </c>
      <c r="F2954" s="1">
        <v>40571</v>
      </c>
      <c r="G2954">
        <v>121.14100000000001</v>
      </c>
      <c r="H2954" s="4">
        <f t="shared" si="262"/>
        <v>238296.46110000001</v>
      </c>
      <c r="I2954" s="5">
        <v>41297</v>
      </c>
      <c r="J2954" s="4">
        <v>4144.1400000000003</v>
      </c>
      <c r="K2954" s="4">
        <f t="shared" si="263"/>
        <v>41441.4</v>
      </c>
    </row>
    <row r="2955" spans="4:11" x14ac:dyDescent="0.35">
      <c r="D2955" s="1">
        <v>41346</v>
      </c>
      <c r="E2955">
        <v>1.9614</v>
      </c>
      <c r="F2955" s="1">
        <v>40570</v>
      </c>
      <c r="G2955">
        <v>120.547</v>
      </c>
      <c r="H2955" s="4">
        <f t="shared" si="262"/>
        <v>236440.88579999999</v>
      </c>
      <c r="I2955" s="5">
        <v>41296</v>
      </c>
      <c r="J2955" s="4">
        <v>4157.3599999999997</v>
      </c>
      <c r="K2955" s="4">
        <f t="shared" si="263"/>
        <v>41573.599999999999</v>
      </c>
    </row>
    <row r="2956" spans="4:11" x14ac:dyDescent="0.35">
      <c r="D2956" s="1">
        <v>41345</v>
      </c>
      <c r="E2956">
        <v>1.9584999999999999</v>
      </c>
      <c r="F2956" s="1">
        <v>40569</v>
      </c>
      <c r="G2956">
        <v>120.26600000000001</v>
      </c>
      <c r="H2956" s="4">
        <f t="shared" si="262"/>
        <v>235540.96100000001</v>
      </c>
      <c r="I2956" s="5">
        <v>41295</v>
      </c>
      <c r="J2956" s="4">
        <v>4158.38</v>
      </c>
      <c r="K2956" s="4">
        <f t="shared" si="263"/>
        <v>41583.800000000003</v>
      </c>
    </row>
    <row r="2957" spans="4:11" x14ac:dyDescent="0.35">
      <c r="D2957" s="1">
        <v>41344</v>
      </c>
      <c r="E2957">
        <v>1.9552</v>
      </c>
      <c r="F2957" s="1">
        <v>40567</v>
      </c>
      <c r="G2957">
        <v>120.28100000000001</v>
      </c>
      <c r="H2957" s="4">
        <f t="shared" si="262"/>
        <v>235173.4112</v>
      </c>
      <c r="I2957" s="5">
        <v>41292</v>
      </c>
      <c r="J2957" s="4">
        <v>4157.3599999999997</v>
      </c>
      <c r="K2957" s="4">
        <f t="shared" si="263"/>
        <v>41573.599999999999</v>
      </c>
    </row>
    <row r="2958" spans="4:11" x14ac:dyDescent="0.35">
      <c r="D2958" s="1">
        <v>41341</v>
      </c>
      <c r="E2958">
        <v>1.9528000000000001</v>
      </c>
      <c r="F2958" s="1">
        <v>40564</v>
      </c>
      <c r="G2958">
        <v>120.063</v>
      </c>
      <c r="H2958" s="4">
        <f t="shared" si="262"/>
        <v>234459.02640000003</v>
      </c>
      <c r="I2958" s="5">
        <v>41291</v>
      </c>
      <c r="J2958" s="4">
        <v>4167.53</v>
      </c>
      <c r="K2958" s="4">
        <f t="shared" si="263"/>
        <v>41675.299999999996</v>
      </c>
    </row>
    <row r="2959" spans="4:11" x14ac:dyDescent="0.35">
      <c r="D2959" s="1">
        <v>41340</v>
      </c>
      <c r="E2959">
        <v>1.9641999999999999</v>
      </c>
      <c r="F2959" s="1">
        <v>40563</v>
      </c>
      <c r="G2959">
        <v>119.797</v>
      </c>
      <c r="H2959" s="4">
        <f t="shared" si="262"/>
        <v>235305.26739999998</v>
      </c>
      <c r="I2959" s="5">
        <v>41290</v>
      </c>
      <c r="J2959" s="4">
        <v>4160.41</v>
      </c>
      <c r="K2959" s="4">
        <f t="shared" si="263"/>
        <v>41604.1</v>
      </c>
    </row>
    <row r="2960" spans="4:11" x14ac:dyDescent="0.35">
      <c r="D2960" s="1">
        <v>41339</v>
      </c>
      <c r="E2960">
        <v>1.9673</v>
      </c>
      <c r="F2960" s="1">
        <v>40562</v>
      </c>
      <c r="G2960">
        <v>120.672</v>
      </c>
      <c r="H2960" s="4">
        <f t="shared" si="262"/>
        <v>237398.02560000002</v>
      </c>
      <c r="I2960" s="5">
        <v>41289</v>
      </c>
      <c r="J2960" s="4">
        <v>4149.2299999999996</v>
      </c>
      <c r="K2960" s="4">
        <f t="shared" si="263"/>
        <v>41492.299999999996</v>
      </c>
    </row>
    <row r="2961" spans="4:11" x14ac:dyDescent="0.35">
      <c r="D2961" s="1">
        <v>41338</v>
      </c>
      <c r="E2961">
        <v>1.9693000000000001</v>
      </c>
      <c r="F2961" s="1">
        <v>40561</v>
      </c>
      <c r="G2961">
        <v>121.09399999999999</v>
      </c>
      <c r="H2961" s="4">
        <f t="shared" si="262"/>
        <v>238470.4142</v>
      </c>
      <c r="I2961" s="5">
        <v>41288</v>
      </c>
      <c r="J2961" s="4">
        <v>4145.16</v>
      </c>
      <c r="K2961" s="4">
        <f t="shared" si="263"/>
        <v>41451.599999999999</v>
      </c>
    </row>
    <row r="2962" spans="4:11" x14ac:dyDescent="0.35">
      <c r="D2962" s="1">
        <v>41337</v>
      </c>
      <c r="E2962">
        <v>1.9826999999999999</v>
      </c>
      <c r="F2962" s="1">
        <v>40557</v>
      </c>
      <c r="G2962">
        <v>120.98399999999999</v>
      </c>
      <c r="H2962" s="4">
        <f t="shared" si="262"/>
        <v>239874.97679999997</v>
      </c>
      <c r="I2962" s="5">
        <v>41285</v>
      </c>
      <c r="J2962" s="4">
        <v>4142.1099999999997</v>
      </c>
      <c r="K2962" s="4">
        <f t="shared" si="263"/>
        <v>41421.1</v>
      </c>
    </row>
    <row r="2963" spans="4:11" x14ac:dyDescent="0.35">
      <c r="D2963" s="1">
        <v>41334</v>
      </c>
      <c r="E2963">
        <v>1.9847999999999999</v>
      </c>
      <c r="F2963" s="1">
        <v>40556</v>
      </c>
      <c r="G2963">
        <v>120.89100000000001</v>
      </c>
      <c r="H2963" s="4">
        <f t="shared" si="262"/>
        <v>239944.45680000001</v>
      </c>
      <c r="I2963" s="5">
        <v>41284</v>
      </c>
      <c r="J2963" s="4">
        <v>4137.0200000000004</v>
      </c>
      <c r="K2963" s="4">
        <f t="shared" si="263"/>
        <v>41370.200000000004</v>
      </c>
    </row>
    <row r="2964" spans="4:11" x14ac:dyDescent="0.35">
      <c r="D2964" s="1">
        <v>41333</v>
      </c>
      <c r="E2964">
        <v>1.9754</v>
      </c>
      <c r="F2964" s="1">
        <v>40554</v>
      </c>
      <c r="G2964">
        <v>120.625</v>
      </c>
      <c r="H2964" s="4">
        <f t="shared" si="262"/>
        <v>238282.625</v>
      </c>
      <c r="I2964" s="5">
        <v>41283</v>
      </c>
      <c r="J2964" s="4">
        <v>4168.54</v>
      </c>
      <c r="K2964" s="4">
        <f t="shared" si="263"/>
        <v>41685.4</v>
      </c>
    </row>
    <row r="2965" spans="4:11" x14ac:dyDescent="0.35">
      <c r="D2965" s="1">
        <v>41332</v>
      </c>
      <c r="E2965">
        <v>1.9806999999999999</v>
      </c>
      <c r="F2965" s="1">
        <v>40553</v>
      </c>
      <c r="G2965">
        <v>120.688</v>
      </c>
      <c r="H2965" s="4">
        <f t="shared" si="262"/>
        <v>239046.72159999999</v>
      </c>
      <c r="I2965" s="5">
        <v>41282</v>
      </c>
      <c r="J2965" s="4">
        <v>4168.54</v>
      </c>
      <c r="K2965" s="4">
        <f t="shared" si="263"/>
        <v>41685.4</v>
      </c>
    </row>
    <row r="2966" spans="4:11" x14ac:dyDescent="0.35">
      <c r="D2966" s="1">
        <v>41331</v>
      </c>
      <c r="E2966">
        <v>1.9818</v>
      </c>
      <c r="F2966" s="1">
        <v>40550</v>
      </c>
      <c r="G2966">
        <v>119.59399999999999</v>
      </c>
      <c r="H2966" s="4">
        <f t="shared" si="262"/>
        <v>237011.38920000001</v>
      </c>
      <c r="I2966" s="5">
        <v>41281</v>
      </c>
      <c r="J2966" s="4">
        <v>4146.18</v>
      </c>
      <c r="K2966" s="4">
        <f t="shared" si="263"/>
        <v>41461.800000000003</v>
      </c>
    </row>
    <row r="2967" spans="4:11" x14ac:dyDescent="0.35">
      <c r="D2967" s="1">
        <v>41330</v>
      </c>
      <c r="E2967">
        <v>1.9676</v>
      </c>
      <c r="F2967" s="1">
        <v>40549</v>
      </c>
      <c r="G2967">
        <v>119.922</v>
      </c>
      <c r="H2967" s="4">
        <f t="shared" si="262"/>
        <v>235958.52719999998</v>
      </c>
      <c r="I2967" s="5">
        <v>41278</v>
      </c>
      <c r="J2967" s="4">
        <v>4155.33</v>
      </c>
      <c r="K2967" s="4">
        <f t="shared" si="263"/>
        <v>41553.300000000003</v>
      </c>
    </row>
    <row r="2968" spans="4:11" x14ac:dyDescent="0.35">
      <c r="D2968" s="1">
        <v>41327</v>
      </c>
      <c r="E2968">
        <v>1.9704999999999999</v>
      </c>
      <c r="F2968" s="1">
        <v>40548</v>
      </c>
      <c r="G2968">
        <v>119.14100000000001</v>
      </c>
      <c r="H2968" s="4">
        <f t="shared" si="262"/>
        <v>234767.34049999999</v>
      </c>
      <c r="I2968" s="5">
        <v>41277</v>
      </c>
      <c r="J2968" s="4">
        <v>4182.78</v>
      </c>
      <c r="K2968" s="4">
        <f t="shared" si="263"/>
        <v>41827.799999999996</v>
      </c>
    </row>
    <row r="2969" spans="4:11" x14ac:dyDescent="0.35">
      <c r="D2969" s="1">
        <v>41326</v>
      </c>
      <c r="E2969">
        <v>1.972</v>
      </c>
      <c r="F2969" s="1">
        <v>40547</v>
      </c>
      <c r="G2969">
        <v>120.28</v>
      </c>
      <c r="H2969" s="4">
        <f t="shared" si="262"/>
        <v>237192.16</v>
      </c>
      <c r="I2969" s="5">
        <v>41276</v>
      </c>
      <c r="J2969" s="4">
        <v>4179.7299999999996</v>
      </c>
      <c r="K2969" s="4">
        <f t="shared" si="263"/>
        <v>41797.299999999996</v>
      </c>
    </row>
    <row r="2970" spans="4:11" x14ac:dyDescent="0.35">
      <c r="D2970" s="1">
        <v>41325</v>
      </c>
      <c r="E2970">
        <v>1.9570000000000001</v>
      </c>
      <c r="F2970" s="1">
        <v>40540</v>
      </c>
      <c r="G2970">
        <v>119.14100000000001</v>
      </c>
      <c r="H2970" s="4">
        <f t="shared" si="262"/>
        <v>233158.93700000001</v>
      </c>
      <c r="I2970" s="5">
        <v>41271</v>
      </c>
      <c r="J2970" s="4">
        <v>4186.84</v>
      </c>
      <c r="K2970" s="4">
        <f t="shared" si="263"/>
        <v>41868.400000000001</v>
      </c>
    </row>
    <row r="2971" spans="4:11" x14ac:dyDescent="0.35">
      <c r="D2971" s="1">
        <v>41324</v>
      </c>
      <c r="E2971">
        <v>1.9597</v>
      </c>
      <c r="F2971" s="1">
        <v>40539</v>
      </c>
      <c r="G2971">
        <v>119.75</v>
      </c>
      <c r="H2971" s="4">
        <f t="shared" si="262"/>
        <v>234674.07499999998</v>
      </c>
      <c r="I2971" s="5">
        <v>41270</v>
      </c>
      <c r="J2971" s="4">
        <v>4173.63</v>
      </c>
      <c r="K2971" s="4">
        <f t="shared" si="263"/>
        <v>41736.300000000003</v>
      </c>
    </row>
    <row r="2972" spans="4:11" x14ac:dyDescent="0.35">
      <c r="D2972" s="1">
        <v>41323</v>
      </c>
      <c r="E2972">
        <v>1.9676</v>
      </c>
      <c r="F2972" s="1">
        <v>40535</v>
      </c>
      <c r="G2972">
        <v>119.54600000000001</v>
      </c>
      <c r="H2972" s="4">
        <f t="shared" si="262"/>
        <v>235218.7096</v>
      </c>
      <c r="I2972" s="5">
        <v>41269</v>
      </c>
      <c r="J2972" s="4">
        <v>4184.8500000000004</v>
      </c>
      <c r="K2972" s="4">
        <f t="shared" si="263"/>
        <v>41848.5</v>
      </c>
    </row>
    <row r="2973" spans="4:11" x14ac:dyDescent="0.35">
      <c r="D2973" s="1">
        <v>41320</v>
      </c>
      <c r="E2973">
        <v>1.96</v>
      </c>
      <c r="F2973" s="1">
        <v>40534</v>
      </c>
      <c r="G2973">
        <v>119.797</v>
      </c>
      <c r="H2973" s="4">
        <f t="shared" si="262"/>
        <v>234802.12</v>
      </c>
      <c r="I2973" s="5">
        <v>41264</v>
      </c>
      <c r="J2973" s="4">
        <v>4245.08</v>
      </c>
      <c r="K2973" s="4">
        <f t="shared" si="263"/>
        <v>42450.8</v>
      </c>
    </row>
    <row r="2974" spans="4:11" x14ac:dyDescent="0.35">
      <c r="D2974" s="1">
        <v>41319</v>
      </c>
      <c r="E2974">
        <v>1.9665999999999999</v>
      </c>
      <c r="F2974" s="1">
        <v>40533</v>
      </c>
      <c r="G2974">
        <v>119.938</v>
      </c>
      <c r="H2974" s="4">
        <f t="shared" si="262"/>
        <v>235870.07079999999</v>
      </c>
      <c r="I2974" s="5">
        <v>41263</v>
      </c>
      <c r="J2974" s="4">
        <v>4225.68</v>
      </c>
      <c r="K2974" s="4">
        <f t="shared" si="263"/>
        <v>42256.800000000003</v>
      </c>
    </row>
    <row r="2975" spans="4:11" x14ac:dyDescent="0.35">
      <c r="D2975" s="1">
        <v>41318</v>
      </c>
      <c r="E2975">
        <v>1.9670000000000001</v>
      </c>
      <c r="F2975" s="1">
        <v>40532</v>
      </c>
      <c r="G2975">
        <v>120.59399999999999</v>
      </c>
      <c r="H2975" s="4">
        <f t="shared" si="262"/>
        <v>237208.39799999999</v>
      </c>
      <c r="I2975" s="5">
        <v>41262</v>
      </c>
      <c r="J2975" s="4">
        <v>4231.8100000000004</v>
      </c>
      <c r="K2975" s="4">
        <f t="shared" si="263"/>
        <v>42318.100000000006</v>
      </c>
    </row>
    <row r="2976" spans="4:11" x14ac:dyDescent="0.35">
      <c r="D2976" s="1">
        <v>41313</v>
      </c>
      <c r="E2976">
        <v>1.9636</v>
      </c>
      <c r="F2976" s="1">
        <v>40529</v>
      </c>
      <c r="G2976">
        <v>120.172</v>
      </c>
      <c r="H2976" s="4">
        <f t="shared" si="262"/>
        <v>235969.73919999998</v>
      </c>
      <c r="I2976" s="5">
        <v>41261</v>
      </c>
      <c r="J2976" s="4">
        <v>4273.6499999999996</v>
      </c>
      <c r="K2976" s="4">
        <f t="shared" si="263"/>
        <v>42736.5</v>
      </c>
    </row>
    <row r="2977" spans="4:11" x14ac:dyDescent="0.35">
      <c r="D2977" s="1">
        <v>41312</v>
      </c>
      <c r="E2977">
        <v>1.9789000000000001</v>
      </c>
      <c r="F2977" s="1">
        <v>40528</v>
      </c>
      <c r="G2977">
        <v>119.23399999999999</v>
      </c>
      <c r="H2977" s="4">
        <f t="shared" si="262"/>
        <v>235952.16260000001</v>
      </c>
      <c r="I2977" s="5">
        <v>41260</v>
      </c>
      <c r="J2977" s="4">
        <v>4297.13</v>
      </c>
      <c r="K2977" s="4">
        <f t="shared" si="263"/>
        <v>42971.3</v>
      </c>
    </row>
    <row r="2978" spans="4:11" x14ac:dyDescent="0.35">
      <c r="D2978" s="1">
        <v>41311</v>
      </c>
      <c r="E2978">
        <v>1.9883999999999999</v>
      </c>
      <c r="F2978" s="1">
        <v>40527</v>
      </c>
      <c r="G2978">
        <v>119.21899999999999</v>
      </c>
      <c r="H2978" s="4">
        <f t="shared" si="262"/>
        <v>237055.05959999998</v>
      </c>
      <c r="I2978" s="5">
        <v>41257</v>
      </c>
      <c r="J2978" s="4">
        <v>4268.55</v>
      </c>
      <c r="K2978" s="4">
        <f t="shared" si="263"/>
        <v>42685.5</v>
      </c>
    </row>
    <row r="2979" spans="4:11" x14ac:dyDescent="0.35">
      <c r="D2979" s="1">
        <v>41310</v>
      </c>
      <c r="E2979">
        <v>1.9881</v>
      </c>
      <c r="F2979" s="1">
        <v>40526</v>
      </c>
      <c r="G2979">
        <v>119.23399999999999</v>
      </c>
      <c r="H2979" s="4">
        <f t="shared" si="262"/>
        <v>237049.11539999998</v>
      </c>
      <c r="I2979" s="5">
        <v>41256</v>
      </c>
      <c r="J2979" s="4">
        <v>4262.43</v>
      </c>
      <c r="K2979" s="4">
        <f t="shared" si="263"/>
        <v>42624.3</v>
      </c>
    </row>
    <row r="2980" spans="4:11" x14ac:dyDescent="0.35">
      <c r="D2980" s="1">
        <v>41309</v>
      </c>
      <c r="E2980">
        <v>1.9893000000000001</v>
      </c>
      <c r="F2980" s="1">
        <v>40525</v>
      </c>
      <c r="G2980">
        <v>120.672</v>
      </c>
      <c r="H2980" s="4">
        <f t="shared" si="262"/>
        <v>240052.80959999998</v>
      </c>
      <c r="I2980" s="5">
        <v>41255</v>
      </c>
      <c r="J2980" s="4">
        <v>4238.95</v>
      </c>
      <c r="K2980" s="4">
        <f t="shared" si="263"/>
        <v>42389.5</v>
      </c>
    </row>
    <row r="2981" spans="4:11" x14ac:dyDescent="0.35">
      <c r="D2981" s="1">
        <v>41306</v>
      </c>
      <c r="E2981">
        <v>1.9843</v>
      </c>
      <c r="F2981" s="1">
        <v>40520</v>
      </c>
      <c r="G2981">
        <v>120.76600000000001</v>
      </c>
      <c r="H2981" s="4">
        <f t="shared" si="262"/>
        <v>239635.97380000001</v>
      </c>
      <c r="I2981" s="5">
        <v>41254</v>
      </c>
      <c r="J2981" s="4">
        <v>4242.01</v>
      </c>
      <c r="K2981" s="4">
        <f t="shared" si="263"/>
        <v>42420.100000000006</v>
      </c>
    </row>
    <row r="2982" spans="4:11" x14ac:dyDescent="0.35">
      <c r="D2982" s="1">
        <v>41305</v>
      </c>
      <c r="E2982">
        <v>1.9883</v>
      </c>
      <c r="F2982" s="1">
        <v>40519</v>
      </c>
      <c r="G2982">
        <v>121.84399999999999</v>
      </c>
      <c r="H2982" s="4">
        <f t="shared" si="262"/>
        <v>242262.4252</v>
      </c>
      <c r="I2982" s="5">
        <v>41253</v>
      </c>
      <c r="J2982" s="4">
        <v>4254.26</v>
      </c>
      <c r="K2982" s="4">
        <f t="shared" si="263"/>
        <v>42542.600000000006</v>
      </c>
    </row>
    <row r="2983" spans="4:11" x14ac:dyDescent="0.35">
      <c r="D2983" s="1">
        <v>41304</v>
      </c>
      <c r="E2983">
        <v>1.99</v>
      </c>
      <c r="F2983" s="1">
        <v>40518</v>
      </c>
      <c r="G2983">
        <v>123.39100000000001</v>
      </c>
      <c r="H2983" s="4">
        <f t="shared" si="262"/>
        <v>245548.09</v>
      </c>
      <c r="I2983" s="5">
        <v>41250</v>
      </c>
      <c r="J2983" s="4">
        <v>4251.2</v>
      </c>
      <c r="K2983" s="4">
        <f t="shared" si="263"/>
        <v>42512</v>
      </c>
    </row>
    <row r="2984" spans="4:11" x14ac:dyDescent="0.35">
      <c r="D2984" s="1">
        <v>41303</v>
      </c>
      <c r="E2984">
        <v>1.9912000000000001</v>
      </c>
      <c r="F2984" s="1">
        <v>40515</v>
      </c>
      <c r="G2984">
        <v>122.738</v>
      </c>
      <c r="H2984" s="4">
        <f t="shared" si="262"/>
        <v>244395.90560000003</v>
      </c>
      <c r="I2984" s="5">
        <v>41249</v>
      </c>
      <c r="J2984" s="4">
        <v>4251.2</v>
      </c>
      <c r="K2984" s="4">
        <f t="shared" si="263"/>
        <v>42512</v>
      </c>
    </row>
    <row r="2985" spans="4:11" x14ac:dyDescent="0.35">
      <c r="D2985" s="1">
        <v>41302</v>
      </c>
      <c r="E2985">
        <v>2.0240999999999998</v>
      </c>
      <c r="F2985" s="1">
        <v>40514</v>
      </c>
      <c r="G2985">
        <v>122.59399999999999</v>
      </c>
      <c r="H2985" s="4">
        <f t="shared" si="262"/>
        <v>248142.51539999995</v>
      </c>
      <c r="I2985" s="5">
        <v>41248</v>
      </c>
      <c r="J2985" s="4">
        <v>4274.68</v>
      </c>
      <c r="K2985" s="4">
        <f t="shared" si="263"/>
        <v>42746.8</v>
      </c>
    </row>
    <row r="2986" spans="4:11" x14ac:dyDescent="0.35">
      <c r="D2986" s="1">
        <v>41299</v>
      </c>
      <c r="E2986">
        <v>2.0285000000000002</v>
      </c>
      <c r="F2986" s="1">
        <v>40513</v>
      </c>
      <c r="G2986">
        <v>122.96899999999999</v>
      </c>
      <c r="H2986" s="4">
        <f t="shared" si="262"/>
        <v>249442.6165</v>
      </c>
      <c r="I2986" s="5">
        <v>41247</v>
      </c>
      <c r="J2986" s="4">
        <v>4346.12</v>
      </c>
      <c r="K2986" s="4">
        <f t="shared" si="263"/>
        <v>43461.2</v>
      </c>
    </row>
    <row r="2987" spans="4:11" x14ac:dyDescent="0.35">
      <c r="D2987" s="1">
        <v>41298</v>
      </c>
      <c r="E2987">
        <v>2.0344000000000002</v>
      </c>
      <c r="F2987" s="1">
        <v>40511</v>
      </c>
      <c r="G2987">
        <v>124.59399999999999</v>
      </c>
      <c r="H2987" s="4">
        <f t="shared" si="262"/>
        <v>253474.03360000002</v>
      </c>
      <c r="I2987" s="5">
        <v>41246</v>
      </c>
      <c r="J2987" s="4">
        <v>4360.41</v>
      </c>
      <c r="K2987" s="4">
        <f t="shared" si="263"/>
        <v>43604.1</v>
      </c>
    </row>
    <row r="2988" spans="4:11" x14ac:dyDescent="0.35">
      <c r="D2988" s="1">
        <v>41297</v>
      </c>
      <c r="E2988">
        <v>2.0394000000000001</v>
      </c>
      <c r="F2988" s="1">
        <v>40508</v>
      </c>
      <c r="G2988">
        <v>124.625</v>
      </c>
      <c r="H2988" s="4">
        <f t="shared" si="262"/>
        <v>254160.22500000003</v>
      </c>
      <c r="I2988" s="5">
        <v>41243</v>
      </c>
      <c r="J2988" s="4">
        <v>4380.83</v>
      </c>
      <c r="K2988" s="4">
        <f t="shared" si="263"/>
        <v>43808.3</v>
      </c>
    </row>
    <row r="2989" spans="4:11" x14ac:dyDescent="0.35">
      <c r="D2989" s="1">
        <v>41296</v>
      </c>
      <c r="E2989">
        <v>2.0470999999999999</v>
      </c>
      <c r="F2989" s="1">
        <v>40506</v>
      </c>
      <c r="G2989">
        <v>124.312</v>
      </c>
      <c r="H2989" s="4">
        <f t="shared" si="262"/>
        <v>254479.09519999998</v>
      </c>
      <c r="I2989" s="5">
        <v>41242</v>
      </c>
      <c r="J2989" s="4">
        <v>4305.3</v>
      </c>
      <c r="K2989" s="4">
        <f t="shared" si="263"/>
        <v>43053</v>
      </c>
    </row>
    <row r="2990" spans="4:11" x14ac:dyDescent="0.35">
      <c r="D2990" s="1">
        <v>41295</v>
      </c>
      <c r="E2990">
        <v>2.0419999999999998</v>
      </c>
      <c r="F2990" s="1">
        <v>40500</v>
      </c>
      <c r="G2990">
        <v>124.422</v>
      </c>
      <c r="H2990" s="4">
        <f t="shared" si="262"/>
        <v>254069.72399999999</v>
      </c>
      <c r="I2990" s="5">
        <v>41241</v>
      </c>
      <c r="J2990" s="4">
        <v>4307.3500000000004</v>
      </c>
      <c r="K2990" s="4">
        <f t="shared" si="263"/>
        <v>43073.5</v>
      </c>
    </row>
    <row r="2991" spans="4:11" x14ac:dyDescent="0.35">
      <c r="D2991" s="1">
        <v>41292</v>
      </c>
      <c r="E2991">
        <v>2.0440999999999998</v>
      </c>
      <c r="F2991" s="1">
        <v>40498</v>
      </c>
      <c r="G2991">
        <v>124.5</v>
      </c>
      <c r="H2991" s="4">
        <f t="shared" si="262"/>
        <v>254490.44999999998</v>
      </c>
      <c r="I2991" s="5">
        <v>41240</v>
      </c>
      <c r="J2991" s="4">
        <v>4286.78</v>
      </c>
      <c r="K2991" s="4">
        <f t="shared" si="263"/>
        <v>42867.799999999996</v>
      </c>
    </row>
    <row r="2992" spans="4:11" x14ac:dyDescent="0.35">
      <c r="D2992" s="1">
        <v>41291</v>
      </c>
      <c r="E2992">
        <v>2.0411000000000001</v>
      </c>
      <c r="F2992" s="1">
        <v>40492</v>
      </c>
      <c r="G2992">
        <v>126.40600000000001</v>
      </c>
      <c r="H2992" s="4">
        <f t="shared" si="262"/>
        <v>258007.28660000005</v>
      </c>
      <c r="I2992" s="5">
        <v>41239</v>
      </c>
      <c r="J2992" s="4">
        <v>4278.5600000000004</v>
      </c>
      <c r="K2992" s="4">
        <f t="shared" si="263"/>
        <v>42785.600000000006</v>
      </c>
    </row>
    <row r="2993" spans="4:11" x14ac:dyDescent="0.35">
      <c r="D2993" s="1">
        <v>41290</v>
      </c>
      <c r="E2993">
        <v>2.0409000000000002</v>
      </c>
      <c r="F2993" s="1">
        <v>40486</v>
      </c>
      <c r="G2993">
        <v>127.64100000000001</v>
      </c>
      <c r="H2993" s="4">
        <f t="shared" si="262"/>
        <v>260502.51690000005</v>
      </c>
      <c r="I2993" s="5">
        <v>41236</v>
      </c>
      <c r="J2993" s="4">
        <v>4288.84</v>
      </c>
      <c r="K2993" s="4">
        <f t="shared" si="263"/>
        <v>42888.4</v>
      </c>
    </row>
    <row r="2994" spans="4:11" x14ac:dyDescent="0.35">
      <c r="D2994" s="1">
        <v>41289</v>
      </c>
      <c r="E2994">
        <v>2.0373999999999999</v>
      </c>
      <c r="F2994" s="1">
        <v>40485</v>
      </c>
      <c r="G2994">
        <v>126.672</v>
      </c>
      <c r="H2994" s="4">
        <f t="shared" si="262"/>
        <v>258081.53279999999</v>
      </c>
      <c r="I2994" s="5">
        <v>41235</v>
      </c>
      <c r="J2994" s="4">
        <v>4329.9799999999996</v>
      </c>
      <c r="K2994" s="4">
        <f t="shared" si="263"/>
        <v>43299.799999999996</v>
      </c>
    </row>
    <row r="2995" spans="4:11" x14ac:dyDescent="0.35">
      <c r="D2995" s="1">
        <v>41288</v>
      </c>
      <c r="E2995">
        <v>2.0333999999999999</v>
      </c>
      <c r="F2995" s="1">
        <v>40478</v>
      </c>
      <c r="G2995">
        <v>125.422</v>
      </c>
      <c r="H2995" s="4">
        <f t="shared" si="262"/>
        <v>255033.09479999999</v>
      </c>
      <c r="I2995" s="5">
        <v>41234</v>
      </c>
      <c r="J2995" s="4">
        <v>4322.78</v>
      </c>
      <c r="K2995" s="4">
        <f t="shared" si="263"/>
        <v>43227.799999999996</v>
      </c>
    </row>
    <row r="2996" spans="4:11" x14ac:dyDescent="0.35">
      <c r="D2996" s="1">
        <v>41285</v>
      </c>
      <c r="E2996">
        <v>2.0341</v>
      </c>
      <c r="F2996" s="1">
        <v>40477</v>
      </c>
      <c r="G2996">
        <v>125.797</v>
      </c>
      <c r="H2996" s="4">
        <f t="shared" si="262"/>
        <v>255883.6777</v>
      </c>
      <c r="I2996" s="5">
        <v>41232</v>
      </c>
      <c r="J2996" s="4">
        <v>4299.13</v>
      </c>
      <c r="K2996" s="4">
        <f t="shared" si="263"/>
        <v>42991.3</v>
      </c>
    </row>
    <row r="2997" spans="4:11" x14ac:dyDescent="0.35">
      <c r="D2997" s="1">
        <v>41284</v>
      </c>
      <c r="E2997">
        <v>2.0358000000000001</v>
      </c>
      <c r="F2997" s="1">
        <v>40476</v>
      </c>
      <c r="G2997">
        <v>126.453</v>
      </c>
      <c r="H2997" s="4">
        <f t="shared" si="262"/>
        <v>257433.01740000004</v>
      </c>
      <c r="I2997" s="5">
        <v>41229</v>
      </c>
      <c r="J2997" s="4">
        <v>4307.3500000000004</v>
      </c>
      <c r="K2997" s="4">
        <f t="shared" si="263"/>
        <v>43073.5</v>
      </c>
    </row>
    <row r="2998" spans="4:11" x14ac:dyDescent="0.35">
      <c r="D2998" s="1">
        <v>41283</v>
      </c>
      <c r="E2998">
        <v>2.0417000000000001</v>
      </c>
      <c r="F2998" s="1">
        <v>40473</v>
      </c>
      <c r="G2998">
        <v>126.48399999999999</v>
      </c>
      <c r="H2998" s="4">
        <f t="shared" si="262"/>
        <v>258242.38279999996</v>
      </c>
      <c r="I2998" s="5">
        <v>41227</v>
      </c>
      <c r="J2998" s="4">
        <v>4261.07</v>
      </c>
      <c r="K2998" s="4">
        <f t="shared" si="263"/>
        <v>42610.7</v>
      </c>
    </row>
    <row r="2999" spans="4:11" x14ac:dyDescent="0.35">
      <c r="D2999" s="1">
        <v>41282</v>
      </c>
      <c r="E2999">
        <v>2.0286</v>
      </c>
      <c r="F2999" s="1">
        <v>40470</v>
      </c>
      <c r="G2999">
        <v>126.625</v>
      </c>
      <c r="H2999" s="4">
        <f t="shared" si="262"/>
        <v>256871.47499999998</v>
      </c>
      <c r="I2999" s="5">
        <v>41226</v>
      </c>
      <c r="J2999" s="4">
        <v>4244.62</v>
      </c>
      <c r="K2999" s="4">
        <f t="shared" si="263"/>
        <v>42446.2</v>
      </c>
    </row>
    <row r="3000" spans="4:11" x14ac:dyDescent="0.35">
      <c r="D3000" s="1">
        <v>41281</v>
      </c>
      <c r="E3000">
        <v>2.0312000000000001</v>
      </c>
      <c r="F3000" s="1">
        <v>40466</v>
      </c>
      <c r="G3000">
        <v>126.265</v>
      </c>
      <c r="H3000" s="4">
        <f t="shared" si="262"/>
        <v>256469.46799999999</v>
      </c>
      <c r="I3000" s="5">
        <v>41225</v>
      </c>
      <c r="J3000" s="4">
        <v>4231.24</v>
      </c>
      <c r="K3000" s="4">
        <f t="shared" si="263"/>
        <v>42312.399999999994</v>
      </c>
    </row>
    <row r="3001" spans="4:11" x14ac:dyDescent="0.35">
      <c r="D3001" s="1">
        <v>41278</v>
      </c>
      <c r="E3001">
        <v>2.0425</v>
      </c>
      <c r="F3001" s="1">
        <v>40457</v>
      </c>
      <c r="G3001">
        <v>127.40600000000001</v>
      </c>
      <c r="H3001" s="4">
        <f t="shared" si="262"/>
        <v>260226.75500000003</v>
      </c>
      <c r="I3001" s="5">
        <v>41222</v>
      </c>
      <c r="J3001" s="4">
        <v>4218.8999999999996</v>
      </c>
      <c r="K3001" s="4">
        <f t="shared" si="263"/>
        <v>42189</v>
      </c>
    </row>
    <row r="3002" spans="4:11" x14ac:dyDescent="0.35">
      <c r="D3002" s="1">
        <v>41277</v>
      </c>
      <c r="E3002">
        <v>2.0464000000000002</v>
      </c>
      <c r="F3002" s="1">
        <v>40456</v>
      </c>
      <c r="G3002">
        <v>126.625</v>
      </c>
      <c r="H3002" s="4">
        <f t="shared" si="262"/>
        <v>259125.40000000002</v>
      </c>
      <c r="I3002" s="5">
        <v>41221</v>
      </c>
      <c r="J3002" s="4">
        <v>4208.62</v>
      </c>
      <c r="K3002" s="4">
        <f t="shared" si="263"/>
        <v>42086.2</v>
      </c>
    </row>
    <row r="3003" spans="4:11" x14ac:dyDescent="0.35">
      <c r="D3003" s="1">
        <v>41276</v>
      </c>
      <c r="E3003">
        <v>2.0415000000000001</v>
      </c>
      <c r="F3003" s="1">
        <v>40451</v>
      </c>
      <c r="G3003">
        <v>126.26600000000001</v>
      </c>
      <c r="H3003" s="4">
        <f t="shared" si="262"/>
        <v>257772.03900000002</v>
      </c>
      <c r="I3003" s="5">
        <v>41220</v>
      </c>
      <c r="J3003" s="4">
        <v>4198.33</v>
      </c>
      <c r="K3003" s="4">
        <f t="shared" si="263"/>
        <v>41983.3</v>
      </c>
    </row>
    <row r="3004" spans="4:11" x14ac:dyDescent="0.35">
      <c r="D3004" s="1">
        <v>41274</v>
      </c>
      <c r="E3004">
        <v>2.0434999999999999</v>
      </c>
      <c r="F3004" s="1">
        <v>40443</v>
      </c>
      <c r="G3004">
        <v>125.98399999999999</v>
      </c>
      <c r="H3004" s="4">
        <f t="shared" si="262"/>
        <v>257448.30399999995</v>
      </c>
      <c r="I3004" s="5">
        <v>41219</v>
      </c>
      <c r="J3004" s="4">
        <v>4198.33</v>
      </c>
      <c r="K3004" s="4">
        <f t="shared" si="263"/>
        <v>41983.3</v>
      </c>
    </row>
    <row r="3005" spans="4:11" x14ac:dyDescent="0.35">
      <c r="D3005" s="1">
        <v>41271</v>
      </c>
      <c r="E3005">
        <v>2.0434999999999999</v>
      </c>
      <c r="F3005" s="1">
        <v>40442</v>
      </c>
      <c r="G3005">
        <v>124.60899999999999</v>
      </c>
      <c r="H3005" s="4">
        <f t="shared" si="262"/>
        <v>254638.49149999997</v>
      </c>
      <c r="I3005" s="5">
        <v>41218</v>
      </c>
      <c r="J3005" s="4">
        <v>4202.45</v>
      </c>
      <c r="K3005" s="4">
        <f t="shared" si="263"/>
        <v>42024.5</v>
      </c>
    </row>
    <row r="3006" spans="4:11" x14ac:dyDescent="0.35">
      <c r="D3006" s="1">
        <v>41270</v>
      </c>
      <c r="E3006">
        <v>2.0482999999999998</v>
      </c>
      <c r="F3006" s="1">
        <v>40434</v>
      </c>
      <c r="G3006">
        <v>124.078</v>
      </c>
      <c r="H3006" s="4">
        <f t="shared" si="262"/>
        <v>254148.96739999996</v>
      </c>
      <c r="I3006" s="5">
        <v>41214</v>
      </c>
      <c r="J3006" s="4">
        <v>4195.25</v>
      </c>
      <c r="K3006" s="4">
        <f t="shared" si="263"/>
        <v>41952.5</v>
      </c>
    </row>
    <row r="3007" spans="4:11" x14ac:dyDescent="0.35">
      <c r="D3007" s="1">
        <v>41269</v>
      </c>
      <c r="E3007">
        <v>2.0569000000000002</v>
      </c>
      <c r="F3007" s="1">
        <v>40430</v>
      </c>
      <c r="G3007">
        <v>123.84399999999999</v>
      </c>
      <c r="H3007" s="4">
        <f t="shared" si="262"/>
        <v>254734.7236</v>
      </c>
      <c r="I3007" s="5">
        <v>41213</v>
      </c>
      <c r="J3007" s="4">
        <v>4194.22</v>
      </c>
      <c r="K3007" s="4">
        <f t="shared" si="263"/>
        <v>41942.200000000004</v>
      </c>
    </row>
    <row r="3008" spans="4:11" x14ac:dyDescent="0.35">
      <c r="D3008" s="1">
        <v>41267</v>
      </c>
      <c r="E3008">
        <v>2.0773999999999999</v>
      </c>
      <c r="F3008" s="1">
        <v>40420</v>
      </c>
      <c r="G3008">
        <v>126.15600000000001</v>
      </c>
      <c r="H3008" s="4">
        <f t="shared" si="262"/>
        <v>262076.47440000001</v>
      </c>
      <c r="I3008" s="5">
        <v>41212</v>
      </c>
      <c r="J3008" s="4">
        <v>4193.1899999999996</v>
      </c>
      <c r="K3008" s="4">
        <f t="shared" si="263"/>
        <v>41931.899999999994</v>
      </c>
    </row>
    <row r="3009" spans="4:11" x14ac:dyDescent="0.35">
      <c r="D3009" s="1">
        <v>41264</v>
      </c>
      <c r="E3009">
        <v>2.0758000000000001</v>
      </c>
      <c r="F3009" s="1">
        <v>40417</v>
      </c>
      <c r="G3009">
        <v>126.09399999999999</v>
      </c>
      <c r="H3009" s="4">
        <f t="shared" si="262"/>
        <v>261745.9252</v>
      </c>
      <c r="I3009" s="5">
        <v>41211</v>
      </c>
      <c r="J3009" s="4">
        <v>4197.32</v>
      </c>
      <c r="K3009" s="4">
        <f t="shared" si="263"/>
        <v>41973.2</v>
      </c>
    </row>
    <row r="3010" spans="4:11" x14ac:dyDescent="0.35">
      <c r="D3010" s="1">
        <v>41263</v>
      </c>
      <c r="E3010">
        <v>2.0625</v>
      </c>
      <c r="F3010" s="1">
        <v>40409</v>
      </c>
      <c r="G3010">
        <v>125.88</v>
      </c>
      <c r="H3010" s="4">
        <f t="shared" si="262"/>
        <v>259627.5</v>
      </c>
      <c r="I3010" s="5">
        <v>41208</v>
      </c>
      <c r="J3010" s="4">
        <v>4184.93</v>
      </c>
      <c r="K3010" s="4">
        <f t="shared" si="263"/>
        <v>41849.300000000003</v>
      </c>
    </row>
    <row r="3011" spans="4:11" x14ac:dyDescent="0.35">
      <c r="D3011" s="1">
        <v>41262</v>
      </c>
      <c r="E3011">
        <v>2.0790999999999999</v>
      </c>
      <c r="F3011" s="1">
        <v>40407</v>
      </c>
      <c r="G3011">
        <v>125.938</v>
      </c>
      <c r="H3011" s="4">
        <f t="shared" si="262"/>
        <v>261837.69580000002</v>
      </c>
      <c r="I3011" s="5">
        <v>41207</v>
      </c>
      <c r="J3011" s="4">
        <v>4185.96</v>
      </c>
      <c r="K3011" s="4">
        <f t="shared" si="263"/>
        <v>41859.599999999999</v>
      </c>
    </row>
    <row r="3012" spans="4:11" x14ac:dyDescent="0.35">
      <c r="D3012" s="1">
        <v>41261</v>
      </c>
      <c r="E3012">
        <v>2.0966</v>
      </c>
      <c r="F3012" s="1">
        <v>40394</v>
      </c>
      <c r="G3012">
        <v>123.75</v>
      </c>
      <c r="H3012" s="4">
        <f t="shared" ref="H3012:H3075" si="264">G3012*E3012*1000</f>
        <v>259454.25</v>
      </c>
      <c r="I3012" s="5">
        <v>41206</v>
      </c>
      <c r="J3012" s="4">
        <v>4195.25</v>
      </c>
      <c r="K3012" s="4">
        <f t="shared" si="263"/>
        <v>41952.5</v>
      </c>
    </row>
    <row r="3013" spans="4:11" x14ac:dyDescent="0.35">
      <c r="D3013" s="1">
        <v>41260</v>
      </c>
      <c r="E3013">
        <v>2.0901999999999998</v>
      </c>
      <c r="F3013" s="1">
        <v>40389</v>
      </c>
      <c r="G3013">
        <v>123.85899999999999</v>
      </c>
      <c r="H3013" s="4">
        <f t="shared" si="264"/>
        <v>258890.08179999996</v>
      </c>
      <c r="I3013" s="5">
        <v>41205</v>
      </c>
      <c r="J3013" s="4">
        <v>4196.28</v>
      </c>
      <c r="K3013" s="4">
        <f t="shared" ref="K3013:K3076" si="265">J3013*10</f>
        <v>41962.799999999996</v>
      </c>
    </row>
    <row r="3014" spans="4:11" x14ac:dyDescent="0.35">
      <c r="D3014" s="1">
        <v>41257</v>
      </c>
      <c r="E3014">
        <v>2.0840000000000001</v>
      </c>
      <c r="F3014" s="1">
        <v>40388</v>
      </c>
      <c r="G3014">
        <v>123.188</v>
      </c>
      <c r="H3014" s="4">
        <f t="shared" si="264"/>
        <v>256723.79200000002</v>
      </c>
      <c r="I3014" s="5">
        <v>41204</v>
      </c>
      <c r="J3014" s="4">
        <v>4184.93</v>
      </c>
      <c r="K3014" s="4">
        <f t="shared" si="265"/>
        <v>41849.300000000003</v>
      </c>
    </row>
    <row r="3015" spans="4:11" x14ac:dyDescent="0.35">
      <c r="D3015" s="1">
        <v>41256</v>
      </c>
      <c r="E3015">
        <v>2.0750999999999999</v>
      </c>
      <c r="F3015" s="1">
        <v>40386</v>
      </c>
      <c r="G3015">
        <v>122.23399999999999</v>
      </c>
      <c r="H3015" s="4">
        <f t="shared" si="264"/>
        <v>253647.77339999998</v>
      </c>
      <c r="I3015" s="5">
        <v>41201</v>
      </c>
      <c r="J3015" s="4">
        <v>4196.28</v>
      </c>
      <c r="K3015" s="4">
        <f t="shared" si="265"/>
        <v>41962.799999999996</v>
      </c>
    </row>
    <row r="3016" spans="4:11" x14ac:dyDescent="0.35">
      <c r="D3016" s="1">
        <v>41255</v>
      </c>
      <c r="E3016">
        <v>2.0800999999999998</v>
      </c>
      <c r="F3016" s="1">
        <v>40382</v>
      </c>
      <c r="G3016">
        <v>122.922</v>
      </c>
      <c r="H3016" s="4">
        <f t="shared" si="264"/>
        <v>255690.05219999998</v>
      </c>
      <c r="I3016" s="5">
        <v>41200</v>
      </c>
      <c r="J3016" s="4">
        <v>4194.22</v>
      </c>
      <c r="K3016" s="4">
        <f t="shared" si="265"/>
        <v>41942.200000000004</v>
      </c>
    </row>
    <row r="3017" spans="4:11" x14ac:dyDescent="0.35">
      <c r="D3017" s="1">
        <v>41254</v>
      </c>
      <c r="E3017">
        <v>2.0743</v>
      </c>
      <c r="F3017" s="1">
        <v>40381</v>
      </c>
      <c r="G3017">
        <v>123.21899999999999</v>
      </c>
      <c r="H3017" s="4">
        <f t="shared" si="264"/>
        <v>255593.17170000001</v>
      </c>
      <c r="I3017" s="5">
        <v>41199</v>
      </c>
      <c r="J3017" s="4">
        <v>4207.6400000000003</v>
      </c>
      <c r="K3017" s="4">
        <f t="shared" si="265"/>
        <v>42076.4</v>
      </c>
    </row>
    <row r="3018" spans="4:11" x14ac:dyDescent="0.35">
      <c r="D3018" s="1">
        <v>41253</v>
      </c>
      <c r="E3018">
        <v>2.081</v>
      </c>
      <c r="F3018" s="1">
        <v>40380</v>
      </c>
      <c r="G3018">
        <v>123.313</v>
      </c>
      <c r="H3018" s="4">
        <f t="shared" si="264"/>
        <v>256614.353</v>
      </c>
      <c r="I3018" s="5">
        <v>41198</v>
      </c>
      <c r="J3018" s="4">
        <v>4211.7700000000004</v>
      </c>
      <c r="K3018" s="4">
        <f t="shared" si="265"/>
        <v>42117.700000000004</v>
      </c>
    </row>
    <row r="3019" spans="4:11" x14ac:dyDescent="0.35">
      <c r="D3019" s="1">
        <v>41250</v>
      </c>
      <c r="E3019">
        <v>2.0804</v>
      </c>
      <c r="F3019" s="1">
        <v>40378</v>
      </c>
      <c r="G3019">
        <v>123.09399999999999</v>
      </c>
      <c r="H3019" s="4">
        <f t="shared" si="264"/>
        <v>256084.75759999998</v>
      </c>
      <c r="I3019" s="5">
        <v>41197</v>
      </c>
      <c r="J3019" s="4">
        <v>4216.93</v>
      </c>
      <c r="K3019" s="4">
        <f t="shared" si="265"/>
        <v>42169.3</v>
      </c>
    </row>
    <row r="3020" spans="4:11" x14ac:dyDescent="0.35">
      <c r="D3020" s="1">
        <v>41249</v>
      </c>
      <c r="E3020">
        <v>2.0836000000000001</v>
      </c>
      <c r="F3020" s="1">
        <v>40375</v>
      </c>
      <c r="G3020">
        <v>122.89100000000001</v>
      </c>
      <c r="H3020" s="4">
        <f t="shared" si="264"/>
        <v>256055.6876</v>
      </c>
      <c r="I3020" s="5">
        <v>41193</v>
      </c>
      <c r="J3020" s="4">
        <v>4231.38</v>
      </c>
      <c r="K3020" s="4">
        <f t="shared" si="265"/>
        <v>42313.8</v>
      </c>
    </row>
    <row r="3021" spans="4:11" x14ac:dyDescent="0.35">
      <c r="D3021" s="1">
        <v>41248</v>
      </c>
      <c r="E3021">
        <v>2.1046</v>
      </c>
      <c r="F3021" s="1">
        <v>40374</v>
      </c>
      <c r="G3021">
        <v>122.51600000000001</v>
      </c>
      <c r="H3021" s="4">
        <f t="shared" si="264"/>
        <v>257847.17360000001</v>
      </c>
      <c r="I3021" s="5">
        <v>41192</v>
      </c>
      <c r="J3021" s="4">
        <v>4231.38</v>
      </c>
      <c r="K3021" s="4">
        <f t="shared" si="265"/>
        <v>42313.8</v>
      </c>
    </row>
    <row r="3022" spans="4:11" x14ac:dyDescent="0.35">
      <c r="D3022" s="1">
        <v>41247</v>
      </c>
      <c r="E3022">
        <v>2.1076999999999999</v>
      </c>
      <c r="F3022" s="1">
        <v>40365</v>
      </c>
      <c r="G3022">
        <v>122.76600000000001</v>
      </c>
      <c r="H3022" s="4">
        <f t="shared" si="264"/>
        <v>258753.89819999997</v>
      </c>
      <c r="I3022" s="5">
        <v>41191</v>
      </c>
      <c r="J3022" s="4">
        <v>4213.83</v>
      </c>
      <c r="K3022" s="4">
        <f t="shared" si="265"/>
        <v>42138.3</v>
      </c>
    </row>
    <row r="3023" spans="4:11" x14ac:dyDescent="0.35">
      <c r="D3023" s="1">
        <v>41246</v>
      </c>
      <c r="E3023">
        <v>2.1120999999999999</v>
      </c>
      <c r="F3023" s="1">
        <v>40361</v>
      </c>
      <c r="G3023">
        <v>122.28100000000001</v>
      </c>
      <c r="H3023" s="4">
        <f t="shared" si="264"/>
        <v>258269.70010000002</v>
      </c>
      <c r="I3023" s="5">
        <v>41190</v>
      </c>
      <c r="J3023" s="4">
        <v>4207.6400000000003</v>
      </c>
      <c r="K3023" s="4">
        <f t="shared" si="265"/>
        <v>42076.4</v>
      </c>
    </row>
    <row r="3024" spans="4:11" x14ac:dyDescent="0.35">
      <c r="D3024" s="1">
        <v>41243</v>
      </c>
      <c r="E3024">
        <v>2.1074000000000002</v>
      </c>
      <c r="F3024" s="1">
        <v>40360</v>
      </c>
      <c r="G3024">
        <v>122.703</v>
      </c>
      <c r="H3024" s="4">
        <f t="shared" si="264"/>
        <v>258584.30220000003</v>
      </c>
      <c r="I3024" s="5">
        <v>41187</v>
      </c>
      <c r="J3024" s="4">
        <v>4207.6400000000003</v>
      </c>
      <c r="K3024" s="4">
        <f t="shared" si="265"/>
        <v>42076.4</v>
      </c>
    </row>
    <row r="3025" spans="4:11" x14ac:dyDescent="0.35">
      <c r="D3025" s="1">
        <v>41242</v>
      </c>
      <c r="E3025">
        <v>2.0991</v>
      </c>
      <c r="F3025" s="1">
        <v>40359</v>
      </c>
      <c r="G3025">
        <v>122.39100000000001</v>
      </c>
      <c r="H3025" s="4">
        <f t="shared" si="264"/>
        <v>256910.94809999998</v>
      </c>
      <c r="I3025" s="5">
        <v>41186</v>
      </c>
      <c r="J3025" s="4">
        <v>4184.93</v>
      </c>
      <c r="K3025" s="4">
        <f t="shared" si="265"/>
        <v>41849.300000000003</v>
      </c>
    </row>
    <row r="3026" spans="4:11" x14ac:dyDescent="0.35">
      <c r="D3026" s="1">
        <v>41241</v>
      </c>
      <c r="E3026">
        <v>2.0912000000000002</v>
      </c>
      <c r="F3026" s="1">
        <v>40357</v>
      </c>
      <c r="G3026">
        <v>122.15600000000001</v>
      </c>
      <c r="H3026" s="4">
        <f t="shared" si="264"/>
        <v>255452.62720000002</v>
      </c>
      <c r="I3026" s="5">
        <v>41185</v>
      </c>
      <c r="J3026" s="4">
        <v>4196.28</v>
      </c>
      <c r="K3026" s="4">
        <f t="shared" si="265"/>
        <v>41962.799999999996</v>
      </c>
    </row>
    <row r="3027" spans="4:11" x14ac:dyDescent="0.35">
      <c r="D3027" s="1">
        <v>41240</v>
      </c>
      <c r="E3027">
        <v>2.0752000000000002</v>
      </c>
      <c r="F3027" s="1">
        <v>40354</v>
      </c>
      <c r="G3027">
        <v>121.64100000000001</v>
      </c>
      <c r="H3027" s="4">
        <f t="shared" si="264"/>
        <v>252429.40320000003</v>
      </c>
      <c r="I3027" s="5">
        <v>41184</v>
      </c>
      <c r="J3027" s="4">
        <v>4199.38</v>
      </c>
      <c r="K3027" s="4">
        <f t="shared" si="265"/>
        <v>41993.8</v>
      </c>
    </row>
    <row r="3028" spans="4:11" x14ac:dyDescent="0.35">
      <c r="D3028" s="1">
        <v>41239</v>
      </c>
      <c r="E3028">
        <v>2.0787</v>
      </c>
      <c r="F3028" s="1">
        <v>40353</v>
      </c>
      <c r="G3028">
        <v>121.51600000000001</v>
      </c>
      <c r="H3028" s="4">
        <f t="shared" si="264"/>
        <v>252595.30919999999</v>
      </c>
      <c r="I3028" s="5">
        <v>41183</v>
      </c>
      <c r="J3028" s="4">
        <v>4207.6400000000003</v>
      </c>
      <c r="K3028" s="4">
        <f t="shared" si="265"/>
        <v>42076.4</v>
      </c>
    </row>
    <row r="3029" spans="4:11" x14ac:dyDescent="0.35">
      <c r="D3029" s="1">
        <v>41236</v>
      </c>
      <c r="E3029">
        <v>2.0985</v>
      </c>
      <c r="F3029" s="1">
        <v>40351</v>
      </c>
      <c r="G3029">
        <v>121.01600000000001</v>
      </c>
      <c r="H3029" s="4">
        <f t="shared" si="264"/>
        <v>253952.076</v>
      </c>
      <c r="I3029" s="5">
        <v>41180</v>
      </c>
      <c r="J3029" s="4">
        <v>4205.57</v>
      </c>
      <c r="K3029" s="4">
        <f t="shared" si="265"/>
        <v>42055.7</v>
      </c>
    </row>
    <row r="3030" spans="4:11" x14ac:dyDescent="0.35">
      <c r="D3030" s="1">
        <v>41235</v>
      </c>
      <c r="E3030">
        <v>2.0912000000000002</v>
      </c>
      <c r="F3030" s="1">
        <v>40350</v>
      </c>
      <c r="G3030">
        <v>119.96899999999999</v>
      </c>
      <c r="H3030" s="4">
        <f t="shared" si="264"/>
        <v>250879.17280000003</v>
      </c>
      <c r="I3030" s="5">
        <v>41179</v>
      </c>
      <c r="J3030" s="4">
        <v>4203.5</v>
      </c>
      <c r="K3030" s="4">
        <f t="shared" si="265"/>
        <v>42035</v>
      </c>
    </row>
    <row r="3031" spans="4:11" x14ac:dyDescent="0.35">
      <c r="D3031" s="1">
        <v>41234</v>
      </c>
      <c r="E3031">
        <v>2.0924</v>
      </c>
      <c r="F3031" s="1">
        <v>40345</v>
      </c>
      <c r="G3031">
        <v>120.26600000000001</v>
      </c>
      <c r="H3031" s="4">
        <f t="shared" si="264"/>
        <v>251644.57840000003</v>
      </c>
      <c r="I3031" s="5">
        <v>41178</v>
      </c>
      <c r="J3031" s="4">
        <v>4216.97</v>
      </c>
      <c r="K3031" s="4">
        <f t="shared" si="265"/>
        <v>42169.700000000004</v>
      </c>
    </row>
    <row r="3032" spans="4:11" x14ac:dyDescent="0.35">
      <c r="D3032" s="1">
        <v>41233</v>
      </c>
      <c r="E3032">
        <v>2.0834999999999999</v>
      </c>
      <c r="F3032" s="1">
        <v>40340</v>
      </c>
      <c r="G3032">
        <v>120.34399999999999</v>
      </c>
      <c r="H3032" s="4">
        <f t="shared" si="264"/>
        <v>250736.72399999999</v>
      </c>
      <c r="I3032" s="5">
        <v>41177</v>
      </c>
      <c r="J3032" s="4">
        <v>4209.72</v>
      </c>
      <c r="K3032" s="4">
        <f t="shared" si="265"/>
        <v>42097.200000000004</v>
      </c>
    </row>
    <row r="3033" spans="4:11" x14ac:dyDescent="0.35">
      <c r="D3033" s="1">
        <v>41232</v>
      </c>
      <c r="E3033">
        <v>2.0745</v>
      </c>
      <c r="F3033" s="1">
        <v>40339</v>
      </c>
      <c r="G3033">
        <v>120.26600000000001</v>
      </c>
      <c r="H3033" s="4">
        <f t="shared" si="264"/>
        <v>249491.81700000004</v>
      </c>
      <c r="I3033" s="5">
        <v>41176</v>
      </c>
      <c r="J3033" s="4">
        <v>4202.47</v>
      </c>
      <c r="K3033" s="4">
        <f t="shared" si="265"/>
        <v>42024.700000000004</v>
      </c>
    </row>
    <row r="3034" spans="4:11" x14ac:dyDescent="0.35">
      <c r="D3034" s="1">
        <v>41229</v>
      </c>
      <c r="E3034">
        <v>2.0712000000000002</v>
      </c>
      <c r="F3034" s="1">
        <v>40338</v>
      </c>
      <c r="G3034">
        <v>120.797</v>
      </c>
      <c r="H3034" s="4">
        <f t="shared" si="264"/>
        <v>250194.7464</v>
      </c>
      <c r="I3034" s="5">
        <v>41173</v>
      </c>
      <c r="J3034" s="4">
        <v>4195.22</v>
      </c>
      <c r="K3034" s="4">
        <f t="shared" si="265"/>
        <v>41952.200000000004</v>
      </c>
    </row>
    <row r="3035" spans="4:11" x14ac:dyDescent="0.35">
      <c r="D3035" s="1">
        <v>41227</v>
      </c>
      <c r="E3035">
        <v>2.0629</v>
      </c>
      <c r="F3035" s="1">
        <v>40337</v>
      </c>
      <c r="G3035">
        <v>120.828</v>
      </c>
      <c r="H3035" s="4">
        <f t="shared" si="264"/>
        <v>249256.08120000002</v>
      </c>
      <c r="I3035" s="5">
        <v>41172</v>
      </c>
      <c r="J3035" s="4">
        <v>4194.18</v>
      </c>
      <c r="K3035" s="4">
        <f t="shared" si="265"/>
        <v>41941.800000000003</v>
      </c>
    </row>
    <row r="3036" spans="4:11" x14ac:dyDescent="0.35">
      <c r="D3036" s="1">
        <v>41226</v>
      </c>
      <c r="E3036">
        <v>2.0613999999999999</v>
      </c>
      <c r="F3036" s="1">
        <v>40333</v>
      </c>
      <c r="G3036">
        <v>120.71899999999999</v>
      </c>
      <c r="H3036" s="4">
        <f t="shared" si="264"/>
        <v>248850.14659999998</v>
      </c>
      <c r="I3036" s="5">
        <v>41171</v>
      </c>
      <c r="J3036" s="4">
        <v>4200.3999999999996</v>
      </c>
      <c r="K3036" s="4">
        <f t="shared" si="265"/>
        <v>42004</v>
      </c>
    </row>
    <row r="3037" spans="4:11" x14ac:dyDescent="0.35">
      <c r="D3037" s="1">
        <v>41225</v>
      </c>
      <c r="E3037">
        <v>2.0476000000000001</v>
      </c>
      <c r="F3037" s="1">
        <v>40331</v>
      </c>
      <c r="G3037">
        <v>119.5</v>
      </c>
      <c r="H3037" s="4">
        <f t="shared" si="264"/>
        <v>244688.2</v>
      </c>
      <c r="I3037" s="5">
        <v>41170</v>
      </c>
      <c r="J3037" s="4">
        <v>4202.47</v>
      </c>
      <c r="K3037" s="4">
        <f t="shared" si="265"/>
        <v>42024.700000000004</v>
      </c>
    </row>
    <row r="3038" spans="4:11" x14ac:dyDescent="0.35">
      <c r="D3038" s="1">
        <v>41222</v>
      </c>
      <c r="E3038">
        <v>2.0512000000000001</v>
      </c>
      <c r="F3038" s="1">
        <v>40330</v>
      </c>
      <c r="G3038">
        <v>119.85899999999999</v>
      </c>
      <c r="H3038" s="4">
        <f t="shared" si="264"/>
        <v>245854.78080000001</v>
      </c>
      <c r="I3038" s="5">
        <v>41169</v>
      </c>
      <c r="J3038" s="4">
        <v>4218</v>
      </c>
      <c r="K3038" s="4">
        <f t="shared" si="265"/>
        <v>42180</v>
      </c>
    </row>
    <row r="3039" spans="4:11" x14ac:dyDescent="0.35">
      <c r="D3039" s="1">
        <v>41221</v>
      </c>
      <c r="E3039">
        <v>2.0356999999999998</v>
      </c>
      <c r="F3039" s="1">
        <v>40325</v>
      </c>
      <c r="G3039">
        <v>120.28100000000001</v>
      </c>
      <c r="H3039" s="4">
        <f t="shared" si="264"/>
        <v>244856.03169999999</v>
      </c>
      <c r="I3039" s="5">
        <v>41166</v>
      </c>
      <c r="J3039" s="4">
        <v>4176.58</v>
      </c>
      <c r="K3039" s="4">
        <f t="shared" si="265"/>
        <v>41765.800000000003</v>
      </c>
    </row>
    <row r="3040" spans="4:11" x14ac:dyDescent="0.35">
      <c r="D3040" s="1">
        <v>41220</v>
      </c>
      <c r="E3040">
        <v>2.0329999999999999</v>
      </c>
      <c r="F3040" s="1">
        <v>40324</v>
      </c>
      <c r="G3040">
        <v>121.40600000000001</v>
      </c>
      <c r="H3040" s="4">
        <f t="shared" si="264"/>
        <v>246818.39800000002</v>
      </c>
      <c r="I3040" s="5">
        <v>41165</v>
      </c>
      <c r="J3040" s="4">
        <v>4196.25</v>
      </c>
      <c r="K3040" s="4">
        <f t="shared" si="265"/>
        <v>41962.5</v>
      </c>
    </row>
    <row r="3041" spans="4:11" x14ac:dyDescent="0.35">
      <c r="D3041" s="1">
        <v>41219</v>
      </c>
      <c r="E3041">
        <v>2.0341</v>
      </c>
      <c r="F3041" s="1">
        <v>40323</v>
      </c>
      <c r="G3041">
        <v>121.59399999999999</v>
      </c>
      <c r="H3041" s="4">
        <f t="shared" si="264"/>
        <v>247334.3554</v>
      </c>
      <c r="I3041" s="5">
        <v>41164</v>
      </c>
      <c r="J3041" s="4">
        <v>4210.75</v>
      </c>
      <c r="K3041" s="4">
        <f t="shared" si="265"/>
        <v>42107.5</v>
      </c>
    </row>
    <row r="3042" spans="4:11" x14ac:dyDescent="0.35">
      <c r="D3042" s="1">
        <v>41218</v>
      </c>
      <c r="E3042">
        <v>2.0350000000000001</v>
      </c>
      <c r="F3042" s="1">
        <v>40322</v>
      </c>
      <c r="G3042">
        <v>121.23399999999999</v>
      </c>
      <c r="H3042" s="4">
        <f t="shared" si="264"/>
        <v>246711.19</v>
      </c>
      <c r="I3042" s="5">
        <v>41163</v>
      </c>
      <c r="J3042" s="4">
        <v>4192.1099999999997</v>
      </c>
      <c r="K3042" s="4">
        <f t="shared" si="265"/>
        <v>41921.1</v>
      </c>
    </row>
    <row r="3043" spans="4:11" x14ac:dyDescent="0.35">
      <c r="D3043" s="1">
        <v>41214</v>
      </c>
      <c r="E3043">
        <v>2.0312000000000001</v>
      </c>
      <c r="F3043" s="1">
        <v>40319</v>
      </c>
      <c r="G3043">
        <v>121.21899999999999</v>
      </c>
      <c r="H3043" s="4">
        <f t="shared" si="264"/>
        <v>246220.03280000002</v>
      </c>
      <c r="I3043" s="5">
        <v>41162</v>
      </c>
      <c r="J3043" s="4">
        <v>4200.3999999999996</v>
      </c>
      <c r="K3043" s="4">
        <f t="shared" si="265"/>
        <v>42004</v>
      </c>
    </row>
    <row r="3044" spans="4:11" x14ac:dyDescent="0.35">
      <c r="D3044" s="1">
        <v>41213</v>
      </c>
      <c r="E3044">
        <v>2.0312999999999999</v>
      </c>
      <c r="F3044" s="1">
        <v>40308</v>
      </c>
      <c r="G3044">
        <v>119.047</v>
      </c>
      <c r="H3044" s="4">
        <f t="shared" si="264"/>
        <v>241820.17109999998</v>
      </c>
      <c r="I3044" s="5">
        <v>41158</v>
      </c>
      <c r="J3044" s="4">
        <v>4218</v>
      </c>
      <c r="K3044" s="4">
        <f t="shared" si="265"/>
        <v>42180</v>
      </c>
    </row>
    <row r="3045" spans="4:11" x14ac:dyDescent="0.35">
      <c r="D3045" s="1">
        <v>41212</v>
      </c>
      <c r="E3045">
        <v>2.0323000000000002</v>
      </c>
      <c r="F3045" s="1">
        <v>40305</v>
      </c>
      <c r="G3045">
        <v>119.92</v>
      </c>
      <c r="H3045" s="4">
        <f t="shared" si="264"/>
        <v>243713.41600000003</v>
      </c>
      <c r="I3045" s="5">
        <v>41157</v>
      </c>
      <c r="J3045" s="4">
        <v>4239.75</v>
      </c>
      <c r="K3045" s="4">
        <f t="shared" si="265"/>
        <v>42397.5</v>
      </c>
    </row>
    <row r="3046" spans="4:11" x14ac:dyDescent="0.35">
      <c r="D3046" s="1">
        <v>41211</v>
      </c>
      <c r="E3046">
        <v>2.0295999999999998</v>
      </c>
      <c r="F3046" s="1">
        <v>40304</v>
      </c>
      <c r="G3046">
        <v>119.625</v>
      </c>
      <c r="H3046" s="4">
        <f t="shared" si="264"/>
        <v>242790.9</v>
      </c>
      <c r="I3046" s="5">
        <v>41156</v>
      </c>
      <c r="J3046" s="4">
        <v>4248.03</v>
      </c>
      <c r="K3046" s="4">
        <f t="shared" si="265"/>
        <v>42480.299999999996</v>
      </c>
    </row>
    <row r="3047" spans="4:11" x14ac:dyDescent="0.35">
      <c r="D3047" s="1">
        <v>41208</v>
      </c>
      <c r="E3047">
        <v>2.0263</v>
      </c>
      <c r="F3047" s="1">
        <v>40303</v>
      </c>
      <c r="G3047">
        <v>118.625</v>
      </c>
      <c r="H3047" s="4">
        <f t="shared" si="264"/>
        <v>240369.83749999999</v>
      </c>
      <c r="I3047" s="5">
        <v>41155</v>
      </c>
      <c r="J3047" s="4">
        <v>4228.3599999999997</v>
      </c>
      <c r="K3047" s="4">
        <f t="shared" si="265"/>
        <v>42283.6</v>
      </c>
    </row>
    <row r="3048" spans="4:11" x14ac:dyDescent="0.35">
      <c r="D3048" s="1">
        <v>41207</v>
      </c>
      <c r="E3048">
        <v>2.0261</v>
      </c>
      <c r="F3048" s="1">
        <v>40302</v>
      </c>
      <c r="G3048">
        <v>117.938</v>
      </c>
      <c r="H3048" s="4">
        <f t="shared" si="264"/>
        <v>238954.18180000002</v>
      </c>
      <c r="I3048" s="5">
        <v>41152</v>
      </c>
      <c r="J3048" s="4">
        <v>4220.07</v>
      </c>
      <c r="K3048" s="4">
        <f t="shared" si="265"/>
        <v>42200.7</v>
      </c>
    </row>
    <row r="3049" spans="4:11" x14ac:dyDescent="0.35">
      <c r="D3049" s="1">
        <v>41206</v>
      </c>
      <c r="E3049">
        <v>2.0263</v>
      </c>
      <c r="F3049" s="1">
        <v>40298</v>
      </c>
      <c r="G3049">
        <v>117.85899999999999</v>
      </c>
      <c r="H3049" s="4">
        <f t="shared" si="264"/>
        <v>238817.6917</v>
      </c>
      <c r="I3049" s="5">
        <v>41151</v>
      </c>
      <c r="J3049" s="4">
        <v>4248.03</v>
      </c>
      <c r="K3049" s="4">
        <f t="shared" si="265"/>
        <v>42480.299999999996</v>
      </c>
    </row>
    <row r="3050" spans="4:11" x14ac:dyDescent="0.35">
      <c r="D3050" s="1">
        <v>41205</v>
      </c>
      <c r="E3050">
        <v>2.0286</v>
      </c>
      <c r="F3050" s="1">
        <v>40297</v>
      </c>
      <c r="G3050">
        <v>116.96899999999999</v>
      </c>
      <c r="H3050" s="4">
        <f t="shared" si="264"/>
        <v>237283.31339999998</v>
      </c>
      <c r="I3050" s="5">
        <v>41150</v>
      </c>
      <c r="J3050" s="4">
        <v>4249.07</v>
      </c>
      <c r="K3050" s="4">
        <f t="shared" si="265"/>
        <v>42490.7</v>
      </c>
    </row>
    <row r="3051" spans="4:11" x14ac:dyDescent="0.35">
      <c r="D3051" s="1">
        <v>41204</v>
      </c>
      <c r="E3051">
        <v>2.0266000000000002</v>
      </c>
      <c r="F3051" s="1">
        <v>40296</v>
      </c>
      <c r="G3051">
        <v>117.84399999999999</v>
      </c>
      <c r="H3051" s="4">
        <f t="shared" si="264"/>
        <v>238822.65040000001</v>
      </c>
      <c r="I3051" s="5">
        <v>41149</v>
      </c>
      <c r="J3051" s="4">
        <v>4236.6400000000003</v>
      </c>
      <c r="K3051" s="4">
        <f t="shared" si="265"/>
        <v>42366.400000000001</v>
      </c>
    </row>
    <row r="3052" spans="4:11" x14ac:dyDescent="0.35">
      <c r="D3052" s="1">
        <v>41201</v>
      </c>
      <c r="E3052">
        <v>2.0272000000000001</v>
      </c>
      <c r="F3052" s="1">
        <v>40295</v>
      </c>
      <c r="G3052">
        <v>117.625</v>
      </c>
      <c r="H3052" s="4">
        <f t="shared" si="264"/>
        <v>238449.40000000002</v>
      </c>
      <c r="I3052" s="5">
        <v>41148</v>
      </c>
      <c r="J3052" s="4">
        <v>4215.93</v>
      </c>
      <c r="K3052" s="4">
        <f t="shared" si="265"/>
        <v>42159.3</v>
      </c>
    </row>
    <row r="3053" spans="4:11" x14ac:dyDescent="0.35">
      <c r="D3053" s="1">
        <v>41200</v>
      </c>
      <c r="E3053">
        <v>2.0295000000000001</v>
      </c>
      <c r="F3053" s="1">
        <v>40290</v>
      </c>
      <c r="G3053">
        <v>117.25</v>
      </c>
      <c r="H3053" s="4">
        <f t="shared" si="264"/>
        <v>237958.875</v>
      </c>
      <c r="I3053" s="5">
        <v>41145</v>
      </c>
      <c r="J3053" s="4">
        <v>4207.6499999999996</v>
      </c>
      <c r="K3053" s="4">
        <f t="shared" si="265"/>
        <v>42076.5</v>
      </c>
    </row>
    <row r="3054" spans="4:11" x14ac:dyDescent="0.35">
      <c r="D3054" s="1">
        <v>41199</v>
      </c>
      <c r="E3054">
        <v>2.0335999999999999</v>
      </c>
      <c r="F3054" s="1">
        <v>40287</v>
      </c>
      <c r="G3054">
        <v>116.73399999999999</v>
      </c>
      <c r="H3054" s="4">
        <f t="shared" si="264"/>
        <v>237390.26239999998</v>
      </c>
      <c r="I3054" s="5">
        <v>41144</v>
      </c>
      <c r="J3054" s="4">
        <v>4198.32</v>
      </c>
      <c r="K3054" s="4">
        <f t="shared" si="265"/>
        <v>41983.199999999997</v>
      </c>
    </row>
    <row r="3055" spans="4:11" x14ac:dyDescent="0.35">
      <c r="D3055" s="1">
        <v>41198</v>
      </c>
      <c r="E3055">
        <v>2.0350999999999999</v>
      </c>
      <c r="F3055" s="1">
        <v>40284</v>
      </c>
      <c r="G3055">
        <v>117.063</v>
      </c>
      <c r="H3055" s="4">
        <f t="shared" si="264"/>
        <v>238234.91130000001</v>
      </c>
      <c r="I3055" s="5">
        <v>41143</v>
      </c>
      <c r="J3055" s="4">
        <v>4186.93</v>
      </c>
      <c r="K3055" s="4">
        <f t="shared" si="265"/>
        <v>41869.300000000003</v>
      </c>
    </row>
    <row r="3056" spans="4:11" x14ac:dyDescent="0.35">
      <c r="D3056" s="1">
        <v>41197</v>
      </c>
      <c r="E3056">
        <v>2.0381999999999998</v>
      </c>
      <c r="F3056" s="1">
        <v>40282</v>
      </c>
      <c r="G3056">
        <v>116.21899999999999</v>
      </c>
      <c r="H3056" s="4">
        <f t="shared" si="264"/>
        <v>236877.56579999995</v>
      </c>
      <c r="I3056" s="5">
        <v>41142</v>
      </c>
      <c r="J3056" s="4">
        <v>4184.8599999999997</v>
      </c>
      <c r="K3056" s="4">
        <f t="shared" si="265"/>
        <v>41848.6</v>
      </c>
    </row>
    <row r="3057" spans="4:11" x14ac:dyDescent="0.35">
      <c r="D3057" s="1">
        <v>41193</v>
      </c>
      <c r="E3057">
        <v>2.0369000000000002</v>
      </c>
      <c r="F3057" s="1">
        <v>40281</v>
      </c>
      <c r="G3057">
        <v>116.53100000000001</v>
      </c>
      <c r="H3057" s="4">
        <f t="shared" si="264"/>
        <v>237361.99390000003</v>
      </c>
      <c r="I3057" s="5">
        <v>41141</v>
      </c>
      <c r="J3057" s="4">
        <v>4189</v>
      </c>
      <c r="K3057" s="4">
        <f t="shared" si="265"/>
        <v>41890</v>
      </c>
    </row>
    <row r="3058" spans="4:11" x14ac:dyDescent="0.35">
      <c r="D3058" s="1">
        <v>41192</v>
      </c>
      <c r="E3058">
        <v>2.0377999999999998</v>
      </c>
      <c r="F3058" s="1">
        <v>40280</v>
      </c>
      <c r="G3058">
        <v>115.828</v>
      </c>
      <c r="H3058" s="4">
        <f t="shared" si="264"/>
        <v>236034.29839999997</v>
      </c>
      <c r="I3058" s="5">
        <v>41138</v>
      </c>
      <c r="J3058" s="4">
        <v>4185.8999999999996</v>
      </c>
      <c r="K3058" s="4">
        <f t="shared" si="265"/>
        <v>41859</v>
      </c>
    </row>
    <row r="3059" spans="4:11" x14ac:dyDescent="0.35">
      <c r="D3059" s="1">
        <v>41191</v>
      </c>
      <c r="E3059">
        <v>2.0331000000000001</v>
      </c>
      <c r="F3059" s="1">
        <v>40276</v>
      </c>
      <c r="G3059">
        <v>115.89100000000001</v>
      </c>
      <c r="H3059" s="4">
        <f t="shared" si="264"/>
        <v>235617.99210000003</v>
      </c>
      <c r="I3059" s="5">
        <v>41137</v>
      </c>
      <c r="J3059" s="4">
        <v>4191.08</v>
      </c>
      <c r="K3059" s="4">
        <f t="shared" si="265"/>
        <v>41910.800000000003</v>
      </c>
    </row>
    <row r="3060" spans="4:11" x14ac:dyDescent="0.35">
      <c r="D3060" s="1">
        <v>41190</v>
      </c>
      <c r="E3060">
        <v>2.0306999999999999</v>
      </c>
      <c r="F3060" s="1">
        <v>40275</v>
      </c>
      <c r="G3060">
        <v>115.89100000000001</v>
      </c>
      <c r="H3060" s="4">
        <f t="shared" si="264"/>
        <v>235339.85369999998</v>
      </c>
      <c r="I3060" s="5">
        <v>41136</v>
      </c>
      <c r="J3060" s="4">
        <v>4205.57</v>
      </c>
      <c r="K3060" s="4">
        <f t="shared" si="265"/>
        <v>42055.7</v>
      </c>
    </row>
    <row r="3061" spans="4:11" x14ac:dyDescent="0.35">
      <c r="D3061" s="1">
        <v>41187</v>
      </c>
      <c r="E3061">
        <v>2.0246</v>
      </c>
      <c r="F3061" s="1">
        <v>40274</v>
      </c>
      <c r="G3061">
        <v>115.23399999999999</v>
      </c>
      <c r="H3061" s="4">
        <f t="shared" si="264"/>
        <v>233302.75639999998</v>
      </c>
      <c r="I3061" s="5">
        <v>41135</v>
      </c>
      <c r="J3061" s="4">
        <v>4211.79</v>
      </c>
      <c r="K3061" s="4">
        <f t="shared" si="265"/>
        <v>42117.9</v>
      </c>
    </row>
    <row r="3062" spans="4:11" x14ac:dyDescent="0.35">
      <c r="D3062" s="1">
        <v>41186</v>
      </c>
      <c r="E3062">
        <v>2.0224000000000002</v>
      </c>
      <c r="F3062" s="1">
        <v>40269</v>
      </c>
      <c r="G3062">
        <v>116.063</v>
      </c>
      <c r="H3062" s="4">
        <f t="shared" si="264"/>
        <v>234725.81120000003</v>
      </c>
      <c r="I3062" s="5">
        <v>41134</v>
      </c>
      <c r="J3062" s="4">
        <v>4202.47</v>
      </c>
      <c r="K3062" s="4">
        <f t="shared" si="265"/>
        <v>42024.700000000004</v>
      </c>
    </row>
    <row r="3063" spans="4:11" x14ac:dyDescent="0.35">
      <c r="D3063" s="1">
        <v>41185</v>
      </c>
      <c r="E3063">
        <v>2.0266000000000002</v>
      </c>
      <c r="F3063" s="1">
        <v>40268</v>
      </c>
      <c r="G3063">
        <v>116.25</v>
      </c>
      <c r="H3063" s="4">
        <f t="shared" si="264"/>
        <v>235592.25</v>
      </c>
      <c r="I3063" s="5">
        <v>41131</v>
      </c>
      <c r="J3063" s="4">
        <v>4192.1099999999997</v>
      </c>
      <c r="K3063" s="4">
        <f t="shared" si="265"/>
        <v>41921.1</v>
      </c>
    </row>
    <row r="3064" spans="4:11" x14ac:dyDescent="0.35">
      <c r="D3064" s="1">
        <v>41184</v>
      </c>
      <c r="E3064">
        <v>2.0266000000000002</v>
      </c>
      <c r="F3064" s="1">
        <v>40263</v>
      </c>
      <c r="G3064">
        <v>115.593</v>
      </c>
      <c r="H3064" s="4">
        <f t="shared" si="264"/>
        <v>234260.77380000002</v>
      </c>
      <c r="I3064" s="5">
        <v>41130</v>
      </c>
      <c r="J3064" s="4">
        <v>4190.04</v>
      </c>
      <c r="K3064" s="4">
        <f t="shared" si="265"/>
        <v>41900.400000000001</v>
      </c>
    </row>
    <row r="3065" spans="4:11" x14ac:dyDescent="0.35">
      <c r="D3065" s="1">
        <v>41183</v>
      </c>
      <c r="E3065">
        <v>2.0259999999999998</v>
      </c>
      <c r="F3065" s="1">
        <v>40262</v>
      </c>
      <c r="G3065">
        <v>115.46899999999999</v>
      </c>
      <c r="H3065" s="4">
        <f t="shared" si="264"/>
        <v>233940.19399999996</v>
      </c>
      <c r="I3065" s="5">
        <v>41129</v>
      </c>
      <c r="J3065" s="4">
        <v>4208.68</v>
      </c>
      <c r="K3065" s="4">
        <f t="shared" si="265"/>
        <v>42086.8</v>
      </c>
    </row>
    <row r="3066" spans="4:11" x14ac:dyDescent="0.35">
      <c r="D3066" s="1">
        <v>41180</v>
      </c>
      <c r="E3066">
        <v>2.0306000000000002</v>
      </c>
      <c r="F3066" s="1">
        <v>40261</v>
      </c>
      <c r="G3066">
        <v>116.14100000000001</v>
      </c>
      <c r="H3066" s="4">
        <f t="shared" si="264"/>
        <v>235835.91460000002</v>
      </c>
      <c r="I3066" s="5">
        <v>41128</v>
      </c>
      <c r="J3066" s="4">
        <v>4221.1099999999997</v>
      </c>
      <c r="K3066" s="4">
        <f t="shared" si="265"/>
        <v>42211.1</v>
      </c>
    </row>
    <row r="3067" spans="4:11" x14ac:dyDescent="0.35">
      <c r="D3067" s="1">
        <v>41179</v>
      </c>
      <c r="E3067">
        <v>2.0310999999999999</v>
      </c>
      <c r="F3067" s="1">
        <v>40256</v>
      </c>
      <c r="G3067">
        <v>116.98399999999999</v>
      </c>
      <c r="H3067" s="4">
        <f t="shared" si="264"/>
        <v>237606.20239999998</v>
      </c>
      <c r="I3067" s="5">
        <v>41127</v>
      </c>
      <c r="J3067" s="4">
        <v>4232.5</v>
      </c>
      <c r="K3067" s="4">
        <f t="shared" si="265"/>
        <v>42325</v>
      </c>
    </row>
    <row r="3068" spans="4:11" x14ac:dyDescent="0.35">
      <c r="D3068" s="1">
        <v>41178</v>
      </c>
      <c r="E3068">
        <v>2.0341</v>
      </c>
      <c r="F3068" s="1">
        <v>40253</v>
      </c>
      <c r="G3068">
        <v>117.453</v>
      </c>
      <c r="H3068" s="4">
        <f t="shared" si="264"/>
        <v>238911.14730000001</v>
      </c>
      <c r="I3068" s="5">
        <v>41124</v>
      </c>
      <c r="J3068" s="4">
        <v>4220.07</v>
      </c>
      <c r="K3068" s="4">
        <f t="shared" si="265"/>
        <v>42200.7</v>
      </c>
    </row>
    <row r="3069" spans="4:11" x14ac:dyDescent="0.35">
      <c r="D3069" s="1">
        <v>41177</v>
      </c>
      <c r="E3069">
        <v>2.0251000000000001</v>
      </c>
      <c r="F3069" s="1">
        <v>40240</v>
      </c>
      <c r="G3069">
        <v>117.172</v>
      </c>
      <c r="H3069" s="4">
        <f t="shared" si="264"/>
        <v>237285.0172</v>
      </c>
      <c r="I3069" s="5">
        <v>41123</v>
      </c>
      <c r="J3069" s="4">
        <v>4272.8900000000003</v>
      </c>
      <c r="K3069" s="4">
        <f t="shared" si="265"/>
        <v>42728.9</v>
      </c>
    </row>
    <row r="3070" spans="4:11" x14ac:dyDescent="0.35">
      <c r="D3070" s="1">
        <v>41176</v>
      </c>
      <c r="E3070">
        <v>2.0272999999999999</v>
      </c>
      <c r="F3070" s="1">
        <v>40234</v>
      </c>
      <c r="G3070">
        <v>118.547</v>
      </c>
      <c r="H3070" s="4">
        <f t="shared" si="264"/>
        <v>240330.33309999999</v>
      </c>
      <c r="I3070" s="5">
        <v>41122</v>
      </c>
      <c r="J3070" s="4">
        <v>4260.46</v>
      </c>
      <c r="K3070" s="4">
        <f t="shared" si="265"/>
        <v>42604.6</v>
      </c>
    </row>
    <row r="3071" spans="4:11" x14ac:dyDescent="0.35">
      <c r="D3071" s="1">
        <v>41173</v>
      </c>
      <c r="E3071">
        <v>2.024</v>
      </c>
      <c r="F3071" s="1">
        <v>40233</v>
      </c>
      <c r="G3071">
        <v>118.21899999999999</v>
      </c>
      <c r="H3071" s="4">
        <f t="shared" si="264"/>
        <v>239275.25599999999</v>
      </c>
      <c r="I3071" s="5">
        <v>41121</v>
      </c>
      <c r="J3071" s="4">
        <v>4275.99</v>
      </c>
      <c r="K3071" s="4">
        <f t="shared" si="265"/>
        <v>42759.899999999994</v>
      </c>
    </row>
    <row r="3072" spans="4:11" x14ac:dyDescent="0.35">
      <c r="D3072" s="1">
        <v>41172</v>
      </c>
      <c r="E3072">
        <v>2.0263</v>
      </c>
      <c r="F3072" s="1">
        <v>40228</v>
      </c>
      <c r="G3072">
        <v>117</v>
      </c>
      <c r="H3072" s="4">
        <f t="shared" si="264"/>
        <v>237077.1</v>
      </c>
      <c r="I3072" s="5">
        <v>41120</v>
      </c>
      <c r="J3072" s="4">
        <v>4256.18</v>
      </c>
      <c r="K3072" s="4">
        <f t="shared" si="265"/>
        <v>42561.8</v>
      </c>
    </row>
    <row r="3073" spans="4:11" x14ac:dyDescent="0.35">
      <c r="D3073" s="1">
        <v>41171</v>
      </c>
      <c r="E3073">
        <v>2.0236000000000001</v>
      </c>
      <c r="F3073" s="1">
        <v>40227</v>
      </c>
      <c r="G3073">
        <v>117.188</v>
      </c>
      <c r="H3073" s="4">
        <f t="shared" si="264"/>
        <v>237141.63680000001</v>
      </c>
      <c r="I3073" s="5">
        <v>41117</v>
      </c>
      <c r="J3073" s="4">
        <v>4222.8100000000004</v>
      </c>
      <c r="K3073" s="4">
        <f t="shared" si="265"/>
        <v>42228.100000000006</v>
      </c>
    </row>
    <row r="3074" spans="4:11" x14ac:dyDescent="0.35">
      <c r="D3074" s="1">
        <v>41170</v>
      </c>
      <c r="E3074">
        <v>2.0274000000000001</v>
      </c>
      <c r="F3074" s="1">
        <v>40214</v>
      </c>
      <c r="G3074">
        <v>118.39100000000001</v>
      </c>
      <c r="H3074" s="4">
        <f t="shared" si="264"/>
        <v>240025.91340000002</v>
      </c>
      <c r="I3074" s="5">
        <v>41116</v>
      </c>
      <c r="J3074" s="4">
        <v>4217.59</v>
      </c>
      <c r="K3074" s="4">
        <f t="shared" si="265"/>
        <v>42175.9</v>
      </c>
    </row>
    <row r="3075" spans="4:11" x14ac:dyDescent="0.35">
      <c r="D3075" s="1">
        <v>41169</v>
      </c>
      <c r="E3075">
        <v>2.0312000000000001</v>
      </c>
      <c r="F3075" s="1">
        <v>40211</v>
      </c>
      <c r="G3075">
        <v>117.828</v>
      </c>
      <c r="H3075" s="4">
        <f t="shared" si="264"/>
        <v>239332.23360000004</v>
      </c>
      <c r="I3075" s="5">
        <v>41115</v>
      </c>
      <c r="J3075" s="4">
        <v>4246.79</v>
      </c>
      <c r="K3075" s="4">
        <f t="shared" si="265"/>
        <v>42467.9</v>
      </c>
    </row>
    <row r="3076" spans="4:11" x14ac:dyDescent="0.35">
      <c r="D3076" s="1">
        <v>41166</v>
      </c>
      <c r="E3076">
        <v>2.0139</v>
      </c>
      <c r="F3076" s="1">
        <v>40210</v>
      </c>
      <c r="G3076">
        <v>117.75</v>
      </c>
      <c r="H3076" s="4">
        <f t="shared" ref="H3076:H3139" si="266">G3076*E3076*1000</f>
        <v>237136.72500000001</v>
      </c>
      <c r="I3076" s="5">
        <v>41114</v>
      </c>
      <c r="J3076" s="4">
        <v>4278.08</v>
      </c>
      <c r="K3076" s="4">
        <f t="shared" si="265"/>
        <v>42780.800000000003</v>
      </c>
    </row>
    <row r="3077" spans="4:11" x14ac:dyDescent="0.35">
      <c r="D3077" s="1">
        <v>41165</v>
      </c>
      <c r="E3077">
        <v>2.0253999999999999</v>
      </c>
      <c r="F3077" s="1">
        <v>40204</v>
      </c>
      <c r="G3077">
        <v>117.953</v>
      </c>
      <c r="H3077" s="4">
        <f t="shared" si="266"/>
        <v>238902.00619999997</v>
      </c>
      <c r="I3077" s="5">
        <v>41113</v>
      </c>
      <c r="J3077" s="4">
        <v>4261.3900000000003</v>
      </c>
      <c r="K3077" s="4">
        <f t="shared" ref="K3077:K3140" si="267">J3077*10</f>
        <v>42613.9</v>
      </c>
    </row>
    <row r="3078" spans="4:11" x14ac:dyDescent="0.35">
      <c r="D3078" s="1">
        <v>41164</v>
      </c>
      <c r="E3078">
        <v>2.0204</v>
      </c>
      <c r="F3078" s="1">
        <v>40200</v>
      </c>
      <c r="G3078">
        <v>117.563</v>
      </c>
      <c r="H3078" s="4">
        <f t="shared" si="266"/>
        <v>237524.28520000001</v>
      </c>
      <c r="I3078" s="5">
        <v>41110</v>
      </c>
      <c r="J3078" s="4">
        <v>4229.0600000000004</v>
      </c>
      <c r="K3078" s="4">
        <f t="shared" si="267"/>
        <v>42290.600000000006</v>
      </c>
    </row>
    <row r="3079" spans="4:11" x14ac:dyDescent="0.35">
      <c r="D3079" s="1">
        <v>41163</v>
      </c>
      <c r="E3079">
        <v>2.0196999999999998</v>
      </c>
      <c r="F3079" s="1">
        <v>40199</v>
      </c>
      <c r="G3079">
        <v>117.563</v>
      </c>
      <c r="H3079" s="4">
        <f t="shared" si="266"/>
        <v>237441.99109999998</v>
      </c>
      <c r="I3079" s="5">
        <v>41109</v>
      </c>
      <c r="J3079" s="4">
        <v>4204.03</v>
      </c>
      <c r="K3079" s="4">
        <f t="shared" si="267"/>
        <v>42040.299999999996</v>
      </c>
    </row>
    <row r="3080" spans="4:11" x14ac:dyDescent="0.35">
      <c r="D3080" s="1">
        <v>41162</v>
      </c>
      <c r="E3080">
        <v>2.0240999999999998</v>
      </c>
      <c r="F3080" s="1">
        <v>40198</v>
      </c>
      <c r="G3080">
        <v>117.39100000000001</v>
      </c>
      <c r="H3080" s="4">
        <f t="shared" si="266"/>
        <v>237611.1231</v>
      </c>
      <c r="I3080" s="5">
        <v>41108</v>
      </c>
      <c r="J3080" s="4">
        <v>4231.1499999999996</v>
      </c>
      <c r="K3080" s="4">
        <f t="shared" si="267"/>
        <v>42311.5</v>
      </c>
    </row>
    <row r="3081" spans="4:11" x14ac:dyDescent="0.35">
      <c r="D3081" s="1">
        <v>41158</v>
      </c>
      <c r="E3081">
        <v>2.0381</v>
      </c>
      <c r="F3081" s="1">
        <v>40197</v>
      </c>
      <c r="G3081">
        <v>117</v>
      </c>
      <c r="H3081" s="4">
        <f t="shared" si="266"/>
        <v>238457.69999999998</v>
      </c>
      <c r="I3081" s="5">
        <v>41107</v>
      </c>
      <c r="J3081" s="4">
        <v>4225.93</v>
      </c>
      <c r="K3081" s="4">
        <f t="shared" si="267"/>
        <v>42259.3</v>
      </c>
    </row>
    <row r="3082" spans="4:11" x14ac:dyDescent="0.35">
      <c r="D3082" s="1">
        <v>41157</v>
      </c>
      <c r="E3082">
        <v>2.0385</v>
      </c>
      <c r="F3082" s="1">
        <v>40193</v>
      </c>
      <c r="G3082">
        <v>116.875</v>
      </c>
      <c r="H3082" s="4">
        <f t="shared" si="266"/>
        <v>238249.6875</v>
      </c>
      <c r="I3082" s="5">
        <v>41106</v>
      </c>
      <c r="J3082" s="4">
        <v>4262.4399999999996</v>
      </c>
      <c r="K3082" s="4">
        <f t="shared" si="267"/>
        <v>42624.399999999994</v>
      </c>
    </row>
    <row r="3083" spans="4:11" x14ac:dyDescent="0.35">
      <c r="D3083" s="1">
        <v>41156</v>
      </c>
      <c r="E3083">
        <v>2.0392000000000001</v>
      </c>
      <c r="F3083" s="1">
        <v>40192</v>
      </c>
      <c r="G3083">
        <v>116.828</v>
      </c>
      <c r="H3083" s="4">
        <f t="shared" si="266"/>
        <v>238235.65760000004</v>
      </c>
      <c r="I3083" s="5">
        <v>41103</v>
      </c>
      <c r="J3083" s="4">
        <v>4268.6899999999996</v>
      </c>
      <c r="K3083" s="4">
        <f t="shared" si="267"/>
        <v>42686.899999999994</v>
      </c>
    </row>
    <row r="3084" spans="4:11" x14ac:dyDescent="0.35">
      <c r="D3084" s="1">
        <v>41155</v>
      </c>
      <c r="E3084">
        <v>2.0371999999999999</v>
      </c>
      <c r="F3084" s="1">
        <v>40190</v>
      </c>
      <c r="G3084">
        <v>116.813</v>
      </c>
      <c r="H3084" s="4">
        <f t="shared" si="266"/>
        <v>237971.4436</v>
      </c>
      <c r="I3084" s="5">
        <v>41102</v>
      </c>
      <c r="J3084" s="4">
        <v>4267.6499999999996</v>
      </c>
      <c r="K3084" s="4">
        <f t="shared" si="267"/>
        <v>42676.5</v>
      </c>
    </row>
    <row r="3085" spans="4:11" x14ac:dyDescent="0.35">
      <c r="D3085" s="1">
        <v>41154</v>
      </c>
      <c r="E3085">
        <v>2.0371999999999999</v>
      </c>
      <c r="F3085" s="1">
        <v>40185</v>
      </c>
      <c r="G3085">
        <v>115.84399999999999</v>
      </c>
      <c r="H3085" s="4">
        <f t="shared" si="266"/>
        <v>235997.39679999999</v>
      </c>
      <c r="I3085" s="5">
        <v>41101</v>
      </c>
      <c r="J3085" s="4">
        <v>4263.4799999999996</v>
      </c>
      <c r="K3085" s="4">
        <f t="shared" si="267"/>
        <v>42634.799999999996</v>
      </c>
    </row>
    <row r="3086" spans="4:11" x14ac:dyDescent="0.35">
      <c r="D3086" s="1">
        <v>41153</v>
      </c>
      <c r="E3086">
        <v>2.0371999999999999</v>
      </c>
      <c r="F3086" s="1">
        <v>40183</v>
      </c>
      <c r="G3086">
        <v>116.15600000000001</v>
      </c>
      <c r="H3086" s="4">
        <f t="shared" si="266"/>
        <v>236633.00319999998</v>
      </c>
      <c r="I3086" s="5">
        <v>41100</v>
      </c>
      <c r="J3086" s="4">
        <v>4255.1400000000003</v>
      </c>
      <c r="K3086" s="4">
        <f t="shared" si="267"/>
        <v>42551.4</v>
      </c>
    </row>
    <row r="3087" spans="4:11" x14ac:dyDescent="0.35">
      <c r="D3087" s="1">
        <v>41152</v>
      </c>
      <c r="E3087">
        <v>2.0512999999999999</v>
      </c>
      <c r="F3087" s="1">
        <v>40182</v>
      </c>
      <c r="G3087">
        <v>115.313</v>
      </c>
      <c r="H3087" s="4">
        <f t="shared" si="266"/>
        <v>236541.5569</v>
      </c>
      <c r="I3087" s="5">
        <v>41096</v>
      </c>
      <c r="J3087" s="4">
        <v>4247.84</v>
      </c>
      <c r="K3087" s="4">
        <f t="shared" si="267"/>
        <v>42478.400000000001</v>
      </c>
    </row>
    <row r="3088" spans="4:11" x14ac:dyDescent="0.35">
      <c r="D3088" s="1">
        <v>41151</v>
      </c>
      <c r="E3088">
        <v>2.0512999999999999</v>
      </c>
      <c r="F3088" s="1">
        <v>40177</v>
      </c>
      <c r="G3088">
        <v>115.563</v>
      </c>
      <c r="H3088" s="4">
        <f t="shared" si="266"/>
        <v>237054.38189999998</v>
      </c>
      <c r="I3088" s="5">
        <v>41095</v>
      </c>
      <c r="J3088" s="4">
        <v>4236.3599999999997</v>
      </c>
      <c r="K3088" s="4">
        <f t="shared" si="267"/>
        <v>42363.6</v>
      </c>
    </row>
    <row r="3089" spans="4:11" x14ac:dyDescent="0.35">
      <c r="D3089" s="1">
        <v>41150</v>
      </c>
      <c r="E3089">
        <v>2.0503</v>
      </c>
      <c r="F3089" s="1">
        <v>40176</v>
      </c>
      <c r="G3089">
        <v>115.703</v>
      </c>
      <c r="H3089" s="4">
        <f t="shared" si="266"/>
        <v>237225.86090000003</v>
      </c>
      <c r="I3089" s="5">
        <v>41094</v>
      </c>
      <c r="J3089" s="4">
        <v>4246.79</v>
      </c>
      <c r="K3089" s="4">
        <f t="shared" si="267"/>
        <v>42467.9</v>
      </c>
    </row>
    <row r="3090" spans="4:11" x14ac:dyDescent="0.35">
      <c r="D3090" s="1">
        <v>41149</v>
      </c>
      <c r="E3090">
        <v>2.0427</v>
      </c>
      <c r="F3090" s="1">
        <v>40170</v>
      </c>
      <c r="G3090">
        <v>116.21899999999999</v>
      </c>
      <c r="H3090" s="4">
        <f t="shared" si="266"/>
        <v>237400.55129999999</v>
      </c>
      <c r="I3090" s="5">
        <v>41093</v>
      </c>
      <c r="J3090" s="4">
        <v>4223.8500000000004</v>
      </c>
      <c r="K3090" s="4">
        <f t="shared" si="267"/>
        <v>42238.5</v>
      </c>
    </row>
    <row r="3091" spans="4:11" x14ac:dyDescent="0.35">
      <c r="D3091" s="1">
        <v>41148</v>
      </c>
      <c r="E3091">
        <v>2.0287000000000002</v>
      </c>
      <c r="F3091" s="1">
        <v>40169</v>
      </c>
      <c r="G3091">
        <v>116.34399999999999</v>
      </c>
      <c r="H3091" s="4">
        <f t="shared" si="266"/>
        <v>236027.07280000002</v>
      </c>
      <c r="I3091" s="5">
        <v>41092</v>
      </c>
      <c r="J3091" s="4">
        <v>4165.4399999999996</v>
      </c>
      <c r="K3091" s="4">
        <f t="shared" si="267"/>
        <v>41654.399999999994</v>
      </c>
    </row>
    <row r="3092" spans="4:11" x14ac:dyDescent="0.35">
      <c r="D3092" s="1">
        <v>41145</v>
      </c>
      <c r="E3092">
        <v>2.0249999999999999</v>
      </c>
      <c r="F3092" s="1">
        <v>40168</v>
      </c>
      <c r="G3092">
        <v>116.89100000000001</v>
      </c>
      <c r="H3092" s="4">
        <f t="shared" si="266"/>
        <v>236704.27499999999</v>
      </c>
      <c r="I3092" s="5">
        <v>41089</v>
      </c>
      <c r="J3092" s="4">
        <v>4212.38</v>
      </c>
      <c r="K3092" s="4">
        <f t="shared" si="267"/>
        <v>42123.8</v>
      </c>
    </row>
    <row r="3093" spans="4:11" x14ac:dyDescent="0.35">
      <c r="D3093" s="1">
        <v>41144</v>
      </c>
      <c r="E3093">
        <v>2.0236000000000001</v>
      </c>
      <c r="F3093" s="1">
        <v>40165</v>
      </c>
      <c r="G3093">
        <v>117.625</v>
      </c>
      <c r="H3093" s="4">
        <f t="shared" si="266"/>
        <v>238025.94999999998</v>
      </c>
      <c r="I3093" s="5">
        <v>41088</v>
      </c>
      <c r="J3093" s="4">
        <v>4328.03</v>
      </c>
      <c r="K3093" s="4">
        <f t="shared" si="267"/>
        <v>43280.299999999996</v>
      </c>
    </row>
    <row r="3094" spans="4:11" x14ac:dyDescent="0.35">
      <c r="D3094" s="1">
        <v>41143</v>
      </c>
      <c r="E3094">
        <v>2.0204</v>
      </c>
      <c r="F3094" s="1">
        <v>40164</v>
      </c>
      <c r="G3094">
        <v>117.85</v>
      </c>
      <c r="H3094" s="4">
        <f t="shared" si="266"/>
        <v>238104.13999999998</v>
      </c>
      <c r="I3094" s="5">
        <v>41087</v>
      </c>
      <c r="J3094" s="4">
        <v>4328.03</v>
      </c>
      <c r="K3094" s="4">
        <f t="shared" si="267"/>
        <v>43280.299999999996</v>
      </c>
    </row>
    <row r="3095" spans="4:11" x14ac:dyDescent="0.35">
      <c r="D3095" s="1">
        <v>41142</v>
      </c>
      <c r="E3095">
        <v>2.0167000000000002</v>
      </c>
      <c r="F3095" s="1">
        <v>40163</v>
      </c>
      <c r="G3095">
        <v>117.14</v>
      </c>
      <c r="H3095" s="4">
        <f t="shared" si="266"/>
        <v>236236.23800000001</v>
      </c>
      <c r="I3095" s="5">
        <v>41086</v>
      </c>
      <c r="J3095" s="4">
        <v>4330.1099999999997</v>
      </c>
      <c r="K3095" s="4">
        <f t="shared" si="267"/>
        <v>43301.1</v>
      </c>
    </row>
    <row r="3096" spans="4:11" x14ac:dyDescent="0.35">
      <c r="D3096" s="1">
        <v>41141</v>
      </c>
      <c r="E3096">
        <v>2.0203000000000002</v>
      </c>
      <c r="F3096" s="1">
        <v>40162</v>
      </c>
      <c r="G3096">
        <v>117.53100000000001</v>
      </c>
      <c r="H3096" s="4">
        <f t="shared" si="266"/>
        <v>237447.87930000003</v>
      </c>
      <c r="I3096" s="5">
        <v>41085</v>
      </c>
      <c r="J3096" s="4">
        <v>4304.0600000000004</v>
      </c>
      <c r="K3096" s="4">
        <f t="shared" si="267"/>
        <v>43040.600000000006</v>
      </c>
    </row>
    <row r="3097" spans="4:11" x14ac:dyDescent="0.35">
      <c r="D3097" s="1">
        <v>41138</v>
      </c>
      <c r="E3097">
        <v>2.0175999999999998</v>
      </c>
      <c r="F3097" s="1">
        <v>40158</v>
      </c>
      <c r="G3097">
        <v>117.688</v>
      </c>
      <c r="H3097" s="4">
        <f t="shared" si="266"/>
        <v>237447.30879999997</v>
      </c>
      <c r="I3097" s="5">
        <v>41082</v>
      </c>
      <c r="J3097" s="4">
        <v>4313.4399999999996</v>
      </c>
      <c r="K3097" s="4">
        <f t="shared" si="267"/>
        <v>43134.399999999994</v>
      </c>
    </row>
    <row r="3098" spans="4:11" x14ac:dyDescent="0.35">
      <c r="D3098" s="1">
        <v>41137</v>
      </c>
      <c r="E3098">
        <v>2.0207999999999999</v>
      </c>
      <c r="F3098" s="1">
        <v>40157</v>
      </c>
      <c r="G3098">
        <v>118.15600000000001</v>
      </c>
      <c r="H3098" s="4">
        <f t="shared" si="266"/>
        <v>238769.64480000001</v>
      </c>
      <c r="I3098" s="5">
        <v>41081</v>
      </c>
      <c r="J3098" s="4">
        <v>4293.6400000000003</v>
      </c>
      <c r="K3098" s="4">
        <f t="shared" si="267"/>
        <v>42936.4</v>
      </c>
    </row>
    <row r="3099" spans="4:11" x14ac:dyDescent="0.35">
      <c r="D3099" s="1">
        <v>41136</v>
      </c>
      <c r="E3099">
        <v>2.0228000000000002</v>
      </c>
      <c r="F3099" s="1">
        <v>40156</v>
      </c>
      <c r="G3099">
        <v>118.65600000000001</v>
      </c>
      <c r="H3099" s="4">
        <f t="shared" si="266"/>
        <v>240017.35680000004</v>
      </c>
      <c r="I3099" s="5">
        <v>41080</v>
      </c>
      <c r="J3099" s="4">
        <v>4230.09</v>
      </c>
      <c r="K3099" s="4">
        <f t="shared" si="267"/>
        <v>42300.9</v>
      </c>
    </row>
    <row r="3100" spans="4:11" x14ac:dyDescent="0.35">
      <c r="D3100" s="1">
        <v>41135</v>
      </c>
      <c r="E3100">
        <v>2.0251999999999999</v>
      </c>
      <c r="F3100" s="1">
        <v>40155</v>
      </c>
      <c r="G3100">
        <v>118.875</v>
      </c>
      <c r="H3100" s="4">
        <f t="shared" si="266"/>
        <v>240745.65</v>
      </c>
      <c r="I3100" s="5">
        <v>41079</v>
      </c>
      <c r="J3100" s="4">
        <v>4240.51</v>
      </c>
      <c r="K3100" s="4">
        <f t="shared" si="267"/>
        <v>42405.100000000006</v>
      </c>
    </row>
    <row r="3101" spans="4:11" x14ac:dyDescent="0.35">
      <c r="D3101" s="1">
        <v>41134</v>
      </c>
      <c r="E3101">
        <v>2.0259999999999998</v>
      </c>
      <c r="F3101" s="1">
        <v>40151</v>
      </c>
      <c r="G3101">
        <v>118.09399999999999</v>
      </c>
      <c r="H3101" s="4">
        <f t="shared" si="266"/>
        <v>239258.44399999996</v>
      </c>
      <c r="I3101" s="5">
        <v>41078</v>
      </c>
      <c r="J3101" s="4">
        <v>4298.8500000000004</v>
      </c>
      <c r="K3101" s="4">
        <f t="shared" si="267"/>
        <v>42988.5</v>
      </c>
    </row>
    <row r="3102" spans="4:11" x14ac:dyDescent="0.35">
      <c r="D3102" s="1">
        <v>41131</v>
      </c>
      <c r="E3102">
        <v>2.0169000000000001</v>
      </c>
      <c r="F3102" s="1">
        <v>40150</v>
      </c>
      <c r="G3102">
        <v>118.65600000000001</v>
      </c>
      <c r="H3102" s="4">
        <f t="shared" si="266"/>
        <v>239317.28640000004</v>
      </c>
      <c r="I3102" s="5">
        <v>41075</v>
      </c>
      <c r="J3102" s="4">
        <v>4286.3500000000004</v>
      </c>
      <c r="K3102" s="4">
        <f t="shared" si="267"/>
        <v>42863.5</v>
      </c>
    </row>
    <row r="3103" spans="4:11" x14ac:dyDescent="0.35">
      <c r="D3103" s="1">
        <v>41130</v>
      </c>
      <c r="E3103">
        <v>2.0177</v>
      </c>
      <c r="F3103" s="1">
        <v>40149</v>
      </c>
      <c r="G3103">
        <v>119.5</v>
      </c>
      <c r="H3103" s="4">
        <f t="shared" si="266"/>
        <v>241115.15</v>
      </c>
      <c r="I3103" s="5">
        <v>41074</v>
      </c>
      <c r="J3103" s="4">
        <v>4296.7700000000004</v>
      </c>
      <c r="K3103" s="4">
        <f t="shared" si="267"/>
        <v>42967.700000000004</v>
      </c>
    </row>
    <row r="3104" spans="4:11" x14ac:dyDescent="0.35">
      <c r="D3104" s="1">
        <v>41129</v>
      </c>
      <c r="E3104">
        <v>2.0266999999999999</v>
      </c>
      <c r="F3104" s="1">
        <v>40148</v>
      </c>
      <c r="G3104">
        <v>119.703</v>
      </c>
      <c r="H3104" s="4">
        <f t="shared" si="266"/>
        <v>242602.07009999998</v>
      </c>
      <c r="I3104" s="5">
        <v>41073</v>
      </c>
      <c r="J3104" s="4">
        <v>4336.3599999999997</v>
      </c>
      <c r="K3104" s="4">
        <f t="shared" si="267"/>
        <v>43363.6</v>
      </c>
    </row>
    <row r="3105" spans="4:11" x14ac:dyDescent="0.35">
      <c r="D3105" s="1">
        <v>41128</v>
      </c>
      <c r="E3105">
        <v>2.0276000000000001</v>
      </c>
      <c r="F3105" s="1">
        <v>40144</v>
      </c>
      <c r="G3105">
        <v>121.297</v>
      </c>
      <c r="H3105" s="4">
        <f t="shared" si="266"/>
        <v>245941.7972</v>
      </c>
      <c r="I3105" s="5">
        <v>41072</v>
      </c>
      <c r="J3105" s="4">
        <v>4325.9399999999996</v>
      </c>
      <c r="K3105" s="4">
        <f t="shared" si="267"/>
        <v>43259.399999999994</v>
      </c>
    </row>
    <row r="3106" spans="4:11" x14ac:dyDescent="0.35">
      <c r="D3106" s="1">
        <v>41127</v>
      </c>
      <c r="E3106">
        <v>2.0272999999999999</v>
      </c>
      <c r="F3106" s="1">
        <v>40142</v>
      </c>
      <c r="G3106">
        <v>120.15600000000001</v>
      </c>
      <c r="H3106" s="4">
        <f t="shared" si="266"/>
        <v>243592.25880000001</v>
      </c>
      <c r="I3106" s="5">
        <v>41071</v>
      </c>
      <c r="J3106" s="4">
        <v>4321.78</v>
      </c>
      <c r="K3106" s="4">
        <f t="shared" si="267"/>
        <v>43217.799999999996</v>
      </c>
    </row>
    <row r="3107" spans="4:11" x14ac:dyDescent="0.35">
      <c r="D3107" s="1">
        <v>41124</v>
      </c>
      <c r="E3107">
        <v>2.0306999999999999</v>
      </c>
      <c r="F3107" s="1">
        <v>40141</v>
      </c>
      <c r="G3107">
        <v>119.96899999999999</v>
      </c>
      <c r="H3107" s="4">
        <f t="shared" si="266"/>
        <v>243621.04829999999</v>
      </c>
      <c r="I3107" s="5">
        <v>41068</v>
      </c>
      <c r="J3107" s="4">
        <v>4230.09</v>
      </c>
      <c r="K3107" s="4">
        <f t="shared" si="267"/>
        <v>42300.9</v>
      </c>
    </row>
    <row r="3108" spans="4:11" x14ac:dyDescent="0.35">
      <c r="D3108" s="1">
        <v>41123</v>
      </c>
      <c r="E3108">
        <v>2.0470000000000002</v>
      </c>
      <c r="F3108" s="1">
        <v>40140</v>
      </c>
      <c r="G3108">
        <v>119.48399999999999</v>
      </c>
      <c r="H3108" s="4">
        <f t="shared" si="266"/>
        <v>244583.74800000002</v>
      </c>
      <c r="I3108" s="5">
        <v>41066</v>
      </c>
      <c r="J3108" s="4">
        <v>4257.18</v>
      </c>
      <c r="K3108" s="4">
        <f t="shared" si="267"/>
        <v>42571.8</v>
      </c>
    </row>
    <row r="3109" spans="4:11" x14ac:dyDescent="0.35">
      <c r="D3109" s="1">
        <v>41122</v>
      </c>
      <c r="E3109">
        <v>2.0426000000000002</v>
      </c>
      <c r="F3109" s="1">
        <v>40133</v>
      </c>
      <c r="G3109">
        <v>119.53100000000001</v>
      </c>
      <c r="H3109" s="4">
        <f t="shared" si="266"/>
        <v>244154.02060000002</v>
      </c>
      <c r="I3109" s="5">
        <v>41065</v>
      </c>
      <c r="J3109" s="4">
        <v>4236.34</v>
      </c>
      <c r="K3109" s="4">
        <f t="shared" si="267"/>
        <v>42363.4</v>
      </c>
    </row>
    <row r="3110" spans="4:11" x14ac:dyDescent="0.35">
      <c r="D3110" s="1">
        <v>41121</v>
      </c>
      <c r="E3110">
        <v>2.0493999999999999</v>
      </c>
      <c r="F3110" s="1">
        <v>40129</v>
      </c>
      <c r="G3110">
        <v>119</v>
      </c>
      <c r="H3110" s="4">
        <f t="shared" si="266"/>
        <v>243878.59999999998</v>
      </c>
      <c r="I3110" s="5">
        <v>41064</v>
      </c>
      <c r="J3110" s="4">
        <v>4312.3999999999996</v>
      </c>
      <c r="K3110" s="4">
        <f t="shared" si="267"/>
        <v>43124</v>
      </c>
    </row>
    <row r="3111" spans="4:11" x14ac:dyDescent="0.35">
      <c r="D3111" s="1">
        <v>41120</v>
      </c>
      <c r="E3111">
        <v>2.0308000000000002</v>
      </c>
      <c r="F3111" s="1">
        <v>40128</v>
      </c>
      <c r="G3111">
        <v>118.98399999999999</v>
      </c>
      <c r="H3111" s="4">
        <f t="shared" si="266"/>
        <v>241632.7072</v>
      </c>
      <c r="I3111" s="5">
        <v>41061</v>
      </c>
      <c r="J3111" s="4">
        <v>4270.72</v>
      </c>
      <c r="K3111" s="4">
        <f t="shared" si="267"/>
        <v>42707.200000000004</v>
      </c>
    </row>
    <row r="3112" spans="4:11" x14ac:dyDescent="0.35">
      <c r="D3112" s="1">
        <v>41117</v>
      </c>
      <c r="E3112">
        <v>2.0167000000000002</v>
      </c>
      <c r="F3112" s="1">
        <v>40127</v>
      </c>
      <c r="G3112">
        <v>118.84399999999999</v>
      </c>
      <c r="H3112" s="4">
        <f t="shared" si="266"/>
        <v>239672.69480000003</v>
      </c>
      <c r="I3112" s="5">
        <v>41060</v>
      </c>
      <c r="J3112" s="4">
        <v>4234.26</v>
      </c>
      <c r="K3112" s="4">
        <f t="shared" si="267"/>
        <v>42342.600000000006</v>
      </c>
    </row>
    <row r="3113" spans="4:11" x14ac:dyDescent="0.35">
      <c r="D3113" s="1">
        <v>41116</v>
      </c>
      <c r="E3113">
        <v>2.0249000000000001</v>
      </c>
      <c r="F3113" s="1">
        <v>40126</v>
      </c>
      <c r="G3113">
        <v>118.625</v>
      </c>
      <c r="H3113" s="4">
        <f t="shared" si="266"/>
        <v>240203.76250000001</v>
      </c>
      <c r="I3113" s="5">
        <v>41059</v>
      </c>
      <c r="J3113" s="4">
        <v>4232.16</v>
      </c>
      <c r="K3113" s="4">
        <f t="shared" si="267"/>
        <v>42321.599999999999</v>
      </c>
    </row>
    <row r="3114" spans="4:11" x14ac:dyDescent="0.35">
      <c r="D3114" s="1">
        <v>41115</v>
      </c>
      <c r="E3114">
        <v>2.0396999999999998</v>
      </c>
      <c r="F3114" s="1">
        <v>40123</v>
      </c>
      <c r="G3114">
        <v>118.187</v>
      </c>
      <c r="H3114" s="4">
        <f t="shared" si="266"/>
        <v>241066.02389999997</v>
      </c>
      <c r="I3114" s="5">
        <v>41058</v>
      </c>
      <c r="J3114" s="4">
        <v>4177.72</v>
      </c>
      <c r="K3114" s="4">
        <f t="shared" si="267"/>
        <v>41777.200000000004</v>
      </c>
    </row>
    <row r="3115" spans="4:11" x14ac:dyDescent="0.35">
      <c r="D3115" s="1">
        <v>41114</v>
      </c>
      <c r="E3115">
        <v>2.0413000000000001</v>
      </c>
      <c r="F3115" s="1">
        <v>40121</v>
      </c>
      <c r="G3115">
        <v>117.75</v>
      </c>
      <c r="H3115" s="4">
        <f t="shared" si="266"/>
        <v>240363.07500000001</v>
      </c>
      <c r="I3115" s="5">
        <v>41057</v>
      </c>
      <c r="J3115" s="4">
        <v>4154.68</v>
      </c>
      <c r="K3115" s="4">
        <f t="shared" si="267"/>
        <v>41546.800000000003</v>
      </c>
    </row>
    <row r="3116" spans="4:11" x14ac:dyDescent="0.35">
      <c r="D3116" s="1">
        <v>41113</v>
      </c>
      <c r="E3116">
        <v>2.0406</v>
      </c>
      <c r="F3116" s="1">
        <v>40120</v>
      </c>
      <c r="G3116">
        <v>118.125</v>
      </c>
      <c r="H3116" s="4">
        <f t="shared" si="266"/>
        <v>241045.875</v>
      </c>
      <c r="I3116" s="5">
        <v>41054</v>
      </c>
      <c r="J3116" s="4">
        <v>4156.7700000000004</v>
      </c>
      <c r="K3116" s="4">
        <f t="shared" si="267"/>
        <v>41567.700000000004</v>
      </c>
    </row>
    <row r="3117" spans="4:11" x14ac:dyDescent="0.35">
      <c r="D3117" s="1">
        <v>41110</v>
      </c>
      <c r="E3117">
        <v>2.0219999999999998</v>
      </c>
      <c r="F3117" s="1">
        <v>40116</v>
      </c>
      <c r="G3117">
        <v>118.48399999999999</v>
      </c>
      <c r="H3117" s="4">
        <f t="shared" si="266"/>
        <v>239574.64799999996</v>
      </c>
      <c r="I3117" s="5">
        <v>41053</v>
      </c>
      <c r="J3117" s="4">
        <v>4255.2</v>
      </c>
      <c r="K3117" s="4">
        <f t="shared" si="267"/>
        <v>42552</v>
      </c>
    </row>
    <row r="3118" spans="4:11" x14ac:dyDescent="0.35">
      <c r="D3118" s="1">
        <v>41109</v>
      </c>
      <c r="E3118">
        <v>2.0232999999999999</v>
      </c>
      <c r="F3118" s="1">
        <v>40115</v>
      </c>
      <c r="G3118">
        <v>117.672</v>
      </c>
      <c r="H3118" s="4">
        <f t="shared" si="266"/>
        <v>238085.75759999995</v>
      </c>
      <c r="I3118" s="5">
        <v>41052</v>
      </c>
      <c r="J3118" s="4">
        <v>4271.95</v>
      </c>
      <c r="K3118" s="4">
        <f t="shared" si="267"/>
        <v>42719.5</v>
      </c>
    </row>
    <row r="3119" spans="4:11" x14ac:dyDescent="0.35">
      <c r="D3119" s="1">
        <v>41108</v>
      </c>
      <c r="E3119">
        <v>2.0253000000000001</v>
      </c>
      <c r="F3119" s="1">
        <v>40114</v>
      </c>
      <c r="G3119">
        <v>118.5</v>
      </c>
      <c r="H3119" s="4">
        <f t="shared" si="266"/>
        <v>239998.05000000002</v>
      </c>
      <c r="I3119" s="5">
        <v>41051</v>
      </c>
      <c r="J3119" s="4">
        <v>4388.17</v>
      </c>
      <c r="K3119" s="4">
        <f t="shared" si="267"/>
        <v>43881.7</v>
      </c>
    </row>
    <row r="3120" spans="4:11" x14ac:dyDescent="0.35">
      <c r="D3120" s="1">
        <v>41107</v>
      </c>
      <c r="E3120">
        <v>2.0343</v>
      </c>
      <c r="F3120" s="1">
        <v>40113</v>
      </c>
      <c r="G3120">
        <v>117.547</v>
      </c>
      <c r="H3120" s="4">
        <f t="shared" si="266"/>
        <v>239125.8621</v>
      </c>
      <c r="I3120" s="5">
        <v>41050</v>
      </c>
      <c r="J3120" s="4">
        <v>4288.7</v>
      </c>
      <c r="K3120" s="4">
        <f t="shared" si="267"/>
        <v>42887</v>
      </c>
    </row>
    <row r="3121" spans="4:11" x14ac:dyDescent="0.35">
      <c r="D3121" s="1">
        <v>41106</v>
      </c>
      <c r="E3121">
        <v>2.0375000000000001</v>
      </c>
      <c r="F3121" s="1">
        <v>40112</v>
      </c>
      <c r="G3121">
        <v>117.21899999999999</v>
      </c>
      <c r="H3121" s="4">
        <f t="shared" si="266"/>
        <v>238833.71249999999</v>
      </c>
      <c r="I3121" s="5">
        <v>41047</v>
      </c>
      <c r="J3121" s="4">
        <v>4242.63</v>
      </c>
      <c r="K3121" s="4">
        <f t="shared" si="267"/>
        <v>42426.3</v>
      </c>
    </row>
    <row r="3122" spans="4:11" x14ac:dyDescent="0.35">
      <c r="D3122" s="1">
        <v>41103</v>
      </c>
      <c r="E3122">
        <v>2.0331999999999999</v>
      </c>
      <c r="F3122" s="1">
        <v>40109</v>
      </c>
      <c r="G3122">
        <v>117.40600000000001</v>
      </c>
      <c r="H3122" s="4">
        <f t="shared" si="266"/>
        <v>238709.8792</v>
      </c>
      <c r="I3122" s="5">
        <v>41046</v>
      </c>
      <c r="J3122" s="4">
        <v>4220.6400000000003</v>
      </c>
      <c r="K3122" s="4">
        <f t="shared" si="267"/>
        <v>42206.400000000001</v>
      </c>
    </row>
    <row r="3123" spans="4:11" x14ac:dyDescent="0.35">
      <c r="D3123" s="1">
        <v>41102</v>
      </c>
      <c r="E3123">
        <v>2.0465</v>
      </c>
      <c r="F3123" s="1">
        <v>40108</v>
      </c>
      <c r="G3123">
        <v>117.922</v>
      </c>
      <c r="H3123" s="4">
        <f t="shared" si="266"/>
        <v>241327.37299999999</v>
      </c>
      <c r="I3123" s="5">
        <v>41045</v>
      </c>
      <c r="J3123" s="4">
        <v>4209.13</v>
      </c>
      <c r="K3123" s="4">
        <f t="shared" si="267"/>
        <v>42091.3</v>
      </c>
    </row>
    <row r="3124" spans="4:11" x14ac:dyDescent="0.35">
      <c r="D3124" s="1">
        <v>41101</v>
      </c>
      <c r="E3124">
        <v>2.0304000000000002</v>
      </c>
      <c r="F3124" s="1">
        <v>40107</v>
      </c>
      <c r="G3124">
        <v>118.25</v>
      </c>
      <c r="H3124" s="4">
        <f t="shared" si="266"/>
        <v>240094.80000000002</v>
      </c>
      <c r="I3124" s="5">
        <v>41044</v>
      </c>
      <c r="J3124" s="4">
        <v>4204.9399999999996</v>
      </c>
      <c r="K3124" s="4">
        <f t="shared" si="267"/>
        <v>42049.399999999994</v>
      </c>
    </row>
    <row r="3125" spans="4:11" x14ac:dyDescent="0.35">
      <c r="D3125" s="1">
        <v>41100</v>
      </c>
      <c r="E3125">
        <v>2.0327000000000002</v>
      </c>
      <c r="F3125" s="1">
        <v>40106</v>
      </c>
      <c r="G3125">
        <v>118.65600000000001</v>
      </c>
      <c r="H3125" s="4">
        <f t="shared" si="266"/>
        <v>241192.05120000005</v>
      </c>
      <c r="I3125" s="5">
        <v>41043</v>
      </c>
      <c r="J3125" s="4">
        <v>4199.7</v>
      </c>
      <c r="K3125" s="4">
        <f t="shared" si="267"/>
        <v>41997</v>
      </c>
    </row>
    <row r="3126" spans="4:11" x14ac:dyDescent="0.35">
      <c r="D3126" s="1">
        <v>41099</v>
      </c>
      <c r="E3126">
        <v>2.0303</v>
      </c>
      <c r="F3126" s="1">
        <v>40101</v>
      </c>
      <c r="G3126">
        <v>117.953</v>
      </c>
      <c r="H3126" s="4">
        <f t="shared" si="266"/>
        <v>239479.97589999999</v>
      </c>
      <c r="I3126" s="5">
        <v>41040</v>
      </c>
      <c r="J3126" s="4">
        <v>4134.79</v>
      </c>
      <c r="K3126" s="4">
        <f t="shared" si="267"/>
        <v>41347.9</v>
      </c>
    </row>
    <row r="3127" spans="4:11" x14ac:dyDescent="0.35">
      <c r="D3127" s="1">
        <v>41096</v>
      </c>
      <c r="E3127">
        <v>2.0352999999999999</v>
      </c>
      <c r="F3127" s="1">
        <v>40100</v>
      </c>
      <c r="G3127">
        <v>118.21899999999999</v>
      </c>
      <c r="H3127" s="4">
        <f t="shared" si="266"/>
        <v>240611.13069999995</v>
      </c>
      <c r="I3127" s="5">
        <v>41039</v>
      </c>
      <c r="J3127" s="4">
        <v>4108.6099999999997</v>
      </c>
      <c r="K3127" s="4">
        <f t="shared" si="267"/>
        <v>41086.1</v>
      </c>
    </row>
    <row r="3128" spans="4:11" x14ac:dyDescent="0.35">
      <c r="D3128" s="1">
        <v>41095</v>
      </c>
      <c r="E3128">
        <v>2.0287000000000002</v>
      </c>
      <c r="F3128" s="1">
        <v>40099</v>
      </c>
      <c r="G3128">
        <v>118.875</v>
      </c>
      <c r="H3128" s="4">
        <f t="shared" si="266"/>
        <v>241161.71250000002</v>
      </c>
      <c r="I3128" s="5">
        <v>41038</v>
      </c>
      <c r="J3128" s="4">
        <v>4147.3500000000004</v>
      </c>
      <c r="K3128" s="4">
        <f t="shared" si="267"/>
        <v>41473.5</v>
      </c>
    </row>
    <row r="3129" spans="4:11" x14ac:dyDescent="0.35">
      <c r="D3129" s="1">
        <v>41094</v>
      </c>
      <c r="E3129">
        <v>2.0194999999999999</v>
      </c>
      <c r="F3129" s="1">
        <v>40095</v>
      </c>
      <c r="G3129">
        <v>118.34399999999999</v>
      </c>
      <c r="H3129" s="4">
        <f t="shared" si="266"/>
        <v>238995.70799999998</v>
      </c>
      <c r="I3129" s="5">
        <v>41037</v>
      </c>
      <c r="J3129" s="4">
        <v>4088.72</v>
      </c>
      <c r="K3129" s="4">
        <f t="shared" si="267"/>
        <v>40887.199999999997</v>
      </c>
    </row>
    <row r="3130" spans="4:11" x14ac:dyDescent="0.35">
      <c r="D3130" s="1">
        <v>41093</v>
      </c>
      <c r="E3130">
        <v>1.9882</v>
      </c>
      <c r="F3130" s="1">
        <v>40094</v>
      </c>
      <c r="G3130">
        <v>119.375</v>
      </c>
      <c r="H3130" s="4">
        <f t="shared" si="266"/>
        <v>237341.375</v>
      </c>
      <c r="I3130" s="5">
        <v>41036</v>
      </c>
      <c r="J3130" s="4">
        <v>4039.51</v>
      </c>
      <c r="K3130" s="4">
        <f t="shared" si="267"/>
        <v>40395.100000000006</v>
      </c>
    </row>
    <row r="3131" spans="4:11" x14ac:dyDescent="0.35">
      <c r="D3131" s="1">
        <v>41092</v>
      </c>
      <c r="E3131">
        <v>1.9886999999999999</v>
      </c>
      <c r="F3131" s="1">
        <v>40093</v>
      </c>
      <c r="G3131">
        <v>119.687</v>
      </c>
      <c r="H3131" s="4">
        <f t="shared" si="266"/>
        <v>238021.53689999998</v>
      </c>
      <c r="I3131" s="5">
        <v>41033</v>
      </c>
      <c r="J3131" s="4">
        <v>4062.54</v>
      </c>
      <c r="K3131" s="4">
        <f t="shared" si="267"/>
        <v>40625.4</v>
      </c>
    </row>
    <row r="3132" spans="4:11" x14ac:dyDescent="0.35">
      <c r="D3132" s="1">
        <v>41089</v>
      </c>
      <c r="E3132">
        <v>2.0207000000000002</v>
      </c>
      <c r="F3132" s="1">
        <v>40092</v>
      </c>
      <c r="G3132">
        <v>119.188</v>
      </c>
      <c r="H3132" s="4">
        <f t="shared" si="266"/>
        <v>240843.19160000002</v>
      </c>
      <c r="I3132" s="5">
        <v>41032</v>
      </c>
      <c r="J3132" s="4">
        <v>4017.52</v>
      </c>
      <c r="K3132" s="4">
        <f t="shared" si="267"/>
        <v>40175.199999999997</v>
      </c>
    </row>
    <row r="3133" spans="4:11" x14ac:dyDescent="0.35">
      <c r="D3133" s="1">
        <v>41088</v>
      </c>
      <c r="E3133">
        <v>2.0897000000000001</v>
      </c>
      <c r="F3133" s="1">
        <v>40091</v>
      </c>
      <c r="G3133">
        <v>119.188</v>
      </c>
      <c r="H3133" s="4">
        <f t="shared" si="266"/>
        <v>249067.16360000003</v>
      </c>
      <c r="I3133" s="5">
        <v>41031</v>
      </c>
      <c r="J3133" s="4">
        <v>4056.26</v>
      </c>
      <c r="K3133" s="4">
        <f t="shared" si="267"/>
        <v>40562.600000000006</v>
      </c>
    </row>
    <row r="3134" spans="4:11" x14ac:dyDescent="0.35">
      <c r="D3134" s="1">
        <v>41087</v>
      </c>
      <c r="E3134">
        <v>2.0758000000000001</v>
      </c>
      <c r="F3134" s="1">
        <v>40088</v>
      </c>
      <c r="G3134">
        <v>119.547</v>
      </c>
      <c r="H3134" s="4">
        <f t="shared" si="266"/>
        <v>248155.66260000001</v>
      </c>
      <c r="I3134" s="5">
        <v>41029</v>
      </c>
      <c r="J3134" s="4">
        <v>4024.85</v>
      </c>
      <c r="K3134" s="4">
        <f t="shared" si="267"/>
        <v>40248.5</v>
      </c>
    </row>
    <row r="3135" spans="4:11" x14ac:dyDescent="0.35">
      <c r="D3135" s="1">
        <v>41086</v>
      </c>
      <c r="E3135">
        <v>2.0737000000000001</v>
      </c>
      <c r="F3135" s="1">
        <v>40087</v>
      </c>
      <c r="G3135">
        <v>119.297</v>
      </c>
      <c r="H3135" s="4">
        <f t="shared" si="266"/>
        <v>247386.18890000001</v>
      </c>
      <c r="I3135" s="5">
        <v>41026</v>
      </c>
      <c r="J3135" s="4">
        <v>4017.4</v>
      </c>
      <c r="K3135" s="4">
        <f t="shared" si="267"/>
        <v>40174</v>
      </c>
    </row>
    <row r="3136" spans="4:11" x14ac:dyDescent="0.35">
      <c r="D3136" s="1">
        <v>41085</v>
      </c>
      <c r="E3136">
        <v>2.0712000000000002</v>
      </c>
      <c r="F3136" s="1">
        <v>40086</v>
      </c>
      <c r="G3136">
        <v>118.188</v>
      </c>
      <c r="H3136" s="4">
        <f t="shared" si="266"/>
        <v>244790.98560000001</v>
      </c>
      <c r="I3136" s="5">
        <v>41025</v>
      </c>
      <c r="J3136" s="4">
        <v>4021.65</v>
      </c>
      <c r="K3136" s="4">
        <f t="shared" si="267"/>
        <v>40216.5</v>
      </c>
    </row>
    <row r="3137" spans="4:11" x14ac:dyDescent="0.35">
      <c r="D3137" s="1">
        <v>41082</v>
      </c>
      <c r="E3137">
        <v>2.0548999999999999</v>
      </c>
      <c r="F3137" s="1">
        <v>40085</v>
      </c>
      <c r="G3137">
        <v>118.25</v>
      </c>
      <c r="H3137" s="4">
        <f t="shared" si="266"/>
        <v>242991.92499999999</v>
      </c>
      <c r="I3137" s="5">
        <v>41024</v>
      </c>
      <c r="J3137" s="4">
        <v>4011.02</v>
      </c>
      <c r="K3137" s="4">
        <f t="shared" si="267"/>
        <v>40110.199999999997</v>
      </c>
    </row>
    <row r="3138" spans="4:11" x14ac:dyDescent="0.35">
      <c r="D3138" s="1">
        <v>41081</v>
      </c>
      <c r="E3138">
        <v>2.0356999999999998</v>
      </c>
      <c r="F3138" s="1">
        <v>40081</v>
      </c>
      <c r="G3138">
        <v>117.98399999999999</v>
      </c>
      <c r="H3138" s="4">
        <f t="shared" si="266"/>
        <v>240180.02879999997</v>
      </c>
      <c r="I3138" s="5">
        <v>41023</v>
      </c>
      <c r="J3138" s="4">
        <v>4002.5</v>
      </c>
      <c r="K3138" s="4">
        <f t="shared" si="267"/>
        <v>40025</v>
      </c>
    </row>
    <row r="3139" spans="4:11" x14ac:dyDescent="0.35">
      <c r="D3139" s="1">
        <v>41080</v>
      </c>
      <c r="E3139">
        <v>2.0287000000000002</v>
      </c>
      <c r="F3139" s="1">
        <v>40080</v>
      </c>
      <c r="G3139">
        <v>117.938</v>
      </c>
      <c r="H3139" s="4">
        <f t="shared" si="266"/>
        <v>239260.82060000001</v>
      </c>
      <c r="I3139" s="5">
        <v>41022</v>
      </c>
      <c r="J3139" s="4">
        <v>4003.57</v>
      </c>
      <c r="K3139" s="4">
        <f t="shared" si="267"/>
        <v>40035.700000000004</v>
      </c>
    </row>
    <row r="3140" spans="4:11" x14ac:dyDescent="0.35">
      <c r="D3140" s="1">
        <v>41079</v>
      </c>
      <c r="E3140">
        <v>2.0432999999999999</v>
      </c>
      <c r="F3140" s="1">
        <v>40079</v>
      </c>
      <c r="G3140">
        <v>117.46899999999999</v>
      </c>
      <c r="H3140" s="4">
        <f t="shared" ref="H3140:H3203" si="268">G3140*E3140*1000</f>
        <v>240024.40769999998</v>
      </c>
      <c r="I3140" s="5">
        <v>41019</v>
      </c>
      <c r="J3140" s="4">
        <v>3987.61</v>
      </c>
      <c r="K3140" s="4">
        <f t="shared" si="267"/>
        <v>39876.1</v>
      </c>
    </row>
    <row r="3141" spans="4:11" x14ac:dyDescent="0.35">
      <c r="D3141" s="1">
        <v>41078</v>
      </c>
      <c r="E3141">
        <v>2.0628000000000002</v>
      </c>
      <c r="F3141" s="1">
        <v>40078</v>
      </c>
      <c r="G3141">
        <v>117.063</v>
      </c>
      <c r="H3141" s="4">
        <f t="shared" si="268"/>
        <v>241477.55640000003</v>
      </c>
      <c r="I3141" s="5">
        <v>41018</v>
      </c>
      <c r="J3141" s="4">
        <v>4008.89</v>
      </c>
      <c r="K3141" s="4">
        <f t="shared" ref="K3141:K3204" si="269">J3141*10</f>
        <v>40088.9</v>
      </c>
    </row>
    <row r="3142" spans="4:11" x14ac:dyDescent="0.35">
      <c r="D3142" s="1">
        <v>41075</v>
      </c>
      <c r="E3142">
        <v>2.0436999999999999</v>
      </c>
      <c r="F3142" s="1">
        <v>40077</v>
      </c>
      <c r="G3142">
        <v>116.812</v>
      </c>
      <c r="H3142" s="4">
        <f t="shared" si="268"/>
        <v>238728.6844</v>
      </c>
      <c r="I3142" s="5">
        <v>41017</v>
      </c>
      <c r="J3142" s="4">
        <v>4008.89</v>
      </c>
      <c r="K3142" s="4">
        <f t="shared" si="269"/>
        <v>40088.9</v>
      </c>
    </row>
    <row r="3143" spans="4:11" x14ac:dyDescent="0.35">
      <c r="D3143" s="1">
        <v>41074</v>
      </c>
      <c r="E3143">
        <v>2.0684999999999998</v>
      </c>
      <c r="F3143" s="1">
        <v>40074</v>
      </c>
      <c r="G3143">
        <v>116.84399999999999</v>
      </c>
      <c r="H3143" s="4">
        <f t="shared" si="268"/>
        <v>241691.81399999995</v>
      </c>
      <c r="I3143" s="5">
        <v>41016</v>
      </c>
      <c r="J3143" s="4">
        <v>3971.65</v>
      </c>
      <c r="K3143" s="4">
        <f t="shared" si="269"/>
        <v>39716.5</v>
      </c>
    </row>
    <row r="3144" spans="4:11" x14ac:dyDescent="0.35">
      <c r="D3144" s="1">
        <v>41073</v>
      </c>
      <c r="E3144">
        <v>2.0596999999999999</v>
      </c>
      <c r="F3144" s="1">
        <v>40073</v>
      </c>
      <c r="G3144">
        <v>117.437</v>
      </c>
      <c r="H3144" s="4">
        <f t="shared" si="268"/>
        <v>241884.98889999997</v>
      </c>
      <c r="I3144" s="5">
        <v>41015</v>
      </c>
      <c r="J3144" s="4">
        <v>3943.99</v>
      </c>
      <c r="K3144" s="4">
        <f t="shared" si="269"/>
        <v>39439.899999999994</v>
      </c>
    </row>
    <row r="3145" spans="4:11" x14ac:dyDescent="0.35">
      <c r="D3145" s="1">
        <v>41072</v>
      </c>
      <c r="E3145">
        <v>2.0558000000000001</v>
      </c>
      <c r="F3145" s="1">
        <v>40072</v>
      </c>
      <c r="G3145">
        <v>116.812</v>
      </c>
      <c r="H3145" s="4">
        <f t="shared" si="268"/>
        <v>240142.1096</v>
      </c>
      <c r="I3145" s="5">
        <v>41012</v>
      </c>
      <c r="J3145" s="4">
        <v>3930.16</v>
      </c>
      <c r="K3145" s="4">
        <f t="shared" si="269"/>
        <v>39301.599999999999</v>
      </c>
    </row>
    <row r="3146" spans="4:11" x14ac:dyDescent="0.35">
      <c r="D3146" s="1">
        <v>41071</v>
      </c>
      <c r="E3146">
        <v>2.0341999999999998</v>
      </c>
      <c r="F3146" s="1">
        <v>40071</v>
      </c>
      <c r="G3146">
        <v>117.25</v>
      </c>
      <c r="H3146" s="4">
        <f t="shared" si="268"/>
        <v>238509.94999999998</v>
      </c>
      <c r="I3146" s="5">
        <v>41011</v>
      </c>
      <c r="J3146" s="4">
        <v>3898.24</v>
      </c>
      <c r="K3146" s="4">
        <f t="shared" si="269"/>
        <v>38982.399999999994</v>
      </c>
    </row>
    <row r="3147" spans="4:11" x14ac:dyDescent="0.35">
      <c r="D3147" s="1">
        <v>41068</v>
      </c>
      <c r="E3147">
        <v>2.0347</v>
      </c>
      <c r="F3147" s="1">
        <v>40070</v>
      </c>
      <c r="G3147">
        <v>117.5</v>
      </c>
      <c r="H3147" s="4">
        <f t="shared" si="268"/>
        <v>239077.25</v>
      </c>
      <c r="I3147" s="5">
        <v>41010</v>
      </c>
      <c r="J3147" s="4">
        <v>3923.77</v>
      </c>
      <c r="K3147" s="4">
        <f t="shared" si="269"/>
        <v>39237.699999999997</v>
      </c>
    </row>
    <row r="3148" spans="4:11" x14ac:dyDescent="0.35">
      <c r="D3148" s="1">
        <v>41066</v>
      </c>
      <c r="E3148">
        <v>2.0175999999999998</v>
      </c>
      <c r="F3148" s="1">
        <v>40067</v>
      </c>
      <c r="G3148">
        <v>118.28100000000001</v>
      </c>
      <c r="H3148" s="4">
        <f t="shared" si="268"/>
        <v>238643.74559999999</v>
      </c>
      <c r="I3148" s="5">
        <v>41009</v>
      </c>
      <c r="J3148" s="4">
        <v>3923.77</v>
      </c>
      <c r="K3148" s="4">
        <f t="shared" si="269"/>
        <v>39237.699999999997</v>
      </c>
    </row>
    <row r="3149" spans="4:11" x14ac:dyDescent="0.35">
      <c r="D3149" s="1">
        <v>41065</v>
      </c>
      <c r="E3149">
        <v>2.0259</v>
      </c>
      <c r="F3149" s="1">
        <v>40066</v>
      </c>
      <c r="G3149">
        <v>117.812</v>
      </c>
      <c r="H3149" s="4">
        <f t="shared" si="268"/>
        <v>238675.33080000003</v>
      </c>
      <c r="I3149" s="5">
        <v>41008</v>
      </c>
      <c r="J3149" s="4">
        <v>3885.47</v>
      </c>
      <c r="K3149" s="4">
        <f t="shared" si="269"/>
        <v>38854.699999999997</v>
      </c>
    </row>
    <row r="3150" spans="4:11" x14ac:dyDescent="0.35">
      <c r="D3150" s="1">
        <v>41064</v>
      </c>
      <c r="E3150">
        <v>2.0404</v>
      </c>
      <c r="F3150" s="1">
        <v>40065</v>
      </c>
      <c r="G3150">
        <v>116.688</v>
      </c>
      <c r="H3150" s="4">
        <f t="shared" si="268"/>
        <v>238090.19520000002</v>
      </c>
      <c r="I3150" s="5">
        <v>41004</v>
      </c>
      <c r="J3150" s="4">
        <v>3896.11</v>
      </c>
      <c r="K3150" s="4">
        <f t="shared" si="269"/>
        <v>38961.1</v>
      </c>
    </row>
    <row r="3151" spans="4:11" x14ac:dyDescent="0.35">
      <c r="D3151" s="1">
        <v>41061</v>
      </c>
      <c r="E3151">
        <v>2.0344000000000002</v>
      </c>
      <c r="F3151" s="1">
        <v>40060</v>
      </c>
      <c r="G3151">
        <v>117.03100000000001</v>
      </c>
      <c r="H3151" s="4">
        <f t="shared" si="268"/>
        <v>238087.86640000003</v>
      </c>
      <c r="I3151" s="5">
        <v>41003</v>
      </c>
      <c r="J3151" s="4">
        <v>3905.69</v>
      </c>
      <c r="K3151" s="4">
        <f t="shared" si="269"/>
        <v>39056.9</v>
      </c>
    </row>
    <row r="3152" spans="4:11" x14ac:dyDescent="0.35">
      <c r="D3152" s="1">
        <v>41060</v>
      </c>
      <c r="E3152">
        <v>2.0217000000000001</v>
      </c>
      <c r="F3152" s="1">
        <v>40059</v>
      </c>
      <c r="G3152">
        <v>117.65600000000001</v>
      </c>
      <c r="H3152" s="4">
        <f t="shared" si="268"/>
        <v>237865.13520000002</v>
      </c>
      <c r="I3152" s="5">
        <v>41002</v>
      </c>
      <c r="J3152" s="4">
        <v>3906.75</v>
      </c>
      <c r="K3152" s="4">
        <f t="shared" si="269"/>
        <v>39067.5</v>
      </c>
    </row>
    <row r="3153" spans="4:11" x14ac:dyDescent="0.35">
      <c r="D3153" s="1">
        <v>41059</v>
      </c>
      <c r="E3153">
        <v>2.0072000000000001</v>
      </c>
      <c r="F3153" s="1">
        <v>40058</v>
      </c>
      <c r="G3153">
        <v>118.047</v>
      </c>
      <c r="H3153" s="4">
        <f t="shared" si="268"/>
        <v>236943.93840000001</v>
      </c>
      <c r="I3153" s="5">
        <v>41001</v>
      </c>
      <c r="J3153" s="4">
        <v>3925.9</v>
      </c>
      <c r="K3153" s="4">
        <f t="shared" si="269"/>
        <v>39259</v>
      </c>
    </row>
    <row r="3154" spans="4:11" x14ac:dyDescent="0.35">
      <c r="D3154" s="1">
        <v>41058</v>
      </c>
      <c r="E3154">
        <v>1.9938</v>
      </c>
      <c r="F3154" s="1">
        <v>40057</v>
      </c>
      <c r="G3154">
        <v>117.65600000000001</v>
      </c>
      <c r="H3154" s="4">
        <f t="shared" si="268"/>
        <v>234582.53280000002</v>
      </c>
      <c r="I3154" s="5">
        <v>40998</v>
      </c>
      <c r="J3154" s="4">
        <v>3915.26</v>
      </c>
      <c r="K3154" s="4">
        <f t="shared" si="269"/>
        <v>39152.600000000006</v>
      </c>
    </row>
    <row r="3155" spans="4:11" x14ac:dyDescent="0.35">
      <c r="D3155" s="1">
        <v>41057</v>
      </c>
      <c r="E3155">
        <v>1.9772000000000001</v>
      </c>
      <c r="F3155" s="1">
        <v>40056</v>
      </c>
      <c r="G3155">
        <v>117.125</v>
      </c>
      <c r="H3155" s="4">
        <f t="shared" si="268"/>
        <v>231579.55000000002</v>
      </c>
      <c r="I3155" s="5">
        <v>40997</v>
      </c>
      <c r="J3155" s="4">
        <v>3913.11</v>
      </c>
      <c r="K3155" s="4">
        <f t="shared" si="269"/>
        <v>39131.1</v>
      </c>
    </row>
    <row r="3156" spans="4:11" x14ac:dyDescent="0.35">
      <c r="D3156" s="1">
        <v>41054</v>
      </c>
      <c r="E3156">
        <v>2.0026000000000002</v>
      </c>
      <c r="F3156" s="1">
        <v>40053</v>
      </c>
      <c r="G3156">
        <v>118.09399999999999</v>
      </c>
      <c r="H3156" s="4">
        <f t="shared" si="268"/>
        <v>236495.04440000001</v>
      </c>
      <c r="I3156" s="5">
        <v>40996</v>
      </c>
      <c r="J3156" s="4">
        <v>3924.93</v>
      </c>
      <c r="K3156" s="4">
        <f t="shared" si="269"/>
        <v>39249.299999999996</v>
      </c>
    </row>
    <row r="3157" spans="4:11" x14ac:dyDescent="0.35">
      <c r="D3157" s="1">
        <v>41053</v>
      </c>
      <c r="E3157">
        <v>2.0377999999999998</v>
      </c>
      <c r="F3157" s="1">
        <v>40052</v>
      </c>
      <c r="G3157">
        <v>117.875</v>
      </c>
      <c r="H3157" s="4">
        <f t="shared" si="268"/>
        <v>240205.67499999999</v>
      </c>
      <c r="I3157" s="5">
        <v>40995</v>
      </c>
      <c r="J3157" s="4">
        <v>3919.56</v>
      </c>
      <c r="K3157" s="4">
        <f t="shared" si="269"/>
        <v>39195.599999999999</v>
      </c>
    </row>
    <row r="3158" spans="4:11" x14ac:dyDescent="0.35">
      <c r="D3158" s="1">
        <v>41052</v>
      </c>
      <c r="E3158">
        <v>2.0809000000000002</v>
      </c>
      <c r="F3158" s="1">
        <v>40049</v>
      </c>
      <c r="G3158">
        <v>117.5</v>
      </c>
      <c r="H3158" s="4">
        <f t="shared" si="268"/>
        <v>244505.75000000003</v>
      </c>
      <c r="I3158" s="5">
        <v>40994</v>
      </c>
      <c r="J3158" s="4">
        <v>3909.89</v>
      </c>
      <c r="K3158" s="4">
        <f t="shared" si="269"/>
        <v>39098.9</v>
      </c>
    </row>
    <row r="3159" spans="4:11" x14ac:dyDescent="0.35">
      <c r="D3159" s="1">
        <v>41051</v>
      </c>
      <c r="E3159">
        <v>2.0487000000000002</v>
      </c>
      <c r="F3159" s="1">
        <v>40046</v>
      </c>
      <c r="G3159">
        <v>117.188</v>
      </c>
      <c r="H3159" s="4">
        <f t="shared" si="268"/>
        <v>240083.05560000002</v>
      </c>
      <c r="I3159" s="5">
        <v>40991</v>
      </c>
      <c r="J3159" s="4">
        <v>3898.07</v>
      </c>
      <c r="K3159" s="4">
        <f t="shared" si="269"/>
        <v>38980.700000000004</v>
      </c>
    </row>
    <row r="3160" spans="4:11" x14ac:dyDescent="0.35">
      <c r="D3160" s="1">
        <v>41050</v>
      </c>
      <c r="E3160">
        <v>2.0367999999999999</v>
      </c>
      <c r="F3160" s="1">
        <v>40045</v>
      </c>
      <c r="G3160">
        <v>118.10899999999999</v>
      </c>
      <c r="H3160" s="4">
        <f t="shared" si="268"/>
        <v>240564.4112</v>
      </c>
      <c r="I3160" s="5">
        <v>40990</v>
      </c>
      <c r="J3160" s="4">
        <v>3922.78</v>
      </c>
      <c r="K3160" s="4">
        <f t="shared" si="269"/>
        <v>39227.800000000003</v>
      </c>
    </row>
    <row r="3161" spans="4:11" x14ac:dyDescent="0.35">
      <c r="D3161" s="1">
        <v>41047</v>
      </c>
      <c r="E3161">
        <v>2.0087999999999999</v>
      </c>
      <c r="F3161" s="1">
        <v>40044</v>
      </c>
      <c r="G3161">
        <v>117.813</v>
      </c>
      <c r="H3161" s="4">
        <f t="shared" si="268"/>
        <v>236662.75439999998</v>
      </c>
      <c r="I3161" s="5">
        <v>40989</v>
      </c>
      <c r="J3161" s="4">
        <v>3918.49</v>
      </c>
      <c r="K3161" s="4">
        <f t="shared" si="269"/>
        <v>39184.899999999994</v>
      </c>
    </row>
    <row r="3162" spans="4:11" x14ac:dyDescent="0.35">
      <c r="D3162" s="1">
        <v>41046</v>
      </c>
      <c r="E3162">
        <v>1.9966999999999999</v>
      </c>
      <c r="F3162" s="1">
        <v>40043</v>
      </c>
      <c r="G3162">
        <v>117.453</v>
      </c>
      <c r="H3162" s="4">
        <f t="shared" si="268"/>
        <v>234518.4051</v>
      </c>
      <c r="I3162" s="5">
        <v>40988</v>
      </c>
      <c r="J3162" s="4">
        <v>3913.11</v>
      </c>
      <c r="K3162" s="4">
        <f t="shared" si="269"/>
        <v>39131.1</v>
      </c>
    </row>
    <row r="3163" spans="4:11" x14ac:dyDescent="0.35">
      <c r="D3163" s="1">
        <v>41045</v>
      </c>
      <c r="E3163">
        <v>1.9967999999999999</v>
      </c>
      <c r="F3163" s="1">
        <v>40042</v>
      </c>
      <c r="G3163">
        <v>117.85899999999999</v>
      </c>
      <c r="H3163" s="4">
        <f t="shared" si="268"/>
        <v>235340.85119999998</v>
      </c>
      <c r="I3163" s="5">
        <v>40987</v>
      </c>
      <c r="J3163" s="4">
        <v>3923.86</v>
      </c>
      <c r="K3163" s="4">
        <f t="shared" si="269"/>
        <v>39238.6</v>
      </c>
    </row>
    <row r="3164" spans="4:11" x14ac:dyDescent="0.35">
      <c r="D3164" s="1">
        <v>41044</v>
      </c>
      <c r="E3164">
        <v>1.9941</v>
      </c>
      <c r="F3164" s="1">
        <v>40039</v>
      </c>
      <c r="G3164">
        <v>117.188</v>
      </c>
      <c r="H3164" s="4">
        <f t="shared" si="268"/>
        <v>233684.59080000001</v>
      </c>
      <c r="I3164" s="5">
        <v>40984</v>
      </c>
      <c r="J3164" s="4">
        <v>3889.48</v>
      </c>
      <c r="K3164" s="4">
        <f t="shared" si="269"/>
        <v>38894.800000000003</v>
      </c>
    </row>
    <row r="3165" spans="4:11" x14ac:dyDescent="0.35">
      <c r="D3165" s="1">
        <v>41043</v>
      </c>
      <c r="E3165">
        <v>1.986</v>
      </c>
      <c r="F3165" s="1">
        <v>40038</v>
      </c>
      <c r="G3165">
        <v>116.875</v>
      </c>
      <c r="H3165" s="4">
        <f t="shared" si="268"/>
        <v>232113.75</v>
      </c>
      <c r="I3165" s="5">
        <v>40983</v>
      </c>
      <c r="J3165" s="4">
        <v>3883.03</v>
      </c>
      <c r="K3165" s="4">
        <f t="shared" si="269"/>
        <v>38830.300000000003</v>
      </c>
    </row>
    <row r="3166" spans="4:11" x14ac:dyDescent="0.35">
      <c r="D3166" s="1">
        <v>41040</v>
      </c>
      <c r="E3166">
        <v>1.9507000000000001</v>
      </c>
      <c r="F3166" s="1">
        <v>40037</v>
      </c>
      <c r="G3166">
        <v>116.297</v>
      </c>
      <c r="H3166" s="4">
        <f t="shared" si="268"/>
        <v>226860.55790000001</v>
      </c>
      <c r="I3166" s="5">
        <v>40982</v>
      </c>
      <c r="J3166" s="4">
        <v>3889.48</v>
      </c>
      <c r="K3166" s="4">
        <f t="shared" si="269"/>
        <v>38894.800000000003</v>
      </c>
    </row>
    <row r="3167" spans="4:11" x14ac:dyDescent="0.35">
      <c r="D3167" s="1">
        <v>41039</v>
      </c>
      <c r="E3167">
        <v>1.9576</v>
      </c>
      <c r="F3167" s="1">
        <v>40031</v>
      </c>
      <c r="G3167">
        <v>115.64100000000001</v>
      </c>
      <c r="H3167" s="4">
        <f t="shared" si="268"/>
        <v>226378.8216</v>
      </c>
      <c r="I3167" s="5">
        <v>40981</v>
      </c>
      <c r="J3167" s="4">
        <v>3874.43</v>
      </c>
      <c r="K3167" s="4">
        <f t="shared" si="269"/>
        <v>38744.299999999996</v>
      </c>
    </row>
    <row r="3168" spans="4:11" x14ac:dyDescent="0.35">
      <c r="D3168" s="1">
        <v>41038</v>
      </c>
      <c r="E3168">
        <v>1.9571000000000001</v>
      </c>
      <c r="F3168" s="1">
        <v>40030</v>
      </c>
      <c r="G3168">
        <v>116.187</v>
      </c>
      <c r="H3168" s="4">
        <f t="shared" si="268"/>
        <v>227389.57769999999</v>
      </c>
      <c r="I3168" s="5">
        <v>40980</v>
      </c>
      <c r="J3168" s="4">
        <v>3885.18</v>
      </c>
      <c r="K3168" s="4">
        <f t="shared" si="269"/>
        <v>38851.799999999996</v>
      </c>
    </row>
    <row r="3169" spans="4:11" x14ac:dyDescent="0.35">
      <c r="D3169" s="1">
        <v>41037</v>
      </c>
      <c r="E3169">
        <v>1.9359999999999999</v>
      </c>
      <c r="F3169" s="1">
        <v>40029</v>
      </c>
      <c r="G3169">
        <v>115.89100000000001</v>
      </c>
      <c r="H3169" s="4">
        <f t="shared" si="268"/>
        <v>224364.97600000002</v>
      </c>
      <c r="I3169" s="5">
        <v>40977</v>
      </c>
      <c r="J3169" s="4">
        <v>3867.99</v>
      </c>
      <c r="K3169" s="4">
        <f t="shared" si="269"/>
        <v>38679.899999999994</v>
      </c>
    </row>
    <row r="3170" spans="4:11" x14ac:dyDescent="0.35">
      <c r="D3170" s="1">
        <v>41036</v>
      </c>
      <c r="E3170">
        <v>1.9261999999999999</v>
      </c>
      <c r="F3170" s="1">
        <v>40025</v>
      </c>
      <c r="G3170">
        <v>117.25</v>
      </c>
      <c r="H3170" s="4">
        <f t="shared" si="268"/>
        <v>225846.94999999998</v>
      </c>
      <c r="I3170" s="5">
        <v>40976</v>
      </c>
      <c r="J3170" s="4">
        <v>3807.82</v>
      </c>
      <c r="K3170" s="4">
        <f t="shared" si="269"/>
        <v>38078.200000000004</v>
      </c>
    </row>
    <row r="3171" spans="4:11" x14ac:dyDescent="0.35">
      <c r="D3171" s="1">
        <v>41033</v>
      </c>
      <c r="E3171">
        <v>1.9204000000000001</v>
      </c>
      <c r="F3171" s="1">
        <v>40021</v>
      </c>
      <c r="G3171">
        <v>116.15600000000001</v>
      </c>
      <c r="H3171" s="4">
        <f t="shared" si="268"/>
        <v>223065.98240000004</v>
      </c>
      <c r="I3171" s="5">
        <v>40975</v>
      </c>
      <c r="J3171" s="4">
        <v>3820.71</v>
      </c>
      <c r="K3171" s="4">
        <f t="shared" si="269"/>
        <v>38207.1</v>
      </c>
    </row>
    <row r="3172" spans="4:11" x14ac:dyDescent="0.35">
      <c r="D3172" s="1">
        <v>41032</v>
      </c>
      <c r="E3172">
        <v>1.9271</v>
      </c>
      <c r="F3172" s="1">
        <v>40017</v>
      </c>
      <c r="G3172">
        <v>116.35899999999999</v>
      </c>
      <c r="H3172" s="4">
        <f t="shared" si="268"/>
        <v>224235.4289</v>
      </c>
      <c r="I3172" s="5">
        <v>40974</v>
      </c>
      <c r="J3172" s="4">
        <v>3803.52</v>
      </c>
      <c r="K3172" s="4">
        <f t="shared" si="269"/>
        <v>38035.199999999997</v>
      </c>
    </row>
    <row r="3173" spans="4:11" x14ac:dyDescent="0.35">
      <c r="D3173" s="1">
        <v>41031</v>
      </c>
      <c r="E3173">
        <v>1.9142999999999999</v>
      </c>
      <c r="F3173" s="1">
        <v>40014</v>
      </c>
      <c r="G3173">
        <v>116.328</v>
      </c>
      <c r="H3173" s="4">
        <f t="shared" si="268"/>
        <v>222686.69039999999</v>
      </c>
      <c r="I3173" s="5">
        <v>40973</v>
      </c>
      <c r="J3173" s="4">
        <v>3766.99</v>
      </c>
      <c r="K3173" s="4">
        <f t="shared" si="269"/>
        <v>37669.899999999994</v>
      </c>
    </row>
    <row r="3174" spans="4:11" x14ac:dyDescent="0.35">
      <c r="D3174" s="1">
        <v>41029</v>
      </c>
      <c r="E3174">
        <v>1.8912</v>
      </c>
      <c r="F3174" s="1">
        <v>40011</v>
      </c>
      <c r="G3174">
        <v>116.438</v>
      </c>
      <c r="H3174" s="4">
        <f t="shared" si="268"/>
        <v>220207.54560000001</v>
      </c>
      <c r="I3174" s="5">
        <v>40970</v>
      </c>
      <c r="J3174" s="4">
        <v>3745.5</v>
      </c>
      <c r="K3174" s="4">
        <f t="shared" si="269"/>
        <v>37455</v>
      </c>
    </row>
    <row r="3175" spans="4:11" x14ac:dyDescent="0.35">
      <c r="D3175" s="1">
        <v>41026</v>
      </c>
      <c r="E3175">
        <v>1.8846000000000001</v>
      </c>
      <c r="F3175" s="1">
        <v>40010</v>
      </c>
      <c r="G3175">
        <v>117.26600000000001</v>
      </c>
      <c r="H3175" s="4">
        <f t="shared" si="268"/>
        <v>220999.50360000003</v>
      </c>
      <c r="I3175" s="5">
        <v>40969</v>
      </c>
      <c r="J3175" s="4">
        <v>3710.04</v>
      </c>
      <c r="K3175" s="4">
        <f t="shared" si="269"/>
        <v>37100.400000000001</v>
      </c>
    </row>
    <row r="3176" spans="4:11" x14ac:dyDescent="0.35">
      <c r="D3176" s="1">
        <v>41025</v>
      </c>
      <c r="E3176">
        <v>1.8864000000000001</v>
      </c>
      <c r="F3176" s="1">
        <v>40009</v>
      </c>
      <c r="G3176">
        <v>116.703</v>
      </c>
      <c r="H3176" s="4">
        <f t="shared" si="268"/>
        <v>220148.53920000003</v>
      </c>
      <c r="I3176" s="5">
        <v>40968</v>
      </c>
      <c r="J3176" s="4">
        <v>3721.86</v>
      </c>
      <c r="K3176" s="4">
        <f t="shared" si="269"/>
        <v>37218.6</v>
      </c>
    </row>
    <row r="3177" spans="4:11" x14ac:dyDescent="0.35">
      <c r="D3177" s="1">
        <v>41024</v>
      </c>
      <c r="E3177">
        <v>1.8801000000000001</v>
      </c>
      <c r="F3177" s="1">
        <v>40008</v>
      </c>
      <c r="G3177">
        <v>117.53100000000001</v>
      </c>
      <c r="H3177" s="4">
        <f t="shared" si="268"/>
        <v>220970.03310000003</v>
      </c>
      <c r="I3177" s="5">
        <v>40967</v>
      </c>
      <c r="J3177" s="4">
        <v>3695.73</v>
      </c>
      <c r="K3177" s="4">
        <f t="shared" si="269"/>
        <v>36957.300000000003</v>
      </c>
    </row>
    <row r="3178" spans="4:11" x14ac:dyDescent="0.35">
      <c r="D3178" s="1">
        <v>41023</v>
      </c>
      <c r="E3178">
        <v>1.8774</v>
      </c>
      <c r="F3178" s="1">
        <v>40007</v>
      </c>
      <c r="G3178">
        <v>118.453</v>
      </c>
      <c r="H3178" s="4">
        <f t="shared" si="268"/>
        <v>222383.66219999999</v>
      </c>
      <c r="I3178" s="5">
        <v>40966</v>
      </c>
      <c r="J3178" s="4">
        <v>3718.6</v>
      </c>
      <c r="K3178" s="4">
        <f t="shared" si="269"/>
        <v>37186</v>
      </c>
    </row>
    <row r="3179" spans="4:11" x14ac:dyDescent="0.35">
      <c r="D3179" s="1">
        <v>41022</v>
      </c>
      <c r="E3179">
        <v>1.8857999999999999</v>
      </c>
      <c r="F3179" s="1">
        <v>40004</v>
      </c>
      <c r="G3179">
        <v>118.39100000000001</v>
      </c>
      <c r="H3179" s="4">
        <f t="shared" si="268"/>
        <v>223261.74779999998</v>
      </c>
      <c r="I3179" s="5">
        <v>40963</v>
      </c>
      <c r="J3179" s="4">
        <v>3726.22</v>
      </c>
      <c r="K3179" s="4">
        <f t="shared" si="269"/>
        <v>37262.199999999997</v>
      </c>
    </row>
    <row r="3180" spans="4:11" x14ac:dyDescent="0.35">
      <c r="D3180" s="1">
        <v>41019</v>
      </c>
      <c r="E3180">
        <v>1.8779999999999999</v>
      </c>
      <c r="F3180" s="1">
        <v>40002</v>
      </c>
      <c r="G3180">
        <v>118.40600000000001</v>
      </c>
      <c r="H3180" s="4">
        <f t="shared" si="268"/>
        <v>222366.46799999999</v>
      </c>
      <c r="I3180" s="5">
        <v>40962</v>
      </c>
      <c r="J3180" s="4">
        <v>3739.29</v>
      </c>
      <c r="K3180" s="4">
        <f t="shared" si="269"/>
        <v>37392.9</v>
      </c>
    </row>
    <row r="3181" spans="4:11" x14ac:dyDescent="0.35">
      <c r="D3181" s="1">
        <v>41018</v>
      </c>
      <c r="E3181">
        <v>1.8861000000000001</v>
      </c>
      <c r="F3181" s="1">
        <v>40000</v>
      </c>
      <c r="G3181">
        <v>116.78100000000001</v>
      </c>
      <c r="H3181" s="4">
        <f t="shared" si="268"/>
        <v>220260.64410000003</v>
      </c>
      <c r="I3181" s="5">
        <v>40961</v>
      </c>
      <c r="J3181" s="4">
        <v>3721.86</v>
      </c>
      <c r="K3181" s="4">
        <f t="shared" si="269"/>
        <v>37218.6</v>
      </c>
    </row>
    <row r="3182" spans="4:11" x14ac:dyDescent="0.35">
      <c r="D3182" s="1">
        <v>41017</v>
      </c>
      <c r="E3182">
        <v>1.8688</v>
      </c>
      <c r="F3182" s="1">
        <v>39995</v>
      </c>
      <c r="G3182">
        <v>115.813</v>
      </c>
      <c r="H3182" s="4">
        <f t="shared" si="268"/>
        <v>216431.33439999999</v>
      </c>
      <c r="I3182" s="5">
        <v>40956</v>
      </c>
      <c r="J3182" s="4">
        <v>3743.64</v>
      </c>
      <c r="K3182" s="4">
        <f t="shared" si="269"/>
        <v>37436.400000000001</v>
      </c>
    </row>
    <row r="3183" spans="4:11" x14ac:dyDescent="0.35">
      <c r="D3183" s="1">
        <v>41016</v>
      </c>
      <c r="E3183">
        <v>1.8447</v>
      </c>
      <c r="F3183" s="1">
        <v>39993</v>
      </c>
      <c r="G3183">
        <v>116.625</v>
      </c>
      <c r="H3183" s="4">
        <f t="shared" si="268"/>
        <v>215138.13750000001</v>
      </c>
      <c r="I3183" s="5">
        <v>40955</v>
      </c>
      <c r="J3183" s="4">
        <v>3749.09</v>
      </c>
      <c r="K3183" s="4">
        <f t="shared" si="269"/>
        <v>37490.9</v>
      </c>
    </row>
    <row r="3184" spans="4:11" x14ac:dyDescent="0.35">
      <c r="D3184" s="1">
        <v>41015</v>
      </c>
      <c r="E3184">
        <v>1.8367</v>
      </c>
      <c r="F3184" s="1">
        <v>39990</v>
      </c>
      <c r="G3184">
        <v>116.265</v>
      </c>
      <c r="H3184" s="4">
        <f t="shared" si="268"/>
        <v>213543.92550000001</v>
      </c>
      <c r="I3184" s="5">
        <v>40954</v>
      </c>
      <c r="J3184" s="4">
        <v>3774.13</v>
      </c>
      <c r="K3184" s="4">
        <f t="shared" si="269"/>
        <v>37741.300000000003</v>
      </c>
    </row>
    <row r="3185" spans="4:11" x14ac:dyDescent="0.35">
      <c r="D3185" s="1">
        <v>41012</v>
      </c>
      <c r="E3185">
        <v>1.8358000000000001</v>
      </c>
      <c r="F3185" s="1">
        <v>39989</v>
      </c>
      <c r="G3185">
        <v>116.843</v>
      </c>
      <c r="H3185" s="4">
        <f t="shared" si="268"/>
        <v>214500.37940000001</v>
      </c>
      <c r="I3185" s="5">
        <v>40953</v>
      </c>
      <c r="J3185" s="4">
        <v>3778.49</v>
      </c>
      <c r="K3185" s="4">
        <f t="shared" si="269"/>
        <v>37784.899999999994</v>
      </c>
    </row>
    <row r="3186" spans="4:11" x14ac:dyDescent="0.35">
      <c r="D3186" s="1">
        <v>41011</v>
      </c>
      <c r="E3186">
        <v>1.8264</v>
      </c>
      <c r="F3186" s="1">
        <v>39988</v>
      </c>
      <c r="G3186">
        <v>115.938</v>
      </c>
      <c r="H3186" s="4">
        <f t="shared" si="268"/>
        <v>211749.16320000001</v>
      </c>
      <c r="I3186" s="5">
        <v>40952</v>
      </c>
      <c r="J3186" s="4">
        <v>3755.62</v>
      </c>
      <c r="K3186" s="4">
        <f t="shared" si="269"/>
        <v>37556.199999999997</v>
      </c>
    </row>
    <row r="3187" spans="4:11" x14ac:dyDescent="0.35">
      <c r="D3187" s="1">
        <v>41010</v>
      </c>
      <c r="E3187">
        <v>1.8297000000000001</v>
      </c>
      <c r="F3187" s="1">
        <v>39987</v>
      </c>
      <c r="G3187">
        <v>115.53100000000001</v>
      </c>
      <c r="H3187" s="4">
        <f t="shared" si="268"/>
        <v>211387.07070000001</v>
      </c>
      <c r="I3187" s="5">
        <v>40949</v>
      </c>
      <c r="J3187" s="4">
        <v>3766.51</v>
      </c>
      <c r="K3187" s="4">
        <f t="shared" si="269"/>
        <v>37665.100000000006</v>
      </c>
    </row>
    <row r="3188" spans="4:11" x14ac:dyDescent="0.35">
      <c r="D3188" s="1">
        <v>41009</v>
      </c>
      <c r="E3188">
        <v>1.8310999999999999</v>
      </c>
      <c r="F3188" s="1">
        <v>39986</v>
      </c>
      <c r="G3188">
        <v>115.125</v>
      </c>
      <c r="H3188" s="4">
        <f t="shared" si="268"/>
        <v>210805.38749999998</v>
      </c>
      <c r="I3188" s="5">
        <v>40948</v>
      </c>
      <c r="J3188" s="4">
        <v>3756.71</v>
      </c>
      <c r="K3188" s="4">
        <f t="shared" si="269"/>
        <v>37567.1</v>
      </c>
    </row>
    <row r="3189" spans="4:11" x14ac:dyDescent="0.35">
      <c r="D3189" s="1">
        <v>41008</v>
      </c>
      <c r="E3189">
        <v>1.8253999999999999</v>
      </c>
      <c r="F3189" s="1">
        <v>39983</v>
      </c>
      <c r="G3189">
        <v>114.297</v>
      </c>
      <c r="H3189" s="4">
        <f t="shared" si="268"/>
        <v>208637.74379999997</v>
      </c>
      <c r="I3189" s="5">
        <v>40947</v>
      </c>
      <c r="J3189" s="4">
        <v>3767.6</v>
      </c>
      <c r="K3189" s="4">
        <f t="shared" si="269"/>
        <v>37676</v>
      </c>
    </row>
    <row r="3190" spans="4:11" x14ac:dyDescent="0.35">
      <c r="D3190" s="1">
        <v>41004</v>
      </c>
      <c r="E3190">
        <v>1.8294999999999999</v>
      </c>
      <c r="F3190" s="1">
        <v>39982</v>
      </c>
      <c r="G3190">
        <v>113.922</v>
      </c>
      <c r="H3190" s="4">
        <f t="shared" si="268"/>
        <v>208420.29899999997</v>
      </c>
      <c r="I3190" s="5">
        <v>40946</v>
      </c>
      <c r="J3190" s="4">
        <v>3779.57</v>
      </c>
      <c r="K3190" s="4">
        <f t="shared" si="269"/>
        <v>37795.700000000004</v>
      </c>
    </row>
    <row r="3191" spans="4:11" x14ac:dyDescent="0.35">
      <c r="D3191" s="1">
        <v>41003</v>
      </c>
      <c r="E3191">
        <v>1.831</v>
      </c>
      <c r="F3191" s="1">
        <v>39981</v>
      </c>
      <c r="G3191">
        <v>115.39100000000001</v>
      </c>
      <c r="H3191" s="4">
        <f t="shared" si="268"/>
        <v>211280.921</v>
      </c>
      <c r="I3191" s="5">
        <v>40945</v>
      </c>
      <c r="J3191" s="4">
        <v>3780.66</v>
      </c>
      <c r="K3191" s="4">
        <f t="shared" si="269"/>
        <v>37806.6</v>
      </c>
    </row>
    <row r="3192" spans="4:11" x14ac:dyDescent="0.35">
      <c r="D3192" s="1">
        <v>41002</v>
      </c>
      <c r="E3192">
        <v>1.825</v>
      </c>
      <c r="F3192" s="1">
        <v>39980</v>
      </c>
      <c r="G3192">
        <v>114.938</v>
      </c>
      <c r="H3192" s="4">
        <f t="shared" si="268"/>
        <v>209761.85</v>
      </c>
      <c r="I3192" s="5">
        <v>40942</v>
      </c>
      <c r="J3192" s="4">
        <v>3763.24</v>
      </c>
      <c r="K3192" s="4">
        <f t="shared" si="269"/>
        <v>37632.399999999994</v>
      </c>
    </row>
    <row r="3193" spans="4:11" x14ac:dyDescent="0.35">
      <c r="D3193" s="1">
        <v>41001</v>
      </c>
      <c r="E3193">
        <v>1.8308</v>
      </c>
      <c r="F3193" s="1">
        <v>39979</v>
      </c>
      <c r="G3193">
        <v>114.40600000000001</v>
      </c>
      <c r="H3193" s="4">
        <f t="shared" si="268"/>
        <v>209454.5048</v>
      </c>
      <c r="I3193" s="5">
        <v>40941</v>
      </c>
      <c r="J3193" s="4">
        <v>3770.86</v>
      </c>
      <c r="K3193" s="4">
        <f t="shared" si="269"/>
        <v>37708.6</v>
      </c>
    </row>
    <row r="3194" spans="4:11" x14ac:dyDescent="0.35">
      <c r="D3194" s="1">
        <v>40998</v>
      </c>
      <c r="E3194">
        <v>1.8214999999999999</v>
      </c>
      <c r="F3194" s="1">
        <v>39976</v>
      </c>
      <c r="G3194">
        <v>114.26600000000001</v>
      </c>
      <c r="H3194" s="4">
        <f t="shared" si="268"/>
        <v>208135.519</v>
      </c>
      <c r="I3194" s="5">
        <v>40940</v>
      </c>
      <c r="J3194" s="4">
        <v>3804.62</v>
      </c>
      <c r="K3194" s="4">
        <f t="shared" si="269"/>
        <v>38046.199999999997</v>
      </c>
    </row>
    <row r="3195" spans="4:11" x14ac:dyDescent="0.35">
      <c r="D3195" s="1">
        <v>40997</v>
      </c>
      <c r="E3195">
        <v>1.8327</v>
      </c>
      <c r="F3195" s="1">
        <v>39974</v>
      </c>
      <c r="G3195">
        <v>112.90600000000001</v>
      </c>
      <c r="H3195" s="4">
        <f t="shared" si="268"/>
        <v>206922.82620000001</v>
      </c>
      <c r="I3195" s="5">
        <v>40939</v>
      </c>
      <c r="J3195" s="4">
        <v>3835.11</v>
      </c>
      <c r="K3195" s="4">
        <f t="shared" si="269"/>
        <v>38351.1</v>
      </c>
    </row>
    <row r="3196" spans="4:11" x14ac:dyDescent="0.35">
      <c r="D3196" s="1">
        <v>40996</v>
      </c>
      <c r="E3196">
        <v>1.8217000000000001</v>
      </c>
      <c r="F3196" s="1">
        <v>39972</v>
      </c>
      <c r="G3196">
        <v>114.229</v>
      </c>
      <c r="H3196" s="4">
        <f t="shared" si="268"/>
        <v>208090.96930000003</v>
      </c>
      <c r="I3196" s="5">
        <v>40938</v>
      </c>
      <c r="J3196" s="4">
        <v>3859.37</v>
      </c>
      <c r="K3196" s="4">
        <f t="shared" si="269"/>
        <v>38593.699999999997</v>
      </c>
    </row>
    <row r="3197" spans="4:11" x14ac:dyDescent="0.35">
      <c r="D3197" s="1">
        <v>40995</v>
      </c>
      <c r="E3197">
        <v>1.8129</v>
      </c>
      <c r="F3197" s="1">
        <v>39969</v>
      </c>
      <c r="G3197">
        <v>113.578</v>
      </c>
      <c r="H3197" s="4">
        <f t="shared" si="268"/>
        <v>205905.55620000002</v>
      </c>
      <c r="I3197" s="5">
        <v>40935</v>
      </c>
      <c r="J3197" s="4">
        <v>3835.11</v>
      </c>
      <c r="K3197" s="4">
        <f t="shared" si="269"/>
        <v>38351.1</v>
      </c>
    </row>
    <row r="3198" spans="4:11" x14ac:dyDescent="0.35">
      <c r="D3198" s="1">
        <v>40994</v>
      </c>
      <c r="E3198">
        <v>1.8137000000000001</v>
      </c>
      <c r="F3198" s="1">
        <v>39968</v>
      </c>
      <c r="G3198">
        <v>116.09399999999999</v>
      </c>
      <c r="H3198" s="4">
        <f t="shared" si="268"/>
        <v>210559.68780000001</v>
      </c>
      <c r="I3198" s="5">
        <v>40934</v>
      </c>
      <c r="J3198" s="4">
        <v>3859.37</v>
      </c>
      <c r="K3198" s="4">
        <f t="shared" si="269"/>
        <v>38593.699999999997</v>
      </c>
    </row>
    <row r="3199" spans="4:11" x14ac:dyDescent="0.35">
      <c r="D3199" s="1">
        <v>40991</v>
      </c>
      <c r="E3199">
        <v>1.8188</v>
      </c>
      <c r="F3199" s="1">
        <v>39967</v>
      </c>
      <c r="G3199">
        <v>116.015</v>
      </c>
      <c r="H3199" s="4">
        <f t="shared" si="268"/>
        <v>211008.08199999999</v>
      </c>
      <c r="I3199" s="5">
        <v>40932</v>
      </c>
      <c r="J3199" s="4">
        <v>3886.93</v>
      </c>
      <c r="K3199" s="4">
        <f t="shared" si="269"/>
        <v>38869.299999999996</v>
      </c>
    </row>
    <row r="3200" spans="4:11" x14ac:dyDescent="0.35">
      <c r="D3200" s="1">
        <v>40990</v>
      </c>
      <c r="E3200">
        <v>1.8244</v>
      </c>
      <c r="F3200" s="1">
        <v>39965</v>
      </c>
      <c r="G3200">
        <v>115.98399999999999</v>
      </c>
      <c r="H3200" s="4">
        <f t="shared" si="268"/>
        <v>211601.2096</v>
      </c>
      <c r="I3200" s="5">
        <v>40931</v>
      </c>
      <c r="J3200" s="4">
        <v>3879.22</v>
      </c>
      <c r="K3200" s="4">
        <f t="shared" si="269"/>
        <v>38792.199999999997</v>
      </c>
    </row>
    <row r="3201" spans="4:11" x14ac:dyDescent="0.35">
      <c r="D3201" s="1">
        <v>40989</v>
      </c>
      <c r="E3201">
        <v>1.8261000000000001</v>
      </c>
      <c r="F3201" s="1">
        <v>39962</v>
      </c>
      <c r="G3201">
        <v>116.84399999999999</v>
      </c>
      <c r="H3201" s="4">
        <f t="shared" si="268"/>
        <v>213368.8284</v>
      </c>
      <c r="I3201" s="5">
        <v>40928</v>
      </c>
      <c r="J3201" s="4">
        <v>3882.52</v>
      </c>
      <c r="K3201" s="4">
        <f t="shared" si="269"/>
        <v>38825.199999999997</v>
      </c>
    </row>
    <row r="3202" spans="4:11" x14ac:dyDescent="0.35">
      <c r="D3202" s="1">
        <v>40988</v>
      </c>
      <c r="E3202">
        <v>1.8252999999999999</v>
      </c>
      <c r="F3202" s="1">
        <v>39961</v>
      </c>
      <c r="G3202">
        <v>117.688</v>
      </c>
      <c r="H3202" s="4">
        <f t="shared" si="268"/>
        <v>214815.90639999998</v>
      </c>
      <c r="I3202" s="5">
        <v>40927</v>
      </c>
      <c r="J3202" s="4">
        <v>3906.78</v>
      </c>
      <c r="K3202" s="4">
        <f t="shared" si="269"/>
        <v>39067.800000000003</v>
      </c>
    </row>
    <row r="3203" spans="4:11" x14ac:dyDescent="0.35">
      <c r="D3203" s="1">
        <v>40987</v>
      </c>
      <c r="E3203">
        <v>1.8084</v>
      </c>
      <c r="F3203" s="1">
        <v>39960</v>
      </c>
      <c r="G3203">
        <v>117.59399999999999</v>
      </c>
      <c r="H3203" s="4">
        <f t="shared" si="268"/>
        <v>212656.9896</v>
      </c>
      <c r="I3203" s="5">
        <v>40926</v>
      </c>
      <c r="J3203" s="4">
        <v>3908.99</v>
      </c>
      <c r="K3203" s="4">
        <f t="shared" si="269"/>
        <v>39089.899999999994</v>
      </c>
    </row>
    <row r="3204" spans="4:11" x14ac:dyDescent="0.35">
      <c r="D3204" s="1">
        <v>40984</v>
      </c>
      <c r="E3204">
        <v>1.8011999999999999</v>
      </c>
      <c r="F3204" s="1">
        <v>39959</v>
      </c>
      <c r="G3204">
        <v>119.03100000000001</v>
      </c>
      <c r="H3204" s="4">
        <f t="shared" ref="H3204:H3267" si="270">G3204*E3204*1000</f>
        <v>214398.6372</v>
      </c>
      <c r="I3204" s="5">
        <v>40925</v>
      </c>
      <c r="J3204" s="4">
        <v>3958.61</v>
      </c>
      <c r="K3204" s="4">
        <f t="shared" si="269"/>
        <v>39586.1</v>
      </c>
    </row>
    <row r="3205" spans="4:11" x14ac:dyDescent="0.35">
      <c r="D3205" s="1">
        <v>40983</v>
      </c>
      <c r="E3205">
        <v>1.8</v>
      </c>
      <c r="F3205" s="1">
        <v>39958</v>
      </c>
      <c r="G3205">
        <v>119.453</v>
      </c>
      <c r="H3205" s="4">
        <f t="shared" si="270"/>
        <v>215015.4</v>
      </c>
      <c r="I3205" s="5">
        <v>40924</v>
      </c>
      <c r="J3205" s="4">
        <v>3958.61</v>
      </c>
      <c r="K3205" s="4">
        <f t="shared" ref="K3205:K3268" si="271">J3205*10</f>
        <v>39586.1</v>
      </c>
    </row>
    <row r="3206" spans="4:11" x14ac:dyDescent="0.35">
      <c r="D3206" s="1">
        <v>40982</v>
      </c>
      <c r="E3206">
        <v>1.8140000000000001</v>
      </c>
      <c r="F3206" s="1">
        <v>39955</v>
      </c>
      <c r="G3206">
        <v>120.078</v>
      </c>
      <c r="H3206" s="4">
        <f t="shared" si="270"/>
        <v>217821.492</v>
      </c>
      <c r="I3206" s="5">
        <v>40921</v>
      </c>
      <c r="J3206" s="4">
        <v>3959.71</v>
      </c>
      <c r="K3206" s="4">
        <f t="shared" si="271"/>
        <v>39597.1</v>
      </c>
    </row>
    <row r="3207" spans="4:11" x14ac:dyDescent="0.35">
      <c r="D3207" s="1">
        <v>40981</v>
      </c>
      <c r="E3207">
        <v>1.8096000000000001</v>
      </c>
      <c r="F3207" s="1">
        <v>39954</v>
      </c>
      <c r="G3207">
        <v>119.938</v>
      </c>
      <c r="H3207" s="4">
        <f t="shared" si="270"/>
        <v>217039.80480000001</v>
      </c>
      <c r="I3207" s="5">
        <v>40920</v>
      </c>
      <c r="J3207" s="4">
        <v>3945.38</v>
      </c>
      <c r="K3207" s="4">
        <f t="shared" si="271"/>
        <v>39453.800000000003</v>
      </c>
    </row>
    <row r="3208" spans="4:11" x14ac:dyDescent="0.35">
      <c r="D3208" s="1">
        <v>40980</v>
      </c>
      <c r="E3208">
        <v>1.8150999999999999</v>
      </c>
      <c r="F3208" s="1">
        <v>39953</v>
      </c>
      <c r="G3208">
        <v>120.517</v>
      </c>
      <c r="H3208" s="4">
        <f t="shared" si="270"/>
        <v>218750.40669999999</v>
      </c>
      <c r="I3208" s="5">
        <v>40919</v>
      </c>
      <c r="J3208" s="4">
        <v>3996.1</v>
      </c>
      <c r="K3208" s="4">
        <f t="shared" si="271"/>
        <v>39961</v>
      </c>
    </row>
    <row r="3209" spans="4:11" x14ac:dyDescent="0.35">
      <c r="D3209" s="1">
        <v>40977</v>
      </c>
      <c r="E3209">
        <v>1.7761</v>
      </c>
      <c r="F3209" s="1">
        <v>39952</v>
      </c>
      <c r="G3209">
        <v>120.828</v>
      </c>
      <c r="H3209" s="4">
        <f t="shared" si="270"/>
        <v>214602.61079999999</v>
      </c>
      <c r="I3209" s="5">
        <v>40918</v>
      </c>
      <c r="J3209" s="4">
        <v>3989.48</v>
      </c>
      <c r="K3209" s="4">
        <f t="shared" si="271"/>
        <v>39894.800000000003</v>
      </c>
    </row>
    <row r="3210" spans="4:11" x14ac:dyDescent="0.35">
      <c r="D3210" s="1">
        <v>40976</v>
      </c>
      <c r="E3210">
        <v>1.7690999999999999</v>
      </c>
      <c r="F3210" s="1">
        <v>39948</v>
      </c>
      <c r="G3210">
        <v>121.937</v>
      </c>
      <c r="H3210" s="4">
        <f t="shared" si="270"/>
        <v>215718.74669999999</v>
      </c>
      <c r="I3210" s="5">
        <v>40917</v>
      </c>
      <c r="J3210" s="4">
        <v>4068.88</v>
      </c>
      <c r="K3210" s="4">
        <f t="shared" si="271"/>
        <v>40688.800000000003</v>
      </c>
    </row>
    <row r="3211" spans="4:11" x14ac:dyDescent="0.35">
      <c r="D3211" s="1">
        <v>40975</v>
      </c>
      <c r="E3211">
        <v>1.7685</v>
      </c>
      <c r="F3211" s="1">
        <v>39946</v>
      </c>
      <c r="G3211">
        <v>121.375</v>
      </c>
      <c r="H3211" s="4">
        <f t="shared" si="270"/>
        <v>214651.6875</v>
      </c>
      <c r="I3211" s="5">
        <v>40914</v>
      </c>
      <c r="J3211" s="4">
        <v>4119.6000000000004</v>
      </c>
      <c r="K3211" s="4">
        <f t="shared" si="271"/>
        <v>41196</v>
      </c>
    </row>
    <row r="3212" spans="4:11" x14ac:dyDescent="0.35">
      <c r="D3212" s="1">
        <v>40974</v>
      </c>
      <c r="E3212">
        <v>1.7549999999999999</v>
      </c>
      <c r="F3212" s="1">
        <v>39945</v>
      </c>
      <c r="G3212">
        <v>121.03100000000001</v>
      </c>
      <c r="H3212" s="4">
        <f t="shared" si="270"/>
        <v>212409.405</v>
      </c>
      <c r="I3212" s="5">
        <v>40913</v>
      </c>
      <c r="J3212" s="4">
        <v>4071.08</v>
      </c>
      <c r="K3212" s="4">
        <f t="shared" si="271"/>
        <v>40710.800000000003</v>
      </c>
    </row>
    <row r="3213" spans="4:11" x14ac:dyDescent="0.35">
      <c r="D3213" s="1">
        <v>40973</v>
      </c>
      <c r="E3213">
        <v>1.7307999999999999</v>
      </c>
      <c r="F3213" s="1">
        <v>39944</v>
      </c>
      <c r="G3213">
        <v>119.843</v>
      </c>
      <c r="H3213" s="4">
        <f t="shared" si="270"/>
        <v>207424.26439999999</v>
      </c>
      <c r="I3213" s="5">
        <v>40912</v>
      </c>
      <c r="J3213" s="4">
        <v>4069.98</v>
      </c>
      <c r="K3213" s="4">
        <f t="shared" si="271"/>
        <v>40699.800000000003</v>
      </c>
    </row>
    <row r="3214" spans="4:11" x14ac:dyDescent="0.35">
      <c r="D3214" s="1">
        <v>40970</v>
      </c>
      <c r="E3214">
        <v>1.7239</v>
      </c>
      <c r="F3214" s="1">
        <v>39941</v>
      </c>
      <c r="G3214">
        <v>120.265</v>
      </c>
      <c r="H3214" s="4">
        <f t="shared" si="270"/>
        <v>207324.83350000001</v>
      </c>
      <c r="I3214" s="5">
        <v>40911</v>
      </c>
      <c r="J3214" s="4">
        <v>4064.46</v>
      </c>
      <c r="K3214" s="4">
        <f t="shared" si="271"/>
        <v>40644.6</v>
      </c>
    </row>
    <row r="3215" spans="4:11" x14ac:dyDescent="0.35">
      <c r="D3215" s="1">
        <v>40969</v>
      </c>
      <c r="E3215">
        <v>1.7145999999999999</v>
      </c>
      <c r="F3215" s="1">
        <v>39940</v>
      </c>
      <c r="G3215">
        <v>121.23399999999999</v>
      </c>
      <c r="H3215" s="4">
        <f t="shared" si="270"/>
        <v>207867.81639999998</v>
      </c>
      <c r="I3215" s="5">
        <v>40910</v>
      </c>
      <c r="J3215" s="4">
        <v>4159.3</v>
      </c>
      <c r="K3215" s="4">
        <f t="shared" si="271"/>
        <v>41593</v>
      </c>
    </row>
    <row r="3216" spans="4:11" x14ac:dyDescent="0.35">
      <c r="D3216" s="1">
        <v>40968</v>
      </c>
      <c r="E3216">
        <v>1.7085999999999999</v>
      </c>
      <c r="F3216" s="1">
        <v>39939</v>
      </c>
      <c r="G3216">
        <v>120.85899999999999</v>
      </c>
      <c r="H3216" s="4">
        <f t="shared" si="270"/>
        <v>206499.68739999997</v>
      </c>
      <c r="I3216" s="5">
        <v>40906</v>
      </c>
      <c r="J3216" s="4">
        <v>4146.0600000000004</v>
      </c>
      <c r="K3216" s="4">
        <f t="shared" si="271"/>
        <v>41460.600000000006</v>
      </c>
    </row>
    <row r="3217" spans="4:11" x14ac:dyDescent="0.35">
      <c r="D3217" s="1">
        <v>40967</v>
      </c>
      <c r="E3217">
        <v>1.7017</v>
      </c>
      <c r="F3217" s="1">
        <v>39938</v>
      </c>
      <c r="G3217">
        <v>120.938</v>
      </c>
      <c r="H3217" s="4">
        <f t="shared" si="270"/>
        <v>205800.19459999999</v>
      </c>
      <c r="I3217" s="5">
        <v>40905</v>
      </c>
      <c r="J3217" s="4">
        <v>4143.8500000000004</v>
      </c>
      <c r="K3217" s="4">
        <f t="shared" si="271"/>
        <v>41438.5</v>
      </c>
    </row>
    <row r="3218" spans="4:11" x14ac:dyDescent="0.35">
      <c r="D3218" s="1">
        <v>40966</v>
      </c>
      <c r="E3218">
        <v>1.7081999999999999</v>
      </c>
      <c r="F3218" s="1">
        <v>39933</v>
      </c>
      <c r="G3218">
        <v>120.89100000000001</v>
      </c>
      <c r="H3218" s="4">
        <f t="shared" si="270"/>
        <v>206506.0062</v>
      </c>
      <c r="I3218" s="5">
        <v>40904</v>
      </c>
      <c r="J3218" s="4">
        <v>4117.33</v>
      </c>
      <c r="K3218" s="4">
        <f t="shared" si="271"/>
        <v>41173.300000000003</v>
      </c>
    </row>
    <row r="3219" spans="4:11" x14ac:dyDescent="0.35">
      <c r="D3219" s="1">
        <v>40963</v>
      </c>
      <c r="E3219">
        <v>1.7091000000000001</v>
      </c>
      <c r="F3219" s="1">
        <v>39932</v>
      </c>
      <c r="G3219">
        <v>121.078</v>
      </c>
      <c r="H3219" s="4">
        <f t="shared" si="270"/>
        <v>206934.40980000002</v>
      </c>
      <c r="I3219" s="5">
        <v>40903</v>
      </c>
      <c r="J3219" s="4">
        <v>4112.91</v>
      </c>
      <c r="K3219" s="4">
        <f t="shared" si="271"/>
        <v>41129.1</v>
      </c>
    </row>
    <row r="3220" spans="4:11" x14ac:dyDescent="0.35">
      <c r="D3220" s="1">
        <v>40962</v>
      </c>
      <c r="E3220">
        <v>1.7033</v>
      </c>
      <c r="F3220" s="1">
        <v>39931</v>
      </c>
      <c r="G3220">
        <v>121.73399999999999</v>
      </c>
      <c r="H3220" s="4">
        <f t="shared" si="270"/>
        <v>207349.52220000001</v>
      </c>
      <c r="I3220" s="5">
        <v>40900</v>
      </c>
      <c r="J3220" s="4">
        <v>4115.12</v>
      </c>
      <c r="K3220" s="4">
        <f t="shared" si="271"/>
        <v>41151.199999999997</v>
      </c>
    </row>
    <row r="3221" spans="4:11" x14ac:dyDescent="0.35">
      <c r="D3221" s="1">
        <v>40961</v>
      </c>
      <c r="E3221">
        <v>1.7069000000000001</v>
      </c>
      <c r="F3221" s="1">
        <v>39927</v>
      </c>
      <c r="G3221">
        <v>121.75</v>
      </c>
      <c r="H3221" s="4">
        <f t="shared" si="270"/>
        <v>207815.07500000001</v>
      </c>
      <c r="I3221" s="5">
        <v>40899</v>
      </c>
      <c r="J3221" s="4">
        <v>4107.3900000000003</v>
      </c>
      <c r="K3221" s="4">
        <f t="shared" si="271"/>
        <v>41073.9</v>
      </c>
    </row>
    <row r="3222" spans="4:11" x14ac:dyDescent="0.35">
      <c r="D3222" s="1">
        <v>40956</v>
      </c>
      <c r="E3222">
        <v>1.7130000000000001</v>
      </c>
      <c r="F3222" s="1">
        <v>39926</v>
      </c>
      <c r="G3222">
        <v>122.14100000000001</v>
      </c>
      <c r="H3222" s="4">
        <f t="shared" si="270"/>
        <v>209227.53300000002</v>
      </c>
      <c r="I3222" s="5">
        <v>40898</v>
      </c>
      <c r="J3222" s="4">
        <v>4120.6499999999996</v>
      </c>
      <c r="K3222" s="4">
        <f t="shared" si="271"/>
        <v>41206.5</v>
      </c>
    </row>
    <row r="3223" spans="4:11" x14ac:dyDescent="0.35">
      <c r="D3223" s="1">
        <v>40955</v>
      </c>
      <c r="E3223">
        <v>1.732</v>
      </c>
      <c r="F3223" s="1">
        <v>39925</v>
      </c>
      <c r="G3223">
        <v>121.875</v>
      </c>
      <c r="H3223" s="4">
        <f t="shared" si="270"/>
        <v>211087.5</v>
      </c>
      <c r="I3223" s="5">
        <v>40897</v>
      </c>
      <c r="J3223" s="4">
        <v>4088.6</v>
      </c>
      <c r="K3223" s="4">
        <f t="shared" si="271"/>
        <v>40886</v>
      </c>
    </row>
    <row r="3224" spans="4:11" x14ac:dyDescent="0.35">
      <c r="D3224" s="1">
        <v>40954</v>
      </c>
      <c r="E3224">
        <v>1.7151000000000001</v>
      </c>
      <c r="F3224" s="1">
        <v>39923</v>
      </c>
      <c r="G3224">
        <v>122.96899999999999</v>
      </c>
      <c r="H3224" s="4">
        <f t="shared" si="270"/>
        <v>210904.13190000001</v>
      </c>
      <c r="I3224" s="5">
        <v>40896</v>
      </c>
      <c r="J3224" s="4">
        <v>4136.12</v>
      </c>
      <c r="K3224" s="4">
        <f t="shared" si="271"/>
        <v>41361.199999999997</v>
      </c>
    </row>
    <row r="3225" spans="4:11" x14ac:dyDescent="0.35">
      <c r="D3225" s="1">
        <v>40953</v>
      </c>
      <c r="E3225">
        <v>1.7166999999999999</v>
      </c>
      <c r="F3225" s="1">
        <v>39920</v>
      </c>
      <c r="G3225">
        <v>122.55200000000001</v>
      </c>
      <c r="H3225" s="4">
        <f t="shared" si="270"/>
        <v>210385.0184</v>
      </c>
      <c r="I3225" s="5">
        <v>40893</v>
      </c>
      <c r="J3225" s="4">
        <v>4104.07</v>
      </c>
      <c r="K3225" s="4">
        <f t="shared" si="271"/>
        <v>41040.699999999997</v>
      </c>
    </row>
    <row r="3226" spans="4:11" x14ac:dyDescent="0.35">
      <c r="D3226" s="1">
        <v>40952</v>
      </c>
      <c r="E3226">
        <v>1.7161999999999999</v>
      </c>
      <c r="F3226" s="1">
        <v>39919</v>
      </c>
      <c r="G3226">
        <v>123.188</v>
      </c>
      <c r="H3226" s="4">
        <f t="shared" si="270"/>
        <v>211415.24559999999</v>
      </c>
      <c r="I3226" s="5">
        <v>40892</v>
      </c>
      <c r="J3226" s="4">
        <v>4128.38</v>
      </c>
      <c r="K3226" s="4">
        <f t="shared" si="271"/>
        <v>41283.800000000003</v>
      </c>
    </row>
    <row r="3227" spans="4:11" x14ac:dyDescent="0.35">
      <c r="D3227" s="1">
        <v>40949</v>
      </c>
      <c r="E3227">
        <v>1.7254</v>
      </c>
      <c r="F3227" s="1">
        <v>39918</v>
      </c>
      <c r="G3227">
        <v>123.78100000000001</v>
      </c>
      <c r="H3227" s="4">
        <f t="shared" si="270"/>
        <v>213571.73740000001</v>
      </c>
      <c r="I3227" s="5">
        <v>40891</v>
      </c>
      <c r="J3227" s="4">
        <v>4174.79</v>
      </c>
      <c r="K3227" s="4">
        <f t="shared" si="271"/>
        <v>41747.9</v>
      </c>
    </row>
    <row r="3228" spans="4:11" x14ac:dyDescent="0.35">
      <c r="D3228" s="1">
        <v>40948</v>
      </c>
      <c r="E3228">
        <v>1.7219</v>
      </c>
      <c r="F3228" s="1">
        <v>39917</v>
      </c>
      <c r="G3228">
        <v>123.203</v>
      </c>
      <c r="H3228" s="4">
        <f t="shared" si="270"/>
        <v>212143.2457</v>
      </c>
      <c r="I3228" s="5">
        <v>40890</v>
      </c>
      <c r="J3228" s="4">
        <v>4142.75</v>
      </c>
      <c r="K3228" s="4">
        <f t="shared" si="271"/>
        <v>41427.5</v>
      </c>
    </row>
    <row r="3229" spans="4:11" x14ac:dyDescent="0.35">
      <c r="D3229" s="1">
        <v>40947</v>
      </c>
      <c r="E3229">
        <v>1.7189000000000001</v>
      </c>
      <c r="F3229" s="1">
        <v>39916</v>
      </c>
      <c r="G3229">
        <v>123.063</v>
      </c>
      <c r="H3229" s="4">
        <f t="shared" si="270"/>
        <v>211532.99070000002</v>
      </c>
      <c r="I3229" s="5">
        <v>40889</v>
      </c>
      <c r="J3229" s="4">
        <v>4097.4399999999996</v>
      </c>
      <c r="K3229" s="4">
        <f t="shared" si="271"/>
        <v>40974.399999999994</v>
      </c>
    </row>
    <row r="3230" spans="4:11" x14ac:dyDescent="0.35">
      <c r="D3230" s="1">
        <v>40946</v>
      </c>
      <c r="E3230">
        <v>1.7255</v>
      </c>
      <c r="F3230" s="1">
        <v>39912</v>
      </c>
      <c r="G3230">
        <v>122.14100000000001</v>
      </c>
      <c r="H3230" s="4">
        <f t="shared" si="270"/>
        <v>210754.29550000001</v>
      </c>
      <c r="I3230" s="5">
        <v>40886</v>
      </c>
      <c r="J3230" s="4">
        <v>3997.99</v>
      </c>
      <c r="K3230" s="4">
        <f t="shared" si="271"/>
        <v>39979.899999999994</v>
      </c>
    </row>
    <row r="3231" spans="4:11" x14ac:dyDescent="0.35">
      <c r="D3231" s="1">
        <v>40945</v>
      </c>
      <c r="E3231">
        <v>1.7242999999999999</v>
      </c>
      <c r="F3231" s="1">
        <v>39910</v>
      </c>
      <c r="G3231">
        <v>122.172</v>
      </c>
      <c r="H3231" s="4">
        <f t="shared" si="270"/>
        <v>210661.1796</v>
      </c>
      <c r="I3231" s="5">
        <v>40885</v>
      </c>
      <c r="J3231" s="4">
        <v>4057.66</v>
      </c>
      <c r="K3231" s="4">
        <f t="shared" si="271"/>
        <v>40576.6</v>
      </c>
    </row>
    <row r="3232" spans="4:11" x14ac:dyDescent="0.35">
      <c r="D3232" s="1">
        <v>40942</v>
      </c>
      <c r="E3232">
        <v>1.7216</v>
      </c>
      <c r="F3232" s="1">
        <v>39909</v>
      </c>
      <c r="G3232">
        <v>122.48399999999999</v>
      </c>
      <c r="H3232" s="4">
        <f t="shared" si="270"/>
        <v>210868.45439999999</v>
      </c>
      <c r="I3232" s="5">
        <v>40884</v>
      </c>
      <c r="J3232" s="4">
        <v>4000.2</v>
      </c>
      <c r="K3232" s="4">
        <f t="shared" si="271"/>
        <v>40002</v>
      </c>
    </row>
    <row r="3233" spans="4:11" x14ac:dyDescent="0.35">
      <c r="D3233" s="1">
        <v>40941</v>
      </c>
      <c r="E3233">
        <v>1.732</v>
      </c>
      <c r="F3233" s="1">
        <v>39906</v>
      </c>
      <c r="G3233">
        <v>122.09399999999999</v>
      </c>
      <c r="H3233" s="4">
        <f t="shared" si="270"/>
        <v>211466.80799999999</v>
      </c>
      <c r="I3233" s="5">
        <v>40883</v>
      </c>
      <c r="J3233" s="4">
        <v>3988.04</v>
      </c>
      <c r="K3233" s="4">
        <f t="shared" si="271"/>
        <v>39880.400000000001</v>
      </c>
    </row>
    <row r="3234" spans="4:11" x14ac:dyDescent="0.35">
      <c r="D3234" s="1">
        <v>40940</v>
      </c>
      <c r="E3234">
        <v>1.7370000000000001</v>
      </c>
      <c r="F3234" s="1">
        <v>39905</v>
      </c>
      <c r="G3234">
        <v>123.313</v>
      </c>
      <c r="H3234" s="4">
        <f t="shared" si="270"/>
        <v>214194.68100000001</v>
      </c>
      <c r="I3234" s="5">
        <v>40882</v>
      </c>
      <c r="J3234" s="4">
        <v>3973.68</v>
      </c>
      <c r="K3234" s="4">
        <f t="shared" si="271"/>
        <v>39736.799999999996</v>
      </c>
    </row>
    <row r="3235" spans="4:11" x14ac:dyDescent="0.35">
      <c r="D3235" s="1">
        <v>40939</v>
      </c>
      <c r="E3235">
        <v>1.7384999999999999</v>
      </c>
      <c r="F3235" s="1">
        <v>39903</v>
      </c>
      <c r="G3235">
        <v>124</v>
      </c>
      <c r="H3235" s="4">
        <f t="shared" si="270"/>
        <v>215573.99999999997</v>
      </c>
      <c r="I3235" s="5">
        <v>40879</v>
      </c>
      <c r="J3235" s="4">
        <v>3984.73</v>
      </c>
      <c r="K3235" s="4">
        <f t="shared" si="271"/>
        <v>39847.300000000003</v>
      </c>
    </row>
    <row r="3236" spans="4:11" x14ac:dyDescent="0.35">
      <c r="D3236" s="1">
        <v>40938</v>
      </c>
      <c r="E3236">
        <v>1.7502</v>
      </c>
      <c r="F3236" s="1">
        <v>39899</v>
      </c>
      <c r="G3236">
        <v>123.813</v>
      </c>
      <c r="H3236" s="4">
        <f t="shared" si="270"/>
        <v>216697.51260000002</v>
      </c>
      <c r="I3236" s="5">
        <v>40878</v>
      </c>
      <c r="J3236" s="4">
        <v>4009.04</v>
      </c>
      <c r="K3236" s="4">
        <f t="shared" si="271"/>
        <v>40090.400000000001</v>
      </c>
    </row>
    <row r="3237" spans="4:11" x14ac:dyDescent="0.35">
      <c r="D3237" s="1">
        <v>40935</v>
      </c>
      <c r="E3237">
        <v>1.7428999999999999</v>
      </c>
      <c r="F3237" s="1">
        <v>39897</v>
      </c>
      <c r="G3237">
        <v>123.541</v>
      </c>
      <c r="H3237" s="4">
        <f t="shared" si="270"/>
        <v>215319.60889999999</v>
      </c>
      <c r="I3237" s="5">
        <v>40877</v>
      </c>
      <c r="J3237" s="4">
        <v>4027.83</v>
      </c>
      <c r="K3237" s="4">
        <f t="shared" si="271"/>
        <v>40278.300000000003</v>
      </c>
    </row>
    <row r="3238" spans="4:11" x14ac:dyDescent="0.35">
      <c r="D3238" s="1">
        <v>40934</v>
      </c>
      <c r="E3238">
        <v>1.7382</v>
      </c>
      <c r="F3238" s="1">
        <v>39896</v>
      </c>
      <c r="G3238">
        <v>124.063</v>
      </c>
      <c r="H3238" s="4">
        <f t="shared" si="270"/>
        <v>215646.30660000001</v>
      </c>
      <c r="I3238" s="5">
        <v>40876</v>
      </c>
      <c r="J3238" s="4">
        <v>4105.67</v>
      </c>
      <c r="K3238" s="4">
        <f t="shared" si="271"/>
        <v>41056.699999999997</v>
      </c>
    </row>
    <row r="3239" spans="4:11" x14ac:dyDescent="0.35">
      <c r="D3239" s="1">
        <v>40933</v>
      </c>
      <c r="E3239">
        <v>1.7623</v>
      </c>
      <c r="F3239" s="1">
        <v>39895</v>
      </c>
      <c r="G3239">
        <v>124.578</v>
      </c>
      <c r="H3239" s="4">
        <f t="shared" si="270"/>
        <v>219543.80940000003</v>
      </c>
      <c r="I3239" s="5">
        <v>40875</v>
      </c>
      <c r="J3239" s="4">
        <v>4126.8</v>
      </c>
      <c r="K3239" s="4">
        <f t="shared" si="271"/>
        <v>41268</v>
      </c>
    </row>
    <row r="3240" spans="4:11" x14ac:dyDescent="0.35">
      <c r="D3240" s="1">
        <v>40932</v>
      </c>
      <c r="E3240">
        <v>1.7643</v>
      </c>
      <c r="F3240" s="1">
        <v>39892</v>
      </c>
      <c r="G3240">
        <v>124.453</v>
      </c>
      <c r="H3240" s="4">
        <f t="shared" si="270"/>
        <v>219572.42790000001</v>
      </c>
      <c r="I3240" s="5">
        <v>40872</v>
      </c>
      <c r="J3240" s="4">
        <v>4210.2</v>
      </c>
      <c r="K3240" s="4">
        <f t="shared" si="271"/>
        <v>42102</v>
      </c>
    </row>
    <row r="3241" spans="4:11" x14ac:dyDescent="0.35">
      <c r="D3241" s="1">
        <v>40931</v>
      </c>
      <c r="E3241">
        <v>1.7521</v>
      </c>
      <c r="F3241" s="1">
        <v>39891</v>
      </c>
      <c r="G3241">
        <v>124.65600000000001</v>
      </c>
      <c r="H3241" s="4">
        <f t="shared" si="270"/>
        <v>218409.7776</v>
      </c>
      <c r="I3241" s="5">
        <v>40871</v>
      </c>
      <c r="J3241" s="4">
        <v>4225.7700000000004</v>
      </c>
      <c r="K3241" s="4">
        <f t="shared" si="271"/>
        <v>42257.700000000004</v>
      </c>
    </row>
    <row r="3242" spans="4:11" x14ac:dyDescent="0.35">
      <c r="D3242" s="1">
        <v>40928</v>
      </c>
      <c r="E3242">
        <v>1.7664</v>
      </c>
      <c r="F3242" s="1">
        <v>39890</v>
      </c>
      <c r="G3242">
        <v>125.047</v>
      </c>
      <c r="H3242" s="4">
        <f t="shared" si="270"/>
        <v>220883.0208</v>
      </c>
      <c r="I3242" s="5">
        <v>40870</v>
      </c>
      <c r="J3242" s="4">
        <v>4160.16</v>
      </c>
      <c r="K3242" s="4">
        <f t="shared" si="271"/>
        <v>41601.599999999999</v>
      </c>
    </row>
    <row r="3243" spans="4:11" x14ac:dyDescent="0.35">
      <c r="D3243" s="1">
        <v>40927</v>
      </c>
      <c r="E3243">
        <v>1.7642</v>
      </c>
      <c r="F3243" s="1">
        <v>39889</v>
      </c>
      <c r="G3243">
        <v>121.51600000000001</v>
      </c>
      <c r="H3243" s="4">
        <f t="shared" si="270"/>
        <v>214378.52720000001</v>
      </c>
      <c r="I3243" s="5">
        <v>40869</v>
      </c>
      <c r="J3243" s="4">
        <v>4053.4</v>
      </c>
      <c r="K3243" s="4">
        <f t="shared" si="271"/>
        <v>40534</v>
      </c>
    </row>
    <row r="3244" spans="4:11" x14ac:dyDescent="0.35">
      <c r="D3244" s="1">
        <v>40926</v>
      </c>
      <c r="E3244">
        <v>1.7785</v>
      </c>
      <c r="F3244" s="1">
        <v>39888</v>
      </c>
      <c r="G3244">
        <v>121.99</v>
      </c>
      <c r="H3244" s="4">
        <f t="shared" si="270"/>
        <v>216959.215</v>
      </c>
      <c r="I3244" s="5">
        <v>40868</v>
      </c>
      <c r="J3244" s="4">
        <v>4034.5</v>
      </c>
      <c r="K3244" s="4">
        <f t="shared" si="271"/>
        <v>40345</v>
      </c>
    </row>
    <row r="3245" spans="4:11" x14ac:dyDescent="0.35">
      <c r="D3245" s="1">
        <v>40925</v>
      </c>
      <c r="E3245">
        <v>1.7754000000000001</v>
      </c>
      <c r="F3245" s="1">
        <v>39884</v>
      </c>
      <c r="G3245">
        <v>122.125</v>
      </c>
      <c r="H3245" s="4">
        <f t="shared" si="270"/>
        <v>216820.72500000001</v>
      </c>
      <c r="I3245" s="5">
        <v>40865</v>
      </c>
      <c r="J3245" s="4">
        <v>3986.68</v>
      </c>
      <c r="K3245" s="4">
        <f t="shared" si="271"/>
        <v>39866.799999999996</v>
      </c>
    </row>
    <row r="3246" spans="4:11" x14ac:dyDescent="0.35">
      <c r="D3246" s="1">
        <v>40924</v>
      </c>
      <c r="E3246">
        <v>1.7829999999999999</v>
      </c>
      <c r="F3246" s="1">
        <v>39883</v>
      </c>
      <c r="G3246">
        <v>121.71899999999999</v>
      </c>
      <c r="H3246" s="4">
        <f t="shared" si="270"/>
        <v>217024.97699999998</v>
      </c>
      <c r="I3246" s="5">
        <v>40864</v>
      </c>
      <c r="J3246" s="4">
        <v>3975.56</v>
      </c>
      <c r="K3246" s="4">
        <f t="shared" si="271"/>
        <v>39755.599999999999</v>
      </c>
    </row>
    <row r="3247" spans="4:11" x14ac:dyDescent="0.35">
      <c r="D3247" s="1">
        <v>40921</v>
      </c>
      <c r="E3247">
        <v>1.7846</v>
      </c>
      <c r="F3247" s="1">
        <v>39882</v>
      </c>
      <c r="G3247">
        <v>120.953</v>
      </c>
      <c r="H3247" s="4">
        <f t="shared" si="270"/>
        <v>215852.72380000001</v>
      </c>
      <c r="I3247" s="5">
        <v>40863</v>
      </c>
      <c r="J3247" s="4">
        <v>3952.21</v>
      </c>
      <c r="K3247" s="4">
        <f t="shared" si="271"/>
        <v>39522.1</v>
      </c>
    </row>
    <row r="3248" spans="4:11" x14ac:dyDescent="0.35">
      <c r="D3248" s="1">
        <v>40920</v>
      </c>
      <c r="E3248">
        <v>1.7867</v>
      </c>
      <c r="F3248" s="1">
        <v>39881</v>
      </c>
      <c r="G3248">
        <v>121.125</v>
      </c>
      <c r="H3248" s="4">
        <f t="shared" si="270"/>
        <v>216414.03750000001</v>
      </c>
      <c r="I3248" s="5">
        <v>40861</v>
      </c>
      <c r="J3248" s="4">
        <v>3948.87</v>
      </c>
      <c r="K3248" s="4">
        <f t="shared" si="271"/>
        <v>39488.699999999997</v>
      </c>
    </row>
    <row r="3249" spans="4:11" x14ac:dyDescent="0.35">
      <c r="D3249" s="1">
        <v>40919</v>
      </c>
      <c r="E3249">
        <v>1.8041</v>
      </c>
      <c r="F3249" s="1">
        <v>39878</v>
      </c>
      <c r="G3249">
        <v>121.59399999999999</v>
      </c>
      <c r="H3249" s="4">
        <f t="shared" si="270"/>
        <v>219367.73539999998</v>
      </c>
      <c r="I3249" s="5">
        <v>40858</v>
      </c>
      <c r="J3249" s="4">
        <v>3898.83</v>
      </c>
      <c r="K3249" s="4">
        <f t="shared" si="271"/>
        <v>38988.300000000003</v>
      </c>
    </row>
    <row r="3250" spans="4:11" x14ac:dyDescent="0.35">
      <c r="D3250" s="1">
        <v>40918</v>
      </c>
      <c r="E3250">
        <v>1.8036000000000001</v>
      </c>
      <c r="F3250" s="1">
        <v>39877</v>
      </c>
      <c r="G3250">
        <v>122.09399999999999</v>
      </c>
      <c r="H3250" s="4">
        <f t="shared" si="270"/>
        <v>220208.73839999997</v>
      </c>
      <c r="I3250" s="5">
        <v>40857</v>
      </c>
      <c r="J3250" s="4">
        <v>3933.3</v>
      </c>
      <c r="K3250" s="4">
        <f t="shared" si="271"/>
        <v>39333</v>
      </c>
    </row>
    <row r="3251" spans="4:11" x14ac:dyDescent="0.35">
      <c r="D3251" s="1">
        <v>40917</v>
      </c>
      <c r="E3251">
        <v>1.8434999999999999</v>
      </c>
      <c r="F3251" s="1">
        <v>39876</v>
      </c>
      <c r="G3251">
        <v>120.453</v>
      </c>
      <c r="H3251" s="4">
        <f t="shared" si="270"/>
        <v>222055.10550000001</v>
      </c>
      <c r="I3251" s="5">
        <v>40856</v>
      </c>
      <c r="J3251" s="4">
        <v>3981.12</v>
      </c>
      <c r="K3251" s="4">
        <f t="shared" si="271"/>
        <v>39811.199999999997</v>
      </c>
    </row>
    <row r="3252" spans="4:11" x14ac:dyDescent="0.35">
      <c r="D3252" s="1">
        <v>40914</v>
      </c>
      <c r="E3252">
        <v>1.8442000000000001</v>
      </c>
      <c r="F3252" s="1">
        <v>39875</v>
      </c>
      <c r="G3252">
        <v>120.937</v>
      </c>
      <c r="H3252" s="4">
        <f t="shared" si="270"/>
        <v>223032.0154</v>
      </c>
      <c r="I3252" s="5">
        <v>40855</v>
      </c>
      <c r="J3252" s="4">
        <v>3876.59</v>
      </c>
      <c r="K3252" s="4">
        <f t="shared" si="271"/>
        <v>38765.9</v>
      </c>
    </row>
    <row r="3253" spans="4:11" x14ac:dyDescent="0.35">
      <c r="D3253" s="1">
        <v>40913</v>
      </c>
      <c r="E3253">
        <v>1.8365</v>
      </c>
      <c r="F3253" s="1">
        <v>39874</v>
      </c>
      <c r="G3253">
        <v>121.188</v>
      </c>
      <c r="H3253" s="4">
        <f t="shared" si="270"/>
        <v>222561.76200000002</v>
      </c>
      <c r="I3253" s="5">
        <v>40854</v>
      </c>
      <c r="J3253" s="4">
        <v>3912.17</v>
      </c>
      <c r="K3253" s="4">
        <f t="shared" si="271"/>
        <v>39121.699999999997</v>
      </c>
    </row>
    <row r="3254" spans="4:11" x14ac:dyDescent="0.35">
      <c r="D3254" s="1">
        <v>40912</v>
      </c>
      <c r="E3254">
        <v>1.8265</v>
      </c>
      <c r="F3254" s="1">
        <v>39871</v>
      </c>
      <c r="G3254">
        <v>120.71899999999999</v>
      </c>
      <c r="H3254" s="4">
        <f t="shared" si="270"/>
        <v>220493.25349999999</v>
      </c>
      <c r="I3254" s="5">
        <v>40851</v>
      </c>
      <c r="J3254" s="4">
        <v>3924.4</v>
      </c>
      <c r="K3254" s="4">
        <f t="shared" si="271"/>
        <v>39244</v>
      </c>
    </row>
    <row r="3255" spans="4:11" x14ac:dyDescent="0.35">
      <c r="D3255" s="1">
        <v>40911</v>
      </c>
      <c r="E3255">
        <v>1.845</v>
      </c>
      <c r="F3255" s="1">
        <v>39870</v>
      </c>
      <c r="G3255">
        <v>121.313</v>
      </c>
      <c r="H3255" s="4">
        <f t="shared" si="270"/>
        <v>223822.48499999999</v>
      </c>
      <c r="I3255" s="5">
        <v>40850</v>
      </c>
      <c r="J3255" s="4">
        <v>3893.27</v>
      </c>
      <c r="K3255" s="4">
        <f t="shared" si="271"/>
        <v>38932.699999999997</v>
      </c>
    </row>
    <row r="3256" spans="4:11" x14ac:dyDescent="0.35">
      <c r="D3256" s="1">
        <v>40910</v>
      </c>
      <c r="E3256">
        <v>1.8675999999999999</v>
      </c>
      <c r="F3256" s="1">
        <v>39864</v>
      </c>
      <c r="G3256">
        <v>123.5</v>
      </c>
      <c r="H3256" s="4">
        <f t="shared" si="270"/>
        <v>230648.59999999998</v>
      </c>
      <c r="I3256" s="5">
        <v>40848</v>
      </c>
      <c r="J3256" s="4">
        <v>3918.84</v>
      </c>
      <c r="K3256" s="4">
        <f t="shared" si="271"/>
        <v>39188.400000000001</v>
      </c>
    </row>
    <row r="3257" spans="4:11" x14ac:dyDescent="0.35">
      <c r="D3257" s="1">
        <v>40907</v>
      </c>
      <c r="E3257">
        <v>1.8751</v>
      </c>
      <c r="F3257" s="1">
        <v>39863</v>
      </c>
      <c r="G3257">
        <v>122.51600000000001</v>
      </c>
      <c r="H3257" s="4">
        <f t="shared" si="270"/>
        <v>229729.75160000002</v>
      </c>
      <c r="I3257" s="5">
        <v>40847</v>
      </c>
      <c r="J3257" s="4">
        <v>3847.67</v>
      </c>
      <c r="K3257" s="4">
        <f t="shared" si="271"/>
        <v>38476.699999999997</v>
      </c>
    </row>
    <row r="3258" spans="4:11" x14ac:dyDescent="0.35">
      <c r="D3258" s="1">
        <v>40906</v>
      </c>
      <c r="E3258">
        <v>1.8751</v>
      </c>
      <c r="F3258" s="1">
        <v>39862</v>
      </c>
      <c r="G3258">
        <v>124.063</v>
      </c>
      <c r="H3258" s="4">
        <f t="shared" si="270"/>
        <v>232630.5313</v>
      </c>
      <c r="I3258" s="5">
        <v>40844</v>
      </c>
      <c r="J3258" s="4">
        <v>3815.77</v>
      </c>
      <c r="K3258" s="4">
        <f t="shared" si="271"/>
        <v>38157.699999999997</v>
      </c>
    </row>
    <row r="3259" spans="4:11" x14ac:dyDescent="0.35">
      <c r="D3259" s="1">
        <v>40905</v>
      </c>
      <c r="E3259">
        <v>1.8626</v>
      </c>
      <c r="F3259" s="1">
        <v>39861</v>
      </c>
      <c r="G3259">
        <v>124.46899999999999</v>
      </c>
      <c r="H3259" s="4">
        <f t="shared" si="270"/>
        <v>231835.95940000002</v>
      </c>
      <c r="I3259" s="5">
        <v>40843</v>
      </c>
      <c r="J3259" s="4">
        <v>3897.81</v>
      </c>
      <c r="K3259" s="4">
        <f t="shared" si="271"/>
        <v>38978.1</v>
      </c>
    </row>
    <row r="3260" spans="4:11" x14ac:dyDescent="0.35">
      <c r="D3260" s="1">
        <v>40904</v>
      </c>
      <c r="E3260">
        <v>1.8577999999999999</v>
      </c>
      <c r="F3260" s="1">
        <v>39855</v>
      </c>
      <c r="G3260">
        <v>123.375</v>
      </c>
      <c r="H3260" s="4">
        <f t="shared" si="270"/>
        <v>229206.07500000001</v>
      </c>
      <c r="I3260" s="5">
        <v>40842</v>
      </c>
      <c r="J3260" s="4">
        <v>4012.88</v>
      </c>
      <c r="K3260" s="4">
        <f t="shared" si="271"/>
        <v>40128.800000000003</v>
      </c>
    </row>
    <row r="3261" spans="4:11" x14ac:dyDescent="0.35">
      <c r="D3261" s="1">
        <v>40903</v>
      </c>
      <c r="E3261">
        <v>1.8559000000000001</v>
      </c>
      <c r="F3261" s="1">
        <v>39854</v>
      </c>
      <c r="G3261">
        <v>122.375</v>
      </c>
      <c r="H3261" s="4">
        <f t="shared" si="270"/>
        <v>227115.76250000001</v>
      </c>
      <c r="I3261" s="5">
        <v>40841</v>
      </c>
      <c r="J3261" s="4">
        <v>4029.97</v>
      </c>
      <c r="K3261" s="4">
        <f t="shared" si="271"/>
        <v>40299.699999999997</v>
      </c>
    </row>
    <row r="3262" spans="4:11" x14ac:dyDescent="0.35">
      <c r="D3262" s="1">
        <v>40900</v>
      </c>
      <c r="E3262">
        <v>1.8553999999999999</v>
      </c>
      <c r="F3262" s="1">
        <v>39853</v>
      </c>
      <c r="G3262">
        <v>121.53100000000001</v>
      </c>
      <c r="H3262" s="4">
        <f t="shared" si="270"/>
        <v>225488.61740000002</v>
      </c>
      <c r="I3262" s="5">
        <v>40840</v>
      </c>
      <c r="J3262" s="4">
        <v>3999.21</v>
      </c>
      <c r="K3262" s="4">
        <f t="shared" si="271"/>
        <v>39992.1</v>
      </c>
    </row>
    <row r="3263" spans="4:11" x14ac:dyDescent="0.35">
      <c r="D3263" s="1">
        <v>40899</v>
      </c>
      <c r="E3263">
        <v>1.8571</v>
      </c>
      <c r="F3263" s="1">
        <v>39848</v>
      </c>
      <c r="G3263">
        <v>122.46899999999999</v>
      </c>
      <c r="H3263" s="4">
        <f t="shared" si="270"/>
        <v>227437.17989999999</v>
      </c>
      <c r="I3263" s="5">
        <v>40837</v>
      </c>
      <c r="J3263" s="4">
        <v>4064.16</v>
      </c>
      <c r="K3263" s="4">
        <f t="shared" si="271"/>
        <v>40641.599999999999</v>
      </c>
    </row>
    <row r="3264" spans="4:11" x14ac:dyDescent="0.35">
      <c r="D3264" s="1">
        <v>40898</v>
      </c>
      <c r="E3264">
        <v>1.855</v>
      </c>
      <c r="F3264" s="1">
        <v>39846</v>
      </c>
      <c r="G3264">
        <v>123.875</v>
      </c>
      <c r="H3264" s="4">
        <f t="shared" si="270"/>
        <v>229788.125</v>
      </c>
      <c r="I3264" s="5">
        <v>40836</v>
      </c>
      <c r="J3264" s="4">
        <v>4072.13</v>
      </c>
      <c r="K3264" s="4">
        <f t="shared" si="271"/>
        <v>40721.300000000003</v>
      </c>
    </row>
    <row r="3265" spans="4:11" x14ac:dyDescent="0.35">
      <c r="D3265" s="1">
        <v>40897</v>
      </c>
      <c r="E3265">
        <v>1.8501000000000001</v>
      </c>
      <c r="F3265" s="1">
        <v>39843</v>
      </c>
      <c r="G3265">
        <v>122.938</v>
      </c>
      <c r="H3265" s="4">
        <f t="shared" si="270"/>
        <v>227447.59380000003</v>
      </c>
      <c r="I3265" s="5">
        <v>40835</v>
      </c>
      <c r="J3265" s="4">
        <v>4061.88</v>
      </c>
      <c r="K3265" s="4">
        <f t="shared" si="271"/>
        <v>40618.800000000003</v>
      </c>
    </row>
    <row r="3266" spans="4:11" x14ac:dyDescent="0.35">
      <c r="D3266" s="1">
        <v>40896</v>
      </c>
      <c r="E3266">
        <v>1.8608</v>
      </c>
      <c r="F3266" s="1">
        <v>39842</v>
      </c>
      <c r="G3266">
        <v>123.172</v>
      </c>
      <c r="H3266" s="4">
        <f t="shared" si="270"/>
        <v>229198.45759999999</v>
      </c>
      <c r="I3266" s="5">
        <v>40834</v>
      </c>
      <c r="J3266" s="4">
        <v>4008.33</v>
      </c>
      <c r="K3266" s="4">
        <f t="shared" si="271"/>
        <v>40083.300000000003</v>
      </c>
    </row>
    <row r="3267" spans="4:11" x14ac:dyDescent="0.35">
      <c r="D3267" s="1">
        <v>40893</v>
      </c>
      <c r="E3267">
        <v>1.8458000000000001</v>
      </c>
      <c r="F3267" s="1">
        <v>39841</v>
      </c>
      <c r="G3267">
        <v>123.73399999999999</v>
      </c>
      <c r="H3267" s="4">
        <f t="shared" si="270"/>
        <v>228388.21720000001</v>
      </c>
      <c r="I3267" s="5">
        <v>40833</v>
      </c>
      <c r="J3267" s="4">
        <v>4057.32</v>
      </c>
      <c r="K3267" s="4">
        <f t="shared" si="271"/>
        <v>40573.200000000004</v>
      </c>
    </row>
    <row r="3268" spans="4:11" x14ac:dyDescent="0.35">
      <c r="D3268" s="1">
        <v>40892</v>
      </c>
      <c r="E3268">
        <v>1.8602000000000001</v>
      </c>
      <c r="F3268" s="1">
        <v>39840</v>
      </c>
      <c r="G3268">
        <v>124.672</v>
      </c>
      <c r="H3268" s="4">
        <f t="shared" ref="H3268:H3331" si="272">G3268*E3268*1000</f>
        <v>231914.85439999998</v>
      </c>
      <c r="I3268" s="5">
        <v>40830</v>
      </c>
      <c r="J3268" s="4">
        <v>3965.03</v>
      </c>
      <c r="K3268" s="4">
        <f t="shared" si="271"/>
        <v>39650.300000000003</v>
      </c>
    </row>
    <row r="3269" spans="4:11" x14ac:dyDescent="0.35">
      <c r="D3269" s="1">
        <v>40891</v>
      </c>
      <c r="E3269">
        <v>1.8721000000000001</v>
      </c>
      <c r="F3269" s="1">
        <v>39836</v>
      </c>
      <c r="G3269">
        <v>124.078</v>
      </c>
      <c r="H3269" s="4">
        <f t="shared" si="272"/>
        <v>232286.42380000002</v>
      </c>
      <c r="I3269" s="5">
        <v>40829</v>
      </c>
      <c r="J3269" s="4">
        <v>4010.6</v>
      </c>
      <c r="K3269" s="4">
        <f t="shared" ref="K3269:K3332" si="273">J3269*10</f>
        <v>40106</v>
      </c>
    </row>
    <row r="3270" spans="4:11" x14ac:dyDescent="0.35">
      <c r="D3270" s="1">
        <v>40890</v>
      </c>
      <c r="E3270">
        <v>1.8403</v>
      </c>
      <c r="F3270" s="1">
        <v>39834</v>
      </c>
      <c r="G3270">
        <v>125.53100000000001</v>
      </c>
      <c r="H3270" s="4">
        <f t="shared" si="272"/>
        <v>231014.69930000001</v>
      </c>
      <c r="I3270" s="5">
        <v>40827</v>
      </c>
      <c r="J3270" s="4">
        <v>4057.32</v>
      </c>
      <c r="K3270" s="4">
        <f t="shared" si="273"/>
        <v>40573.200000000004</v>
      </c>
    </row>
    <row r="3271" spans="4:11" x14ac:dyDescent="0.35">
      <c r="D3271" s="1">
        <v>40889</v>
      </c>
      <c r="E3271">
        <v>1.8210999999999999</v>
      </c>
      <c r="F3271" s="1">
        <v>39833</v>
      </c>
      <c r="G3271">
        <v>126.39100000000001</v>
      </c>
      <c r="H3271" s="4">
        <f t="shared" si="272"/>
        <v>230170.6501</v>
      </c>
      <c r="I3271" s="5">
        <v>40826</v>
      </c>
      <c r="J3271" s="4">
        <v>4047.06</v>
      </c>
      <c r="K3271" s="4">
        <f t="shared" si="273"/>
        <v>40470.6</v>
      </c>
    </row>
    <row r="3272" spans="4:11" x14ac:dyDescent="0.35">
      <c r="D3272" s="1">
        <v>40886</v>
      </c>
      <c r="E3272">
        <v>1.8123</v>
      </c>
      <c r="F3272" s="1">
        <v>39829</v>
      </c>
      <c r="G3272">
        <v>126.093</v>
      </c>
      <c r="H3272" s="4">
        <f t="shared" si="272"/>
        <v>228518.34390000001</v>
      </c>
      <c r="I3272" s="5">
        <v>40823</v>
      </c>
      <c r="J3272" s="4">
        <v>4064.16</v>
      </c>
      <c r="K3272" s="4">
        <f t="shared" si="273"/>
        <v>40641.599999999999</v>
      </c>
    </row>
    <row r="3273" spans="4:11" x14ac:dyDescent="0.35">
      <c r="D3273" s="1">
        <v>40885</v>
      </c>
      <c r="E3273">
        <v>1.7934000000000001</v>
      </c>
      <c r="F3273" s="1">
        <v>39828</v>
      </c>
      <c r="G3273">
        <v>126.76600000000001</v>
      </c>
      <c r="H3273" s="4">
        <f t="shared" si="272"/>
        <v>227342.14440000002</v>
      </c>
      <c r="I3273" s="5">
        <v>40822</v>
      </c>
      <c r="J3273" s="4">
        <v>4083.52</v>
      </c>
      <c r="K3273" s="4">
        <f t="shared" si="273"/>
        <v>40835.199999999997</v>
      </c>
    </row>
    <row r="3274" spans="4:11" x14ac:dyDescent="0.35">
      <c r="D3274" s="1">
        <v>40884</v>
      </c>
      <c r="E3274">
        <v>1.7974000000000001</v>
      </c>
      <c r="F3274" s="1">
        <v>39827</v>
      </c>
      <c r="G3274">
        <v>127.21899999999999</v>
      </c>
      <c r="H3274" s="4">
        <f t="shared" si="272"/>
        <v>228663.43059999999</v>
      </c>
      <c r="I3274" s="5">
        <v>40821</v>
      </c>
      <c r="J3274" s="4">
        <v>4206.58</v>
      </c>
      <c r="K3274" s="4">
        <f t="shared" si="273"/>
        <v>42065.8</v>
      </c>
    </row>
    <row r="3275" spans="4:11" x14ac:dyDescent="0.35">
      <c r="D3275" s="1">
        <v>40883</v>
      </c>
      <c r="E3275">
        <v>1.7906</v>
      </c>
      <c r="F3275" s="1">
        <v>39821</v>
      </c>
      <c r="G3275">
        <v>125.375</v>
      </c>
      <c r="H3275" s="4">
        <f t="shared" si="272"/>
        <v>224496.47500000001</v>
      </c>
      <c r="I3275" s="5">
        <v>40820</v>
      </c>
      <c r="J3275" s="4">
        <v>4265.82</v>
      </c>
      <c r="K3275" s="4">
        <f t="shared" si="273"/>
        <v>42658.2</v>
      </c>
    </row>
    <row r="3276" spans="4:11" x14ac:dyDescent="0.35">
      <c r="D3276" s="1">
        <v>40882</v>
      </c>
      <c r="E3276">
        <v>1.7823</v>
      </c>
      <c r="F3276" s="1">
        <v>39820</v>
      </c>
      <c r="G3276">
        <v>124.188</v>
      </c>
      <c r="H3276" s="4">
        <f t="shared" si="272"/>
        <v>221340.27240000002</v>
      </c>
      <c r="I3276" s="5">
        <v>40819</v>
      </c>
      <c r="J3276" s="4">
        <v>4342.16</v>
      </c>
      <c r="K3276" s="4">
        <f t="shared" si="273"/>
        <v>43421.599999999999</v>
      </c>
    </row>
    <row r="3277" spans="4:11" x14ac:dyDescent="0.35">
      <c r="D3277" s="1">
        <v>40879</v>
      </c>
      <c r="E3277">
        <v>1.7836000000000001</v>
      </c>
      <c r="F3277" s="1">
        <v>39818</v>
      </c>
      <c r="G3277">
        <v>124.03100000000001</v>
      </c>
      <c r="H3277" s="4">
        <f t="shared" si="272"/>
        <v>221221.69160000002</v>
      </c>
      <c r="I3277" s="5">
        <v>40816</v>
      </c>
      <c r="J3277" s="4">
        <v>4311.3999999999996</v>
      </c>
      <c r="K3277" s="4">
        <f t="shared" si="273"/>
        <v>43114</v>
      </c>
    </row>
    <row r="3278" spans="4:11" x14ac:dyDescent="0.35">
      <c r="D3278" s="1">
        <v>40878</v>
      </c>
      <c r="E3278">
        <v>1.7922</v>
      </c>
      <c r="F3278" s="1">
        <v>39815</v>
      </c>
      <c r="G3278">
        <v>126.062</v>
      </c>
      <c r="H3278" s="4">
        <f t="shared" si="272"/>
        <v>225928.31640000001</v>
      </c>
      <c r="I3278" s="5">
        <v>40815</v>
      </c>
      <c r="J3278" s="4">
        <v>4286.9799999999996</v>
      </c>
      <c r="K3278" s="4">
        <f t="shared" si="273"/>
        <v>42869.799999999996</v>
      </c>
    </row>
    <row r="3279" spans="4:11" x14ac:dyDescent="0.35">
      <c r="D3279" s="1">
        <v>40877</v>
      </c>
      <c r="E3279">
        <v>1.8102</v>
      </c>
      <c r="F3279" s="1">
        <v>39812</v>
      </c>
      <c r="G3279">
        <v>127.202</v>
      </c>
      <c r="H3279" s="4">
        <f t="shared" si="272"/>
        <v>230261.06039999999</v>
      </c>
      <c r="I3279" s="5">
        <v>40814</v>
      </c>
      <c r="J3279" s="4">
        <v>4286.9799999999996</v>
      </c>
      <c r="K3279" s="4">
        <f t="shared" si="273"/>
        <v>42869.799999999996</v>
      </c>
    </row>
    <row r="3280" spans="4:11" x14ac:dyDescent="0.35">
      <c r="D3280" s="1">
        <v>40876</v>
      </c>
      <c r="E3280">
        <v>1.8478000000000001</v>
      </c>
      <c r="F3280" s="1">
        <v>39811</v>
      </c>
      <c r="G3280">
        <v>128.09399999999999</v>
      </c>
      <c r="H3280" s="4">
        <f t="shared" si="272"/>
        <v>236692.0932</v>
      </c>
      <c r="I3280" s="5">
        <v>40813</v>
      </c>
      <c r="J3280" s="4">
        <v>4206.75</v>
      </c>
      <c r="K3280" s="4">
        <f t="shared" si="273"/>
        <v>42067.5</v>
      </c>
    </row>
    <row r="3281" spans="4:11" x14ac:dyDescent="0.35">
      <c r="D3281" s="1">
        <v>40875</v>
      </c>
      <c r="E3281">
        <v>1.859</v>
      </c>
      <c r="F3281" s="1">
        <v>39805</v>
      </c>
      <c r="G3281">
        <v>126.578</v>
      </c>
      <c r="H3281" s="4">
        <f t="shared" si="272"/>
        <v>235308.50200000001</v>
      </c>
      <c r="I3281" s="5">
        <v>40812</v>
      </c>
      <c r="J3281" s="4">
        <v>4240.47</v>
      </c>
      <c r="K3281" s="4">
        <f t="shared" si="273"/>
        <v>42404.700000000004</v>
      </c>
    </row>
    <row r="3282" spans="4:11" x14ac:dyDescent="0.35">
      <c r="D3282" s="1">
        <v>40872</v>
      </c>
      <c r="E3282">
        <v>1.893</v>
      </c>
      <c r="F3282" s="1">
        <v>39801</v>
      </c>
      <c r="G3282">
        <v>127.59399999999999</v>
      </c>
      <c r="H3282" s="4">
        <f t="shared" si="272"/>
        <v>241535.44199999998</v>
      </c>
      <c r="I3282" s="5">
        <v>40809</v>
      </c>
      <c r="J3282" s="4">
        <v>4269.54</v>
      </c>
      <c r="K3282" s="4">
        <f t="shared" si="273"/>
        <v>42695.4</v>
      </c>
    </row>
    <row r="3283" spans="4:11" x14ac:dyDescent="0.35">
      <c r="D3283" s="1">
        <v>40871</v>
      </c>
      <c r="E3283">
        <v>1.8652</v>
      </c>
      <c r="F3283" s="1">
        <v>39799</v>
      </c>
      <c r="G3283">
        <v>127.09399999999999</v>
      </c>
      <c r="H3283" s="4">
        <f t="shared" si="272"/>
        <v>237055.72879999998</v>
      </c>
      <c r="I3283" s="5">
        <v>40808</v>
      </c>
      <c r="J3283" s="4">
        <v>4440.46</v>
      </c>
      <c r="K3283" s="4">
        <f t="shared" si="273"/>
        <v>44404.6</v>
      </c>
    </row>
    <row r="3284" spans="4:11" x14ac:dyDescent="0.35">
      <c r="D3284" s="1">
        <v>40870</v>
      </c>
      <c r="E3284">
        <v>1.8433999999999999</v>
      </c>
      <c r="F3284" s="1">
        <v>39798</v>
      </c>
      <c r="G3284">
        <v>126.563</v>
      </c>
      <c r="H3284" s="4">
        <f t="shared" si="272"/>
        <v>233306.23420000001</v>
      </c>
      <c r="I3284" s="5">
        <v>40807</v>
      </c>
      <c r="J3284" s="4">
        <v>4383.49</v>
      </c>
      <c r="K3284" s="4">
        <f t="shared" si="273"/>
        <v>43834.899999999994</v>
      </c>
    </row>
    <row r="3285" spans="4:11" x14ac:dyDescent="0.35">
      <c r="D3285" s="1">
        <v>40869</v>
      </c>
      <c r="E3285">
        <v>1.8062</v>
      </c>
      <c r="F3285" s="1">
        <v>39797</v>
      </c>
      <c r="G3285">
        <v>124.76600000000001</v>
      </c>
      <c r="H3285" s="4">
        <f t="shared" si="272"/>
        <v>225352.34920000003</v>
      </c>
      <c r="I3285" s="5">
        <v>40806</v>
      </c>
      <c r="J3285" s="4">
        <v>4164.8999999999996</v>
      </c>
      <c r="K3285" s="4">
        <f t="shared" si="273"/>
        <v>41649</v>
      </c>
    </row>
    <row r="3286" spans="4:11" x14ac:dyDescent="0.35">
      <c r="D3286" s="1">
        <v>40868</v>
      </c>
      <c r="E3286">
        <v>1.8052999999999999</v>
      </c>
      <c r="F3286" s="1">
        <v>39791</v>
      </c>
      <c r="G3286">
        <v>123.01600000000001</v>
      </c>
      <c r="H3286" s="4">
        <f t="shared" si="272"/>
        <v>222080.78479999999</v>
      </c>
      <c r="I3286" s="5">
        <v>40805</v>
      </c>
      <c r="J3286" s="4">
        <v>4193.96</v>
      </c>
      <c r="K3286" s="4">
        <f t="shared" si="273"/>
        <v>41939.599999999999</v>
      </c>
    </row>
    <row r="3287" spans="4:11" x14ac:dyDescent="0.35">
      <c r="D3287" s="1">
        <v>40865</v>
      </c>
      <c r="E3287">
        <v>1.7716000000000001</v>
      </c>
      <c r="F3287" s="1">
        <v>39790</v>
      </c>
      <c r="G3287">
        <v>122.813</v>
      </c>
      <c r="H3287" s="4">
        <f t="shared" si="272"/>
        <v>217575.51080000002</v>
      </c>
      <c r="I3287" s="5">
        <v>40802</v>
      </c>
      <c r="J3287" s="4">
        <v>4055.6</v>
      </c>
      <c r="K3287" s="4">
        <f t="shared" si="273"/>
        <v>40556</v>
      </c>
    </row>
    <row r="3288" spans="4:11" x14ac:dyDescent="0.35">
      <c r="D3288" s="1">
        <v>40864</v>
      </c>
      <c r="E3288">
        <v>1.7766999999999999</v>
      </c>
      <c r="F3288" s="1">
        <v>39787</v>
      </c>
      <c r="G3288">
        <v>123.75</v>
      </c>
      <c r="H3288" s="4">
        <f t="shared" si="272"/>
        <v>219866.625</v>
      </c>
      <c r="I3288" s="5">
        <v>40801</v>
      </c>
      <c r="J3288" s="4">
        <v>3988.16</v>
      </c>
      <c r="K3288" s="4">
        <f t="shared" si="273"/>
        <v>39881.599999999999</v>
      </c>
    </row>
    <row r="3289" spans="4:11" x14ac:dyDescent="0.35">
      <c r="D3289" s="1">
        <v>40863</v>
      </c>
      <c r="E3289">
        <v>1.7765</v>
      </c>
      <c r="F3289" s="1">
        <v>39786</v>
      </c>
      <c r="G3289">
        <v>123.625</v>
      </c>
      <c r="H3289" s="4">
        <f t="shared" si="272"/>
        <v>219619.8125</v>
      </c>
      <c r="I3289" s="5">
        <v>40800</v>
      </c>
      <c r="J3289" s="4">
        <v>4009.09</v>
      </c>
      <c r="K3289" s="4">
        <f t="shared" si="273"/>
        <v>40090.9</v>
      </c>
    </row>
    <row r="3290" spans="4:11" x14ac:dyDescent="0.35">
      <c r="D3290" s="1">
        <v>40861</v>
      </c>
      <c r="E3290">
        <v>1.7642</v>
      </c>
      <c r="F3290" s="1">
        <v>39783</v>
      </c>
      <c r="G3290">
        <v>120.938</v>
      </c>
      <c r="H3290" s="4">
        <f t="shared" si="272"/>
        <v>213358.81960000002</v>
      </c>
      <c r="I3290" s="5">
        <v>40799</v>
      </c>
      <c r="J3290" s="4">
        <v>4000.95</v>
      </c>
      <c r="K3290" s="4">
        <f t="shared" si="273"/>
        <v>40009.5</v>
      </c>
    </row>
    <row r="3291" spans="4:11" x14ac:dyDescent="0.35">
      <c r="D3291" s="1">
        <v>40858</v>
      </c>
      <c r="E3291">
        <v>1.754</v>
      </c>
      <c r="F3291" s="1">
        <v>39778</v>
      </c>
      <c r="G3291">
        <v>122</v>
      </c>
      <c r="H3291" s="4">
        <f t="shared" si="272"/>
        <v>213988</v>
      </c>
      <c r="I3291" s="5">
        <v>40798</v>
      </c>
      <c r="J3291" s="4">
        <v>3983.51</v>
      </c>
      <c r="K3291" s="4">
        <f t="shared" si="273"/>
        <v>39835.100000000006</v>
      </c>
    </row>
    <row r="3292" spans="4:11" x14ac:dyDescent="0.35">
      <c r="D3292" s="1">
        <v>40857</v>
      </c>
      <c r="E3292">
        <v>1.7603</v>
      </c>
      <c r="F3292" s="1">
        <v>39776</v>
      </c>
      <c r="G3292">
        <v>119.718</v>
      </c>
      <c r="H3292" s="4">
        <f t="shared" si="272"/>
        <v>210739.59540000002</v>
      </c>
      <c r="I3292" s="5">
        <v>40795</v>
      </c>
      <c r="J3292" s="4">
        <v>3916.07</v>
      </c>
      <c r="K3292" s="4">
        <f t="shared" si="273"/>
        <v>39160.700000000004</v>
      </c>
    </row>
    <row r="3293" spans="4:11" x14ac:dyDescent="0.35">
      <c r="D3293" s="1">
        <v>40856</v>
      </c>
      <c r="E3293">
        <v>1.7509999999999999</v>
      </c>
      <c r="F3293" s="1">
        <v>39773</v>
      </c>
      <c r="G3293">
        <v>119.70399999999999</v>
      </c>
      <c r="H3293" s="4">
        <f t="shared" si="272"/>
        <v>209601.704</v>
      </c>
      <c r="I3293" s="5">
        <v>40794</v>
      </c>
      <c r="J3293" s="4">
        <v>3887</v>
      </c>
      <c r="K3293" s="4">
        <f t="shared" si="273"/>
        <v>38870</v>
      </c>
    </row>
    <row r="3294" spans="4:11" x14ac:dyDescent="0.35">
      <c r="D3294" s="1">
        <v>40855</v>
      </c>
      <c r="E3294">
        <v>1.7445999999999999</v>
      </c>
      <c r="F3294" s="1">
        <v>39771</v>
      </c>
      <c r="G3294">
        <v>119.39100000000001</v>
      </c>
      <c r="H3294" s="4">
        <f t="shared" si="272"/>
        <v>208289.53860000003</v>
      </c>
      <c r="I3294" s="5">
        <v>40792</v>
      </c>
      <c r="J3294" s="4">
        <v>3882.35</v>
      </c>
      <c r="K3294" s="4">
        <f t="shared" si="273"/>
        <v>38823.5</v>
      </c>
    </row>
    <row r="3295" spans="4:11" x14ac:dyDescent="0.35">
      <c r="D3295" s="1">
        <v>40854</v>
      </c>
      <c r="E3295">
        <v>1.7496</v>
      </c>
      <c r="F3295" s="1">
        <v>39770</v>
      </c>
      <c r="G3295">
        <v>118.51600000000001</v>
      </c>
      <c r="H3295" s="4">
        <f t="shared" si="272"/>
        <v>207355.59360000002</v>
      </c>
      <c r="I3295" s="5">
        <v>40791</v>
      </c>
      <c r="J3295" s="4">
        <v>3850.96</v>
      </c>
      <c r="K3295" s="4">
        <f t="shared" si="273"/>
        <v>38509.599999999999</v>
      </c>
    </row>
    <row r="3296" spans="4:11" x14ac:dyDescent="0.35">
      <c r="D3296" s="1">
        <v>40851</v>
      </c>
      <c r="E3296">
        <v>1.7407999999999999</v>
      </c>
      <c r="F3296" s="1">
        <v>39766</v>
      </c>
      <c r="G3296">
        <v>116.51600000000001</v>
      </c>
      <c r="H3296" s="4">
        <f t="shared" si="272"/>
        <v>202831.0528</v>
      </c>
      <c r="I3296" s="5">
        <v>40788</v>
      </c>
      <c r="J3296" s="4">
        <v>3843.98</v>
      </c>
      <c r="K3296" s="4">
        <f t="shared" si="273"/>
        <v>38439.800000000003</v>
      </c>
    </row>
    <row r="3297" spans="4:11" x14ac:dyDescent="0.35">
      <c r="D3297" s="1">
        <v>40850</v>
      </c>
      <c r="E3297">
        <v>1.7262</v>
      </c>
      <c r="F3297" s="1">
        <v>39765</v>
      </c>
      <c r="G3297">
        <v>116.875</v>
      </c>
      <c r="H3297" s="4">
        <f t="shared" si="272"/>
        <v>201749.625</v>
      </c>
      <c r="I3297" s="5">
        <v>40787</v>
      </c>
      <c r="J3297" s="4">
        <v>3788.17</v>
      </c>
      <c r="K3297" s="4">
        <f t="shared" si="273"/>
        <v>37881.699999999997</v>
      </c>
    </row>
    <row r="3298" spans="4:11" x14ac:dyDescent="0.35">
      <c r="D3298" s="1">
        <v>40848</v>
      </c>
      <c r="E3298">
        <v>1.7499</v>
      </c>
      <c r="F3298" s="1">
        <v>39764</v>
      </c>
      <c r="G3298">
        <v>116.625</v>
      </c>
      <c r="H3298" s="4">
        <f t="shared" si="272"/>
        <v>204082.08749999999</v>
      </c>
      <c r="I3298" s="5">
        <v>40786</v>
      </c>
      <c r="J3298" s="4">
        <v>3716.08</v>
      </c>
      <c r="K3298" s="4">
        <f t="shared" si="273"/>
        <v>37160.800000000003</v>
      </c>
    </row>
    <row r="3299" spans="4:11" x14ac:dyDescent="0.35">
      <c r="D3299" s="1">
        <v>40847</v>
      </c>
      <c r="E3299">
        <v>1.6878</v>
      </c>
      <c r="F3299" s="1">
        <v>39763</v>
      </c>
      <c r="G3299">
        <v>116.188</v>
      </c>
      <c r="H3299" s="4">
        <f t="shared" si="272"/>
        <v>196102.10639999999</v>
      </c>
      <c r="I3299" s="5">
        <v>40785</v>
      </c>
      <c r="J3299" s="4">
        <v>3733.64</v>
      </c>
      <c r="K3299" s="4">
        <f t="shared" si="273"/>
        <v>37336.400000000001</v>
      </c>
    </row>
    <row r="3300" spans="4:11" x14ac:dyDescent="0.35">
      <c r="D3300" s="1">
        <v>40844</v>
      </c>
      <c r="E3300">
        <v>1.6979</v>
      </c>
      <c r="F3300" s="1">
        <v>39762</v>
      </c>
      <c r="G3300">
        <v>115.547</v>
      </c>
      <c r="H3300" s="4">
        <f t="shared" si="272"/>
        <v>196187.25129999997</v>
      </c>
      <c r="I3300" s="5">
        <v>40784</v>
      </c>
      <c r="J3300" s="4">
        <v>3725.45</v>
      </c>
      <c r="K3300" s="4">
        <f t="shared" si="273"/>
        <v>37254.5</v>
      </c>
    </row>
    <row r="3301" spans="4:11" x14ac:dyDescent="0.35">
      <c r="D3301" s="1">
        <v>40843</v>
      </c>
      <c r="E3301">
        <v>1.7316</v>
      </c>
      <c r="F3301" s="1">
        <v>39759</v>
      </c>
      <c r="G3301">
        <v>115.48399999999999</v>
      </c>
      <c r="H3301" s="4">
        <f t="shared" si="272"/>
        <v>199972.0944</v>
      </c>
      <c r="I3301" s="5">
        <v>40781</v>
      </c>
      <c r="J3301" s="4">
        <v>3760.56</v>
      </c>
      <c r="K3301" s="4">
        <f t="shared" si="273"/>
        <v>37605.599999999999</v>
      </c>
    </row>
    <row r="3302" spans="4:11" x14ac:dyDescent="0.35">
      <c r="D3302" s="1">
        <v>40842</v>
      </c>
      <c r="E3302">
        <v>1.7599</v>
      </c>
      <c r="F3302" s="1">
        <v>39758</v>
      </c>
      <c r="G3302">
        <v>115.84399999999999</v>
      </c>
      <c r="H3302" s="4">
        <f t="shared" si="272"/>
        <v>203873.85559999998</v>
      </c>
      <c r="I3302" s="5">
        <v>40780</v>
      </c>
      <c r="J3302" s="4">
        <v>3771.09</v>
      </c>
      <c r="K3302" s="4">
        <f t="shared" si="273"/>
        <v>37710.9</v>
      </c>
    </row>
    <row r="3303" spans="4:11" x14ac:dyDescent="0.35">
      <c r="D3303" s="1">
        <v>40841</v>
      </c>
      <c r="E3303">
        <v>1.7541</v>
      </c>
      <c r="F3303" s="1">
        <v>39757</v>
      </c>
      <c r="G3303">
        <v>115.65600000000001</v>
      </c>
      <c r="H3303" s="4">
        <f t="shared" si="272"/>
        <v>202872.18960000001</v>
      </c>
      <c r="I3303" s="5">
        <v>40779</v>
      </c>
      <c r="J3303" s="4">
        <v>3780.46</v>
      </c>
      <c r="K3303" s="4">
        <f t="shared" si="273"/>
        <v>37804.6</v>
      </c>
    </row>
    <row r="3304" spans="4:11" x14ac:dyDescent="0.35">
      <c r="D3304" s="1">
        <v>40840</v>
      </c>
      <c r="E3304">
        <v>1.7761</v>
      </c>
      <c r="F3304" s="1">
        <v>39756</v>
      </c>
      <c r="G3304">
        <v>114.71899999999999</v>
      </c>
      <c r="H3304" s="4">
        <f t="shared" si="272"/>
        <v>203752.41589999999</v>
      </c>
      <c r="I3304" s="5">
        <v>40778</v>
      </c>
      <c r="J3304" s="4">
        <v>3746.51</v>
      </c>
      <c r="K3304" s="4">
        <f t="shared" si="273"/>
        <v>37465.100000000006</v>
      </c>
    </row>
    <row r="3305" spans="4:11" x14ac:dyDescent="0.35">
      <c r="D3305" s="1">
        <v>40837</v>
      </c>
      <c r="E3305">
        <v>1.7796000000000001</v>
      </c>
      <c r="F3305" s="1">
        <v>39755</v>
      </c>
      <c r="G3305">
        <v>113.203</v>
      </c>
      <c r="H3305" s="4">
        <f t="shared" si="272"/>
        <v>201456.05880000003</v>
      </c>
      <c r="I3305" s="5">
        <v>40777</v>
      </c>
      <c r="J3305" s="4">
        <v>3773.43</v>
      </c>
      <c r="K3305" s="4">
        <f t="shared" si="273"/>
        <v>37734.299999999996</v>
      </c>
    </row>
    <row r="3306" spans="4:11" x14ac:dyDescent="0.35">
      <c r="D3306" s="1">
        <v>40836</v>
      </c>
      <c r="E3306">
        <v>1.7819</v>
      </c>
      <c r="F3306" s="1">
        <v>39745</v>
      </c>
      <c r="G3306">
        <v>116.313</v>
      </c>
      <c r="H3306" s="4">
        <f t="shared" si="272"/>
        <v>207258.1347</v>
      </c>
      <c r="I3306" s="5">
        <v>40774</v>
      </c>
      <c r="J3306" s="4">
        <v>3759.39</v>
      </c>
      <c r="K3306" s="4">
        <f t="shared" si="273"/>
        <v>37593.9</v>
      </c>
    </row>
    <row r="3307" spans="4:11" x14ac:dyDescent="0.35">
      <c r="D3307" s="1">
        <v>40835</v>
      </c>
      <c r="E3307">
        <v>1.7597</v>
      </c>
      <c r="F3307" s="1">
        <v>39744</v>
      </c>
      <c r="G3307">
        <v>115.40600000000001</v>
      </c>
      <c r="H3307" s="4">
        <f t="shared" si="272"/>
        <v>203079.9382</v>
      </c>
      <c r="I3307" s="5">
        <v>40773</v>
      </c>
      <c r="J3307" s="4">
        <v>3757.05</v>
      </c>
      <c r="K3307" s="4">
        <f t="shared" si="273"/>
        <v>37570.5</v>
      </c>
    </row>
    <row r="3308" spans="4:11" x14ac:dyDescent="0.35">
      <c r="D3308" s="1">
        <v>40834</v>
      </c>
      <c r="E3308">
        <v>1.7717000000000001</v>
      </c>
      <c r="F3308" s="1">
        <v>39743</v>
      </c>
      <c r="G3308">
        <v>115.078</v>
      </c>
      <c r="H3308" s="4">
        <f t="shared" si="272"/>
        <v>203883.69260000001</v>
      </c>
      <c r="I3308" s="5">
        <v>40772</v>
      </c>
      <c r="J3308" s="4">
        <v>3731.3</v>
      </c>
      <c r="K3308" s="4">
        <f t="shared" si="273"/>
        <v>37313</v>
      </c>
    </row>
    <row r="3309" spans="4:11" x14ac:dyDescent="0.35">
      <c r="D3309" s="1">
        <v>40833</v>
      </c>
      <c r="E3309">
        <v>1.7481</v>
      </c>
      <c r="F3309" s="1">
        <v>39742</v>
      </c>
      <c r="G3309">
        <v>114.48399999999999</v>
      </c>
      <c r="H3309" s="4">
        <f t="shared" si="272"/>
        <v>200129.48039999997</v>
      </c>
      <c r="I3309" s="5">
        <v>40771</v>
      </c>
      <c r="J3309" s="4">
        <v>3738.32</v>
      </c>
      <c r="K3309" s="4">
        <f t="shared" si="273"/>
        <v>37383.200000000004</v>
      </c>
    </row>
    <row r="3310" spans="4:11" x14ac:dyDescent="0.35">
      <c r="D3310" s="1">
        <v>40830</v>
      </c>
      <c r="E3310">
        <v>1.7369000000000001</v>
      </c>
      <c r="F3310" s="1">
        <v>39741</v>
      </c>
      <c r="G3310">
        <v>112.625</v>
      </c>
      <c r="H3310" s="4">
        <f t="shared" si="272"/>
        <v>195618.36250000002</v>
      </c>
      <c r="I3310" s="5">
        <v>40770</v>
      </c>
      <c r="J3310" s="4">
        <v>3735.98</v>
      </c>
      <c r="K3310" s="4">
        <f t="shared" si="273"/>
        <v>37359.800000000003</v>
      </c>
    </row>
    <row r="3311" spans="4:11" x14ac:dyDescent="0.35">
      <c r="D3311" s="1">
        <v>40829</v>
      </c>
      <c r="E3311">
        <v>1.7528999999999999</v>
      </c>
      <c r="F3311" s="1">
        <v>39738</v>
      </c>
      <c r="G3311">
        <v>111.703</v>
      </c>
      <c r="H3311" s="4">
        <f t="shared" si="272"/>
        <v>195804.1887</v>
      </c>
      <c r="I3311" s="5">
        <v>40767</v>
      </c>
      <c r="J3311" s="4">
        <v>3794.5</v>
      </c>
      <c r="K3311" s="4">
        <f t="shared" si="273"/>
        <v>37945</v>
      </c>
    </row>
    <row r="3312" spans="4:11" x14ac:dyDescent="0.35">
      <c r="D3312" s="1">
        <v>40827</v>
      </c>
      <c r="E3312">
        <v>1.7652000000000001</v>
      </c>
      <c r="F3312" s="1">
        <v>39736</v>
      </c>
      <c r="G3312">
        <v>111.688</v>
      </c>
      <c r="H3312" s="4">
        <f t="shared" si="272"/>
        <v>197151.65760000004</v>
      </c>
      <c r="I3312" s="5">
        <v>40766</v>
      </c>
      <c r="J3312" s="4">
        <v>3833.12</v>
      </c>
      <c r="K3312" s="4">
        <f t="shared" si="273"/>
        <v>38331.199999999997</v>
      </c>
    </row>
    <row r="3313" spans="4:11" x14ac:dyDescent="0.35">
      <c r="D3313" s="1">
        <v>40826</v>
      </c>
      <c r="E3313">
        <v>1.7471000000000001</v>
      </c>
      <c r="F3313" s="1">
        <v>39735</v>
      </c>
      <c r="G3313">
        <v>112.625</v>
      </c>
      <c r="H3313" s="4">
        <f t="shared" si="272"/>
        <v>196767.13750000001</v>
      </c>
      <c r="I3313" s="5">
        <v>40765</v>
      </c>
      <c r="J3313" s="4">
        <v>3829.61</v>
      </c>
      <c r="K3313" s="4">
        <f t="shared" si="273"/>
        <v>38296.1</v>
      </c>
    </row>
    <row r="3314" spans="4:11" x14ac:dyDescent="0.35">
      <c r="D3314" s="1">
        <v>40823</v>
      </c>
      <c r="E3314">
        <v>1.7659</v>
      </c>
      <c r="F3314" s="1">
        <v>39731</v>
      </c>
      <c r="G3314">
        <v>113.422</v>
      </c>
      <c r="H3314" s="4">
        <f t="shared" si="272"/>
        <v>200291.90979999999</v>
      </c>
      <c r="I3314" s="5">
        <v>40764</v>
      </c>
      <c r="J3314" s="4">
        <v>3745.34</v>
      </c>
      <c r="K3314" s="4">
        <f t="shared" si="273"/>
        <v>37453.4</v>
      </c>
    </row>
    <row r="3315" spans="4:11" x14ac:dyDescent="0.35">
      <c r="D3315" s="1">
        <v>40822</v>
      </c>
      <c r="E3315">
        <v>1.8109</v>
      </c>
      <c r="F3315" s="1">
        <v>39730</v>
      </c>
      <c r="G3315">
        <v>114.40600000000001</v>
      </c>
      <c r="H3315" s="4">
        <f t="shared" si="272"/>
        <v>207177.82540000003</v>
      </c>
      <c r="I3315" s="5">
        <v>40763</v>
      </c>
      <c r="J3315" s="4">
        <v>3834.3</v>
      </c>
      <c r="K3315" s="4">
        <f t="shared" si="273"/>
        <v>38343</v>
      </c>
    </row>
    <row r="3316" spans="4:11" x14ac:dyDescent="0.35">
      <c r="D3316" s="1">
        <v>40821</v>
      </c>
      <c r="E3316">
        <v>1.8449</v>
      </c>
      <c r="F3316" s="1">
        <v>39729</v>
      </c>
      <c r="G3316">
        <v>115.01600000000001</v>
      </c>
      <c r="H3316" s="4">
        <f t="shared" si="272"/>
        <v>212193.0184</v>
      </c>
      <c r="I3316" s="5">
        <v>40760</v>
      </c>
      <c r="J3316" s="4">
        <v>3717.25</v>
      </c>
      <c r="K3316" s="4">
        <f t="shared" si="273"/>
        <v>37172.5</v>
      </c>
    </row>
    <row r="3317" spans="4:11" x14ac:dyDescent="0.35">
      <c r="D3317" s="1">
        <v>40820</v>
      </c>
      <c r="E3317">
        <v>1.8848</v>
      </c>
      <c r="F3317" s="1">
        <v>39728</v>
      </c>
      <c r="G3317">
        <v>117.10899999999999</v>
      </c>
      <c r="H3317" s="4">
        <f t="shared" si="272"/>
        <v>220727.04319999999</v>
      </c>
      <c r="I3317" s="5">
        <v>40759</v>
      </c>
      <c r="J3317" s="4">
        <v>3750.02</v>
      </c>
      <c r="K3317" s="4">
        <f t="shared" si="273"/>
        <v>37500.199999999997</v>
      </c>
    </row>
    <row r="3318" spans="4:11" x14ac:dyDescent="0.35">
      <c r="D3318" s="1">
        <v>40819</v>
      </c>
      <c r="E3318">
        <v>1.8804000000000001</v>
      </c>
      <c r="F3318" s="1">
        <v>39727</v>
      </c>
      <c r="G3318">
        <v>117.328</v>
      </c>
      <c r="H3318" s="4">
        <f t="shared" si="272"/>
        <v>220623.57120000001</v>
      </c>
      <c r="I3318" s="5">
        <v>40758</v>
      </c>
      <c r="J3318" s="4">
        <v>3675.12</v>
      </c>
      <c r="K3318" s="4">
        <f t="shared" si="273"/>
        <v>36751.199999999997</v>
      </c>
    </row>
    <row r="3319" spans="4:11" x14ac:dyDescent="0.35">
      <c r="D3319" s="1">
        <v>40816</v>
      </c>
      <c r="E3319">
        <v>1.8535999999999999</v>
      </c>
      <c r="F3319" s="1">
        <v>39724</v>
      </c>
      <c r="G3319">
        <v>116.03100000000001</v>
      </c>
      <c r="H3319" s="4">
        <f t="shared" si="272"/>
        <v>215075.06159999999</v>
      </c>
      <c r="I3319" s="5">
        <v>40757</v>
      </c>
      <c r="J3319" s="4">
        <v>3700.87</v>
      </c>
      <c r="K3319" s="4">
        <f t="shared" si="273"/>
        <v>37008.699999999997</v>
      </c>
    </row>
    <row r="3320" spans="4:11" x14ac:dyDescent="0.35">
      <c r="D3320" s="1">
        <v>40815</v>
      </c>
      <c r="E3320">
        <v>1.8283</v>
      </c>
      <c r="F3320" s="1">
        <v>39722</v>
      </c>
      <c r="G3320">
        <v>115.21899999999999</v>
      </c>
      <c r="H3320" s="4">
        <f t="shared" si="272"/>
        <v>210654.8977</v>
      </c>
      <c r="I3320" s="5">
        <v>40756</v>
      </c>
      <c r="J3320" s="4">
        <v>3697.36</v>
      </c>
      <c r="K3320" s="4">
        <f t="shared" si="273"/>
        <v>36973.599999999999</v>
      </c>
    </row>
    <row r="3321" spans="4:11" x14ac:dyDescent="0.35">
      <c r="D3321" s="1">
        <v>40814</v>
      </c>
      <c r="E3321">
        <v>1.8123</v>
      </c>
      <c r="F3321" s="1">
        <v>39720</v>
      </c>
      <c r="G3321">
        <v>116.188</v>
      </c>
      <c r="H3321" s="4">
        <f t="shared" si="272"/>
        <v>210567.51240000001</v>
      </c>
      <c r="I3321" s="5">
        <v>40753</v>
      </c>
      <c r="J3321" s="4">
        <v>3659.9</v>
      </c>
      <c r="K3321" s="4">
        <f t="shared" si="273"/>
        <v>36599</v>
      </c>
    </row>
    <row r="3322" spans="4:11" x14ac:dyDescent="0.35">
      <c r="D3322" s="1">
        <v>40813</v>
      </c>
      <c r="E3322">
        <v>1.8</v>
      </c>
      <c r="F3322" s="1">
        <v>39716</v>
      </c>
      <c r="G3322">
        <v>114.34399999999999</v>
      </c>
      <c r="H3322" s="4">
        <f t="shared" si="272"/>
        <v>205819.19999999998</v>
      </c>
      <c r="I3322" s="5">
        <v>40752</v>
      </c>
      <c r="J3322" s="4">
        <v>3688.13</v>
      </c>
      <c r="K3322" s="4">
        <f t="shared" si="273"/>
        <v>36881.300000000003</v>
      </c>
    </row>
    <row r="3323" spans="4:11" x14ac:dyDescent="0.35">
      <c r="D3323" s="1">
        <v>40812</v>
      </c>
      <c r="E3323">
        <v>1.8436999999999999</v>
      </c>
      <c r="F3323" s="1">
        <v>39715</v>
      </c>
      <c r="G3323">
        <v>115.188</v>
      </c>
      <c r="H3323" s="4">
        <f t="shared" si="272"/>
        <v>212372.11559999999</v>
      </c>
      <c r="I3323" s="5">
        <v>40751</v>
      </c>
      <c r="J3323" s="4">
        <v>3669.31</v>
      </c>
      <c r="K3323" s="4">
        <f t="shared" si="273"/>
        <v>36693.1</v>
      </c>
    </row>
    <row r="3324" spans="4:11" x14ac:dyDescent="0.35">
      <c r="D3324" s="1">
        <v>40809</v>
      </c>
      <c r="E3324">
        <v>1.8727</v>
      </c>
      <c r="F3324" s="1">
        <v>39713</v>
      </c>
      <c r="G3324">
        <v>114.89100000000001</v>
      </c>
      <c r="H3324" s="4">
        <f t="shared" si="272"/>
        <v>215156.3757</v>
      </c>
      <c r="I3324" s="5">
        <v>40750</v>
      </c>
      <c r="J3324" s="4">
        <v>3625.8</v>
      </c>
      <c r="K3324" s="4">
        <f t="shared" si="273"/>
        <v>36258</v>
      </c>
    </row>
    <row r="3325" spans="4:11" x14ac:dyDescent="0.35">
      <c r="D3325" s="1">
        <v>40808</v>
      </c>
      <c r="E3325">
        <v>1.9008</v>
      </c>
      <c r="F3325" s="1">
        <v>39710</v>
      </c>
      <c r="G3325">
        <v>115.828</v>
      </c>
      <c r="H3325" s="4">
        <f t="shared" si="272"/>
        <v>220165.86240000001</v>
      </c>
      <c r="I3325" s="5">
        <v>40749</v>
      </c>
      <c r="J3325" s="4">
        <v>3625.8</v>
      </c>
      <c r="K3325" s="4">
        <f t="shared" si="273"/>
        <v>36258</v>
      </c>
    </row>
    <row r="3326" spans="4:11" x14ac:dyDescent="0.35">
      <c r="D3326" s="1">
        <v>40807</v>
      </c>
      <c r="E3326">
        <v>1.8271999999999999</v>
      </c>
      <c r="F3326" s="1">
        <v>39709</v>
      </c>
      <c r="G3326">
        <v>117.96899999999999</v>
      </c>
      <c r="H3326" s="4">
        <f t="shared" si="272"/>
        <v>215552.95679999999</v>
      </c>
      <c r="I3326" s="5">
        <v>40746</v>
      </c>
      <c r="J3326" s="4">
        <v>3655.2</v>
      </c>
      <c r="K3326" s="4">
        <f t="shared" si="273"/>
        <v>36552</v>
      </c>
    </row>
    <row r="3327" spans="4:11" x14ac:dyDescent="0.35">
      <c r="D3327" s="1">
        <v>40806</v>
      </c>
      <c r="E3327">
        <v>1.7862</v>
      </c>
      <c r="F3327" s="1">
        <v>39707</v>
      </c>
      <c r="G3327">
        <v>117.813</v>
      </c>
      <c r="H3327" s="4">
        <f t="shared" si="272"/>
        <v>210437.58060000002</v>
      </c>
      <c r="I3327" s="5">
        <v>40745</v>
      </c>
      <c r="J3327" s="4">
        <v>3659.9</v>
      </c>
      <c r="K3327" s="4">
        <f t="shared" si="273"/>
        <v>36599</v>
      </c>
    </row>
    <row r="3328" spans="4:11" x14ac:dyDescent="0.35">
      <c r="D3328" s="1">
        <v>40805</v>
      </c>
      <c r="E3328">
        <v>1.7755000000000001</v>
      </c>
      <c r="F3328" s="1">
        <v>39706</v>
      </c>
      <c r="G3328">
        <v>117.71899999999999</v>
      </c>
      <c r="H3328" s="4">
        <f t="shared" si="272"/>
        <v>209010.0845</v>
      </c>
      <c r="I3328" s="5">
        <v>40744</v>
      </c>
      <c r="J3328" s="4">
        <v>3694.01</v>
      </c>
      <c r="K3328" s="4">
        <f t="shared" si="273"/>
        <v>36940.100000000006</v>
      </c>
    </row>
    <row r="3329" spans="4:11" x14ac:dyDescent="0.35">
      <c r="D3329" s="1">
        <v>40802</v>
      </c>
      <c r="E3329">
        <v>1.7114</v>
      </c>
      <c r="F3329" s="1">
        <v>39703</v>
      </c>
      <c r="G3329">
        <v>116.375</v>
      </c>
      <c r="H3329" s="4">
        <f t="shared" si="272"/>
        <v>199164.17499999999</v>
      </c>
      <c r="I3329" s="5">
        <v>40743</v>
      </c>
      <c r="J3329" s="4">
        <v>3688.13</v>
      </c>
      <c r="K3329" s="4">
        <f t="shared" si="273"/>
        <v>36881.300000000003</v>
      </c>
    </row>
    <row r="3330" spans="4:11" x14ac:dyDescent="0.35">
      <c r="D3330" s="1">
        <v>40801</v>
      </c>
      <c r="E3330">
        <v>1.7098</v>
      </c>
      <c r="F3330" s="1">
        <v>39702</v>
      </c>
      <c r="G3330">
        <v>116.71899999999999</v>
      </c>
      <c r="H3330" s="4">
        <f t="shared" si="272"/>
        <v>199566.14619999999</v>
      </c>
      <c r="I3330" s="5">
        <v>40742</v>
      </c>
      <c r="J3330" s="4">
        <v>3716.35</v>
      </c>
      <c r="K3330" s="4">
        <f t="shared" si="273"/>
        <v>37163.5</v>
      </c>
    </row>
    <row r="3331" spans="4:11" x14ac:dyDescent="0.35">
      <c r="D3331" s="1">
        <v>40800</v>
      </c>
      <c r="E3331">
        <v>1.728</v>
      </c>
      <c r="F3331" s="1">
        <v>39701</v>
      </c>
      <c r="G3331">
        <v>116.53100000000001</v>
      </c>
      <c r="H3331" s="4">
        <f t="shared" si="272"/>
        <v>201365.568</v>
      </c>
      <c r="I3331" s="5">
        <v>40739</v>
      </c>
      <c r="J3331" s="4">
        <v>3711.65</v>
      </c>
      <c r="K3331" s="4">
        <f t="shared" si="273"/>
        <v>37116.5</v>
      </c>
    </row>
    <row r="3332" spans="4:11" x14ac:dyDescent="0.35">
      <c r="D3332" s="1">
        <v>40799</v>
      </c>
      <c r="E3332">
        <v>1.7119</v>
      </c>
      <c r="F3332" s="1">
        <v>39700</v>
      </c>
      <c r="G3332">
        <v>116.78100000000001</v>
      </c>
      <c r="H3332" s="4">
        <f t="shared" ref="H3332:H3395" si="274">G3332*E3332*1000</f>
        <v>199917.3939</v>
      </c>
      <c r="I3332" s="5">
        <v>40738</v>
      </c>
      <c r="J3332" s="4">
        <v>3726.94</v>
      </c>
      <c r="K3332" s="4">
        <f t="shared" si="273"/>
        <v>37269.4</v>
      </c>
    </row>
    <row r="3333" spans="4:11" x14ac:dyDescent="0.35">
      <c r="D3333" s="1">
        <v>40798</v>
      </c>
      <c r="E3333">
        <v>1.6891</v>
      </c>
      <c r="F3333" s="1">
        <v>39699</v>
      </c>
      <c r="G3333">
        <v>116.414</v>
      </c>
      <c r="H3333" s="4">
        <f t="shared" si="274"/>
        <v>196634.88740000001</v>
      </c>
      <c r="I3333" s="5">
        <v>40737</v>
      </c>
      <c r="J3333" s="4">
        <v>3721.06</v>
      </c>
      <c r="K3333" s="4">
        <f t="shared" ref="K3333:K3396" si="275">J3333*10</f>
        <v>37210.6</v>
      </c>
    </row>
    <row r="3334" spans="4:11" x14ac:dyDescent="0.35">
      <c r="D3334" s="1">
        <v>40795</v>
      </c>
      <c r="E3334">
        <v>1.6766000000000001</v>
      </c>
      <c r="F3334" s="1">
        <v>39696</v>
      </c>
      <c r="G3334">
        <v>116.188</v>
      </c>
      <c r="H3334" s="4">
        <f t="shared" si="274"/>
        <v>194800.80080000003</v>
      </c>
      <c r="I3334" s="5">
        <v>40736</v>
      </c>
      <c r="J3334" s="4">
        <v>3732.82</v>
      </c>
      <c r="K3334" s="4">
        <f t="shared" si="275"/>
        <v>37328.200000000004</v>
      </c>
    </row>
    <row r="3335" spans="4:11" x14ac:dyDescent="0.35">
      <c r="D3335" s="1">
        <v>40794</v>
      </c>
      <c r="E3335">
        <v>1.6557999999999999</v>
      </c>
      <c r="F3335" s="1">
        <v>39695</v>
      </c>
      <c r="G3335">
        <v>116.96899999999999</v>
      </c>
      <c r="H3335" s="4">
        <f t="shared" si="274"/>
        <v>193677.27019999997</v>
      </c>
      <c r="I3335" s="5">
        <v>40735</v>
      </c>
      <c r="J3335" s="4">
        <v>3725.76</v>
      </c>
      <c r="K3335" s="4">
        <f t="shared" si="275"/>
        <v>37257.600000000006</v>
      </c>
    </row>
    <row r="3336" spans="4:11" x14ac:dyDescent="0.35">
      <c r="D3336" s="1">
        <v>40792</v>
      </c>
      <c r="E3336">
        <v>1.6575</v>
      </c>
      <c r="F3336" s="1">
        <v>39694</v>
      </c>
      <c r="G3336">
        <v>116.21899999999999</v>
      </c>
      <c r="H3336" s="4">
        <f t="shared" si="274"/>
        <v>192632.99249999999</v>
      </c>
      <c r="I3336" s="5">
        <v>40732</v>
      </c>
      <c r="J3336" s="4">
        <v>3694.01</v>
      </c>
      <c r="K3336" s="4">
        <f t="shared" si="275"/>
        <v>36940.100000000006</v>
      </c>
    </row>
    <row r="3337" spans="4:11" x14ac:dyDescent="0.35">
      <c r="D3337" s="1">
        <v>40791</v>
      </c>
      <c r="E3337">
        <v>1.6514</v>
      </c>
      <c r="F3337" s="1">
        <v>39693</v>
      </c>
      <c r="G3337">
        <v>116.15600000000001</v>
      </c>
      <c r="H3337" s="4">
        <f t="shared" si="274"/>
        <v>191820.0184</v>
      </c>
      <c r="I3337" s="5">
        <v>40731</v>
      </c>
      <c r="J3337" s="4">
        <v>3674.02</v>
      </c>
      <c r="K3337" s="4">
        <f t="shared" si="275"/>
        <v>36740.199999999997</v>
      </c>
    </row>
    <row r="3338" spans="4:11" x14ac:dyDescent="0.35">
      <c r="D3338" s="1">
        <v>40788</v>
      </c>
      <c r="E3338">
        <v>1.6335</v>
      </c>
      <c r="F3338" s="1">
        <v>39689</v>
      </c>
      <c r="G3338">
        <v>115.23399999999999</v>
      </c>
      <c r="H3338" s="4">
        <f t="shared" si="274"/>
        <v>188234.739</v>
      </c>
      <c r="I3338" s="5">
        <v>40730</v>
      </c>
      <c r="J3338" s="4">
        <v>3710.47</v>
      </c>
      <c r="K3338" s="4">
        <f t="shared" si="275"/>
        <v>37104.699999999997</v>
      </c>
    </row>
    <row r="3339" spans="4:11" x14ac:dyDescent="0.35">
      <c r="D3339" s="1">
        <v>40787</v>
      </c>
      <c r="E3339">
        <v>1.6032</v>
      </c>
      <c r="F3339" s="1">
        <v>39688</v>
      </c>
      <c r="G3339">
        <v>116.85899999999999</v>
      </c>
      <c r="H3339" s="4">
        <f t="shared" si="274"/>
        <v>187348.34880000001</v>
      </c>
      <c r="I3339" s="5">
        <v>40729</v>
      </c>
      <c r="J3339" s="4">
        <v>3699.89</v>
      </c>
      <c r="K3339" s="4">
        <f t="shared" si="275"/>
        <v>36998.9</v>
      </c>
    </row>
    <row r="3340" spans="4:11" x14ac:dyDescent="0.35">
      <c r="D3340" s="1">
        <v>40786</v>
      </c>
      <c r="E3340">
        <v>1.5864</v>
      </c>
      <c r="F3340" s="1">
        <v>39687</v>
      </c>
      <c r="G3340">
        <v>117.09399999999999</v>
      </c>
      <c r="H3340" s="4">
        <f t="shared" si="274"/>
        <v>185757.9216</v>
      </c>
      <c r="I3340" s="5">
        <v>40728</v>
      </c>
      <c r="J3340" s="4">
        <v>3672.84</v>
      </c>
      <c r="K3340" s="4">
        <f t="shared" si="275"/>
        <v>36728.400000000001</v>
      </c>
    </row>
    <row r="3341" spans="4:11" x14ac:dyDescent="0.35">
      <c r="D3341" s="1">
        <v>40785</v>
      </c>
      <c r="E3341">
        <v>1.5895999999999999</v>
      </c>
      <c r="F3341" s="1">
        <v>39686</v>
      </c>
      <c r="G3341">
        <v>116.84399999999999</v>
      </c>
      <c r="H3341" s="4">
        <f t="shared" si="274"/>
        <v>185735.22239999997</v>
      </c>
      <c r="I3341" s="5">
        <v>40725</v>
      </c>
      <c r="J3341" s="4">
        <v>3683.42</v>
      </c>
      <c r="K3341" s="4">
        <f t="shared" si="275"/>
        <v>36834.199999999997</v>
      </c>
    </row>
    <row r="3342" spans="4:11" x14ac:dyDescent="0.35">
      <c r="D3342" s="1">
        <v>40784</v>
      </c>
      <c r="E3342">
        <v>1.5966</v>
      </c>
      <c r="F3342" s="1">
        <v>39685</v>
      </c>
      <c r="G3342">
        <v>116.672</v>
      </c>
      <c r="H3342" s="4">
        <f t="shared" si="274"/>
        <v>186278.51519999999</v>
      </c>
      <c r="I3342" s="5">
        <v>40724</v>
      </c>
      <c r="J3342" s="4">
        <v>3701.06</v>
      </c>
      <c r="K3342" s="4">
        <f t="shared" si="275"/>
        <v>37010.6</v>
      </c>
    </row>
    <row r="3343" spans="4:11" x14ac:dyDescent="0.35">
      <c r="D3343" s="1">
        <v>40781</v>
      </c>
      <c r="E3343">
        <v>1.6106</v>
      </c>
      <c r="F3343" s="1">
        <v>39682</v>
      </c>
      <c r="G3343">
        <v>116.09399999999999</v>
      </c>
      <c r="H3343" s="4">
        <f t="shared" si="274"/>
        <v>186980.99639999997</v>
      </c>
      <c r="I3343" s="5">
        <v>40723</v>
      </c>
      <c r="J3343" s="4">
        <v>3721.22</v>
      </c>
      <c r="K3343" s="4">
        <f t="shared" si="275"/>
        <v>37212.199999999997</v>
      </c>
    </row>
    <row r="3344" spans="4:11" x14ac:dyDescent="0.35">
      <c r="D3344" s="1">
        <v>40780</v>
      </c>
      <c r="E3344">
        <v>1.6146</v>
      </c>
      <c r="F3344" s="1">
        <v>39681</v>
      </c>
      <c r="G3344">
        <v>116.28100000000001</v>
      </c>
      <c r="H3344" s="4">
        <f t="shared" si="274"/>
        <v>187747.30260000002</v>
      </c>
      <c r="I3344" s="5">
        <v>40722</v>
      </c>
      <c r="J3344" s="4">
        <v>3741.38</v>
      </c>
      <c r="K3344" s="4">
        <f t="shared" si="275"/>
        <v>37413.800000000003</v>
      </c>
    </row>
    <row r="3345" spans="4:11" x14ac:dyDescent="0.35">
      <c r="D3345" s="1">
        <v>40779</v>
      </c>
      <c r="E3345">
        <v>1.6031</v>
      </c>
      <c r="F3345" s="1">
        <v>39680</v>
      </c>
      <c r="G3345">
        <v>116.578</v>
      </c>
      <c r="H3345" s="4">
        <f t="shared" si="274"/>
        <v>186886.1918</v>
      </c>
      <c r="I3345" s="5">
        <v>40721</v>
      </c>
      <c r="J3345" s="4">
        <v>3785.26</v>
      </c>
      <c r="K3345" s="4">
        <f t="shared" si="275"/>
        <v>37852.600000000006</v>
      </c>
    </row>
    <row r="3346" spans="4:11" x14ac:dyDescent="0.35">
      <c r="D3346" s="1">
        <v>40778</v>
      </c>
      <c r="E3346">
        <v>1.6028</v>
      </c>
      <c r="F3346" s="1">
        <v>39679</v>
      </c>
      <c r="G3346">
        <v>116.23399999999999</v>
      </c>
      <c r="H3346" s="4">
        <f t="shared" si="274"/>
        <v>186299.85519999999</v>
      </c>
      <c r="I3346" s="5">
        <v>40718</v>
      </c>
      <c r="J3346" s="4">
        <v>3811.35</v>
      </c>
      <c r="K3346" s="4">
        <f t="shared" si="275"/>
        <v>38113.5</v>
      </c>
    </row>
    <row r="3347" spans="4:11" x14ac:dyDescent="0.35">
      <c r="D3347" s="1">
        <v>40777</v>
      </c>
      <c r="E3347">
        <v>1.6001000000000001</v>
      </c>
      <c r="F3347" s="1">
        <v>39675</v>
      </c>
      <c r="G3347">
        <v>116.09399999999999</v>
      </c>
      <c r="H3347" s="4">
        <f t="shared" si="274"/>
        <v>185762.00940000001</v>
      </c>
      <c r="I3347" s="5">
        <v>40716</v>
      </c>
      <c r="J3347" s="4">
        <v>3780.52</v>
      </c>
      <c r="K3347" s="4">
        <f t="shared" si="275"/>
        <v>37805.199999999997</v>
      </c>
    </row>
    <row r="3348" spans="4:11" x14ac:dyDescent="0.35">
      <c r="D3348" s="1">
        <v>40774</v>
      </c>
      <c r="E3348">
        <v>1.5952</v>
      </c>
      <c r="F3348" s="1">
        <v>39674</v>
      </c>
      <c r="G3348">
        <v>115.672</v>
      </c>
      <c r="H3348" s="4">
        <f t="shared" si="274"/>
        <v>184519.97440000001</v>
      </c>
      <c r="I3348" s="5">
        <v>40715</v>
      </c>
      <c r="J3348" s="4">
        <v>3771.03</v>
      </c>
      <c r="K3348" s="4">
        <f t="shared" si="275"/>
        <v>37710.300000000003</v>
      </c>
    </row>
    <row r="3349" spans="4:11" x14ac:dyDescent="0.35">
      <c r="D3349" s="1">
        <v>40773</v>
      </c>
      <c r="E3349">
        <v>1.6053999999999999</v>
      </c>
      <c r="F3349" s="1">
        <v>39672</v>
      </c>
      <c r="G3349">
        <v>115.71899999999999</v>
      </c>
      <c r="H3349" s="4">
        <f t="shared" si="274"/>
        <v>185775.28260000001</v>
      </c>
      <c r="I3349" s="5">
        <v>40714</v>
      </c>
      <c r="J3349" s="4">
        <v>3797.12</v>
      </c>
      <c r="K3349" s="4">
        <f t="shared" si="275"/>
        <v>37971.199999999997</v>
      </c>
    </row>
    <row r="3350" spans="4:11" x14ac:dyDescent="0.35">
      <c r="D3350" s="1">
        <v>40772</v>
      </c>
      <c r="E3350">
        <v>1.5822000000000001</v>
      </c>
      <c r="F3350" s="1">
        <v>39671</v>
      </c>
      <c r="G3350">
        <v>114.578</v>
      </c>
      <c r="H3350" s="4">
        <f t="shared" si="274"/>
        <v>181285.31159999999</v>
      </c>
      <c r="I3350" s="5">
        <v>40711</v>
      </c>
      <c r="J3350" s="4">
        <v>3804.23</v>
      </c>
      <c r="K3350" s="4">
        <f t="shared" si="275"/>
        <v>38042.300000000003</v>
      </c>
    </row>
    <row r="3351" spans="4:11" x14ac:dyDescent="0.35">
      <c r="D3351" s="1">
        <v>40771</v>
      </c>
      <c r="E3351">
        <v>1.591</v>
      </c>
      <c r="F3351" s="1">
        <v>39668</v>
      </c>
      <c r="G3351">
        <v>115.59399999999999</v>
      </c>
      <c r="H3351" s="4">
        <f t="shared" si="274"/>
        <v>183910.05399999997</v>
      </c>
      <c r="I3351" s="5">
        <v>40710</v>
      </c>
      <c r="J3351" s="4">
        <v>3816.09</v>
      </c>
      <c r="K3351" s="4">
        <f t="shared" si="275"/>
        <v>38160.9</v>
      </c>
    </row>
    <row r="3352" spans="4:11" x14ac:dyDescent="0.35">
      <c r="D3352" s="1">
        <v>40770</v>
      </c>
      <c r="E3352">
        <v>1.5948</v>
      </c>
      <c r="F3352" s="1">
        <v>39667</v>
      </c>
      <c r="G3352">
        <v>115.76300000000001</v>
      </c>
      <c r="H3352" s="4">
        <f t="shared" si="274"/>
        <v>184618.83240000001</v>
      </c>
      <c r="I3352" s="5">
        <v>40709</v>
      </c>
      <c r="J3352" s="4">
        <v>3811.35</v>
      </c>
      <c r="K3352" s="4">
        <f t="shared" si="275"/>
        <v>38113.5</v>
      </c>
    </row>
    <row r="3353" spans="4:11" x14ac:dyDescent="0.35">
      <c r="D3353" s="1">
        <v>40767</v>
      </c>
      <c r="E3353">
        <v>1.6149</v>
      </c>
      <c r="F3353" s="1">
        <v>39666</v>
      </c>
      <c r="G3353">
        <v>114.39100000000001</v>
      </c>
      <c r="H3353" s="4">
        <f t="shared" si="274"/>
        <v>184730.02590000001</v>
      </c>
      <c r="I3353" s="5">
        <v>40708</v>
      </c>
      <c r="J3353" s="4">
        <v>3771.03</v>
      </c>
      <c r="K3353" s="4">
        <f t="shared" si="275"/>
        <v>37710.300000000003</v>
      </c>
    </row>
    <row r="3354" spans="4:11" x14ac:dyDescent="0.35">
      <c r="D3354" s="1">
        <v>40766</v>
      </c>
      <c r="E3354">
        <v>1.6297999999999999</v>
      </c>
      <c r="F3354" s="1">
        <v>39665</v>
      </c>
      <c r="G3354">
        <v>114.76600000000001</v>
      </c>
      <c r="H3354" s="4">
        <f t="shared" si="274"/>
        <v>187045.6268</v>
      </c>
      <c r="I3354" s="5">
        <v>40707</v>
      </c>
      <c r="J3354" s="4">
        <v>3772.22</v>
      </c>
      <c r="K3354" s="4">
        <f t="shared" si="275"/>
        <v>37722.199999999997</v>
      </c>
    </row>
    <row r="3355" spans="4:11" x14ac:dyDescent="0.35">
      <c r="D3355" s="1">
        <v>40765</v>
      </c>
      <c r="E3355">
        <v>1.6174999999999999</v>
      </c>
      <c r="F3355" s="1">
        <v>39664</v>
      </c>
      <c r="G3355">
        <v>114.813</v>
      </c>
      <c r="H3355" s="4">
        <f t="shared" si="274"/>
        <v>185710.0275</v>
      </c>
      <c r="I3355" s="5">
        <v>40704</v>
      </c>
      <c r="J3355" s="4">
        <v>3805.42</v>
      </c>
      <c r="K3355" s="4">
        <f t="shared" si="275"/>
        <v>38054.199999999997</v>
      </c>
    </row>
    <row r="3356" spans="4:11" x14ac:dyDescent="0.35">
      <c r="D3356" s="1">
        <v>40764</v>
      </c>
      <c r="E3356">
        <v>1.6326000000000001</v>
      </c>
      <c r="F3356" s="1">
        <v>39661</v>
      </c>
      <c r="G3356">
        <v>115.03100000000001</v>
      </c>
      <c r="H3356" s="4">
        <f t="shared" si="274"/>
        <v>187799.61060000001</v>
      </c>
      <c r="I3356" s="5">
        <v>40703</v>
      </c>
      <c r="J3356" s="4">
        <v>3773.4</v>
      </c>
      <c r="K3356" s="4">
        <f t="shared" si="275"/>
        <v>37734</v>
      </c>
    </row>
    <row r="3357" spans="4:11" x14ac:dyDescent="0.35">
      <c r="D3357" s="1">
        <v>40763</v>
      </c>
      <c r="E3357">
        <v>1.5991</v>
      </c>
      <c r="F3357" s="1">
        <v>39660</v>
      </c>
      <c r="G3357">
        <v>114.937</v>
      </c>
      <c r="H3357" s="4">
        <f t="shared" si="274"/>
        <v>183795.7567</v>
      </c>
      <c r="I3357" s="5">
        <v>40702</v>
      </c>
      <c r="J3357" s="4">
        <v>3771.03</v>
      </c>
      <c r="K3357" s="4">
        <f t="shared" si="275"/>
        <v>37710.300000000003</v>
      </c>
    </row>
    <row r="3358" spans="4:11" x14ac:dyDescent="0.35">
      <c r="D3358" s="1">
        <v>40760</v>
      </c>
      <c r="E3358">
        <v>1.5887</v>
      </c>
      <c r="F3358" s="1">
        <v>39657</v>
      </c>
      <c r="G3358">
        <v>114.5</v>
      </c>
      <c r="H3358" s="4">
        <f t="shared" si="274"/>
        <v>181906.15</v>
      </c>
      <c r="I3358" s="5">
        <v>40701</v>
      </c>
      <c r="J3358" s="4">
        <v>3767.47</v>
      </c>
      <c r="K3358" s="4">
        <f t="shared" si="275"/>
        <v>37674.699999999997</v>
      </c>
    </row>
    <row r="3359" spans="4:11" x14ac:dyDescent="0.35">
      <c r="D3359" s="1">
        <v>40759</v>
      </c>
      <c r="E3359">
        <v>1.5744</v>
      </c>
      <c r="F3359" s="1">
        <v>39654</v>
      </c>
      <c r="G3359">
        <v>114.10899999999999</v>
      </c>
      <c r="H3359" s="4">
        <f t="shared" si="274"/>
        <v>179653.2096</v>
      </c>
      <c r="I3359" s="5">
        <v>40700</v>
      </c>
      <c r="J3359" s="4">
        <v>3780.52</v>
      </c>
      <c r="K3359" s="4">
        <f t="shared" si="275"/>
        <v>37805.199999999997</v>
      </c>
    </row>
    <row r="3360" spans="4:11" x14ac:dyDescent="0.35">
      <c r="D3360" s="1">
        <v>40758</v>
      </c>
      <c r="E3360">
        <v>1.5643</v>
      </c>
      <c r="F3360" s="1">
        <v>39653</v>
      </c>
      <c r="G3360">
        <v>113.96899999999999</v>
      </c>
      <c r="H3360" s="4">
        <f t="shared" si="274"/>
        <v>178281.70670000001</v>
      </c>
      <c r="I3360" s="5">
        <v>40697</v>
      </c>
      <c r="J3360" s="4">
        <v>3763.92</v>
      </c>
      <c r="K3360" s="4">
        <f t="shared" si="275"/>
        <v>37639.199999999997</v>
      </c>
    </row>
    <row r="3361" spans="4:11" x14ac:dyDescent="0.35">
      <c r="D3361" s="1">
        <v>40757</v>
      </c>
      <c r="E3361">
        <v>1.5648</v>
      </c>
      <c r="F3361" s="1">
        <v>39652</v>
      </c>
      <c r="G3361">
        <v>112.937</v>
      </c>
      <c r="H3361" s="4">
        <f t="shared" si="274"/>
        <v>176723.81759999998</v>
      </c>
      <c r="I3361" s="5">
        <v>40696</v>
      </c>
      <c r="J3361" s="4">
        <v>3757.99</v>
      </c>
      <c r="K3361" s="4">
        <f t="shared" si="275"/>
        <v>37579.899999999994</v>
      </c>
    </row>
    <row r="3362" spans="4:11" x14ac:dyDescent="0.35">
      <c r="D3362" s="1">
        <v>40756</v>
      </c>
      <c r="E3362">
        <v>1.5543</v>
      </c>
      <c r="F3362" s="1">
        <v>39651</v>
      </c>
      <c r="G3362">
        <v>113.5</v>
      </c>
      <c r="H3362" s="4">
        <f t="shared" si="274"/>
        <v>176413.05</v>
      </c>
      <c r="I3362" s="5">
        <v>40695</v>
      </c>
      <c r="J3362" s="4">
        <v>3805.42</v>
      </c>
      <c r="K3362" s="4">
        <f t="shared" si="275"/>
        <v>38054.199999999997</v>
      </c>
    </row>
    <row r="3363" spans="4:11" x14ac:dyDescent="0.35">
      <c r="D3363" s="1">
        <v>40753</v>
      </c>
      <c r="E3363">
        <v>1.5555000000000001</v>
      </c>
      <c r="F3363" s="1">
        <v>39647</v>
      </c>
      <c r="G3363">
        <v>114.03100000000001</v>
      </c>
      <c r="H3363" s="4">
        <f t="shared" si="274"/>
        <v>177375.22050000002</v>
      </c>
      <c r="I3363" s="5">
        <v>40694</v>
      </c>
      <c r="J3363" s="4">
        <v>3775.77</v>
      </c>
      <c r="K3363" s="4">
        <f t="shared" si="275"/>
        <v>37757.699999999997</v>
      </c>
    </row>
    <row r="3364" spans="4:11" x14ac:dyDescent="0.35">
      <c r="D3364" s="1">
        <v>40752</v>
      </c>
      <c r="E3364">
        <v>1.5643</v>
      </c>
      <c r="F3364" s="1">
        <v>39646</v>
      </c>
      <c r="G3364">
        <v>114.063</v>
      </c>
      <c r="H3364" s="4">
        <f t="shared" si="274"/>
        <v>178428.75090000001</v>
      </c>
      <c r="I3364" s="5">
        <v>40693</v>
      </c>
      <c r="J3364" s="4">
        <v>3796.09</v>
      </c>
      <c r="K3364" s="4">
        <f t="shared" si="275"/>
        <v>37960.9</v>
      </c>
    </row>
    <row r="3365" spans="4:11" x14ac:dyDescent="0.35">
      <c r="D3365" s="1">
        <v>40751</v>
      </c>
      <c r="E3365">
        <v>1.5630999999999999</v>
      </c>
      <c r="F3365" s="1">
        <v>39645</v>
      </c>
      <c r="G3365">
        <v>115.28100000000001</v>
      </c>
      <c r="H3365" s="4">
        <f t="shared" si="274"/>
        <v>180195.73109999998</v>
      </c>
      <c r="I3365" s="5">
        <v>40690</v>
      </c>
      <c r="J3365" s="4">
        <v>3811.62</v>
      </c>
      <c r="K3365" s="4">
        <f t="shared" si="275"/>
        <v>38116.199999999997</v>
      </c>
    </row>
    <row r="3366" spans="4:11" x14ac:dyDescent="0.35">
      <c r="D3366" s="1">
        <v>40750</v>
      </c>
      <c r="E3366">
        <v>1.5337000000000001</v>
      </c>
      <c r="F3366" s="1">
        <v>39644</v>
      </c>
      <c r="G3366">
        <v>115.46899999999999</v>
      </c>
      <c r="H3366" s="4">
        <f t="shared" si="274"/>
        <v>177094.80529999998</v>
      </c>
      <c r="I3366" s="5">
        <v>40689</v>
      </c>
      <c r="J3366" s="4">
        <v>3864.19</v>
      </c>
      <c r="K3366" s="4">
        <f t="shared" si="275"/>
        <v>38641.9</v>
      </c>
    </row>
    <row r="3367" spans="4:11" x14ac:dyDescent="0.35">
      <c r="D3367" s="1">
        <v>40749</v>
      </c>
      <c r="E3367">
        <v>1.5441</v>
      </c>
      <c r="F3367" s="1">
        <v>39643</v>
      </c>
      <c r="G3367">
        <v>115.03100000000001</v>
      </c>
      <c r="H3367" s="4">
        <f t="shared" si="274"/>
        <v>177619.3671</v>
      </c>
      <c r="I3367" s="5">
        <v>40688</v>
      </c>
      <c r="J3367" s="4">
        <v>3895.26</v>
      </c>
      <c r="K3367" s="4">
        <f t="shared" si="275"/>
        <v>38952.600000000006</v>
      </c>
    </row>
    <row r="3368" spans="4:11" x14ac:dyDescent="0.35">
      <c r="D3368" s="1">
        <v>40746</v>
      </c>
      <c r="E3368">
        <v>1.5539000000000001</v>
      </c>
      <c r="F3368" s="1">
        <v>39640</v>
      </c>
      <c r="G3368">
        <v>114.375</v>
      </c>
      <c r="H3368" s="4">
        <f t="shared" si="274"/>
        <v>177727.3125</v>
      </c>
      <c r="I3368" s="5">
        <v>40687</v>
      </c>
      <c r="J3368" s="4">
        <v>3889.29</v>
      </c>
      <c r="K3368" s="4">
        <f t="shared" si="275"/>
        <v>38892.9</v>
      </c>
    </row>
    <row r="3369" spans="4:11" x14ac:dyDescent="0.35">
      <c r="D3369" s="1">
        <v>40745</v>
      </c>
      <c r="E3369">
        <v>1.5559000000000001</v>
      </c>
      <c r="F3369" s="1">
        <v>39639</v>
      </c>
      <c r="G3369">
        <v>115.625</v>
      </c>
      <c r="H3369" s="4">
        <f t="shared" si="274"/>
        <v>179900.9375</v>
      </c>
      <c r="I3369" s="5">
        <v>40686</v>
      </c>
      <c r="J3369" s="4">
        <v>3910.79</v>
      </c>
      <c r="K3369" s="4">
        <f t="shared" si="275"/>
        <v>39107.9</v>
      </c>
    </row>
    <row r="3370" spans="4:11" x14ac:dyDescent="0.35">
      <c r="D3370" s="1">
        <v>40744</v>
      </c>
      <c r="E3370">
        <v>1.5643</v>
      </c>
      <c r="F3370" s="1">
        <v>39637</v>
      </c>
      <c r="G3370">
        <v>115.34399999999999</v>
      </c>
      <c r="H3370" s="4">
        <f t="shared" si="274"/>
        <v>180432.61920000002</v>
      </c>
      <c r="I3370" s="5">
        <v>40683</v>
      </c>
      <c r="J3370" s="4">
        <v>3882.12</v>
      </c>
      <c r="K3370" s="4">
        <f t="shared" si="275"/>
        <v>38821.199999999997</v>
      </c>
    </row>
    <row r="3371" spans="4:11" x14ac:dyDescent="0.35">
      <c r="D3371" s="1">
        <v>40743</v>
      </c>
      <c r="E3371">
        <v>1.5683</v>
      </c>
      <c r="F3371" s="1">
        <v>39636</v>
      </c>
      <c r="G3371">
        <v>114.76600000000001</v>
      </c>
      <c r="H3371" s="4">
        <f t="shared" si="274"/>
        <v>179987.5178</v>
      </c>
      <c r="I3371" s="5">
        <v>40682</v>
      </c>
      <c r="J3371" s="4">
        <v>3874.95</v>
      </c>
      <c r="K3371" s="4">
        <f t="shared" si="275"/>
        <v>38749.5</v>
      </c>
    </row>
    <row r="3372" spans="4:11" x14ac:dyDescent="0.35">
      <c r="D3372" s="1">
        <v>40742</v>
      </c>
      <c r="E3372">
        <v>1.5820000000000001</v>
      </c>
      <c r="F3372" s="1">
        <v>39633</v>
      </c>
      <c r="G3372">
        <v>114.625</v>
      </c>
      <c r="H3372" s="4">
        <f t="shared" si="274"/>
        <v>181336.75</v>
      </c>
      <c r="I3372" s="5">
        <v>40681</v>
      </c>
      <c r="J3372" s="4">
        <v>3857.02</v>
      </c>
      <c r="K3372" s="4">
        <f t="shared" si="275"/>
        <v>38570.199999999997</v>
      </c>
    </row>
    <row r="3373" spans="4:11" x14ac:dyDescent="0.35">
      <c r="D3373" s="1">
        <v>40739</v>
      </c>
      <c r="E3373">
        <v>1.5734999999999999</v>
      </c>
      <c r="F3373" s="1">
        <v>39632</v>
      </c>
      <c r="G3373">
        <v>114.25</v>
      </c>
      <c r="H3373" s="4">
        <f t="shared" si="274"/>
        <v>179772.37499999997</v>
      </c>
      <c r="I3373" s="5">
        <v>40680</v>
      </c>
      <c r="J3373" s="4">
        <v>3874.95</v>
      </c>
      <c r="K3373" s="4">
        <f t="shared" si="275"/>
        <v>38749.5</v>
      </c>
    </row>
    <row r="3374" spans="4:11" x14ac:dyDescent="0.35">
      <c r="D3374" s="1">
        <v>40738</v>
      </c>
      <c r="E3374">
        <v>1.5721000000000001</v>
      </c>
      <c r="F3374" s="1">
        <v>39631</v>
      </c>
      <c r="G3374">
        <v>114.15600000000001</v>
      </c>
      <c r="H3374" s="4">
        <f t="shared" si="274"/>
        <v>179464.6476</v>
      </c>
      <c r="I3374" s="5">
        <v>40679</v>
      </c>
      <c r="J3374" s="4">
        <v>3922.74</v>
      </c>
      <c r="K3374" s="4">
        <f t="shared" si="275"/>
        <v>39227.399999999994</v>
      </c>
    </row>
    <row r="3375" spans="4:11" x14ac:dyDescent="0.35">
      <c r="D3375" s="1">
        <v>40737</v>
      </c>
      <c r="E3375">
        <v>1.5753999999999999</v>
      </c>
      <c r="F3375" s="1">
        <v>39630</v>
      </c>
      <c r="G3375">
        <v>114.125</v>
      </c>
      <c r="H3375" s="4">
        <f t="shared" si="274"/>
        <v>179792.52499999999</v>
      </c>
      <c r="I3375" s="5">
        <v>40676</v>
      </c>
      <c r="J3375" s="4">
        <v>3926.33</v>
      </c>
      <c r="K3375" s="4">
        <f t="shared" si="275"/>
        <v>39263.300000000003</v>
      </c>
    </row>
    <row r="3376" spans="4:11" x14ac:dyDescent="0.35">
      <c r="D3376" s="1">
        <v>40736</v>
      </c>
      <c r="E3376">
        <v>1.5765</v>
      </c>
      <c r="F3376" s="1">
        <v>39629</v>
      </c>
      <c r="G3376">
        <v>113.953</v>
      </c>
      <c r="H3376" s="4">
        <f t="shared" si="274"/>
        <v>179646.9045</v>
      </c>
      <c r="I3376" s="5">
        <v>40675</v>
      </c>
      <c r="J3376" s="4">
        <v>3885.7</v>
      </c>
      <c r="K3376" s="4">
        <f t="shared" si="275"/>
        <v>38857</v>
      </c>
    </row>
    <row r="3377" spans="4:11" x14ac:dyDescent="0.35">
      <c r="D3377" s="1">
        <v>40735</v>
      </c>
      <c r="E3377">
        <v>1.5788</v>
      </c>
      <c r="F3377" s="1">
        <v>39626</v>
      </c>
      <c r="G3377">
        <v>114.125</v>
      </c>
      <c r="H3377" s="4">
        <f t="shared" si="274"/>
        <v>180180.55000000002</v>
      </c>
      <c r="I3377" s="5">
        <v>40674</v>
      </c>
      <c r="J3377" s="4">
        <v>3895.26</v>
      </c>
      <c r="K3377" s="4">
        <f t="shared" si="275"/>
        <v>38952.600000000006</v>
      </c>
    </row>
    <row r="3378" spans="4:11" x14ac:dyDescent="0.35">
      <c r="D3378" s="1">
        <v>40732</v>
      </c>
      <c r="E3378">
        <v>1.5626</v>
      </c>
      <c r="F3378" s="1">
        <v>39625</v>
      </c>
      <c r="G3378">
        <v>113.46899999999999</v>
      </c>
      <c r="H3378" s="4">
        <f t="shared" si="274"/>
        <v>177306.6594</v>
      </c>
      <c r="I3378" s="5">
        <v>40673</v>
      </c>
      <c r="J3378" s="4">
        <v>3849.86</v>
      </c>
      <c r="K3378" s="4">
        <f t="shared" si="275"/>
        <v>38498.6</v>
      </c>
    </row>
    <row r="3379" spans="4:11" x14ac:dyDescent="0.35">
      <c r="D3379" s="1">
        <v>40731</v>
      </c>
      <c r="E3379">
        <v>1.5572999999999999</v>
      </c>
      <c r="F3379" s="1">
        <v>39624</v>
      </c>
      <c r="G3379">
        <v>112.328</v>
      </c>
      <c r="H3379" s="4">
        <f t="shared" si="274"/>
        <v>174928.39439999999</v>
      </c>
      <c r="I3379" s="5">
        <v>40672</v>
      </c>
      <c r="J3379" s="4">
        <v>3877.34</v>
      </c>
      <c r="K3379" s="4">
        <f t="shared" si="275"/>
        <v>38773.4</v>
      </c>
    </row>
    <row r="3380" spans="4:11" x14ac:dyDescent="0.35">
      <c r="D3380" s="1">
        <v>40730</v>
      </c>
      <c r="E3380">
        <v>1.5653999999999999</v>
      </c>
      <c r="F3380" s="1">
        <v>39619</v>
      </c>
      <c r="G3380">
        <v>112.5</v>
      </c>
      <c r="H3380" s="4">
        <f t="shared" si="274"/>
        <v>176107.5</v>
      </c>
      <c r="I3380" s="5">
        <v>40669</v>
      </c>
      <c r="J3380" s="4">
        <v>3878.53</v>
      </c>
      <c r="K3380" s="4">
        <f t="shared" si="275"/>
        <v>38785.300000000003</v>
      </c>
    </row>
    <row r="3381" spans="4:11" x14ac:dyDescent="0.35">
      <c r="D3381" s="1">
        <v>40729</v>
      </c>
      <c r="E3381">
        <v>1.5629</v>
      </c>
      <c r="F3381" s="1">
        <v>39618</v>
      </c>
      <c r="G3381">
        <v>111.828</v>
      </c>
      <c r="H3381" s="4">
        <f t="shared" si="274"/>
        <v>174775.98119999998</v>
      </c>
      <c r="I3381" s="5">
        <v>40668</v>
      </c>
      <c r="J3381" s="4">
        <v>3896.46</v>
      </c>
      <c r="K3381" s="4">
        <f t="shared" si="275"/>
        <v>38964.6</v>
      </c>
    </row>
    <row r="3382" spans="4:11" x14ac:dyDescent="0.35">
      <c r="D3382" s="1">
        <v>40728</v>
      </c>
      <c r="E3382">
        <v>1.5571999999999999</v>
      </c>
      <c r="F3382" s="1">
        <v>39617</v>
      </c>
      <c r="G3382">
        <v>112.22499999999999</v>
      </c>
      <c r="H3382" s="4">
        <f t="shared" si="274"/>
        <v>174756.77</v>
      </c>
      <c r="I3382" s="5">
        <v>40667</v>
      </c>
      <c r="J3382" s="4">
        <v>3891.68</v>
      </c>
      <c r="K3382" s="4">
        <f t="shared" si="275"/>
        <v>38916.799999999996</v>
      </c>
    </row>
    <row r="3383" spans="4:11" x14ac:dyDescent="0.35">
      <c r="D3383" s="1">
        <v>40725</v>
      </c>
      <c r="E3383">
        <v>1.5590999999999999</v>
      </c>
      <c r="F3383" s="1">
        <v>39616</v>
      </c>
      <c r="G3383">
        <v>111.46899999999999</v>
      </c>
      <c r="H3383" s="4">
        <f t="shared" si="274"/>
        <v>173791.31789999999</v>
      </c>
      <c r="I3383" s="5">
        <v>40666</v>
      </c>
      <c r="J3383" s="4">
        <v>3810.42</v>
      </c>
      <c r="K3383" s="4">
        <f t="shared" si="275"/>
        <v>38104.199999999997</v>
      </c>
    </row>
    <row r="3384" spans="4:11" x14ac:dyDescent="0.35">
      <c r="D3384" s="1">
        <v>40724</v>
      </c>
      <c r="E3384">
        <v>1.5603</v>
      </c>
      <c r="F3384" s="1">
        <v>39615</v>
      </c>
      <c r="G3384">
        <v>111.375</v>
      </c>
      <c r="H3384" s="4">
        <f t="shared" si="274"/>
        <v>173778.41250000001</v>
      </c>
      <c r="I3384" s="5">
        <v>40665</v>
      </c>
      <c r="J3384" s="4">
        <v>3804.45</v>
      </c>
      <c r="K3384" s="4">
        <f t="shared" si="275"/>
        <v>38044.5</v>
      </c>
    </row>
    <row r="3385" spans="4:11" x14ac:dyDescent="0.35">
      <c r="D3385" s="1">
        <v>40723</v>
      </c>
      <c r="E3385">
        <v>1.5722</v>
      </c>
      <c r="F3385" s="1">
        <v>39611</v>
      </c>
      <c r="G3385">
        <v>111.75</v>
      </c>
      <c r="H3385" s="4">
        <f t="shared" si="274"/>
        <v>175693.35</v>
      </c>
      <c r="I3385" s="5">
        <v>40662</v>
      </c>
      <c r="J3385" s="4">
        <v>3769.8</v>
      </c>
      <c r="K3385" s="4">
        <f t="shared" si="275"/>
        <v>37698</v>
      </c>
    </row>
    <row r="3386" spans="4:11" x14ac:dyDescent="0.35">
      <c r="D3386" s="1">
        <v>40722</v>
      </c>
      <c r="E3386">
        <v>1.5825</v>
      </c>
      <c r="F3386" s="1">
        <v>39608</v>
      </c>
      <c r="G3386">
        <v>113.59399999999999</v>
      </c>
      <c r="H3386" s="4">
        <f t="shared" si="274"/>
        <v>179762.505</v>
      </c>
      <c r="I3386" s="5">
        <v>40661</v>
      </c>
      <c r="J3386" s="4">
        <v>3780.58</v>
      </c>
      <c r="K3386" s="4">
        <f t="shared" si="275"/>
        <v>37805.800000000003</v>
      </c>
    </row>
    <row r="3387" spans="4:11" x14ac:dyDescent="0.35">
      <c r="D3387" s="1">
        <v>40721</v>
      </c>
      <c r="E3387">
        <v>1.5961000000000001</v>
      </c>
      <c r="F3387" s="1">
        <v>39605</v>
      </c>
      <c r="G3387">
        <v>114.188</v>
      </c>
      <c r="H3387" s="4">
        <f t="shared" si="274"/>
        <v>182255.46680000002</v>
      </c>
      <c r="I3387" s="5">
        <v>40660</v>
      </c>
      <c r="J3387" s="4">
        <v>3745.85</v>
      </c>
      <c r="K3387" s="4">
        <f t="shared" si="275"/>
        <v>37458.5</v>
      </c>
    </row>
    <row r="3388" spans="4:11" x14ac:dyDescent="0.35">
      <c r="D3388" s="1">
        <v>40718</v>
      </c>
      <c r="E3388">
        <v>1.5980000000000001</v>
      </c>
      <c r="F3388" s="1">
        <v>39604</v>
      </c>
      <c r="G3388">
        <v>113.172</v>
      </c>
      <c r="H3388" s="4">
        <f t="shared" si="274"/>
        <v>180848.856</v>
      </c>
      <c r="I3388" s="5">
        <v>40659</v>
      </c>
      <c r="J3388" s="4">
        <v>3741.06</v>
      </c>
      <c r="K3388" s="4">
        <f t="shared" si="275"/>
        <v>37410.6</v>
      </c>
    </row>
    <row r="3389" spans="4:11" x14ac:dyDescent="0.35">
      <c r="D3389" s="1">
        <v>40716</v>
      </c>
      <c r="E3389">
        <v>1.5869</v>
      </c>
      <c r="F3389" s="1">
        <v>39603</v>
      </c>
      <c r="G3389">
        <v>113.60899999999999</v>
      </c>
      <c r="H3389" s="4">
        <f t="shared" si="274"/>
        <v>180286.12210000001</v>
      </c>
      <c r="I3389" s="5">
        <v>40658</v>
      </c>
      <c r="J3389" s="4">
        <v>3759.02</v>
      </c>
      <c r="K3389" s="4">
        <f t="shared" si="275"/>
        <v>37590.199999999997</v>
      </c>
    </row>
    <row r="3390" spans="4:11" x14ac:dyDescent="0.35">
      <c r="D3390" s="1">
        <v>40715</v>
      </c>
      <c r="E3390">
        <v>1.5902000000000001</v>
      </c>
      <c r="F3390" s="1">
        <v>39602</v>
      </c>
      <c r="G3390">
        <v>114.14100000000001</v>
      </c>
      <c r="H3390" s="4">
        <f t="shared" si="274"/>
        <v>181507.01819999999</v>
      </c>
      <c r="I3390" s="5">
        <v>40653</v>
      </c>
      <c r="J3390" s="4">
        <v>3750.64</v>
      </c>
      <c r="K3390" s="4">
        <f t="shared" si="275"/>
        <v>37506.400000000001</v>
      </c>
    </row>
    <row r="3391" spans="4:11" x14ac:dyDescent="0.35">
      <c r="D3391" s="1">
        <v>40714</v>
      </c>
      <c r="E3391">
        <v>1.5961000000000001</v>
      </c>
      <c r="F3391" s="1">
        <v>39601</v>
      </c>
      <c r="G3391">
        <v>113.23399999999999</v>
      </c>
      <c r="H3391" s="4">
        <f t="shared" si="274"/>
        <v>180732.7874</v>
      </c>
      <c r="I3391" s="5">
        <v>40652</v>
      </c>
      <c r="J3391" s="4">
        <v>3775.79</v>
      </c>
      <c r="K3391" s="4">
        <f t="shared" si="275"/>
        <v>37757.9</v>
      </c>
    </row>
    <row r="3392" spans="4:11" x14ac:dyDescent="0.35">
      <c r="D3392" s="1">
        <v>40711</v>
      </c>
      <c r="E3392">
        <v>1.5971</v>
      </c>
      <c r="F3392" s="1">
        <v>39598</v>
      </c>
      <c r="G3392">
        <v>112.398</v>
      </c>
      <c r="H3392" s="4">
        <f t="shared" si="274"/>
        <v>179510.84580000001</v>
      </c>
      <c r="I3392" s="5">
        <v>40651</v>
      </c>
      <c r="J3392" s="4">
        <v>3810.52</v>
      </c>
      <c r="K3392" s="4">
        <f t="shared" si="275"/>
        <v>38105.199999999997</v>
      </c>
    </row>
    <row r="3393" spans="4:11" x14ac:dyDescent="0.35">
      <c r="D3393" s="1">
        <v>40710</v>
      </c>
      <c r="E3393">
        <v>1.61</v>
      </c>
      <c r="F3393" s="1">
        <v>39597</v>
      </c>
      <c r="G3393">
        <v>113.40600000000001</v>
      </c>
      <c r="H3393" s="4">
        <f t="shared" si="274"/>
        <v>182583.66</v>
      </c>
      <c r="I3393" s="5">
        <v>40648</v>
      </c>
      <c r="J3393" s="4">
        <v>3776.98</v>
      </c>
      <c r="K3393" s="4">
        <f t="shared" si="275"/>
        <v>37769.800000000003</v>
      </c>
    </row>
    <row r="3394" spans="4:11" x14ac:dyDescent="0.35">
      <c r="D3394" s="1">
        <v>40709</v>
      </c>
      <c r="E3394">
        <v>1.5952</v>
      </c>
      <c r="F3394" s="1">
        <v>39596</v>
      </c>
      <c r="G3394">
        <v>114.01600000000001</v>
      </c>
      <c r="H3394" s="4">
        <f t="shared" si="274"/>
        <v>181878.32320000001</v>
      </c>
      <c r="I3394" s="5">
        <v>40647</v>
      </c>
      <c r="J3394" s="4">
        <v>3797.34</v>
      </c>
      <c r="K3394" s="4">
        <f t="shared" si="275"/>
        <v>37973.4</v>
      </c>
    </row>
    <row r="3395" spans="4:11" x14ac:dyDescent="0.35">
      <c r="D3395" s="1">
        <v>40708</v>
      </c>
      <c r="E3395">
        <v>1.5812999999999999</v>
      </c>
      <c r="F3395" s="1">
        <v>39595</v>
      </c>
      <c r="G3395">
        <v>115</v>
      </c>
      <c r="H3395" s="4">
        <f t="shared" si="274"/>
        <v>181849.49999999997</v>
      </c>
      <c r="I3395" s="5">
        <v>40646</v>
      </c>
      <c r="J3395" s="4">
        <v>3803.33</v>
      </c>
      <c r="K3395" s="4">
        <f t="shared" si="275"/>
        <v>38033.300000000003</v>
      </c>
    </row>
    <row r="3396" spans="4:11" x14ac:dyDescent="0.35">
      <c r="D3396" s="1">
        <v>40707</v>
      </c>
      <c r="E3396">
        <v>1.5880000000000001</v>
      </c>
      <c r="F3396" s="1">
        <v>39591</v>
      </c>
      <c r="G3396">
        <v>115.34699999999999</v>
      </c>
      <c r="H3396" s="4">
        <f t="shared" ref="H3396:H3459" si="276">G3396*E3396*1000</f>
        <v>183171.03599999999</v>
      </c>
      <c r="I3396" s="5">
        <v>40645</v>
      </c>
      <c r="J3396" s="4">
        <v>3827.28</v>
      </c>
      <c r="K3396" s="4">
        <f t="shared" si="275"/>
        <v>38272.800000000003</v>
      </c>
    </row>
    <row r="3397" spans="4:11" x14ac:dyDescent="0.35">
      <c r="D3397" s="1">
        <v>40704</v>
      </c>
      <c r="E3397">
        <v>1.593</v>
      </c>
      <c r="F3397" s="1">
        <v>39588</v>
      </c>
      <c r="G3397">
        <v>115.90600000000001</v>
      </c>
      <c r="H3397" s="4">
        <f t="shared" si="276"/>
        <v>184638.258</v>
      </c>
      <c r="I3397" s="5">
        <v>40644</v>
      </c>
      <c r="J3397" s="4">
        <v>3796.14</v>
      </c>
      <c r="K3397" s="4">
        <f t="shared" ref="K3397:K3460" si="277">J3397*10</f>
        <v>37961.4</v>
      </c>
    </row>
    <row r="3398" spans="4:11" x14ac:dyDescent="0.35">
      <c r="D3398" s="1">
        <v>40703</v>
      </c>
      <c r="E3398">
        <v>1.5869</v>
      </c>
      <c r="F3398" s="1">
        <v>39584</v>
      </c>
      <c r="G3398">
        <v>115.64100000000001</v>
      </c>
      <c r="H3398" s="4">
        <f t="shared" si="276"/>
        <v>183510.7029</v>
      </c>
      <c r="I3398" s="5">
        <v>40641</v>
      </c>
      <c r="J3398" s="4">
        <v>3763.81</v>
      </c>
      <c r="K3398" s="4">
        <f t="shared" si="277"/>
        <v>37638.1</v>
      </c>
    </row>
    <row r="3399" spans="4:11" x14ac:dyDescent="0.35">
      <c r="D3399" s="1">
        <v>40702</v>
      </c>
      <c r="E3399">
        <v>1.5811999999999999</v>
      </c>
      <c r="F3399" s="1">
        <v>39583</v>
      </c>
      <c r="G3399">
        <v>115.15600000000001</v>
      </c>
      <c r="H3399" s="4">
        <f t="shared" si="276"/>
        <v>182084.66720000003</v>
      </c>
      <c r="I3399" s="5">
        <v>40640</v>
      </c>
      <c r="J3399" s="4">
        <v>3804.53</v>
      </c>
      <c r="K3399" s="4">
        <f t="shared" si="277"/>
        <v>38045.300000000003</v>
      </c>
    </row>
    <row r="3400" spans="4:11" x14ac:dyDescent="0.35">
      <c r="D3400" s="1">
        <v>40701</v>
      </c>
      <c r="E3400">
        <v>1.5755999999999999</v>
      </c>
      <c r="F3400" s="1">
        <v>39582</v>
      </c>
      <c r="G3400">
        <v>114.625</v>
      </c>
      <c r="H3400" s="4">
        <f t="shared" si="276"/>
        <v>180603.15</v>
      </c>
      <c r="I3400" s="5">
        <v>40639</v>
      </c>
      <c r="J3400" s="4">
        <v>3885.96</v>
      </c>
      <c r="K3400" s="4">
        <f t="shared" si="277"/>
        <v>38859.599999999999</v>
      </c>
    </row>
    <row r="3401" spans="4:11" x14ac:dyDescent="0.35">
      <c r="D3401" s="1">
        <v>40700</v>
      </c>
      <c r="E3401">
        <v>1.5802</v>
      </c>
      <c r="F3401" s="1">
        <v>39581</v>
      </c>
      <c r="G3401">
        <v>115.03100000000001</v>
      </c>
      <c r="H3401" s="4">
        <f t="shared" si="276"/>
        <v>181771.98620000001</v>
      </c>
      <c r="I3401" s="5">
        <v>40638</v>
      </c>
      <c r="J3401" s="4">
        <v>3869.19</v>
      </c>
      <c r="K3401" s="4">
        <f t="shared" si="277"/>
        <v>38691.9</v>
      </c>
    </row>
    <row r="3402" spans="4:11" x14ac:dyDescent="0.35">
      <c r="D3402" s="1">
        <v>40697</v>
      </c>
      <c r="E3402">
        <v>1.5736000000000001</v>
      </c>
      <c r="F3402" s="1">
        <v>39577</v>
      </c>
      <c r="G3402">
        <v>116.03100000000001</v>
      </c>
      <c r="H3402" s="4">
        <f t="shared" si="276"/>
        <v>182586.38160000002</v>
      </c>
      <c r="I3402" s="5">
        <v>40637</v>
      </c>
      <c r="J3402" s="4">
        <v>3866.8</v>
      </c>
      <c r="K3402" s="4">
        <f t="shared" si="277"/>
        <v>38668</v>
      </c>
    </row>
    <row r="3403" spans="4:11" x14ac:dyDescent="0.35">
      <c r="D3403" s="1">
        <v>40696</v>
      </c>
      <c r="E3403">
        <v>1.5797000000000001</v>
      </c>
      <c r="F3403" s="1">
        <v>39576</v>
      </c>
      <c r="G3403">
        <v>115.89</v>
      </c>
      <c r="H3403" s="4">
        <f t="shared" si="276"/>
        <v>183071.43300000002</v>
      </c>
      <c r="I3403" s="5">
        <v>40634</v>
      </c>
      <c r="J3403" s="4">
        <v>3868</v>
      </c>
      <c r="K3403" s="4">
        <f t="shared" si="277"/>
        <v>38680</v>
      </c>
    </row>
    <row r="3404" spans="4:11" x14ac:dyDescent="0.35">
      <c r="D3404" s="1">
        <v>40695</v>
      </c>
      <c r="E3404">
        <v>1.587</v>
      </c>
      <c r="F3404" s="1">
        <v>39575</v>
      </c>
      <c r="G3404">
        <v>114.703</v>
      </c>
      <c r="H3404" s="4">
        <f t="shared" si="276"/>
        <v>182033.66099999999</v>
      </c>
      <c r="I3404" s="5">
        <v>40633</v>
      </c>
      <c r="J3404" s="4">
        <v>3933.86</v>
      </c>
      <c r="K3404" s="4">
        <f t="shared" si="277"/>
        <v>39338.6</v>
      </c>
    </row>
    <row r="3405" spans="4:11" x14ac:dyDescent="0.35">
      <c r="D3405" s="1">
        <v>40694</v>
      </c>
      <c r="E3405">
        <v>1.5790999999999999</v>
      </c>
      <c r="F3405" s="1">
        <v>39573</v>
      </c>
      <c r="G3405">
        <v>115.04600000000001</v>
      </c>
      <c r="H3405" s="4">
        <f t="shared" si="276"/>
        <v>181669.13860000001</v>
      </c>
      <c r="I3405" s="5">
        <v>40632</v>
      </c>
      <c r="J3405" s="4">
        <v>3935.07</v>
      </c>
      <c r="K3405" s="4">
        <f t="shared" si="277"/>
        <v>39350.700000000004</v>
      </c>
    </row>
    <row r="3406" spans="4:11" x14ac:dyDescent="0.35">
      <c r="D3406" s="1">
        <v>40693</v>
      </c>
      <c r="E3406">
        <v>1.595</v>
      </c>
      <c r="F3406" s="1">
        <v>39570</v>
      </c>
      <c r="G3406">
        <v>114.875</v>
      </c>
      <c r="H3406" s="4">
        <f t="shared" si="276"/>
        <v>183225.625</v>
      </c>
      <c r="I3406" s="5">
        <v>40631</v>
      </c>
      <c r="J3406" s="4">
        <v>3980.98</v>
      </c>
      <c r="K3406" s="4">
        <f t="shared" si="277"/>
        <v>39809.800000000003</v>
      </c>
    </row>
    <row r="3407" spans="4:11" x14ac:dyDescent="0.35">
      <c r="D3407" s="1">
        <v>40690</v>
      </c>
      <c r="E3407">
        <v>1.603</v>
      </c>
      <c r="F3407" s="1">
        <v>39567</v>
      </c>
      <c r="G3407">
        <v>115.51600000000001</v>
      </c>
      <c r="H3407" s="4">
        <f t="shared" si="276"/>
        <v>185172.14799999999</v>
      </c>
      <c r="I3407" s="5">
        <v>40630</v>
      </c>
      <c r="J3407" s="4">
        <v>4019.64</v>
      </c>
      <c r="K3407" s="4">
        <f t="shared" si="277"/>
        <v>40196.400000000001</v>
      </c>
    </row>
    <row r="3408" spans="4:11" x14ac:dyDescent="0.35">
      <c r="D3408" s="1">
        <v>40689</v>
      </c>
      <c r="E3408">
        <v>1.6188</v>
      </c>
      <c r="F3408" s="1">
        <v>39563</v>
      </c>
      <c r="G3408">
        <v>114.953</v>
      </c>
      <c r="H3408" s="4">
        <f t="shared" si="276"/>
        <v>186085.91640000002</v>
      </c>
      <c r="I3408" s="5">
        <v>40627</v>
      </c>
      <c r="J3408" s="4">
        <v>4023.27</v>
      </c>
      <c r="K3408" s="4">
        <f t="shared" si="277"/>
        <v>40232.699999999997</v>
      </c>
    </row>
    <row r="3409" spans="4:11" x14ac:dyDescent="0.35">
      <c r="D3409" s="1">
        <v>40688</v>
      </c>
      <c r="E3409">
        <v>1.6289</v>
      </c>
      <c r="F3409" s="1">
        <v>39562</v>
      </c>
      <c r="G3409">
        <v>115.25</v>
      </c>
      <c r="H3409" s="4">
        <f t="shared" si="276"/>
        <v>187730.72500000001</v>
      </c>
      <c r="I3409" s="5">
        <v>40626</v>
      </c>
      <c r="J3409" s="4">
        <v>4013.6</v>
      </c>
      <c r="K3409" s="4">
        <f t="shared" si="277"/>
        <v>40136</v>
      </c>
    </row>
    <row r="3410" spans="4:11" x14ac:dyDescent="0.35">
      <c r="D3410" s="1">
        <v>40687</v>
      </c>
      <c r="E3410">
        <v>1.6248</v>
      </c>
      <c r="F3410" s="1">
        <v>39561</v>
      </c>
      <c r="G3410">
        <v>115.93300000000001</v>
      </c>
      <c r="H3410" s="4">
        <f t="shared" si="276"/>
        <v>188367.93840000001</v>
      </c>
      <c r="I3410" s="5">
        <v>40625</v>
      </c>
      <c r="J3410" s="4">
        <v>4022.06</v>
      </c>
      <c r="K3410" s="4">
        <f t="shared" si="277"/>
        <v>40220.6</v>
      </c>
    </row>
    <row r="3411" spans="4:11" x14ac:dyDescent="0.35">
      <c r="D3411" s="1">
        <v>40686</v>
      </c>
      <c r="E3411">
        <v>1.6331</v>
      </c>
      <c r="F3411" s="1">
        <v>39560</v>
      </c>
      <c r="G3411">
        <v>116.23399999999999</v>
      </c>
      <c r="H3411" s="4">
        <f t="shared" si="276"/>
        <v>189821.74539999999</v>
      </c>
      <c r="I3411" s="5">
        <v>40624</v>
      </c>
      <c r="J3411" s="4">
        <v>4018.43</v>
      </c>
      <c r="K3411" s="4">
        <f t="shared" si="277"/>
        <v>40184.299999999996</v>
      </c>
    </row>
    <row r="3412" spans="4:11" x14ac:dyDescent="0.35">
      <c r="D3412" s="1">
        <v>40683</v>
      </c>
      <c r="E3412">
        <v>1.6161000000000001</v>
      </c>
      <c r="F3412" s="1">
        <v>39556</v>
      </c>
      <c r="G3412">
        <v>115.48399999999999</v>
      </c>
      <c r="H3412" s="4">
        <f t="shared" si="276"/>
        <v>186633.6924</v>
      </c>
      <c r="I3412" s="5">
        <v>40623</v>
      </c>
      <c r="J3412" s="4">
        <v>4036.56</v>
      </c>
      <c r="K3412" s="4">
        <f t="shared" si="277"/>
        <v>40365.599999999999</v>
      </c>
    </row>
    <row r="3413" spans="4:11" x14ac:dyDescent="0.35">
      <c r="D3413" s="1">
        <v>40682</v>
      </c>
      <c r="E3413">
        <v>1.6156999999999999</v>
      </c>
      <c r="F3413" s="1">
        <v>39555</v>
      </c>
      <c r="G3413">
        <v>116.21899999999999</v>
      </c>
      <c r="H3413" s="4">
        <f t="shared" si="276"/>
        <v>187775.03829999999</v>
      </c>
      <c r="I3413" s="5">
        <v>40620</v>
      </c>
      <c r="J3413" s="4">
        <v>4040.18</v>
      </c>
      <c r="K3413" s="4">
        <f t="shared" si="277"/>
        <v>40401.799999999996</v>
      </c>
    </row>
    <row r="3414" spans="4:11" x14ac:dyDescent="0.35">
      <c r="D3414" s="1">
        <v>40681</v>
      </c>
      <c r="E3414">
        <v>1.6157999999999999</v>
      </c>
      <c r="F3414" s="1">
        <v>39554</v>
      </c>
      <c r="G3414">
        <v>116.75</v>
      </c>
      <c r="H3414" s="4">
        <f t="shared" si="276"/>
        <v>188644.65</v>
      </c>
      <c r="I3414" s="5">
        <v>40619</v>
      </c>
      <c r="J3414" s="4">
        <v>4071.59</v>
      </c>
      <c r="K3414" s="4">
        <f t="shared" si="277"/>
        <v>40715.9</v>
      </c>
    </row>
    <row r="3415" spans="4:11" x14ac:dyDescent="0.35">
      <c r="D3415" s="1">
        <v>40680</v>
      </c>
      <c r="E3415">
        <v>1.6282000000000001</v>
      </c>
      <c r="F3415" s="1">
        <v>39553</v>
      </c>
      <c r="G3415">
        <v>117.375</v>
      </c>
      <c r="H3415" s="4">
        <f t="shared" si="276"/>
        <v>191109.97500000001</v>
      </c>
      <c r="I3415" s="5">
        <v>40618</v>
      </c>
      <c r="J3415" s="4">
        <v>4063.14</v>
      </c>
      <c r="K3415" s="4">
        <f t="shared" si="277"/>
        <v>40631.4</v>
      </c>
    </row>
    <row r="3416" spans="4:11" x14ac:dyDescent="0.35">
      <c r="D3416" s="1">
        <v>40679</v>
      </c>
      <c r="E3416">
        <v>1.6309</v>
      </c>
      <c r="F3416" s="1">
        <v>39552</v>
      </c>
      <c r="G3416">
        <v>117.797</v>
      </c>
      <c r="H3416" s="4">
        <f t="shared" si="276"/>
        <v>192115.12729999999</v>
      </c>
      <c r="I3416" s="5">
        <v>40617</v>
      </c>
      <c r="J3416" s="4">
        <v>4040.18</v>
      </c>
      <c r="K3416" s="4">
        <f t="shared" si="277"/>
        <v>40401.799999999996</v>
      </c>
    </row>
    <row r="3417" spans="4:11" x14ac:dyDescent="0.35">
      <c r="D3417" s="1">
        <v>40676</v>
      </c>
      <c r="E3417">
        <v>1.6319999999999999</v>
      </c>
      <c r="F3417" s="1">
        <v>39549</v>
      </c>
      <c r="G3417">
        <v>117.78100000000001</v>
      </c>
      <c r="H3417" s="4">
        <f t="shared" si="276"/>
        <v>192218.592</v>
      </c>
      <c r="I3417" s="5">
        <v>40616</v>
      </c>
      <c r="J3417" s="4">
        <v>4025.68</v>
      </c>
      <c r="K3417" s="4">
        <f t="shared" si="277"/>
        <v>40256.799999999996</v>
      </c>
    </row>
    <row r="3418" spans="4:11" x14ac:dyDescent="0.35">
      <c r="D3418" s="1">
        <v>40675</v>
      </c>
      <c r="E3418">
        <v>1.6198999999999999</v>
      </c>
      <c r="F3418" s="1">
        <v>39548</v>
      </c>
      <c r="G3418">
        <v>117.563</v>
      </c>
      <c r="H3418" s="4">
        <f t="shared" si="276"/>
        <v>190440.30369999999</v>
      </c>
      <c r="I3418" s="5">
        <v>40613</v>
      </c>
      <c r="J3418" s="4">
        <v>4041.39</v>
      </c>
      <c r="K3418" s="4">
        <f t="shared" si="277"/>
        <v>40413.9</v>
      </c>
    </row>
    <row r="3419" spans="4:11" x14ac:dyDescent="0.35">
      <c r="D3419" s="1">
        <v>40674</v>
      </c>
      <c r="E3419">
        <v>1.617</v>
      </c>
      <c r="F3419" s="1">
        <v>39547</v>
      </c>
      <c r="G3419">
        <v>118.328</v>
      </c>
      <c r="H3419" s="4">
        <f t="shared" si="276"/>
        <v>191336.37599999999</v>
      </c>
      <c r="I3419" s="5">
        <v>40612</v>
      </c>
      <c r="J3419" s="4">
        <v>4035.35</v>
      </c>
      <c r="K3419" s="4">
        <f t="shared" si="277"/>
        <v>40353.5</v>
      </c>
    </row>
    <row r="3420" spans="4:11" x14ac:dyDescent="0.35">
      <c r="D3420" s="1">
        <v>40673</v>
      </c>
      <c r="E3420">
        <v>1.6061000000000001</v>
      </c>
      <c r="F3420" s="1">
        <v>39546</v>
      </c>
      <c r="G3420">
        <v>117.828</v>
      </c>
      <c r="H3420" s="4">
        <f t="shared" si="276"/>
        <v>189243.5508</v>
      </c>
      <c r="I3420" s="5">
        <v>40611</v>
      </c>
      <c r="J3420" s="4">
        <v>4018.43</v>
      </c>
      <c r="K3420" s="4">
        <f t="shared" si="277"/>
        <v>40184.299999999996</v>
      </c>
    </row>
    <row r="3421" spans="4:11" x14ac:dyDescent="0.35">
      <c r="D3421" s="1">
        <v>40672</v>
      </c>
      <c r="E3421">
        <v>1.6191</v>
      </c>
      <c r="F3421" s="1">
        <v>39545</v>
      </c>
      <c r="G3421">
        <v>117.21899999999999</v>
      </c>
      <c r="H3421" s="4">
        <f t="shared" si="276"/>
        <v>189789.28289999999</v>
      </c>
      <c r="I3421" s="5">
        <v>40606</v>
      </c>
      <c r="J3421" s="4">
        <v>4019.64</v>
      </c>
      <c r="K3421" s="4">
        <f t="shared" si="277"/>
        <v>40196.400000000001</v>
      </c>
    </row>
    <row r="3422" spans="4:11" x14ac:dyDescent="0.35">
      <c r="D3422" s="1">
        <v>40669</v>
      </c>
      <c r="E3422">
        <v>1.6103000000000001</v>
      </c>
      <c r="F3422" s="1">
        <v>39542</v>
      </c>
      <c r="G3422">
        <v>118.313</v>
      </c>
      <c r="H3422" s="4">
        <f t="shared" si="276"/>
        <v>190519.42390000002</v>
      </c>
      <c r="I3422" s="5">
        <v>40605</v>
      </c>
      <c r="J3422" s="4">
        <v>4006.35</v>
      </c>
      <c r="K3422" s="4">
        <f t="shared" si="277"/>
        <v>40063.5</v>
      </c>
    </row>
    <row r="3423" spans="4:11" x14ac:dyDescent="0.35">
      <c r="D3423" s="1">
        <v>40668</v>
      </c>
      <c r="E3423">
        <v>1.6211</v>
      </c>
      <c r="F3423" s="1">
        <v>39540</v>
      </c>
      <c r="G3423">
        <v>117.28100000000001</v>
      </c>
      <c r="H3423" s="4">
        <f t="shared" si="276"/>
        <v>190124.2291</v>
      </c>
      <c r="I3423" s="5">
        <v>40604</v>
      </c>
      <c r="J3423" s="4">
        <v>4026.89</v>
      </c>
      <c r="K3423" s="4">
        <f t="shared" si="277"/>
        <v>40268.9</v>
      </c>
    </row>
    <row r="3424" spans="4:11" x14ac:dyDescent="0.35">
      <c r="D3424" s="1">
        <v>40667</v>
      </c>
      <c r="E3424">
        <v>1.6022000000000001</v>
      </c>
      <c r="F3424" s="1">
        <v>39539</v>
      </c>
      <c r="G3424">
        <v>117.922</v>
      </c>
      <c r="H3424" s="4">
        <f t="shared" si="276"/>
        <v>188934.62840000002</v>
      </c>
      <c r="I3424" s="5">
        <v>40603</v>
      </c>
      <c r="J3424" s="4">
        <v>4041.39</v>
      </c>
      <c r="K3424" s="4">
        <f t="shared" si="277"/>
        <v>40413.9</v>
      </c>
    </row>
    <row r="3425" spans="4:11" x14ac:dyDescent="0.35">
      <c r="D3425" s="1">
        <v>40666</v>
      </c>
      <c r="E3425">
        <v>1.5882000000000001</v>
      </c>
      <c r="F3425" s="1">
        <v>39538</v>
      </c>
      <c r="G3425">
        <v>119.172</v>
      </c>
      <c r="H3425" s="4">
        <f t="shared" si="276"/>
        <v>189268.97039999999</v>
      </c>
      <c r="I3425" s="5">
        <v>40602</v>
      </c>
      <c r="J3425" s="4">
        <v>4043.81</v>
      </c>
      <c r="K3425" s="4">
        <f t="shared" si="277"/>
        <v>40438.1</v>
      </c>
    </row>
    <row r="3426" spans="4:11" x14ac:dyDescent="0.35">
      <c r="D3426" s="1">
        <v>40665</v>
      </c>
      <c r="E3426">
        <v>1.5739000000000001</v>
      </c>
      <c r="F3426" s="1">
        <v>39534</v>
      </c>
      <c r="G3426">
        <v>118.73399999999999</v>
      </c>
      <c r="H3426" s="4">
        <f t="shared" si="276"/>
        <v>186875.44260000001</v>
      </c>
      <c r="I3426" s="5">
        <v>40599</v>
      </c>
      <c r="J3426" s="4">
        <v>4049.89</v>
      </c>
      <c r="K3426" s="4">
        <f t="shared" si="277"/>
        <v>40498.9</v>
      </c>
    </row>
    <row r="3427" spans="4:11" x14ac:dyDescent="0.35">
      <c r="D3427" s="1">
        <v>40662</v>
      </c>
      <c r="E3427">
        <v>1.5725</v>
      </c>
      <c r="F3427" s="1">
        <v>39532</v>
      </c>
      <c r="G3427">
        <v>118.437</v>
      </c>
      <c r="H3427" s="4">
        <f t="shared" si="276"/>
        <v>186242.1825</v>
      </c>
      <c r="I3427" s="5">
        <v>40598</v>
      </c>
      <c r="J3427" s="4">
        <v>4049.89</v>
      </c>
      <c r="K3427" s="4">
        <f t="shared" si="277"/>
        <v>40498.9</v>
      </c>
    </row>
    <row r="3428" spans="4:11" x14ac:dyDescent="0.35">
      <c r="D3428" s="1">
        <v>40661</v>
      </c>
      <c r="E3428">
        <v>1.5845</v>
      </c>
      <c r="F3428" s="1">
        <v>39531</v>
      </c>
      <c r="G3428">
        <v>118.09399999999999</v>
      </c>
      <c r="H3428" s="4">
        <f t="shared" si="276"/>
        <v>187119.943</v>
      </c>
      <c r="I3428" s="5">
        <v>40597</v>
      </c>
      <c r="J3428" s="4">
        <v>4079.12</v>
      </c>
      <c r="K3428" s="4">
        <f t="shared" si="277"/>
        <v>40791.199999999997</v>
      </c>
    </row>
    <row r="3429" spans="4:11" x14ac:dyDescent="0.35">
      <c r="D3429" s="1">
        <v>40660</v>
      </c>
      <c r="E3429">
        <v>1.5697000000000001</v>
      </c>
      <c r="F3429" s="1">
        <v>39526</v>
      </c>
      <c r="G3429">
        <v>119.40600000000001</v>
      </c>
      <c r="H3429" s="4">
        <f t="shared" si="276"/>
        <v>187431.59820000004</v>
      </c>
      <c r="I3429" s="5">
        <v>40596</v>
      </c>
      <c r="J3429" s="4">
        <v>4076.68</v>
      </c>
      <c r="K3429" s="4">
        <f t="shared" si="277"/>
        <v>40766.799999999996</v>
      </c>
    </row>
    <row r="3430" spans="4:11" x14ac:dyDescent="0.35">
      <c r="D3430" s="1">
        <v>40659</v>
      </c>
      <c r="E3430">
        <v>1.5646</v>
      </c>
      <c r="F3430" s="1">
        <v>39525</v>
      </c>
      <c r="G3430">
        <v>119.09399999999999</v>
      </c>
      <c r="H3430" s="4">
        <f t="shared" si="276"/>
        <v>186334.47239999997</v>
      </c>
      <c r="I3430" s="5">
        <v>40595</v>
      </c>
      <c r="J3430" s="4">
        <v>4069.38</v>
      </c>
      <c r="K3430" s="4">
        <f t="shared" si="277"/>
        <v>40693.800000000003</v>
      </c>
    </row>
    <row r="3431" spans="4:11" x14ac:dyDescent="0.35">
      <c r="D3431" s="1">
        <v>40658</v>
      </c>
      <c r="E3431">
        <v>1.5711999999999999</v>
      </c>
      <c r="F3431" s="1">
        <v>39524</v>
      </c>
      <c r="G3431">
        <v>119.5</v>
      </c>
      <c r="H3431" s="4">
        <f t="shared" si="276"/>
        <v>187758.4</v>
      </c>
      <c r="I3431" s="5">
        <v>40592</v>
      </c>
      <c r="J3431" s="4">
        <v>4055.98</v>
      </c>
      <c r="K3431" s="4">
        <f t="shared" si="277"/>
        <v>40559.800000000003</v>
      </c>
    </row>
    <row r="3432" spans="4:11" x14ac:dyDescent="0.35">
      <c r="D3432" s="1">
        <v>40653</v>
      </c>
      <c r="E3432">
        <v>1.5713999999999999</v>
      </c>
      <c r="F3432" s="1">
        <v>39521</v>
      </c>
      <c r="G3432">
        <v>118.953</v>
      </c>
      <c r="H3432" s="4">
        <f t="shared" si="276"/>
        <v>186922.74419999999</v>
      </c>
      <c r="I3432" s="5">
        <v>40591</v>
      </c>
      <c r="J3432" s="4">
        <v>4053.55</v>
      </c>
      <c r="K3432" s="4">
        <f t="shared" si="277"/>
        <v>40535.5</v>
      </c>
    </row>
    <row r="3433" spans="4:11" x14ac:dyDescent="0.35">
      <c r="D3433" s="1">
        <v>40652</v>
      </c>
      <c r="E3433">
        <v>1.5784</v>
      </c>
      <c r="F3433" s="1">
        <v>39520</v>
      </c>
      <c r="G3433">
        <v>117.71899999999999</v>
      </c>
      <c r="H3433" s="4">
        <f t="shared" si="276"/>
        <v>185807.66959999999</v>
      </c>
      <c r="I3433" s="5">
        <v>40590</v>
      </c>
      <c r="J3433" s="4">
        <v>4077.9</v>
      </c>
      <c r="K3433" s="4">
        <f t="shared" si="277"/>
        <v>40779</v>
      </c>
    </row>
    <row r="3434" spans="4:11" x14ac:dyDescent="0.35">
      <c r="D3434" s="1">
        <v>40651</v>
      </c>
      <c r="E3434">
        <v>1.5904</v>
      </c>
      <c r="F3434" s="1">
        <v>39519</v>
      </c>
      <c r="G3434">
        <v>118.063</v>
      </c>
      <c r="H3434" s="4">
        <f t="shared" si="276"/>
        <v>187767.3952</v>
      </c>
      <c r="I3434" s="5">
        <v>40589</v>
      </c>
      <c r="J3434" s="4">
        <v>4079.12</v>
      </c>
      <c r="K3434" s="4">
        <f t="shared" si="277"/>
        <v>40791.199999999997</v>
      </c>
    </row>
    <row r="3435" spans="4:11" x14ac:dyDescent="0.35">
      <c r="D3435" s="1">
        <v>40648</v>
      </c>
      <c r="E3435">
        <v>1.5768</v>
      </c>
      <c r="F3435" s="1">
        <v>39518</v>
      </c>
      <c r="G3435">
        <v>116.90600000000001</v>
      </c>
      <c r="H3435" s="4">
        <f t="shared" si="276"/>
        <v>184337.38080000001</v>
      </c>
      <c r="I3435" s="5">
        <v>40588</v>
      </c>
      <c r="J3435" s="4">
        <v>4075.46</v>
      </c>
      <c r="K3435" s="4">
        <f t="shared" si="277"/>
        <v>40754.6</v>
      </c>
    </row>
    <row r="3436" spans="4:11" x14ac:dyDescent="0.35">
      <c r="D3436" s="1">
        <v>40647</v>
      </c>
      <c r="E3436">
        <v>1.5833999999999999</v>
      </c>
      <c r="F3436" s="1">
        <v>39517</v>
      </c>
      <c r="G3436">
        <v>118.15600000000001</v>
      </c>
      <c r="H3436" s="4">
        <f t="shared" si="276"/>
        <v>187088.21040000001</v>
      </c>
      <c r="I3436" s="5">
        <v>40585</v>
      </c>
      <c r="J3436" s="4">
        <v>4065.72</v>
      </c>
      <c r="K3436" s="4">
        <f t="shared" si="277"/>
        <v>40657.199999999997</v>
      </c>
    </row>
    <row r="3437" spans="4:11" x14ac:dyDescent="0.35">
      <c r="D3437" s="1">
        <v>40646</v>
      </c>
      <c r="E3437">
        <v>1.5855999999999999</v>
      </c>
      <c r="F3437" s="1">
        <v>39514</v>
      </c>
      <c r="G3437">
        <v>117.59399999999999</v>
      </c>
      <c r="H3437" s="4">
        <f t="shared" si="276"/>
        <v>186457.04639999996</v>
      </c>
      <c r="I3437" s="5">
        <v>40584</v>
      </c>
      <c r="J3437" s="4">
        <v>4079.12</v>
      </c>
      <c r="K3437" s="4">
        <f t="shared" si="277"/>
        <v>40791.199999999997</v>
      </c>
    </row>
    <row r="3438" spans="4:11" x14ac:dyDescent="0.35">
      <c r="D3438" s="1">
        <v>40645</v>
      </c>
      <c r="E3438">
        <v>1.5862000000000001</v>
      </c>
      <c r="F3438" s="1">
        <v>39513</v>
      </c>
      <c r="G3438">
        <v>116.922</v>
      </c>
      <c r="H3438" s="4">
        <f t="shared" si="276"/>
        <v>185461.6764</v>
      </c>
      <c r="I3438" s="5">
        <v>40583</v>
      </c>
      <c r="J3438" s="4">
        <v>4060.85</v>
      </c>
      <c r="K3438" s="4">
        <f t="shared" si="277"/>
        <v>40608.5</v>
      </c>
    </row>
    <row r="3439" spans="4:11" x14ac:dyDescent="0.35">
      <c r="D3439" s="1">
        <v>40644</v>
      </c>
      <c r="E3439">
        <v>1.5797000000000001</v>
      </c>
      <c r="F3439" s="1">
        <v>39512</v>
      </c>
      <c r="G3439">
        <v>116.453</v>
      </c>
      <c r="H3439" s="4">
        <f t="shared" si="276"/>
        <v>183960.80410000001</v>
      </c>
      <c r="I3439" s="5">
        <v>40582</v>
      </c>
      <c r="J3439" s="4">
        <v>4075.46</v>
      </c>
      <c r="K3439" s="4">
        <f t="shared" si="277"/>
        <v>40754.6</v>
      </c>
    </row>
    <row r="3440" spans="4:11" x14ac:dyDescent="0.35">
      <c r="D3440" s="1">
        <v>40641</v>
      </c>
      <c r="E3440">
        <v>1.5753999999999999</v>
      </c>
      <c r="F3440" s="1">
        <v>39511</v>
      </c>
      <c r="G3440">
        <v>116.73399999999999</v>
      </c>
      <c r="H3440" s="4">
        <f t="shared" si="276"/>
        <v>183902.74359999999</v>
      </c>
      <c r="I3440" s="5">
        <v>40581</v>
      </c>
      <c r="J3440" s="4">
        <v>4111.99</v>
      </c>
      <c r="K3440" s="4">
        <f t="shared" si="277"/>
        <v>41119.899999999994</v>
      </c>
    </row>
    <row r="3441" spans="4:11" x14ac:dyDescent="0.35">
      <c r="D3441" s="1">
        <v>40640</v>
      </c>
      <c r="E3441">
        <v>1.5919000000000001</v>
      </c>
      <c r="F3441" s="1">
        <v>39507</v>
      </c>
      <c r="G3441">
        <v>117.09</v>
      </c>
      <c r="H3441" s="4">
        <f t="shared" si="276"/>
        <v>186395.57100000003</v>
      </c>
      <c r="I3441" s="5">
        <v>40578</v>
      </c>
      <c r="J3441" s="4">
        <v>4097.38</v>
      </c>
      <c r="K3441" s="4">
        <f t="shared" si="277"/>
        <v>40973.800000000003</v>
      </c>
    </row>
    <row r="3442" spans="4:11" x14ac:dyDescent="0.35">
      <c r="D3442" s="1">
        <v>40639</v>
      </c>
      <c r="E3442">
        <v>1.6089</v>
      </c>
      <c r="F3442" s="1">
        <v>39506</v>
      </c>
      <c r="G3442">
        <v>116.063</v>
      </c>
      <c r="H3442" s="4">
        <f t="shared" si="276"/>
        <v>186733.76070000001</v>
      </c>
      <c r="I3442" s="5">
        <v>40577</v>
      </c>
      <c r="J3442" s="4">
        <v>4086.42</v>
      </c>
      <c r="K3442" s="4">
        <f t="shared" si="277"/>
        <v>40864.199999999997</v>
      </c>
    </row>
    <row r="3443" spans="4:11" x14ac:dyDescent="0.35">
      <c r="D3443" s="1">
        <v>40638</v>
      </c>
      <c r="E3443">
        <v>1.6079000000000001</v>
      </c>
      <c r="F3443" s="1">
        <v>39505</v>
      </c>
      <c r="G3443">
        <v>115.938</v>
      </c>
      <c r="H3443" s="4">
        <f t="shared" si="276"/>
        <v>186416.7102</v>
      </c>
      <c r="I3443" s="5">
        <v>40576</v>
      </c>
      <c r="J3443" s="4">
        <v>4085.21</v>
      </c>
      <c r="K3443" s="4">
        <f t="shared" si="277"/>
        <v>40852.1</v>
      </c>
    </row>
    <row r="3444" spans="4:11" x14ac:dyDescent="0.35">
      <c r="D3444" s="1">
        <v>40637</v>
      </c>
      <c r="E3444">
        <v>1.6102000000000001</v>
      </c>
      <c r="F3444" s="1">
        <v>39504</v>
      </c>
      <c r="G3444">
        <v>115.96899999999999</v>
      </c>
      <c r="H3444" s="4">
        <f t="shared" si="276"/>
        <v>186733.2838</v>
      </c>
      <c r="I3444" s="5">
        <v>40575</v>
      </c>
      <c r="J3444" s="4">
        <v>4079.12</v>
      </c>
      <c r="K3444" s="4">
        <f t="shared" si="277"/>
        <v>40791.199999999997</v>
      </c>
    </row>
    <row r="3445" spans="4:11" x14ac:dyDescent="0.35">
      <c r="D3445" s="1">
        <v>40634</v>
      </c>
      <c r="E3445">
        <v>1.6186</v>
      </c>
      <c r="F3445" s="1">
        <v>39503</v>
      </c>
      <c r="G3445">
        <v>115.53100000000001</v>
      </c>
      <c r="H3445" s="4">
        <f t="shared" si="276"/>
        <v>186998.47659999999</v>
      </c>
      <c r="I3445" s="5">
        <v>40574</v>
      </c>
      <c r="J3445" s="4">
        <v>4090.08</v>
      </c>
      <c r="K3445" s="4">
        <f t="shared" si="277"/>
        <v>40900.800000000003</v>
      </c>
    </row>
    <row r="3446" spans="4:11" x14ac:dyDescent="0.35">
      <c r="D3446" s="1">
        <v>40633</v>
      </c>
      <c r="E3446">
        <v>1.6278999999999999</v>
      </c>
      <c r="F3446" s="1">
        <v>39500</v>
      </c>
      <c r="G3446">
        <v>116.64100000000001</v>
      </c>
      <c r="H3446" s="4">
        <f t="shared" si="276"/>
        <v>189879.88390000002</v>
      </c>
      <c r="I3446" s="5">
        <v>40571</v>
      </c>
      <c r="J3446" s="4">
        <v>4116.96</v>
      </c>
      <c r="K3446" s="4">
        <f t="shared" si="277"/>
        <v>41169.599999999999</v>
      </c>
    </row>
    <row r="3447" spans="4:11" x14ac:dyDescent="0.35">
      <c r="D3447" s="1">
        <v>40632</v>
      </c>
      <c r="E3447">
        <v>1.6352</v>
      </c>
      <c r="F3447" s="1">
        <v>39499</v>
      </c>
      <c r="G3447">
        <v>116.672</v>
      </c>
      <c r="H3447" s="4">
        <f t="shared" si="276"/>
        <v>190782.05439999999</v>
      </c>
      <c r="I3447" s="5">
        <v>40570</v>
      </c>
      <c r="J3447" s="4">
        <v>4103.5200000000004</v>
      </c>
      <c r="K3447" s="4">
        <f t="shared" si="277"/>
        <v>41035.200000000004</v>
      </c>
    </row>
    <row r="3448" spans="4:11" x14ac:dyDescent="0.35">
      <c r="D3448" s="1">
        <v>40631</v>
      </c>
      <c r="E3448">
        <v>1.6537999999999999</v>
      </c>
      <c r="F3448" s="1">
        <v>39498</v>
      </c>
      <c r="G3448">
        <v>115.813</v>
      </c>
      <c r="H3448" s="4">
        <f t="shared" si="276"/>
        <v>191531.53939999998</v>
      </c>
      <c r="I3448" s="5">
        <v>40569</v>
      </c>
      <c r="J3448" s="4">
        <v>4077.86</v>
      </c>
      <c r="K3448" s="4">
        <f t="shared" si="277"/>
        <v>40778.6</v>
      </c>
    </row>
    <row r="3449" spans="4:11" x14ac:dyDescent="0.35">
      <c r="D3449" s="1">
        <v>40630</v>
      </c>
      <c r="E3449">
        <v>1.6606000000000001</v>
      </c>
      <c r="F3449" s="1">
        <v>39497</v>
      </c>
      <c r="G3449">
        <v>115.78100000000001</v>
      </c>
      <c r="H3449" s="4">
        <f t="shared" si="276"/>
        <v>192265.92860000001</v>
      </c>
      <c r="I3449" s="5">
        <v>40567</v>
      </c>
      <c r="J3449" s="4">
        <v>4091.3</v>
      </c>
      <c r="K3449" s="4">
        <f t="shared" si="277"/>
        <v>40913</v>
      </c>
    </row>
    <row r="3450" spans="4:11" x14ac:dyDescent="0.35">
      <c r="D3450" s="1">
        <v>40627</v>
      </c>
      <c r="E3450">
        <v>1.6573</v>
      </c>
      <c r="F3450" s="1">
        <v>39493</v>
      </c>
      <c r="G3450">
        <v>116.438</v>
      </c>
      <c r="H3450" s="4">
        <f t="shared" si="276"/>
        <v>192972.6974</v>
      </c>
      <c r="I3450" s="5">
        <v>40564</v>
      </c>
      <c r="J3450" s="4">
        <v>4107.18</v>
      </c>
      <c r="K3450" s="4">
        <f t="shared" si="277"/>
        <v>41071.800000000003</v>
      </c>
    </row>
    <row r="3451" spans="4:11" x14ac:dyDescent="0.35">
      <c r="D3451" s="1">
        <v>40626</v>
      </c>
      <c r="E3451">
        <v>1.6585000000000001</v>
      </c>
      <c r="F3451" s="1">
        <v>39492</v>
      </c>
      <c r="G3451">
        <v>116.188</v>
      </c>
      <c r="H3451" s="4">
        <f t="shared" si="276"/>
        <v>192697.79800000001</v>
      </c>
      <c r="I3451" s="5">
        <v>40563</v>
      </c>
      <c r="J3451" s="4">
        <v>4098.63</v>
      </c>
      <c r="K3451" s="4">
        <f t="shared" si="277"/>
        <v>40986.300000000003</v>
      </c>
    </row>
    <row r="3452" spans="4:11" x14ac:dyDescent="0.35">
      <c r="D3452" s="1">
        <v>40625</v>
      </c>
      <c r="E3452">
        <v>1.6594</v>
      </c>
      <c r="F3452" s="1">
        <v>39491</v>
      </c>
      <c r="G3452">
        <v>117</v>
      </c>
      <c r="H3452" s="4">
        <f t="shared" si="276"/>
        <v>194149.8</v>
      </c>
      <c r="I3452" s="5">
        <v>40562</v>
      </c>
      <c r="J3452" s="4">
        <v>4093.74</v>
      </c>
      <c r="K3452" s="4">
        <f t="shared" si="277"/>
        <v>40937.399999999994</v>
      </c>
    </row>
    <row r="3453" spans="4:11" x14ac:dyDescent="0.35">
      <c r="D3453" s="1">
        <v>40624</v>
      </c>
      <c r="E3453">
        <v>1.663</v>
      </c>
      <c r="F3453" s="1">
        <v>39490</v>
      </c>
      <c r="G3453">
        <v>116.70399999999999</v>
      </c>
      <c r="H3453" s="4">
        <f t="shared" si="276"/>
        <v>194078.75199999998</v>
      </c>
      <c r="I3453" s="5">
        <v>40561</v>
      </c>
      <c r="J3453" s="4">
        <v>4105.96</v>
      </c>
      <c r="K3453" s="4">
        <f t="shared" si="277"/>
        <v>41059.599999999999</v>
      </c>
    </row>
    <row r="3454" spans="4:11" x14ac:dyDescent="0.35">
      <c r="D3454" s="1">
        <v>40623</v>
      </c>
      <c r="E3454">
        <v>1.6644000000000001</v>
      </c>
      <c r="F3454" s="1">
        <v>39489</v>
      </c>
      <c r="G3454">
        <v>117.313</v>
      </c>
      <c r="H3454" s="4">
        <f t="shared" si="276"/>
        <v>195255.75719999999</v>
      </c>
      <c r="I3454" s="5">
        <v>40560</v>
      </c>
      <c r="J3454" s="4">
        <v>4121.8500000000004</v>
      </c>
      <c r="K3454" s="4">
        <f t="shared" si="277"/>
        <v>41218.5</v>
      </c>
    </row>
    <row r="3455" spans="4:11" x14ac:dyDescent="0.35">
      <c r="D3455" s="1">
        <v>40620</v>
      </c>
      <c r="E3455">
        <v>1.6712</v>
      </c>
      <c r="F3455" s="1">
        <v>39486</v>
      </c>
      <c r="G3455">
        <v>116.76600000000001</v>
      </c>
      <c r="H3455" s="4">
        <f t="shared" si="276"/>
        <v>195139.33920000002</v>
      </c>
      <c r="I3455" s="5">
        <v>40557</v>
      </c>
      <c r="J3455" s="4">
        <v>4135.29</v>
      </c>
      <c r="K3455" s="4">
        <f t="shared" si="277"/>
        <v>41352.9</v>
      </c>
    </row>
    <row r="3456" spans="4:11" x14ac:dyDescent="0.35">
      <c r="D3456" s="1">
        <v>40619</v>
      </c>
      <c r="E3456">
        <v>1.6749000000000001</v>
      </c>
      <c r="F3456" s="1">
        <v>39485</v>
      </c>
      <c r="G3456">
        <v>116.797</v>
      </c>
      <c r="H3456" s="4">
        <f t="shared" si="276"/>
        <v>195623.2953</v>
      </c>
      <c r="I3456" s="5">
        <v>40556</v>
      </c>
      <c r="J3456" s="4">
        <v>4103.5200000000004</v>
      </c>
      <c r="K3456" s="4">
        <f t="shared" si="277"/>
        <v>41035.200000000004</v>
      </c>
    </row>
    <row r="3457" spans="4:11" x14ac:dyDescent="0.35">
      <c r="D3457" s="1">
        <v>40618</v>
      </c>
      <c r="E3457">
        <v>1.6666000000000001</v>
      </c>
      <c r="F3457" s="1">
        <v>39479</v>
      </c>
      <c r="G3457">
        <v>117.15600000000001</v>
      </c>
      <c r="H3457" s="4">
        <f t="shared" si="276"/>
        <v>195252.18960000001</v>
      </c>
      <c r="I3457" s="5">
        <v>40555</v>
      </c>
      <c r="J3457" s="4">
        <v>4108.41</v>
      </c>
      <c r="K3457" s="4">
        <f t="shared" si="277"/>
        <v>41084.1</v>
      </c>
    </row>
    <row r="3458" spans="4:11" x14ac:dyDescent="0.35">
      <c r="D3458" s="1">
        <v>40617</v>
      </c>
      <c r="E3458">
        <v>1.6684000000000001</v>
      </c>
      <c r="F3458" s="1">
        <v>39478</v>
      </c>
      <c r="G3458">
        <v>117.203</v>
      </c>
      <c r="H3458" s="4">
        <f t="shared" si="276"/>
        <v>195541.48520000002</v>
      </c>
      <c r="I3458" s="5">
        <v>40554</v>
      </c>
      <c r="J3458" s="4">
        <v>4134.07</v>
      </c>
      <c r="K3458" s="4">
        <f t="shared" si="277"/>
        <v>41340.699999999997</v>
      </c>
    </row>
    <row r="3459" spans="4:11" x14ac:dyDescent="0.35">
      <c r="D3459" s="1">
        <v>40616</v>
      </c>
      <c r="E3459">
        <v>1.6623000000000001</v>
      </c>
      <c r="F3459" s="1">
        <v>39477</v>
      </c>
      <c r="G3459">
        <v>116.125</v>
      </c>
      <c r="H3459" s="4">
        <f t="shared" si="276"/>
        <v>193034.58750000002</v>
      </c>
      <c r="I3459" s="5">
        <v>40553</v>
      </c>
      <c r="J3459" s="4">
        <v>4147.51</v>
      </c>
      <c r="K3459" s="4">
        <f t="shared" si="277"/>
        <v>41475.100000000006</v>
      </c>
    </row>
    <row r="3460" spans="4:11" x14ac:dyDescent="0.35">
      <c r="D3460" s="1">
        <v>40613</v>
      </c>
      <c r="E3460">
        <v>1.6640999999999999</v>
      </c>
      <c r="F3460" s="1">
        <v>39476</v>
      </c>
      <c r="G3460">
        <v>117</v>
      </c>
      <c r="H3460" s="4">
        <f t="shared" ref="H3460:H3523" si="278">G3460*E3460*1000</f>
        <v>194699.69999999998</v>
      </c>
      <c r="I3460" s="5">
        <v>40550</v>
      </c>
      <c r="J3460" s="4">
        <v>4132.8500000000004</v>
      </c>
      <c r="K3460" s="4">
        <f t="shared" si="277"/>
        <v>41328.5</v>
      </c>
    </row>
    <row r="3461" spans="4:11" x14ac:dyDescent="0.35">
      <c r="D3461" s="1">
        <v>40612</v>
      </c>
      <c r="E3461">
        <v>1.6604000000000001</v>
      </c>
      <c r="F3461" s="1">
        <v>39475</v>
      </c>
      <c r="G3461">
        <v>116.938</v>
      </c>
      <c r="H3461" s="4">
        <f t="shared" si="278"/>
        <v>194163.85520000002</v>
      </c>
      <c r="I3461" s="5">
        <v>40549</v>
      </c>
      <c r="J3461" s="4">
        <v>4141.3999999999996</v>
      </c>
      <c r="K3461" s="4">
        <f t="shared" ref="K3461:K3524" si="279">J3461*10</f>
        <v>41414</v>
      </c>
    </row>
    <row r="3462" spans="4:11" x14ac:dyDescent="0.35">
      <c r="D3462" s="1">
        <v>40611</v>
      </c>
      <c r="E3462">
        <v>1.6551</v>
      </c>
      <c r="F3462" s="1">
        <v>39471</v>
      </c>
      <c r="G3462">
        <v>116.563</v>
      </c>
      <c r="H3462" s="4">
        <f t="shared" si="278"/>
        <v>192923.42129999999</v>
      </c>
      <c r="I3462" s="5">
        <v>40548</v>
      </c>
      <c r="J3462" s="4">
        <v>4113.29</v>
      </c>
      <c r="K3462" s="4">
        <f t="shared" si="279"/>
        <v>41132.9</v>
      </c>
    </row>
    <row r="3463" spans="4:11" x14ac:dyDescent="0.35">
      <c r="D3463" s="1">
        <v>40606</v>
      </c>
      <c r="E3463">
        <v>1.6454</v>
      </c>
      <c r="F3463" s="1">
        <v>39470</v>
      </c>
      <c r="G3463">
        <v>118.828</v>
      </c>
      <c r="H3463" s="4">
        <f t="shared" si="278"/>
        <v>195519.5912</v>
      </c>
      <c r="I3463" s="5">
        <v>40547</v>
      </c>
      <c r="J3463" s="4">
        <v>4081.52</v>
      </c>
      <c r="K3463" s="4">
        <f t="shared" si="279"/>
        <v>40815.199999999997</v>
      </c>
    </row>
    <row r="3464" spans="4:11" x14ac:dyDescent="0.35">
      <c r="D3464" s="1">
        <v>40605</v>
      </c>
      <c r="E3464">
        <v>1.6536999999999999</v>
      </c>
      <c r="F3464" s="1">
        <v>39469</v>
      </c>
      <c r="G3464">
        <v>117.438</v>
      </c>
      <c r="H3464" s="4">
        <f t="shared" si="278"/>
        <v>194207.2206</v>
      </c>
      <c r="I3464" s="5">
        <v>40546</v>
      </c>
      <c r="J3464" s="4">
        <v>4050.97</v>
      </c>
      <c r="K3464" s="4">
        <f t="shared" si="279"/>
        <v>40509.699999999997</v>
      </c>
    </row>
    <row r="3465" spans="4:11" x14ac:dyDescent="0.35">
      <c r="D3465" s="1">
        <v>40604</v>
      </c>
      <c r="E3465">
        <v>1.6601999999999999</v>
      </c>
      <c r="F3465" s="1">
        <v>39468</v>
      </c>
      <c r="G3465">
        <v>116.65600000000001</v>
      </c>
      <c r="H3465" s="4">
        <f t="shared" si="278"/>
        <v>193672.29119999998</v>
      </c>
      <c r="I3465" s="5">
        <v>40542</v>
      </c>
      <c r="J3465" s="4">
        <v>4086.41</v>
      </c>
      <c r="K3465" s="4">
        <f t="shared" si="279"/>
        <v>40864.1</v>
      </c>
    </row>
    <row r="3466" spans="4:11" x14ac:dyDescent="0.35">
      <c r="D3466" s="1">
        <v>40603</v>
      </c>
      <c r="E3466">
        <v>1.6618999999999999</v>
      </c>
      <c r="F3466" s="1">
        <v>39465</v>
      </c>
      <c r="G3466">
        <v>116.65600000000001</v>
      </c>
      <c r="H3466" s="4">
        <f t="shared" si="278"/>
        <v>193870.60640000002</v>
      </c>
      <c r="I3466" s="5">
        <v>40541</v>
      </c>
      <c r="J3466" s="4">
        <v>4122</v>
      </c>
      <c r="K3466" s="4">
        <f t="shared" si="279"/>
        <v>41220</v>
      </c>
    </row>
    <row r="3467" spans="4:11" x14ac:dyDescent="0.35">
      <c r="D3467" s="1">
        <v>40602</v>
      </c>
      <c r="E3467">
        <v>1.6604000000000001</v>
      </c>
      <c r="F3467" s="1">
        <v>39464</v>
      </c>
      <c r="G3467">
        <v>116.5</v>
      </c>
      <c r="H3467" s="4">
        <f t="shared" si="278"/>
        <v>193436.6</v>
      </c>
      <c r="I3467" s="5">
        <v>40540</v>
      </c>
      <c r="J3467" s="4">
        <v>4152.68</v>
      </c>
      <c r="K3467" s="4">
        <f t="shared" si="279"/>
        <v>41526.800000000003</v>
      </c>
    </row>
    <row r="3468" spans="4:11" x14ac:dyDescent="0.35">
      <c r="D3468" s="1">
        <v>40599</v>
      </c>
      <c r="E3468">
        <v>1.6617</v>
      </c>
      <c r="F3468" s="1">
        <v>39463</v>
      </c>
      <c r="G3468">
        <v>116.188</v>
      </c>
      <c r="H3468" s="4">
        <f t="shared" si="278"/>
        <v>193069.59960000002</v>
      </c>
      <c r="I3468" s="5">
        <v>40539</v>
      </c>
      <c r="J3468" s="4">
        <v>4139.18</v>
      </c>
      <c r="K3468" s="4">
        <f t="shared" si="279"/>
        <v>41391.800000000003</v>
      </c>
    </row>
    <row r="3469" spans="4:11" x14ac:dyDescent="0.35">
      <c r="D3469" s="1">
        <v>40598</v>
      </c>
      <c r="E3469">
        <v>1.6640999999999999</v>
      </c>
      <c r="F3469" s="1">
        <v>39462</v>
      </c>
      <c r="G3469">
        <v>115.96899999999999</v>
      </c>
      <c r="H3469" s="4">
        <f t="shared" si="278"/>
        <v>192984.01289999997</v>
      </c>
      <c r="I3469" s="5">
        <v>40535</v>
      </c>
      <c r="J3469" s="4">
        <v>4156.3599999999997</v>
      </c>
      <c r="K3469" s="4">
        <f t="shared" si="279"/>
        <v>41563.599999999999</v>
      </c>
    </row>
    <row r="3470" spans="4:11" x14ac:dyDescent="0.35">
      <c r="D3470" s="1">
        <v>40597</v>
      </c>
      <c r="E3470">
        <v>1.6712</v>
      </c>
      <c r="F3470" s="1">
        <v>39456</v>
      </c>
      <c r="G3470">
        <v>115.48399999999999</v>
      </c>
      <c r="H3470" s="4">
        <f t="shared" si="278"/>
        <v>192996.86079999999</v>
      </c>
      <c r="I3470" s="5">
        <v>40534</v>
      </c>
      <c r="J3470" s="4">
        <v>4180.8999999999996</v>
      </c>
      <c r="K3470" s="4">
        <f t="shared" si="279"/>
        <v>41809</v>
      </c>
    </row>
    <row r="3471" spans="4:11" x14ac:dyDescent="0.35">
      <c r="D3471" s="1">
        <v>40596</v>
      </c>
      <c r="E3471">
        <v>1.6686000000000001</v>
      </c>
      <c r="F3471" s="1">
        <v>39451</v>
      </c>
      <c r="G3471">
        <v>114.953</v>
      </c>
      <c r="H3471" s="4">
        <f t="shared" si="278"/>
        <v>191810.57580000002</v>
      </c>
      <c r="I3471" s="5">
        <v>40533</v>
      </c>
      <c r="J3471" s="4">
        <v>4172.3100000000004</v>
      </c>
      <c r="K3471" s="4">
        <f t="shared" si="279"/>
        <v>41723.100000000006</v>
      </c>
    </row>
    <row r="3472" spans="4:11" x14ac:dyDescent="0.35">
      <c r="D3472" s="1">
        <v>40595</v>
      </c>
      <c r="E3472">
        <v>1.6658999999999999</v>
      </c>
      <c r="F3472" s="1">
        <v>39450</v>
      </c>
      <c r="G3472">
        <v>114.48399999999999</v>
      </c>
      <c r="H3472" s="4">
        <f t="shared" si="278"/>
        <v>190718.89559999999</v>
      </c>
      <c r="I3472" s="5">
        <v>40532</v>
      </c>
      <c r="J3472" s="4">
        <v>4199.3100000000004</v>
      </c>
      <c r="K3472" s="4">
        <f t="shared" si="279"/>
        <v>41993.100000000006</v>
      </c>
    </row>
    <row r="3473" spans="4:11" x14ac:dyDescent="0.35">
      <c r="D3473" s="1">
        <v>40592</v>
      </c>
      <c r="E3473">
        <v>1.6669</v>
      </c>
      <c r="F3473" s="1">
        <v>39449</v>
      </c>
      <c r="G3473">
        <v>114.21899999999999</v>
      </c>
      <c r="H3473" s="4">
        <f t="shared" si="278"/>
        <v>190391.65109999999</v>
      </c>
      <c r="I3473" s="5">
        <v>40529</v>
      </c>
      <c r="J3473" s="4">
        <v>4221.3999999999996</v>
      </c>
      <c r="K3473" s="4">
        <f t="shared" si="279"/>
        <v>42214</v>
      </c>
    </row>
    <row r="3474" spans="4:11" x14ac:dyDescent="0.35">
      <c r="D3474" s="1">
        <v>40591</v>
      </c>
      <c r="E3474">
        <v>1.6653</v>
      </c>
      <c r="F3474" s="1">
        <v>39444</v>
      </c>
      <c r="G3474">
        <v>113.06</v>
      </c>
      <c r="H3474" s="4">
        <f t="shared" si="278"/>
        <v>188278.818</v>
      </c>
      <c r="I3474" s="5">
        <v>40528</v>
      </c>
      <c r="J3474" s="4">
        <v>4191.9399999999996</v>
      </c>
      <c r="K3474" s="4">
        <f t="shared" si="279"/>
        <v>41919.399999999994</v>
      </c>
    </row>
    <row r="3475" spans="4:11" x14ac:dyDescent="0.35">
      <c r="D3475" s="1">
        <v>40590</v>
      </c>
      <c r="E3475">
        <v>1.6696</v>
      </c>
      <c r="F3475" s="1">
        <v>39443</v>
      </c>
      <c r="G3475">
        <v>111.98399999999999</v>
      </c>
      <c r="H3475" s="4">
        <f t="shared" si="278"/>
        <v>186968.48639999999</v>
      </c>
      <c r="I3475" s="5">
        <v>40527</v>
      </c>
      <c r="J3475" s="4">
        <v>4214.03</v>
      </c>
      <c r="K3475" s="4">
        <f t="shared" si="279"/>
        <v>42140.299999999996</v>
      </c>
    </row>
    <row r="3476" spans="4:11" x14ac:dyDescent="0.35">
      <c r="D3476" s="1">
        <v>40589</v>
      </c>
      <c r="E3476">
        <v>1.6674</v>
      </c>
      <c r="F3476" s="1">
        <v>39437</v>
      </c>
      <c r="G3476">
        <v>112.65600000000001</v>
      </c>
      <c r="H3476" s="4">
        <f t="shared" si="278"/>
        <v>187842.61439999999</v>
      </c>
      <c r="I3476" s="5">
        <v>40526</v>
      </c>
      <c r="J3476" s="4">
        <v>4182.13</v>
      </c>
      <c r="K3476" s="4">
        <f t="shared" si="279"/>
        <v>41821.300000000003</v>
      </c>
    </row>
    <row r="3477" spans="4:11" x14ac:dyDescent="0.35">
      <c r="D3477" s="1">
        <v>40588</v>
      </c>
      <c r="E3477">
        <v>1.6673</v>
      </c>
      <c r="F3477" s="1">
        <v>39436</v>
      </c>
      <c r="G3477">
        <v>113.625</v>
      </c>
      <c r="H3477" s="4">
        <f t="shared" si="278"/>
        <v>189446.96250000002</v>
      </c>
      <c r="I3477" s="5">
        <v>40525</v>
      </c>
      <c r="J3477" s="4">
        <v>4177.22</v>
      </c>
      <c r="K3477" s="4">
        <f t="shared" si="279"/>
        <v>41772.200000000004</v>
      </c>
    </row>
    <row r="3478" spans="4:11" x14ac:dyDescent="0.35">
      <c r="D3478" s="1">
        <v>40585</v>
      </c>
      <c r="E3478">
        <v>1.6671</v>
      </c>
      <c r="F3478" s="1">
        <v>39435</v>
      </c>
      <c r="G3478">
        <v>113.297</v>
      </c>
      <c r="H3478" s="4">
        <f t="shared" si="278"/>
        <v>188877.42869999999</v>
      </c>
      <c r="I3478" s="5">
        <v>40522</v>
      </c>
      <c r="J3478" s="4">
        <v>4211.58</v>
      </c>
      <c r="K3478" s="4">
        <f t="shared" si="279"/>
        <v>42115.8</v>
      </c>
    </row>
    <row r="3479" spans="4:11" x14ac:dyDescent="0.35">
      <c r="D3479" s="1">
        <v>40584</v>
      </c>
      <c r="E3479">
        <v>1.6672</v>
      </c>
      <c r="F3479" s="1">
        <v>39434</v>
      </c>
      <c r="G3479">
        <v>112.922</v>
      </c>
      <c r="H3479" s="4">
        <f t="shared" si="278"/>
        <v>188263.55839999998</v>
      </c>
      <c r="I3479" s="5">
        <v>40521</v>
      </c>
      <c r="J3479" s="4">
        <v>4218.9399999999996</v>
      </c>
      <c r="K3479" s="4">
        <f t="shared" si="279"/>
        <v>42189.399999999994</v>
      </c>
    </row>
    <row r="3480" spans="4:11" x14ac:dyDescent="0.35">
      <c r="D3480" s="1">
        <v>40583</v>
      </c>
      <c r="E3480">
        <v>1.6635</v>
      </c>
      <c r="F3480" s="1">
        <v>39433</v>
      </c>
      <c r="G3480">
        <v>112.25</v>
      </c>
      <c r="H3480" s="4">
        <f t="shared" si="278"/>
        <v>186727.875</v>
      </c>
      <c r="I3480" s="5">
        <v>40520</v>
      </c>
      <c r="J3480" s="4">
        <v>4169.8599999999997</v>
      </c>
      <c r="K3480" s="4">
        <f t="shared" si="279"/>
        <v>41698.6</v>
      </c>
    </row>
    <row r="3481" spans="4:11" x14ac:dyDescent="0.35">
      <c r="D3481" s="1">
        <v>40582</v>
      </c>
      <c r="E3481">
        <v>1.6702999999999999</v>
      </c>
      <c r="F3481" s="1">
        <v>39430</v>
      </c>
      <c r="G3481">
        <v>111.98399999999999</v>
      </c>
      <c r="H3481" s="4">
        <f t="shared" si="278"/>
        <v>187046.87519999998</v>
      </c>
      <c r="I3481" s="5">
        <v>40519</v>
      </c>
      <c r="J3481" s="4">
        <v>4153.8999999999996</v>
      </c>
      <c r="K3481" s="4">
        <f t="shared" si="279"/>
        <v>41539</v>
      </c>
    </row>
    <row r="3482" spans="4:11" x14ac:dyDescent="0.35">
      <c r="D3482" s="1">
        <v>40581</v>
      </c>
      <c r="E3482">
        <v>1.6768000000000001</v>
      </c>
      <c r="F3482" s="1">
        <v>39429</v>
      </c>
      <c r="G3482">
        <v>112.328</v>
      </c>
      <c r="H3482" s="4">
        <f t="shared" si="278"/>
        <v>188351.59040000002</v>
      </c>
      <c r="I3482" s="5">
        <v>40518</v>
      </c>
      <c r="J3482" s="4">
        <v>4135.5</v>
      </c>
      <c r="K3482" s="4">
        <f t="shared" si="279"/>
        <v>41355</v>
      </c>
    </row>
    <row r="3483" spans="4:11" x14ac:dyDescent="0.35">
      <c r="D3483" s="1">
        <v>40578</v>
      </c>
      <c r="E3483">
        <v>1.673</v>
      </c>
      <c r="F3483" s="1">
        <v>39428</v>
      </c>
      <c r="G3483">
        <v>112.578</v>
      </c>
      <c r="H3483" s="4">
        <f t="shared" si="278"/>
        <v>188342.99400000001</v>
      </c>
      <c r="I3483" s="5">
        <v>40515</v>
      </c>
      <c r="J3483" s="4">
        <v>4166.17</v>
      </c>
      <c r="K3483" s="4">
        <f t="shared" si="279"/>
        <v>41661.699999999997</v>
      </c>
    </row>
    <row r="3484" spans="4:11" x14ac:dyDescent="0.35">
      <c r="D3484" s="1">
        <v>40577</v>
      </c>
      <c r="E3484">
        <v>1.6689000000000001</v>
      </c>
      <c r="F3484" s="1">
        <v>39426</v>
      </c>
      <c r="G3484">
        <v>112.453</v>
      </c>
      <c r="H3484" s="4">
        <f t="shared" si="278"/>
        <v>187672.81170000002</v>
      </c>
      <c r="I3484" s="5">
        <v>40514</v>
      </c>
      <c r="J3484" s="4">
        <v>4191.9399999999996</v>
      </c>
      <c r="K3484" s="4">
        <f t="shared" si="279"/>
        <v>41919.399999999994</v>
      </c>
    </row>
    <row r="3485" spans="4:11" x14ac:dyDescent="0.35">
      <c r="D3485" s="1">
        <v>40576</v>
      </c>
      <c r="E3485">
        <v>1.6662999999999999</v>
      </c>
      <c r="F3485" s="1">
        <v>39423</v>
      </c>
      <c r="G3485">
        <v>112.875</v>
      </c>
      <c r="H3485" s="4">
        <f t="shared" si="278"/>
        <v>188083.61249999999</v>
      </c>
      <c r="I3485" s="5">
        <v>40513</v>
      </c>
      <c r="J3485" s="4">
        <v>4215.26</v>
      </c>
      <c r="K3485" s="4">
        <f t="shared" si="279"/>
        <v>42152.600000000006</v>
      </c>
    </row>
    <row r="3486" spans="4:11" x14ac:dyDescent="0.35">
      <c r="D3486" s="1">
        <v>40575</v>
      </c>
      <c r="E3486">
        <v>1.6623000000000001</v>
      </c>
      <c r="F3486" s="1">
        <v>39422</v>
      </c>
      <c r="G3486">
        <v>113.59399999999999</v>
      </c>
      <c r="H3486" s="4">
        <f t="shared" si="278"/>
        <v>188827.30620000002</v>
      </c>
      <c r="I3486" s="5">
        <v>40512</v>
      </c>
      <c r="J3486" s="4">
        <v>4236.12</v>
      </c>
      <c r="K3486" s="4">
        <f t="shared" si="279"/>
        <v>42361.2</v>
      </c>
    </row>
    <row r="3487" spans="4:11" x14ac:dyDescent="0.35">
      <c r="D3487" s="1">
        <v>40574</v>
      </c>
      <c r="E3487">
        <v>1.6726000000000001</v>
      </c>
      <c r="F3487" s="1">
        <v>39420</v>
      </c>
      <c r="G3487">
        <v>114</v>
      </c>
      <c r="H3487" s="4">
        <f t="shared" si="278"/>
        <v>190676.4</v>
      </c>
      <c r="I3487" s="5">
        <v>40511</v>
      </c>
      <c r="J3487" s="4">
        <v>4244.76</v>
      </c>
      <c r="K3487" s="4">
        <f t="shared" si="279"/>
        <v>42447.600000000006</v>
      </c>
    </row>
    <row r="3488" spans="4:11" x14ac:dyDescent="0.35">
      <c r="D3488" s="1">
        <v>40571</v>
      </c>
      <c r="E3488">
        <v>1.6774</v>
      </c>
      <c r="F3488" s="1">
        <v>39419</v>
      </c>
      <c r="G3488">
        <v>113.816</v>
      </c>
      <c r="H3488" s="4">
        <f t="shared" si="278"/>
        <v>190914.9584</v>
      </c>
      <c r="I3488" s="5">
        <v>40508</v>
      </c>
      <c r="J3488" s="4">
        <v>4266.97</v>
      </c>
      <c r="K3488" s="4">
        <f t="shared" si="279"/>
        <v>42669.700000000004</v>
      </c>
    </row>
    <row r="3489" spans="4:11" x14ac:dyDescent="0.35">
      <c r="D3489" s="1">
        <v>40570</v>
      </c>
      <c r="E3489">
        <v>1.6712</v>
      </c>
      <c r="F3489" s="1">
        <v>39416</v>
      </c>
      <c r="G3489">
        <v>112.85899999999999</v>
      </c>
      <c r="H3489" s="4">
        <f t="shared" si="278"/>
        <v>188609.96079999997</v>
      </c>
      <c r="I3489" s="5">
        <v>40507</v>
      </c>
      <c r="J3489" s="4">
        <v>4250.93</v>
      </c>
      <c r="K3489" s="4">
        <f t="shared" si="279"/>
        <v>42509.3</v>
      </c>
    </row>
    <row r="3490" spans="4:11" x14ac:dyDescent="0.35">
      <c r="D3490" s="1">
        <v>40569</v>
      </c>
      <c r="E3490">
        <v>1.6684000000000001</v>
      </c>
      <c r="F3490" s="1">
        <v>39414</v>
      </c>
      <c r="G3490">
        <v>114</v>
      </c>
      <c r="H3490" s="4">
        <f t="shared" si="278"/>
        <v>190197.60000000003</v>
      </c>
      <c r="I3490" s="5">
        <v>40506</v>
      </c>
      <c r="J3490" s="4">
        <v>4252.16</v>
      </c>
      <c r="K3490" s="4">
        <f t="shared" si="279"/>
        <v>42521.599999999999</v>
      </c>
    </row>
    <row r="3491" spans="4:11" x14ac:dyDescent="0.35">
      <c r="D3491" s="1">
        <v>40568</v>
      </c>
      <c r="E3491">
        <v>1.6737</v>
      </c>
      <c r="F3491" s="1">
        <v>39413</v>
      </c>
      <c r="G3491">
        <v>113.578</v>
      </c>
      <c r="H3491" s="4">
        <f t="shared" si="278"/>
        <v>190095.49860000002</v>
      </c>
      <c r="I3491" s="5">
        <v>40505</v>
      </c>
      <c r="J3491" s="4">
        <v>4290.42</v>
      </c>
      <c r="K3491" s="4">
        <f t="shared" si="279"/>
        <v>42904.2</v>
      </c>
    </row>
    <row r="3492" spans="4:11" x14ac:dyDescent="0.35">
      <c r="D3492" s="1">
        <v>40567</v>
      </c>
      <c r="E3492">
        <v>1.6722999999999999</v>
      </c>
      <c r="F3492" s="1">
        <v>39412</v>
      </c>
      <c r="G3492">
        <v>113.828</v>
      </c>
      <c r="H3492" s="4">
        <f t="shared" si="278"/>
        <v>190354.56439999997</v>
      </c>
      <c r="I3492" s="5">
        <v>40504</v>
      </c>
      <c r="J3492" s="4">
        <v>4254.63</v>
      </c>
      <c r="K3492" s="4">
        <f t="shared" si="279"/>
        <v>42546.3</v>
      </c>
    </row>
    <row r="3493" spans="4:11" x14ac:dyDescent="0.35">
      <c r="D3493" s="1">
        <v>40564</v>
      </c>
      <c r="E3493">
        <v>1.6715</v>
      </c>
      <c r="F3493" s="1">
        <v>39407</v>
      </c>
      <c r="G3493">
        <v>113.438</v>
      </c>
      <c r="H3493" s="4">
        <f t="shared" si="278"/>
        <v>189611.617</v>
      </c>
      <c r="I3493" s="5">
        <v>40501</v>
      </c>
      <c r="J3493" s="4">
        <v>4239.82</v>
      </c>
      <c r="K3493" s="4">
        <f t="shared" si="279"/>
        <v>42398.2</v>
      </c>
    </row>
    <row r="3494" spans="4:11" x14ac:dyDescent="0.35">
      <c r="D3494" s="1">
        <v>40563</v>
      </c>
      <c r="E3494">
        <v>1.6707000000000001</v>
      </c>
      <c r="F3494" s="1">
        <v>39405</v>
      </c>
      <c r="G3494">
        <v>113.313</v>
      </c>
      <c r="H3494" s="4">
        <f t="shared" si="278"/>
        <v>189312.02910000001</v>
      </c>
      <c r="I3494" s="5">
        <v>40500</v>
      </c>
      <c r="J3494" s="4">
        <v>4233.6499999999996</v>
      </c>
      <c r="K3494" s="4">
        <f t="shared" si="279"/>
        <v>42336.5</v>
      </c>
    </row>
    <row r="3495" spans="4:11" x14ac:dyDescent="0.35">
      <c r="D3495" s="1">
        <v>40562</v>
      </c>
      <c r="E3495">
        <v>1.6706000000000001</v>
      </c>
      <c r="F3495" s="1">
        <v>39399</v>
      </c>
      <c r="G3495">
        <v>111.96899999999999</v>
      </c>
      <c r="H3495" s="4">
        <f t="shared" si="278"/>
        <v>187055.41139999998</v>
      </c>
      <c r="I3495" s="5">
        <v>40499</v>
      </c>
      <c r="J3495" s="4">
        <v>4273.1400000000003</v>
      </c>
      <c r="K3495" s="4">
        <f t="shared" si="279"/>
        <v>42731.4</v>
      </c>
    </row>
    <row r="3496" spans="4:11" x14ac:dyDescent="0.35">
      <c r="D3496" s="1">
        <v>40561</v>
      </c>
      <c r="E3496">
        <v>1.6737</v>
      </c>
      <c r="F3496" s="1">
        <v>39395</v>
      </c>
      <c r="G3496">
        <v>111.65600000000001</v>
      </c>
      <c r="H3496" s="4">
        <f t="shared" si="278"/>
        <v>186878.64720000001</v>
      </c>
      <c r="I3496" s="5">
        <v>40498</v>
      </c>
      <c r="J3496" s="4">
        <v>4311.3900000000003</v>
      </c>
      <c r="K3496" s="4">
        <f t="shared" si="279"/>
        <v>43113.9</v>
      </c>
    </row>
    <row r="3497" spans="4:11" x14ac:dyDescent="0.35">
      <c r="D3497" s="1">
        <v>40560</v>
      </c>
      <c r="E3497">
        <v>1.681</v>
      </c>
      <c r="F3497" s="1">
        <v>39394</v>
      </c>
      <c r="G3497">
        <v>111.453</v>
      </c>
      <c r="H3497" s="4">
        <f t="shared" si="278"/>
        <v>187352.49300000002</v>
      </c>
      <c r="I3497" s="5">
        <v>40494</v>
      </c>
      <c r="J3497" s="4">
        <v>4264.5</v>
      </c>
      <c r="K3497" s="4">
        <f t="shared" si="279"/>
        <v>42645</v>
      </c>
    </row>
    <row r="3498" spans="4:11" x14ac:dyDescent="0.35">
      <c r="D3498" s="1">
        <v>40557</v>
      </c>
      <c r="E3498">
        <v>1.6835</v>
      </c>
      <c r="F3498" s="1">
        <v>39393</v>
      </c>
      <c r="G3498">
        <v>111.047</v>
      </c>
      <c r="H3498" s="4">
        <f t="shared" si="278"/>
        <v>186947.62449999998</v>
      </c>
      <c r="I3498" s="5">
        <v>40493</v>
      </c>
      <c r="J3498" s="4">
        <v>4250.93</v>
      </c>
      <c r="K3498" s="4">
        <f t="shared" si="279"/>
        <v>42509.3</v>
      </c>
    </row>
    <row r="3499" spans="4:11" x14ac:dyDescent="0.35">
      <c r="D3499" s="1">
        <v>40556</v>
      </c>
      <c r="E3499">
        <v>1.6693</v>
      </c>
      <c r="F3499" s="1">
        <v>39392</v>
      </c>
      <c r="G3499">
        <v>111.15600000000001</v>
      </c>
      <c r="H3499" s="4">
        <f t="shared" si="278"/>
        <v>185552.7108</v>
      </c>
      <c r="I3499" s="5">
        <v>40492</v>
      </c>
      <c r="J3499" s="4">
        <v>4231.1899999999996</v>
      </c>
      <c r="K3499" s="4">
        <f t="shared" si="279"/>
        <v>42311.899999999994</v>
      </c>
    </row>
    <row r="3500" spans="4:11" x14ac:dyDescent="0.35">
      <c r="D3500" s="1">
        <v>40555</v>
      </c>
      <c r="E3500">
        <v>1.6765000000000001</v>
      </c>
      <c r="F3500" s="1">
        <v>39391</v>
      </c>
      <c r="G3500">
        <v>111.10899999999999</v>
      </c>
      <c r="H3500" s="4">
        <f t="shared" si="278"/>
        <v>186274.23850000001</v>
      </c>
      <c r="I3500" s="5">
        <v>40491</v>
      </c>
      <c r="J3500" s="4">
        <v>4217.6099999999997</v>
      </c>
      <c r="K3500" s="4">
        <f t="shared" si="279"/>
        <v>42176.1</v>
      </c>
    </row>
    <row r="3501" spans="4:11" x14ac:dyDescent="0.35">
      <c r="D3501" s="1">
        <v>40554</v>
      </c>
      <c r="E3501">
        <v>1.6879</v>
      </c>
      <c r="F3501" s="1">
        <v>39387</v>
      </c>
      <c r="G3501">
        <v>110.843</v>
      </c>
      <c r="H3501" s="4">
        <f t="shared" si="278"/>
        <v>187091.89970000001</v>
      </c>
      <c r="I3501" s="5">
        <v>40490</v>
      </c>
      <c r="J3501" s="4">
        <v>4213.91</v>
      </c>
      <c r="K3501" s="4">
        <f t="shared" si="279"/>
        <v>42139.1</v>
      </c>
    </row>
    <row r="3502" spans="4:11" x14ac:dyDescent="0.35">
      <c r="D3502" s="1">
        <v>40553</v>
      </c>
      <c r="E3502">
        <v>1.6903999999999999</v>
      </c>
      <c r="F3502" s="1">
        <v>39386</v>
      </c>
      <c r="G3502">
        <v>110.422</v>
      </c>
      <c r="H3502" s="4">
        <f t="shared" si="278"/>
        <v>186657.34880000001</v>
      </c>
      <c r="I3502" s="5">
        <v>40487</v>
      </c>
      <c r="J3502" s="4">
        <v>4167.0200000000004</v>
      </c>
      <c r="K3502" s="4">
        <f t="shared" si="279"/>
        <v>41670.200000000004</v>
      </c>
    </row>
    <row r="3503" spans="4:11" x14ac:dyDescent="0.35">
      <c r="D3503" s="1">
        <v>40550</v>
      </c>
      <c r="E3503">
        <v>1.6853</v>
      </c>
      <c r="F3503" s="1">
        <v>39385</v>
      </c>
      <c r="G3503">
        <v>110.5</v>
      </c>
      <c r="H3503" s="4">
        <f t="shared" si="278"/>
        <v>186225.65</v>
      </c>
      <c r="I3503" s="5">
        <v>40486</v>
      </c>
      <c r="J3503" s="4">
        <v>4143.58</v>
      </c>
      <c r="K3503" s="4">
        <f t="shared" si="279"/>
        <v>41435.800000000003</v>
      </c>
    </row>
    <row r="3504" spans="4:11" x14ac:dyDescent="0.35">
      <c r="D3504" s="1">
        <v>40549</v>
      </c>
      <c r="E3504">
        <v>1.6849000000000001</v>
      </c>
      <c r="F3504" s="1">
        <v>39384</v>
      </c>
      <c r="G3504">
        <v>110.51600000000001</v>
      </c>
      <c r="H3504" s="4">
        <f t="shared" si="278"/>
        <v>186208.40840000001</v>
      </c>
      <c r="I3504" s="5">
        <v>40485</v>
      </c>
      <c r="J3504" s="4">
        <v>4197.87</v>
      </c>
      <c r="K3504" s="4">
        <f t="shared" si="279"/>
        <v>41978.7</v>
      </c>
    </row>
    <row r="3505" spans="4:11" x14ac:dyDescent="0.35">
      <c r="D3505" s="1">
        <v>40548</v>
      </c>
      <c r="E3505">
        <v>1.6705000000000001</v>
      </c>
      <c r="F3505" s="1">
        <v>39381</v>
      </c>
      <c r="G3505">
        <v>110.703</v>
      </c>
      <c r="H3505" s="4">
        <f t="shared" si="278"/>
        <v>184929.36150000003</v>
      </c>
      <c r="I3505" s="5">
        <v>40483</v>
      </c>
      <c r="J3505" s="4">
        <v>4233.6499999999996</v>
      </c>
      <c r="K3505" s="4">
        <f t="shared" si="279"/>
        <v>42336.5</v>
      </c>
    </row>
    <row r="3506" spans="4:11" x14ac:dyDescent="0.35">
      <c r="D3506" s="1">
        <v>40547</v>
      </c>
      <c r="E3506">
        <v>1.6548</v>
      </c>
      <c r="F3506" s="1">
        <v>39380</v>
      </c>
      <c r="G3506">
        <v>110.98399999999999</v>
      </c>
      <c r="H3506" s="4">
        <f t="shared" si="278"/>
        <v>183656.32320000001</v>
      </c>
      <c r="I3506" s="5">
        <v>40480</v>
      </c>
      <c r="J3506" s="4">
        <v>4225.0200000000004</v>
      </c>
      <c r="K3506" s="4">
        <f t="shared" si="279"/>
        <v>42250.200000000004</v>
      </c>
    </row>
    <row r="3507" spans="4:11" x14ac:dyDescent="0.35">
      <c r="D3507" s="1">
        <v>40546</v>
      </c>
      <c r="E3507">
        <v>1.6501999999999999</v>
      </c>
      <c r="F3507" s="1">
        <v>39378</v>
      </c>
      <c r="G3507">
        <v>110.40600000000001</v>
      </c>
      <c r="H3507" s="4">
        <f t="shared" si="278"/>
        <v>182191.98119999998</v>
      </c>
      <c r="I3507" s="5">
        <v>40479</v>
      </c>
      <c r="J3507" s="4">
        <v>4237.4399999999996</v>
      </c>
      <c r="K3507" s="4">
        <f t="shared" si="279"/>
        <v>42374.399999999994</v>
      </c>
    </row>
    <row r="3508" spans="4:11" x14ac:dyDescent="0.35">
      <c r="D3508" s="1">
        <v>40543</v>
      </c>
      <c r="E3508">
        <v>1.6654</v>
      </c>
      <c r="F3508" s="1">
        <v>39377</v>
      </c>
      <c r="G3508">
        <v>110.328</v>
      </c>
      <c r="H3508" s="4">
        <f t="shared" si="278"/>
        <v>183740.25120000003</v>
      </c>
      <c r="I3508" s="5">
        <v>40478</v>
      </c>
      <c r="J3508" s="4">
        <v>4279.66</v>
      </c>
      <c r="K3508" s="4">
        <f t="shared" si="279"/>
        <v>42796.6</v>
      </c>
    </row>
    <row r="3509" spans="4:11" x14ac:dyDescent="0.35">
      <c r="D3509" s="1">
        <v>40542</v>
      </c>
      <c r="E3509">
        <v>1.6654</v>
      </c>
      <c r="F3509" s="1">
        <v>39374</v>
      </c>
      <c r="G3509">
        <v>110.53100000000001</v>
      </c>
      <c r="H3509" s="4">
        <f t="shared" si="278"/>
        <v>184078.32740000001</v>
      </c>
      <c r="I3509" s="5">
        <v>40477</v>
      </c>
      <c r="J3509" s="4">
        <v>4242.3999999999996</v>
      </c>
      <c r="K3509" s="4">
        <f t="shared" si="279"/>
        <v>42424</v>
      </c>
    </row>
    <row r="3510" spans="4:11" x14ac:dyDescent="0.35">
      <c r="D3510" s="1">
        <v>40541</v>
      </c>
      <c r="E3510">
        <v>1.6779999999999999</v>
      </c>
      <c r="F3510" s="1">
        <v>39373</v>
      </c>
      <c r="G3510">
        <v>109.78100000000001</v>
      </c>
      <c r="H3510" s="4">
        <f t="shared" si="278"/>
        <v>184212.51800000001</v>
      </c>
      <c r="I3510" s="5">
        <v>40476</v>
      </c>
      <c r="J3510" s="4">
        <v>4218.8100000000004</v>
      </c>
      <c r="K3510" s="4">
        <f t="shared" si="279"/>
        <v>42188.100000000006</v>
      </c>
    </row>
    <row r="3511" spans="4:11" x14ac:dyDescent="0.35">
      <c r="D3511" s="1">
        <v>40540</v>
      </c>
      <c r="E3511">
        <v>1.6858</v>
      </c>
      <c r="F3511" s="1">
        <v>39371</v>
      </c>
      <c r="G3511">
        <v>108.78100000000001</v>
      </c>
      <c r="H3511" s="4">
        <f t="shared" si="278"/>
        <v>183383.0098</v>
      </c>
      <c r="I3511" s="5">
        <v>40473</v>
      </c>
      <c r="J3511" s="4">
        <v>4244.8900000000003</v>
      </c>
      <c r="K3511" s="4">
        <f t="shared" si="279"/>
        <v>42448.9</v>
      </c>
    </row>
    <row r="3512" spans="4:11" x14ac:dyDescent="0.35">
      <c r="D3512" s="1">
        <v>40539</v>
      </c>
      <c r="E3512">
        <v>1.6914</v>
      </c>
      <c r="F3512" s="1">
        <v>39366</v>
      </c>
      <c r="G3512">
        <v>108.84399999999999</v>
      </c>
      <c r="H3512" s="4">
        <f t="shared" si="278"/>
        <v>184098.74159999998</v>
      </c>
      <c r="I3512" s="5">
        <v>40472</v>
      </c>
      <c r="J3512" s="4">
        <v>4220.05</v>
      </c>
      <c r="K3512" s="4">
        <f t="shared" si="279"/>
        <v>42200.5</v>
      </c>
    </row>
    <row r="3513" spans="4:11" x14ac:dyDescent="0.35">
      <c r="D3513" s="1">
        <v>40536</v>
      </c>
      <c r="E3513">
        <v>1.6895</v>
      </c>
      <c r="F3513" s="1">
        <v>39365</v>
      </c>
      <c r="G3513">
        <v>108.78100000000001</v>
      </c>
      <c r="H3513" s="4">
        <f t="shared" si="278"/>
        <v>183785.49950000001</v>
      </c>
      <c r="I3513" s="5">
        <v>40471</v>
      </c>
      <c r="J3513" s="4">
        <v>4175.34</v>
      </c>
      <c r="K3513" s="4">
        <f t="shared" si="279"/>
        <v>41753.4</v>
      </c>
    </row>
    <row r="3514" spans="4:11" x14ac:dyDescent="0.35">
      <c r="D3514" s="1">
        <v>40535</v>
      </c>
      <c r="E3514">
        <v>1.6976</v>
      </c>
      <c r="F3514" s="1">
        <v>39360</v>
      </c>
      <c r="G3514">
        <v>108.73399999999999</v>
      </c>
      <c r="H3514" s="4">
        <f t="shared" si="278"/>
        <v>184586.83840000001</v>
      </c>
      <c r="I3514" s="5">
        <v>40470</v>
      </c>
      <c r="J3514" s="4">
        <v>4195.21</v>
      </c>
      <c r="K3514" s="4">
        <f t="shared" si="279"/>
        <v>41952.1</v>
      </c>
    </row>
    <row r="3515" spans="4:11" x14ac:dyDescent="0.35">
      <c r="D3515" s="1">
        <v>40534</v>
      </c>
      <c r="E3515">
        <v>1.6938</v>
      </c>
      <c r="F3515" s="1">
        <v>39358</v>
      </c>
      <c r="G3515">
        <v>109.46899999999999</v>
      </c>
      <c r="H3515" s="4">
        <f t="shared" si="278"/>
        <v>185418.59219999998</v>
      </c>
      <c r="I3515" s="5">
        <v>40469</v>
      </c>
      <c r="J3515" s="4">
        <v>4167.8900000000003</v>
      </c>
      <c r="K3515" s="4">
        <f t="shared" si="279"/>
        <v>41678.9</v>
      </c>
    </row>
    <row r="3516" spans="4:11" x14ac:dyDescent="0.35">
      <c r="D3516" s="1">
        <v>40533</v>
      </c>
      <c r="E3516">
        <v>1.6966000000000001</v>
      </c>
      <c r="F3516" s="1">
        <v>39357</v>
      </c>
      <c r="G3516">
        <v>109.60899999999999</v>
      </c>
      <c r="H3516" s="4">
        <f t="shared" si="278"/>
        <v>185962.62940000001</v>
      </c>
      <c r="I3516" s="5">
        <v>40466</v>
      </c>
      <c r="J3516" s="4">
        <v>4150.5</v>
      </c>
      <c r="K3516" s="4">
        <f t="shared" si="279"/>
        <v>41505</v>
      </c>
    </row>
    <row r="3517" spans="4:11" x14ac:dyDescent="0.35">
      <c r="D3517" s="1">
        <v>40532</v>
      </c>
      <c r="E3517">
        <v>1.7074</v>
      </c>
      <c r="F3517" s="1">
        <v>39346</v>
      </c>
      <c r="G3517">
        <v>108.40600000000001</v>
      </c>
      <c r="H3517" s="4">
        <f t="shared" si="278"/>
        <v>185092.40440000003</v>
      </c>
      <c r="I3517" s="5">
        <v>40465</v>
      </c>
      <c r="J3517" s="4">
        <v>4138.08</v>
      </c>
      <c r="K3517" s="4">
        <f t="shared" si="279"/>
        <v>41380.800000000003</v>
      </c>
    </row>
    <row r="3518" spans="4:11" x14ac:dyDescent="0.35">
      <c r="D3518" s="1">
        <v>40529</v>
      </c>
      <c r="E3518">
        <v>1.7090000000000001</v>
      </c>
      <c r="F3518" s="1">
        <v>39345</v>
      </c>
      <c r="G3518">
        <v>108.65600000000001</v>
      </c>
      <c r="H3518" s="4">
        <f t="shared" si="278"/>
        <v>185693.10399999999</v>
      </c>
      <c r="I3518" s="5">
        <v>40464</v>
      </c>
      <c r="J3518" s="4">
        <v>4123.18</v>
      </c>
      <c r="K3518" s="4">
        <f t="shared" si="279"/>
        <v>41231.800000000003</v>
      </c>
    </row>
    <row r="3519" spans="4:11" x14ac:dyDescent="0.35">
      <c r="D3519" s="1">
        <v>40528</v>
      </c>
      <c r="E3519">
        <v>1.702</v>
      </c>
      <c r="F3519" s="1">
        <v>39344</v>
      </c>
      <c r="G3519">
        <v>109.672</v>
      </c>
      <c r="H3519" s="4">
        <f t="shared" si="278"/>
        <v>186661.74400000001</v>
      </c>
      <c r="I3519" s="5">
        <v>40462</v>
      </c>
      <c r="J3519" s="4">
        <v>4162.92</v>
      </c>
      <c r="K3519" s="4">
        <f t="shared" si="279"/>
        <v>41629.199999999997</v>
      </c>
    </row>
    <row r="3520" spans="4:11" x14ac:dyDescent="0.35">
      <c r="D3520" s="1">
        <v>40527</v>
      </c>
      <c r="E3520">
        <v>1.698</v>
      </c>
      <c r="F3520" s="1">
        <v>39343</v>
      </c>
      <c r="G3520">
        <v>109.875</v>
      </c>
      <c r="H3520" s="4">
        <f t="shared" si="278"/>
        <v>186567.75</v>
      </c>
      <c r="I3520" s="5">
        <v>40459</v>
      </c>
      <c r="J3520" s="4">
        <v>4155.47</v>
      </c>
      <c r="K3520" s="4">
        <f t="shared" si="279"/>
        <v>41554.700000000004</v>
      </c>
    </row>
    <row r="3521" spans="4:11" x14ac:dyDescent="0.35">
      <c r="D3521" s="1">
        <v>40526</v>
      </c>
      <c r="E3521">
        <v>1.6940999999999999</v>
      </c>
      <c r="F3521" s="1">
        <v>39337</v>
      </c>
      <c r="G3521">
        <v>110.23399999999999</v>
      </c>
      <c r="H3521" s="4">
        <f t="shared" si="278"/>
        <v>186747.41939999998</v>
      </c>
      <c r="I3521" s="5">
        <v>40458</v>
      </c>
      <c r="J3521" s="4">
        <v>4196.45</v>
      </c>
      <c r="K3521" s="4">
        <f t="shared" si="279"/>
        <v>41964.5</v>
      </c>
    </row>
    <row r="3522" spans="4:11" x14ac:dyDescent="0.35">
      <c r="D3522" s="1">
        <v>40525</v>
      </c>
      <c r="E3522">
        <v>1.7019</v>
      </c>
      <c r="F3522" s="1">
        <v>39335</v>
      </c>
      <c r="G3522">
        <v>110.672</v>
      </c>
      <c r="H3522" s="4">
        <f t="shared" si="278"/>
        <v>188352.67679999999</v>
      </c>
      <c r="I3522" s="5">
        <v>40457</v>
      </c>
      <c r="J3522" s="4">
        <v>4193.97</v>
      </c>
      <c r="K3522" s="4">
        <f t="shared" si="279"/>
        <v>41939.700000000004</v>
      </c>
    </row>
    <row r="3523" spans="4:11" x14ac:dyDescent="0.35">
      <c r="D3523" s="1">
        <v>40522</v>
      </c>
      <c r="E3523">
        <v>1.7109000000000001</v>
      </c>
      <c r="F3523" s="1">
        <v>39325</v>
      </c>
      <c r="G3523">
        <v>108.875</v>
      </c>
      <c r="H3523" s="4">
        <f t="shared" si="278"/>
        <v>186274.23749999999</v>
      </c>
      <c r="I3523" s="5">
        <v>40456</v>
      </c>
      <c r="J3523" s="4">
        <v>4154.2299999999996</v>
      </c>
      <c r="K3523" s="4">
        <f t="shared" si="279"/>
        <v>41542.299999999996</v>
      </c>
    </row>
    <row r="3524" spans="4:11" x14ac:dyDescent="0.35">
      <c r="D3524" s="1">
        <v>40521</v>
      </c>
      <c r="E3524">
        <v>1.7016</v>
      </c>
      <c r="F3524" s="1">
        <v>39323</v>
      </c>
      <c r="G3524">
        <v>109.5</v>
      </c>
      <c r="H3524" s="4">
        <f t="shared" ref="H3524:H3587" si="280">G3524*E3524*1000</f>
        <v>186325.19999999998</v>
      </c>
      <c r="I3524" s="5">
        <v>40455</v>
      </c>
      <c r="J3524" s="4">
        <v>4241.16</v>
      </c>
      <c r="K3524" s="4">
        <f t="shared" si="279"/>
        <v>42411.6</v>
      </c>
    </row>
    <row r="3525" spans="4:11" x14ac:dyDescent="0.35">
      <c r="D3525" s="1">
        <v>40520</v>
      </c>
      <c r="E3525">
        <v>1.6883999999999999</v>
      </c>
      <c r="F3525" s="1">
        <v>39317</v>
      </c>
      <c r="G3525">
        <v>108.422</v>
      </c>
      <c r="H3525" s="4">
        <f t="shared" si="280"/>
        <v>183059.70479999998</v>
      </c>
      <c r="I3525" s="5">
        <v>40452</v>
      </c>
      <c r="J3525" s="4">
        <v>4223.7700000000004</v>
      </c>
      <c r="K3525" s="4">
        <f t="shared" ref="K3525:K3588" si="281">J3525*10</f>
        <v>42237.700000000004</v>
      </c>
    </row>
    <row r="3526" spans="4:11" x14ac:dyDescent="0.35">
      <c r="D3526" s="1">
        <v>40519</v>
      </c>
      <c r="E3526">
        <v>1.6731</v>
      </c>
      <c r="F3526" s="1">
        <v>39316</v>
      </c>
      <c r="G3526">
        <v>109.03100000000001</v>
      </c>
      <c r="H3526" s="4">
        <f t="shared" si="280"/>
        <v>182419.76610000001</v>
      </c>
      <c r="I3526" s="5">
        <v>40451</v>
      </c>
      <c r="J3526" s="4">
        <v>4216.32</v>
      </c>
      <c r="K3526" s="4">
        <f t="shared" si="281"/>
        <v>42163.199999999997</v>
      </c>
    </row>
    <row r="3527" spans="4:11" x14ac:dyDescent="0.35">
      <c r="D3527" s="1">
        <v>40518</v>
      </c>
      <c r="E3527">
        <v>1.6828000000000001</v>
      </c>
      <c r="F3527" s="1">
        <v>39314</v>
      </c>
      <c r="G3527">
        <v>108.578</v>
      </c>
      <c r="H3527" s="4">
        <f t="shared" si="280"/>
        <v>182715.05840000001</v>
      </c>
      <c r="I3527" s="5">
        <v>40450</v>
      </c>
      <c r="J3527" s="4">
        <v>4237.4799999999996</v>
      </c>
      <c r="K3527" s="4">
        <f t="shared" si="281"/>
        <v>42374.799999999996</v>
      </c>
    </row>
    <row r="3528" spans="4:11" x14ac:dyDescent="0.35">
      <c r="D3528" s="1">
        <v>40515</v>
      </c>
      <c r="E3528">
        <v>1.6909000000000001</v>
      </c>
      <c r="F3528" s="1">
        <v>39311</v>
      </c>
      <c r="G3528">
        <v>108.547</v>
      </c>
      <c r="H3528" s="4">
        <f t="shared" si="280"/>
        <v>183542.12229999999</v>
      </c>
      <c r="I3528" s="5">
        <v>40449</v>
      </c>
      <c r="J3528" s="4">
        <v>4251.17</v>
      </c>
      <c r="K3528" s="4">
        <f t="shared" si="281"/>
        <v>42511.7</v>
      </c>
    </row>
    <row r="3529" spans="4:11" x14ac:dyDescent="0.35">
      <c r="D3529" s="1">
        <v>40514</v>
      </c>
      <c r="E3529">
        <v>1.7020999999999999</v>
      </c>
      <c r="F3529" s="1">
        <v>39310</v>
      </c>
      <c r="G3529">
        <v>108.5</v>
      </c>
      <c r="H3529" s="4">
        <f t="shared" si="280"/>
        <v>184677.85</v>
      </c>
      <c r="I3529" s="5">
        <v>40448</v>
      </c>
      <c r="J3529" s="4">
        <v>4259.88</v>
      </c>
      <c r="K3529" s="4">
        <f t="shared" si="281"/>
        <v>42598.8</v>
      </c>
    </row>
    <row r="3530" spans="4:11" x14ac:dyDescent="0.35">
      <c r="D3530" s="1">
        <v>40513</v>
      </c>
      <c r="E3530">
        <v>1.7043999999999999</v>
      </c>
      <c r="F3530" s="1">
        <v>39309</v>
      </c>
      <c r="G3530">
        <v>108.01600000000001</v>
      </c>
      <c r="H3530" s="4">
        <f t="shared" si="280"/>
        <v>184102.47039999999</v>
      </c>
      <c r="I3530" s="5">
        <v>40445</v>
      </c>
      <c r="J3530" s="4">
        <v>4266.1000000000004</v>
      </c>
      <c r="K3530" s="4">
        <f t="shared" si="281"/>
        <v>42661</v>
      </c>
    </row>
    <row r="3531" spans="4:11" x14ac:dyDescent="0.35">
      <c r="D3531" s="1">
        <v>40512</v>
      </c>
      <c r="E3531">
        <v>1.7153</v>
      </c>
      <c r="F3531" s="1">
        <v>39303</v>
      </c>
      <c r="G3531">
        <v>107.547</v>
      </c>
      <c r="H3531" s="4">
        <f t="shared" si="280"/>
        <v>184475.36909999998</v>
      </c>
      <c r="I3531" s="5">
        <v>40444</v>
      </c>
      <c r="J3531" s="4">
        <v>4294.7299999999996</v>
      </c>
      <c r="K3531" s="4">
        <f t="shared" si="281"/>
        <v>42947.299999999996</v>
      </c>
    </row>
    <row r="3532" spans="4:11" x14ac:dyDescent="0.35">
      <c r="D3532" s="1">
        <v>40511</v>
      </c>
      <c r="E3532">
        <v>1.7262999999999999</v>
      </c>
      <c r="F3532" s="1">
        <v>39302</v>
      </c>
      <c r="G3532">
        <v>106.76600000000001</v>
      </c>
      <c r="H3532" s="4">
        <f t="shared" si="280"/>
        <v>184310.14580000003</v>
      </c>
      <c r="I3532" s="5">
        <v>40443</v>
      </c>
      <c r="J3532" s="4">
        <v>4284.7700000000004</v>
      </c>
      <c r="K3532" s="4">
        <f t="shared" si="281"/>
        <v>42847.700000000004</v>
      </c>
    </row>
    <row r="3533" spans="4:11" x14ac:dyDescent="0.35">
      <c r="D3533" s="1">
        <v>40508</v>
      </c>
      <c r="E3533">
        <v>1.7290000000000001</v>
      </c>
      <c r="F3533" s="1">
        <v>39301</v>
      </c>
      <c r="G3533">
        <v>107.453</v>
      </c>
      <c r="H3533" s="4">
        <f t="shared" si="280"/>
        <v>185786.23700000002</v>
      </c>
      <c r="I3533" s="5">
        <v>40442</v>
      </c>
      <c r="J3533" s="4">
        <v>4267.3500000000004</v>
      </c>
      <c r="K3533" s="4">
        <f t="shared" si="281"/>
        <v>42673.5</v>
      </c>
    </row>
    <row r="3534" spans="4:11" x14ac:dyDescent="0.35">
      <c r="D3534" s="1">
        <v>40507</v>
      </c>
      <c r="E3534">
        <v>1.7198</v>
      </c>
      <c r="F3534" s="1">
        <v>39300</v>
      </c>
      <c r="G3534">
        <v>107.59399999999999</v>
      </c>
      <c r="H3534" s="4">
        <f t="shared" si="280"/>
        <v>185040.1612</v>
      </c>
      <c r="I3534" s="5">
        <v>40441</v>
      </c>
      <c r="J3534" s="4">
        <v>4328.33</v>
      </c>
      <c r="K3534" s="4">
        <f t="shared" si="281"/>
        <v>43283.3</v>
      </c>
    </row>
    <row r="3535" spans="4:11" x14ac:dyDescent="0.35">
      <c r="D3535" s="1">
        <v>40506</v>
      </c>
      <c r="E3535">
        <v>1.7239</v>
      </c>
      <c r="F3535" s="1">
        <v>39297</v>
      </c>
      <c r="G3535">
        <v>107.672</v>
      </c>
      <c r="H3535" s="4">
        <f t="shared" si="280"/>
        <v>185615.76080000002</v>
      </c>
      <c r="I3535" s="5">
        <v>40438</v>
      </c>
      <c r="J3535" s="4">
        <v>4295.97</v>
      </c>
      <c r="K3535" s="4">
        <f t="shared" si="281"/>
        <v>42959.700000000004</v>
      </c>
    </row>
    <row r="3536" spans="4:11" x14ac:dyDescent="0.35">
      <c r="D3536" s="1">
        <v>40505</v>
      </c>
      <c r="E3536">
        <v>1.7327999999999999</v>
      </c>
      <c r="F3536" s="1">
        <v>39296</v>
      </c>
      <c r="G3536">
        <v>107.422</v>
      </c>
      <c r="H3536" s="4">
        <f t="shared" si="280"/>
        <v>186140.84159999999</v>
      </c>
      <c r="I3536" s="5">
        <v>40437</v>
      </c>
      <c r="J3536" s="4">
        <v>4272.32</v>
      </c>
      <c r="K3536" s="4">
        <f t="shared" si="281"/>
        <v>42723.199999999997</v>
      </c>
    </row>
    <row r="3537" spans="4:11" x14ac:dyDescent="0.35">
      <c r="D3537" s="1">
        <v>40504</v>
      </c>
      <c r="E3537">
        <v>1.7226999999999999</v>
      </c>
      <c r="F3537" s="1">
        <v>39295</v>
      </c>
      <c r="G3537">
        <v>107.235</v>
      </c>
      <c r="H3537" s="4">
        <f t="shared" si="280"/>
        <v>184733.73449999999</v>
      </c>
      <c r="I3537" s="5">
        <v>40436</v>
      </c>
      <c r="J3537" s="4">
        <v>4302.1899999999996</v>
      </c>
      <c r="K3537" s="4">
        <f t="shared" si="281"/>
        <v>43021.899999999994</v>
      </c>
    </row>
    <row r="3538" spans="4:11" x14ac:dyDescent="0.35">
      <c r="D3538" s="1">
        <v>40501</v>
      </c>
      <c r="E3538">
        <v>1.7181</v>
      </c>
      <c r="F3538" s="1">
        <v>39294</v>
      </c>
      <c r="G3538">
        <v>107.047</v>
      </c>
      <c r="H3538" s="4">
        <f t="shared" si="280"/>
        <v>183917.45069999999</v>
      </c>
      <c r="I3538" s="5">
        <v>40435</v>
      </c>
      <c r="J3538" s="4">
        <v>4266.1000000000004</v>
      </c>
      <c r="K3538" s="4">
        <f t="shared" si="281"/>
        <v>42661</v>
      </c>
    </row>
    <row r="3539" spans="4:11" x14ac:dyDescent="0.35">
      <c r="D3539" s="1">
        <v>40500</v>
      </c>
      <c r="E3539">
        <v>1.7135</v>
      </c>
      <c r="F3539" s="1">
        <v>39293</v>
      </c>
      <c r="G3539">
        <v>107.10899999999999</v>
      </c>
      <c r="H3539" s="4">
        <f t="shared" si="280"/>
        <v>183531.2715</v>
      </c>
      <c r="I3539" s="5">
        <v>40434</v>
      </c>
      <c r="J3539" s="4">
        <v>4273.57</v>
      </c>
      <c r="K3539" s="4">
        <f t="shared" si="281"/>
        <v>42735.7</v>
      </c>
    </row>
    <row r="3540" spans="4:11" x14ac:dyDescent="0.35">
      <c r="D3540" s="1">
        <v>40499</v>
      </c>
      <c r="E3540">
        <v>1.7290000000000001</v>
      </c>
      <c r="F3540" s="1">
        <v>39290</v>
      </c>
      <c r="G3540">
        <v>107.375</v>
      </c>
      <c r="H3540" s="4">
        <f t="shared" si="280"/>
        <v>185651.375</v>
      </c>
      <c r="I3540" s="5">
        <v>40431</v>
      </c>
      <c r="J3540" s="4">
        <v>4298.46</v>
      </c>
      <c r="K3540" s="4">
        <f t="shared" si="281"/>
        <v>42984.6</v>
      </c>
    </row>
    <row r="3541" spans="4:11" x14ac:dyDescent="0.35">
      <c r="D3541" s="1">
        <v>40498</v>
      </c>
      <c r="E3541">
        <v>1.7286999999999999</v>
      </c>
      <c r="F3541" s="1">
        <v>39289</v>
      </c>
      <c r="G3541">
        <v>107.375</v>
      </c>
      <c r="H3541" s="4">
        <f t="shared" si="280"/>
        <v>185619.16249999998</v>
      </c>
      <c r="I3541" s="5">
        <v>40430</v>
      </c>
      <c r="J3541" s="4">
        <v>4304.68</v>
      </c>
      <c r="K3541" s="4">
        <f t="shared" si="281"/>
        <v>43046.8</v>
      </c>
    </row>
    <row r="3542" spans="4:11" x14ac:dyDescent="0.35">
      <c r="D3542" s="1">
        <v>40494</v>
      </c>
      <c r="E3542">
        <v>1.7190000000000001</v>
      </c>
      <c r="F3542" s="1">
        <v>39288</v>
      </c>
      <c r="G3542">
        <v>106.547</v>
      </c>
      <c r="H3542" s="4">
        <f t="shared" si="280"/>
        <v>183154.29300000001</v>
      </c>
      <c r="I3542" s="5">
        <v>40429</v>
      </c>
      <c r="J3542" s="4">
        <v>4315.88</v>
      </c>
      <c r="K3542" s="4">
        <f t="shared" si="281"/>
        <v>43158.8</v>
      </c>
    </row>
    <row r="3543" spans="4:11" x14ac:dyDescent="0.35">
      <c r="D3543" s="1">
        <v>40493</v>
      </c>
      <c r="E3543">
        <v>1.7170000000000001</v>
      </c>
      <c r="F3543" s="1">
        <v>39287</v>
      </c>
      <c r="G3543">
        <v>106.375</v>
      </c>
      <c r="H3543" s="4">
        <f t="shared" si="280"/>
        <v>182645.87500000003</v>
      </c>
      <c r="I3543" s="5">
        <v>40427</v>
      </c>
      <c r="J3543" s="4">
        <v>4323.3500000000004</v>
      </c>
      <c r="K3543" s="4">
        <f t="shared" si="281"/>
        <v>43233.5</v>
      </c>
    </row>
    <row r="3544" spans="4:11" x14ac:dyDescent="0.35">
      <c r="D3544" s="1">
        <v>40492</v>
      </c>
      <c r="E3544">
        <v>1.7061999999999999</v>
      </c>
      <c r="F3544" s="1">
        <v>39281</v>
      </c>
      <c r="G3544">
        <v>105.843</v>
      </c>
      <c r="H3544" s="4">
        <f t="shared" si="280"/>
        <v>180589.3266</v>
      </c>
      <c r="I3544" s="5">
        <v>40424</v>
      </c>
      <c r="J3544" s="4">
        <v>4339.53</v>
      </c>
      <c r="K3544" s="4">
        <f t="shared" si="281"/>
        <v>43395.299999999996</v>
      </c>
    </row>
    <row r="3545" spans="4:11" x14ac:dyDescent="0.35">
      <c r="D3545" s="1">
        <v>40491</v>
      </c>
      <c r="E3545">
        <v>1.6961999999999999</v>
      </c>
      <c r="F3545" s="1">
        <v>39273</v>
      </c>
      <c r="G3545">
        <v>105.547</v>
      </c>
      <c r="H3545" s="4">
        <f t="shared" si="280"/>
        <v>179028.82139999999</v>
      </c>
      <c r="I3545" s="5">
        <v>40423</v>
      </c>
      <c r="J3545" s="4">
        <v>4319.62</v>
      </c>
      <c r="K3545" s="4">
        <f t="shared" si="281"/>
        <v>43196.2</v>
      </c>
    </row>
    <row r="3546" spans="4:11" x14ac:dyDescent="0.35">
      <c r="D3546" s="1">
        <v>40490</v>
      </c>
      <c r="E3546">
        <v>1.6961999999999999</v>
      </c>
      <c r="F3546" s="1">
        <v>39269</v>
      </c>
      <c r="G3546">
        <v>104.672</v>
      </c>
      <c r="H3546" s="4">
        <f t="shared" si="280"/>
        <v>177544.64639999997</v>
      </c>
      <c r="I3546" s="5">
        <v>40422</v>
      </c>
      <c r="J3546" s="4">
        <v>4369.3900000000003</v>
      </c>
      <c r="K3546" s="4">
        <f t="shared" si="281"/>
        <v>43693.9</v>
      </c>
    </row>
    <row r="3547" spans="4:11" x14ac:dyDescent="0.35">
      <c r="D3547" s="1">
        <v>40487</v>
      </c>
      <c r="E3547">
        <v>1.6793</v>
      </c>
      <c r="F3547" s="1">
        <v>39268</v>
      </c>
      <c r="G3547">
        <v>105.03</v>
      </c>
      <c r="H3547" s="4">
        <f t="shared" si="280"/>
        <v>176376.87900000002</v>
      </c>
      <c r="I3547" s="5">
        <v>40421</v>
      </c>
      <c r="J3547" s="4">
        <v>4401.75</v>
      </c>
      <c r="K3547" s="4">
        <f t="shared" si="281"/>
        <v>44017.5</v>
      </c>
    </row>
    <row r="3548" spans="4:11" x14ac:dyDescent="0.35">
      <c r="D3548" s="1">
        <v>40486</v>
      </c>
      <c r="E3548">
        <v>1.6811</v>
      </c>
      <c r="F3548" s="1">
        <v>39265</v>
      </c>
      <c r="G3548">
        <v>105.84399999999999</v>
      </c>
      <c r="H3548" s="4">
        <f t="shared" si="280"/>
        <v>177934.34840000002</v>
      </c>
      <c r="I3548" s="5">
        <v>40420</v>
      </c>
      <c r="J3548" s="4">
        <v>4415.54</v>
      </c>
      <c r="K3548" s="4">
        <f t="shared" si="281"/>
        <v>44155.4</v>
      </c>
    </row>
    <row r="3549" spans="4:11" x14ac:dyDescent="0.35">
      <c r="D3549" s="1">
        <v>40485</v>
      </c>
      <c r="E3549">
        <v>1.6929000000000001</v>
      </c>
      <c r="F3549" s="1">
        <v>39261</v>
      </c>
      <c r="G3549">
        <v>105.23399999999999</v>
      </c>
      <c r="H3549" s="4">
        <f t="shared" si="280"/>
        <v>178150.63860000001</v>
      </c>
      <c r="I3549" s="5">
        <v>40417</v>
      </c>
      <c r="J3549" s="4">
        <v>4389.22</v>
      </c>
      <c r="K3549" s="4">
        <f t="shared" si="281"/>
        <v>43892.200000000004</v>
      </c>
    </row>
    <row r="3550" spans="4:11" x14ac:dyDescent="0.35">
      <c r="D3550" s="1">
        <v>40483</v>
      </c>
      <c r="E3550">
        <v>1.7036</v>
      </c>
      <c r="F3550" s="1">
        <v>39260</v>
      </c>
      <c r="G3550">
        <v>105.64100000000001</v>
      </c>
      <c r="H3550" s="4">
        <f t="shared" si="280"/>
        <v>179970.00760000001</v>
      </c>
      <c r="I3550" s="5">
        <v>40416</v>
      </c>
      <c r="J3550" s="4">
        <v>4423.0600000000004</v>
      </c>
      <c r="K3550" s="4">
        <f t="shared" si="281"/>
        <v>44230.600000000006</v>
      </c>
    </row>
    <row r="3551" spans="4:11" x14ac:dyDescent="0.35">
      <c r="D3551" s="1">
        <v>40480</v>
      </c>
      <c r="E3551">
        <v>1.7005999999999999</v>
      </c>
      <c r="F3551" s="1">
        <v>39259</v>
      </c>
      <c r="G3551">
        <v>105.46899999999999</v>
      </c>
      <c r="H3551" s="4">
        <f t="shared" si="280"/>
        <v>179360.58139999997</v>
      </c>
      <c r="I3551" s="5">
        <v>40415</v>
      </c>
      <c r="J3551" s="4">
        <v>4424.3100000000004</v>
      </c>
      <c r="K3551" s="4">
        <f t="shared" si="281"/>
        <v>44243.100000000006</v>
      </c>
    </row>
    <row r="3552" spans="4:11" x14ac:dyDescent="0.35">
      <c r="D3552" s="1">
        <v>40479</v>
      </c>
      <c r="E3552">
        <v>1.7103999999999999</v>
      </c>
      <c r="F3552" s="1">
        <v>39253</v>
      </c>
      <c r="G3552">
        <v>104.90600000000001</v>
      </c>
      <c r="H3552" s="4">
        <f t="shared" si="280"/>
        <v>179431.2224</v>
      </c>
      <c r="I3552" s="5">
        <v>40414</v>
      </c>
      <c r="J3552" s="4">
        <v>4441.8599999999997</v>
      </c>
      <c r="K3552" s="4">
        <f t="shared" si="281"/>
        <v>44418.6</v>
      </c>
    </row>
    <row r="3553" spans="4:11" x14ac:dyDescent="0.35">
      <c r="D3553" s="1">
        <v>40478</v>
      </c>
      <c r="E3553">
        <v>1.7069000000000001</v>
      </c>
      <c r="F3553" s="1">
        <v>39252</v>
      </c>
      <c r="G3553">
        <v>104.96899999999999</v>
      </c>
      <c r="H3553" s="4">
        <f t="shared" si="280"/>
        <v>179171.58609999999</v>
      </c>
      <c r="I3553" s="5">
        <v>40413</v>
      </c>
      <c r="J3553" s="4">
        <v>4445.62</v>
      </c>
      <c r="K3553" s="4">
        <f t="shared" si="281"/>
        <v>44456.2</v>
      </c>
    </row>
    <row r="3554" spans="4:11" x14ac:dyDescent="0.35">
      <c r="D3554" s="1">
        <v>40477</v>
      </c>
      <c r="E3554">
        <v>1.7037</v>
      </c>
      <c r="F3554" s="1">
        <v>39247</v>
      </c>
      <c r="G3554">
        <v>104.297</v>
      </c>
      <c r="H3554" s="4">
        <f t="shared" si="280"/>
        <v>177690.79889999999</v>
      </c>
      <c r="I3554" s="5">
        <v>40410</v>
      </c>
      <c r="J3554" s="4">
        <v>4414.29</v>
      </c>
      <c r="K3554" s="4">
        <f t="shared" si="281"/>
        <v>44142.9</v>
      </c>
    </row>
    <row r="3555" spans="4:11" x14ac:dyDescent="0.35">
      <c r="D3555" s="1">
        <v>40476</v>
      </c>
      <c r="E3555">
        <v>1.7018</v>
      </c>
      <c r="F3555" s="1">
        <v>39246</v>
      </c>
      <c r="G3555">
        <v>104.375</v>
      </c>
      <c r="H3555" s="4">
        <f t="shared" si="280"/>
        <v>177625.375</v>
      </c>
      <c r="I3555" s="5">
        <v>40409</v>
      </c>
      <c r="J3555" s="4">
        <v>4414.29</v>
      </c>
      <c r="K3555" s="4">
        <f t="shared" si="281"/>
        <v>44142.9</v>
      </c>
    </row>
    <row r="3556" spans="4:11" x14ac:dyDescent="0.35">
      <c r="D3556" s="1">
        <v>40473</v>
      </c>
      <c r="E3556">
        <v>1.6989000000000001</v>
      </c>
      <c r="F3556" s="1">
        <v>39245</v>
      </c>
      <c r="G3556">
        <v>104.078</v>
      </c>
      <c r="H3556" s="4">
        <f t="shared" si="280"/>
        <v>176818.11420000001</v>
      </c>
      <c r="I3556" s="5">
        <v>40408</v>
      </c>
      <c r="J3556" s="4">
        <v>4406.76</v>
      </c>
      <c r="K3556" s="4">
        <f t="shared" si="281"/>
        <v>44067.600000000006</v>
      </c>
    </row>
    <row r="3557" spans="4:11" x14ac:dyDescent="0.35">
      <c r="D3557" s="1">
        <v>40472</v>
      </c>
      <c r="E3557">
        <v>1.6889000000000001</v>
      </c>
      <c r="F3557" s="1">
        <v>39244</v>
      </c>
      <c r="G3557">
        <v>104.71899999999999</v>
      </c>
      <c r="H3557" s="4">
        <f t="shared" si="280"/>
        <v>176859.9191</v>
      </c>
      <c r="I3557" s="5">
        <v>40407</v>
      </c>
      <c r="J3557" s="4">
        <v>4414.29</v>
      </c>
      <c r="K3557" s="4">
        <f t="shared" si="281"/>
        <v>44142.9</v>
      </c>
    </row>
    <row r="3558" spans="4:11" x14ac:dyDescent="0.35">
      <c r="D3558" s="1">
        <v>40471</v>
      </c>
      <c r="E3558">
        <v>1.6727000000000001</v>
      </c>
      <c r="F3558" s="1">
        <v>39241</v>
      </c>
      <c r="G3558">
        <v>104.812</v>
      </c>
      <c r="H3558" s="4">
        <f t="shared" si="280"/>
        <v>175319.0324</v>
      </c>
      <c r="I3558" s="5">
        <v>40406</v>
      </c>
      <c r="J3558" s="4">
        <v>4413.03</v>
      </c>
      <c r="K3558" s="4">
        <f t="shared" si="281"/>
        <v>44130.299999999996</v>
      </c>
    </row>
    <row r="3559" spans="4:11" x14ac:dyDescent="0.35">
      <c r="D3559" s="1">
        <v>40470</v>
      </c>
      <c r="E3559">
        <v>1.6859999999999999</v>
      </c>
      <c r="F3559" s="1">
        <v>39239</v>
      </c>
      <c r="G3559">
        <v>105.828</v>
      </c>
      <c r="H3559" s="4">
        <f t="shared" si="280"/>
        <v>178426.008</v>
      </c>
      <c r="I3559" s="5">
        <v>40403</v>
      </c>
      <c r="J3559" s="4">
        <v>4465.67</v>
      </c>
      <c r="K3559" s="4">
        <f t="shared" si="281"/>
        <v>44656.7</v>
      </c>
    </row>
    <row r="3560" spans="4:11" x14ac:dyDescent="0.35">
      <c r="D3560" s="1">
        <v>40469</v>
      </c>
      <c r="E3560">
        <v>1.6677999999999999</v>
      </c>
      <c r="F3560" s="1">
        <v>39238</v>
      </c>
      <c r="G3560">
        <v>105.65600000000001</v>
      </c>
      <c r="H3560" s="4">
        <f t="shared" si="280"/>
        <v>176213.07680000001</v>
      </c>
      <c r="I3560" s="5">
        <v>40402</v>
      </c>
      <c r="J3560" s="4">
        <v>4455.6499999999996</v>
      </c>
      <c r="K3560" s="4">
        <f t="shared" si="281"/>
        <v>44556.5</v>
      </c>
    </row>
    <row r="3561" spans="4:11" x14ac:dyDescent="0.35">
      <c r="D3561" s="1">
        <v>40466</v>
      </c>
      <c r="E3561">
        <v>1.6596</v>
      </c>
      <c r="F3561" s="1">
        <v>39237</v>
      </c>
      <c r="G3561">
        <v>105.85899999999999</v>
      </c>
      <c r="H3561" s="4">
        <f t="shared" si="280"/>
        <v>175683.59640000001</v>
      </c>
      <c r="I3561" s="5">
        <v>40401</v>
      </c>
      <c r="J3561" s="4">
        <v>4469.43</v>
      </c>
      <c r="K3561" s="4">
        <f t="shared" si="281"/>
        <v>44694.3</v>
      </c>
    </row>
    <row r="3562" spans="4:11" x14ac:dyDescent="0.35">
      <c r="D3562" s="1">
        <v>40465</v>
      </c>
      <c r="E3562">
        <v>1.6588000000000001</v>
      </c>
      <c r="F3562" s="1">
        <v>39233</v>
      </c>
      <c r="G3562">
        <v>106.34399999999999</v>
      </c>
      <c r="H3562" s="4">
        <f t="shared" si="280"/>
        <v>176403.42719999998</v>
      </c>
      <c r="I3562" s="5">
        <v>40400</v>
      </c>
      <c r="J3562" s="4">
        <v>4419.3</v>
      </c>
      <c r="K3562" s="4">
        <f t="shared" si="281"/>
        <v>44193</v>
      </c>
    </row>
    <row r="3563" spans="4:11" x14ac:dyDescent="0.35">
      <c r="D3563" s="1">
        <v>40464</v>
      </c>
      <c r="E3563">
        <v>1.6546000000000001</v>
      </c>
      <c r="F3563" s="1">
        <v>39232</v>
      </c>
      <c r="G3563">
        <v>106.468</v>
      </c>
      <c r="H3563" s="4">
        <f t="shared" si="280"/>
        <v>176161.95280000003</v>
      </c>
      <c r="I3563" s="5">
        <v>40399</v>
      </c>
      <c r="J3563" s="4">
        <v>4409.2700000000004</v>
      </c>
      <c r="K3563" s="4">
        <f t="shared" si="281"/>
        <v>44092.700000000004</v>
      </c>
    </row>
    <row r="3564" spans="4:11" x14ac:dyDescent="0.35">
      <c r="D3564" s="1">
        <v>40462</v>
      </c>
      <c r="E3564">
        <v>1.6639999999999999</v>
      </c>
      <c r="F3564" s="1">
        <v>39231</v>
      </c>
      <c r="G3564">
        <v>106.563</v>
      </c>
      <c r="H3564" s="4">
        <f t="shared" si="280"/>
        <v>177320.83199999999</v>
      </c>
      <c r="I3564" s="5">
        <v>40396</v>
      </c>
      <c r="J3564" s="4">
        <v>4438.1000000000004</v>
      </c>
      <c r="K3564" s="4">
        <f t="shared" si="281"/>
        <v>44381</v>
      </c>
    </row>
    <row r="3565" spans="4:11" x14ac:dyDescent="0.35">
      <c r="D3565" s="1">
        <v>40459</v>
      </c>
      <c r="E3565">
        <v>1.6796</v>
      </c>
      <c r="F3565" s="1">
        <v>39225</v>
      </c>
      <c r="G3565">
        <v>106.75</v>
      </c>
      <c r="H3565" s="4">
        <f t="shared" si="280"/>
        <v>179297.30000000002</v>
      </c>
      <c r="I3565" s="5">
        <v>40395</v>
      </c>
      <c r="J3565" s="4">
        <v>4416.79</v>
      </c>
      <c r="K3565" s="4">
        <f t="shared" si="281"/>
        <v>44167.9</v>
      </c>
    </row>
    <row r="3566" spans="4:11" x14ac:dyDescent="0.35">
      <c r="D3566" s="1">
        <v>40458</v>
      </c>
      <c r="E3566">
        <v>1.6769000000000001</v>
      </c>
      <c r="F3566" s="1">
        <v>39223</v>
      </c>
      <c r="G3566">
        <v>107.063</v>
      </c>
      <c r="H3566" s="4">
        <f t="shared" si="280"/>
        <v>179533.94469999999</v>
      </c>
      <c r="I3566" s="5">
        <v>40394</v>
      </c>
      <c r="J3566" s="4">
        <v>4421.8100000000004</v>
      </c>
      <c r="K3566" s="4">
        <f t="shared" si="281"/>
        <v>44218.100000000006</v>
      </c>
    </row>
    <row r="3567" spans="4:11" x14ac:dyDescent="0.35">
      <c r="D3567" s="1">
        <v>40457</v>
      </c>
      <c r="E3567">
        <v>1.675</v>
      </c>
      <c r="F3567" s="1">
        <v>39218</v>
      </c>
      <c r="G3567">
        <v>107.672</v>
      </c>
      <c r="H3567" s="4">
        <f t="shared" si="280"/>
        <v>180350.59999999998</v>
      </c>
      <c r="I3567" s="5">
        <v>40393</v>
      </c>
      <c r="J3567" s="4">
        <v>4436.8500000000004</v>
      </c>
      <c r="K3567" s="4">
        <f t="shared" si="281"/>
        <v>44368.5</v>
      </c>
    </row>
    <row r="3568" spans="4:11" x14ac:dyDescent="0.35">
      <c r="D3568" s="1">
        <v>40456</v>
      </c>
      <c r="E3568">
        <v>1.68</v>
      </c>
      <c r="F3568" s="1">
        <v>39217</v>
      </c>
      <c r="G3568">
        <v>107.688</v>
      </c>
      <c r="H3568" s="4">
        <f t="shared" si="280"/>
        <v>180915.84</v>
      </c>
      <c r="I3568" s="5">
        <v>40392</v>
      </c>
      <c r="J3568" s="4">
        <v>4421.8100000000004</v>
      </c>
      <c r="K3568" s="4">
        <f t="shared" si="281"/>
        <v>44218.100000000006</v>
      </c>
    </row>
    <row r="3569" spans="4:11" x14ac:dyDescent="0.35">
      <c r="D3569" s="1">
        <v>40455</v>
      </c>
      <c r="E3569">
        <v>1.6874</v>
      </c>
      <c r="F3569" s="1">
        <v>39199</v>
      </c>
      <c r="G3569">
        <v>107.875</v>
      </c>
      <c r="H3569" s="4">
        <f t="shared" si="280"/>
        <v>182028.27499999999</v>
      </c>
      <c r="I3569" s="5">
        <v>40389</v>
      </c>
      <c r="J3569" s="4">
        <v>4433.09</v>
      </c>
      <c r="K3569" s="4">
        <f t="shared" si="281"/>
        <v>44330.9</v>
      </c>
    </row>
    <row r="3570" spans="4:11" x14ac:dyDescent="0.35">
      <c r="D3570" s="1">
        <v>40452</v>
      </c>
      <c r="E3570">
        <v>1.6803999999999999</v>
      </c>
      <c r="F3570" s="1">
        <v>39198</v>
      </c>
      <c r="G3570">
        <v>108.063</v>
      </c>
      <c r="H3570" s="4">
        <f t="shared" si="280"/>
        <v>181589.06519999998</v>
      </c>
      <c r="I3570" s="5">
        <v>40388</v>
      </c>
      <c r="J3570" s="4">
        <v>4441.91</v>
      </c>
      <c r="K3570" s="4">
        <f t="shared" si="281"/>
        <v>44419.1</v>
      </c>
    </row>
    <row r="3571" spans="4:11" x14ac:dyDescent="0.35">
      <c r="D3571" s="1">
        <v>40451</v>
      </c>
      <c r="E3571">
        <v>1.6934</v>
      </c>
      <c r="F3571" s="1">
        <v>39191</v>
      </c>
      <c r="G3571">
        <v>107.96899999999999</v>
      </c>
      <c r="H3571" s="4">
        <f t="shared" si="280"/>
        <v>182834.70459999997</v>
      </c>
      <c r="I3571" s="5">
        <v>40387</v>
      </c>
      <c r="J3571" s="4">
        <v>4463.3500000000004</v>
      </c>
      <c r="K3571" s="4">
        <f t="shared" si="281"/>
        <v>44633.5</v>
      </c>
    </row>
    <row r="3572" spans="4:11" x14ac:dyDescent="0.35">
      <c r="D3572" s="1">
        <v>40450</v>
      </c>
      <c r="E3572">
        <v>1.7044999999999999</v>
      </c>
      <c r="F3572" s="1">
        <v>39190</v>
      </c>
      <c r="G3572">
        <v>107.96899999999999</v>
      </c>
      <c r="H3572" s="4">
        <f t="shared" si="280"/>
        <v>184033.16049999997</v>
      </c>
      <c r="I3572" s="5">
        <v>40386</v>
      </c>
      <c r="J3572" s="4">
        <v>4459.5600000000004</v>
      </c>
      <c r="K3572" s="4">
        <f t="shared" si="281"/>
        <v>44595.600000000006</v>
      </c>
    </row>
    <row r="3573" spans="4:11" x14ac:dyDescent="0.35">
      <c r="D3573" s="1">
        <v>40449</v>
      </c>
      <c r="E3573">
        <v>1.7084999999999999</v>
      </c>
      <c r="F3573" s="1">
        <v>39183</v>
      </c>
      <c r="G3573">
        <v>107.672</v>
      </c>
      <c r="H3573" s="4">
        <f t="shared" si="280"/>
        <v>183957.61199999999</v>
      </c>
      <c r="I3573" s="5">
        <v>40385</v>
      </c>
      <c r="J3573" s="4">
        <v>4450.74</v>
      </c>
      <c r="K3573" s="4">
        <f t="shared" si="281"/>
        <v>44507.399999999994</v>
      </c>
    </row>
    <row r="3574" spans="4:11" x14ac:dyDescent="0.35">
      <c r="D3574" s="1">
        <v>40448</v>
      </c>
      <c r="E3574">
        <v>1.7092000000000001</v>
      </c>
      <c r="F3574" s="1">
        <v>39182</v>
      </c>
      <c r="G3574">
        <v>107.672</v>
      </c>
      <c r="H3574" s="4">
        <f t="shared" si="280"/>
        <v>184032.98240000001</v>
      </c>
      <c r="I3574" s="5">
        <v>40382</v>
      </c>
      <c r="J3574" s="4">
        <v>4478.4799999999996</v>
      </c>
      <c r="K3574" s="4">
        <f t="shared" si="281"/>
        <v>44784.799999999996</v>
      </c>
    </row>
    <row r="3575" spans="4:11" x14ac:dyDescent="0.35">
      <c r="D3575" s="1">
        <v>40445</v>
      </c>
      <c r="E3575">
        <v>1.7112000000000001</v>
      </c>
      <c r="F3575" s="1">
        <v>39181</v>
      </c>
      <c r="G3575">
        <v>107.453</v>
      </c>
      <c r="H3575" s="4">
        <f t="shared" si="280"/>
        <v>183873.5736</v>
      </c>
      <c r="I3575" s="5">
        <v>40381</v>
      </c>
      <c r="J3575" s="4">
        <v>4440.6499999999996</v>
      </c>
      <c r="K3575" s="4">
        <f t="shared" si="281"/>
        <v>44406.5</v>
      </c>
    </row>
    <row r="3576" spans="4:11" x14ac:dyDescent="0.35">
      <c r="D3576" s="1">
        <v>40444</v>
      </c>
      <c r="E3576">
        <v>1.7185999999999999</v>
      </c>
      <c r="F3576" s="1">
        <v>39177</v>
      </c>
      <c r="G3576">
        <v>108.09399999999999</v>
      </c>
      <c r="H3576" s="4">
        <f t="shared" si="280"/>
        <v>185770.34839999999</v>
      </c>
      <c r="I3576" s="5">
        <v>40380</v>
      </c>
      <c r="J3576" s="4">
        <v>4499.91</v>
      </c>
      <c r="K3576" s="4">
        <f t="shared" si="281"/>
        <v>44999.1</v>
      </c>
    </row>
    <row r="3577" spans="4:11" x14ac:dyDescent="0.35">
      <c r="D3577" s="1">
        <v>40443</v>
      </c>
      <c r="E3577">
        <v>1.7176</v>
      </c>
      <c r="F3577" s="1">
        <v>39175</v>
      </c>
      <c r="G3577">
        <v>108.15600000000001</v>
      </c>
      <c r="H3577" s="4">
        <f t="shared" si="280"/>
        <v>185768.74560000002</v>
      </c>
      <c r="I3577" s="5">
        <v>40379</v>
      </c>
      <c r="J3577" s="4">
        <v>4483.5200000000004</v>
      </c>
      <c r="K3577" s="4">
        <f t="shared" si="281"/>
        <v>44835.200000000004</v>
      </c>
    </row>
    <row r="3578" spans="4:11" x14ac:dyDescent="0.35">
      <c r="D3578" s="1">
        <v>40442</v>
      </c>
      <c r="E3578">
        <v>1.7246999999999999</v>
      </c>
      <c r="F3578" s="1">
        <v>39174</v>
      </c>
      <c r="G3578">
        <v>108.172</v>
      </c>
      <c r="H3578" s="4">
        <f t="shared" si="280"/>
        <v>186564.24839999998</v>
      </c>
      <c r="I3578" s="5">
        <v>40378</v>
      </c>
      <c r="J3578" s="4">
        <v>4533.95</v>
      </c>
      <c r="K3578" s="4">
        <f t="shared" si="281"/>
        <v>45339.5</v>
      </c>
    </row>
    <row r="3579" spans="4:11" x14ac:dyDescent="0.35">
      <c r="D3579" s="1">
        <v>40441</v>
      </c>
      <c r="E3579">
        <v>1.7208000000000001</v>
      </c>
      <c r="F3579" s="1">
        <v>39170</v>
      </c>
      <c r="G3579">
        <v>108.203</v>
      </c>
      <c r="H3579" s="4">
        <f t="shared" si="280"/>
        <v>186195.72240000003</v>
      </c>
      <c r="I3579" s="5">
        <v>40375</v>
      </c>
      <c r="J3579" s="4">
        <v>4504.95</v>
      </c>
      <c r="K3579" s="4">
        <f t="shared" si="281"/>
        <v>45049.5</v>
      </c>
    </row>
    <row r="3580" spans="4:11" x14ac:dyDescent="0.35">
      <c r="D3580" s="1">
        <v>40438</v>
      </c>
      <c r="E3580">
        <v>1.7158</v>
      </c>
      <c r="F3580" s="1">
        <v>39169</v>
      </c>
      <c r="G3580">
        <v>108.688</v>
      </c>
      <c r="H3580" s="4">
        <f t="shared" si="280"/>
        <v>186486.87040000001</v>
      </c>
      <c r="I3580" s="5">
        <v>40374</v>
      </c>
      <c r="J3580" s="4">
        <v>4457.04</v>
      </c>
      <c r="K3580" s="4">
        <f t="shared" si="281"/>
        <v>44570.400000000001</v>
      </c>
    </row>
    <row r="3581" spans="4:11" x14ac:dyDescent="0.35">
      <c r="D3581" s="1">
        <v>40437</v>
      </c>
      <c r="E3581">
        <v>1.7176</v>
      </c>
      <c r="F3581" s="1">
        <v>39168</v>
      </c>
      <c r="G3581">
        <v>108.422</v>
      </c>
      <c r="H3581" s="4">
        <f t="shared" si="280"/>
        <v>186225.62719999999</v>
      </c>
      <c r="I3581" s="5">
        <v>40373</v>
      </c>
      <c r="J3581" s="4">
        <v>4458.3</v>
      </c>
      <c r="K3581" s="4">
        <f t="shared" si="281"/>
        <v>44583</v>
      </c>
    </row>
    <row r="3582" spans="4:11" x14ac:dyDescent="0.35">
      <c r="D3582" s="1">
        <v>40436</v>
      </c>
      <c r="E3582">
        <v>1.7161</v>
      </c>
      <c r="F3582" s="1">
        <v>39167</v>
      </c>
      <c r="G3582">
        <v>108.46899999999999</v>
      </c>
      <c r="H3582" s="4">
        <f t="shared" si="280"/>
        <v>186143.65089999998</v>
      </c>
      <c r="I3582" s="5">
        <v>40372</v>
      </c>
      <c r="J3582" s="4">
        <v>4444.43</v>
      </c>
      <c r="K3582" s="4">
        <f t="shared" si="281"/>
        <v>44444.3</v>
      </c>
    </row>
    <row r="3583" spans="4:11" x14ac:dyDescent="0.35">
      <c r="D3583" s="1">
        <v>40435</v>
      </c>
      <c r="E3583">
        <v>1.7068000000000001</v>
      </c>
      <c r="F3583" s="1">
        <v>39164</v>
      </c>
      <c r="G3583">
        <v>108.39100000000001</v>
      </c>
      <c r="H3583" s="4">
        <f t="shared" si="280"/>
        <v>185001.75880000004</v>
      </c>
      <c r="I3583" s="5">
        <v>40371</v>
      </c>
      <c r="J3583" s="4">
        <v>4453.26</v>
      </c>
      <c r="K3583" s="4">
        <f t="shared" si="281"/>
        <v>44532.600000000006</v>
      </c>
    </row>
    <row r="3584" spans="4:11" x14ac:dyDescent="0.35">
      <c r="D3584" s="1">
        <v>40434</v>
      </c>
      <c r="E3584">
        <v>1.7165999999999999</v>
      </c>
      <c r="F3584" s="1">
        <v>39163</v>
      </c>
      <c r="G3584">
        <v>108.51600000000001</v>
      </c>
      <c r="H3584" s="4">
        <f t="shared" si="280"/>
        <v>186278.5656</v>
      </c>
      <c r="I3584" s="5">
        <v>40367</v>
      </c>
      <c r="J3584" s="4">
        <v>4457.04</v>
      </c>
      <c r="K3584" s="4">
        <f t="shared" si="281"/>
        <v>44570.400000000001</v>
      </c>
    </row>
    <row r="3585" spans="4:11" x14ac:dyDescent="0.35">
      <c r="D3585" s="1">
        <v>40431</v>
      </c>
      <c r="E3585">
        <v>1.7178</v>
      </c>
      <c r="F3585" s="1">
        <v>39162</v>
      </c>
      <c r="G3585">
        <v>108.90600000000001</v>
      </c>
      <c r="H3585" s="4">
        <f t="shared" si="280"/>
        <v>187078.7268</v>
      </c>
      <c r="I3585" s="5">
        <v>40366</v>
      </c>
      <c r="J3585" s="4">
        <v>4475.95</v>
      </c>
      <c r="K3585" s="4">
        <f t="shared" si="281"/>
        <v>44759.5</v>
      </c>
    </row>
    <row r="3586" spans="4:11" x14ac:dyDescent="0.35">
      <c r="D3586" s="1">
        <v>40430</v>
      </c>
      <c r="E3586">
        <v>1.7230000000000001</v>
      </c>
      <c r="F3586" s="1">
        <v>39161</v>
      </c>
      <c r="G3586">
        <v>108.75</v>
      </c>
      <c r="H3586" s="4">
        <f t="shared" si="280"/>
        <v>187376.25</v>
      </c>
      <c r="I3586" s="5">
        <v>40365</v>
      </c>
      <c r="J3586" s="4">
        <v>4513.78</v>
      </c>
      <c r="K3586" s="4">
        <f t="shared" si="281"/>
        <v>45137.799999999996</v>
      </c>
    </row>
    <row r="3587" spans="4:11" x14ac:dyDescent="0.35">
      <c r="D3587" s="1">
        <v>40429</v>
      </c>
      <c r="E3587">
        <v>1.7222999999999999</v>
      </c>
      <c r="F3587" s="1">
        <v>39157</v>
      </c>
      <c r="G3587">
        <v>108.625</v>
      </c>
      <c r="H3587" s="4">
        <f t="shared" si="280"/>
        <v>187084.83749999999</v>
      </c>
      <c r="I3587" s="5">
        <v>40364</v>
      </c>
      <c r="J3587" s="4">
        <v>4508.74</v>
      </c>
      <c r="K3587" s="4">
        <f t="shared" si="281"/>
        <v>45087.399999999994</v>
      </c>
    </row>
    <row r="3588" spans="4:11" x14ac:dyDescent="0.35">
      <c r="D3588" s="1">
        <v>40427</v>
      </c>
      <c r="E3588">
        <v>1.7251000000000001</v>
      </c>
      <c r="F3588" s="1">
        <v>39156</v>
      </c>
      <c r="G3588">
        <v>108.84399999999999</v>
      </c>
      <c r="H3588" s="4">
        <f t="shared" ref="H3588:H3651" si="282">G3588*E3588*1000</f>
        <v>187766.7844</v>
      </c>
      <c r="I3588" s="5">
        <v>40361</v>
      </c>
      <c r="J3588" s="4">
        <v>4496.13</v>
      </c>
      <c r="K3588" s="4">
        <f t="shared" si="281"/>
        <v>44961.3</v>
      </c>
    </row>
    <row r="3589" spans="4:11" x14ac:dyDescent="0.35">
      <c r="D3589" s="1">
        <v>40424</v>
      </c>
      <c r="E3589">
        <v>1.7273000000000001</v>
      </c>
      <c r="F3589" s="1">
        <v>39155</v>
      </c>
      <c r="G3589">
        <v>109.01600000000001</v>
      </c>
      <c r="H3589" s="4">
        <f t="shared" si="282"/>
        <v>188303.33680000002</v>
      </c>
      <c r="I3589" s="5">
        <v>40360</v>
      </c>
      <c r="J3589" s="4">
        <v>4549.08</v>
      </c>
      <c r="K3589" s="4">
        <f t="shared" ref="K3589:K3652" si="283">J3589*10</f>
        <v>45490.8</v>
      </c>
    </row>
    <row r="3590" spans="4:11" x14ac:dyDescent="0.35">
      <c r="D3590" s="1">
        <v>40423</v>
      </c>
      <c r="E3590">
        <v>1.7359</v>
      </c>
      <c r="F3590" s="1">
        <v>39154</v>
      </c>
      <c r="G3590">
        <v>108.938</v>
      </c>
      <c r="H3590" s="4">
        <f t="shared" si="282"/>
        <v>189105.4742</v>
      </c>
      <c r="I3590" s="5">
        <v>40359</v>
      </c>
      <c r="J3590" s="4">
        <v>4581.8599999999997</v>
      </c>
      <c r="K3590" s="4">
        <f t="shared" si="283"/>
        <v>45818.6</v>
      </c>
    </row>
    <row r="3591" spans="4:11" x14ac:dyDescent="0.35">
      <c r="D3591" s="1">
        <v>40422</v>
      </c>
      <c r="E3591">
        <v>1.7433000000000001</v>
      </c>
      <c r="F3591" s="1">
        <v>39153</v>
      </c>
      <c r="G3591">
        <v>108.578</v>
      </c>
      <c r="H3591" s="4">
        <f t="shared" si="282"/>
        <v>189284.02740000002</v>
      </c>
      <c r="I3591" s="5">
        <v>40358</v>
      </c>
      <c r="J3591" s="4">
        <v>4613.66</v>
      </c>
      <c r="K3591" s="4">
        <f t="shared" si="283"/>
        <v>46136.6</v>
      </c>
    </row>
    <row r="3592" spans="4:11" x14ac:dyDescent="0.35">
      <c r="D3592" s="1">
        <v>40421</v>
      </c>
      <c r="E3592">
        <v>1.7552000000000001</v>
      </c>
      <c r="F3592" s="1">
        <v>39150</v>
      </c>
      <c r="G3592">
        <v>108.25</v>
      </c>
      <c r="H3592" s="4">
        <f t="shared" si="282"/>
        <v>190000.40000000002</v>
      </c>
      <c r="I3592" s="5">
        <v>40357</v>
      </c>
      <c r="J3592" s="4">
        <v>4529.72</v>
      </c>
      <c r="K3592" s="4">
        <f t="shared" si="283"/>
        <v>45297.200000000004</v>
      </c>
    </row>
    <row r="3593" spans="4:11" x14ac:dyDescent="0.35">
      <c r="D3593" s="1">
        <v>40420</v>
      </c>
      <c r="E3593">
        <v>1.7583</v>
      </c>
      <c r="F3593" s="1">
        <v>39148</v>
      </c>
      <c r="G3593">
        <v>108.78100000000001</v>
      </c>
      <c r="H3593" s="4">
        <f t="shared" si="282"/>
        <v>191269.6323</v>
      </c>
      <c r="I3593" s="5">
        <v>40354</v>
      </c>
      <c r="J3593" s="4">
        <v>4528.45</v>
      </c>
      <c r="K3593" s="4">
        <f t="shared" si="283"/>
        <v>45284.5</v>
      </c>
    </row>
    <row r="3594" spans="4:11" x14ac:dyDescent="0.35">
      <c r="D3594" s="1">
        <v>40417</v>
      </c>
      <c r="E3594">
        <v>1.7536</v>
      </c>
      <c r="F3594" s="1">
        <v>39147</v>
      </c>
      <c r="G3594">
        <v>108.89100000000001</v>
      </c>
      <c r="H3594" s="4">
        <f t="shared" si="282"/>
        <v>190951.25760000001</v>
      </c>
      <c r="I3594" s="5">
        <v>40353</v>
      </c>
      <c r="J3594" s="4">
        <v>4537.3500000000004</v>
      </c>
      <c r="K3594" s="4">
        <f t="shared" si="283"/>
        <v>45373.5</v>
      </c>
    </row>
    <row r="3595" spans="4:11" x14ac:dyDescent="0.35">
      <c r="D3595" s="1">
        <v>40416</v>
      </c>
      <c r="E3595">
        <v>1.7587999999999999</v>
      </c>
      <c r="F3595" s="1">
        <v>39146</v>
      </c>
      <c r="G3595">
        <v>109.15600000000001</v>
      </c>
      <c r="H3595" s="4">
        <f t="shared" si="282"/>
        <v>191983.57279999999</v>
      </c>
      <c r="I3595" s="5">
        <v>40352</v>
      </c>
      <c r="J3595" s="4">
        <v>4551.34</v>
      </c>
      <c r="K3595" s="4">
        <f t="shared" si="283"/>
        <v>45513.4</v>
      </c>
    </row>
    <row r="3596" spans="4:11" x14ac:dyDescent="0.35">
      <c r="D3596" s="1">
        <v>40415</v>
      </c>
      <c r="E3596">
        <v>1.766</v>
      </c>
      <c r="F3596" s="1">
        <v>39143</v>
      </c>
      <c r="G3596">
        <v>108.875</v>
      </c>
      <c r="H3596" s="4">
        <f t="shared" si="282"/>
        <v>192273.25</v>
      </c>
      <c r="I3596" s="5">
        <v>40351</v>
      </c>
      <c r="J3596" s="4">
        <v>4556.43</v>
      </c>
      <c r="K3596" s="4">
        <f t="shared" si="283"/>
        <v>45564.3</v>
      </c>
    </row>
    <row r="3597" spans="4:11" x14ac:dyDescent="0.35">
      <c r="D3597" s="1">
        <v>40414</v>
      </c>
      <c r="E3597">
        <v>1.7719</v>
      </c>
      <c r="F3597" s="1">
        <v>39142</v>
      </c>
      <c r="G3597">
        <v>108.563</v>
      </c>
      <c r="H3597" s="4">
        <f t="shared" si="282"/>
        <v>192362.77970000001</v>
      </c>
      <c r="I3597" s="5">
        <v>40350</v>
      </c>
      <c r="J3597" s="4">
        <v>4509.38</v>
      </c>
      <c r="K3597" s="4">
        <f t="shared" si="283"/>
        <v>45093.8</v>
      </c>
    </row>
    <row r="3598" spans="4:11" x14ac:dyDescent="0.35">
      <c r="D3598" s="1">
        <v>40413</v>
      </c>
      <c r="E3598">
        <v>1.7579</v>
      </c>
      <c r="F3598" s="1">
        <v>39141</v>
      </c>
      <c r="G3598">
        <v>108.797</v>
      </c>
      <c r="H3598" s="4">
        <f t="shared" si="282"/>
        <v>191254.2463</v>
      </c>
      <c r="I3598" s="5">
        <v>40347</v>
      </c>
      <c r="J3598" s="4">
        <v>4511.92</v>
      </c>
      <c r="K3598" s="4">
        <f t="shared" si="283"/>
        <v>45119.199999999997</v>
      </c>
    </row>
    <row r="3599" spans="4:11" x14ac:dyDescent="0.35">
      <c r="D3599" s="1">
        <v>40410</v>
      </c>
      <c r="E3599">
        <v>1.7588999999999999</v>
      </c>
      <c r="F3599" s="1">
        <v>39140</v>
      </c>
      <c r="G3599">
        <v>108.813</v>
      </c>
      <c r="H3599" s="4">
        <f t="shared" si="282"/>
        <v>191391.1857</v>
      </c>
      <c r="I3599" s="5">
        <v>40346</v>
      </c>
      <c r="J3599" s="4">
        <v>4539.8999999999996</v>
      </c>
      <c r="K3599" s="4">
        <f t="shared" si="283"/>
        <v>45399</v>
      </c>
    </row>
    <row r="3600" spans="4:11" x14ac:dyDescent="0.35">
      <c r="D3600" s="1">
        <v>40409</v>
      </c>
      <c r="E3600">
        <v>1.7576000000000001</v>
      </c>
      <c r="F3600" s="1">
        <v>39129</v>
      </c>
      <c r="G3600">
        <v>107.547</v>
      </c>
      <c r="H3600" s="4">
        <f t="shared" si="282"/>
        <v>189024.6072</v>
      </c>
      <c r="I3600" s="5">
        <v>40345</v>
      </c>
      <c r="J3600" s="4">
        <v>4562.79</v>
      </c>
      <c r="K3600" s="4">
        <f t="shared" si="283"/>
        <v>45627.9</v>
      </c>
    </row>
    <row r="3601" spans="4:11" x14ac:dyDescent="0.35">
      <c r="D3601" s="1">
        <v>40408</v>
      </c>
      <c r="E3601">
        <v>1.7504999999999999</v>
      </c>
      <c r="F3601" s="1">
        <v>39127</v>
      </c>
      <c r="G3601">
        <v>107.26600000000001</v>
      </c>
      <c r="H3601" s="4">
        <f t="shared" si="282"/>
        <v>187769.133</v>
      </c>
      <c r="I3601" s="5">
        <v>40344</v>
      </c>
      <c r="J3601" s="4">
        <v>4561.5200000000004</v>
      </c>
      <c r="K3601" s="4">
        <f t="shared" si="283"/>
        <v>45615.200000000004</v>
      </c>
    </row>
    <row r="3602" spans="4:11" x14ac:dyDescent="0.35">
      <c r="D3602" s="1">
        <v>40407</v>
      </c>
      <c r="E3602">
        <v>1.752</v>
      </c>
      <c r="F3602" s="1">
        <v>39126</v>
      </c>
      <c r="G3602">
        <v>106.828</v>
      </c>
      <c r="H3602" s="4">
        <f t="shared" si="282"/>
        <v>187162.65599999999</v>
      </c>
      <c r="I3602" s="5">
        <v>40343</v>
      </c>
      <c r="J3602" s="4">
        <v>4627.6400000000003</v>
      </c>
      <c r="K3602" s="4">
        <f t="shared" si="283"/>
        <v>46276.4</v>
      </c>
    </row>
    <row r="3603" spans="4:11" x14ac:dyDescent="0.35">
      <c r="D3603" s="1">
        <v>40406</v>
      </c>
      <c r="E3603">
        <v>1.7630999999999999</v>
      </c>
      <c r="F3603" s="1">
        <v>39119</v>
      </c>
      <c r="G3603">
        <v>106.938</v>
      </c>
      <c r="H3603" s="4">
        <f t="shared" si="282"/>
        <v>188542.3878</v>
      </c>
      <c r="I3603" s="5">
        <v>40340</v>
      </c>
      <c r="J3603" s="4">
        <v>4623.83</v>
      </c>
      <c r="K3603" s="4">
        <f t="shared" si="283"/>
        <v>46238.3</v>
      </c>
    </row>
    <row r="3604" spans="4:11" x14ac:dyDescent="0.35">
      <c r="D3604" s="1">
        <v>40403</v>
      </c>
      <c r="E3604">
        <v>1.7707999999999999</v>
      </c>
      <c r="F3604" s="1">
        <v>39115</v>
      </c>
      <c r="G3604">
        <v>106.703</v>
      </c>
      <c r="H3604" s="4">
        <f t="shared" si="282"/>
        <v>188949.67240000001</v>
      </c>
      <c r="I3604" s="5">
        <v>40339</v>
      </c>
      <c r="J3604" s="4">
        <v>4613.66</v>
      </c>
      <c r="K3604" s="4">
        <f t="shared" si="283"/>
        <v>46136.6</v>
      </c>
    </row>
    <row r="3605" spans="4:11" x14ac:dyDescent="0.35">
      <c r="D3605" s="1">
        <v>40402</v>
      </c>
      <c r="E3605">
        <v>1.7723</v>
      </c>
      <c r="F3605" s="1">
        <v>39114</v>
      </c>
      <c r="G3605">
        <v>106.922</v>
      </c>
      <c r="H3605" s="4">
        <f t="shared" si="282"/>
        <v>189497.86059999999</v>
      </c>
      <c r="I3605" s="5">
        <v>40338</v>
      </c>
      <c r="J3605" s="4">
        <v>4731.92</v>
      </c>
      <c r="K3605" s="4">
        <f t="shared" si="283"/>
        <v>47319.199999999997</v>
      </c>
    </row>
    <row r="3606" spans="4:11" x14ac:dyDescent="0.35">
      <c r="D3606" s="1">
        <v>40401</v>
      </c>
      <c r="E3606">
        <v>1.7655000000000001</v>
      </c>
      <c r="F3606" s="1">
        <v>39113</v>
      </c>
      <c r="G3606">
        <v>106.453</v>
      </c>
      <c r="H3606" s="4">
        <f t="shared" si="282"/>
        <v>187942.77150000003</v>
      </c>
      <c r="I3606" s="5">
        <v>40337</v>
      </c>
      <c r="J3606" s="4">
        <v>4737.01</v>
      </c>
      <c r="K3606" s="4">
        <f t="shared" si="283"/>
        <v>47370.100000000006</v>
      </c>
    </row>
    <row r="3607" spans="4:11" x14ac:dyDescent="0.35">
      <c r="D3607" s="1">
        <v>40400</v>
      </c>
      <c r="E3607">
        <v>1.7567999999999999</v>
      </c>
      <c r="F3607" s="1">
        <v>39108</v>
      </c>
      <c r="G3607">
        <v>106.53100000000001</v>
      </c>
      <c r="H3607" s="4">
        <f t="shared" si="282"/>
        <v>187153.66080000001</v>
      </c>
      <c r="I3607" s="5">
        <v>40336</v>
      </c>
      <c r="J3607" s="4">
        <v>4818.3999999999996</v>
      </c>
      <c r="K3607" s="4">
        <f t="shared" si="283"/>
        <v>48184</v>
      </c>
    </row>
    <row r="3608" spans="4:11" x14ac:dyDescent="0.35">
      <c r="D3608" s="1">
        <v>40399</v>
      </c>
      <c r="E3608">
        <v>1.7528999999999999</v>
      </c>
      <c r="F3608" s="1">
        <v>39106</v>
      </c>
      <c r="G3608">
        <v>106.875</v>
      </c>
      <c r="H3608" s="4">
        <f t="shared" si="282"/>
        <v>187341.1875</v>
      </c>
      <c r="I3608" s="5">
        <v>40333</v>
      </c>
      <c r="J3608" s="4">
        <v>4768.8</v>
      </c>
      <c r="K3608" s="4">
        <f t="shared" si="283"/>
        <v>47688</v>
      </c>
    </row>
    <row r="3609" spans="4:11" x14ac:dyDescent="0.35">
      <c r="D3609" s="1">
        <v>40396</v>
      </c>
      <c r="E3609">
        <v>1.7558</v>
      </c>
      <c r="F3609" s="1">
        <v>39104</v>
      </c>
      <c r="G3609">
        <v>106.98399999999999</v>
      </c>
      <c r="H3609" s="4">
        <f t="shared" si="282"/>
        <v>187842.50719999999</v>
      </c>
      <c r="I3609" s="5">
        <v>40331</v>
      </c>
      <c r="J3609" s="4">
        <v>4649.26</v>
      </c>
      <c r="K3609" s="4">
        <f t="shared" si="283"/>
        <v>46492.600000000006</v>
      </c>
    </row>
    <row r="3610" spans="4:11" x14ac:dyDescent="0.35">
      <c r="D3610" s="1">
        <v>40395</v>
      </c>
      <c r="E3610">
        <v>1.7526999999999999</v>
      </c>
      <c r="F3610" s="1">
        <v>39101</v>
      </c>
      <c r="G3610">
        <v>106.98399999999999</v>
      </c>
      <c r="H3610" s="4">
        <f t="shared" si="282"/>
        <v>187510.85679999998</v>
      </c>
      <c r="I3610" s="5">
        <v>40330</v>
      </c>
      <c r="J3610" s="4">
        <v>4725.5600000000004</v>
      </c>
      <c r="K3610" s="4">
        <f t="shared" si="283"/>
        <v>47255.600000000006</v>
      </c>
    </row>
    <row r="3611" spans="4:11" x14ac:dyDescent="0.35">
      <c r="D3611" s="1">
        <v>40394</v>
      </c>
      <c r="E3611">
        <v>1.7555000000000001</v>
      </c>
      <c r="F3611" s="1">
        <v>39100</v>
      </c>
      <c r="G3611">
        <v>106.90600000000001</v>
      </c>
      <c r="H3611" s="4">
        <f t="shared" si="282"/>
        <v>187673.48300000001</v>
      </c>
      <c r="I3611" s="5">
        <v>40329</v>
      </c>
      <c r="J3611" s="4">
        <v>4658.16</v>
      </c>
      <c r="K3611" s="4">
        <f t="shared" si="283"/>
        <v>46581.599999999999</v>
      </c>
    </row>
    <row r="3612" spans="4:11" x14ac:dyDescent="0.35">
      <c r="D3612" s="1">
        <v>40393</v>
      </c>
      <c r="E3612">
        <v>1.7585999999999999</v>
      </c>
      <c r="F3612" s="1">
        <v>39099</v>
      </c>
      <c r="G3612">
        <v>107</v>
      </c>
      <c r="H3612" s="4">
        <f t="shared" si="282"/>
        <v>188170.19999999998</v>
      </c>
      <c r="I3612" s="5">
        <v>40326</v>
      </c>
      <c r="J3612" s="4">
        <v>4663.29</v>
      </c>
      <c r="K3612" s="4">
        <f t="shared" si="283"/>
        <v>46632.9</v>
      </c>
    </row>
    <row r="3613" spans="4:11" x14ac:dyDescent="0.35">
      <c r="D3613" s="1">
        <v>40392</v>
      </c>
      <c r="E3613">
        <v>1.7481</v>
      </c>
      <c r="F3613" s="1">
        <v>39098</v>
      </c>
      <c r="G3613">
        <v>107.203</v>
      </c>
      <c r="H3613" s="4">
        <f t="shared" si="282"/>
        <v>187401.5643</v>
      </c>
      <c r="I3613" s="5">
        <v>40325</v>
      </c>
      <c r="J3613" s="4">
        <v>4658.16</v>
      </c>
      <c r="K3613" s="4">
        <f t="shared" si="283"/>
        <v>46581.599999999999</v>
      </c>
    </row>
    <row r="3614" spans="4:11" x14ac:dyDescent="0.35">
      <c r="D3614" s="1">
        <v>40389</v>
      </c>
      <c r="E3614">
        <v>1.7564</v>
      </c>
      <c r="F3614" s="1">
        <v>39097</v>
      </c>
      <c r="G3614">
        <v>107.187</v>
      </c>
      <c r="H3614" s="4">
        <f t="shared" si="282"/>
        <v>188263.24679999999</v>
      </c>
      <c r="I3614" s="5">
        <v>40324</v>
      </c>
      <c r="J3614" s="4">
        <v>4809.5</v>
      </c>
      <c r="K3614" s="4">
        <f t="shared" si="283"/>
        <v>48095</v>
      </c>
    </row>
    <row r="3615" spans="4:11" x14ac:dyDescent="0.35">
      <c r="D3615" s="1">
        <v>40388</v>
      </c>
      <c r="E3615">
        <v>1.7635000000000001</v>
      </c>
      <c r="F3615" s="1">
        <v>39094</v>
      </c>
      <c r="G3615">
        <v>107.187</v>
      </c>
      <c r="H3615" s="4">
        <f t="shared" si="282"/>
        <v>189024.2745</v>
      </c>
      <c r="I3615" s="5">
        <v>40323</v>
      </c>
      <c r="J3615" s="4">
        <v>4740.25</v>
      </c>
      <c r="K3615" s="4">
        <f t="shared" si="283"/>
        <v>47402.5</v>
      </c>
    </row>
    <row r="3616" spans="4:11" x14ac:dyDescent="0.35">
      <c r="D3616" s="1">
        <v>40387</v>
      </c>
      <c r="E3616">
        <v>1.7642</v>
      </c>
      <c r="F3616" s="1">
        <v>39093</v>
      </c>
      <c r="G3616">
        <v>107.26600000000001</v>
      </c>
      <c r="H3616" s="4">
        <f t="shared" si="282"/>
        <v>189238.67720000001</v>
      </c>
      <c r="I3616" s="5">
        <v>40322</v>
      </c>
      <c r="J3616" s="4">
        <v>4799.24</v>
      </c>
      <c r="K3616" s="4">
        <f t="shared" si="283"/>
        <v>47992.399999999994</v>
      </c>
    </row>
    <row r="3617" spans="4:11" x14ac:dyDescent="0.35">
      <c r="D3617" s="1">
        <v>40386</v>
      </c>
      <c r="E3617">
        <v>1.7649999999999999</v>
      </c>
      <c r="F3617" s="1">
        <v>39092</v>
      </c>
      <c r="G3617">
        <v>107.625</v>
      </c>
      <c r="H3617" s="4">
        <f t="shared" si="282"/>
        <v>189958.125</v>
      </c>
      <c r="I3617" s="5">
        <v>40319</v>
      </c>
      <c r="J3617" s="4">
        <v>4758.2</v>
      </c>
      <c r="K3617" s="4">
        <f t="shared" si="283"/>
        <v>47582</v>
      </c>
    </row>
    <row r="3618" spans="4:11" x14ac:dyDescent="0.35">
      <c r="D3618" s="1">
        <v>40385</v>
      </c>
      <c r="E3618">
        <v>1.7661</v>
      </c>
      <c r="F3618" s="1">
        <v>39091</v>
      </c>
      <c r="G3618">
        <v>107.75</v>
      </c>
      <c r="H3618" s="4">
        <f t="shared" si="282"/>
        <v>190297.27500000002</v>
      </c>
      <c r="I3618" s="5">
        <v>40318</v>
      </c>
      <c r="J3618" s="4">
        <v>4837.72</v>
      </c>
      <c r="K3618" s="4">
        <f t="shared" si="283"/>
        <v>48377.200000000004</v>
      </c>
    </row>
    <row r="3619" spans="4:11" x14ac:dyDescent="0.35">
      <c r="D3619" s="1">
        <v>40382</v>
      </c>
      <c r="E3619">
        <v>1.7608999999999999</v>
      </c>
      <c r="F3619" s="1">
        <v>39090</v>
      </c>
      <c r="G3619">
        <v>107.813</v>
      </c>
      <c r="H3619" s="4">
        <f t="shared" si="282"/>
        <v>189847.9117</v>
      </c>
      <c r="I3619" s="5">
        <v>40317</v>
      </c>
      <c r="J3619" s="4">
        <v>4694.08</v>
      </c>
      <c r="K3619" s="4">
        <f t="shared" si="283"/>
        <v>46940.800000000003</v>
      </c>
    </row>
    <row r="3620" spans="4:11" x14ac:dyDescent="0.35">
      <c r="D3620" s="1">
        <v>40381</v>
      </c>
      <c r="E3620">
        <v>1.7621</v>
      </c>
      <c r="F3620" s="1">
        <v>39087</v>
      </c>
      <c r="G3620">
        <v>107.797</v>
      </c>
      <c r="H3620" s="4">
        <f t="shared" si="282"/>
        <v>189949.0937</v>
      </c>
      <c r="I3620" s="5">
        <v>40316</v>
      </c>
      <c r="J3620" s="4">
        <v>4690.2299999999996</v>
      </c>
      <c r="K3620" s="4">
        <f t="shared" si="283"/>
        <v>46902.299999999996</v>
      </c>
    </row>
    <row r="3621" spans="4:11" x14ac:dyDescent="0.35">
      <c r="D3621" s="1">
        <v>40380</v>
      </c>
      <c r="E3621">
        <v>1.7758</v>
      </c>
      <c r="F3621" s="1">
        <v>39079</v>
      </c>
      <c r="G3621">
        <v>107.5</v>
      </c>
      <c r="H3621" s="4">
        <f t="shared" si="282"/>
        <v>190898.5</v>
      </c>
      <c r="I3621" s="5">
        <v>40315</v>
      </c>
      <c r="J3621" s="4">
        <v>4632.51</v>
      </c>
      <c r="K3621" s="4">
        <f t="shared" si="283"/>
        <v>46325.100000000006</v>
      </c>
    </row>
    <row r="3622" spans="4:11" x14ac:dyDescent="0.35">
      <c r="D3622" s="1">
        <v>40379</v>
      </c>
      <c r="E3622">
        <v>1.7791999999999999</v>
      </c>
      <c r="F3622" s="1">
        <v>39064</v>
      </c>
      <c r="G3622">
        <v>108.547</v>
      </c>
      <c r="H3622" s="4">
        <f t="shared" si="282"/>
        <v>193126.82239999998</v>
      </c>
      <c r="I3622" s="5">
        <v>40312</v>
      </c>
      <c r="J3622" s="4">
        <v>4570.95</v>
      </c>
      <c r="K3622" s="4">
        <f t="shared" si="283"/>
        <v>45709.5</v>
      </c>
    </row>
    <row r="3623" spans="4:11" x14ac:dyDescent="0.35">
      <c r="D3623" s="1">
        <v>40378</v>
      </c>
      <c r="E3623">
        <v>1.7846</v>
      </c>
      <c r="F3623" s="1">
        <v>39059</v>
      </c>
      <c r="G3623">
        <v>108.78100000000001</v>
      </c>
      <c r="H3623" s="4">
        <f t="shared" si="282"/>
        <v>194130.57259999998</v>
      </c>
      <c r="I3623" s="5">
        <v>40311</v>
      </c>
      <c r="J3623" s="4">
        <v>4513.96</v>
      </c>
      <c r="K3623" s="4">
        <f t="shared" si="283"/>
        <v>45139.6</v>
      </c>
    </row>
    <row r="3624" spans="4:11" x14ac:dyDescent="0.35">
      <c r="D3624" s="1">
        <v>40375</v>
      </c>
      <c r="E3624">
        <v>1.7784</v>
      </c>
      <c r="F3624" s="1">
        <v>39055</v>
      </c>
      <c r="G3624">
        <v>109.53100000000001</v>
      </c>
      <c r="H3624" s="4">
        <f t="shared" si="282"/>
        <v>194789.93040000001</v>
      </c>
      <c r="I3624" s="5">
        <v>40310</v>
      </c>
      <c r="J3624" s="4">
        <v>4511.42</v>
      </c>
      <c r="K3624" s="4">
        <f t="shared" si="283"/>
        <v>45114.2</v>
      </c>
    </row>
    <row r="3625" spans="4:11" x14ac:dyDescent="0.35">
      <c r="D3625" s="1">
        <v>40374</v>
      </c>
      <c r="E3625">
        <v>1.7682</v>
      </c>
      <c r="F3625" s="1">
        <v>39052</v>
      </c>
      <c r="G3625">
        <v>109.48399999999999</v>
      </c>
      <c r="H3625" s="4">
        <f t="shared" si="282"/>
        <v>193589.60879999999</v>
      </c>
      <c r="I3625" s="5">
        <v>40309</v>
      </c>
      <c r="J3625" s="4">
        <v>4557.0200000000004</v>
      </c>
      <c r="K3625" s="4">
        <f t="shared" si="283"/>
        <v>45570.200000000004</v>
      </c>
    </row>
    <row r="3626" spans="4:11" x14ac:dyDescent="0.35">
      <c r="D3626" s="1">
        <v>40373</v>
      </c>
      <c r="E3626">
        <v>1.7648999999999999</v>
      </c>
      <c r="F3626" s="1">
        <v>39051</v>
      </c>
      <c r="G3626">
        <v>109.14100000000001</v>
      </c>
      <c r="H3626" s="4">
        <f t="shared" si="282"/>
        <v>192622.9509</v>
      </c>
      <c r="I3626" s="5">
        <v>40308</v>
      </c>
      <c r="J3626" s="4">
        <v>4511.42</v>
      </c>
      <c r="K3626" s="4">
        <f t="shared" si="283"/>
        <v>45114.2</v>
      </c>
    </row>
    <row r="3627" spans="4:11" x14ac:dyDescent="0.35">
      <c r="D3627" s="1">
        <v>40372</v>
      </c>
      <c r="E3627">
        <v>1.7517</v>
      </c>
      <c r="F3627" s="1">
        <v>39050</v>
      </c>
      <c r="G3627">
        <v>108.85899999999999</v>
      </c>
      <c r="H3627" s="4">
        <f t="shared" si="282"/>
        <v>190688.31029999998</v>
      </c>
      <c r="I3627" s="5">
        <v>40305</v>
      </c>
      <c r="J3627" s="4">
        <v>4681.1400000000003</v>
      </c>
      <c r="K3627" s="4">
        <f t="shared" si="283"/>
        <v>46811.4</v>
      </c>
    </row>
    <row r="3628" spans="4:11" x14ac:dyDescent="0.35">
      <c r="D3628" s="1">
        <v>40371</v>
      </c>
      <c r="E3628">
        <v>1.7636000000000001</v>
      </c>
      <c r="I3628" s="1">
        <v>40304</v>
      </c>
      <c r="J3628">
        <v>4724.2</v>
      </c>
      <c r="K3628" s="4">
        <f t="shared" si="283"/>
        <v>47242</v>
      </c>
    </row>
    <row r="3629" spans="4:11" x14ac:dyDescent="0.35">
      <c r="D3629" s="1">
        <v>40368</v>
      </c>
      <c r="E3629">
        <v>1.7564</v>
      </c>
      <c r="I3629" s="1">
        <v>40303</v>
      </c>
      <c r="J3629">
        <v>4567.1499999999996</v>
      </c>
      <c r="K3629" s="4">
        <f t="shared" si="283"/>
        <v>45671.5</v>
      </c>
    </row>
    <row r="3630" spans="4:11" x14ac:dyDescent="0.35">
      <c r="D3630" s="1">
        <v>40367</v>
      </c>
      <c r="E3630">
        <v>1.7644</v>
      </c>
      <c r="I3630" s="1">
        <v>40302</v>
      </c>
      <c r="J3630">
        <v>4491.16</v>
      </c>
      <c r="K3630" s="4">
        <f t="shared" si="283"/>
        <v>44911.6</v>
      </c>
    </row>
    <row r="3631" spans="4:11" x14ac:dyDescent="0.35">
      <c r="D3631" s="1">
        <v>40366</v>
      </c>
      <c r="E3631">
        <v>1.7710999999999999</v>
      </c>
      <c r="I3631" s="1">
        <v>40301</v>
      </c>
      <c r="J3631">
        <v>4399.97</v>
      </c>
      <c r="K3631" s="4">
        <f t="shared" si="283"/>
        <v>43999.700000000004</v>
      </c>
    </row>
    <row r="3632" spans="4:11" x14ac:dyDescent="0.35">
      <c r="D3632" s="1">
        <v>40365</v>
      </c>
      <c r="E3632">
        <v>1.7657</v>
      </c>
      <c r="I3632" s="1">
        <v>40298</v>
      </c>
      <c r="J3632">
        <v>4432.8999999999996</v>
      </c>
      <c r="K3632" s="4">
        <f t="shared" si="283"/>
        <v>44329</v>
      </c>
    </row>
    <row r="3633" spans="4:11" x14ac:dyDescent="0.35">
      <c r="D3633" s="1">
        <v>40364</v>
      </c>
      <c r="E3633">
        <v>1.7746999999999999</v>
      </c>
      <c r="I3633" s="1">
        <v>40297</v>
      </c>
      <c r="J3633">
        <v>4422.6499999999996</v>
      </c>
      <c r="K3633" s="4">
        <f t="shared" si="283"/>
        <v>44226.5</v>
      </c>
    </row>
    <row r="3634" spans="4:11" x14ac:dyDescent="0.35">
      <c r="D3634" s="1">
        <v>40361</v>
      </c>
      <c r="E3634">
        <v>1.7777000000000001</v>
      </c>
      <c r="I3634" s="1">
        <v>40296</v>
      </c>
      <c r="J3634">
        <v>4479.0200000000004</v>
      </c>
      <c r="K3634" s="4">
        <f t="shared" si="283"/>
        <v>44790.200000000004</v>
      </c>
    </row>
    <row r="3635" spans="4:11" x14ac:dyDescent="0.35">
      <c r="D3635" s="1">
        <v>40360</v>
      </c>
      <c r="E3635">
        <v>1.7998000000000001</v>
      </c>
      <c r="I3635" s="1">
        <v>40295</v>
      </c>
      <c r="J3635">
        <v>4545.6400000000003</v>
      </c>
      <c r="K3635" s="4">
        <f t="shared" si="283"/>
        <v>45456.4</v>
      </c>
    </row>
    <row r="3636" spans="4:11" x14ac:dyDescent="0.35">
      <c r="D3636" s="1">
        <v>40359</v>
      </c>
      <c r="E3636">
        <v>1.8007</v>
      </c>
      <c r="I3636" s="1">
        <v>40294</v>
      </c>
      <c r="J3636">
        <v>4477.74</v>
      </c>
      <c r="K3636" s="4">
        <f t="shared" si="283"/>
        <v>44777.399999999994</v>
      </c>
    </row>
    <row r="3637" spans="4:11" x14ac:dyDescent="0.35">
      <c r="D3637" s="1">
        <v>40358</v>
      </c>
      <c r="E3637">
        <v>1.8068</v>
      </c>
      <c r="I3637" s="1">
        <v>40291</v>
      </c>
      <c r="J3637">
        <v>4507.21</v>
      </c>
      <c r="K3637" s="4">
        <f t="shared" si="283"/>
        <v>45072.1</v>
      </c>
    </row>
    <row r="3638" spans="4:11" x14ac:dyDescent="0.35">
      <c r="D3638" s="1">
        <v>40357</v>
      </c>
      <c r="E3638">
        <v>1.7818000000000001</v>
      </c>
      <c r="I3638" s="1">
        <v>40290</v>
      </c>
      <c r="J3638">
        <v>4525.1400000000003</v>
      </c>
      <c r="K3638" s="4">
        <f t="shared" si="283"/>
        <v>45251.4</v>
      </c>
    </row>
    <row r="3639" spans="4:11" x14ac:dyDescent="0.35">
      <c r="D3639" s="1">
        <v>40354</v>
      </c>
      <c r="E3639">
        <v>1.7773000000000001</v>
      </c>
      <c r="I3639" s="1">
        <v>40288</v>
      </c>
      <c r="J3639">
        <v>4493.1099999999997</v>
      </c>
      <c r="K3639" s="4">
        <f t="shared" si="283"/>
        <v>44931.1</v>
      </c>
    </row>
    <row r="3640" spans="4:11" x14ac:dyDescent="0.35">
      <c r="D3640" s="1">
        <v>40353</v>
      </c>
      <c r="E3640">
        <v>1.7899</v>
      </c>
      <c r="I3640" s="1">
        <v>40287</v>
      </c>
      <c r="J3640">
        <v>4502.08</v>
      </c>
      <c r="K3640" s="4">
        <f t="shared" si="283"/>
        <v>45020.800000000003</v>
      </c>
    </row>
    <row r="3641" spans="4:11" x14ac:dyDescent="0.35">
      <c r="D3641" s="1">
        <v>40352</v>
      </c>
      <c r="E3641">
        <v>1.79</v>
      </c>
      <c r="I3641" s="1">
        <v>40284</v>
      </c>
      <c r="J3641">
        <v>4516.18</v>
      </c>
      <c r="K3641" s="4">
        <f t="shared" si="283"/>
        <v>45161.8</v>
      </c>
    </row>
    <row r="3642" spans="4:11" x14ac:dyDescent="0.35">
      <c r="D3642" s="1">
        <v>40351</v>
      </c>
      <c r="E3642">
        <v>1.7672000000000001</v>
      </c>
      <c r="I3642" s="1">
        <v>40283</v>
      </c>
      <c r="J3642">
        <v>4494.3999999999996</v>
      </c>
      <c r="K3642" s="4">
        <f t="shared" si="283"/>
        <v>44944</v>
      </c>
    </row>
    <row r="3643" spans="4:11" x14ac:dyDescent="0.35">
      <c r="D3643" s="1">
        <v>40350</v>
      </c>
      <c r="E3643">
        <v>1.7655000000000001</v>
      </c>
      <c r="I3643" s="1">
        <v>40282</v>
      </c>
      <c r="J3643">
        <v>4491.83</v>
      </c>
      <c r="K3643" s="4">
        <f t="shared" si="283"/>
        <v>44918.3</v>
      </c>
    </row>
    <row r="3644" spans="4:11" x14ac:dyDescent="0.35">
      <c r="D3644" s="1">
        <v>40347</v>
      </c>
      <c r="E3644">
        <v>1.7753000000000001</v>
      </c>
      <c r="I3644" s="1">
        <v>40281</v>
      </c>
      <c r="J3644">
        <v>4498.24</v>
      </c>
      <c r="K3644" s="4">
        <f t="shared" si="283"/>
        <v>44982.399999999994</v>
      </c>
    </row>
    <row r="3645" spans="4:11" x14ac:dyDescent="0.35">
      <c r="D3645" s="1">
        <v>40346</v>
      </c>
      <c r="E3645">
        <v>1.7808999999999999</v>
      </c>
      <c r="I3645" s="1">
        <v>40280</v>
      </c>
      <c r="J3645">
        <v>4511.05</v>
      </c>
      <c r="K3645" s="4">
        <f t="shared" si="283"/>
        <v>45110.5</v>
      </c>
    </row>
    <row r="3646" spans="4:11" x14ac:dyDescent="0.35">
      <c r="D3646" s="1">
        <v>40345</v>
      </c>
      <c r="E3646">
        <v>1.7885</v>
      </c>
      <c r="I3646" s="1">
        <v>40277</v>
      </c>
      <c r="J3646">
        <v>4539.24</v>
      </c>
      <c r="K3646" s="4">
        <f t="shared" si="283"/>
        <v>45392.399999999994</v>
      </c>
    </row>
    <row r="3647" spans="4:11" x14ac:dyDescent="0.35">
      <c r="D3647" s="1">
        <v>40344</v>
      </c>
      <c r="E3647">
        <v>1.7963</v>
      </c>
      <c r="I3647" s="1">
        <v>40276</v>
      </c>
      <c r="J3647">
        <v>4582.8</v>
      </c>
      <c r="K3647" s="4">
        <f t="shared" si="283"/>
        <v>45828</v>
      </c>
    </row>
    <row r="3648" spans="4:11" x14ac:dyDescent="0.35">
      <c r="D3648" s="1">
        <v>40343</v>
      </c>
      <c r="E3648">
        <v>1.8022</v>
      </c>
      <c r="I3648" s="1">
        <v>40275</v>
      </c>
      <c r="J3648">
        <v>4584.08</v>
      </c>
      <c r="K3648" s="4">
        <f t="shared" si="283"/>
        <v>45840.800000000003</v>
      </c>
    </row>
    <row r="3649" spans="4:11" x14ac:dyDescent="0.35">
      <c r="D3649" s="1">
        <v>40340</v>
      </c>
      <c r="E3649">
        <v>1.8117000000000001</v>
      </c>
      <c r="I3649" s="1">
        <v>40274</v>
      </c>
      <c r="J3649">
        <v>4513.6099999999997</v>
      </c>
      <c r="K3649" s="4">
        <f t="shared" si="283"/>
        <v>45136.1</v>
      </c>
    </row>
    <row r="3650" spans="4:11" x14ac:dyDescent="0.35">
      <c r="D3650" s="1">
        <v>40339</v>
      </c>
      <c r="E3650">
        <v>1.8177000000000001</v>
      </c>
      <c r="I3650" s="1">
        <v>40273</v>
      </c>
      <c r="J3650">
        <v>4539.24</v>
      </c>
      <c r="K3650" s="4">
        <f t="shared" si="283"/>
        <v>45392.399999999994</v>
      </c>
    </row>
    <row r="3651" spans="4:11" x14ac:dyDescent="0.35">
      <c r="D3651" s="1">
        <v>40338</v>
      </c>
      <c r="E3651">
        <v>1.8414999999999999</v>
      </c>
      <c r="I3651" s="1">
        <v>40269</v>
      </c>
      <c r="J3651">
        <v>4552.05</v>
      </c>
      <c r="K3651" s="4">
        <f t="shared" si="283"/>
        <v>45520.5</v>
      </c>
    </row>
    <row r="3652" spans="4:11" x14ac:dyDescent="0.35">
      <c r="D3652" s="1">
        <v>40337</v>
      </c>
      <c r="E3652">
        <v>1.865</v>
      </c>
      <c r="I3652" s="1">
        <v>40268</v>
      </c>
      <c r="J3652">
        <v>4591.7700000000004</v>
      </c>
      <c r="K3652" s="4">
        <f t="shared" si="283"/>
        <v>45917.700000000004</v>
      </c>
    </row>
    <row r="3653" spans="4:11" x14ac:dyDescent="0.35">
      <c r="D3653" s="1">
        <v>40336</v>
      </c>
      <c r="E3653">
        <v>1.8626</v>
      </c>
      <c r="I3653" s="1">
        <v>40267</v>
      </c>
      <c r="J3653">
        <v>4616.2700000000004</v>
      </c>
      <c r="K3653" s="4">
        <f t="shared" ref="K3653:K3716" si="284">J3653*10</f>
        <v>46162.700000000004</v>
      </c>
    </row>
    <row r="3654" spans="4:11" x14ac:dyDescent="0.35">
      <c r="D3654" s="1">
        <v>40333</v>
      </c>
      <c r="E3654">
        <v>1.8392999999999999</v>
      </c>
      <c r="I3654" s="1">
        <v>40266</v>
      </c>
      <c r="J3654">
        <v>4630.45</v>
      </c>
      <c r="K3654" s="4">
        <f t="shared" si="284"/>
        <v>46304.5</v>
      </c>
    </row>
    <row r="3655" spans="4:11" x14ac:dyDescent="0.35">
      <c r="D3655" s="1">
        <v>40331</v>
      </c>
      <c r="E3655">
        <v>1.8353999999999999</v>
      </c>
      <c r="I3655" s="1">
        <v>40263</v>
      </c>
      <c r="J3655">
        <v>4703.95</v>
      </c>
      <c r="K3655" s="4">
        <f t="shared" si="284"/>
        <v>47039.5</v>
      </c>
    </row>
    <row r="3656" spans="4:11" x14ac:dyDescent="0.35">
      <c r="D3656" s="1">
        <v>40330</v>
      </c>
      <c r="E3656">
        <v>1.8247</v>
      </c>
      <c r="I3656" s="1">
        <v>40262</v>
      </c>
      <c r="J3656">
        <v>4694.92</v>
      </c>
      <c r="K3656" s="4">
        <f t="shared" si="284"/>
        <v>46949.2</v>
      </c>
    </row>
    <row r="3657" spans="4:11" x14ac:dyDescent="0.35">
      <c r="D3657" s="1">
        <v>40329</v>
      </c>
      <c r="E3657">
        <v>1.8159000000000001</v>
      </c>
      <c r="I3657" s="1">
        <v>40261</v>
      </c>
      <c r="J3657">
        <v>4652.37</v>
      </c>
      <c r="K3657" s="4">
        <f t="shared" si="284"/>
        <v>46523.7</v>
      </c>
    </row>
    <row r="3658" spans="4:11" x14ac:dyDescent="0.35">
      <c r="D3658" s="1">
        <v>40326</v>
      </c>
      <c r="E3658">
        <v>1.8221000000000001</v>
      </c>
      <c r="I3658" s="1">
        <v>40260</v>
      </c>
      <c r="J3658">
        <v>4586.6099999999997</v>
      </c>
      <c r="K3658" s="4">
        <f t="shared" si="284"/>
        <v>45866.1</v>
      </c>
    </row>
    <row r="3659" spans="4:11" x14ac:dyDescent="0.35">
      <c r="D3659" s="1">
        <v>40325</v>
      </c>
      <c r="E3659">
        <v>1.8320000000000001</v>
      </c>
      <c r="I3659" s="1">
        <v>40259</v>
      </c>
      <c r="J3659">
        <v>4622.71</v>
      </c>
      <c r="K3659" s="4">
        <f t="shared" si="284"/>
        <v>46227.1</v>
      </c>
    </row>
    <row r="3660" spans="4:11" x14ac:dyDescent="0.35">
      <c r="D3660" s="1">
        <v>40324</v>
      </c>
      <c r="E3660">
        <v>1.8452999999999999</v>
      </c>
      <c r="I3660" s="1">
        <v>40256</v>
      </c>
      <c r="J3660">
        <v>4656.24</v>
      </c>
      <c r="K3660" s="4">
        <f t="shared" si="284"/>
        <v>46562.399999999994</v>
      </c>
    </row>
    <row r="3661" spans="4:11" x14ac:dyDescent="0.35">
      <c r="D3661" s="1">
        <v>40323</v>
      </c>
      <c r="E3661">
        <v>1.8803000000000001</v>
      </c>
      <c r="I3661" s="1">
        <v>40255</v>
      </c>
      <c r="J3661">
        <v>4629.16</v>
      </c>
      <c r="K3661" s="4">
        <f t="shared" si="284"/>
        <v>46291.6</v>
      </c>
    </row>
    <row r="3662" spans="4:11" x14ac:dyDescent="0.35">
      <c r="D3662" s="1">
        <v>40322</v>
      </c>
      <c r="E3662">
        <v>1.8513999999999999</v>
      </c>
      <c r="I3662" s="1">
        <v>40254</v>
      </c>
      <c r="J3662">
        <v>4564.6899999999996</v>
      </c>
      <c r="K3662" s="4">
        <f t="shared" si="284"/>
        <v>45646.899999999994</v>
      </c>
    </row>
    <row r="3663" spans="4:11" x14ac:dyDescent="0.35">
      <c r="D3663" s="1">
        <v>40319</v>
      </c>
      <c r="E3663">
        <v>1.8702000000000001</v>
      </c>
      <c r="I3663" s="1">
        <v>40253</v>
      </c>
      <c r="J3663">
        <v>4569.84</v>
      </c>
      <c r="K3663" s="4">
        <f t="shared" si="284"/>
        <v>45698.400000000001</v>
      </c>
    </row>
    <row r="3664" spans="4:11" x14ac:dyDescent="0.35">
      <c r="D3664" s="1">
        <v>40318</v>
      </c>
      <c r="E3664">
        <v>1.8669</v>
      </c>
      <c r="I3664" s="1">
        <v>40252</v>
      </c>
      <c r="J3664">
        <v>4567.2700000000004</v>
      </c>
      <c r="K3664" s="4">
        <f t="shared" si="284"/>
        <v>45672.700000000004</v>
      </c>
    </row>
    <row r="3665" spans="4:11" x14ac:dyDescent="0.35">
      <c r="D3665" s="1">
        <v>40317</v>
      </c>
      <c r="E3665">
        <v>1.8358000000000001</v>
      </c>
      <c r="I3665" s="1">
        <v>40249</v>
      </c>
      <c r="J3665">
        <v>4560.82</v>
      </c>
      <c r="K3665" s="4">
        <f t="shared" si="284"/>
        <v>45608.2</v>
      </c>
    </row>
    <row r="3666" spans="4:11" x14ac:dyDescent="0.35">
      <c r="D3666" s="1">
        <v>40316</v>
      </c>
      <c r="E3666">
        <v>1.7912999999999999</v>
      </c>
      <c r="I3666" s="1">
        <v>40248</v>
      </c>
      <c r="J3666">
        <v>4567.2700000000004</v>
      </c>
      <c r="K3666" s="4">
        <f t="shared" si="284"/>
        <v>45672.700000000004</v>
      </c>
    </row>
    <row r="3667" spans="4:11" x14ac:dyDescent="0.35">
      <c r="D3667" s="1">
        <v>40315</v>
      </c>
      <c r="E3667">
        <v>1.8037000000000001</v>
      </c>
      <c r="I3667" s="1">
        <v>40247</v>
      </c>
      <c r="J3667">
        <v>4585.32</v>
      </c>
      <c r="K3667" s="4">
        <f t="shared" si="284"/>
        <v>45853.2</v>
      </c>
    </row>
    <row r="3668" spans="4:11" x14ac:dyDescent="0.35">
      <c r="D3668" s="1">
        <v>40312</v>
      </c>
      <c r="E3668">
        <v>1.7959000000000001</v>
      </c>
      <c r="I3668" s="1">
        <v>40246</v>
      </c>
      <c r="J3668">
        <v>4598.21</v>
      </c>
      <c r="K3668" s="4">
        <f t="shared" si="284"/>
        <v>45982.1</v>
      </c>
    </row>
    <row r="3669" spans="4:11" x14ac:dyDescent="0.35">
      <c r="D3669" s="1">
        <v>40311</v>
      </c>
      <c r="E3669">
        <v>1.7728999999999999</v>
      </c>
      <c r="I3669" s="1">
        <v>40245</v>
      </c>
      <c r="J3669">
        <v>4631.74</v>
      </c>
      <c r="K3669" s="4">
        <f t="shared" si="284"/>
        <v>46317.399999999994</v>
      </c>
    </row>
    <row r="3670" spans="4:11" x14ac:dyDescent="0.35">
      <c r="D3670" s="1">
        <v>40310</v>
      </c>
      <c r="E3670">
        <v>1.7715000000000001</v>
      </c>
      <c r="I3670" s="1">
        <v>40242</v>
      </c>
      <c r="J3670">
        <v>4608.53</v>
      </c>
      <c r="K3670" s="4">
        <f t="shared" si="284"/>
        <v>46085.299999999996</v>
      </c>
    </row>
    <row r="3671" spans="4:11" x14ac:dyDescent="0.35">
      <c r="D3671" s="1">
        <v>40309</v>
      </c>
      <c r="E3671">
        <v>1.7835000000000001</v>
      </c>
      <c r="I3671" s="1">
        <v>40241</v>
      </c>
      <c r="J3671">
        <v>4638.1899999999996</v>
      </c>
      <c r="K3671" s="4">
        <f t="shared" si="284"/>
        <v>46381.899999999994</v>
      </c>
    </row>
    <row r="3672" spans="4:11" x14ac:dyDescent="0.35">
      <c r="D3672" s="1">
        <v>40308</v>
      </c>
      <c r="E3672">
        <v>1.7825</v>
      </c>
      <c r="I3672" s="1">
        <v>40240</v>
      </c>
      <c r="J3672">
        <v>4648.5</v>
      </c>
      <c r="K3672" s="4">
        <f t="shared" si="284"/>
        <v>46485</v>
      </c>
    </row>
    <row r="3673" spans="4:11" x14ac:dyDescent="0.35">
      <c r="D3673" s="1">
        <v>40305</v>
      </c>
      <c r="E3673">
        <v>1.8334999999999999</v>
      </c>
      <c r="I3673" s="1">
        <v>40239</v>
      </c>
      <c r="J3673">
        <v>4649.79</v>
      </c>
      <c r="K3673" s="4">
        <f t="shared" si="284"/>
        <v>46497.9</v>
      </c>
    </row>
    <row r="3674" spans="4:11" x14ac:dyDescent="0.35">
      <c r="D3674" s="1">
        <v>40304</v>
      </c>
      <c r="E3674">
        <v>1.8345</v>
      </c>
      <c r="I3674" s="1">
        <v>40238</v>
      </c>
      <c r="J3674">
        <v>4665.26</v>
      </c>
      <c r="K3674" s="4">
        <f t="shared" si="284"/>
        <v>46652.600000000006</v>
      </c>
    </row>
    <row r="3675" spans="4:11" x14ac:dyDescent="0.35">
      <c r="D3675" s="1">
        <v>40303</v>
      </c>
      <c r="E3675">
        <v>1.7854000000000001</v>
      </c>
      <c r="I3675" s="1">
        <v>40235</v>
      </c>
      <c r="J3675">
        <v>4689.76</v>
      </c>
      <c r="K3675" s="4">
        <f t="shared" si="284"/>
        <v>46897.600000000006</v>
      </c>
    </row>
    <row r="3676" spans="4:11" x14ac:dyDescent="0.35">
      <c r="D3676" s="1">
        <v>40302</v>
      </c>
      <c r="E3676">
        <v>1.7548999999999999</v>
      </c>
      <c r="I3676" s="1">
        <v>40234</v>
      </c>
      <c r="J3676">
        <v>4728.63</v>
      </c>
      <c r="K3676" s="4">
        <f t="shared" si="284"/>
        <v>47286.3</v>
      </c>
    </row>
    <row r="3677" spans="4:11" x14ac:dyDescent="0.35">
      <c r="D3677" s="1">
        <v>40301</v>
      </c>
      <c r="E3677">
        <v>1.7306999999999999</v>
      </c>
      <c r="I3677" s="1">
        <v>40233</v>
      </c>
      <c r="J3677">
        <v>4731.22</v>
      </c>
      <c r="K3677" s="4">
        <f t="shared" si="284"/>
        <v>47312.200000000004</v>
      </c>
    </row>
    <row r="3678" spans="4:11" x14ac:dyDescent="0.35">
      <c r="D3678" s="1">
        <v>40298</v>
      </c>
      <c r="E3678">
        <v>1.7298</v>
      </c>
      <c r="I3678" s="1">
        <v>40232</v>
      </c>
      <c r="J3678">
        <v>4736.3999999999996</v>
      </c>
      <c r="K3678" s="4">
        <f t="shared" si="284"/>
        <v>47364</v>
      </c>
    </row>
    <row r="3679" spans="4:11" x14ac:dyDescent="0.35">
      <c r="D3679" s="1">
        <v>40297</v>
      </c>
      <c r="E3679">
        <v>1.7313000000000001</v>
      </c>
      <c r="I3679" s="1">
        <v>40231</v>
      </c>
      <c r="J3679">
        <v>4697.54</v>
      </c>
      <c r="K3679" s="4">
        <f t="shared" si="284"/>
        <v>46975.4</v>
      </c>
    </row>
    <row r="3680" spans="4:11" x14ac:dyDescent="0.35">
      <c r="D3680" s="1">
        <v>40296</v>
      </c>
      <c r="E3680">
        <v>1.7549999999999999</v>
      </c>
      <c r="I3680" s="1">
        <v>40228</v>
      </c>
      <c r="J3680">
        <v>4674.22</v>
      </c>
      <c r="K3680" s="4">
        <f t="shared" si="284"/>
        <v>46742.200000000004</v>
      </c>
    </row>
    <row r="3681" spans="4:11" x14ac:dyDescent="0.35">
      <c r="D3681" s="1">
        <v>40295</v>
      </c>
      <c r="E3681">
        <v>1.7584</v>
      </c>
      <c r="I3681" s="1">
        <v>40227</v>
      </c>
      <c r="J3681">
        <v>4700.13</v>
      </c>
      <c r="K3681" s="4">
        <f t="shared" si="284"/>
        <v>47001.3</v>
      </c>
    </row>
    <row r="3682" spans="4:11" x14ac:dyDescent="0.35">
      <c r="D3682" s="1">
        <v>40294</v>
      </c>
      <c r="E3682">
        <v>1.7438</v>
      </c>
      <c r="I3682" s="1">
        <v>40226</v>
      </c>
      <c r="J3682">
        <v>4748.0600000000004</v>
      </c>
      <c r="K3682" s="4">
        <f t="shared" si="284"/>
        <v>47480.600000000006</v>
      </c>
    </row>
    <row r="3683" spans="4:11" x14ac:dyDescent="0.35">
      <c r="D3683" s="1">
        <v>40291</v>
      </c>
      <c r="E3683">
        <v>1.7616000000000001</v>
      </c>
      <c r="I3683" s="1">
        <v>40221</v>
      </c>
      <c r="J3683">
        <v>4825.79</v>
      </c>
      <c r="K3683" s="4">
        <f t="shared" si="284"/>
        <v>48257.9</v>
      </c>
    </row>
    <row r="3684" spans="4:11" x14ac:dyDescent="0.35">
      <c r="D3684" s="1">
        <v>40290</v>
      </c>
      <c r="E3684">
        <v>1.7618</v>
      </c>
      <c r="I3684" s="1">
        <v>40220</v>
      </c>
      <c r="J3684">
        <v>4792.1099999999997</v>
      </c>
      <c r="K3684" s="4">
        <f t="shared" si="284"/>
        <v>47921.1</v>
      </c>
    </row>
    <row r="3685" spans="4:11" x14ac:dyDescent="0.35">
      <c r="D3685" s="1">
        <v>40288</v>
      </c>
      <c r="E3685">
        <v>1.7488999999999999</v>
      </c>
      <c r="I3685" s="1">
        <v>40219</v>
      </c>
      <c r="J3685">
        <v>4827.09</v>
      </c>
      <c r="K3685" s="4">
        <f t="shared" si="284"/>
        <v>48270.9</v>
      </c>
    </row>
    <row r="3686" spans="4:11" x14ac:dyDescent="0.35">
      <c r="D3686" s="1">
        <v>40287</v>
      </c>
      <c r="E3686">
        <v>1.758</v>
      </c>
      <c r="I3686" s="1">
        <v>40218</v>
      </c>
      <c r="J3686">
        <v>4806.3599999999997</v>
      </c>
      <c r="K3686" s="4">
        <f t="shared" si="284"/>
        <v>48063.6</v>
      </c>
    </row>
    <row r="3687" spans="4:11" x14ac:dyDescent="0.35">
      <c r="D3687" s="1">
        <v>40284</v>
      </c>
      <c r="E3687">
        <v>1.7549999999999999</v>
      </c>
      <c r="I3687" s="1">
        <v>40217</v>
      </c>
      <c r="J3687">
        <v>4873.7299999999996</v>
      </c>
      <c r="K3687" s="4">
        <f t="shared" si="284"/>
        <v>48737.299999999996</v>
      </c>
    </row>
    <row r="3688" spans="4:11" x14ac:dyDescent="0.35">
      <c r="D3688" s="1">
        <v>40283</v>
      </c>
      <c r="E3688">
        <v>1.7475000000000001</v>
      </c>
      <c r="I3688" s="1">
        <v>40214</v>
      </c>
      <c r="J3688">
        <v>4898.34</v>
      </c>
      <c r="K3688" s="4">
        <f t="shared" si="284"/>
        <v>48983.4</v>
      </c>
    </row>
    <row r="3689" spans="4:11" x14ac:dyDescent="0.35">
      <c r="D3689" s="1">
        <v>40282</v>
      </c>
      <c r="E3689">
        <v>1.7438</v>
      </c>
      <c r="I3689" s="1">
        <v>40213</v>
      </c>
      <c r="J3689">
        <v>4862.2299999999996</v>
      </c>
      <c r="K3689" s="4">
        <f t="shared" si="284"/>
        <v>48622.299999999996</v>
      </c>
    </row>
    <row r="3690" spans="4:11" x14ac:dyDescent="0.35">
      <c r="D3690" s="1">
        <v>40281</v>
      </c>
      <c r="E3690">
        <v>1.7576000000000001</v>
      </c>
      <c r="I3690" s="1">
        <v>40212</v>
      </c>
      <c r="J3690">
        <v>4800.32</v>
      </c>
      <c r="K3690" s="4">
        <f t="shared" si="284"/>
        <v>48003.199999999997</v>
      </c>
    </row>
    <row r="3691" spans="4:11" x14ac:dyDescent="0.35">
      <c r="D3691" s="1">
        <v>40280</v>
      </c>
      <c r="E3691">
        <v>1.76</v>
      </c>
      <c r="I3691" s="1">
        <v>40211</v>
      </c>
      <c r="J3691">
        <v>4741</v>
      </c>
      <c r="K3691" s="4">
        <f t="shared" si="284"/>
        <v>47410</v>
      </c>
    </row>
    <row r="3692" spans="4:11" x14ac:dyDescent="0.35">
      <c r="D3692" s="1">
        <v>40277</v>
      </c>
      <c r="E3692">
        <v>1.7722</v>
      </c>
      <c r="I3692" s="1">
        <v>40210</v>
      </c>
      <c r="J3692">
        <v>4787.43</v>
      </c>
      <c r="K3692" s="4">
        <f t="shared" si="284"/>
        <v>47874.3</v>
      </c>
    </row>
    <row r="3693" spans="4:11" x14ac:dyDescent="0.35">
      <c r="D3693" s="1">
        <v>40276</v>
      </c>
      <c r="E3693">
        <v>1.7798</v>
      </c>
      <c r="I3693" s="1">
        <v>40207</v>
      </c>
      <c r="J3693">
        <v>4916.3999999999996</v>
      </c>
      <c r="K3693" s="4">
        <f t="shared" si="284"/>
        <v>49164</v>
      </c>
    </row>
    <row r="3694" spans="4:11" x14ac:dyDescent="0.35">
      <c r="D3694" s="1">
        <v>40275</v>
      </c>
      <c r="E3694">
        <v>1.7654000000000001</v>
      </c>
      <c r="I3694" s="1">
        <v>40206</v>
      </c>
      <c r="J3694">
        <v>4909.8500000000004</v>
      </c>
      <c r="K3694" s="4">
        <f t="shared" si="284"/>
        <v>49098.5</v>
      </c>
    </row>
    <row r="3695" spans="4:11" x14ac:dyDescent="0.35">
      <c r="D3695" s="1">
        <v>40274</v>
      </c>
      <c r="E3695">
        <v>1.7597</v>
      </c>
      <c r="I3695" s="1">
        <v>40205</v>
      </c>
      <c r="J3695">
        <v>4873.1499999999996</v>
      </c>
      <c r="K3695" s="4">
        <f t="shared" si="284"/>
        <v>48731.5</v>
      </c>
    </row>
    <row r="3696" spans="4:11" x14ac:dyDescent="0.35">
      <c r="D3696" s="1">
        <v>40273</v>
      </c>
      <c r="E3696">
        <v>1.7565</v>
      </c>
      <c r="I3696" s="1">
        <v>40204</v>
      </c>
      <c r="J3696">
        <v>4815.4799999999996</v>
      </c>
      <c r="K3696" s="4">
        <f t="shared" si="284"/>
        <v>48154.799999999996</v>
      </c>
    </row>
    <row r="3697" spans="4:11" x14ac:dyDescent="0.35">
      <c r="D3697" s="1">
        <v>40269</v>
      </c>
      <c r="E3697">
        <v>1.7693000000000001</v>
      </c>
      <c r="I3697" s="1">
        <v>40200</v>
      </c>
      <c r="J3697">
        <v>4790.57</v>
      </c>
      <c r="K3697" s="4">
        <f t="shared" si="284"/>
        <v>47905.7</v>
      </c>
    </row>
    <row r="3698" spans="4:11" x14ac:dyDescent="0.35">
      <c r="D3698" s="1">
        <v>40268</v>
      </c>
      <c r="E3698">
        <v>1.7802</v>
      </c>
      <c r="I3698" s="1">
        <v>40199</v>
      </c>
      <c r="J3698">
        <v>4749.9399999999996</v>
      </c>
      <c r="K3698" s="4">
        <f t="shared" si="284"/>
        <v>47499.399999999994</v>
      </c>
    </row>
    <row r="3699" spans="4:11" x14ac:dyDescent="0.35">
      <c r="D3699" s="1">
        <v>40267</v>
      </c>
      <c r="E3699">
        <v>1.7944</v>
      </c>
      <c r="I3699" s="1">
        <v>40198</v>
      </c>
      <c r="J3699">
        <v>4700.13</v>
      </c>
      <c r="K3699" s="4">
        <f t="shared" si="284"/>
        <v>47001.3</v>
      </c>
    </row>
    <row r="3700" spans="4:11" x14ac:dyDescent="0.35">
      <c r="D3700" s="1">
        <v>40266</v>
      </c>
      <c r="E3700">
        <v>1.8056000000000001</v>
      </c>
      <c r="I3700" s="1">
        <v>40197</v>
      </c>
      <c r="J3700">
        <v>4650.33</v>
      </c>
      <c r="K3700" s="4">
        <f t="shared" si="284"/>
        <v>46503.3</v>
      </c>
    </row>
    <row r="3701" spans="4:11" x14ac:dyDescent="0.35">
      <c r="D3701" s="1">
        <v>40263</v>
      </c>
      <c r="E3701">
        <v>1.8223</v>
      </c>
      <c r="I3701" s="1">
        <v>40196</v>
      </c>
      <c r="J3701">
        <v>4643.7700000000004</v>
      </c>
      <c r="K3701" s="4">
        <f t="shared" si="284"/>
        <v>46437.700000000004</v>
      </c>
    </row>
    <row r="3702" spans="4:11" x14ac:dyDescent="0.35">
      <c r="D3702" s="1">
        <v>40262</v>
      </c>
      <c r="E3702">
        <v>1.8</v>
      </c>
      <c r="I3702" s="1">
        <v>40193</v>
      </c>
      <c r="J3702">
        <v>4655.57</v>
      </c>
      <c r="K3702" s="4">
        <f t="shared" si="284"/>
        <v>46555.7</v>
      </c>
    </row>
    <row r="3703" spans="4:11" x14ac:dyDescent="0.35">
      <c r="D3703" s="1">
        <v>40261</v>
      </c>
      <c r="E3703">
        <v>1.7896000000000001</v>
      </c>
      <c r="I3703" s="1">
        <v>40192</v>
      </c>
      <c r="J3703">
        <v>4618.87</v>
      </c>
      <c r="K3703" s="4">
        <f t="shared" si="284"/>
        <v>46188.7</v>
      </c>
    </row>
    <row r="3704" spans="4:11" x14ac:dyDescent="0.35">
      <c r="D3704" s="1">
        <v>40260</v>
      </c>
      <c r="E3704">
        <v>1.7805</v>
      </c>
      <c r="I3704" s="1">
        <v>40191</v>
      </c>
      <c r="J3704">
        <v>4621.49</v>
      </c>
      <c r="K3704" s="4">
        <f t="shared" si="284"/>
        <v>46214.899999999994</v>
      </c>
    </row>
    <row r="3705" spans="4:11" x14ac:dyDescent="0.35">
      <c r="D3705" s="1">
        <v>40259</v>
      </c>
      <c r="E3705">
        <v>1.8022</v>
      </c>
      <c r="I3705" s="1">
        <v>40190</v>
      </c>
      <c r="J3705">
        <v>4595.28</v>
      </c>
      <c r="K3705" s="4">
        <f t="shared" si="284"/>
        <v>45952.799999999996</v>
      </c>
    </row>
    <row r="3706" spans="4:11" x14ac:dyDescent="0.35">
      <c r="D3706" s="1">
        <v>40256</v>
      </c>
      <c r="E3706">
        <v>1.7946</v>
      </c>
      <c r="I3706" s="1">
        <v>40189</v>
      </c>
      <c r="J3706">
        <v>4571.6899999999996</v>
      </c>
      <c r="K3706" s="4">
        <f t="shared" si="284"/>
        <v>45716.899999999994</v>
      </c>
    </row>
    <row r="3707" spans="4:11" x14ac:dyDescent="0.35">
      <c r="D3707" s="1">
        <v>40255</v>
      </c>
      <c r="E3707">
        <v>1.784</v>
      </c>
      <c r="I3707" s="1">
        <v>40186</v>
      </c>
      <c r="J3707">
        <v>4545.47</v>
      </c>
      <c r="K3707" s="4">
        <f t="shared" si="284"/>
        <v>45454.700000000004</v>
      </c>
    </row>
    <row r="3708" spans="4:11" x14ac:dyDescent="0.35">
      <c r="D3708" s="1">
        <v>40254</v>
      </c>
      <c r="E3708">
        <v>1.7632000000000001</v>
      </c>
      <c r="I3708" s="1">
        <v>40185</v>
      </c>
      <c r="J3708">
        <v>4605.76</v>
      </c>
      <c r="K3708" s="4">
        <f t="shared" si="284"/>
        <v>46057.600000000006</v>
      </c>
    </row>
    <row r="3709" spans="4:11" x14ac:dyDescent="0.35">
      <c r="D3709" s="1">
        <v>40253</v>
      </c>
      <c r="E3709">
        <v>1.7658</v>
      </c>
      <c r="I3709" s="1">
        <v>40184</v>
      </c>
      <c r="J3709">
        <v>4550.72</v>
      </c>
      <c r="K3709" s="4">
        <f t="shared" si="284"/>
        <v>45507.200000000004</v>
      </c>
    </row>
    <row r="3710" spans="4:11" x14ac:dyDescent="0.35">
      <c r="D3710" s="1">
        <v>40252</v>
      </c>
      <c r="E3710">
        <v>1.7636000000000001</v>
      </c>
      <c r="I3710" s="1">
        <v>40183</v>
      </c>
      <c r="J3710">
        <v>4573</v>
      </c>
      <c r="K3710" s="4">
        <f t="shared" si="284"/>
        <v>45730</v>
      </c>
    </row>
    <row r="3711" spans="4:11" x14ac:dyDescent="0.35">
      <c r="D3711" s="1">
        <v>40249</v>
      </c>
      <c r="E3711">
        <v>1.7628999999999999</v>
      </c>
      <c r="I3711" s="1">
        <v>40182</v>
      </c>
      <c r="J3711">
        <v>4542.8500000000004</v>
      </c>
      <c r="K3711" s="4">
        <f t="shared" si="284"/>
        <v>45428.5</v>
      </c>
    </row>
    <row r="3712" spans="4:11" x14ac:dyDescent="0.35">
      <c r="D3712" s="1">
        <v>40248</v>
      </c>
      <c r="E3712">
        <v>1.7685</v>
      </c>
      <c r="I3712" s="1">
        <v>40177</v>
      </c>
      <c r="J3712">
        <v>4603.1400000000003</v>
      </c>
      <c r="K3712" s="4">
        <f t="shared" si="284"/>
        <v>46031.4</v>
      </c>
    </row>
    <row r="3713" spans="4:11" x14ac:dyDescent="0.35">
      <c r="D3713" s="1">
        <v>40247</v>
      </c>
      <c r="E3713">
        <v>1.7707999999999999</v>
      </c>
      <c r="I3713" s="1">
        <v>40176</v>
      </c>
      <c r="J3713">
        <v>4599.18</v>
      </c>
      <c r="K3713" s="4">
        <f t="shared" si="284"/>
        <v>45991.8</v>
      </c>
    </row>
    <row r="3714" spans="4:11" x14ac:dyDescent="0.35">
      <c r="D3714" s="1">
        <v>40246</v>
      </c>
      <c r="E3714">
        <v>1.7890999999999999</v>
      </c>
      <c r="I3714" s="1">
        <v>40175</v>
      </c>
      <c r="J3714">
        <v>4607.1099999999997</v>
      </c>
      <c r="K3714" s="4">
        <f t="shared" si="284"/>
        <v>46071.1</v>
      </c>
    </row>
    <row r="3715" spans="4:11" x14ac:dyDescent="0.35">
      <c r="D3715" s="1">
        <v>40245</v>
      </c>
      <c r="E3715">
        <v>1.7818000000000001</v>
      </c>
      <c r="I3715" s="1">
        <v>40170</v>
      </c>
      <c r="J3715">
        <v>4652.04</v>
      </c>
      <c r="K3715" s="4">
        <f t="shared" si="284"/>
        <v>46520.4</v>
      </c>
    </row>
    <row r="3716" spans="4:11" x14ac:dyDescent="0.35">
      <c r="D3716" s="1">
        <v>40242</v>
      </c>
      <c r="E3716">
        <v>1.7816000000000001</v>
      </c>
      <c r="I3716" s="1">
        <v>40169</v>
      </c>
      <c r="J3716">
        <v>4710.1899999999996</v>
      </c>
      <c r="K3716" s="4">
        <f t="shared" si="284"/>
        <v>47101.899999999994</v>
      </c>
    </row>
    <row r="3717" spans="4:11" x14ac:dyDescent="0.35">
      <c r="D3717" s="1">
        <v>40241</v>
      </c>
      <c r="E3717">
        <v>1.788</v>
      </c>
      <c r="I3717" s="1">
        <v>40168</v>
      </c>
      <c r="J3717">
        <v>4727.37</v>
      </c>
      <c r="K3717" s="4">
        <f t="shared" ref="K3717:K3780" si="285">J3717*10</f>
        <v>47273.7</v>
      </c>
    </row>
    <row r="3718" spans="4:11" x14ac:dyDescent="0.35">
      <c r="D3718" s="1">
        <v>40240</v>
      </c>
      <c r="E3718">
        <v>1.7838000000000001</v>
      </c>
      <c r="I3718" s="1">
        <v>40165</v>
      </c>
      <c r="J3718">
        <v>4712.84</v>
      </c>
      <c r="K3718" s="4">
        <f t="shared" si="285"/>
        <v>47128.4</v>
      </c>
    </row>
    <row r="3719" spans="4:11" x14ac:dyDescent="0.35">
      <c r="D3719" s="1">
        <v>40239</v>
      </c>
      <c r="E3719">
        <v>1.7843</v>
      </c>
      <c r="I3719" s="1">
        <v>40164</v>
      </c>
      <c r="J3719">
        <v>4723.41</v>
      </c>
      <c r="K3719" s="4">
        <f t="shared" si="285"/>
        <v>47234.1</v>
      </c>
    </row>
    <row r="3720" spans="4:11" x14ac:dyDescent="0.35">
      <c r="D3720" s="1">
        <v>40238</v>
      </c>
      <c r="E3720">
        <v>1.7991999999999999</v>
      </c>
      <c r="I3720" s="1">
        <v>40163</v>
      </c>
      <c r="J3720">
        <v>4646.76</v>
      </c>
      <c r="K3720" s="4">
        <f t="shared" si="285"/>
        <v>46467.600000000006</v>
      </c>
    </row>
    <row r="3721" spans="4:11" x14ac:dyDescent="0.35">
      <c r="D3721" s="1">
        <v>40235</v>
      </c>
      <c r="E3721">
        <v>1.8102</v>
      </c>
      <c r="I3721" s="1">
        <v>40162</v>
      </c>
      <c r="J3721">
        <v>4644.1099999999997</v>
      </c>
      <c r="K3721" s="4">
        <f t="shared" si="285"/>
        <v>46441.1</v>
      </c>
    </row>
    <row r="3722" spans="4:11" x14ac:dyDescent="0.35">
      <c r="D3722" s="1">
        <v>40234</v>
      </c>
      <c r="E3722">
        <v>1.8355999999999999</v>
      </c>
      <c r="I3722" s="1">
        <v>40161</v>
      </c>
      <c r="J3722">
        <v>4625.6099999999997</v>
      </c>
      <c r="K3722" s="4">
        <f t="shared" si="285"/>
        <v>46256.1</v>
      </c>
    </row>
    <row r="3723" spans="4:11" x14ac:dyDescent="0.35">
      <c r="D3723" s="1">
        <v>40233</v>
      </c>
      <c r="E3723">
        <v>1.8194999999999999</v>
      </c>
      <c r="I3723" s="1">
        <v>40158</v>
      </c>
      <c r="J3723">
        <v>4671.88</v>
      </c>
      <c r="K3723" s="4">
        <f t="shared" si="285"/>
        <v>46718.8</v>
      </c>
    </row>
    <row r="3724" spans="4:11" x14ac:dyDescent="0.35">
      <c r="D3724" s="1">
        <v>40232</v>
      </c>
      <c r="E3724">
        <v>1.8178000000000001</v>
      </c>
      <c r="I3724" s="1">
        <v>40157</v>
      </c>
      <c r="J3724">
        <v>4661.3</v>
      </c>
      <c r="K3724" s="4">
        <f t="shared" si="285"/>
        <v>46613</v>
      </c>
    </row>
    <row r="3725" spans="4:11" x14ac:dyDescent="0.35">
      <c r="D3725" s="1">
        <v>40231</v>
      </c>
      <c r="E3725">
        <v>1.8038000000000001</v>
      </c>
      <c r="I3725" s="1">
        <v>40156</v>
      </c>
      <c r="J3725">
        <v>4679.8100000000004</v>
      </c>
      <c r="K3725" s="4">
        <f t="shared" si="285"/>
        <v>46798.100000000006</v>
      </c>
    </row>
    <row r="3726" spans="4:11" x14ac:dyDescent="0.35">
      <c r="D3726" s="1">
        <v>40228</v>
      </c>
      <c r="E3726">
        <v>1.8108</v>
      </c>
      <c r="I3726" s="1">
        <v>40155</v>
      </c>
      <c r="J3726">
        <v>4686.42</v>
      </c>
      <c r="K3726" s="4">
        <f t="shared" si="285"/>
        <v>46864.2</v>
      </c>
    </row>
    <row r="3727" spans="4:11" x14ac:dyDescent="0.35">
      <c r="D3727" s="1">
        <v>40227</v>
      </c>
      <c r="E3727">
        <v>1.8258000000000001</v>
      </c>
      <c r="I3727" s="1">
        <v>40154</v>
      </c>
      <c r="J3727">
        <v>4600.49</v>
      </c>
      <c r="K3727" s="4">
        <f t="shared" si="285"/>
        <v>46004.899999999994</v>
      </c>
    </row>
    <row r="3728" spans="4:11" x14ac:dyDescent="0.35">
      <c r="D3728" s="1">
        <v>40226</v>
      </c>
      <c r="E3728">
        <v>1.8305</v>
      </c>
      <c r="I3728" s="1">
        <v>40151</v>
      </c>
      <c r="J3728">
        <v>4601.82</v>
      </c>
      <c r="K3728" s="4">
        <f t="shared" si="285"/>
        <v>46018.2</v>
      </c>
    </row>
    <row r="3729" spans="4:11" x14ac:dyDescent="0.35">
      <c r="D3729" s="1">
        <v>40221</v>
      </c>
      <c r="E3729">
        <v>1.8662000000000001</v>
      </c>
      <c r="I3729" s="1">
        <v>40150</v>
      </c>
      <c r="J3729">
        <v>4547.6099999999997</v>
      </c>
      <c r="K3729" s="4">
        <f t="shared" si="285"/>
        <v>45476.1</v>
      </c>
    </row>
    <row r="3730" spans="4:11" x14ac:dyDescent="0.35">
      <c r="D3730" s="1">
        <v>40220</v>
      </c>
      <c r="E3730">
        <v>1.8508</v>
      </c>
      <c r="I3730" s="1">
        <v>40149</v>
      </c>
      <c r="J3730">
        <v>4568.7700000000004</v>
      </c>
      <c r="K3730" s="4">
        <f t="shared" si="285"/>
        <v>45687.700000000004</v>
      </c>
    </row>
    <row r="3731" spans="4:11" x14ac:dyDescent="0.35">
      <c r="D3731" s="1">
        <v>40219</v>
      </c>
      <c r="E3731">
        <v>1.8474999999999999</v>
      </c>
      <c r="I3731" s="1">
        <v>40148</v>
      </c>
      <c r="J3731">
        <v>4576.7</v>
      </c>
      <c r="K3731" s="4">
        <f t="shared" si="285"/>
        <v>45767</v>
      </c>
    </row>
    <row r="3732" spans="4:11" x14ac:dyDescent="0.35">
      <c r="D3732" s="1">
        <v>40218</v>
      </c>
      <c r="E3732">
        <v>1.8542000000000001</v>
      </c>
      <c r="I3732" s="1">
        <v>40147</v>
      </c>
      <c r="J3732">
        <v>4671.88</v>
      </c>
      <c r="K3732" s="4">
        <f t="shared" si="285"/>
        <v>46718.8</v>
      </c>
    </row>
    <row r="3733" spans="4:11" x14ac:dyDescent="0.35">
      <c r="D3733" s="1">
        <v>40217</v>
      </c>
      <c r="E3733">
        <v>1.8722000000000001</v>
      </c>
      <c r="I3733" s="1">
        <v>40144</v>
      </c>
      <c r="J3733">
        <v>4641.2299999999996</v>
      </c>
      <c r="K3733" s="4">
        <f t="shared" si="285"/>
        <v>46412.299999999996</v>
      </c>
    </row>
    <row r="3734" spans="4:11" x14ac:dyDescent="0.35">
      <c r="D3734" s="1">
        <v>40214</v>
      </c>
      <c r="E3734">
        <v>1.8745000000000001</v>
      </c>
      <c r="I3734" s="1">
        <v>40143</v>
      </c>
      <c r="J3734">
        <v>4658.55</v>
      </c>
      <c r="K3734" s="4">
        <f t="shared" si="285"/>
        <v>46585.5</v>
      </c>
    </row>
    <row r="3735" spans="4:11" x14ac:dyDescent="0.35">
      <c r="D3735" s="1">
        <v>40213</v>
      </c>
      <c r="E3735">
        <v>1.8707</v>
      </c>
      <c r="I3735" s="1">
        <v>40142</v>
      </c>
      <c r="J3735">
        <v>4595.93</v>
      </c>
      <c r="K3735" s="4">
        <f t="shared" si="285"/>
        <v>45959.3</v>
      </c>
    </row>
    <row r="3736" spans="4:11" x14ac:dyDescent="0.35">
      <c r="D3736" s="1">
        <v>40212</v>
      </c>
      <c r="E3736">
        <v>1.8329</v>
      </c>
      <c r="I3736" s="1">
        <v>40141</v>
      </c>
      <c r="J3736">
        <v>4626.57</v>
      </c>
      <c r="K3736" s="4">
        <f t="shared" si="285"/>
        <v>46265.7</v>
      </c>
    </row>
    <row r="3737" spans="4:11" x14ac:dyDescent="0.35">
      <c r="D3737" s="1">
        <v>40211</v>
      </c>
      <c r="E3737">
        <v>1.8354999999999999</v>
      </c>
      <c r="I3737" s="1">
        <v>40140</v>
      </c>
      <c r="J3737">
        <v>4613.25</v>
      </c>
      <c r="K3737" s="4">
        <f t="shared" si="285"/>
        <v>46132.5</v>
      </c>
    </row>
    <row r="3738" spans="4:11" x14ac:dyDescent="0.35">
      <c r="D3738" s="1">
        <v>40210</v>
      </c>
      <c r="E3738">
        <v>1.8765000000000001</v>
      </c>
      <c r="I3738" s="1">
        <v>40136</v>
      </c>
      <c r="J3738">
        <v>4619.91</v>
      </c>
      <c r="K3738" s="4">
        <f t="shared" si="285"/>
        <v>46199.1</v>
      </c>
    </row>
    <row r="3739" spans="4:11" x14ac:dyDescent="0.35">
      <c r="D3739" s="1">
        <v>40207</v>
      </c>
      <c r="E3739">
        <v>1.8740000000000001</v>
      </c>
      <c r="I3739" s="1">
        <v>40135</v>
      </c>
      <c r="J3739">
        <v>4614.58</v>
      </c>
      <c r="K3739" s="4">
        <f t="shared" si="285"/>
        <v>46145.8</v>
      </c>
    </row>
    <row r="3740" spans="4:11" x14ac:dyDescent="0.35">
      <c r="D3740" s="1">
        <v>40206</v>
      </c>
      <c r="E3740">
        <v>1.8552</v>
      </c>
      <c r="I3740" s="1">
        <v>40134</v>
      </c>
      <c r="J3740">
        <v>4578.6000000000004</v>
      </c>
      <c r="K3740" s="4">
        <f t="shared" si="285"/>
        <v>45786</v>
      </c>
    </row>
    <row r="3741" spans="4:11" x14ac:dyDescent="0.35">
      <c r="D3741" s="1">
        <v>40205</v>
      </c>
      <c r="E3741">
        <v>1.8505</v>
      </c>
      <c r="I3741" s="1">
        <v>40133</v>
      </c>
      <c r="J3741">
        <v>4574.6000000000004</v>
      </c>
      <c r="K3741" s="4">
        <f t="shared" si="285"/>
        <v>45746</v>
      </c>
    </row>
    <row r="3742" spans="4:11" x14ac:dyDescent="0.35">
      <c r="D3742" s="1">
        <v>40204</v>
      </c>
      <c r="E3742">
        <v>1.8359000000000001</v>
      </c>
      <c r="I3742" s="1">
        <v>40130</v>
      </c>
      <c r="J3742">
        <v>4602.59</v>
      </c>
      <c r="K3742" s="4">
        <f t="shared" si="285"/>
        <v>46025.9</v>
      </c>
    </row>
    <row r="3743" spans="4:11" x14ac:dyDescent="0.35">
      <c r="D3743" s="1">
        <v>40203</v>
      </c>
      <c r="E3743">
        <v>1.8186</v>
      </c>
      <c r="I3743" s="1">
        <v>40129</v>
      </c>
      <c r="J3743">
        <v>4642.5600000000004</v>
      </c>
      <c r="K3743" s="4">
        <f t="shared" si="285"/>
        <v>46425.600000000006</v>
      </c>
    </row>
    <row r="3744" spans="4:11" x14ac:dyDescent="0.35">
      <c r="D3744" s="1">
        <v>40200</v>
      </c>
      <c r="E3744">
        <v>1.8179000000000001</v>
      </c>
      <c r="I3744" s="1">
        <v>40128</v>
      </c>
      <c r="J3744">
        <v>4597.26</v>
      </c>
      <c r="K3744" s="4">
        <f t="shared" si="285"/>
        <v>45972.600000000006</v>
      </c>
    </row>
    <row r="3745" spans="4:11" x14ac:dyDescent="0.35">
      <c r="D3745" s="1">
        <v>40199</v>
      </c>
      <c r="E3745">
        <v>1.7895000000000001</v>
      </c>
      <c r="I3745" s="1">
        <v>40127</v>
      </c>
      <c r="J3745">
        <v>4570.6099999999997</v>
      </c>
      <c r="K3745" s="4">
        <f t="shared" si="285"/>
        <v>45706.1</v>
      </c>
    </row>
    <row r="3746" spans="4:11" x14ac:dyDescent="0.35">
      <c r="D3746" s="1">
        <v>40198</v>
      </c>
      <c r="E3746">
        <v>1.7846</v>
      </c>
      <c r="I3746" s="1">
        <v>40126</v>
      </c>
      <c r="J3746">
        <v>4545.29</v>
      </c>
      <c r="K3746" s="4">
        <f t="shared" si="285"/>
        <v>45452.9</v>
      </c>
    </row>
    <row r="3747" spans="4:11" x14ac:dyDescent="0.35">
      <c r="D3747" s="1">
        <v>40197</v>
      </c>
      <c r="E3747">
        <v>1.7739</v>
      </c>
      <c r="I3747" s="1">
        <v>40123</v>
      </c>
      <c r="J3747">
        <v>4605.25</v>
      </c>
      <c r="K3747" s="4">
        <f t="shared" si="285"/>
        <v>46052.5</v>
      </c>
    </row>
    <row r="3748" spans="4:11" x14ac:dyDescent="0.35">
      <c r="D3748" s="1">
        <v>40196</v>
      </c>
      <c r="E3748">
        <v>1.7713000000000001</v>
      </c>
      <c r="I3748" s="1">
        <v>40122</v>
      </c>
      <c r="J3748">
        <v>4597.26</v>
      </c>
      <c r="K3748" s="4">
        <f t="shared" si="285"/>
        <v>45972.600000000006</v>
      </c>
    </row>
    <row r="3749" spans="4:11" x14ac:dyDescent="0.35">
      <c r="D3749" s="1">
        <v>40193</v>
      </c>
      <c r="E3749">
        <v>1.7703</v>
      </c>
      <c r="I3749" s="1">
        <v>40121</v>
      </c>
      <c r="J3749">
        <v>4605.25</v>
      </c>
      <c r="K3749" s="4">
        <f t="shared" si="285"/>
        <v>46052.5</v>
      </c>
    </row>
    <row r="3750" spans="4:11" x14ac:dyDescent="0.35">
      <c r="D3750" s="1">
        <v>40192</v>
      </c>
      <c r="E3750">
        <v>1.764</v>
      </c>
      <c r="I3750" s="1">
        <v>40120</v>
      </c>
      <c r="J3750">
        <v>4674.55</v>
      </c>
      <c r="K3750" s="4">
        <f t="shared" si="285"/>
        <v>46745.5</v>
      </c>
    </row>
    <row r="3751" spans="4:11" x14ac:dyDescent="0.35">
      <c r="D3751" s="1">
        <v>40191</v>
      </c>
      <c r="E3751">
        <v>1.7434000000000001</v>
      </c>
      <c r="I3751" s="1">
        <v>40116</v>
      </c>
      <c r="J3751">
        <v>4725.18</v>
      </c>
      <c r="K3751" s="4">
        <f t="shared" si="285"/>
        <v>47251.8</v>
      </c>
    </row>
    <row r="3752" spans="4:11" x14ac:dyDescent="0.35">
      <c r="D3752" s="1">
        <v>40190</v>
      </c>
      <c r="E3752">
        <v>1.7431000000000001</v>
      </c>
      <c r="I3752" s="1">
        <v>40115</v>
      </c>
      <c r="J3752">
        <v>4690</v>
      </c>
      <c r="K3752" s="4">
        <f t="shared" si="285"/>
        <v>46900</v>
      </c>
    </row>
    <row r="3753" spans="4:11" x14ac:dyDescent="0.35">
      <c r="D3753" s="1">
        <v>40189</v>
      </c>
      <c r="E3753">
        <v>1.7315</v>
      </c>
      <c r="I3753" s="1">
        <v>40114</v>
      </c>
      <c r="J3753">
        <v>4815.84</v>
      </c>
      <c r="K3753" s="4">
        <f t="shared" si="285"/>
        <v>48158.400000000001</v>
      </c>
    </row>
    <row r="3754" spans="4:11" x14ac:dyDescent="0.35">
      <c r="D3754" s="1">
        <v>40186</v>
      </c>
      <c r="E3754">
        <v>1.7382</v>
      </c>
      <c r="I3754" s="1">
        <v>40113</v>
      </c>
      <c r="J3754">
        <v>4727.8900000000003</v>
      </c>
      <c r="K3754" s="4">
        <f t="shared" si="285"/>
        <v>47278.9</v>
      </c>
    </row>
    <row r="3755" spans="4:11" x14ac:dyDescent="0.35">
      <c r="D3755" s="1">
        <v>40185</v>
      </c>
      <c r="E3755">
        <v>1.7404999999999999</v>
      </c>
      <c r="I3755" s="1">
        <v>40112</v>
      </c>
      <c r="J3755">
        <v>4696.7700000000004</v>
      </c>
      <c r="K3755" s="4">
        <f t="shared" si="285"/>
        <v>46967.700000000004</v>
      </c>
    </row>
    <row r="3756" spans="4:11" x14ac:dyDescent="0.35">
      <c r="D3756" s="1">
        <v>40184</v>
      </c>
      <c r="E3756">
        <v>1.7329000000000001</v>
      </c>
      <c r="I3756" s="1">
        <v>40109</v>
      </c>
      <c r="J3756">
        <v>4643.99</v>
      </c>
      <c r="K3756" s="4">
        <f t="shared" si="285"/>
        <v>46439.899999999994</v>
      </c>
    </row>
    <row r="3757" spans="4:11" x14ac:dyDescent="0.35">
      <c r="D3757" s="1">
        <v>40183</v>
      </c>
      <c r="E3757">
        <v>1.7219</v>
      </c>
      <c r="I3757" s="1">
        <v>40108</v>
      </c>
      <c r="J3757">
        <v>4660.2299999999996</v>
      </c>
      <c r="K3757" s="4">
        <f t="shared" si="285"/>
        <v>46602.299999999996</v>
      </c>
    </row>
    <row r="3758" spans="4:11" x14ac:dyDescent="0.35">
      <c r="D3758" s="1">
        <v>40182</v>
      </c>
      <c r="E3758">
        <v>1.7232000000000001</v>
      </c>
      <c r="I3758" s="1">
        <v>40107</v>
      </c>
      <c r="J3758">
        <v>4708.9399999999996</v>
      </c>
      <c r="K3758" s="4">
        <f t="shared" si="285"/>
        <v>47089.399999999994</v>
      </c>
    </row>
    <row r="3759" spans="4:11" x14ac:dyDescent="0.35">
      <c r="D3759" s="1">
        <v>40178</v>
      </c>
      <c r="E3759">
        <v>1.7403999999999999</v>
      </c>
      <c r="I3759" s="1">
        <v>40106</v>
      </c>
      <c r="J3759">
        <v>4749.54</v>
      </c>
      <c r="K3759" s="4">
        <f t="shared" si="285"/>
        <v>47495.4</v>
      </c>
    </row>
    <row r="3760" spans="4:11" x14ac:dyDescent="0.35">
      <c r="D3760" s="1">
        <v>40177</v>
      </c>
      <c r="E3760">
        <v>1.7403999999999999</v>
      </c>
      <c r="I3760" s="1">
        <v>40105</v>
      </c>
      <c r="J3760">
        <v>4661.58</v>
      </c>
      <c r="K3760" s="4">
        <f t="shared" si="285"/>
        <v>46615.8</v>
      </c>
    </row>
    <row r="3761" spans="4:11" x14ac:dyDescent="0.35">
      <c r="D3761" s="1">
        <v>40176</v>
      </c>
      <c r="E3761">
        <v>1.7413000000000001</v>
      </c>
      <c r="I3761" s="1">
        <v>40102</v>
      </c>
      <c r="J3761">
        <v>4643.99</v>
      </c>
      <c r="K3761" s="4">
        <f t="shared" si="285"/>
        <v>46439.899999999994</v>
      </c>
    </row>
    <row r="3762" spans="4:11" x14ac:dyDescent="0.35">
      <c r="D3762" s="1">
        <v>40175</v>
      </c>
      <c r="E3762">
        <v>1.7390000000000001</v>
      </c>
      <c r="I3762" s="1">
        <v>40101</v>
      </c>
      <c r="J3762">
        <v>4618.28</v>
      </c>
      <c r="K3762" s="4">
        <f t="shared" si="285"/>
        <v>46182.799999999996</v>
      </c>
    </row>
    <row r="3763" spans="4:11" x14ac:dyDescent="0.35">
      <c r="D3763" s="1">
        <v>40171</v>
      </c>
      <c r="E3763">
        <v>1.7519</v>
      </c>
      <c r="I3763" s="1">
        <v>40100</v>
      </c>
      <c r="J3763">
        <v>4616.93</v>
      </c>
      <c r="K3763" s="4">
        <f t="shared" si="285"/>
        <v>46169.3</v>
      </c>
    </row>
    <row r="3764" spans="4:11" x14ac:dyDescent="0.35">
      <c r="D3764" s="1">
        <v>40170</v>
      </c>
      <c r="E3764">
        <v>1.7755000000000001</v>
      </c>
      <c r="I3764" s="1">
        <v>40099</v>
      </c>
      <c r="J3764">
        <v>4676.47</v>
      </c>
      <c r="K3764" s="4">
        <f t="shared" si="285"/>
        <v>46764.700000000004</v>
      </c>
    </row>
    <row r="3765" spans="4:11" x14ac:dyDescent="0.35">
      <c r="D3765" s="1">
        <v>40169</v>
      </c>
      <c r="E3765">
        <v>1.7817000000000001</v>
      </c>
      <c r="I3765" s="1">
        <v>40095</v>
      </c>
      <c r="J3765">
        <v>4729.24</v>
      </c>
      <c r="K3765" s="4">
        <f t="shared" si="285"/>
        <v>47292.399999999994</v>
      </c>
    </row>
    <row r="3766" spans="4:11" x14ac:dyDescent="0.35">
      <c r="D3766" s="1">
        <v>40168</v>
      </c>
      <c r="E3766">
        <v>1.7779</v>
      </c>
      <c r="I3766" s="1">
        <v>40094</v>
      </c>
      <c r="J3766">
        <v>4708.9399999999996</v>
      </c>
      <c r="K3766" s="4">
        <f t="shared" si="285"/>
        <v>47089.399999999994</v>
      </c>
    </row>
    <row r="3767" spans="4:11" x14ac:dyDescent="0.35">
      <c r="D3767" s="1">
        <v>40165</v>
      </c>
      <c r="E3767">
        <v>1.7870999999999999</v>
      </c>
      <c r="I3767" s="1">
        <v>40093</v>
      </c>
      <c r="J3767">
        <v>4752.24</v>
      </c>
      <c r="K3767" s="4">
        <f t="shared" si="285"/>
        <v>47522.399999999994</v>
      </c>
    </row>
    <row r="3768" spans="4:11" x14ac:dyDescent="0.35">
      <c r="D3768" s="1">
        <v>40164</v>
      </c>
      <c r="E3768">
        <v>1.7815000000000001</v>
      </c>
      <c r="I3768" s="1">
        <v>40092</v>
      </c>
      <c r="J3768">
        <v>4782.01</v>
      </c>
      <c r="K3768" s="4">
        <f t="shared" si="285"/>
        <v>47820.100000000006</v>
      </c>
    </row>
    <row r="3769" spans="4:11" x14ac:dyDescent="0.35">
      <c r="D3769" s="1">
        <v>40163</v>
      </c>
      <c r="E3769">
        <v>1.7509999999999999</v>
      </c>
      <c r="I3769" s="1">
        <v>40091</v>
      </c>
      <c r="J3769">
        <v>4786.07</v>
      </c>
      <c r="K3769" s="4">
        <f t="shared" si="285"/>
        <v>47860.7</v>
      </c>
    </row>
    <row r="3770" spans="4:11" x14ac:dyDescent="0.35">
      <c r="D3770" s="1">
        <v>40162</v>
      </c>
      <c r="E3770">
        <v>1.7548999999999999</v>
      </c>
      <c r="I3770" s="1">
        <v>40088</v>
      </c>
      <c r="J3770">
        <v>4840.2</v>
      </c>
      <c r="K3770" s="4">
        <f t="shared" si="285"/>
        <v>48402</v>
      </c>
    </row>
    <row r="3771" spans="4:11" x14ac:dyDescent="0.35">
      <c r="D3771" s="1">
        <v>40161</v>
      </c>
      <c r="E3771">
        <v>1.7475000000000001</v>
      </c>
      <c r="I3771" s="1">
        <v>40087</v>
      </c>
      <c r="J3771">
        <v>4856.4399999999996</v>
      </c>
      <c r="K3771" s="4">
        <f t="shared" si="285"/>
        <v>48564.399999999994</v>
      </c>
    </row>
    <row r="3772" spans="4:11" x14ac:dyDescent="0.35">
      <c r="D3772" s="1">
        <v>40158</v>
      </c>
      <c r="E3772">
        <v>1.7513000000000001</v>
      </c>
      <c r="I3772" s="1">
        <v>40086</v>
      </c>
      <c r="J3772">
        <v>4810.43</v>
      </c>
      <c r="K3772" s="4">
        <f t="shared" si="285"/>
        <v>48104.3</v>
      </c>
    </row>
    <row r="3773" spans="4:11" x14ac:dyDescent="0.35">
      <c r="D3773" s="1">
        <v>40157</v>
      </c>
      <c r="E3773">
        <v>1.7619</v>
      </c>
      <c r="I3773" s="1">
        <v>40085</v>
      </c>
      <c r="J3773">
        <v>4838.8500000000004</v>
      </c>
      <c r="K3773" s="4">
        <f t="shared" si="285"/>
        <v>48388.5</v>
      </c>
    </row>
    <row r="3774" spans="4:11" x14ac:dyDescent="0.35">
      <c r="D3774" s="1">
        <v>40156</v>
      </c>
      <c r="E3774">
        <v>1.7603</v>
      </c>
      <c r="I3774" s="1">
        <v>40084</v>
      </c>
      <c r="J3774">
        <v>4838.8500000000004</v>
      </c>
      <c r="K3774" s="4">
        <f t="shared" si="285"/>
        <v>48388.5</v>
      </c>
    </row>
    <row r="3775" spans="4:11" x14ac:dyDescent="0.35">
      <c r="D3775" s="1">
        <v>40155</v>
      </c>
      <c r="E3775">
        <v>1.7474000000000001</v>
      </c>
      <c r="I3775" s="1">
        <v>40081</v>
      </c>
      <c r="J3775">
        <v>4841.55</v>
      </c>
      <c r="K3775" s="4">
        <f t="shared" si="285"/>
        <v>48415.5</v>
      </c>
    </row>
    <row r="3776" spans="4:11" x14ac:dyDescent="0.35">
      <c r="D3776" s="1">
        <v>40154</v>
      </c>
      <c r="E3776">
        <v>1.7294</v>
      </c>
      <c r="I3776" s="1">
        <v>40080</v>
      </c>
      <c r="J3776">
        <v>4879.4399999999996</v>
      </c>
      <c r="K3776" s="4">
        <f t="shared" si="285"/>
        <v>48794.399999999994</v>
      </c>
    </row>
    <row r="3777" spans="4:11" x14ac:dyDescent="0.35">
      <c r="D3777" s="1">
        <v>40151</v>
      </c>
      <c r="E3777">
        <v>1.7122999999999999</v>
      </c>
      <c r="I3777" s="1">
        <v>40079</v>
      </c>
      <c r="J3777">
        <v>4867.26</v>
      </c>
      <c r="K3777" s="4">
        <f t="shared" si="285"/>
        <v>48672.600000000006</v>
      </c>
    </row>
    <row r="3778" spans="4:11" x14ac:dyDescent="0.35">
      <c r="D3778" s="1">
        <v>40150</v>
      </c>
      <c r="E3778">
        <v>1.7088000000000001</v>
      </c>
      <c r="I3778" s="1">
        <v>40078</v>
      </c>
      <c r="J3778">
        <v>4856.4399999999996</v>
      </c>
      <c r="K3778" s="4">
        <f t="shared" si="285"/>
        <v>48564.399999999994</v>
      </c>
    </row>
    <row r="3779" spans="4:11" x14ac:dyDescent="0.35">
      <c r="D3779" s="1">
        <v>40149</v>
      </c>
      <c r="E3779">
        <v>1.7193000000000001</v>
      </c>
      <c r="I3779" s="1">
        <v>40077</v>
      </c>
      <c r="J3779">
        <v>4951.16</v>
      </c>
      <c r="K3779" s="4">
        <f t="shared" si="285"/>
        <v>49511.6</v>
      </c>
    </row>
    <row r="3780" spans="4:11" x14ac:dyDescent="0.35">
      <c r="D3780" s="1">
        <v>40148</v>
      </c>
      <c r="E3780">
        <v>1.7284999999999999</v>
      </c>
      <c r="I3780" s="1">
        <v>40074</v>
      </c>
      <c r="J3780">
        <v>4910.5600000000004</v>
      </c>
      <c r="K3780" s="4">
        <f t="shared" si="285"/>
        <v>49105.600000000006</v>
      </c>
    </row>
    <row r="3781" spans="4:11" x14ac:dyDescent="0.35">
      <c r="D3781" s="1">
        <v>40147</v>
      </c>
      <c r="E3781">
        <v>1.7497</v>
      </c>
      <c r="I3781" s="1">
        <v>40073</v>
      </c>
      <c r="J3781">
        <v>4903.8</v>
      </c>
      <c r="K3781" s="4">
        <f t="shared" ref="K3781:K3844" si="286">J3781*10</f>
        <v>49038</v>
      </c>
    </row>
    <row r="3782" spans="4:11" x14ac:dyDescent="0.35">
      <c r="D3782" s="1">
        <v>40144</v>
      </c>
      <c r="E3782">
        <v>1.7435</v>
      </c>
      <c r="I3782" s="1">
        <v>40072</v>
      </c>
      <c r="J3782">
        <v>4869.97</v>
      </c>
      <c r="K3782" s="4">
        <f t="shared" si="286"/>
        <v>48699.700000000004</v>
      </c>
    </row>
    <row r="3783" spans="4:11" x14ac:dyDescent="0.35">
      <c r="D3783" s="1">
        <v>40143</v>
      </c>
      <c r="E3783">
        <v>1.7401</v>
      </c>
      <c r="I3783" s="1">
        <v>40071</v>
      </c>
      <c r="J3783">
        <v>4890.2700000000004</v>
      </c>
      <c r="K3783" s="4">
        <f t="shared" si="286"/>
        <v>48902.700000000004</v>
      </c>
    </row>
    <row r="3784" spans="4:11" x14ac:dyDescent="0.35">
      <c r="D3784" s="1">
        <v>40142</v>
      </c>
      <c r="E3784">
        <v>1.7263999999999999</v>
      </c>
      <c r="I3784" s="1">
        <v>40070</v>
      </c>
      <c r="J3784">
        <v>4915.9799999999996</v>
      </c>
      <c r="K3784" s="4">
        <f t="shared" si="286"/>
        <v>49159.799999999996</v>
      </c>
    </row>
    <row r="3785" spans="4:11" x14ac:dyDescent="0.35">
      <c r="D3785" s="1">
        <v>40141</v>
      </c>
      <c r="E3785">
        <v>1.7274</v>
      </c>
      <c r="I3785" s="1">
        <v>40067</v>
      </c>
      <c r="J3785">
        <v>4966.04</v>
      </c>
      <c r="K3785" s="4">
        <f t="shared" si="286"/>
        <v>49660.4</v>
      </c>
    </row>
    <row r="3786" spans="4:11" x14ac:dyDescent="0.35">
      <c r="D3786" s="1">
        <v>40140</v>
      </c>
      <c r="E3786">
        <v>1.7237</v>
      </c>
      <c r="I3786" s="1">
        <v>40066</v>
      </c>
      <c r="J3786">
        <v>4917.33</v>
      </c>
      <c r="K3786" s="4">
        <f t="shared" si="286"/>
        <v>49173.3</v>
      </c>
    </row>
    <row r="3787" spans="4:11" x14ac:dyDescent="0.35">
      <c r="D3787" s="1">
        <v>40137</v>
      </c>
      <c r="E3787">
        <v>1.7347999999999999</v>
      </c>
      <c r="I3787" s="1">
        <v>40065</v>
      </c>
      <c r="J3787">
        <v>4982.28</v>
      </c>
      <c r="K3787" s="4">
        <f t="shared" si="286"/>
        <v>49822.799999999996</v>
      </c>
    </row>
    <row r="3788" spans="4:11" x14ac:dyDescent="0.35">
      <c r="D3788" s="1">
        <v>40136</v>
      </c>
      <c r="E3788">
        <v>1.7279</v>
      </c>
      <c r="I3788" s="1">
        <v>40064</v>
      </c>
      <c r="J3788">
        <v>4967.3900000000003</v>
      </c>
      <c r="K3788" s="4">
        <f t="shared" si="286"/>
        <v>49673.9</v>
      </c>
    </row>
    <row r="3789" spans="4:11" x14ac:dyDescent="0.35">
      <c r="D3789" s="1">
        <v>40135</v>
      </c>
      <c r="E3789">
        <v>1.7095</v>
      </c>
      <c r="I3789" s="1">
        <v>40060</v>
      </c>
      <c r="J3789">
        <v>5013.3999999999996</v>
      </c>
      <c r="K3789" s="4">
        <f t="shared" si="286"/>
        <v>50134</v>
      </c>
    </row>
    <row r="3790" spans="4:11" x14ac:dyDescent="0.35">
      <c r="D3790" s="1">
        <v>40134</v>
      </c>
      <c r="E3790">
        <v>1.7144999999999999</v>
      </c>
      <c r="I3790" s="1">
        <v>40059</v>
      </c>
      <c r="J3790">
        <v>5059.41</v>
      </c>
      <c r="K3790" s="4">
        <f t="shared" si="286"/>
        <v>50594.1</v>
      </c>
    </row>
    <row r="3791" spans="4:11" x14ac:dyDescent="0.35">
      <c r="D3791" s="1">
        <v>40133</v>
      </c>
      <c r="E3791">
        <v>1.7119</v>
      </c>
      <c r="I3791" s="1">
        <v>40058</v>
      </c>
      <c r="J3791">
        <v>5123.01</v>
      </c>
      <c r="K3791" s="4">
        <f t="shared" si="286"/>
        <v>51230.100000000006</v>
      </c>
    </row>
    <row r="3792" spans="4:11" x14ac:dyDescent="0.35">
      <c r="D3792" s="1">
        <v>40130</v>
      </c>
      <c r="E3792">
        <v>1.7282</v>
      </c>
      <c r="I3792" s="1">
        <v>40057</v>
      </c>
      <c r="J3792">
        <v>5200.1400000000003</v>
      </c>
      <c r="K3792" s="4">
        <f t="shared" si="286"/>
        <v>52001.4</v>
      </c>
    </row>
    <row r="3793" spans="4:11" x14ac:dyDescent="0.35">
      <c r="D3793" s="1">
        <v>40129</v>
      </c>
      <c r="E3793">
        <v>1.7242</v>
      </c>
      <c r="I3793" s="1">
        <v>40056</v>
      </c>
      <c r="J3793">
        <v>5116.24</v>
      </c>
      <c r="K3793" s="4">
        <f t="shared" si="286"/>
        <v>51162.399999999994</v>
      </c>
    </row>
    <row r="3794" spans="4:11" x14ac:dyDescent="0.35">
      <c r="D3794" s="1">
        <v>40128</v>
      </c>
      <c r="E3794">
        <v>1.7103999999999999</v>
      </c>
      <c r="I3794" s="1">
        <v>40053</v>
      </c>
      <c r="J3794">
        <v>5104.03</v>
      </c>
      <c r="K3794" s="4">
        <f t="shared" si="286"/>
        <v>51040.299999999996</v>
      </c>
    </row>
    <row r="3795" spans="4:11" x14ac:dyDescent="0.35">
      <c r="D3795" s="1">
        <v>40127</v>
      </c>
      <c r="E3795">
        <v>1.7088000000000001</v>
      </c>
      <c r="I3795" s="1">
        <v>40052</v>
      </c>
      <c r="J3795">
        <v>5064.67</v>
      </c>
      <c r="K3795" s="4">
        <f t="shared" si="286"/>
        <v>50646.7</v>
      </c>
    </row>
    <row r="3796" spans="4:11" x14ac:dyDescent="0.35">
      <c r="D3796" s="1">
        <v>40126</v>
      </c>
      <c r="E3796">
        <v>1.7016</v>
      </c>
      <c r="I3796" s="1">
        <v>40051</v>
      </c>
      <c r="J3796">
        <v>5053.8100000000004</v>
      </c>
      <c r="K3796" s="4">
        <f t="shared" si="286"/>
        <v>50538.100000000006</v>
      </c>
    </row>
    <row r="3797" spans="4:11" x14ac:dyDescent="0.35">
      <c r="D3797" s="1">
        <v>40123</v>
      </c>
      <c r="E3797">
        <v>1.7171000000000001</v>
      </c>
      <c r="I3797" s="1">
        <v>40050</v>
      </c>
      <c r="J3797">
        <v>5051.1000000000004</v>
      </c>
      <c r="K3797" s="4">
        <f t="shared" si="286"/>
        <v>50511</v>
      </c>
    </row>
    <row r="3798" spans="4:11" x14ac:dyDescent="0.35">
      <c r="D3798" s="1">
        <v>40122</v>
      </c>
      <c r="E3798">
        <v>1.7232000000000001</v>
      </c>
      <c r="I3798" s="1">
        <v>40049</v>
      </c>
      <c r="J3798">
        <v>4996.82</v>
      </c>
      <c r="K3798" s="4">
        <f t="shared" si="286"/>
        <v>49968.2</v>
      </c>
    </row>
    <row r="3799" spans="4:11" x14ac:dyDescent="0.35">
      <c r="D3799" s="1">
        <v>40121</v>
      </c>
      <c r="E3799">
        <v>1.7262999999999999</v>
      </c>
      <c r="I3799" s="1">
        <v>40046</v>
      </c>
      <c r="J3799">
        <v>4972.3900000000003</v>
      </c>
      <c r="K3799" s="4">
        <f t="shared" si="286"/>
        <v>49723.9</v>
      </c>
    </row>
    <row r="3800" spans="4:11" x14ac:dyDescent="0.35">
      <c r="D3800" s="1">
        <v>40120</v>
      </c>
      <c r="E3800">
        <v>1.758</v>
      </c>
      <c r="I3800" s="1">
        <v>40045</v>
      </c>
      <c r="J3800">
        <v>5013.1000000000004</v>
      </c>
      <c r="K3800" s="4">
        <f t="shared" si="286"/>
        <v>50131</v>
      </c>
    </row>
    <row r="3801" spans="4:11" x14ac:dyDescent="0.35">
      <c r="D3801" s="1">
        <v>40116</v>
      </c>
      <c r="E3801">
        <v>1.7432000000000001</v>
      </c>
      <c r="I3801" s="1">
        <v>40044</v>
      </c>
      <c r="J3801">
        <v>5007.67</v>
      </c>
      <c r="K3801" s="4">
        <f t="shared" si="286"/>
        <v>50076.7</v>
      </c>
    </row>
    <row r="3802" spans="4:11" x14ac:dyDescent="0.35">
      <c r="D3802" s="1">
        <v>40115</v>
      </c>
      <c r="E3802">
        <v>1.7427999999999999</v>
      </c>
      <c r="I3802" s="1">
        <v>40043</v>
      </c>
      <c r="J3802">
        <v>5010.3900000000003</v>
      </c>
      <c r="K3802" s="4">
        <f t="shared" si="286"/>
        <v>50103.9</v>
      </c>
    </row>
    <row r="3803" spans="4:11" x14ac:dyDescent="0.35">
      <c r="D3803" s="1">
        <v>40114</v>
      </c>
      <c r="E3803">
        <v>1.7439</v>
      </c>
      <c r="I3803" s="1">
        <v>40042</v>
      </c>
      <c r="J3803">
        <v>5106.74</v>
      </c>
      <c r="K3803" s="4">
        <f t="shared" si="286"/>
        <v>51067.399999999994</v>
      </c>
    </row>
    <row r="3804" spans="4:11" x14ac:dyDescent="0.35">
      <c r="D3804" s="1">
        <v>40113</v>
      </c>
      <c r="E3804">
        <v>1.7334000000000001</v>
      </c>
      <c r="I3804" s="1">
        <v>40039</v>
      </c>
      <c r="J3804">
        <v>5042.96</v>
      </c>
      <c r="K3804" s="4">
        <f t="shared" si="286"/>
        <v>50429.599999999999</v>
      </c>
    </row>
    <row r="3805" spans="4:11" x14ac:dyDescent="0.35">
      <c r="D3805" s="1">
        <v>40112</v>
      </c>
      <c r="E3805">
        <v>1.7149000000000001</v>
      </c>
      <c r="I3805" s="1">
        <v>40038</v>
      </c>
      <c r="J3805">
        <v>4964.25</v>
      </c>
      <c r="K3805" s="4">
        <f t="shared" si="286"/>
        <v>49642.5</v>
      </c>
    </row>
    <row r="3806" spans="4:11" x14ac:dyDescent="0.35">
      <c r="D3806" s="1">
        <v>40109</v>
      </c>
      <c r="E3806">
        <v>1.7104999999999999</v>
      </c>
      <c r="I3806" s="1">
        <v>40037</v>
      </c>
      <c r="J3806">
        <v>5015.82</v>
      </c>
      <c r="K3806" s="4">
        <f t="shared" si="286"/>
        <v>50158.2</v>
      </c>
    </row>
    <row r="3807" spans="4:11" x14ac:dyDescent="0.35">
      <c r="D3807" s="1">
        <v>40108</v>
      </c>
      <c r="E3807">
        <v>1.7296</v>
      </c>
      <c r="I3807" s="1">
        <v>40036</v>
      </c>
      <c r="J3807">
        <v>5032.1000000000004</v>
      </c>
      <c r="K3807" s="4">
        <f t="shared" si="286"/>
        <v>50321</v>
      </c>
    </row>
    <row r="3808" spans="4:11" x14ac:dyDescent="0.35">
      <c r="D3808" s="1">
        <v>40107</v>
      </c>
      <c r="E3808">
        <v>1.7432000000000001</v>
      </c>
      <c r="I3808" s="1">
        <v>40035</v>
      </c>
      <c r="J3808">
        <v>5011.74</v>
      </c>
      <c r="K3808" s="4">
        <f t="shared" si="286"/>
        <v>50117.399999999994</v>
      </c>
    </row>
    <row r="3809" spans="4:11" x14ac:dyDescent="0.35">
      <c r="D3809" s="1">
        <v>40106</v>
      </c>
      <c r="E3809">
        <v>1.7442</v>
      </c>
      <c r="I3809" s="1">
        <v>40032</v>
      </c>
      <c r="J3809">
        <v>4972.3900000000003</v>
      </c>
      <c r="K3809" s="4">
        <f t="shared" si="286"/>
        <v>49723.9</v>
      </c>
    </row>
    <row r="3810" spans="4:11" x14ac:dyDescent="0.35">
      <c r="D3810" s="1">
        <v>40105</v>
      </c>
      <c r="E3810">
        <v>1.7121999999999999</v>
      </c>
      <c r="I3810" s="1">
        <v>40031</v>
      </c>
      <c r="J3810">
        <v>5034.8100000000004</v>
      </c>
      <c r="K3810" s="4">
        <f t="shared" si="286"/>
        <v>50348.100000000006</v>
      </c>
    </row>
    <row r="3811" spans="4:11" x14ac:dyDescent="0.35">
      <c r="D3811" s="1">
        <v>40102</v>
      </c>
      <c r="E3811">
        <v>1.7126999999999999</v>
      </c>
      <c r="I3811" s="1">
        <v>40030</v>
      </c>
      <c r="J3811">
        <v>4937.1000000000004</v>
      </c>
      <c r="K3811" s="4">
        <f t="shared" si="286"/>
        <v>49371</v>
      </c>
    </row>
    <row r="3812" spans="4:11" x14ac:dyDescent="0.35">
      <c r="D3812" s="1">
        <v>40101</v>
      </c>
      <c r="E3812">
        <v>1.7029000000000001</v>
      </c>
      <c r="I3812" s="1">
        <v>40029</v>
      </c>
      <c r="J3812">
        <v>4956.1000000000004</v>
      </c>
      <c r="K3812" s="4">
        <f t="shared" si="286"/>
        <v>49561</v>
      </c>
    </row>
    <row r="3813" spans="4:11" x14ac:dyDescent="0.35">
      <c r="D3813" s="1">
        <v>40100</v>
      </c>
      <c r="E3813">
        <v>1.7091000000000001</v>
      </c>
      <c r="I3813" s="1">
        <v>40028</v>
      </c>
      <c r="J3813">
        <v>4988.67</v>
      </c>
      <c r="K3813" s="4">
        <f t="shared" si="286"/>
        <v>49886.7</v>
      </c>
    </row>
    <row r="3814" spans="4:11" x14ac:dyDescent="0.35">
      <c r="D3814" s="1">
        <v>40099</v>
      </c>
      <c r="E3814">
        <v>1.7290000000000001</v>
      </c>
      <c r="I3814" s="1">
        <v>40025</v>
      </c>
      <c r="J3814">
        <v>5093.17</v>
      </c>
      <c r="K3814" s="4">
        <f t="shared" si="286"/>
        <v>50931.7</v>
      </c>
    </row>
    <row r="3815" spans="4:11" x14ac:dyDescent="0.35">
      <c r="D3815" s="1">
        <v>40095</v>
      </c>
      <c r="E3815">
        <v>1.7381</v>
      </c>
      <c r="I3815" s="1">
        <v>40024</v>
      </c>
      <c r="J3815">
        <v>5119.0200000000004</v>
      </c>
      <c r="K3815" s="4">
        <f t="shared" si="286"/>
        <v>51190.200000000004</v>
      </c>
    </row>
    <row r="3816" spans="4:11" x14ac:dyDescent="0.35">
      <c r="D3816" s="1">
        <v>40094</v>
      </c>
      <c r="E3816">
        <v>1.7403999999999999</v>
      </c>
      <c r="I3816" s="1">
        <v>40023</v>
      </c>
      <c r="J3816">
        <v>5155.75</v>
      </c>
      <c r="K3816" s="4">
        <f t="shared" si="286"/>
        <v>51557.5</v>
      </c>
    </row>
    <row r="3817" spans="4:11" x14ac:dyDescent="0.35">
      <c r="D3817" s="1">
        <v>40093</v>
      </c>
      <c r="E3817">
        <v>1.7586999999999999</v>
      </c>
      <c r="I3817" s="1">
        <v>40022</v>
      </c>
      <c r="J3817">
        <v>5124.46</v>
      </c>
      <c r="K3817" s="4">
        <f t="shared" si="286"/>
        <v>51244.6</v>
      </c>
    </row>
    <row r="3818" spans="4:11" x14ac:dyDescent="0.35">
      <c r="D3818" s="1">
        <v>40092</v>
      </c>
      <c r="E3818">
        <v>1.7524999999999999</v>
      </c>
      <c r="I3818" s="1">
        <v>40021</v>
      </c>
      <c r="J3818">
        <v>5102.6899999999996</v>
      </c>
      <c r="K3818" s="4">
        <f t="shared" si="286"/>
        <v>51026.899999999994</v>
      </c>
    </row>
    <row r="3819" spans="4:11" x14ac:dyDescent="0.35">
      <c r="D3819" s="1">
        <v>40091</v>
      </c>
      <c r="E3819">
        <v>1.7665</v>
      </c>
      <c r="I3819" s="1">
        <v>40018</v>
      </c>
      <c r="J3819">
        <v>5163.91</v>
      </c>
      <c r="K3819" s="4">
        <f t="shared" si="286"/>
        <v>51639.1</v>
      </c>
    </row>
    <row r="3820" spans="4:11" x14ac:dyDescent="0.35">
      <c r="D3820" s="1">
        <v>40088</v>
      </c>
      <c r="E3820">
        <v>1.7836000000000001</v>
      </c>
      <c r="I3820" s="1">
        <v>40017</v>
      </c>
      <c r="J3820">
        <v>5166.63</v>
      </c>
      <c r="K3820" s="4">
        <f t="shared" si="286"/>
        <v>51666.3</v>
      </c>
    </row>
    <row r="3821" spans="4:11" x14ac:dyDescent="0.35">
      <c r="D3821" s="1">
        <v>40087</v>
      </c>
      <c r="E3821">
        <v>1.7786</v>
      </c>
      <c r="I3821" s="1">
        <v>40016</v>
      </c>
      <c r="J3821">
        <v>5191.12</v>
      </c>
      <c r="K3821" s="4">
        <f t="shared" si="286"/>
        <v>51911.199999999997</v>
      </c>
    </row>
    <row r="3822" spans="4:11" x14ac:dyDescent="0.35">
      <c r="D3822" s="1">
        <v>40086</v>
      </c>
      <c r="E3822">
        <v>1.7773000000000001</v>
      </c>
      <c r="I3822" s="1">
        <v>40015</v>
      </c>
      <c r="J3822">
        <v>5165.2700000000004</v>
      </c>
      <c r="K3822" s="4">
        <f t="shared" si="286"/>
        <v>51652.700000000004</v>
      </c>
    </row>
    <row r="3823" spans="4:11" x14ac:dyDescent="0.35">
      <c r="D3823" s="1">
        <v>40085</v>
      </c>
      <c r="E3823">
        <v>1.792</v>
      </c>
      <c r="I3823" s="1">
        <v>40014</v>
      </c>
      <c r="J3823">
        <v>5174.79</v>
      </c>
      <c r="K3823" s="4">
        <f t="shared" si="286"/>
        <v>51747.9</v>
      </c>
    </row>
    <row r="3824" spans="4:11" x14ac:dyDescent="0.35">
      <c r="D3824" s="1">
        <v>40084</v>
      </c>
      <c r="E3824">
        <v>1.7902</v>
      </c>
      <c r="I3824" s="1">
        <v>40011</v>
      </c>
      <c r="J3824">
        <v>5260.49</v>
      </c>
      <c r="K3824" s="4">
        <f t="shared" si="286"/>
        <v>52604.899999999994</v>
      </c>
    </row>
    <row r="3825" spans="4:11" x14ac:dyDescent="0.35">
      <c r="D3825" s="1">
        <v>40081</v>
      </c>
      <c r="E3825">
        <v>1.8008999999999999</v>
      </c>
      <c r="I3825" s="1">
        <v>40010</v>
      </c>
      <c r="J3825">
        <v>5264.57</v>
      </c>
      <c r="K3825" s="4">
        <f t="shared" si="286"/>
        <v>52645.7</v>
      </c>
    </row>
    <row r="3826" spans="4:11" x14ac:dyDescent="0.35">
      <c r="D3826" s="1">
        <v>40080</v>
      </c>
      <c r="E3826">
        <v>1.7908999999999999</v>
      </c>
      <c r="I3826" s="1">
        <v>40009</v>
      </c>
      <c r="J3826">
        <v>5272.74</v>
      </c>
      <c r="K3826" s="4">
        <f t="shared" si="286"/>
        <v>52727.399999999994</v>
      </c>
    </row>
    <row r="3827" spans="4:11" x14ac:dyDescent="0.35">
      <c r="D3827" s="1">
        <v>40079</v>
      </c>
      <c r="E3827">
        <v>1.7907999999999999</v>
      </c>
      <c r="I3827" s="1">
        <v>40008</v>
      </c>
      <c r="J3827">
        <v>5353</v>
      </c>
      <c r="K3827" s="4">
        <f t="shared" si="286"/>
        <v>53530</v>
      </c>
    </row>
    <row r="3828" spans="4:11" x14ac:dyDescent="0.35">
      <c r="D3828" s="1">
        <v>40078</v>
      </c>
      <c r="E3828">
        <v>1.8052999999999999</v>
      </c>
      <c r="I3828" s="1">
        <v>40007</v>
      </c>
      <c r="J3828">
        <v>5407.41</v>
      </c>
      <c r="K3828" s="4">
        <f t="shared" si="286"/>
        <v>54074.1</v>
      </c>
    </row>
    <row r="3829" spans="4:11" x14ac:dyDescent="0.35">
      <c r="D3829" s="1">
        <v>40077</v>
      </c>
      <c r="E3829">
        <v>1.8164</v>
      </c>
      <c r="I3829" s="1">
        <v>40004</v>
      </c>
      <c r="J3829">
        <v>5449.58</v>
      </c>
      <c r="K3829" s="4">
        <f t="shared" si="286"/>
        <v>54495.8</v>
      </c>
    </row>
    <row r="3830" spans="4:11" x14ac:dyDescent="0.35">
      <c r="D3830" s="1">
        <v>40074</v>
      </c>
      <c r="E3830">
        <v>1.8041</v>
      </c>
      <c r="I3830" s="1">
        <v>40002</v>
      </c>
      <c r="J3830">
        <v>5474.07</v>
      </c>
      <c r="K3830" s="4">
        <f t="shared" si="286"/>
        <v>54740.7</v>
      </c>
    </row>
    <row r="3831" spans="4:11" x14ac:dyDescent="0.35">
      <c r="D3831" s="1">
        <v>40073</v>
      </c>
      <c r="E3831">
        <v>1.8086</v>
      </c>
      <c r="I3831" s="1">
        <v>40001</v>
      </c>
      <c r="J3831">
        <v>5457.75</v>
      </c>
      <c r="K3831" s="4">
        <f t="shared" si="286"/>
        <v>54577.5</v>
      </c>
    </row>
    <row r="3832" spans="4:11" x14ac:dyDescent="0.35">
      <c r="D3832" s="1">
        <v>40072</v>
      </c>
      <c r="E3832">
        <v>1.7976000000000001</v>
      </c>
      <c r="I3832" s="1">
        <v>40000</v>
      </c>
      <c r="J3832">
        <v>5346.2</v>
      </c>
      <c r="K3832" s="4">
        <f t="shared" si="286"/>
        <v>53462</v>
      </c>
    </row>
    <row r="3833" spans="4:11" x14ac:dyDescent="0.35">
      <c r="D3833" s="1">
        <v>40071</v>
      </c>
      <c r="E3833">
        <v>1.8079000000000001</v>
      </c>
      <c r="I3833" s="1">
        <v>39997</v>
      </c>
      <c r="J3833">
        <v>5340.75</v>
      </c>
      <c r="K3833" s="4">
        <f t="shared" si="286"/>
        <v>53407.5</v>
      </c>
    </row>
    <row r="3834" spans="4:11" x14ac:dyDescent="0.35">
      <c r="D3834" s="1">
        <v>40070</v>
      </c>
      <c r="E3834">
        <v>1.8189</v>
      </c>
      <c r="I3834" s="1">
        <v>39996</v>
      </c>
      <c r="J3834">
        <v>5351.64</v>
      </c>
      <c r="K3834" s="4">
        <f t="shared" si="286"/>
        <v>53516.4</v>
      </c>
    </row>
    <row r="3835" spans="4:11" x14ac:dyDescent="0.35">
      <c r="D3835" s="1">
        <v>40067</v>
      </c>
      <c r="E3835">
        <v>1.8170999999999999</v>
      </c>
      <c r="I3835" s="1">
        <v>39995</v>
      </c>
      <c r="J3835">
        <v>5278.18</v>
      </c>
      <c r="K3835" s="4">
        <f t="shared" si="286"/>
        <v>52781.8</v>
      </c>
    </row>
    <row r="3836" spans="4:11" x14ac:dyDescent="0.35">
      <c r="D3836" s="1">
        <v>40066</v>
      </c>
      <c r="E3836">
        <v>1.8252999999999999</v>
      </c>
      <c r="I3836" s="1">
        <v>39994</v>
      </c>
      <c r="J3836">
        <v>5343.48</v>
      </c>
      <c r="K3836" s="4">
        <f t="shared" si="286"/>
        <v>53434.799999999996</v>
      </c>
    </row>
    <row r="3837" spans="4:11" x14ac:dyDescent="0.35">
      <c r="D3837" s="1">
        <v>40065</v>
      </c>
      <c r="E3837">
        <v>1.8271999999999999</v>
      </c>
      <c r="I3837" s="1">
        <v>39993</v>
      </c>
      <c r="J3837">
        <v>5369.51</v>
      </c>
      <c r="K3837" s="4">
        <f t="shared" si="286"/>
        <v>53695.100000000006</v>
      </c>
    </row>
    <row r="3838" spans="4:11" x14ac:dyDescent="0.35">
      <c r="D3838" s="1">
        <v>40064</v>
      </c>
      <c r="E3838">
        <v>1.8246</v>
      </c>
      <c r="I3838" s="1">
        <v>39990</v>
      </c>
      <c r="J3838">
        <v>5301</v>
      </c>
      <c r="K3838" s="4">
        <f t="shared" si="286"/>
        <v>53010</v>
      </c>
    </row>
    <row r="3839" spans="4:11" x14ac:dyDescent="0.35">
      <c r="D3839" s="1">
        <v>40060</v>
      </c>
      <c r="E3839">
        <v>1.8492999999999999</v>
      </c>
      <c r="I3839" s="1">
        <v>39989</v>
      </c>
      <c r="J3839">
        <v>5327.03</v>
      </c>
      <c r="K3839" s="4">
        <f t="shared" si="286"/>
        <v>53270.299999999996</v>
      </c>
    </row>
    <row r="3840" spans="4:11" x14ac:dyDescent="0.35">
      <c r="D3840" s="1">
        <v>40059</v>
      </c>
      <c r="E3840">
        <v>1.8694</v>
      </c>
      <c r="I3840" s="1">
        <v>39988</v>
      </c>
      <c r="J3840">
        <v>5401.02</v>
      </c>
      <c r="K3840" s="4">
        <f t="shared" si="286"/>
        <v>54010.200000000004</v>
      </c>
    </row>
    <row r="3841" spans="4:11" x14ac:dyDescent="0.35">
      <c r="D3841" s="1">
        <v>40058</v>
      </c>
      <c r="E3841">
        <v>1.903</v>
      </c>
      <c r="I3841" s="1">
        <v>39987</v>
      </c>
      <c r="J3841">
        <v>5431.16</v>
      </c>
      <c r="K3841" s="4">
        <f t="shared" si="286"/>
        <v>54311.6</v>
      </c>
    </row>
    <row r="3842" spans="4:11" x14ac:dyDescent="0.35">
      <c r="D3842" s="1">
        <v>40057</v>
      </c>
      <c r="E3842">
        <v>1.8821000000000001</v>
      </c>
      <c r="I3842" s="1">
        <v>39986</v>
      </c>
      <c r="J3842">
        <v>5580.51</v>
      </c>
      <c r="K3842" s="4">
        <f t="shared" si="286"/>
        <v>55805.100000000006</v>
      </c>
    </row>
    <row r="3843" spans="4:11" x14ac:dyDescent="0.35">
      <c r="D3843" s="1">
        <v>40056</v>
      </c>
      <c r="E3843">
        <v>1.8855999999999999</v>
      </c>
      <c r="I3843" s="1">
        <v>39983</v>
      </c>
      <c r="J3843">
        <v>5420.2</v>
      </c>
      <c r="K3843" s="4">
        <f t="shared" si="286"/>
        <v>54202</v>
      </c>
    </row>
    <row r="3844" spans="4:11" x14ac:dyDescent="0.35">
      <c r="D3844" s="1">
        <v>40053</v>
      </c>
      <c r="E3844">
        <v>1.8732</v>
      </c>
      <c r="I3844" s="1">
        <v>39982</v>
      </c>
      <c r="J3844">
        <v>5433.9</v>
      </c>
      <c r="K3844" s="4">
        <f t="shared" si="286"/>
        <v>54339</v>
      </c>
    </row>
    <row r="3845" spans="4:11" x14ac:dyDescent="0.35">
      <c r="D3845" s="1">
        <v>40052</v>
      </c>
      <c r="E3845">
        <v>1.8661000000000001</v>
      </c>
      <c r="I3845" s="1">
        <v>39981</v>
      </c>
      <c r="J3845">
        <v>5401.02</v>
      </c>
      <c r="K3845" s="4">
        <f t="shared" ref="K3845:K3908" si="287">J3845*10</f>
        <v>54010.200000000004</v>
      </c>
    </row>
    <row r="3846" spans="4:11" x14ac:dyDescent="0.35">
      <c r="D3846" s="1">
        <v>40051</v>
      </c>
      <c r="E3846">
        <v>1.8662000000000001</v>
      </c>
      <c r="I3846" s="1">
        <v>39980</v>
      </c>
      <c r="J3846">
        <v>5420.2</v>
      </c>
      <c r="K3846" s="4">
        <f t="shared" si="287"/>
        <v>54202</v>
      </c>
    </row>
    <row r="3847" spans="4:11" x14ac:dyDescent="0.35">
      <c r="D3847" s="1">
        <v>40050</v>
      </c>
      <c r="E3847">
        <v>1.8411</v>
      </c>
      <c r="I3847" s="1">
        <v>39979</v>
      </c>
      <c r="J3847">
        <v>5364.03</v>
      </c>
      <c r="K3847" s="4">
        <f t="shared" si="287"/>
        <v>53640.299999999996</v>
      </c>
    </row>
    <row r="3848" spans="4:11" x14ac:dyDescent="0.35">
      <c r="D3848" s="1">
        <v>40049</v>
      </c>
      <c r="E3848">
        <v>1.8331</v>
      </c>
      <c r="I3848" s="1">
        <v>39976</v>
      </c>
      <c r="J3848">
        <v>5299.63</v>
      </c>
      <c r="K3848" s="4">
        <f t="shared" si="287"/>
        <v>52996.3</v>
      </c>
    </row>
    <row r="3849" spans="4:11" x14ac:dyDescent="0.35">
      <c r="D3849" s="1">
        <v>40046</v>
      </c>
      <c r="E3849">
        <v>1.8289</v>
      </c>
      <c r="I3849" s="1">
        <v>39974</v>
      </c>
      <c r="J3849">
        <v>5359.92</v>
      </c>
      <c r="K3849" s="4">
        <f t="shared" si="287"/>
        <v>53599.199999999997</v>
      </c>
    </row>
    <row r="3850" spans="4:11" x14ac:dyDescent="0.35">
      <c r="D3850" s="1">
        <v>40045</v>
      </c>
      <c r="E3850">
        <v>1.8426</v>
      </c>
      <c r="I3850" s="1">
        <v>39973</v>
      </c>
      <c r="J3850">
        <v>5348.96</v>
      </c>
      <c r="K3850" s="4">
        <f t="shared" si="287"/>
        <v>53489.599999999999</v>
      </c>
    </row>
    <row r="3851" spans="4:11" x14ac:dyDescent="0.35">
      <c r="D3851" s="1">
        <v>40044</v>
      </c>
      <c r="E3851">
        <v>1.8425</v>
      </c>
      <c r="I3851" s="1">
        <v>39972</v>
      </c>
      <c r="J3851">
        <v>5406.5</v>
      </c>
      <c r="K3851" s="4">
        <f t="shared" si="287"/>
        <v>54065</v>
      </c>
    </row>
    <row r="3852" spans="4:11" x14ac:dyDescent="0.35">
      <c r="D3852" s="1">
        <v>40043</v>
      </c>
      <c r="E3852">
        <v>1.8566</v>
      </c>
      <c r="I3852" s="1">
        <v>39969</v>
      </c>
      <c r="J3852">
        <v>5392.8</v>
      </c>
      <c r="K3852" s="4">
        <f t="shared" si="287"/>
        <v>53928</v>
      </c>
    </row>
    <row r="3853" spans="4:11" x14ac:dyDescent="0.35">
      <c r="D3853" s="1">
        <v>40042</v>
      </c>
      <c r="E3853">
        <v>1.8673999999999999</v>
      </c>
      <c r="I3853" s="1">
        <v>39968</v>
      </c>
      <c r="J3853">
        <v>5339.36</v>
      </c>
      <c r="K3853" s="4">
        <f t="shared" si="287"/>
        <v>53393.599999999999</v>
      </c>
    </row>
    <row r="3854" spans="4:11" x14ac:dyDescent="0.35">
      <c r="D3854" s="1">
        <v>40039</v>
      </c>
      <c r="E3854">
        <v>1.8376999999999999</v>
      </c>
      <c r="I3854" s="1">
        <v>39967</v>
      </c>
      <c r="J3854">
        <v>5420.2</v>
      </c>
      <c r="K3854" s="4">
        <f t="shared" si="287"/>
        <v>54202</v>
      </c>
    </row>
    <row r="3855" spans="4:11" x14ac:dyDescent="0.35">
      <c r="D3855" s="1">
        <v>40038</v>
      </c>
      <c r="E3855">
        <v>1.8317000000000001</v>
      </c>
      <c r="I3855" s="1">
        <v>39966</v>
      </c>
      <c r="J3855">
        <v>5305.11</v>
      </c>
      <c r="K3855" s="4">
        <f t="shared" si="287"/>
        <v>53051.1</v>
      </c>
    </row>
    <row r="3856" spans="4:11" x14ac:dyDescent="0.35">
      <c r="D3856" s="1">
        <v>40037</v>
      </c>
      <c r="E3856">
        <v>1.8378000000000001</v>
      </c>
      <c r="I3856" s="1">
        <v>39965</v>
      </c>
      <c r="J3856">
        <v>5379.1</v>
      </c>
      <c r="K3856" s="4">
        <f t="shared" si="287"/>
        <v>53791</v>
      </c>
    </row>
    <row r="3857" spans="4:11" x14ac:dyDescent="0.35">
      <c r="D3857" s="1">
        <v>40036</v>
      </c>
      <c r="E3857">
        <v>1.8449</v>
      </c>
      <c r="I3857" s="1">
        <v>39962</v>
      </c>
      <c r="J3857">
        <v>5429.79</v>
      </c>
      <c r="K3857" s="4">
        <f t="shared" si="287"/>
        <v>54297.9</v>
      </c>
    </row>
    <row r="3858" spans="4:11" x14ac:dyDescent="0.35">
      <c r="D3858" s="1">
        <v>40035</v>
      </c>
      <c r="E3858">
        <v>1.8404</v>
      </c>
      <c r="I3858" s="1">
        <v>39961</v>
      </c>
      <c r="J3858">
        <v>5506.93</v>
      </c>
      <c r="K3858" s="4">
        <f t="shared" si="287"/>
        <v>55069.3</v>
      </c>
    </row>
    <row r="3859" spans="4:11" x14ac:dyDescent="0.35">
      <c r="D3859" s="1">
        <v>40032</v>
      </c>
      <c r="E3859">
        <v>1.8224</v>
      </c>
      <c r="I3859" s="1">
        <v>39960</v>
      </c>
      <c r="J3859">
        <v>5617.12</v>
      </c>
      <c r="K3859" s="4">
        <f t="shared" si="287"/>
        <v>56171.199999999997</v>
      </c>
    </row>
    <row r="3860" spans="4:11" x14ac:dyDescent="0.35">
      <c r="D3860" s="1">
        <v>40031</v>
      </c>
      <c r="E3860">
        <v>1.8340000000000001</v>
      </c>
      <c r="I3860" s="1">
        <v>39959</v>
      </c>
      <c r="J3860">
        <v>5531.72</v>
      </c>
      <c r="K3860" s="4">
        <f t="shared" si="287"/>
        <v>55317.200000000004</v>
      </c>
    </row>
    <row r="3861" spans="4:11" x14ac:dyDescent="0.35">
      <c r="D3861" s="1">
        <v>40030</v>
      </c>
      <c r="E3861">
        <v>1.8172999999999999</v>
      </c>
      <c r="I3861" s="1">
        <v>39958</v>
      </c>
      <c r="J3861">
        <v>5588.2</v>
      </c>
      <c r="K3861" s="4">
        <f t="shared" si="287"/>
        <v>55882</v>
      </c>
    </row>
    <row r="3862" spans="4:11" x14ac:dyDescent="0.35">
      <c r="D3862" s="1">
        <v>40029</v>
      </c>
      <c r="E3862">
        <v>1.8264</v>
      </c>
      <c r="I3862" s="1">
        <v>39955</v>
      </c>
      <c r="J3862">
        <v>5597.84</v>
      </c>
      <c r="K3862" s="4">
        <f t="shared" si="287"/>
        <v>55978.400000000001</v>
      </c>
    </row>
    <row r="3863" spans="4:11" x14ac:dyDescent="0.35">
      <c r="D3863" s="1">
        <v>40028</v>
      </c>
      <c r="E3863">
        <v>1.8361000000000001</v>
      </c>
      <c r="I3863" s="1">
        <v>39954</v>
      </c>
      <c r="J3863">
        <v>5604.73</v>
      </c>
      <c r="K3863" s="4">
        <f t="shared" si="287"/>
        <v>56047.299999999996</v>
      </c>
    </row>
    <row r="3864" spans="4:11" x14ac:dyDescent="0.35">
      <c r="D3864" s="1">
        <v>40025</v>
      </c>
      <c r="E3864">
        <v>1.8717999999999999</v>
      </c>
      <c r="I3864" s="1">
        <v>39953</v>
      </c>
      <c r="J3864">
        <v>5612.99</v>
      </c>
      <c r="K3864" s="4">
        <f t="shared" si="287"/>
        <v>56129.899999999994</v>
      </c>
    </row>
    <row r="3865" spans="4:11" x14ac:dyDescent="0.35">
      <c r="D3865" s="1">
        <v>40024</v>
      </c>
      <c r="E3865">
        <v>1.8803000000000001</v>
      </c>
      <c r="I3865" s="1">
        <v>39952</v>
      </c>
      <c r="J3865">
        <v>5647.43</v>
      </c>
      <c r="K3865" s="4">
        <f t="shared" si="287"/>
        <v>56474.3</v>
      </c>
    </row>
    <row r="3866" spans="4:11" x14ac:dyDescent="0.35">
      <c r="D3866" s="1">
        <v>40023</v>
      </c>
      <c r="E3866">
        <v>1.8974</v>
      </c>
      <c r="I3866" s="1">
        <v>39951</v>
      </c>
      <c r="J3866">
        <v>5732.83</v>
      </c>
      <c r="K3866" s="4">
        <f t="shared" si="287"/>
        <v>57328.3</v>
      </c>
    </row>
    <row r="3867" spans="4:11" x14ac:dyDescent="0.35">
      <c r="D3867" s="1">
        <v>40022</v>
      </c>
      <c r="E3867">
        <v>1.8811</v>
      </c>
      <c r="I3867" s="1">
        <v>39948</v>
      </c>
      <c r="J3867">
        <v>5838.89</v>
      </c>
      <c r="K3867" s="4">
        <f t="shared" si="287"/>
        <v>58388.9</v>
      </c>
    </row>
    <row r="3868" spans="4:11" x14ac:dyDescent="0.35">
      <c r="D3868" s="1">
        <v>40021</v>
      </c>
      <c r="E3868">
        <v>1.8829</v>
      </c>
      <c r="I3868" s="1">
        <v>39947</v>
      </c>
      <c r="J3868">
        <v>5767.26</v>
      </c>
      <c r="K3868" s="4">
        <f t="shared" si="287"/>
        <v>57672.600000000006</v>
      </c>
    </row>
    <row r="3869" spans="4:11" x14ac:dyDescent="0.35">
      <c r="D3869" s="1">
        <v>40018</v>
      </c>
      <c r="E3869">
        <v>1.8952</v>
      </c>
      <c r="I3869" s="1">
        <v>39946</v>
      </c>
      <c r="J3869">
        <v>5845.77</v>
      </c>
      <c r="K3869" s="4">
        <f t="shared" si="287"/>
        <v>58457.700000000004</v>
      </c>
    </row>
    <row r="3870" spans="4:11" x14ac:dyDescent="0.35">
      <c r="D3870" s="1">
        <v>40017</v>
      </c>
      <c r="E3870">
        <v>1.8914</v>
      </c>
      <c r="I3870" s="1">
        <v>39945</v>
      </c>
      <c r="J3870">
        <v>5727.32</v>
      </c>
      <c r="K3870" s="4">
        <f t="shared" si="287"/>
        <v>57273.2</v>
      </c>
    </row>
    <row r="3871" spans="4:11" x14ac:dyDescent="0.35">
      <c r="D3871" s="1">
        <v>40016</v>
      </c>
      <c r="E3871">
        <v>1.9020999999999999</v>
      </c>
      <c r="I3871" s="1">
        <v>39944</v>
      </c>
      <c r="J3871">
        <v>5716.3</v>
      </c>
      <c r="K3871" s="4">
        <f t="shared" si="287"/>
        <v>57163</v>
      </c>
    </row>
    <row r="3872" spans="4:11" x14ac:dyDescent="0.35">
      <c r="D3872" s="1">
        <v>40015</v>
      </c>
      <c r="E3872">
        <v>1.9035</v>
      </c>
      <c r="I3872" s="1">
        <v>39941</v>
      </c>
      <c r="J3872">
        <v>5710.79</v>
      </c>
      <c r="K3872" s="4">
        <f t="shared" si="287"/>
        <v>57107.9</v>
      </c>
    </row>
    <row r="3873" spans="4:11" x14ac:dyDescent="0.35">
      <c r="D3873" s="1">
        <v>40014</v>
      </c>
      <c r="E3873">
        <v>1.9059999999999999</v>
      </c>
      <c r="I3873" s="1">
        <v>39940</v>
      </c>
      <c r="J3873">
        <v>5840.26</v>
      </c>
      <c r="K3873" s="4">
        <f t="shared" si="287"/>
        <v>58402.600000000006</v>
      </c>
    </row>
    <row r="3874" spans="4:11" x14ac:dyDescent="0.35">
      <c r="D3874" s="1">
        <v>40011</v>
      </c>
      <c r="E3874">
        <v>1.9281999999999999</v>
      </c>
      <c r="I3874" s="1">
        <v>39939</v>
      </c>
      <c r="J3874">
        <v>5856.79</v>
      </c>
      <c r="K3874" s="4">
        <f t="shared" si="287"/>
        <v>58567.9</v>
      </c>
    </row>
    <row r="3875" spans="4:11" x14ac:dyDescent="0.35">
      <c r="D3875" s="1">
        <v>40010</v>
      </c>
      <c r="E3875">
        <v>1.9332</v>
      </c>
      <c r="I3875" s="1">
        <v>39938</v>
      </c>
      <c r="J3875">
        <v>5922.91</v>
      </c>
      <c r="K3875" s="4">
        <f t="shared" si="287"/>
        <v>59229.1</v>
      </c>
    </row>
    <row r="3876" spans="4:11" x14ac:dyDescent="0.35">
      <c r="D3876" s="1">
        <v>40009</v>
      </c>
      <c r="E3876">
        <v>1.9412</v>
      </c>
      <c r="I3876" s="1">
        <v>39937</v>
      </c>
      <c r="J3876">
        <v>5873.32</v>
      </c>
      <c r="K3876" s="4">
        <f t="shared" si="287"/>
        <v>58733.2</v>
      </c>
    </row>
    <row r="3877" spans="4:11" x14ac:dyDescent="0.35">
      <c r="D3877" s="1">
        <v>40008</v>
      </c>
      <c r="E3877">
        <v>1.9696</v>
      </c>
      <c r="I3877" s="1">
        <v>39933</v>
      </c>
      <c r="J3877">
        <v>6077.18</v>
      </c>
      <c r="K3877" s="4">
        <f t="shared" si="287"/>
        <v>60771.8</v>
      </c>
    </row>
    <row r="3878" spans="4:11" x14ac:dyDescent="0.35">
      <c r="D3878" s="1">
        <v>40007</v>
      </c>
      <c r="E3878">
        <v>1.9886999999999999</v>
      </c>
      <c r="I3878" s="1">
        <v>39932</v>
      </c>
      <c r="J3878">
        <v>6082.76</v>
      </c>
      <c r="K3878" s="4">
        <f t="shared" si="287"/>
        <v>60827.600000000006</v>
      </c>
    </row>
    <row r="3879" spans="4:11" x14ac:dyDescent="0.35">
      <c r="D3879" s="1">
        <v>40004</v>
      </c>
      <c r="E3879">
        <v>2.0139</v>
      </c>
      <c r="I3879" s="1">
        <v>39931</v>
      </c>
      <c r="J3879">
        <v>6149.66</v>
      </c>
      <c r="K3879" s="4">
        <f t="shared" si="287"/>
        <v>61496.6</v>
      </c>
    </row>
    <row r="3880" spans="4:11" x14ac:dyDescent="0.35">
      <c r="D3880" s="1">
        <v>40003</v>
      </c>
      <c r="E3880">
        <v>1.9913000000000001</v>
      </c>
      <c r="I3880" s="1">
        <v>39930</v>
      </c>
      <c r="J3880">
        <v>6216.57</v>
      </c>
      <c r="K3880" s="4">
        <f t="shared" si="287"/>
        <v>62165.7</v>
      </c>
    </row>
    <row r="3881" spans="4:11" x14ac:dyDescent="0.35">
      <c r="D3881" s="1">
        <v>40002</v>
      </c>
      <c r="E3881">
        <v>1.9974000000000001</v>
      </c>
      <c r="I3881" s="1">
        <v>39927</v>
      </c>
      <c r="J3881">
        <v>6078.57</v>
      </c>
      <c r="K3881" s="4">
        <f t="shared" si="287"/>
        <v>60785.7</v>
      </c>
    </row>
    <row r="3882" spans="4:11" x14ac:dyDescent="0.35">
      <c r="D3882" s="1">
        <v>40001</v>
      </c>
      <c r="E3882">
        <v>1.9633</v>
      </c>
      <c r="I3882" s="1">
        <v>39926</v>
      </c>
      <c r="J3882">
        <v>6169.17</v>
      </c>
      <c r="K3882" s="4">
        <f t="shared" si="287"/>
        <v>61691.7</v>
      </c>
    </row>
    <row r="3883" spans="4:11" x14ac:dyDescent="0.35">
      <c r="D3883" s="1">
        <v>40000</v>
      </c>
      <c r="E3883">
        <v>1.9702999999999999</v>
      </c>
      <c r="I3883" s="1">
        <v>39925</v>
      </c>
      <c r="J3883">
        <v>6183.11</v>
      </c>
      <c r="K3883" s="4">
        <f t="shared" si="287"/>
        <v>61831.1</v>
      </c>
    </row>
    <row r="3884" spans="4:11" x14ac:dyDescent="0.35">
      <c r="D3884" s="1">
        <v>39997</v>
      </c>
      <c r="E3884">
        <v>1.9466000000000001</v>
      </c>
      <c r="I3884" s="1">
        <v>39923</v>
      </c>
      <c r="J3884">
        <v>6277.9</v>
      </c>
      <c r="K3884" s="4">
        <f t="shared" si="287"/>
        <v>62779</v>
      </c>
    </row>
    <row r="3885" spans="4:11" x14ac:dyDescent="0.35">
      <c r="D3885" s="1">
        <v>39996</v>
      </c>
      <c r="E3885">
        <v>1.9460999999999999</v>
      </c>
      <c r="I3885" s="1">
        <v>39920</v>
      </c>
      <c r="J3885">
        <v>6141.3</v>
      </c>
      <c r="K3885" s="4">
        <f t="shared" si="287"/>
        <v>61413</v>
      </c>
    </row>
    <row r="3886" spans="4:11" x14ac:dyDescent="0.35">
      <c r="D3886" s="1">
        <v>39995</v>
      </c>
      <c r="E3886">
        <v>1.9334</v>
      </c>
      <c r="I3886" s="1">
        <v>39919</v>
      </c>
      <c r="J3886">
        <v>6068.82</v>
      </c>
      <c r="K3886" s="4">
        <f t="shared" si="287"/>
        <v>60688.2</v>
      </c>
    </row>
    <row r="3887" spans="4:11" x14ac:dyDescent="0.35">
      <c r="D3887" s="1">
        <v>39994</v>
      </c>
      <c r="E3887">
        <v>1.9508000000000001</v>
      </c>
      <c r="I3887" s="1">
        <v>39918</v>
      </c>
      <c r="J3887">
        <v>6105.06</v>
      </c>
      <c r="K3887" s="4">
        <f t="shared" si="287"/>
        <v>61050.600000000006</v>
      </c>
    </row>
    <row r="3888" spans="4:11" x14ac:dyDescent="0.35">
      <c r="D3888" s="1">
        <v>39993</v>
      </c>
      <c r="E3888">
        <v>1.9479</v>
      </c>
      <c r="I3888" s="1">
        <v>39917</v>
      </c>
      <c r="J3888">
        <v>6174.75</v>
      </c>
      <c r="K3888" s="4">
        <f t="shared" si="287"/>
        <v>61747.5</v>
      </c>
    </row>
    <row r="3889" spans="4:11" x14ac:dyDescent="0.35">
      <c r="D3889" s="1">
        <v>39990</v>
      </c>
      <c r="E3889">
        <v>1.9388000000000001</v>
      </c>
      <c r="I3889" s="1">
        <v>39916</v>
      </c>
      <c r="J3889">
        <v>6099.48</v>
      </c>
      <c r="K3889" s="4">
        <f t="shared" si="287"/>
        <v>60994.799999999996</v>
      </c>
    </row>
    <row r="3890" spans="4:11" x14ac:dyDescent="0.35">
      <c r="D3890" s="1">
        <v>39989</v>
      </c>
      <c r="E3890">
        <v>1.9554</v>
      </c>
      <c r="I3890" s="1">
        <v>39912</v>
      </c>
      <c r="J3890">
        <v>6077.18</v>
      </c>
      <c r="K3890" s="4">
        <f t="shared" si="287"/>
        <v>60771.8</v>
      </c>
    </row>
    <row r="3891" spans="4:11" x14ac:dyDescent="0.35">
      <c r="D3891" s="1">
        <v>39988</v>
      </c>
      <c r="E3891">
        <v>1.9716</v>
      </c>
      <c r="I3891" s="1">
        <v>39911</v>
      </c>
      <c r="J3891">
        <v>6166.39</v>
      </c>
      <c r="K3891" s="4">
        <f t="shared" si="287"/>
        <v>61663.9</v>
      </c>
    </row>
    <row r="3892" spans="4:11" x14ac:dyDescent="0.35">
      <c r="D3892" s="1">
        <v>39987</v>
      </c>
      <c r="E3892">
        <v>2.0011000000000001</v>
      </c>
      <c r="I3892" s="1">
        <v>39910</v>
      </c>
      <c r="J3892">
        <v>6216.57</v>
      </c>
      <c r="K3892" s="4">
        <f t="shared" si="287"/>
        <v>62165.7</v>
      </c>
    </row>
    <row r="3893" spans="4:11" x14ac:dyDescent="0.35">
      <c r="D3893" s="1">
        <v>39986</v>
      </c>
      <c r="E3893">
        <v>2.0066000000000002</v>
      </c>
      <c r="I3893" s="1">
        <v>39909</v>
      </c>
      <c r="J3893">
        <v>6230.5</v>
      </c>
      <c r="K3893" s="4">
        <f t="shared" si="287"/>
        <v>62305</v>
      </c>
    </row>
    <row r="3894" spans="4:11" x14ac:dyDescent="0.35">
      <c r="D3894" s="1">
        <v>39983</v>
      </c>
      <c r="E3894">
        <v>1.9583999999999999</v>
      </c>
      <c r="I3894" s="1">
        <v>39906</v>
      </c>
      <c r="J3894">
        <v>6194.26</v>
      </c>
      <c r="K3894" s="4">
        <f t="shared" si="287"/>
        <v>61942.600000000006</v>
      </c>
    </row>
    <row r="3895" spans="4:11" x14ac:dyDescent="0.35">
      <c r="D3895" s="1">
        <v>39982</v>
      </c>
      <c r="E3895">
        <v>1.9701</v>
      </c>
      <c r="I3895" s="1">
        <v>39905</v>
      </c>
      <c r="J3895">
        <v>6261.17</v>
      </c>
      <c r="K3895" s="4">
        <f t="shared" si="287"/>
        <v>62611.7</v>
      </c>
    </row>
    <row r="3896" spans="4:11" x14ac:dyDescent="0.35">
      <c r="D3896" s="1">
        <v>39981</v>
      </c>
      <c r="E3896">
        <v>1.9776</v>
      </c>
      <c r="I3896" s="1">
        <v>39904</v>
      </c>
      <c r="J3896">
        <v>6379.65</v>
      </c>
      <c r="K3896" s="4">
        <f t="shared" si="287"/>
        <v>63796.5</v>
      </c>
    </row>
    <row r="3897" spans="4:11" x14ac:dyDescent="0.35">
      <c r="D3897" s="1">
        <v>39980</v>
      </c>
      <c r="E3897">
        <v>1.9453</v>
      </c>
      <c r="I3897" s="1">
        <v>39903</v>
      </c>
      <c r="J3897">
        <v>6519.03</v>
      </c>
      <c r="K3897" s="4">
        <f t="shared" si="287"/>
        <v>65190.299999999996</v>
      </c>
    </row>
    <row r="3898" spans="4:11" x14ac:dyDescent="0.35">
      <c r="D3898" s="1">
        <v>39979</v>
      </c>
      <c r="E3898">
        <v>1.9450000000000001</v>
      </c>
      <c r="I3898" s="1">
        <v>39902</v>
      </c>
      <c r="J3898">
        <v>6573.98</v>
      </c>
      <c r="K3898" s="4">
        <f t="shared" si="287"/>
        <v>65739.799999999988</v>
      </c>
    </row>
    <row r="3899" spans="4:11" x14ac:dyDescent="0.35">
      <c r="D3899" s="1">
        <v>39976</v>
      </c>
      <c r="E3899">
        <v>1.9293</v>
      </c>
      <c r="I3899" s="1">
        <v>39899</v>
      </c>
      <c r="J3899">
        <v>6452.81</v>
      </c>
      <c r="K3899" s="4">
        <f t="shared" si="287"/>
        <v>64528.100000000006</v>
      </c>
    </row>
    <row r="3900" spans="4:11" x14ac:dyDescent="0.35">
      <c r="D3900" s="1">
        <v>39974</v>
      </c>
      <c r="E3900">
        <v>1.9466000000000001</v>
      </c>
      <c r="I3900" s="1">
        <v>39898</v>
      </c>
      <c r="J3900">
        <v>6340.1</v>
      </c>
      <c r="K3900" s="4">
        <f t="shared" si="287"/>
        <v>63401</v>
      </c>
    </row>
    <row r="3901" spans="4:11" x14ac:dyDescent="0.35">
      <c r="D3901" s="1">
        <v>39973</v>
      </c>
      <c r="E3901">
        <v>1.9377</v>
      </c>
      <c r="I3901" s="1">
        <v>39897</v>
      </c>
      <c r="J3901">
        <v>6311.92</v>
      </c>
      <c r="K3901" s="4">
        <f t="shared" si="287"/>
        <v>63119.199999999997</v>
      </c>
    </row>
    <row r="3902" spans="4:11" x14ac:dyDescent="0.35">
      <c r="D3902" s="1">
        <v>39972</v>
      </c>
      <c r="E3902">
        <v>1.9696</v>
      </c>
      <c r="I3902" s="1">
        <v>39896</v>
      </c>
      <c r="J3902">
        <v>6341.51</v>
      </c>
      <c r="K3902" s="4">
        <f t="shared" si="287"/>
        <v>63415.100000000006</v>
      </c>
    </row>
    <row r="3903" spans="4:11" x14ac:dyDescent="0.35">
      <c r="D3903" s="1">
        <v>39969</v>
      </c>
      <c r="E3903">
        <v>1.9525999999999999</v>
      </c>
      <c r="I3903" s="1">
        <v>39895</v>
      </c>
      <c r="J3903">
        <v>6340.1</v>
      </c>
      <c r="K3903" s="4">
        <f t="shared" si="287"/>
        <v>63401</v>
      </c>
    </row>
    <row r="3904" spans="4:11" x14ac:dyDescent="0.35">
      <c r="D3904" s="1">
        <v>39968</v>
      </c>
      <c r="E3904">
        <v>1.9489000000000001</v>
      </c>
      <c r="I3904" s="1">
        <v>39892</v>
      </c>
      <c r="J3904">
        <v>6410.54</v>
      </c>
      <c r="K3904" s="4">
        <f t="shared" si="287"/>
        <v>64105.4</v>
      </c>
    </row>
    <row r="3905" spans="4:11" x14ac:dyDescent="0.35">
      <c r="D3905" s="1">
        <v>39967</v>
      </c>
      <c r="E3905">
        <v>1.9592000000000001</v>
      </c>
      <c r="I3905" s="1">
        <v>39891</v>
      </c>
      <c r="J3905">
        <v>6368.28</v>
      </c>
      <c r="K3905" s="4">
        <f t="shared" si="287"/>
        <v>63682.799999999996</v>
      </c>
    </row>
    <row r="3906" spans="4:11" x14ac:dyDescent="0.35">
      <c r="D3906" s="1">
        <v>39966</v>
      </c>
      <c r="E3906">
        <v>1.9361999999999999</v>
      </c>
      <c r="I3906" s="1">
        <v>39890</v>
      </c>
      <c r="J3906">
        <v>6365.46</v>
      </c>
      <c r="K3906" s="4">
        <f t="shared" si="287"/>
        <v>63654.6</v>
      </c>
    </row>
    <row r="3907" spans="4:11" x14ac:dyDescent="0.35">
      <c r="D3907" s="1">
        <v>39965</v>
      </c>
      <c r="E3907">
        <v>1.9432</v>
      </c>
      <c r="I3907" s="1">
        <v>39889</v>
      </c>
      <c r="J3907">
        <v>6468.31</v>
      </c>
      <c r="K3907" s="4">
        <f t="shared" si="287"/>
        <v>64683.100000000006</v>
      </c>
    </row>
    <row r="3908" spans="4:11" x14ac:dyDescent="0.35">
      <c r="D3908" s="1">
        <v>39962</v>
      </c>
      <c r="E3908">
        <v>1.9722</v>
      </c>
      <c r="I3908" s="1">
        <v>39888</v>
      </c>
      <c r="J3908">
        <v>6461.27</v>
      </c>
      <c r="K3908" s="4">
        <f t="shared" si="287"/>
        <v>64612.700000000004</v>
      </c>
    </row>
    <row r="3909" spans="4:11" x14ac:dyDescent="0.35">
      <c r="D3909" s="1">
        <v>39961</v>
      </c>
      <c r="E3909">
        <v>2.0135999999999998</v>
      </c>
      <c r="I3909" s="1">
        <v>39885</v>
      </c>
      <c r="J3909">
        <v>6503.53</v>
      </c>
      <c r="K3909" s="4">
        <f t="shared" ref="K3909:K3972" si="288">J3909*10</f>
        <v>65035.299999999996</v>
      </c>
    </row>
    <row r="3910" spans="4:11" x14ac:dyDescent="0.35">
      <c r="D3910" s="1">
        <v>39960</v>
      </c>
      <c r="E3910">
        <v>2.0087000000000002</v>
      </c>
      <c r="I3910" s="1">
        <v>39884</v>
      </c>
      <c r="J3910">
        <v>6511.99</v>
      </c>
      <c r="K3910" s="4">
        <f t="shared" si="288"/>
        <v>65119.899999999994</v>
      </c>
    </row>
    <row r="3911" spans="4:11" x14ac:dyDescent="0.35">
      <c r="D3911" s="1">
        <v>39959</v>
      </c>
      <c r="E3911">
        <v>2.0253000000000001</v>
      </c>
      <c r="I3911" s="1">
        <v>39883</v>
      </c>
      <c r="J3911">
        <v>6638.79</v>
      </c>
      <c r="K3911" s="4">
        <f t="shared" si="288"/>
        <v>66387.899999999994</v>
      </c>
    </row>
    <row r="3912" spans="4:11" x14ac:dyDescent="0.35">
      <c r="D3912" s="1">
        <v>39958</v>
      </c>
      <c r="E3912">
        <v>2.0226000000000002</v>
      </c>
      <c r="I3912" s="1">
        <v>39882</v>
      </c>
      <c r="J3912">
        <v>6630.33</v>
      </c>
      <c r="K3912" s="4">
        <f t="shared" si="288"/>
        <v>66303.3</v>
      </c>
    </row>
    <row r="3913" spans="4:11" x14ac:dyDescent="0.35">
      <c r="D3913" s="1">
        <v>39955</v>
      </c>
      <c r="E3913">
        <v>2.0270999999999999</v>
      </c>
      <c r="I3913" s="1">
        <v>39881</v>
      </c>
      <c r="J3913">
        <v>6758.55</v>
      </c>
      <c r="K3913" s="4">
        <f t="shared" si="288"/>
        <v>67585.5</v>
      </c>
    </row>
    <row r="3914" spans="4:11" x14ac:dyDescent="0.35">
      <c r="D3914" s="1">
        <v>39954</v>
      </c>
      <c r="E3914">
        <v>2.0255999999999998</v>
      </c>
      <c r="I3914" s="1">
        <v>39878</v>
      </c>
      <c r="J3914">
        <v>6734.59</v>
      </c>
      <c r="K3914" s="4">
        <f t="shared" si="288"/>
        <v>67345.899999999994</v>
      </c>
    </row>
    <row r="3915" spans="4:11" x14ac:dyDescent="0.35">
      <c r="D3915" s="1">
        <v>39953</v>
      </c>
      <c r="E3915">
        <v>2.0190999999999999</v>
      </c>
      <c r="I3915" s="1">
        <v>39877</v>
      </c>
      <c r="J3915">
        <v>6793.77</v>
      </c>
      <c r="K3915" s="4">
        <f t="shared" si="288"/>
        <v>67937.700000000012</v>
      </c>
    </row>
    <row r="3916" spans="4:11" x14ac:dyDescent="0.35">
      <c r="D3916" s="1">
        <v>39952</v>
      </c>
      <c r="E3916">
        <v>2.048</v>
      </c>
      <c r="I3916" s="1">
        <v>39876</v>
      </c>
      <c r="J3916">
        <v>6734.59</v>
      </c>
      <c r="K3916" s="4">
        <f t="shared" si="288"/>
        <v>67345.899999999994</v>
      </c>
    </row>
    <row r="3917" spans="4:11" x14ac:dyDescent="0.35">
      <c r="D3917" s="1">
        <v>39951</v>
      </c>
      <c r="E3917">
        <v>2.0775999999999999</v>
      </c>
      <c r="I3917" s="1">
        <v>39875</v>
      </c>
      <c r="J3917">
        <v>6878.3</v>
      </c>
      <c r="K3917" s="4">
        <f t="shared" si="288"/>
        <v>68783</v>
      </c>
    </row>
    <row r="3918" spans="4:11" x14ac:dyDescent="0.35">
      <c r="D3918" s="1">
        <v>39948</v>
      </c>
      <c r="E3918">
        <v>2.0754000000000001</v>
      </c>
      <c r="I3918" s="1">
        <v>39874</v>
      </c>
      <c r="J3918">
        <v>6958.61</v>
      </c>
      <c r="K3918" s="4">
        <f t="shared" si="288"/>
        <v>69586.099999999991</v>
      </c>
    </row>
    <row r="3919" spans="4:11" x14ac:dyDescent="0.35">
      <c r="D3919" s="1">
        <v>39947</v>
      </c>
      <c r="E3919">
        <v>2.0920999999999998</v>
      </c>
      <c r="I3919" s="1">
        <v>39871</v>
      </c>
      <c r="J3919">
        <v>6790.95</v>
      </c>
      <c r="K3919" s="4">
        <f t="shared" si="288"/>
        <v>67909.5</v>
      </c>
    </row>
    <row r="3920" spans="4:11" x14ac:dyDescent="0.35">
      <c r="D3920" s="1">
        <v>39946</v>
      </c>
      <c r="E3920">
        <v>2.0983999999999998</v>
      </c>
      <c r="I3920" s="1">
        <v>39870</v>
      </c>
      <c r="J3920">
        <v>6715.31</v>
      </c>
      <c r="K3920" s="4">
        <f t="shared" si="288"/>
        <v>67153.100000000006</v>
      </c>
    </row>
    <row r="3921" spans="4:11" x14ac:dyDescent="0.35">
      <c r="D3921" s="1">
        <v>39945</v>
      </c>
      <c r="E3921">
        <v>2.0640999999999998</v>
      </c>
      <c r="I3921" s="1">
        <v>39869</v>
      </c>
      <c r="J3921">
        <v>6773.82</v>
      </c>
      <c r="K3921" s="4">
        <f t="shared" si="288"/>
        <v>67738.2</v>
      </c>
    </row>
    <row r="3922" spans="4:11" x14ac:dyDescent="0.35">
      <c r="D3922" s="1">
        <v>39944</v>
      </c>
      <c r="E3922">
        <v>2.0571000000000002</v>
      </c>
      <c r="I3922" s="1">
        <v>39864</v>
      </c>
      <c r="J3922">
        <v>6808.08</v>
      </c>
      <c r="K3922" s="4">
        <f t="shared" si="288"/>
        <v>68080.800000000003</v>
      </c>
    </row>
    <row r="3923" spans="4:11" x14ac:dyDescent="0.35">
      <c r="D3923" s="1">
        <v>39941</v>
      </c>
      <c r="E3923">
        <v>2.0741999999999998</v>
      </c>
      <c r="I3923" s="1">
        <v>39863</v>
      </c>
      <c r="J3923">
        <v>6779.53</v>
      </c>
      <c r="K3923" s="4">
        <f t="shared" si="288"/>
        <v>67795.3</v>
      </c>
    </row>
    <row r="3924" spans="4:11" x14ac:dyDescent="0.35">
      <c r="D3924" s="1">
        <v>39940</v>
      </c>
      <c r="E3924">
        <v>2.0975999999999999</v>
      </c>
      <c r="I3924" s="1">
        <v>39862</v>
      </c>
      <c r="J3924">
        <v>6748.13</v>
      </c>
      <c r="K3924" s="4">
        <f t="shared" si="288"/>
        <v>67481.3</v>
      </c>
    </row>
    <row r="3925" spans="4:11" x14ac:dyDescent="0.35">
      <c r="D3925" s="1">
        <v>39939</v>
      </c>
      <c r="E3925">
        <v>2.1204999999999998</v>
      </c>
      <c r="I3925" s="1">
        <v>39861</v>
      </c>
      <c r="J3925">
        <v>6693.9</v>
      </c>
      <c r="K3925" s="4">
        <f t="shared" si="288"/>
        <v>66939</v>
      </c>
    </row>
    <row r="3926" spans="4:11" x14ac:dyDescent="0.35">
      <c r="D3926" s="1">
        <v>39938</v>
      </c>
      <c r="E3926">
        <v>2.1467999999999998</v>
      </c>
      <c r="I3926" s="1">
        <v>39860</v>
      </c>
      <c r="J3926">
        <v>6515.49</v>
      </c>
      <c r="K3926" s="4">
        <f t="shared" si="288"/>
        <v>65154.899999999994</v>
      </c>
    </row>
    <row r="3927" spans="4:11" x14ac:dyDescent="0.35">
      <c r="D3927" s="1">
        <v>39937</v>
      </c>
      <c r="E3927">
        <v>2.1360999999999999</v>
      </c>
      <c r="I3927" s="1">
        <v>39857</v>
      </c>
      <c r="J3927">
        <v>6452.69</v>
      </c>
      <c r="K3927" s="4">
        <f t="shared" si="288"/>
        <v>64526.899999999994</v>
      </c>
    </row>
    <row r="3928" spans="4:11" x14ac:dyDescent="0.35">
      <c r="D3928" s="1">
        <v>39933</v>
      </c>
      <c r="E3928">
        <v>2.1775000000000002</v>
      </c>
      <c r="I3928" s="1">
        <v>39856</v>
      </c>
      <c r="J3928">
        <v>6602.55</v>
      </c>
      <c r="K3928" s="4">
        <f t="shared" si="288"/>
        <v>66025.5</v>
      </c>
    </row>
    <row r="3929" spans="4:11" x14ac:dyDescent="0.35">
      <c r="D3929" s="1">
        <v>39932</v>
      </c>
      <c r="E3929">
        <v>2.1829999999999998</v>
      </c>
      <c r="I3929" s="1">
        <v>39855</v>
      </c>
      <c r="J3929">
        <v>6516.91</v>
      </c>
      <c r="K3929" s="4">
        <f t="shared" si="288"/>
        <v>65169.1</v>
      </c>
    </row>
    <row r="3930" spans="4:11" x14ac:dyDescent="0.35">
      <c r="D3930" s="1">
        <v>39931</v>
      </c>
      <c r="E3930">
        <v>2.2029000000000001</v>
      </c>
      <c r="I3930" s="1">
        <v>39854</v>
      </c>
      <c r="J3930">
        <v>6622.53</v>
      </c>
      <c r="K3930" s="4">
        <f t="shared" si="288"/>
        <v>66225.3</v>
      </c>
    </row>
    <row r="3931" spans="4:11" x14ac:dyDescent="0.35">
      <c r="D3931" s="1">
        <v>39930</v>
      </c>
      <c r="E3931">
        <v>2.2157</v>
      </c>
      <c r="I3931" s="1">
        <v>39853</v>
      </c>
      <c r="J3931">
        <v>6485.51</v>
      </c>
      <c r="K3931" s="4">
        <f t="shared" si="288"/>
        <v>64855.100000000006</v>
      </c>
    </row>
    <row r="3932" spans="4:11" x14ac:dyDescent="0.35">
      <c r="D3932" s="1">
        <v>39927</v>
      </c>
      <c r="E3932">
        <v>2.1924999999999999</v>
      </c>
      <c r="I3932" s="1">
        <v>39850</v>
      </c>
      <c r="J3932">
        <v>6465.53</v>
      </c>
      <c r="K3932" s="4">
        <f t="shared" si="288"/>
        <v>64655.299999999996</v>
      </c>
    </row>
    <row r="3933" spans="4:11" x14ac:dyDescent="0.35">
      <c r="D3933" s="1">
        <v>39926</v>
      </c>
      <c r="E3933">
        <v>2.2099000000000002</v>
      </c>
      <c r="I3933" s="1">
        <v>39849</v>
      </c>
      <c r="J3933">
        <v>6559.73</v>
      </c>
      <c r="K3933" s="4">
        <f t="shared" si="288"/>
        <v>65597.299999999988</v>
      </c>
    </row>
    <row r="3934" spans="4:11" x14ac:dyDescent="0.35">
      <c r="D3934" s="1">
        <v>39925</v>
      </c>
      <c r="E3934">
        <v>2.2120000000000002</v>
      </c>
      <c r="I3934" s="1">
        <v>39848</v>
      </c>
      <c r="J3934">
        <v>6633.95</v>
      </c>
      <c r="K3934" s="4">
        <f t="shared" si="288"/>
        <v>66339.5</v>
      </c>
    </row>
    <row r="3935" spans="4:11" x14ac:dyDescent="0.35">
      <c r="D3935" s="1">
        <v>39923</v>
      </c>
      <c r="E3935">
        <v>2.2342</v>
      </c>
      <c r="I3935" s="1">
        <v>39847</v>
      </c>
      <c r="J3935">
        <v>6636.81</v>
      </c>
      <c r="K3935" s="4">
        <f t="shared" si="288"/>
        <v>66368.100000000006</v>
      </c>
    </row>
    <row r="3936" spans="4:11" x14ac:dyDescent="0.35">
      <c r="D3936" s="1">
        <v>39920</v>
      </c>
      <c r="E3936">
        <v>2.1856</v>
      </c>
      <c r="I3936" s="1">
        <v>39846</v>
      </c>
      <c r="J3936">
        <v>6668.21</v>
      </c>
      <c r="K3936" s="4">
        <f t="shared" si="288"/>
        <v>66682.100000000006</v>
      </c>
    </row>
    <row r="3937" spans="4:11" x14ac:dyDescent="0.35">
      <c r="D3937" s="1">
        <v>39919</v>
      </c>
      <c r="E3937">
        <v>2.1783000000000001</v>
      </c>
      <c r="I3937" s="1">
        <v>39843</v>
      </c>
      <c r="J3937">
        <v>6679.62</v>
      </c>
      <c r="K3937" s="4">
        <f t="shared" si="288"/>
        <v>66796.2</v>
      </c>
    </row>
    <row r="3938" spans="4:11" x14ac:dyDescent="0.35">
      <c r="D3938" s="1">
        <v>39918</v>
      </c>
      <c r="E3938">
        <v>2.1983999999999999</v>
      </c>
      <c r="I3938" s="1">
        <v>39842</v>
      </c>
      <c r="J3938">
        <v>6606.08</v>
      </c>
      <c r="K3938" s="4">
        <f t="shared" si="288"/>
        <v>66060.800000000003</v>
      </c>
    </row>
    <row r="3939" spans="4:11" x14ac:dyDescent="0.35">
      <c r="D3939" s="1">
        <v>39917</v>
      </c>
      <c r="E3939">
        <v>2.1867999999999999</v>
      </c>
      <c r="I3939" s="1">
        <v>39841</v>
      </c>
      <c r="J3939">
        <v>6575.8</v>
      </c>
      <c r="K3939" s="4">
        <f t="shared" si="288"/>
        <v>65758</v>
      </c>
    </row>
    <row r="3940" spans="4:11" x14ac:dyDescent="0.35">
      <c r="D3940" s="1">
        <v>39916</v>
      </c>
      <c r="E3940">
        <v>2.1690999999999998</v>
      </c>
      <c r="I3940" s="1">
        <v>39840</v>
      </c>
      <c r="J3940">
        <v>6760.38</v>
      </c>
      <c r="K3940" s="4">
        <f t="shared" si="288"/>
        <v>67603.8</v>
      </c>
    </row>
    <row r="3941" spans="4:11" x14ac:dyDescent="0.35">
      <c r="D3941" s="1">
        <v>39912</v>
      </c>
      <c r="E3941">
        <v>2.1758000000000002</v>
      </c>
      <c r="I3941" s="1">
        <v>39839</v>
      </c>
      <c r="J3941">
        <v>6705.58</v>
      </c>
      <c r="K3941" s="4">
        <f t="shared" si="288"/>
        <v>67055.8</v>
      </c>
    </row>
    <row r="3942" spans="4:11" x14ac:dyDescent="0.35">
      <c r="D3942" s="1">
        <v>39911</v>
      </c>
      <c r="E3942">
        <v>2.2006000000000001</v>
      </c>
      <c r="I3942" s="1">
        <v>39836</v>
      </c>
      <c r="J3942">
        <v>6734.42</v>
      </c>
      <c r="K3942" s="4">
        <f t="shared" si="288"/>
        <v>67344.2</v>
      </c>
    </row>
    <row r="3943" spans="4:11" x14ac:dyDescent="0.35">
      <c r="D3943" s="1">
        <v>39910</v>
      </c>
      <c r="E3943">
        <v>2.2241</v>
      </c>
      <c r="I3943" s="1">
        <v>39835</v>
      </c>
      <c r="J3943">
        <v>6725.77</v>
      </c>
      <c r="K3943" s="4">
        <f t="shared" si="288"/>
        <v>67257.700000000012</v>
      </c>
    </row>
    <row r="3944" spans="4:11" x14ac:dyDescent="0.35">
      <c r="D3944" s="1">
        <v>39909</v>
      </c>
      <c r="E3944">
        <v>2.2244000000000002</v>
      </c>
      <c r="I3944" s="1">
        <v>39834</v>
      </c>
      <c r="J3944">
        <v>6774.8</v>
      </c>
      <c r="K3944" s="4">
        <f t="shared" si="288"/>
        <v>67748</v>
      </c>
    </row>
    <row r="3945" spans="4:11" x14ac:dyDescent="0.35">
      <c r="D3945" s="1">
        <v>39906</v>
      </c>
      <c r="E3945">
        <v>2.2063999999999999</v>
      </c>
      <c r="I3945" s="1">
        <v>39833</v>
      </c>
      <c r="J3945">
        <v>6881.51</v>
      </c>
      <c r="K3945" s="4">
        <f t="shared" si="288"/>
        <v>68815.100000000006</v>
      </c>
    </row>
    <row r="3946" spans="4:11" x14ac:dyDescent="0.35">
      <c r="D3946" s="1">
        <v>39905</v>
      </c>
      <c r="E3946">
        <v>2.2347000000000001</v>
      </c>
      <c r="I3946" s="1">
        <v>39832</v>
      </c>
      <c r="J3946">
        <v>6789.22</v>
      </c>
      <c r="K3946" s="4">
        <f t="shared" si="288"/>
        <v>67892.2</v>
      </c>
    </row>
    <row r="3947" spans="4:11" x14ac:dyDescent="0.35">
      <c r="D3947" s="1">
        <v>39904</v>
      </c>
      <c r="E3947">
        <v>2.2890999999999999</v>
      </c>
      <c r="I3947" s="1">
        <v>39829</v>
      </c>
      <c r="J3947">
        <v>6748.84</v>
      </c>
      <c r="K3947" s="4">
        <f t="shared" si="288"/>
        <v>67488.399999999994</v>
      </c>
    </row>
    <row r="3948" spans="4:11" x14ac:dyDescent="0.35">
      <c r="D3948" s="1">
        <v>39903</v>
      </c>
      <c r="E3948">
        <v>2.3144</v>
      </c>
      <c r="I3948" s="1">
        <v>39828</v>
      </c>
      <c r="J3948">
        <v>6835.37</v>
      </c>
      <c r="K3948" s="4">
        <f t="shared" si="288"/>
        <v>68353.7</v>
      </c>
    </row>
    <row r="3949" spans="4:11" x14ac:dyDescent="0.35">
      <c r="D3949" s="1">
        <v>39902</v>
      </c>
      <c r="E3949">
        <v>2.3289</v>
      </c>
      <c r="I3949" s="1">
        <v>39827</v>
      </c>
      <c r="J3949">
        <v>6884.4</v>
      </c>
      <c r="K3949" s="4">
        <f t="shared" si="288"/>
        <v>68844</v>
      </c>
    </row>
    <row r="3950" spans="4:11" x14ac:dyDescent="0.35">
      <c r="D3950" s="1">
        <v>39899</v>
      </c>
      <c r="E3950">
        <v>2.2736999999999998</v>
      </c>
      <c r="I3950" s="1">
        <v>39826</v>
      </c>
      <c r="J3950">
        <v>6734.42</v>
      </c>
      <c r="K3950" s="4">
        <f t="shared" si="288"/>
        <v>67344.2</v>
      </c>
    </row>
    <row r="3951" spans="4:11" x14ac:dyDescent="0.35">
      <c r="D3951" s="1">
        <v>39898</v>
      </c>
      <c r="E3951">
        <v>2.2366999999999999</v>
      </c>
      <c r="I3951" s="1">
        <v>39825</v>
      </c>
      <c r="J3951">
        <v>6731.54</v>
      </c>
      <c r="K3951" s="4">
        <f t="shared" si="288"/>
        <v>67315.399999999994</v>
      </c>
    </row>
    <row r="3952" spans="4:11" x14ac:dyDescent="0.35">
      <c r="D3952" s="1">
        <v>39897</v>
      </c>
      <c r="E3952">
        <v>2.2427000000000001</v>
      </c>
      <c r="I3952" s="1">
        <v>39822</v>
      </c>
      <c r="J3952">
        <v>6546.95</v>
      </c>
      <c r="K3952" s="4">
        <f t="shared" si="288"/>
        <v>65469.5</v>
      </c>
    </row>
    <row r="3953" spans="4:11" x14ac:dyDescent="0.35">
      <c r="D3953" s="1">
        <v>39896</v>
      </c>
      <c r="E3953">
        <v>2.2559</v>
      </c>
      <c r="I3953" s="1">
        <v>39821</v>
      </c>
      <c r="J3953">
        <v>6645.01</v>
      </c>
      <c r="K3953" s="4">
        <f t="shared" si="288"/>
        <v>66450.100000000006</v>
      </c>
    </row>
    <row r="3954" spans="4:11" x14ac:dyDescent="0.35">
      <c r="D3954" s="1">
        <v>39895</v>
      </c>
      <c r="E3954">
        <v>2.2496999999999998</v>
      </c>
      <c r="I3954" s="1">
        <v>39820</v>
      </c>
      <c r="J3954">
        <v>6575.8</v>
      </c>
      <c r="K3954" s="4">
        <f t="shared" si="288"/>
        <v>65758</v>
      </c>
    </row>
    <row r="3955" spans="4:11" x14ac:dyDescent="0.35">
      <c r="D3955" s="1">
        <v>39892</v>
      </c>
      <c r="E3955">
        <v>2.2559</v>
      </c>
      <c r="I3955" s="1">
        <v>39819</v>
      </c>
      <c r="J3955">
        <v>6316.22</v>
      </c>
      <c r="K3955" s="4">
        <f t="shared" si="288"/>
        <v>63162.200000000004</v>
      </c>
    </row>
    <row r="3956" spans="4:11" x14ac:dyDescent="0.35">
      <c r="D3956" s="1">
        <v>39891</v>
      </c>
      <c r="E3956">
        <v>2.2370999999999999</v>
      </c>
      <c r="I3956" s="1">
        <v>39818</v>
      </c>
      <c r="J3956">
        <v>6518.11</v>
      </c>
      <c r="K3956" s="4">
        <f t="shared" si="288"/>
        <v>65181.1</v>
      </c>
    </row>
    <row r="3957" spans="4:11" x14ac:dyDescent="0.35">
      <c r="D3957" s="1">
        <v>39890</v>
      </c>
      <c r="E3957">
        <v>2.2797999999999998</v>
      </c>
      <c r="I3957" s="1">
        <v>39815</v>
      </c>
      <c r="J3957">
        <v>6777.68</v>
      </c>
      <c r="K3957" s="4">
        <f t="shared" si="288"/>
        <v>67776.800000000003</v>
      </c>
    </row>
    <row r="3958" spans="4:11" x14ac:dyDescent="0.35">
      <c r="D3958" s="1">
        <v>39889</v>
      </c>
      <c r="E3958">
        <v>2.2825000000000002</v>
      </c>
      <c r="I3958" s="1">
        <v>39812</v>
      </c>
      <c r="J3958">
        <v>6835.37</v>
      </c>
      <c r="K3958" s="4">
        <f t="shared" si="288"/>
        <v>68353.7</v>
      </c>
    </row>
    <row r="3959" spans="4:11" x14ac:dyDescent="0.35">
      <c r="D3959" s="1">
        <v>39888</v>
      </c>
      <c r="E3959">
        <v>2.2696999999999998</v>
      </c>
      <c r="I3959" s="1">
        <v>39811</v>
      </c>
      <c r="J3959">
        <v>7006.47</v>
      </c>
      <c r="K3959" s="4">
        <f t="shared" si="288"/>
        <v>70064.7</v>
      </c>
    </row>
    <row r="3960" spans="4:11" x14ac:dyDescent="0.35">
      <c r="D3960" s="1">
        <v>39885</v>
      </c>
      <c r="E3960">
        <v>2.3003999999999998</v>
      </c>
      <c r="I3960" s="1">
        <v>39808</v>
      </c>
      <c r="J3960">
        <v>6923.11</v>
      </c>
      <c r="K3960" s="4">
        <f t="shared" si="288"/>
        <v>69231.099999999991</v>
      </c>
    </row>
    <row r="3961" spans="4:11" x14ac:dyDescent="0.35">
      <c r="D3961" s="1">
        <v>39884</v>
      </c>
      <c r="E3961">
        <v>2.3149999999999999</v>
      </c>
      <c r="I3961" s="1">
        <v>39805</v>
      </c>
      <c r="J3961">
        <v>6990.38</v>
      </c>
      <c r="K3961" s="4">
        <f t="shared" si="288"/>
        <v>69903.8</v>
      </c>
    </row>
    <row r="3962" spans="4:11" x14ac:dyDescent="0.35">
      <c r="D3962" s="1">
        <v>39883</v>
      </c>
      <c r="E3962">
        <v>2.3357999999999999</v>
      </c>
      <c r="I3962" s="1">
        <v>39804</v>
      </c>
      <c r="J3962">
        <v>7054.73</v>
      </c>
      <c r="K3962" s="4">
        <f t="shared" si="288"/>
        <v>70547.299999999988</v>
      </c>
    </row>
    <row r="3963" spans="4:11" x14ac:dyDescent="0.35">
      <c r="D3963" s="1">
        <v>39882</v>
      </c>
      <c r="E3963">
        <v>2.3506999999999998</v>
      </c>
      <c r="I3963" s="1">
        <v>39801</v>
      </c>
      <c r="J3963">
        <v>6931.89</v>
      </c>
      <c r="K3963" s="4">
        <f t="shared" si="288"/>
        <v>69318.900000000009</v>
      </c>
    </row>
    <row r="3964" spans="4:11" x14ac:dyDescent="0.35">
      <c r="D3964" s="1">
        <v>39881</v>
      </c>
      <c r="E3964">
        <v>2.3773</v>
      </c>
      <c r="I3964" s="1">
        <v>39800</v>
      </c>
      <c r="J3964">
        <v>7122</v>
      </c>
      <c r="K3964" s="4">
        <f t="shared" si="288"/>
        <v>71220</v>
      </c>
    </row>
    <row r="3965" spans="4:11" x14ac:dyDescent="0.35">
      <c r="D3965" s="1">
        <v>39878</v>
      </c>
      <c r="E3965">
        <v>2.3759999999999999</v>
      </c>
      <c r="I3965" s="1">
        <v>39799</v>
      </c>
      <c r="J3965">
        <v>6931.89</v>
      </c>
      <c r="K3965" s="4">
        <f t="shared" si="288"/>
        <v>69318.900000000009</v>
      </c>
    </row>
    <row r="3966" spans="4:11" x14ac:dyDescent="0.35">
      <c r="D3966" s="1">
        <v>39877</v>
      </c>
      <c r="E3966">
        <v>2.3814000000000002</v>
      </c>
      <c r="I3966" s="1">
        <v>39798</v>
      </c>
      <c r="J3966">
        <v>6814.89</v>
      </c>
      <c r="K3966" s="4">
        <f t="shared" si="288"/>
        <v>68148.900000000009</v>
      </c>
    </row>
    <row r="3967" spans="4:11" x14ac:dyDescent="0.35">
      <c r="D3967" s="1">
        <v>39876</v>
      </c>
      <c r="E3967">
        <v>2.3908999999999998</v>
      </c>
      <c r="I3967" s="1">
        <v>39797</v>
      </c>
      <c r="J3967">
        <v>7013.78</v>
      </c>
      <c r="K3967" s="4">
        <f t="shared" si="288"/>
        <v>70137.8</v>
      </c>
    </row>
    <row r="3968" spans="4:11" x14ac:dyDescent="0.35">
      <c r="D3968" s="1">
        <v>39875</v>
      </c>
      <c r="E3968">
        <v>2.4209999999999998</v>
      </c>
      <c r="I3968" s="1">
        <v>39794</v>
      </c>
      <c r="J3968">
        <v>7034.26</v>
      </c>
      <c r="K3968" s="4">
        <f t="shared" si="288"/>
        <v>70342.600000000006</v>
      </c>
    </row>
    <row r="3969" spans="4:11" x14ac:dyDescent="0.35">
      <c r="D3969" s="1">
        <v>39874</v>
      </c>
      <c r="E3969">
        <v>2.4113000000000002</v>
      </c>
      <c r="I3969" s="1">
        <v>39793</v>
      </c>
      <c r="J3969">
        <v>7000.62</v>
      </c>
      <c r="K3969" s="4">
        <f t="shared" si="288"/>
        <v>70006.2</v>
      </c>
    </row>
    <row r="3970" spans="4:11" x14ac:dyDescent="0.35">
      <c r="D3970" s="1">
        <v>39871</v>
      </c>
      <c r="E3970">
        <v>2.3776000000000002</v>
      </c>
      <c r="I3970" s="1">
        <v>39792</v>
      </c>
      <c r="J3970">
        <v>7203.9</v>
      </c>
      <c r="K3970" s="4">
        <f t="shared" si="288"/>
        <v>72039</v>
      </c>
    </row>
    <row r="3971" spans="4:11" x14ac:dyDescent="0.35">
      <c r="D3971" s="1">
        <v>39870</v>
      </c>
      <c r="E3971">
        <v>2.3494999999999999</v>
      </c>
      <c r="I3971" s="1">
        <v>39791</v>
      </c>
      <c r="J3971">
        <v>7317.97</v>
      </c>
      <c r="K3971" s="4">
        <f t="shared" si="288"/>
        <v>73179.7</v>
      </c>
    </row>
    <row r="3972" spans="4:11" x14ac:dyDescent="0.35">
      <c r="D3972" s="1">
        <v>39869</v>
      </c>
      <c r="E3972">
        <v>2.3805999999999998</v>
      </c>
      <c r="I3972" s="1">
        <v>39790</v>
      </c>
      <c r="J3972">
        <v>7414.49</v>
      </c>
      <c r="K3972" s="4">
        <f t="shared" si="288"/>
        <v>74144.899999999994</v>
      </c>
    </row>
    <row r="3973" spans="4:11" x14ac:dyDescent="0.35">
      <c r="D3973" s="1">
        <v>39864</v>
      </c>
      <c r="E3973">
        <v>2.3908</v>
      </c>
      <c r="I3973" s="1">
        <v>39787</v>
      </c>
      <c r="J3973">
        <v>7165.87</v>
      </c>
      <c r="K3973" s="4">
        <f t="shared" ref="K3973:K4036" si="289">J3973*10</f>
        <v>71658.7</v>
      </c>
    </row>
    <row r="3974" spans="4:11" x14ac:dyDescent="0.35">
      <c r="D3974" s="1">
        <v>39863</v>
      </c>
      <c r="E3974">
        <v>2.3241000000000001</v>
      </c>
      <c r="I3974" s="1">
        <v>39786</v>
      </c>
      <c r="J3974">
        <v>7376.46</v>
      </c>
      <c r="K3974" s="4">
        <f t="shared" si="289"/>
        <v>73764.600000000006</v>
      </c>
    </row>
    <row r="3975" spans="4:11" x14ac:dyDescent="0.35">
      <c r="D3975" s="1">
        <v>39862</v>
      </c>
      <c r="E3975">
        <v>2.3388</v>
      </c>
      <c r="I3975" s="1">
        <v>39785</v>
      </c>
      <c r="J3975">
        <v>7341.36</v>
      </c>
      <c r="K3975" s="4">
        <f t="shared" si="289"/>
        <v>73413.599999999991</v>
      </c>
    </row>
    <row r="3976" spans="4:11" x14ac:dyDescent="0.35">
      <c r="D3976" s="1">
        <v>39861</v>
      </c>
      <c r="E3976">
        <v>2.3123</v>
      </c>
      <c r="I3976" s="1">
        <v>39784</v>
      </c>
      <c r="J3976">
        <v>7107.38</v>
      </c>
      <c r="K3976" s="4">
        <f t="shared" si="289"/>
        <v>71073.8</v>
      </c>
    </row>
    <row r="3977" spans="4:11" x14ac:dyDescent="0.35">
      <c r="D3977" s="1">
        <v>39860</v>
      </c>
      <c r="E3977">
        <v>2.2711000000000001</v>
      </c>
      <c r="I3977" s="1">
        <v>39783</v>
      </c>
      <c r="J3977">
        <v>6902.64</v>
      </c>
      <c r="K3977" s="4">
        <f t="shared" si="289"/>
        <v>69026.400000000009</v>
      </c>
    </row>
    <row r="3978" spans="4:11" x14ac:dyDescent="0.35">
      <c r="D3978" s="1">
        <v>39857</v>
      </c>
      <c r="E3978">
        <v>2.2671999999999999</v>
      </c>
      <c r="I3978" s="1">
        <v>39780</v>
      </c>
      <c r="J3978">
        <v>6791.49</v>
      </c>
      <c r="K3978" s="4">
        <f t="shared" si="289"/>
        <v>67914.899999999994</v>
      </c>
    </row>
    <row r="3979" spans="4:11" x14ac:dyDescent="0.35">
      <c r="D3979" s="1">
        <v>39856</v>
      </c>
      <c r="E3979">
        <v>2.2900999999999998</v>
      </c>
      <c r="I3979" s="1">
        <v>39779</v>
      </c>
      <c r="J3979">
        <v>6696.76</v>
      </c>
      <c r="K3979" s="4">
        <f t="shared" si="289"/>
        <v>66967.600000000006</v>
      </c>
    </row>
    <row r="3980" spans="4:11" x14ac:dyDescent="0.35">
      <c r="D3980" s="1">
        <v>39855</v>
      </c>
      <c r="E3980">
        <v>2.2862</v>
      </c>
      <c r="I3980" s="1">
        <v>39778</v>
      </c>
      <c r="J3980">
        <v>6470.87</v>
      </c>
      <c r="K3980" s="4">
        <f t="shared" si="289"/>
        <v>64708.7</v>
      </c>
    </row>
    <row r="3981" spans="4:11" x14ac:dyDescent="0.35">
      <c r="D3981" s="1">
        <v>39854</v>
      </c>
      <c r="E3981">
        <v>2.2519999999999998</v>
      </c>
      <c r="I3981" s="1">
        <v>39777</v>
      </c>
      <c r="J3981">
        <v>6791.49</v>
      </c>
      <c r="K3981" s="4">
        <f t="shared" si="289"/>
        <v>67914.899999999994</v>
      </c>
    </row>
    <row r="3982" spans="4:11" x14ac:dyDescent="0.35">
      <c r="D3982" s="1">
        <v>39853</v>
      </c>
      <c r="E3982">
        <v>2.2437999999999998</v>
      </c>
      <c r="I3982" s="1">
        <v>39776</v>
      </c>
      <c r="J3982">
        <v>6765.26</v>
      </c>
      <c r="K3982" s="4">
        <f t="shared" si="289"/>
        <v>67652.600000000006</v>
      </c>
    </row>
    <row r="3983" spans="4:11" x14ac:dyDescent="0.35">
      <c r="D3983" s="1">
        <v>39850</v>
      </c>
      <c r="E3983">
        <v>2.2650000000000001</v>
      </c>
      <c r="I3983" s="1">
        <v>39773</v>
      </c>
      <c r="J3983">
        <v>7243.29</v>
      </c>
      <c r="K3983" s="4">
        <f t="shared" si="289"/>
        <v>72432.899999999994</v>
      </c>
    </row>
    <row r="3984" spans="4:11" x14ac:dyDescent="0.35">
      <c r="D3984" s="1">
        <v>39849</v>
      </c>
      <c r="E3984">
        <v>2.3056999999999999</v>
      </c>
      <c r="I3984" s="1">
        <v>39771</v>
      </c>
      <c r="J3984">
        <v>6963.47</v>
      </c>
      <c r="K3984" s="4">
        <f t="shared" si="289"/>
        <v>69634.7</v>
      </c>
    </row>
    <row r="3985" spans="4:11" x14ac:dyDescent="0.35">
      <c r="D3985" s="1">
        <v>39848</v>
      </c>
      <c r="E3985">
        <v>2.2986</v>
      </c>
      <c r="I3985" s="1">
        <v>39770</v>
      </c>
      <c r="J3985">
        <v>6843.96</v>
      </c>
      <c r="K3985" s="4">
        <f t="shared" si="289"/>
        <v>68439.600000000006</v>
      </c>
    </row>
    <row r="3986" spans="4:11" x14ac:dyDescent="0.35">
      <c r="D3986" s="1">
        <v>39847</v>
      </c>
      <c r="E3986">
        <v>2.3136000000000001</v>
      </c>
      <c r="I3986" s="1">
        <v>39769</v>
      </c>
      <c r="J3986">
        <v>6674.9</v>
      </c>
      <c r="K3986" s="4">
        <f t="shared" si="289"/>
        <v>66749</v>
      </c>
    </row>
    <row r="3987" spans="4:11" x14ac:dyDescent="0.35">
      <c r="D3987" s="1">
        <v>39846</v>
      </c>
      <c r="E3987">
        <v>2.3466999999999998</v>
      </c>
      <c r="I3987" s="1">
        <v>39766</v>
      </c>
      <c r="J3987">
        <v>6543.74</v>
      </c>
      <c r="K3987" s="4">
        <f t="shared" si="289"/>
        <v>65437.399999999994</v>
      </c>
    </row>
    <row r="3988" spans="4:11" x14ac:dyDescent="0.35">
      <c r="D3988" s="1">
        <v>39843</v>
      </c>
      <c r="E3988">
        <v>2.3153999999999999</v>
      </c>
      <c r="I3988" s="1">
        <v>39765</v>
      </c>
      <c r="J3988">
        <v>6785.66</v>
      </c>
      <c r="K3988" s="4">
        <f t="shared" si="289"/>
        <v>67856.600000000006</v>
      </c>
    </row>
    <row r="3989" spans="4:11" x14ac:dyDescent="0.35">
      <c r="D3989" s="1">
        <v>39842</v>
      </c>
      <c r="E3989">
        <v>2.2753000000000001</v>
      </c>
      <c r="I3989" s="1">
        <v>39764</v>
      </c>
      <c r="J3989">
        <v>6791.49</v>
      </c>
      <c r="K3989" s="4">
        <f t="shared" si="289"/>
        <v>67914.899999999994</v>
      </c>
    </row>
    <row r="3990" spans="4:11" x14ac:dyDescent="0.35">
      <c r="D3990" s="1">
        <v>39841</v>
      </c>
      <c r="E3990">
        <v>2.2974000000000001</v>
      </c>
      <c r="I3990" s="1">
        <v>39763</v>
      </c>
      <c r="J3990">
        <v>6514.59</v>
      </c>
      <c r="K3990" s="4">
        <f t="shared" si="289"/>
        <v>65145.9</v>
      </c>
    </row>
    <row r="3991" spans="4:11" x14ac:dyDescent="0.35">
      <c r="D3991" s="1">
        <v>39840</v>
      </c>
      <c r="E3991">
        <v>2.3100999999999998</v>
      </c>
      <c r="I3991" s="1">
        <v>39762</v>
      </c>
      <c r="J3991">
        <v>6389.25</v>
      </c>
      <c r="K3991" s="4">
        <f t="shared" si="289"/>
        <v>63892.5</v>
      </c>
    </row>
    <row r="3992" spans="4:11" x14ac:dyDescent="0.35">
      <c r="D3992" s="1">
        <v>39839</v>
      </c>
      <c r="E3992">
        <v>2.3140999999999998</v>
      </c>
      <c r="I3992" s="1">
        <v>39759</v>
      </c>
      <c r="J3992">
        <v>6325.12</v>
      </c>
      <c r="K3992" s="4">
        <f t="shared" si="289"/>
        <v>63251.199999999997</v>
      </c>
    </row>
    <row r="3993" spans="4:11" x14ac:dyDescent="0.35">
      <c r="D3993" s="1">
        <v>39836</v>
      </c>
      <c r="E3993">
        <v>2.3559999999999999</v>
      </c>
      <c r="I3993" s="1">
        <v>39758</v>
      </c>
      <c r="J3993">
        <v>6500.01</v>
      </c>
      <c r="K3993" s="4">
        <f t="shared" si="289"/>
        <v>65000.100000000006</v>
      </c>
    </row>
    <row r="3994" spans="4:11" x14ac:dyDescent="0.35">
      <c r="D3994" s="1">
        <v>39835</v>
      </c>
      <c r="E3994">
        <v>2.3290999999999999</v>
      </c>
      <c r="I3994" s="1">
        <v>39757</v>
      </c>
      <c r="J3994">
        <v>6252.25</v>
      </c>
      <c r="K3994" s="4">
        <f t="shared" si="289"/>
        <v>62522.5</v>
      </c>
    </row>
    <row r="3995" spans="4:11" x14ac:dyDescent="0.35">
      <c r="D3995" s="1">
        <v>39834</v>
      </c>
      <c r="E3995">
        <v>2.3536000000000001</v>
      </c>
      <c r="I3995" s="1">
        <v>39756</v>
      </c>
      <c r="J3995">
        <v>6228.94</v>
      </c>
      <c r="K3995" s="4">
        <f t="shared" si="289"/>
        <v>62289.399999999994</v>
      </c>
    </row>
    <row r="3996" spans="4:11" x14ac:dyDescent="0.35">
      <c r="D3996" s="1">
        <v>39833</v>
      </c>
      <c r="E3996">
        <v>2.3540000000000001</v>
      </c>
      <c r="I3996" s="1">
        <v>39755</v>
      </c>
      <c r="J3996">
        <v>6389.25</v>
      </c>
      <c r="K3996" s="4">
        <f t="shared" si="289"/>
        <v>63892.5</v>
      </c>
    </row>
    <row r="3997" spans="4:11" x14ac:dyDescent="0.35">
      <c r="D3997" s="1">
        <v>39832</v>
      </c>
      <c r="E3997">
        <v>2.3298000000000001</v>
      </c>
      <c r="I3997" s="1">
        <v>39752</v>
      </c>
      <c r="J3997">
        <v>6354.27</v>
      </c>
      <c r="K3997" s="4">
        <f t="shared" si="289"/>
        <v>63542.700000000004</v>
      </c>
    </row>
    <row r="3998" spans="4:11" x14ac:dyDescent="0.35">
      <c r="D3998" s="1">
        <v>39829</v>
      </c>
      <c r="E3998">
        <v>2.3239999999999998</v>
      </c>
      <c r="I3998" s="1">
        <v>39751</v>
      </c>
      <c r="J3998">
        <v>6303.25</v>
      </c>
      <c r="K3998" s="4">
        <f t="shared" si="289"/>
        <v>63032.5</v>
      </c>
    </row>
    <row r="3999" spans="4:11" x14ac:dyDescent="0.35">
      <c r="D3999" s="1">
        <v>39828</v>
      </c>
      <c r="E3999">
        <v>2.3795000000000002</v>
      </c>
      <c r="I3999" s="1">
        <v>39750</v>
      </c>
      <c r="J3999">
        <v>6357.27</v>
      </c>
      <c r="K3999" s="4">
        <f t="shared" si="289"/>
        <v>63572.700000000004</v>
      </c>
    </row>
    <row r="4000" spans="4:11" x14ac:dyDescent="0.35">
      <c r="D4000" s="1">
        <v>39827</v>
      </c>
      <c r="E4000">
        <v>2.3332999999999999</v>
      </c>
      <c r="I4000" s="1">
        <v>39749</v>
      </c>
      <c r="J4000">
        <v>6499.85</v>
      </c>
      <c r="K4000" s="4">
        <f t="shared" si="289"/>
        <v>64998.5</v>
      </c>
    </row>
    <row r="4001" spans="4:11" x14ac:dyDescent="0.35">
      <c r="D4001" s="1">
        <v>39826</v>
      </c>
      <c r="E4001">
        <v>2.3075000000000001</v>
      </c>
      <c r="I4001" s="1">
        <v>39748</v>
      </c>
      <c r="J4001">
        <v>6768.49</v>
      </c>
      <c r="K4001" s="4">
        <f t="shared" si="289"/>
        <v>67684.899999999994</v>
      </c>
    </row>
    <row r="4002" spans="4:11" x14ac:dyDescent="0.35">
      <c r="D4002" s="1">
        <v>39825</v>
      </c>
      <c r="E4002">
        <v>2.2961</v>
      </c>
      <c r="I4002" s="1">
        <v>39745</v>
      </c>
      <c r="J4002">
        <v>6933.57</v>
      </c>
      <c r="K4002" s="4">
        <f t="shared" si="289"/>
        <v>69335.7</v>
      </c>
    </row>
    <row r="4003" spans="4:11" x14ac:dyDescent="0.35">
      <c r="D4003" s="1">
        <v>39822</v>
      </c>
      <c r="E4003">
        <v>2.2858999999999998</v>
      </c>
      <c r="I4003" s="1">
        <v>39744</v>
      </c>
      <c r="J4003">
        <v>6795.5</v>
      </c>
      <c r="K4003" s="4">
        <f t="shared" si="289"/>
        <v>67955</v>
      </c>
    </row>
    <row r="4004" spans="4:11" x14ac:dyDescent="0.35">
      <c r="D4004" s="1">
        <v>39821</v>
      </c>
      <c r="E4004">
        <v>2.2675000000000001</v>
      </c>
      <c r="I4004" s="1">
        <v>39743</v>
      </c>
      <c r="J4004">
        <v>7173.69</v>
      </c>
      <c r="K4004" s="4">
        <f t="shared" si="289"/>
        <v>71736.899999999994</v>
      </c>
    </row>
    <row r="4005" spans="4:11" x14ac:dyDescent="0.35">
      <c r="D4005" s="1">
        <v>39820</v>
      </c>
      <c r="E4005">
        <v>2.2166000000000001</v>
      </c>
      <c r="I4005" s="1">
        <v>39742</v>
      </c>
      <c r="J4005">
        <v>6768.49</v>
      </c>
      <c r="K4005" s="4">
        <f t="shared" si="289"/>
        <v>67684.899999999994</v>
      </c>
    </row>
    <row r="4006" spans="4:11" x14ac:dyDescent="0.35">
      <c r="D4006" s="1">
        <v>39819</v>
      </c>
      <c r="E4006">
        <v>2.1880999999999999</v>
      </c>
      <c r="I4006" s="1">
        <v>39741</v>
      </c>
      <c r="J4006">
        <v>6366.28</v>
      </c>
      <c r="K4006" s="4">
        <f t="shared" si="289"/>
        <v>63662.799999999996</v>
      </c>
    </row>
    <row r="4007" spans="4:11" x14ac:dyDescent="0.35">
      <c r="D4007" s="1">
        <v>39818</v>
      </c>
      <c r="E4007">
        <v>2.2772000000000001</v>
      </c>
      <c r="I4007" s="1">
        <v>39738</v>
      </c>
      <c r="J4007">
        <v>6364.78</v>
      </c>
      <c r="K4007" s="4">
        <f t="shared" si="289"/>
        <v>63647.799999999996</v>
      </c>
    </row>
    <row r="4008" spans="4:11" x14ac:dyDescent="0.35">
      <c r="D4008" s="1">
        <v>39815</v>
      </c>
      <c r="E4008">
        <v>2.3290000000000002</v>
      </c>
      <c r="I4008" s="1">
        <v>39737</v>
      </c>
      <c r="J4008">
        <v>6459.33</v>
      </c>
      <c r="K4008" s="4">
        <f t="shared" si="289"/>
        <v>64593.3</v>
      </c>
    </row>
    <row r="4009" spans="4:11" x14ac:dyDescent="0.35">
      <c r="D4009" s="1">
        <v>39813</v>
      </c>
      <c r="E4009">
        <v>2.3361999999999998</v>
      </c>
      <c r="I4009" s="1">
        <v>39736</v>
      </c>
      <c r="J4009">
        <v>6726.46</v>
      </c>
      <c r="K4009" s="4">
        <f t="shared" si="289"/>
        <v>67264.600000000006</v>
      </c>
    </row>
    <row r="4010" spans="4:11" x14ac:dyDescent="0.35">
      <c r="D4010" s="1">
        <v>39812</v>
      </c>
      <c r="E4010">
        <v>2.3361999999999998</v>
      </c>
      <c r="I4010" s="1">
        <v>39735</v>
      </c>
      <c r="J4010">
        <v>6285.24</v>
      </c>
      <c r="K4010" s="4">
        <f t="shared" si="289"/>
        <v>62852.399999999994</v>
      </c>
    </row>
    <row r="4011" spans="4:11" x14ac:dyDescent="0.35">
      <c r="D4011" s="1">
        <v>39811</v>
      </c>
      <c r="E4011">
        <v>2.3948</v>
      </c>
      <c r="I4011" s="1">
        <v>39734</v>
      </c>
      <c r="J4011">
        <v>6429.31</v>
      </c>
      <c r="K4011" s="4">
        <f t="shared" si="289"/>
        <v>64293.100000000006</v>
      </c>
    </row>
    <row r="4012" spans="4:11" x14ac:dyDescent="0.35">
      <c r="D4012" s="1">
        <v>39808</v>
      </c>
      <c r="E4012">
        <v>2.3605</v>
      </c>
      <c r="I4012" s="1">
        <v>39731</v>
      </c>
      <c r="J4012">
        <v>6987.6</v>
      </c>
      <c r="K4012" s="4">
        <f t="shared" si="289"/>
        <v>69876</v>
      </c>
    </row>
    <row r="4013" spans="4:11" x14ac:dyDescent="0.35">
      <c r="D4013" s="1">
        <v>39806</v>
      </c>
      <c r="E4013">
        <v>2.3742999999999999</v>
      </c>
      <c r="I4013" s="1">
        <v>39730</v>
      </c>
      <c r="J4013">
        <v>6798.5</v>
      </c>
      <c r="K4013" s="4">
        <f t="shared" si="289"/>
        <v>67985</v>
      </c>
    </row>
    <row r="4014" spans="4:11" x14ac:dyDescent="0.35">
      <c r="D4014" s="1">
        <v>39805</v>
      </c>
      <c r="E4014">
        <v>2.3820999999999999</v>
      </c>
      <c r="I4014" s="1">
        <v>39729</v>
      </c>
      <c r="J4014">
        <v>6963.59</v>
      </c>
      <c r="K4014" s="4">
        <f t="shared" si="289"/>
        <v>69635.899999999994</v>
      </c>
    </row>
    <row r="4015" spans="4:11" x14ac:dyDescent="0.35">
      <c r="D4015" s="1">
        <v>39804</v>
      </c>
      <c r="E4015">
        <v>2.3732000000000002</v>
      </c>
      <c r="I4015" s="1">
        <v>39728</v>
      </c>
      <c r="J4015">
        <v>6974.09</v>
      </c>
      <c r="K4015" s="4">
        <f t="shared" si="289"/>
        <v>69740.899999999994</v>
      </c>
    </row>
    <row r="4016" spans="4:11" x14ac:dyDescent="0.35">
      <c r="D4016" s="1">
        <v>39801</v>
      </c>
      <c r="E4016">
        <v>2.3851</v>
      </c>
      <c r="I4016" s="1">
        <v>39727</v>
      </c>
      <c r="J4016">
        <v>6579.39</v>
      </c>
      <c r="K4016" s="4">
        <f t="shared" si="289"/>
        <v>65793.900000000009</v>
      </c>
    </row>
    <row r="4017" spans="4:11" x14ac:dyDescent="0.35">
      <c r="D4017" s="1">
        <v>39800</v>
      </c>
      <c r="E4017">
        <v>2.3563999999999998</v>
      </c>
      <c r="I4017" s="1">
        <v>39724</v>
      </c>
      <c r="J4017">
        <v>6189.19</v>
      </c>
      <c r="K4017" s="4">
        <f t="shared" si="289"/>
        <v>61891.899999999994</v>
      </c>
    </row>
    <row r="4018" spans="4:11" x14ac:dyDescent="0.35">
      <c r="D4018" s="1">
        <v>39799</v>
      </c>
      <c r="E4018">
        <v>2.3567999999999998</v>
      </c>
      <c r="I4018" s="1">
        <v>39723</v>
      </c>
      <c r="J4018">
        <v>6108.15</v>
      </c>
      <c r="K4018" s="4">
        <f t="shared" si="289"/>
        <v>61081.5</v>
      </c>
    </row>
    <row r="4019" spans="4:11" x14ac:dyDescent="0.35">
      <c r="D4019" s="1">
        <v>39798</v>
      </c>
      <c r="E4019">
        <v>2.3774999999999999</v>
      </c>
      <c r="I4019" s="1">
        <v>39722</v>
      </c>
      <c r="J4019">
        <v>5792.98</v>
      </c>
      <c r="K4019" s="4">
        <f t="shared" si="289"/>
        <v>57929.799999999996</v>
      </c>
    </row>
    <row r="4020" spans="4:11" x14ac:dyDescent="0.35">
      <c r="D4020" s="1">
        <v>39797</v>
      </c>
      <c r="E4020">
        <v>2.3681999999999999</v>
      </c>
      <c r="I4020" s="1">
        <v>39721</v>
      </c>
      <c r="J4020">
        <v>5753.96</v>
      </c>
      <c r="K4020" s="4">
        <f t="shared" si="289"/>
        <v>57539.6</v>
      </c>
    </row>
    <row r="4021" spans="4:11" x14ac:dyDescent="0.35">
      <c r="D4021" s="1">
        <v>39794</v>
      </c>
      <c r="E4021">
        <v>2.3912</v>
      </c>
      <c r="I4021" s="1">
        <v>39720</v>
      </c>
      <c r="J4021">
        <v>5890.61</v>
      </c>
      <c r="K4021" s="4">
        <f t="shared" si="289"/>
        <v>58906.1</v>
      </c>
    </row>
    <row r="4022" spans="4:11" x14ac:dyDescent="0.35">
      <c r="D4022" s="1">
        <v>39793</v>
      </c>
      <c r="E4022">
        <v>2.3389000000000002</v>
      </c>
      <c r="I4022" s="1">
        <v>39717</v>
      </c>
      <c r="J4022">
        <v>5552.76</v>
      </c>
      <c r="K4022" s="4">
        <f t="shared" si="289"/>
        <v>55527.600000000006</v>
      </c>
    </row>
    <row r="4023" spans="4:11" x14ac:dyDescent="0.35">
      <c r="D4023" s="1">
        <v>39792</v>
      </c>
      <c r="E4023">
        <v>2.4674999999999998</v>
      </c>
      <c r="I4023" s="1">
        <v>39716</v>
      </c>
      <c r="J4023">
        <v>5477.68</v>
      </c>
      <c r="K4023" s="4">
        <f t="shared" si="289"/>
        <v>54776.800000000003</v>
      </c>
    </row>
    <row r="4024" spans="4:11" x14ac:dyDescent="0.35">
      <c r="D4024" s="1">
        <v>39791</v>
      </c>
      <c r="E4024">
        <v>2.4821</v>
      </c>
      <c r="I4024" s="1">
        <v>39715</v>
      </c>
      <c r="J4024">
        <v>5600.8</v>
      </c>
      <c r="K4024" s="4">
        <f t="shared" si="289"/>
        <v>56008</v>
      </c>
    </row>
    <row r="4025" spans="4:11" x14ac:dyDescent="0.35">
      <c r="D4025" s="1">
        <v>39790</v>
      </c>
      <c r="E4025">
        <v>2.4681000000000002</v>
      </c>
      <c r="I4025" s="1">
        <v>39714</v>
      </c>
      <c r="J4025">
        <v>5545.25</v>
      </c>
      <c r="K4025" s="4">
        <f t="shared" si="289"/>
        <v>55452.5</v>
      </c>
    </row>
    <row r="4026" spans="4:11" x14ac:dyDescent="0.35">
      <c r="D4026" s="1">
        <v>39787</v>
      </c>
      <c r="E4026">
        <v>2.4996</v>
      </c>
      <c r="I4026" s="1">
        <v>39713</v>
      </c>
      <c r="J4026">
        <v>5429.63</v>
      </c>
      <c r="K4026" s="4">
        <f t="shared" si="289"/>
        <v>54296.3</v>
      </c>
    </row>
    <row r="4027" spans="4:11" x14ac:dyDescent="0.35">
      <c r="D4027" s="1">
        <v>39786</v>
      </c>
      <c r="E4027">
        <v>2.4897</v>
      </c>
      <c r="I4027" s="1">
        <v>39710</v>
      </c>
      <c r="J4027">
        <v>5504.71</v>
      </c>
      <c r="K4027" s="4">
        <f t="shared" si="289"/>
        <v>55047.1</v>
      </c>
    </row>
    <row r="4028" spans="4:11" x14ac:dyDescent="0.35">
      <c r="D4028" s="1">
        <v>39785</v>
      </c>
      <c r="E4028">
        <v>2.4205000000000001</v>
      </c>
      <c r="I4028" s="1">
        <v>39709</v>
      </c>
      <c r="J4028">
        <v>5684.89</v>
      </c>
      <c r="K4028" s="4">
        <f t="shared" si="289"/>
        <v>56848.9</v>
      </c>
    </row>
    <row r="4029" spans="4:11" x14ac:dyDescent="0.35">
      <c r="D4029" s="1">
        <v>39784</v>
      </c>
      <c r="E4029">
        <v>2.3449</v>
      </c>
      <c r="I4029" s="1">
        <v>39708</v>
      </c>
      <c r="J4029">
        <v>5762.97</v>
      </c>
      <c r="K4029" s="4">
        <f t="shared" si="289"/>
        <v>57629.700000000004</v>
      </c>
    </row>
    <row r="4030" spans="4:11" x14ac:dyDescent="0.35">
      <c r="D4030" s="1">
        <v>39783</v>
      </c>
      <c r="E4030">
        <v>2.3557000000000001</v>
      </c>
      <c r="I4030" s="1">
        <v>39707</v>
      </c>
      <c r="J4030">
        <v>5477.68</v>
      </c>
      <c r="K4030" s="4">
        <f t="shared" si="289"/>
        <v>54776.800000000003</v>
      </c>
    </row>
    <row r="4031" spans="4:11" x14ac:dyDescent="0.35">
      <c r="D4031" s="1">
        <v>39780</v>
      </c>
      <c r="E4031">
        <v>2.3323</v>
      </c>
      <c r="I4031" s="1">
        <v>39706</v>
      </c>
      <c r="J4031">
        <v>5474.67</v>
      </c>
      <c r="K4031" s="4">
        <f t="shared" si="289"/>
        <v>54746.7</v>
      </c>
    </row>
    <row r="4032" spans="4:11" x14ac:dyDescent="0.35">
      <c r="D4032" s="1">
        <v>39779</v>
      </c>
      <c r="E4032">
        <v>2.2648999999999999</v>
      </c>
      <c r="I4032" s="1">
        <v>39703</v>
      </c>
      <c r="J4032">
        <v>5360.56</v>
      </c>
      <c r="K4032" s="4">
        <f t="shared" si="289"/>
        <v>53605.600000000006</v>
      </c>
    </row>
    <row r="4033" spans="4:11" x14ac:dyDescent="0.35">
      <c r="D4033" s="1">
        <v>39778</v>
      </c>
      <c r="E4033">
        <v>2.3212999999999999</v>
      </c>
      <c r="I4033" s="1">
        <v>39702</v>
      </c>
      <c r="J4033">
        <v>5435.63</v>
      </c>
      <c r="K4033" s="4">
        <f t="shared" si="289"/>
        <v>54356.3</v>
      </c>
    </row>
    <row r="4034" spans="4:11" x14ac:dyDescent="0.35">
      <c r="D4034" s="1">
        <v>39777</v>
      </c>
      <c r="E4034">
        <v>2.3048000000000002</v>
      </c>
      <c r="I4034" s="1">
        <v>39701</v>
      </c>
      <c r="J4034">
        <v>5393.59</v>
      </c>
      <c r="K4034" s="4">
        <f t="shared" si="289"/>
        <v>53935.9</v>
      </c>
    </row>
    <row r="4035" spans="4:11" x14ac:dyDescent="0.35">
      <c r="D4035" s="1">
        <v>39776</v>
      </c>
      <c r="E4035">
        <v>2.3492000000000002</v>
      </c>
      <c r="I4035" s="1">
        <v>39700</v>
      </c>
      <c r="J4035">
        <v>5360.56</v>
      </c>
      <c r="K4035" s="4">
        <f t="shared" si="289"/>
        <v>53605.600000000006</v>
      </c>
    </row>
    <row r="4036" spans="4:11" x14ac:dyDescent="0.35">
      <c r="D4036" s="1">
        <v>39773</v>
      </c>
      <c r="E4036">
        <v>2.4268999999999998</v>
      </c>
      <c r="I4036" s="1">
        <v>39699</v>
      </c>
      <c r="J4036">
        <v>5261.45</v>
      </c>
      <c r="K4036" s="4">
        <f t="shared" si="289"/>
        <v>52614.5</v>
      </c>
    </row>
    <row r="4037" spans="4:11" x14ac:dyDescent="0.35">
      <c r="D4037" s="1">
        <v>39772</v>
      </c>
      <c r="E4037">
        <v>2.3954</v>
      </c>
      <c r="I4037" s="1">
        <v>39696</v>
      </c>
      <c r="J4037">
        <v>5195.38</v>
      </c>
      <c r="K4037" s="4">
        <f t="shared" ref="K4037:K4100" si="290">J4037*10</f>
        <v>51953.8</v>
      </c>
    </row>
    <row r="4038" spans="4:11" x14ac:dyDescent="0.35">
      <c r="D4038" s="1">
        <v>39771</v>
      </c>
      <c r="E4038">
        <v>2.3757999999999999</v>
      </c>
      <c r="I4038" s="1">
        <v>39695</v>
      </c>
      <c r="J4038">
        <v>5175.8599999999997</v>
      </c>
      <c r="K4038" s="4">
        <f t="shared" si="290"/>
        <v>51758.6</v>
      </c>
    </row>
    <row r="4039" spans="4:11" x14ac:dyDescent="0.35">
      <c r="D4039" s="1">
        <v>39770</v>
      </c>
      <c r="E4039">
        <v>2.2988</v>
      </c>
      <c r="I4039" s="1">
        <v>39694</v>
      </c>
      <c r="J4039">
        <v>5075.26</v>
      </c>
      <c r="K4039" s="4">
        <f t="shared" si="290"/>
        <v>50752.600000000006</v>
      </c>
    </row>
    <row r="4040" spans="4:11" x14ac:dyDescent="0.35">
      <c r="D4040" s="1">
        <v>39769</v>
      </c>
      <c r="E4040">
        <v>2.2932000000000001</v>
      </c>
      <c r="I4040" s="1">
        <v>39693</v>
      </c>
      <c r="J4040">
        <v>5015.2</v>
      </c>
      <c r="K4040" s="4">
        <f t="shared" si="290"/>
        <v>50152</v>
      </c>
    </row>
    <row r="4041" spans="4:11" x14ac:dyDescent="0.35">
      <c r="D4041" s="1">
        <v>39766</v>
      </c>
      <c r="E4041">
        <v>2.2791999999999999</v>
      </c>
      <c r="I4041" s="1">
        <v>39692</v>
      </c>
      <c r="J4041">
        <v>4988.17</v>
      </c>
      <c r="K4041" s="4">
        <f t="shared" si="290"/>
        <v>49881.7</v>
      </c>
    </row>
    <row r="4042" spans="4:11" x14ac:dyDescent="0.35">
      <c r="D4042" s="1">
        <v>39765</v>
      </c>
      <c r="E4042">
        <v>2.3306</v>
      </c>
      <c r="I4042" s="1">
        <v>39689</v>
      </c>
      <c r="J4042">
        <v>4932.6099999999997</v>
      </c>
      <c r="K4042" s="4">
        <f t="shared" si="290"/>
        <v>49326.1</v>
      </c>
    </row>
    <row r="4043" spans="4:11" x14ac:dyDescent="0.35">
      <c r="D4043" s="1">
        <v>39764</v>
      </c>
      <c r="E4043">
        <v>2.2624</v>
      </c>
      <c r="I4043" s="1">
        <v>39688</v>
      </c>
      <c r="J4043">
        <v>4935.63</v>
      </c>
      <c r="K4043" s="4">
        <f t="shared" si="290"/>
        <v>49356.3</v>
      </c>
    </row>
    <row r="4044" spans="4:11" x14ac:dyDescent="0.35">
      <c r="D4044" s="1">
        <v>39763</v>
      </c>
      <c r="E4044">
        <v>2.2002000000000002</v>
      </c>
      <c r="I4044" s="1">
        <v>39687</v>
      </c>
      <c r="J4044">
        <v>4896.3900000000003</v>
      </c>
      <c r="K4044" s="4">
        <f t="shared" si="290"/>
        <v>48963.9</v>
      </c>
    </row>
    <row r="4045" spans="4:11" x14ac:dyDescent="0.35">
      <c r="D4045" s="1">
        <v>39762</v>
      </c>
      <c r="E4045">
        <v>2.1326999999999998</v>
      </c>
      <c r="I4045" s="1">
        <v>39686</v>
      </c>
      <c r="J4045">
        <v>4922.05</v>
      </c>
      <c r="K4045" s="4">
        <f t="shared" si="290"/>
        <v>49220.5</v>
      </c>
    </row>
    <row r="4046" spans="4:11" x14ac:dyDescent="0.35">
      <c r="D4046" s="1">
        <v>39759</v>
      </c>
      <c r="E4046">
        <v>2.1604999999999999</v>
      </c>
      <c r="I4046" s="1">
        <v>39685</v>
      </c>
      <c r="J4046">
        <v>4934.12</v>
      </c>
      <c r="K4046" s="4">
        <f t="shared" si="290"/>
        <v>49341.2</v>
      </c>
    </row>
    <row r="4047" spans="4:11" x14ac:dyDescent="0.35">
      <c r="D4047" s="1">
        <v>39758</v>
      </c>
      <c r="E4047">
        <v>2.1585000000000001</v>
      </c>
      <c r="I4047" s="1">
        <v>39682</v>
      </c>
      <c r="J4047">
        <v>4925.07</v>
      </c>
      <c r="K4047" s="4">
        <f t="shared" si="290"/>
        <v>49250.7</v>
      </c>
    </row>
    <row r="4048" spans="4:11" x14ac:dyDescent="0.35">
      <c r="D4048" s="1">
        <v>39757</v>
      </c>
      <c r="E4048">
        <v>2.1202000000000001</v>
      </c>
      <c r="I4048" s="1">
        <v>39681</v>
      </c>
      <c r="J4048">
        <v>4872.24</v>
      </c>
      <c r="K4048" s="4">
        <f t="shared" si="290"/>
        <v>48722.399999999994</v>
      </c>
    </row>
    <row r="4049" spans="4:11" x14ac:dyDescent="0.35">
      <c r="D4049" s="1">
        <v>39756</v>
      </c>
      <c r="E4049">
        <v>2.1219000000000001</v>
      </c>
      <c r="I4049" s="1">
        <v>39680</v>
      </c>
      <c r="J4049">
        <v>4902.43</v>
      </c>
      <c r="K4049" s="4">
        <f t="shared" si="290"/>
        <v>49024.3</v>
      </c>
    </row>
    <row r="4050" spans="4:11" x14ac:dyDescent="0.35">
      <c r="D4050" s="1">
        <v>39755</v>
      </c>
      <c r="E4050">
        <v>2.181</v>
      </c>
      <c r="I4050" s="1">
        <v>39679</v>
      </c>
      <c r="J4050">
        <v>4929.59</v>
      </c>
      <c r="K4050" s="4">
        <f t="shared" si="290"/>
        <v>49295.9</v>
      </c>
    </row>
    <row r="4051" spans="4:11" x14ac:dyDescent="0.35">
      <c r="D4051" s="1">
        <v>39752</v>
      </c>
      <c r="E4051">
        <v>2.1145</v>
      </c>
      <c r="I4051" s="1">
        <v>39678</v>
      </c>
      <c r="J4051">
        <v>4971.8599999999997</v>
      </c>
      <c r="K4051" s="4">
        <f t="shared" si="290"/>
        <v>49718.6</v>
      </c>
    </row>
    <row r="4052" spans="4:11" x14ac:dyDescent="0.35">
      <c r="D4052" s="1">
        <v>39751</v>
      </c>
      <c r="E4052">
        <v>2.1143000000000001</v>
      </c>
      <c r="I4052" s="1">
        <v>39675</v>
      </c>
      <c r="J4052">
        <v>4971.8599999999997</v>
      </c>
      <c r="K4052" s="4">
        <f t="shared" si="290"/>
        <v>49718.6</v>
      </c>
    </row>
    <row r="4053" spans="4:11" x14ac:dyDescent="0.35">
      <c r="D4053" s="1">
        <v>39750</v>
      </c>
      <c r="E4053">
        <v>2.1312000000000002</v>
      </c>
      <c r="I4053" s="1">
        <v>39674</v>
      </c>
      <c r="J4053">
        <v>4937.1400000000003</v>
      </c>
      <c r="K4053" s="4">
        <f t="shared" si="290"/>
        <v>49371.4</v>
      </c>
    </row>
    <row r="4054" spans="4:11" x14ac:dyDescent="0.35">
      <c r="D4054" s="1">
        <v>39749</v>
      </c>
      <c r="E4054">
        <v>2.1692</v>
      </c>
      <c r="I4054" s="1">
        <v>39673</v>
      </c>
      <c r="J4054">
        <v>4891.8599999999997</v>
      </c>
      <c r="K4054" s="4">
        <f t="shared" si="290"/>
        <v>48918.6</v>
      </c>
    </row>
    <row r="4055" spans="4:11" x14ac:dyDescent="0.35">
      <c r="D4055" s="1">
        <v>39748</v>
      </c>
      <c r="E4055">
        <v>2.2515999999999998</v>
      </c>
      <c r="I4055" s="1">
        <v>39672</v>
      </c>
      <c r="J4055">
        <v>4919.03</v>
      </c>
      <c r="K4055" s="4">
        <f t="shared" si="290"/>
        <v>49190.299999999996</v>
      </c>
    </row>
    <row r="4056" spans="4:11" x14ac:dyDescent="0.35">
      <c r="D4056" s="1">
        <v>39745</v>
      </c>
      <c r="E4056">
        <v>2.3104</v>
      </c>
      <c r="I4056" s="1">
        <v>39671</v>
      </c>
      <c r="J4056">
        <v>4932.6099999999997</v>
      </c>
      <c r="K4056" s="4">
        <f t="shared" si="290"/>
        <v>49326.1</v>
      </c>
    </row>
    <row r="4057" spans="4:11" x14ac:dyDescent="0.35">
      <c r="D4057" s="1">
        <v>39744</v>
      </c>
      <c r="E4057">
        <v>2.3138999999999998</v>
      </c>
      <c r="I4057" s="1">
        <v>39668</v>
      </c>
      <c r="J4057">
        <v>4872.24</v>
      </c>
      <c r="K4057" s="4">
        <f t="shared" si="290"/>
        <v>48722.399999999994</v>
      </c>
    </row>
    <row r="4058" spans="4:11" x14ac:dyDescent="0.35">
      <c r="D4058" s="1">
        <v>39743</v>
      </c>
      <c r="E4058">
        <v>2.3641999999999999</v>
      </c>
      <c r="I4058" s="1">
        <v>39667</v>
      </c>
      <c r="J4058">
        <v>4854.13</v>
      </c>
      <c r="K4058" s="4">
        <f t="shared" si="290"/>
        <v>48541.3</v>
      </c>
    </row>
    <row r="4059" spans="4:11" x14ac:dyDescent="0.35">
      <c r="D4059" s="1">
        <v>39742</v>
      </c>
      <c r="E4059">
        <v>2.1932999999999998</v>
      </c>
      <c r="I4059" s="1">
        <v>39666</v>
      </c>
      <c r="J4059">
        <v>4796.7700000000004</v>
      </c>
      <c r="K4059" s="4">
        <f t="shared" si="290"/>
        <v>47967.700000000004</v>
      </c>
    </row>
    <row r="4060" spans="4:11" x14ac:dyDescent="0.35">
      <c r="D4060" s="1">
        <v>39741</v>
      </c>
      <c r="E4060">
        <v>2.1166</v>
      </c>
      <c r="I4060" s="1">
        <v>39665</v>
      </c>
      <c r="J4060">
        <v>4781.68</v>
      </c>
      <c r="K4060" s="4">
        <f t="shared" si="290"/>
        <v>47816.800000000003</v>
      </c>
    </row>
    <row r="4061" spans="4:11" x14ac:dyDescent="0.35">
      <c r="D4061" s="1">
        <v>39738</v>
      </c>
      <c r="E4061">
        <v>2.1012</v>
      </c>
      <c r="I4061" s="1">
        <v>39664</v>
      </c>
      <c r="J4061">
        <v>4749.9799999999996</v>
      </c>
      <c r="K4061" s="4">
        <f t="shared" si="290"/>
        <v>47499.799999999996</v>
      </c>
    </row>
    <row r="4062" spans="4:11" x14ac:dyDescent="0.35">
      <c r="D4062" s="1">
        <v>39737</v>
      </c>
      <c r="E4062">
        <v>2.1846000000000001</v>
      </c>
      <c r="I4062" s="1">
        <v>39661</v>
      </c>
      <c r="J4062">
        <v>4745.45</v>
      </c>
      <c r="K4062" s="4">
        <f t="shared" si="290"/>
        <v>47454.5</v>
      </c>
    </row>
    <row r="4063" spans="4:11" x14ac:dyDescent="0.35">
      <c r="D4063" s="1">
        <v>39736</v>
      </c>
      <c r="E4063">
        <v>2.1543000000000001</v>
      </c>
      <c r="I4063" s="1">
        <v>39660</v>
      </c>
      <c r="J4063">
        <v>4766.58</v>
      </c>
      <c r="K4063" s="4">
        <f t="shared" si="290"/>
        <v>47665.8</v>
      </c>
    </row>
    <row r="4064" spans="4:11" x14ac:dyDescent="0.35">
      <c r="D4064" s="1">
        <v>39735</v>
      </c>
      <c r="E4064">
        <v>2.0781000000000001</v>
      </c>
      <c r="I4064" s="1">
        <v>39659</v>
      </c>
      <c r="J4064">
        <v>4754.41</v>
      </c>
      <c r="K4064" s="4">
        <f t="shared" si="290"/>
        <v>47544.1</v>
      </c>
    </row>
    <row r="4065" spans="4:11" x14ac:dyDescent="0.35">
      <c r="D4065" s="1">
        <v>39734</v>
      </c>
      <c r="E4065">
        <v>2.1554000000000002</v>
      </c>
      <c r="I4065" s="1">
        <v>39658</v>
      </c>
      <c r="J4065">
        <v>4775.71</v>
      </c>
      <c r="K4065" s="4">
        <f t="shared" si="290"/>
        <v>47757.1</v>
      </c>
    </row>
    <row r="4066" spans="4:11" x14ac:dyDescent="0.35">
      <c r="D4066" s="1">
        <v>39731</v>
      </c>
      <c r="E4066">
        <v>2.2871999999999999</v>
      </c>
      <c r="I4066" s="1">
        <v>39657</v>
      </c>
      <c r="J4066">
        <v>4798.54</v>
      </c>
      <c r="K4066" s="4">
        <f t="shared" si="290"/>
        <v>47985.4</v>
      </c>
    </row>
    <row r="4067" spans="4:11" x14ac:dyDescent="0.35">
      <c r="D4067" s="1">
        <v>39730</v>
      </c>
      <c r="E4067">
        <v>2.181</v>
      </c>
      <c r="I4067" s="1">
        <v>39654</v>
      </c>
      <c r="J4067">
        <v>4787.8900000000003</v>
      </c>
      <c r="K4067" s="4">
        <f t="shared" si="290"/>
        <v>47878.9</v>
      </c>
    </row>
    <row r="4068" spans="4:11" x14ac:dyDescent="0.35">
      <c r="D4068" s="1">
        <v>39729</v>
      </c>
      <c r="E4068">
        <v>2.3915999999999999</v>
      </c>
      <c r="I4068" s="1">
        <v>39653</v>
      </c>
      <c r="J4068">
        <v>4809.2</v>
      </c>
      <c r="K4068" s="4">
        <f t="shared" si="290"/>
        <v>48092</v>
      </c>
    </row>
    <row r="4069" spans="4:11" x14ac:dyDescent="0.35">
      <c r="D4069" s="1">
        <v>39728</v>
      </c>
      <c r="E4069">
        <v>2.1875</v>
      </c>
      <c r="I4069" s="1">
        <v>39652</v>
      </c>
      <c r="J4069">
        <v>4824.41</v>
      </c>
      <c r="K4069" s="4">
        <f t="shared" si="290"/>
        <v>48244.1</v>
      </c>
    </row>
    <row r="4070" spans="4:11" x14ac:dyDescent="0.35">
      <c r="D4070" s="1">
        <v>39727</v>
      </c>
      <c r="E4070">
        <v>2.1760999999999999</v>
      </c>
      <c r="I4070" s="1">
        <v>39651</v>
      </c>
      <c r="J4070">
        <v>4813.76</v>
      </c>
      <c r="K4070" s="4">
        <f t="shared" si="290"/>
        <v>48137.600000000006</v>
      </c>
    </row>
    <row r="4071" spans="4:11" x14ac:dyDescent="0.35">
      <c r="D4071" s="1">
        <v>39724</v>
      </c>
      <c r="E4071">
        <v>2.0531999999999999</v>
      </c>
      <c r="I4071" s="1">
        <v>39650</v>
      </c>
      <c r="J4071">
        <v>4827.46</v>
      </c>
      <c r="K4071" s="4">
        <f t="shared" si="290"/>
        <v>48274.6</v>
      </c>
    </row>
    <row r="4072" spans="4:11" x14ac:dyDescent="0.35">
      <c r="D4072" s="1">
        <v>39723</v>
      </c>
      <c r="E4072">
        <v>2.0072999999999999</v>
      </c>
      <c r="I4072" s="1">
        <v>39647</v>
      </c>
      <c r="J4072">
        <v>4845.72</v>
      </c>
      <c r="K4072" s="4">
        <f t="shared" si="290"/>
        <v>48457.200000000004</v>
      </c>
    </row>
    <row r="4073" spans="4:11" x14ac:dyDescent="0.35">
      <c r="D4073" s="1">
        <v>39722</v>
      </c>
      <c r="E4073">
        <v>1.9205000000000001</v>
      </c>
      <c r="I4073" s="1">
        <v>39646</v>
      </c>
      <c r="J4073">
        <v>4882.25</v>
      </c>
      <c r="K4073" s="4">
        <f t="shared" si="290"/>
        <v>48822.5</v>
      </c>
    </row>
    <row r="4074" spans="4:11" x14ac:dyDescent="0.35">
      <c r="D4074" s="1">
        <v>39721</v>
      </c>
      <c r="E4074">
        <v>1.9135</v>
      </c>
      <c r="I4074" s="1">
        <v>39645</v>
      </c>
      <c r="J4074">
        <v>4876.16</v>
      </c>
      <c r="K4074" s="4">
        <f t="shared" si="290"/>
        <v>48761.599999999999</v>
      </c>
    </row>
    <row r="4075" spans="4:11" x14ac:dyDescent="0.35">
      <c r="D4075" s="1">
        <v>39720</v>
      </c>
      <c r="E4075">
        <v>1.9551000000000001</v>
      </c>
      <c r="I4075" s="1">
        <v>39644</v>
      </c>
      <c r="J4075">
        <v>4876.16</v>
      </c>
      <c r="K4075" s="4">
        <f t="shared" si="290"/>
        <v>48761.599999999999</v>
      </c>
    </row>
    <row r="4076" spans="4:11" x14ac:dyDescent="0.35">
      <c r="D4076" s="1">
        <v>39717</v>
      </c>
      <c r="E4076">
        <v>1.8547</v>
      </c>
      <c r="I4076" s="1">
        <v>39643</v>
      </c>
      <c r="J4076">
        <v>4874.6400000000003</v>
      </c>
      <c r="K4076" s="4">
        <f t="shared" si="290"/>
        <v>48746.400000000001</v>
      </c>
    </row>
    <row r="4077" spans="4:11" x14ac:dyDescent="0.35">
      <c r="D4077" s="1">
        <v>39716</v>
      </c>
      <c r="E4077">
        <v>1.8269</v>
      </c>
      <c r="I4077" s="1">
        <v>39640</v>
      </c>
      <c r="J4077">
        <v>4906.6000000000004</v>
      </c>
      <c r="K4077" s="4">
        <f t="shared" si="290"/>
        <v>49066</v>
      </c>
    </row>
    <row r="4078" spans="4:11" x14ac:dyDescent="0.35">
      <c r="D4078" s="1">
        <v>39715</v>
      </c>
      <c r="E4078">
        <v>1.8436999999999999</v>
      </c>
      <c r="I4078" s="1">
        <v>39639</v>
      </c>
      <c r="J4078">
        <v>4915.7299999999996</v>
      </c>
      <c r="K4078" s="4">
        <f t="shared" si="290"/>
        <v>49157.299999999996</v>
      </c>
    </row>
    <row r="4079" spans="4:11" x14ac:dyDescent="0.35">
      <c r="D4079" s="1">
        <v>39714</v>
      </c>
      <c r="E4079">
        <v>1.8233999999999999</v>
      </c>
      <c r="I4079" s="1">
        <v>39637</v>
      </c>
      <c r="J4079">
        <v>4930.95</v>
      </c>
      <c r="K4079" s="4">
        <f t="shared" si="290"/>
        <v>49309.5</v>
      </c>
    </row>
    <row r="4080" spans="4:11" x14ac:dyDescent="0.35">
      <c r="D4080" s="1">
        <v>39713</v>
      </c>
      <c r="E4080">
        <v>1.7981</v>
      </c>
      <c r="I4080" s="1">
        <v>39636</v>
      </c>
      <c r="J4080">
        <v>4897.47</v>
      </c>
      <c r="K4080" s="4">
        <f t="shared" si="290"/>
        <v>48974.700000000004</v>
      </c>
    </row>
    <row r="4081" spans="4:11" x14ac:dyDescent="0.35">
      <c r="D4081" s="1">
        <v>39710</v>
      </c>
      <c r="E4081">
        <v>1.839</v>
      </c>
      <c r="I4081" s="1">
        <v>39633</v>
      </c>
      <c r="J4081">
        <v>4924.8599999999997</v>
      </c>
      <c r="K4081" s="4">
        <f t="shared" si="290"/>
        <v>49248.6</v>
      </c>
    </row>
    <row r="4082" spans="4:11" x14ac:dyDescent="0.35">
      <c r="D4082" s="1">
        <v>39709</v>
      </c>
      <c r="E4082">
        <v>1.9151</v>
      </c>
      <c r="I4082" s="1">
        <v>39632</v>
      </c>
      <c r="J4082">
        <v>4918.7700000000004</v>
      </c>
      <c r="K4082" s="4">
        <f t="shared" si="290"/>
        <v>49187.700000000004</v>
      </c>
    </row>
    <row r="4083" spans="4:11" x14ac:dyDescent="0.35">
      <c r="D4083" s="1">
        <v>39708</v>
      </c>
      <c r="E4083">
        <v>1.8652</v>
      </c>
      <c r="I4083" s="1">
        <v>39631</v>
      </c>
      <c r="J4083">
        <v>4930.95</v>
      </c>
      <c r="K4083" s="4">
        <f t="shared" si="290"/>
        <v>49309.5</v>
      </c>
    </row>
    <row r="4084" spans="4:11" x14ac:dyDescent="0.35">
      <c r="D4084" s="1">
        <v>39707</v>
      </c>
      <c r="E4084">
        <v>1.8402000000000001</v>
      </c>
      <c r="I4084" s="1">
        <v>39630</v>
      </c>
      <c r="J4084">
        <v>4903.55</v>
      </c>
      <c r="K4084" s="4">
        <f t="shared" si="290"/>
        <v>49035.5</v>
      </c>
    </row>
    <row r="4085" spans="4:11" x14ac:dyDescent="0.35">
      <c r="D4085" s="1">
        <v>39706</v>
      </c>
      <c r="E4085">
        <v>1.8117000000000001</v>
      </c>
      <c r="I4085" s="1">
        <v>39629</v>
      </c>
      <c r="J4085">
        <v>4921.82</v>
      </c>
      <c r="K4085" s="4">
        <f t="shared" si="290"/>
        <v>49218.2</v>
      </c>
    </row>
    <row r="4086" spans="4:11" x14ac:dyDescent="0.35">
      <c r="D4086" s="1">
        <v>39703</v>
      </c>
      <c r="E4086">
        <v>1.7904</v>
      </c>
      <c r="I4086" s="1">
        <v>39626</v>
      </c>
      <c r="J4086">
        <v>4934.17</v>
      </c>
      <c r="K4086" s="4">
        <f t="shared" si="290"/>
        <v>49341.7</v>
      </c>
    </row>
    <row r="4087" spans="4:11" x14ac:dyDescent="0.35">
      <c r="D4087" s="1">
        <v>39702</v>
      </c>
      <c r="E4087">
        <v>1.8247</v>
      </c>
      <c r="I4087" s="1">
        <v>39625</v>
      </c>
      <c r="J4087">
        <v>4957.3500000000004</v>
      </c>
      <c r="K4087" s="4">
        <f t="shared" si="290"/>
        <v>49573.5</v>
      </c>
    </row>
    <row r="4088" spans="4:11" x14ac:dyDescent="0.35">
      <c r="D4088" s="1">
        <v>39701</v>
      </c>
      <c r="E4088">
        <v>1.7849999999999999</v>
      </c>
      <c r="I4088" s="1">
        <v>39624</v>
      </c>
      <c r="J4088">
        <v>4920.2700000000004</v>
      </c>
      <c r="K4088" s="4">
        <f t="shared" si="290"/>
        <v>49202.700000000004</v>
      </c>
    </row>
    <row r="4089" spans="4:11" x14ac:dyDescent="0.35">
      <c r="D4089" s="1">
        <v>39700</v>
      </c>
      <c r="E4089">
        <v>1.7536</v>
      </c>
      <c r="I4089" s="1">
        <v>39623</v>
      </c>
      <c r="J4089">
        <v>4954.26</v>
      </c>
      <c r="K4089" s="4">
        <f t="shared" si="290"/>
        <v>49542.600000000006</v>
      </c>
    </row>
    <row r="4090" spans="4:11" x14ac:dyDescent="0.35">
      <c r="D4090" s="1">
        <v>39699</v>
      </c>
      <c r="E4090">
        <v>1.7274</v>
      </c>
      <c r="I4090" s="1">
        <v>39622</v>
      </c>
      <c r="J4090">
        <v>4986.7</v>
      </c>
      <c r="K4090" s="4">
        <f t="shared" si="290"/>
        <v>49867</v>
      </c>
    </row>
    <row r="4091" spans="4:11" x14ac:dyDescent="0.35">
      <c r="D4091" s="1">
        <v>39696</v>
      </c>
      <c r="E4091">
        <v>1.7297</v>
      </c>
      <c r="I4091" s="1">
        <v>39619</v>
      </c>
      <c r="J4091">
        <v>4974.34</v>
      </c>
      <c r="K4091" s="4">
        <f t="shared" si="290"/>
        <v>49743.4</v>
      </c>
    </row>
    <row r="4092" spans="4:11" x14ac:dyDescent="0.35">
      <c r="D4092" s="1">
        <v>39695</v>
      </c>
      <c r="E4092">
        <v>1.7001999999999999</v>
      </c>
      <c r="I4092" s="1">
        <v>39618</v>
      </c>
      <c r="J4092">
        <v>4971.25</v>
      </c>
      <c r="K4092" s="4">
        <f t="shared" si="290"/>
        <v>49712.5</v>
      </c>
    </row>
    <row r="4093" spans="4:11" x14ac:dyDescent="0.35">
      <c r="D4093" s="1">
        <v>39694</v>
      </c>
      <c r="E4093">
        <v>1.6719999999999999</v>
      </c>
      <c r="I4093" s="1">
        <v>39617</v>
      </c>
      <c r="J4093">
        <v>4980.5200000000004</v>
      </c>
      <c r="K4093" s="4">
        <f t="shared" si="290"/>
        <v>49805.200000000004</v>
      </c>
    </row>
    <row r="4094" spans="4:11" x14ac:dyDescent="0.35">
      <c r="D4094" s="1">
        <v>39693</v>
      </c>
      <c r="E4094">
        <v>1.6594</v>
      </c>
      <c r="I4094" s="1">
        <v>39616</v>
      </c>
      <c r="J4094">
        <v>4999.0600000000004</v>
      </c>
      <c r="K4094" s="4">
        <f t="shared" si="290"/>
        <v>49990.600000000006</v>
      </c>
    </row>
    <row r="4095" spans="4:11" x14ac:dyDescent="0.35">
      <c r="D4095" s="1">
        <v>39692</v>
      </c>
      <c r="E4095">
        <v>1.6438999999999999</v>
      </c>
      <c r="I4095" s="1">
        <v>39615</v>
      </c>
      <c r="J4095">
        <v>5036.13</v>
      </c>
      <c r="K4095" s="4">
        <f t="shared" si="290"/>
        <v>50361.3</v>
      </c>
    </row>
    <row r="4096" spans="4:11" x14ac:dyDescent="0.35">
      <c r="D4096" s="1">
        <v>39689</v>
      </c>
      <c r="E4096">
        <v>1.6335999999999999</v>
      </c>
      <c r="I4096" s="1">
        <v>39612</v>
      </c>
      <c r="J4096">
        <v>5067.03</v>
      </c>
      <c r="K4096" s="4">
        <f t="shared" si="290"/>
        <v>50670.299999999996</v>
      </c>
    </row>
    <row r="4097" spans="4:11" x14ac:dyDescent="0.35">
      <c r="D4097" s="1">
        <v>39688</v>
      </c>
      <c r="E4097">
        <v>1.6254</v>
      </c>
      <c r="I4097" s="1">
        <v>39611</v>
      </c>
      <c r="J4097">
        <v>5073.21</v>
      </c>
      <c r="K4097" s="4">
        <f t="shared" si="290"/>
        <v>50732.1</v>
      </c>
    </row>
    <row r="4098" spans="4:11" x14ac:dyDescent="0.35">
      <c r="D4098" s="1">
        <v>39687</v>
      </c>
      <c r="E4098">
        <v>1.6205000000000001</v>
      </c>
      <c r="I4098" s="1">
        <v>39610</v>
      </c>
      <c r="J4098">
        <v>5088.66</v>
      </c>
      <c r="K4098" s="4">
        <f t="shared" si="290"/>
        <v>50886.6</v>
      </c>
    </row>
    <row r="4099" spans="4:11" x14ac:dyDescent="0.35">
      <c r="D4099" s="1">
        <v>39686</v>
      </c>
      <c r="E4099">
        <v>1.6367</v>
      </c>
      <c r="I4099" s="1">
        <v>39609</v>
      </c>
      <c r="J4099">
        <v>5110.28</v>
      </c>
      <c r="K4099" s="4">
        <f t="shared" si="290"/>
        <v>51102.799999999996</v>
      </c>
    </row>
    <row r="4100" spans="4:11" x14ac:dyDescent="0.35">
      <c r="D4100" s="1">
        <v>39685</v>
      </c>
      <c r="E4100">
        <v>1.6267</v>
      </c>
      <c r="I4100" s="1">
        <v>39608</v>
      </c>
      <c r="J4100">
        <v>5045.3999999999996</v>
      </c>
      <c r="K4100" s="4">
        <f t="shared" si="290"/>
        <v>50454</v>
      </c>
    </row>
    <row r="4101" spans="4:11" x14ac:dyDescent="0.35">
      <c r="D4101" s="1">
        <v>39682</v>
      </c>
      <c r="E4101">
        <v>1.6209</v>
      </c>
      <c r="I4101" s="1">
        <v>39605</v>
      </c>
      <c r="J4101">
        <v>5076.3</v>
      </c>
      <c r="K4101" s="4">
        <f t="shared" ref="K4101:K4164" si="291">J4101*10</f>
        <v>50763</v>
      </c>
    </row>
    <row r="4102" spans="4:11" x14ac:dyDescent="0.35">
      <c r="D4102" s="1">
        <v>39681</v>
      </c>
      <c r="E4102">
        <v>1.6134999999999999</v>
      </c>
      <c r="I4102" s="1">
        <v>39604</v>
      </c>
      <c r="J4102">
        <v>5060.8500000000004</v>
      </c>
      <c r="K4102" s="4">
        <f t="shared" si="291"/>
        <v>50608.5</v>
      </c>
    </row>
    <row r="4103" spans="4:11" x14ac:dyDescent="0.35">
      <c r="D4103" s="1">
        <v>39680</v>
      </c>
      <c r="E4103">
        <v>1.6198999999999999</v>
      </c>
      <c r="I4103" s="1">
        <v>39603</v>
      </c>
      <c r="J4103">
        <v>5067.03</v>
      </c>
      <c r="K4103" s="4">
        <f t="shared" si="291"/>
        <v>50670.299999999996</v>
      </c>
    </row>
    <row r="4104" spans="4:11" x14ac:dyDescent="0.35">
      <c r="D4104" s="1">
        <v>39679</v>
      </c>
      <c r="E4104">
        <v>1.6335</v>
      </c>
      <c r="I4104" s="1">
        <v>39602</v>
      </c>
      <c r="J4104">
        <v>5073.21</v>
      </c>
      <c r="K4104" s="4">
        <f t="shared" si="291"/>
        <v>50732.1</v>
      </c>
    </row>
    <row r="4105" spans="4:11" x14ac:dyDescent="0.35">
      <c r="D4105" s="1">
        <v>39678</v>
      </c>
      <c r="E4105">
        <v>1.6341000000000001</v>
      </c>
      <c r="I4105" s="1">
        <v>39601</v>
      </c>
      <c r="J4105">
        <v>5057.76</v>
      </c>
      <c r="K4105" s="4">
        <f t="shared" si="291"/>
        <v>50577.600000000006</v>
      </c>
    </row>
    <row r="4106" spans="4:11" x14ac:dyDescent="0.35">
      <c r="D4106" s="1">
        <v>39675</v>
      </c>
      <c r="E4106">
        <v>1.6380999999999999</v>
      </c>
      <c r="I4106" s="1">
        <v>39598</v>
      </c>
      <c r="J4106">
        <v>5067.03</v>
      </c>
      <c r="K4106" s="4">
        <f t="shared" si="291"/>
        <v>50670.299999999996</v>
      </c>
    </row>
    <row r="4107" spans="4:11" x14ac:dyDescent="0.35">
      <c r="D4107" s="1">
        <v>39674</v>
      </c>
      <c r="E4107">
        <v>1.6195999999999999</v>
      </c>
      <c r="I4107" s="1">
        <v>39597</v>
      </c>
      <c r="J4107">
        <v>5093.45</v>
      </c>
      <c r="K4107" s="4">
        <f t="shared" si="291"/>
        <v>50934.5</v>
      </c>
    </row>
    <row r="4108" spans="4:11" x14ac:dyDescent="0.35">
      <c r="D4108" s="1">
        <v>39673</v>
      </c>
      <c r="E4108">
        <v>1.6203000000000001</v>
      </c>
      <c r="I4108" s="1">
        <v>39596</v>
      </c>
      <c r="J4108">
        <v>5138.53</v>
      </c>
      <c r="K4108" s="4">
        <f t="shared" si="291"/>
        <v>51385.299999999996</v>
      </c>
    </row>
    <row r="4109" spans="4:11" x14ac:dyDescent="0.35">
      <c r="D4109" s="1">
        <v>39672</v>
      </c>
      <c r="E4109">
        <v>1.6153</v>
      </c>
      <c r="I4109" s="1">
        <v>39595</v>
      </c>
      <c r="J4109">
        <v>5192.93</v>
      </c>
      <c r="K4109" s="4">
        <f t="shared" si="291"/>
        <v>51929.3</v>
      </c>
    </row>
    <row r="4110" spans="4:11" x14ac:dyDescent="0.35">
      <c r="D4110" s="1">
        <v>39671</v>
      </c>
      <c r="E4110">
        <v>1.6140000000000001</v>
      </c>
      <c r="I4110" s="1">
        <v>39594</v>
      </c>
      <c r="J4110">
        <v>5154.07</v>
      </c>
      <c r="K4110" s="4">
        <f t="shared" si="291"/>
        <v>51540.7</v>
      </c>
    </row>
    <row r="4111" spans="4:11" x14ac:dyDescent="0.35">
      <c r="D4111" s="1">
        <v>39668</v>
      </c>
      <c r="E4111">
        <v>1.6128</v>
      </c>
      <c r="I4111" s="1">
        <v>39591</v>
      </c>
      <c r="J4111">
        <v>5182.05</v>
      </c>
      <c r="K4111" s="4">
        <f t="shared" si="291"/>
        <v>51820.5</v>
      </c>
    </row>
    <row r="4112" spans="4:11" x14ac:dyDescent="0.35">
      <c r="D4112" s="1">
        <v>39667</v>
      </c>
      <c r="E4112">
        <v>1.5834999999999999</v>
      </c>
      <c r="I4112" s="1">
        <v>39589</v>
      </c>
      <c r="J4112">
        <v>5191.37</v>
      </c>
      <c r="K4112" s="4">
        <f t="shared" si="291"/>
        <v>51913.7</v>
      </c>
    </row>
    <row r="4113" spans="4:11" x14ac:dyDescent="0.35">
      <c r="D4113" s="1">
        <v>39666</v>
      </c>
      <c r="E4113">
        <v>1.5773999999999999</v>
      </c>
      <c r="I4113" s="1">
        <v>39588</v>
      </c>
      <c r="J4113">
        <v>5150.96</v>
      </c>
      <c r="K4113" s="4">
        <f t="shared" si="291"/>
        <v>51509.599999999999</v>
      </c>
    </row>
    <row r="4114" spans="4:11" x14ac:dyDescent="0.35">
      <c r="D4114" s="1">
        <v>39665</v>
      </c>
      <c r="E4114">
        <v>1.5724</v>
      </c>
      <c r="I4114" s="1">
        <v>39587</v>
      </c>
      <c r="J4114">
        <v>5143.1899999999996</v>
      </c>
      <c r="K4114" s="4">
        <f t="shared" si="291"/>
        <v>51431.899999999994</v>
      </c>
    </row>
    <row r="4115" spans="4:11" x14ac:dyDescent="0.35">
      <c r="D4115" s="1">
        <v>39664</v>
      </c>
      <c r="E4115">
        <v>1.5650999999999999</v>
      </c>
      <c r="I4115" s="1">
        <v>39584</v>
      </c>
      <c r="J4115">
        <v>5098.12</v>
      </c>
      <c r="K4115" s="4">
        <f t="shared" si="291"/>
        <v>50981.2</v>
      </c>
    </row>
    <row r="4116" spans="4:11" x14ac:dyDescent="0.35">
      <c r="D4116" s="1">
        <v>39661</v>
      </c>
      <c r="E4116">
        <v>1.5585</v>
      </c>
      <c r="I4116" s="1">
        <v>39583</v>
      </c>
      <c r="J4116">
        <v>5157.18</v>
      </c>
      <c r="K4116" s="4">
        <f t="shared" si="291"/>
        <v>51571.8</v>
      </c>
    </row>
    <row r="4117" spans="4:11" x14ac:dyDescent="0.35">
      <c r="D4117" s="1">
        <v>39660</v>
      </c>
      <c r="E4117">
        <v>1.5658000000000001</v>
      </c>
      <c r="I4117" s="1">
        <v>39582</v>
      </c>
      <c r="J4117">
        <v>5203.8100000000004</v>
      </c>
      <c r="K4117" s="4">
        <f t="shared" si="291"/>
        <v>52038.100000000006</v>
      </c>
    </row>
    <row r="4118" spans="4:11" x14ac:dyDescent="0.35">
      <c r="D4118" s="1">
        <v>39659</v>
      </c>
      <c r="E4118">
        <v>1.5632999999999999</v>
      </c>
      <c r="I4118" s="1">
        <v>39581</v>
      </c>
      <c r="J4118">
        <v>5200.7</v>
      </c>
      <c r="K4118" s="4">
        <f t="shared" si="291"/>
        <v>52007</v>
      </c>
    </row>
    <row r="4119" spans="4:11" x14ac:dyDescent="0.35">
      <c r="D4119" s="1">
        <v>39658</v>
      </c>
      <c r="E4119">
        <v>1.5722</v>
      </c>
      <c r="I4119" s="1">
        <v>39580</v>
      </c>
      <c r="J4119">
        <v>5191.37</v>
      </c>
      <c r="K4119" s="4">
        <f t="shared" si="291"/>
        <v>51913.7</v>
      </c>
    </row>
    <row r="4120" spans="4:11" x14ac:dyDescent="0.35">
      <c r="D4120" s="1">
        <v>39657</v>
      </c>
      <c r="E4120">
        <v>1.5746</v>
      </c>
      <c r="I4120" s="1">
        <v>39577</v>
      </c>
      <c r="J4120">
        <v>5265.98</v>
      </c>
      <c r="K4120" s="4">
        <f t="shared" si="291"/>
        <v>52659.799999999996</v>
      </c>
    </row>
    <row r="4121" spans="4:11" x14ac:dyDescent="0.35">
      <c r="D4121" s="1">
        <v>39654</v>
      </c>
      <c r="E4121">
        <v>1.5737000000000001</v>
      </c>
      <c r="I4121" s="1">
        <v>39576</v>
      </c>
      <c r="J4121">
        <v>5306.39</v>
      </c>
      <c r="K4121" s="4">
        <f t="shared" si="291"/>
        <v>53063.9</v>
      </c>
    </row>
    <row r="4122" spans="4:11" x14ac:dyDescent="0.35">
      <c r="D4122" s="1">
        <v>39653</v>
      </c>
      <c r="E4122">
        <v>1.5772999999999999</v>
      </c>
      <c r="I4122" s="1">
        <v>39575</v>
      </c>
      <c r="J4122">
        <v>5259.76</v>
      </c>
      <c r="K4122" s="4">
        <f t="shared" si="291"/>
        <v>52597.600000000006</v>
      </c>
    </row>
    <row r="4123" spans="4:11" x14ac:dyDescent="0.35">
      <c r="D4123" s="1">
        <v>39652</v>
      </c>
      <c r="E4123">
        <v>1.5826</v>
      </c>
      <c r="I4123" s="1">
        <v>39574</v>
      </c>
      <c r="J4123">
        <v>5175.83</v>
      </c>
      <c r="K4123" s="4">
        <f t="shared" si="291"/>
        <v>51758.3</v>
      </c>
    </row>
    <row r="4124" spans="4:11" x14ac:dyDescent="0.35">
      <c r="D4124" s="1">
        <v>39651</v>
      </c>
      <c r="E4124">
        <v>1.5803</v>
      </c>
      <c r="I4124" s="1">
        <v>39573</v>
      </c>
      <c r="J4124">
        <v>5177.38</v>
      </c>
      <c r="K4124" s="4">
        <f t="shared" si="291"/>
        <v>51773.8</v>
      </c>
    </row>
    <row r="4125" spans="4:11" x14ac:dyDescent="0.35">
      <c r="D4125" s="1">
        <v>39650</v>
      </c>
      <c r="E4125">
        <v>1.581</v>
      </c>
      <c r="I4125" s="1">
        <v>39570</v>
      </c>
      <c r="J4125">
        <v>5185.16</v>
      </c>
      <c r="K4125" s="4">
        <f t="shared" si="291"/>
        <v>51851.6</v>
      </c>
    </row>
    <row r="4126" spans="4:11" x14ac:dyDescent="0.35">
      <c r="D4126" s="1">
        <v>39647</v>
      </c>
      <c r="E4126">
        <v>1.593</v>
      </c>
      <c r="I4126" s="1">
        <v>39568</v>
      </c>
      <c r="J4126">
        <v>5238</v>
      </c>
      <c r="K4126" s="4">
        <f t="shared" si="291"/>
        <v>52380</v>
      </c>
    </row>
    <row r="4127" spans="4:11" x14ac:dyDescent="0.35">
      <c r="D4127" s="1">
        <v>39646</v>
      </c>
      <c r="E4127">
        <v>1.5905</v>
      </c>
      <c r="I4127" s="1">
        <v>39567</v>
      </c>
      <c r="J4127">
        <v>5295.39</v>
      </c>
      <c r="K4127" s="4">
        <f t="shared" si="291"/>
        <v>52953.9</v>
      </c>
    </row>
    <row r="4128" spans="4:11" x14ac:dyDescent="0.35">
      <c r="D4128" s="1">
        <v>39645</v>
      </c>
      <c r="E4128">
        <v>1.5952</v>
      </c>
      <c r="I4128" s="1">
        <v>39566</v>
      </c>
      <c r="J4128">
        <v>5236.45</v>
      </c>
      <c r="K4128" s="4">
        <f t="shared" si="291"/>
        <v>52364.5</v>
      </c>
    </row>
    <row r="4129" spans="4:11" x14ac:dyDescent="0.35">
      <c r="D4129" s="1">
        <v>39644</v>
      </c>
      <c r="E4129">
        <v>1.5902000000000001</v>
      </c>
      <c r="I4129" s="1">
        <v>39563</v>
      </c>
      <c r="J4129">
        <v>5175.96</v>
      </c>
      <c r="K4129" s="4">
        <f t="shared" si="291"/>
        <v>51759.6</v>
      </c>
    </row>
    <row r="4130" spans="4:11" x14ac:dyDescent="0.35">
      <c r="D4130" s="1">
        <v>39643</v>
      </c>
      <c r="E4130">
        <v>1.5933999999999999</v>
      </c>
      <c r="I4130" s="1">
        <v>39562</v>
      </c>
      <c r="J4130">
        <v>5205.43</v>
      </c>
      <c r="K4130" s="4">
        <f t="shared" si="291"/>
        <v>52054.3</v>
      </c>
    </row>
    <row r="4131" spans="4:11" x14ac:dyDescent="0.35">
      <c r="D4131" s="1">
        <v>39640</v>
      </c>
      <c r="E4131">
        <v>1.6024</v>
      </c>
      <c r="I4131" s="1">
        <v>39561</v>
      </c>
      <c r="J4131">
        <v>5137.18</v>
      </c>
      <c r="K4131" s="4">
        <f t="shared" si="291"/>
        <v>51371.8</v>
      </c>
    </row>
    <row r="4132" spans="4:11" x14ac:dyDescent="0.35">
      <c r="D4132" s="1">
        <v>39639</v>
      </c>
      <c r="E4132">
        <v>1.6138999999999999</v>
      </c>
      <c r="I4132" s="1">
        <v>39560</v>
      </c>
      <c r="J4132">
        <v>5154.24</v>
      </c>
      <c r="K4132" s="4">
        <f t="shared" si="291"/>
        <v>51542.399999999994</v>
      </c>
    </row>
    <row r="4133" spans="4:11" x14ac:dyDescent="0.35">
      <c r="D4133" s="1">
        <v>39638</v>
      </c>
      <c r="E4133">
        <v>1.6084000000000001</v>
      </c>
      <c r="I4133" s="1">
        <v>39556</v>
      </c>
      <c r="J4133">
        <v>5202.33</v>
      </c>
      <c r="K4133" s="4">
        <f t="shared" si="291"/>
        <v>52023.3</v>
      </c>
    </row>
    <row r="4134" spans="4:11" x14ac:dyDescent="0.35">
      <c r="D4134" s="1">
        <v>39637</v>
      </c>
      <c r="E4134">
        <v>1.6019000000000001</v>
      </c>
      <c r="I4134" s="1">
        <v>39555</v>
      </c>
      <c r="J4134">
        <v>5140.28</v>
      </c>
      <c r="K4134" s="4">
        <f t="shared" si="291"/>
        <v>51402.799999999996</v>
      </c>
    </row>
    <row r="4135" spans="4:11" x14ac:dyDescent="0.35">
      <c r="D4135" s="1">
        <v>39636</v>
      </c>
      <c r="E4135">
        <v>1.6032999999999999</v>
      </c>
      <c r="I4135" s="1">
        <v>39554</v>
      </c>
      <c r="J4135">
        <v>5172.8599999999997</v>
      </c>
      <c r="K4135" s="4">
        <f t="shared" si="291"/>
        <v>51728.6</v>
      </c>
    </row>
    <row r="4136" spans="4:11" x14ac:dyDescent="0.35">
      <c r="D4136" s="1">
        <v>39633</v>
      </c>
      <c r="E4136">
        <v>1.6092</v>
      </c>
      <c r="I4136" s="1">
        <v>39553</v>
      </c>
      <c r="J4136">
        <v>5220.9399999999996</v>
      </c>
      <c r="K4136" s="4">
        <f t="shared" si="291"/>
        <v>52209.399999999994</v>
      </c>
    </row>
    <row r="4137" spans="4:11" x14ac:dyDescent="0.35">
      <c r="D4137" s="1">
        <v>39632</v>
      </c>
      <c r="E4137">
        <v>1.6081000000000001</v>
      </c>
      <c r="I4137" s="1">
        <v>39552</v>
      </c>
      <c r="J4137">
        <v>5248.86</v>
      </c>
      <c r="K4137" s="4">
        <f t="shared" si="291"/>
        <v>52488.6</v>
      </c>
    </row>
    <row r="4138" spans="4:11" x14ac:dyDescent="0.35">
      <c r="D4138" s="1">
        <v>39631</v>
      </c>
      <c r="E4138">
        <v>1.5985</v>
      </c>
      <c r="I4138" s="1">
        <v>39549</v>
      </c>
      <c r="J4138">
        <v>5267.47</v>
      </c>
      <c r="K4138" s="4">
        <f t="shared" si="291"/>
        <v>52674.700000000004</v>
      </c>
    </row>
    <row r="4139" spans="4:11" x14ac:dyDescent="0.35">
      <c r="D4139" s="1">
        <v>39630</v>
      </c>
      <c r="E4139">
        <v>1.6052999999999999</v>
      </c>
      <c r="I4139" s="1">
        <v>39548</v>
      </c>
      <c r="J4139">
        <v>5242.66</v>
      </c>
      <c r="K4139" s="4">
        <f t="shared" si="291"/>
        <v>52426.6</v>
      </c>
    </row>
    <row r="4140" spans="4:11" x14ac:dyDescent="0.35">
      <c r="D4140" s="1">
        <v>39629</v>
      </c>
      <c r="E4140">
        <v>1.5911</v>
      </c>
      <c r="I4140" s="1">
        <v>39547</v>
      </c>
      <c r="J4140">
        <v>5267.47</v>
      </c>
      <c r="K4140" s="4">
        <f t="shared" si="291"/>
        <v>52674.700000000004</v>
      </c>
    </row>
    <row r="4141" spans="4:11" x14ac:dyDescent="0.35">
      <c r="D4141" s="1">
        <v>39626</v>
      </c>
      <c r="E4141">
        <v>1.6069</v>
      </c>
      <c r="I4141" s="1">
        <v>39546</v>
      </c>
      <c r="J4141">
        <v>5281.43</v>
      </c>
      <c r="K4141" s="4">
        <f t="shared" si="291"/>
        <v>52814.3</v>
      </c>
    </row>
    <row r="4142" spans="4:11" x14ac:dyDescent="0.35">
      <c r="D4142" s="1">
        <v>39625</v>
      </c>
      <c r="E4142">
        <v>1.5943000000000001</v>
      </c>
      <c r="I4142" s="1">
        <v>39545</v>
      </c>
      <c r="J4142">
        <v>5320.21</v>
      </c>
      <c r="K4142" s="4">
        <f t="shared" si="291"/>
        <v>53202.1</v>
      </c>
    </row>
    <row r="4143" spans="4:11" x14ac:dyDescent="0.35">
      <c r="D4143" s="1">
        <v>39624</v>
      </c>
      <c r="E4143">
        <v>1.5992999999999999</v>
      </c>
      <c r="I4143" s="1">
        <v>39542</v>
      </c>
      <c r="J4143">
        <v>5324.86</v>
      </c>
      <c r="K4143" s="4">
        <f t="shared" si="291"/>
        <v>53248.6</v>
      </c>
    </row>
    <row r="4144" spans="4:11" x14ac:dyDescent="0.35">
      <c r="D4144" s="1">
        <v>39623</v>
      </c>
      <c r="E4144">
        <v>1.6037999999999999</v>
      </c>
      <c r="I4144" s="1">
        <v>39541</v>
      </c>
      <c r="J4144">
        <v>5357.44</v>
      </c>
      <c r="K4144" s="4">
        <f t="shared" si="291"/>
        <v>53574.399999999994</v>
      </c>
    </row>
    <row r="4145" spans="4:11" x14ac:dyDescent="0.35">
      <c r="D4145" s="1">
        <v>39622</v>
      </c>
      <c r="E4145">
        <v>1.6109</v>
      </c>
      <c r="I4145" s="1">
        <v>39540</v>
      </c>
      <c r="J4145">
        <v>5379.15</v>
      </c>
      <c r="K4145" s="4">
        <f t="shared" si="291"/>
        <v>53791.5</v>
      </c>
    </row>
    <row r="4146" spans="4:11" x14ac:dyDescent="0.35">
      <c r="D4146" s="1">
        <v>39619</v>
      </c>
      <c r="E4146">
        <v>1.6033999999999999</v>
      </c>
      <c r="I4146" s="1">
        <v>39539</v>
      </c>
      <c r="J4146">
        <v>5431.89</v>
      </c>
      <c r="K4146" s="4">
        <f t="shared" si="291"/>
        <v>54318.9</v>
      </c>
    </row>
    <row r="4147" spans="4:11" x14ac:dyDescent="0.35">
      <c r="D4147" s="1">
        <v>39618</v>
      </c>
      <c r="E4147">
        <v>1.6043000000000001</v>
      </c>
      <c r="I4147" s="1">
        <v>39538</v>
      </c>
      <c r="J4147">
        <v>5490.83</v>
      </c>
      <c r="K4147" s="4">
        <f t="shared" si="291"/>
        <v>54908.3</v>
      </c>
    </row>
    <row r="4148" spans="4:11" x14ac:dyDescent="0.35">
      <c r="D4148" s="1">
        <v>39617</v>
      </c>
      <c r="E4148">
        <v>1.6105</v>
      </c>
      <c r="I4148" s="1">
        <v>39535</v>
      </c>
      <c r="J4148">
        <v>5506.56</v>
      </c>
      <c r="K4148" s="4">
        <f t="shared" si="291"/>
        <v>55065.600000000006</v>
      </c>
    </row>
    <row r="4149" spans="4:11" x14ac:dyDescent="0.35">
      <c r="D4149" s="1">
        <v>39616</v>
      </c>
      <c r="E4149">
        <v>1.6119000000000001</v>
      </c>
      <c r="I4149" s="1">
        <v>39534</v>
      </c>
      <c r="J4149">
        <v>5475.1</v>
      </c>
      <c r="K4149" s="4">
        <f t="shared" si="291"/>
        <v>54751</v>
      </c>
    </row>
    <row r="4150" spans="4:11" x14ac:dyDescent="0.35">
      <c r="D4150" s="1">
        <v>39615</v>
      </c>
      <c r="E4150">
        <v>1.6269</v>
      </c>
      <c r="I4150" s="1">
        <v>39533</v>
      </c>
      <c r="J4150">
        <v>5443.63</v>
      </c>
      <c r="K4150" s="4">
        <f t="shared" si="291"/>
        <v>54436.3</v>
      </c>
    </row>
    <row r="4151" spans="4:11" x14ac:dyDescent="0.35">
      <c r="D4151" s="1">
        <v>39612</v>
      </c>
      <c r="E4151">
        <v>1.6359999999999999</v>
      </c>
      <c r="I4151" s="1">
        <v>39532</v>
      </c>
      <c r="J4151">
        <v>5453.07</v>
      </c>
      <c r="K4151" s="4">
        <f t="shared" si="291"/>
        <v>54530.7</v>
      </c>
    </row>
    <row r="4152" spans="4:11" x14ac:dyDescent="0.35">
      <c r="D4152" s="1">
        <v>39611</v>
      </c>
      <c r="E4152">
        <v>1.6392</v>
      </c>
      <c r="I4152" s="1">
        <v>39531</v>
      </c>
      <c r="J4152">
        <v>5509.71</v>
      </c>
      <c r="K4152" s="4">
        <f t="shared" si="291"/>
        <v>55097.1</v>
      </c>
    </row>
    <row r="4153" spans="4:11" x14ac:dyDescent="0.35">
      <c r="D4153" s="1">
        <v>39610</v>
      </c>
      <c r="E4153">
        <v>1.6419999999999999</v>
      </c>
      <c r="I4153" s="1">
        <v>39527</v>
      </c>
      <c r="J4153">
        <v>5484.54</v>
      </c>
      <c r="K4153" s="4">
        <f t="shared" si="291"/>
        <v>54845.4</v>
      </c>
    </row>
    <row r="4154" spans="4:11" x14ac:dyDescent="0.35">
      <c r="D4154" s="1">
        <v>39609</v>
      </c>
      <c r="E4154">
        <v>1.6384000000000001</v>
      </c>
      <c r="I4154" s="1">
        <v>39526</v>
      </c>
      <c r="J4154">
        <v>5457.79</v>
      </c>
      <c r="K4154" s="4">
        <f t="shared" si="291"/>
        <v>54577.9</v>
      </c>
    </row>
    <row r="4155" spans="4:11" x14ac:dyDescent="0.35">
      <c r="D4155" s="1">
        <v>39608</v>
      </c>
      <c r="E4155">
        <v>1.6256999999999999</v>
      </c>
      <c r="I4155" s="1">
        <v>39525</v>
      </c>
      <c r="J4155">
        <v>5316.19</v>
      </c>
      <c r="K4155" s="4">
        <f t="shared" si="291"/>
        <v>53161.899999999994</v>
      </c>
    </row>
    <row r="4156" spans="4:11" x14ac:dyDescent="0.35">
      <c r="D4156" s="1">
        <v>39605</v>
      </c>
      <c r="E4156">
        <v>1.6274</v>
      </c>
      <c r="I4156" s="1">
        <v>39524</v>
      </c>
      <c r="J4156">
        <v>5437.34</v>
      </c>
      <c r="K4156" s="4">
        <f t="shared" si="291"/>
        <v>54373.4</v>
      </c>
    </row>
    <row r="4157" spans="4:11" x14ac:dyDescent="0.35">
      <c r="D4157" s="1">
        <v>39604</v>
      </c>
      <c r="E4157">
        <v>1.6254</v>
      </c>
      <c r="I4157" s="1">
        <v>39521</v>
      </c>
      <c r="J4157">
        <v>5396.43</v>
      </c>
      <c r="K4157" s="4">
        <f t="shared" si="291"/>
        <v>53964.3</v>
      </c>
    </row>
    <row r="4158" spans="4:11" x14ac:dyDescent="0.35">
      <c r="D4158" s="1">
        <v>39603</v>
      </c>
      <c r="E4158">
        <v>1.6298999999999999</v>
      </c>
      <c r="I4158" s="1">
        <v>39520</v>
      </c>
      <c r="J4158">
        <v>5330.35</v>
      </c>
      <c r="K4158" s="4">
        <f t="shared" si="291"/>
        <v>53303.5</v>
      </c>
    </row>
    <row r="4159" spans="4:11" x14ac:dyDescent="0.35">
      <c r="D4159" s="1">
        <v>39602</v>
      </c>
      <c r="E4159">
        <v>1.6207</v>
      </c>
      <c r="I4159" s="1">
        <v>39519</v>
      </c>
      <c r="J4159">
        <v>5292.59</v>
      </c>
      <c r="K4159" s="4">
        <f t="shared" si="291"/>
        <v>52925.9</v>
      </c>
    </row>
    <row r="4160" spans="4:11" x14ac:dyDescent="0.35">
      <c r="D4160" s="1">
        <v>39601</v>
      </c>
      <c r="E4160">
        <v>1.6312</v>
      </c>
      <c r="I4160" s="1">
        <v>39518</v>
      </c>
      <c r="J4160">
        <v>5317.77</v>
      </c>
      <c r="K4160" s="4">
        <f t="shared" si="291"/>
        <v>53177.700000000004</v>
      </c>
    </row>
    <row r="4161" spans="4:11" x14ac:dyDescent="0.35">
      <c r="D4161" s="1">
        <v>39598</v>
      </c>
      <c r="E4161">
        <v>1.6286</v>
      </c>
      <c r="I4161" s="1">
        <v>39517</v>
      </c>
      <c r="J4161">
        <v>5396.43</v>
      </c>
      <c r="K4161" s="4">
        <f t="shared" si="291"/>
        <v>53964.3</v>
      </c>
    </row>
    <row r="4162" spans="4:11" x14ac:dyDescent="0.35">
      <c r="D4162" s="1">
        <v>39597</v>
      </c>
      <c r="E4162">
        <v>1.6488</v>
      </c>
      <c r="I4162" s="1">
        <v>39514</v>
      </c>
      <c r="J4162">
        <v>5314.62</v>
      </c>
      <c r="K4162" s="4">
        <f t="shared" si="291"/>
        <v>53146.2</v>
      </c>
    </row>
    <row r="4163" spans="4:11" x14ac:dyDescent="0.35">
      <c r="D4163" s="1">
        <v>39596</v>
      </c>
      <c r="E4163">
        <v>1.6621999999999999</v>
      </c>
      <c r="I4163" s="1">
        <v>39513</v>
      </c>
      <c r="J4163">
        <v>5342.94</v>
      </c>
      <c r="K4163" s="4">
        <f t="shared" si="291"/>
        <v>53429.399999999994</v>
      </c>
    </row>
    <row r="4164" spans="4:11" x14ac:dyDescent="0.35">
      <c r="D4164" s="1">
        <v>39595</v>
      </c>
      <c r="E4164">
        <v>1.6673</v>
      </c>
      <c r="I4164" s="1">
        <v>39512</v>
      </c>
      <c r="J4164">
        <v>5254.83</v>
      </c>
      <c r="K4164" s="4">
        <f t="shared" si="291"/>
        <v>52548.3</v>
      </c>
    </row>
    <row r="4165" spans="4:11" x14ac:dyDescent="0.35">
      <c r="D4165" s="1">
        <v>39594</v>
      </c>
      <c r="E4165">
        <v>1.6601999999999999</v>
      </c>
      <c r="I4165" s="1">
        <v>39511</v>
      </c>
      <c r="J4165">
        <v>5317.77</v>
      </c>
      <c r="K4165" s="4">
        <f t="shared" ref="K4165:K4228" si="292">J4165*10</f>
        <v>53177.700000000004</v>
      </c>
    </row>
    <row r="4166" spans="4:11" x14ac:dyDescent="0.35">
      <c r="D4166" s="1">
        <v>39591</v>
      </c>
      <c r="E4166">
        <v>1.6538999999999999</v>
      </c>
      <c r="I4166" s="1">
        <v>39510</v>
      </c>
      <c r="J4166">
        <v>5268.99</v>
      </c>
      <c r="K4166" s="4">
        <f t="shared" si="292"/>
        <v>52689.899999999994</v>
      </c>
    </row>
    <row r="4167" spans="4:11" x14ac:dyDescent="0.35">
      <c r="D4167" s="1">
        <v>39589</v>
      </c>
      <c r="E4167">
        <v>1.6484000000000001</v>
      </c>
      <c r="I4167" s="1">
        <v>39507</v>
      </c>
      <c r="J4167">
        <v>5358.67</v>
      </c>
      <c r="K4167" s="4">
        <f t="shared" si="292"/>
        <v>53586.7</v>
      </c>
    </row>
    <row r="4168" spans="4:11" x14ac:dyDescent="0.35">
      <c r="D4168" s="1">
        <v>39588</v>
      </c>
      <c r="E4168">
        <v>1.6561999999999999</v>
      </c>
      <c r="I4168" s="1">
        <v>39506</v>
      </c>
      <c r="J4168">
        <v>5325.22</v>
      </c>
      <c r="K4168" s="4">
        <f t="shared" si="292"/>
        <v>53252.200000000004</v>
      </c>
    </row>
    <row r="4169" spans="4:11" x14ac:dyDescent="0.35">
      <c r="D4169" s="1">
        <v>39587</v>
      </c>
      <c r="E4169">
        <v>1.6452</v>
      </c>
      <c r="I4169" s="1">
        <v>39505</v>
      </c>
      <c r="J4169">
        <v>5310.88</v>
      </c>
      <c r="K4169" s="4">
        <f t="shared" si="292"/>
        <v>53108.800000000003</v>
      </c>
    </row>
    <row r="4170" spans="4:11" x14ac:dyDescent="0.35">
      <c r="D4170" s="1">
        <v>39584</v>
      </c>
      <c r="E4170">
        <v>1.6426000000000001</v>
      </c>
      <c r="I4170" s="1">
        <v>39504</v>
      </c>
      <c r="J4170">
        <v>5369.82</v>
      </c>
      <c r="K4170" s="4">
        <f t="shared" si="292"/>
        <v>53698.2</v>
      </c>
    </row>
    <row r="4171" spans="4:11" x14ac:dyDescent="0.35">
      <c r="D4171" s="1">
        <v>39583</v>
      </c>
      <c r="E4171">
        <v>1.6593</v>
      </c>
      <c r="I4171" s="1">
        <v>39503</v>
      </c>
      <c r="J4171">
        <v>5409.65</v>
      </c>
      <c r="K4171" s="4">
        <f t="shared" si="292"/>
        <v>54096.5</v>
      </c>
    </row>
    <row r="4172" spans="4:11" x14ac:dyDescent="0.35">
      <c r="D4172" s="1">
        <v>39582</v>
      </c>
      <c r="E4172">
        <v>1.6633</v>
      </c>
      <c r="I4172" s="1">
        <v>39500</v>
      </c>
      <c r="J4172">
        <v>5431.95</v>
      </c>
      <c r="K4172" s="4">
        <f t="shared" si="292"/>
        <v>54319.5</v>
      </c>
    </row>
    <row r="4173" spans="4:11" x14ac:dyDescent="0.35">
      <c r="D4173" s="1">
        <v>39581</v>
      </c>
      <c r="E4173">
        <v>1.6575</v>
      </c>
      <c r="I4173" s="1">
        <v>39499</v>
      </c>
      <c r="J4173">
        <v>5466.99</v>
      </c>
      <c r="K4173" s="4">
        <f t="shared" si="292"/>
        <v>54669.899999999994</v>
      </c>
    </row>
    <row r="4174" spans="4:11" x14ac:dyDescent="0.35">
      <c r="D4174" s="1">
        <v>39580</v>
      </c>
      <c r="E4174">
        <v>1.6735</v>
      </c>
      <c r="I4174" s="1">
        <v>39498</v>
      </c>
      <c r="J4174">
        <v>5479.74</v>
      </c>
      <c r="K4174" s="4">
        <f t="shared" si="292"/>
        <v>54797.399999999994</v>
      </c>
    </row>
    <row r="4175" spans="4:11" x14ac:dyDescent="0.35">
      <c r="D4175" s="1">
        <v>39577</v>
      </c>
      <c r="E4175">
        <v>1.6940999999999999</v>
      </c>
      <c r="I4175" s="1">
        <v>39497</v>
      </c>
      <c r="J4175">
        <v>5546.64</v>
      </c>
      <c r="K4175" s="4">
        <f t="shared" si="292"/>
        <v>55466.400000000001</v>
      </c>
    </row>
    <row r="4176" spans="4:11" x14ac:dyDescent="0.35">
      <c r="D4176" s="1">
        <v>39576</v>
      </c>
      <c r="E4176">
        <v>1.6928000000000001</v>
      </c>
      <c r="I4176" s="1">
        <v>39496</v>
      </c>
      <c r="J4176">
        <v>5538.67</v>
      </c>
      <c r="K4176" s="4">
        <f t="shared" si="292"/>
        <v>55386.7</v>
      </c>
    </row>
    <row r="4177" spans="4:11" x14ac:dyDescent="0.35">
      <c r="D4177" s="1">
        <v>39575</v>
      </c>
      <c r="E4177">
        <v>1.6733</v>
      </c>
      <c r="I4177" s="1">
        <v>39493</v>
      </c>
      <c r="J4177">
        <v>5589.65</v>
      </c>
      <c r="K4177" s="4">
        <f t="shared" si="292"/>
        <v>55896.5</v>
      </c>
    </row>
    <row r="4178" spans="4:11" x14ac:dyDescent="0.35">
      <c r="D4178" s="1">
        <v>39574</v>
      </c>
      <c r="E4178">
        <v>1.6607000000000001</v>
      </c>
      <c r="I4178" s="1">
        <v>39492</v>
      </c>
      <c r="J4178">
        <v>5597.61</v>
      </c>
      <c r="K4178" s="4">
        <f t="shared" si="292"/>
        <v>55976.1</v>
      </c>
    </row>
    <row r="4179" spans="4:11" x14ac:dyDescent="0.35">
      <c r="D4179" s="1">
        <v>39573</v>
      </c>
      <c r="E4179">
        <v>1.657</v>
      </c>
      <c r="I4179" s="1">
        <v>39491</v>
      </c>
      <c r="J4179">
        <v>5584.87</v>
      </c>
      <c r="K4179" s="4">
        <f t="shared" si="292"/>
        <v>55848.7</v>
      </c>
    </row>
    <row r="4180" spans="4:11" x14ac:dyDescent="0.35">
      <c r="D4180" s="1">
        <v>39570</v>
      </c>
      <c r="E4180">
        <v>1.6497999999999999</v>
      </c>
      <c r="I4180" s="1">
        <v>39490</v>
      </c>
      <c r="J4180">
        <v>5599.21</v>
      </c>
      <c r="K4180" s="4">
        <f t="shared" si="292"/>
        <v>55992.1</v>
      </c>
    </row>
    <row r="4181" spans="4:11" x14ac:dyDescent="0.35">
      <c r="D4181" s="1">
        <v>39568</v>
      </c>
      <c r="E4181">
        <v>1.6863999999999999</v>
      </c>
      <c r="I4181" s="1">
        <v>39489</v>
      </c>
      <c r="J4181">
        <v>5629.47</v>
      </c>
      <c r="K4181" s="4">
        <f t="shared" si="292"/>
        <v>56294.700000000004</v>
      </c>
    </row>
    <row r="4182" spans="4:11" x14ac:dyDescent="0.35">
      <c r="D4182" s="1">
        <v>39567</v>
      </c>
      <c r="E4182">
        <v>1.7050000000000001</v>
      </c>
      <c r="I4182" s="1">
        <v>39486</v>
      </c>
      <c r="J4182">
        <v>5670.89</v>
      </c>
      <c r="K4182" s="4">
        <f t="shared" si="292"/>
        <v>56708.9</v>
      </c>
    </row>
    <row r="4183" spans="4:11" x14ac:dyDescent="0.35">
      <c r="D4183" s="1">
        <v>39566</v>
      </c>
      <c r="E4183">
        <v>1.6756</v>
      </c>
      <c r="I4183" s="1">
        <v>39485</v>
      </c>
      <c r="J4183">
        <v>5610.36</v>
      </c>
      <c r="K4183" s="4">
        <f t="shared" si="292"/>
        <v>56103.6</v>
      </c>
    </row>
    <row r="4184" spans="4:11" x14ac:dyDescent="0.35">
      <c r="D4184" s="1">
        <v>39563</v>
      </c>
      <c r="E4184">
        <v>1.6679999999999999</v>
      </c>
      <c r="I4184" s="1">
        <v>39484</v>
      </c>
      <c r="J4184">
        <v>5619.91</v>
      </c>
      <c r="K4184" s="4">
        <f t="shared" si="292"/>
        <v>56199.1</v>
      </c>
    </row>
    <row r="4185" spans="4:11" x14ac:dyDescent="0.35">
      <c r="D4185" s="1">
        <v>39562</v>
      </c>
      <c r="E4185">
        <v>1.6678999999999999</v>
      </c>
      <c r="I4185" s="1">
        <v>39479</v>
      </c>
      <c r="J4185">
        <v>5592.83</v>
      </c>
      <c r="K4185" s="4">
        <f t="shared" si="292"/>
        <v>55928.3</v>
      </c>
    </row>
    <row r="4186" spans="4:11" x14ac:dyDescent="0.35">
      <c r="D4186" s="1">
        <v>39561</v>
      </c>
      <c r="E4186">
        <v>1.6574</v>
      </c>
      <c r="I4186" s="1">
        <v>39478</v>
      </c>
      <c r="J4186">
        <v>5616.73</v>
      </c>
      <c r="K4186" s="4">
        <f t="shared" si="292"/>
        <v>56167.299999999996</v>
      </c>
    </row>
    <row r="4187" spans="4:11" x14ac:dyDescent="0.35">
      <c r="D4187" s="1">
        <v>39560</v>
      </c>
      <c r="E4187">
        <v>1.6567000000000001</v>
      </c>
      <c r="I4187" s="1">
        <v>39477</v>
      </c>
      <c r="J4187">
        <v>5600.78</v>
      </c>
      <c r="K4187" s="4">
        <f t="shared" si="292"/>
        <v>56007.799999999996</v>
      </c>
    </row>
    <row r="4188" spans="4:11" x14ac:dyDescent="0.35">
      <c r="D4188" s="1">
        <v>39556</v>
      </c>
      <c r="E4188">
        <v>1.6685000000000001</v>
      </c>
      <c r="I4188" s="1">
        <v>39476</v>
      </c>
      <c r="J4188">
        <v>5677.33</v>
      </c>
      <c r="K4188" s="4">
        <f t="shared" si="292"/>
        <v>56773.3</v>
      </c>
    </row>
    <row r="4189" spans="4:11" x14ac:dyDescent="0.35">
      <c r="D4189" s="1">
        <v>39555</v>
      </c>
      <c r="E4189">
        <v>1.6579999999999999</v>
      </c>
      <c r="I4189" s="1">
        <v>39475</v>
      </c>
      <c r="J4189">
        <v>5683.71</v>
      </c>
      <c r="K4189" s="4">
        <f t="shared" si="292"/>
        <v>56837.1</v>
      </c>
    </row>
    <row r="4190" spans="4:11" x14ac:dyDescent="0.35">
      <c r="D4190" s="1">
        <v>39554</v>
      </c>
      <c r="E4190">
        <v>1.6691</v>
      </c>
      <c r="I4190" s="1">
        <v>39471</v>
      </c>
      <c r="J4190">
        <v>5690.09</v>
      </c>
      <c r="K4190" s="4">
        <f t="shared" si="292"/>
        <v>56900.9</v>
      </c>
    </row>
    <row r="4191" spans="4:11" x14ac:dyDescent="0.35">
      <c r="D4191" s="1">
        <v>39553</v>
      </c>
      <c r="E4191">
        <v>1.6814</v>
      </c>
      <c r="I4191" s="1">
        <v>39470</v>
      </c>
      <c r="J4191">
        <v>5790.56</v>
      </c>
      <c r="K4191" s="4">
        <f t="shared" si="292"/>
        <v>57905.600000000006</v>
      </c>
    </row>
    <row r="4192" spans="4:11" x14ac:dyDescent="0.35">
      <c r="D4192" s="1">
        <v>39552</v>
      </c>
      <c r="E4192">
        <v>1.6859</v>
      </c>
      <c r="I4192" s="1">
        <v>39469</v>
      </c>
      <c r="J4192">
        <v>5731.55</v>
      </c>
      <c r="K4192" s="4">
        <f t="shared" si="292"/>
        <v>57315.5</v>
      </c>
    </row>
    <row r="4193" spans="4:11" x14ac:dyDescent="0.35">
      <c r="D4193" s="1">
        <v>39549</v>
      </c>
      <c r="E4193">
        <v>1.6868000000000001</v>
      </c>
      <c r="I4193" s="1">
        <v>39468</v>
      </c>
      <c r="J4193">
        <v>5855.94</v>
      </c>
      <c r="K4193" s="4">
        <f t="shared" si="292"/>
        <v>58559.399999999994</v>
      </c>
    </row>
    <row r="4194" spans="4:11" x14ac:dyDescent="0.35">
      <c r="D4194" s="1">
        <v>39548</v>
      </c>
      <c r="E4194">
        <v>1.6814</v>
      </c>
      <c r="I4194" s="1">
        <v>39465</v>
      </c>
      <c r="J4194">
        <v>5662.98</v>
      </c>
      <c r="K4194" s="4">
        <f t="shared" si="292"/>
        <v>56629.799999999996</v>
      </c>
    </row>
    <row r="4195" spans="4:11" x14ac:dyDescent="0.35">
      <c r="D4195" s="1">
        <v>39547</v>
      </c>
      <c r="E4195">
        <v>1.6870000000000001</v>
      </c>
      <c r="I4195" s="1">
        <v>39464</v>
      </c>
      <c r="J4195">
        <v>5721.98</v>
      </c>
      <c r="K4195" s="4">
        <f t="shared" si="292"/>
        <v>57219.799999999996</v>
      </c>
    </row>
    <row r="4196" spans="4:11" x14ac:dyDescent="0.35">
      <c r="D4196" s="1">
        <v>39546</v>
      </c>
      <c r="E4196">
        <v>1.7030000000000001</v>
      </c>
      <c r="I4196" s="1">
        <v>39463</v>
      </c>
      <c r="J4196">
        <v>5642.24</v>
      </c>
      <c r="K4196" s="4">
        <f t="shared" si="292"/>
        <v>56422.399999999994</v>
      </c>
    </row>
    <row r="4197" spans="4:11" x14ac:dyDescent="0.35">
      <c r="D4197" s="1">
        <v>39545</v>
      </c>
      <c r="E4197">
        <v>1.6981999999999999</v>
      </c>
      <c r="I4197" s="1">
        <v>39462</v>
      </c>
      <c r="J4197">
        <v>5603.97</v>
      </c>
      <c r="K4197" s="4">
        <f t="shared" si="292"/>
        <v>56039.700000000004</v>
      </c>
    </row>
    <row r="4198" spans="4:11" x14ac:dyDescent="0.35">
      <c r="D4198" s="1">
        <v>39542</v>
      </c>
      <c r="E4198">
        <v>1.7109000000000001</v>
      </c>
      <c r="I4198" s="1">
        <v>39461</v>
      </c>
      <c r="J4198">
        <v>5530.61</v>
      </c>
      <c r="K4198" s="4">
        <f t="shared" si="292"/>
        <v>55306.1</v>
      </c>
    </row>
    <row r="4199" spans="4:11" x14ac:dyDescent="0.35">
      <c r="D4199" s="1">
        <v>39541</v>
      </c>
      <c r="E4199">
        <v>1.7243999999999999</v>
      </c>
      <c r="I4199" s="1">
        <v>39458</v>
      </c>
      <c r="J4199">
        <v>5607.16</v>
      </c>
      <c r="K4199" s="4">
        <f t="shared" si="292"/>
        <v>56071.6</v>
      </c>
    </row>
    <row r="4200" spans="4:11" x14ac:dyDescent="0.35">
      <c r="D4200" s="1">
        <v>39540</v>
      </c>
      <c r="E4200">
        <v>1.7264999999999999</v>
      </c>
      <c r="I4200" s="1">
        <v>39457</v>
      </c>
      <c r="J4200">
        <v>5610.35</v>
      </c>
      <c r="K4200" s="4">
        <f t="shared" si="292"/>
        <v>56103.5</v>
      </c>
    </row>
    <row r="4201" spans="4:11" x14ac:dyDescent="0.35">
      <c r="D4201" s="1">
        <v>39539</v>
      </c>
      <c r="E4201">
        <v>1.7525999999999999</v>
      </c>
      <c r="I4201" s="1">
        <v>39456</v>
      </c>
      <c r="J4201">
        <v>5651.81</v>
      </c>
      <c r="K4201" s="4">
        <f t="shared" si="292"/>
        <v>56518.100000000006</v>
      </c>
    </row>
    <row r="4202" spans="4:11" x14ac:dyDescent="0.35">
      <c r="D4202" s="1">
        <v>39538</v>
      </c>
      <c r="E4202">
        <v>1.7483</v>
      </c>
      <c r="I4202" s="1">
        <v>39455</v>
      </c>
      <c r="J4202">
        <v>5623.11</v>
      </c>
      <c r="K4202" s="4">
        <f t="shared" si="292"/>
        <v>56231.1</v>
      </c>
    </row>
    <row r="4203" spans="4:11" x14ac:dyDescent="0.35">
      <c r="D4203" s="1">
        <v>39535</v>
      </c>
      <c r="E4203">
        <v>1.7447999999999999</v>
      </c>
      <c r="I4203" s="1">
        <v>39454</v>
      </c>
      <c r="J4203">
        <v>5667.76</v>
      </c>
      <c r="K4203" s="4">
        <f t="shared" si="292"/>
        <v>56677.600000000006</v>
      </c>
    </row>
    <row r="4204" spans="4:11" x14ac:dyDescent="0.35">
      <c r="D4204" s="1">
        <v>39534</v>
      </c>
      <c r="E4204">
        <v>1.7337</v>
      </c>
      <c r="I4204" s="1">
        <v>39451</v>
      </c>
      <c r="J4204">
        <v>5645.43</v>
      </c>
      <c r="K4204" s="4">
        <f t="shared" si="292"/>
        <v>56454.3</v>
      </c>
    </row>
    <row r="4205" spans="4:11" x14ac:dyDescent="0.35">
      <c r="D4205" s="1">
        <v>39533</v>
      </c>
      <c r="E4205">
        <v>1.728</v>
      </c>
      <c r="I4205" s="1">
        <v>39450</v>
      </c>
      <c r="J4205">
        <v>5607.16</v>
      </c>
      <c r="K4205" s="4">
        <f t="shared" si="292"/>
        <v>56071.6</v>
      </c>
    </row>
    <row r="4206" spans="4:11" x14ac:dyDescent="0.35">
      <c r="D4206" s="1">
        <v>39532</v>
      </c>
      <c r="E4206">
        <v>1.7333000000000001</v>
      </c>
      <c r="I4206" s="1">
        <v>39449</v>
      </c>
      <c r="J4206">
        <v>5645.43</v>
      </c>
      <c r="K4206" s="4">
        <f t="shared" si="292"/>
        <v>56454.3</v>
      </c>
    </row>
    <row r="4207" spans="4:11" x14ac:dyDescent="0.35">
      <c r="D4207" s="1">
        <v>39531</v>
      </c>
      <c r="E4207">
        <v>1.7399</v>
      </c>
      <c r="I4207" s="1">
        <v>39444</v>
      </c>
      <c r="J4207">
        <v>5741.12</v>
      </c>
      <c r="K4207" s="4">
        <f t="shared" si="292"/>
        <v>57411.199999999997</v>
      </c>
    </row>
    <row r="4208" spans="4:11" x14ac:dyDescent="0.35">
      <c r="D4208" s="1">
        <v>39527</v>
      </c>
      <c r="E4208">
        <v>1.7416</v>
      </c>
      <c r="I4208" s="1">
        <v>39443</v>
      </c>
      <c r="J4208">
        <v>5715.13</v>
      </c>
      <c r="K4208" s="4">
        <f t="shared" si="292"/>
        <v>57151.3</v>
      </c>
    </row>
    <row r="4209" spans="4:11" x14ac:dyDescent="0.35">
      <c r="D4209" s="1">
        <v>39526</v>
      </c>
      <c r="E4209">
        <v>1.7037</v>
      </c>
      <c r="I4209" s="1">
        <v>39442</v>
      </c>
      <c r="J4209">
        <v>5747.62</v>
      </c>
      <c r="K4209" s="4">
        <f t="shared" si="292"/>
        <v>57476.2</v>
      </c>
    </row>
    <row r="4210" spans="4:11" x14ac:dyDescent="0.35">
      <c r="D4210" s="1">
        <v>39525</v>
      </c>
      <c r="E4210">
        <v>1.6999</v>
      </c>
      <c r="I4210" s="1">
        <v>39437</v>
      </c>
      <c r="J4210">
        <v>5838.59</v>
      </c>
      <c r="K4210" s="4">
        <f t="shared" si="292"/>
        <v>58385.9</v>
      </c>
    </row>
    <row r="4211" spans="4:11" x14ac:dyDescent="0.35">
      <c r="D4211" s="1">
        <v>39524</v>
      </c>
      <c r="E4211">
        <v>1.724</v>
      </c>
      <c r="I4211" s="1">
        <v>39436</v>
      </c>
      <c r="J4211">
        <v>5871.08</v>
      </c>
      <c r="K4211" s="4">
        <f t="shared" si="292"/>
        <v>58710.8</v>
      </c>
    </row>
    <row r="4212" spans="4:11" x14ac:dyDescent="0.35">
      <c r="D4212" s="1">
        <v>39521</v>
      </c>
      <c r="E4212">
        <v>1.6939</v>
      </c>
      <c r="I4212" s="1">
        <v>39435</v>
      </c>
      <c r="J4212">
        <v>5864.58</v>
      </c>
      <c r="K4212" s="4">
        <f t="shared" si="292"/>
        <v>58645.8</v>
      </c>
    </row>
    <row r="4213" spans="4:11" x14ac:dyDescent="0.35">
      <c r="D4213" s="1">
        <v>39520</v>
      </c>
      <c r="E4213">
        <v>1.6962999999999999</v>
      </c>
      <c r="I4213" s="1">
        <v>39434</v>
      </c>
      <c r="J4213">
        <v>5864.58</v>
      </c>
      <c r="K4213" s="4">
        <f t="shared" si="292"/>
        <v>58645.8</v>
      </c>
    </row>
    <row r="4214" spans="4:11" x14ac:dyDescent="0.35">
      <c r="D4214" s="1">
        <v>39519</v>
      </c>
      <c r="E4214">
        <v>1.6788000000000001</v>
      </c>
      <c r="I4214" s="1">
        <v>39433</v>
      </c>
      <c r="J4214">
        <v>5929.57</v>
      </c>
      <c r="K4214" s="4">
        <f t="shared" si="292"/>
        <v>59295.7</v>
      </c>
    </row>
    <row r="4215" spans="4:11" x14ac:dyDescent="0.35">
      <c r="D4215" s="1">
        <v>39518</v>
      </c>
      <c r="E4215">
        <v>1.6939</v>
      </c>
      <c r="I4215" s="1">
        <v>39430</v>
      </c>
      <c r="J4215">
        <v>5845.09</v>
      </c>
      <c r="K4215" s="4">
        <f t="shared" si="292"/>
        <v>58450.9</v>
      </c>
    </row>
    <row r="4216" spans="4:11" x14ac:dyDescent="0.35">
      <c r="D4216" s="1">
        <v>39517</v>
      </c>
      <c r="E4216">
        <v>1.6988000000000001</v>
      </c>
      <c r="I4216" s="1">
        <v>39429</v>
      </c>
      <c r="J4216">
        <v>5786.61</v>
      </c>
      <c r="K4216" s="4">
        <f t="shared" si="292"/>
        <v>57866.1</v>
      </c>
    </row>
    <row r="4217" spans="4:11" x14ac:dyDescent="0.35">
      <c r="D4217" s="1">
        <v>39514</v>
      </c>
      <c r="E4217">
        <v>1.6833</v>
      </c>
      <c r="I4217" s="1">
        <v>39428</v>
      </c>
      <c r="J4217">
        <v>5760.61</v>
      </c>
      <c r="K4217" s="4">
        <f t="shared" si="292"/>
        <v>57606.1</v>
      </c>
    </row>
    <row r="4218" spans="4:11" x14ac:dyDescent="0.35">
      <c r="D4218" s="1">
        <v>39513</v>
      </c>
      <c r="E4218">
        <v>1.6712</v>
      </c>
      <c r="I4218" s="1">
        <v>39427</v>
      </c>
      <c r="J4218">
        <v>5793.1</v>
      </c>
      <c r="K4218" s="4">
        <f t="shared" si="292"/>
        <v>57931</v>
      </c>
    </row>
    <row r="4219" spans="4:11" x14ac:dyDescent="0.35">
      <c r="D4219" s="1">
        <v>39512</v>
      </c>
      <c r="E4219">
        <v>1.6692</v>
      </c>
      <c r="I4219" s="1">
        <v>39426</v>
      </c>
      <c r="J4219">
        <v>5750.87</v>
      </c>
      <c r="K4219" s="4">
        <f t="shared" si="292"/>
        <v>57508.7</v>
      </c>
    </row>
    <row r="4220" spans="4:11" x14ac:dyDescent="0.35">
      <c r="D4220" s="1">
        <v>39511</v>
      </c>
      <c r="E4220">
        <v>1.6721999999999999</v>
      </c>
      <c r="I4220" s="1">
        <v>39423</v>
      </c>
      <c r="J4220">
        <v>5729.75</v>
      </c>
      <c r="K4220" s="4">
        <f t="shared" si="292"/>
        <v>57297.5</v>
      </c>
    </row>
    <row r="4221" spans="4:11" x14ac:dyDescent="0.35">
      <c r="D4221" s="1">
        <v>39510</v>
      </c>
      <c r="E4221">
        <v>1.6808000000000001</v>
      </c>
      <c r="I4221" s="1">
        <v>39422</v>
      </c>
      <c r="J4221">
        <v>5757.36</v>
      </c>
      <c r="K4221" s="4">
        <f t="shared" si="292"/>
        <v>57573.599999999999</v>
      </c>
    </row>
    <row r="4222" spans="4:11" x14ac:dyDescent="0.35">
      <c r="D4222" s="1">
        <v>39507</v>
      </c>
      <c r="E4222">
        <v>1.6825000000000001</v>
      </c>
      <c r="I4222" s="1">
        <v>39421</v>
      </c>
      <c r="J4222">
        <v>5845.09</v>
      </c>
      <c r="K4222" s="4">
        <f t="shared" si="292"/>
        <v>58450.9</v>
      </c>
    </row>
    <row r="4223" spans="4:11" x14ac:dyDescent="0.35">
      <c r="D4223" s="1">
        <v>39506</v>
      </c>
      <c r="E4223">
        <v>1.6715</v>
      </c>
      <c r="I4223" s="1">
        <v>39420</v>
      </c>
      <c r="J4223">
        <v>5893.83</v>
      </c>
      <c r="K4223" s="4">
        <f t="shared" si="292"/>
        <v>58938.3</v>
      </c>
    </row>
    <row r="4224" spans="4:11" x14ac:dyDescent="0.35">
      <c r="D4224" s="1">
        <v>39505</v>
      </c>
      <c r="E4224">
        <v>1.6707000000000001</v>
      </c>
      <c r="I4224" s="1">
        <v>39419</v>
      </c>
      <c r="J4224">
        <v>5849.96</v>
      </c>
      <c r="K4224" s="4">
        <f t="shared" si="292"/>
        <v>58499.6</v>
      </c>
    </row>
    <row r="4225" spans="4:11" x14ac:dyDescent="0.35">
      <c r="D4225" s="1">
        <v>39504</v>
      </c>
      <c r="E4225">
        <v>1.6874</v>
      </c>
      <c r="I4225" s="1">
        <v>39416</v>
      </c>
      <c r="J4225">
        <v>5819.1</v>
      </c>
      <c r="K4225" s="4">
        <f t="shared" si="292"/>
        <v>58191</v>
      </c>
    </row>
    <row r="4226" spans="4:11" x14ac:dyDescent="0.35">
      <c r="D4226" s="1">
        <v>39503</v>
      </c>
      <c r="E4226">
        <v>1.7054</v>
      </c>
      <c r="I4226" s="1">
        <v>39415</v>
      </c>
      <c r="J4226">
        <v>5822.36</v>
      </c>
      <c r="K4226" s="4">
        <f t="shared" si="292"/>
        <v>58223.6</v>
      </c>
    </row>
    <row r="4227" spans="4:11" x14ac:dyDescent="0.35">
      <c r="D4227" s="1">
        <v>39500</v>
      </c>
      <c r="E4227">
        <v>1.7032</v>
      </c>
      <c r="I4227" s="1">
        <v>39414</v>
      </c>
      <c r="J4227">
        <v>5820.73</v>
      </c>
      <c r="K4227" s="4">
        <f t="shared" si="292"/>
        <v>58207.299999999996</v>
      </c>
    </row>
    <row r="4228" spans="4:11" x14ac:dyDescent="0.35">
      <c r="D4228" s="1">
        <v>39499</v>
      </c>
      <c r="E4228">
        <v>1.7096</v>
      </c>
      <c r="I4228" s="1">
        <v>39413</v>
      </c>
      <c r="J4228">
        <v>6018.07</v>
      </c>
      <c r="K4228" s="4">
        <f t="shared" si="292"/>
        <v>60180.7</v>
      </c>
    </row>
    <row r="4229" spans="4:11" x14ac:dyDescent="0.35">
      <c r="D4229" s="1">
        <v>39498</v>
      </c>
      <c r="E4229">
        <v>1.7343</v>
      </c>
      <c r="I4229" s="1">
        <v>39412</v>
      </c>
      <c r="J4229">
        <v>6027.85</v>
      </c>
      <c r="K4229" s="4">
        <f t="shared" ref="K4229:K4292" si="293">J4229*10</f>
        <v>60278.5</v>
      </c>
    </row>
    <row r="4230" spans="4:11" x14ac:dyDescent="0.35">
      <c r="D4230" s="1">
        <v>39497</v>
      </c>
      <c r="E4230">
        <v>1.7321</v>
      </c>
      <c r="I4230" s="1">
        <v>39409</v>
      </c>
      <c r="J4230">
        <v>5864.76</v>
      </c>
      <c r="K4230" s="4">
        <f t="shared" si="293"/>
        <v>58647.600000000006</v>
      </c>
    </row>
    <row r="4231" spans="4:11" x14ac:dyDescent="0.35">
      <c r="D4231" s="1">
        <v>39496</v>
      </c>
      <c r="E4231">
        <v>1.7385999999999999</v>
      </c>
      <c r="I4231" s="1">
        <v>39408</v>
      </c>
      <c r="J4231">
        <v>5815.84</v>
      </c>
      <c r="K4231" s="4">
        <f t="shared" si="293"/>
        <v>58158.400000000001</v>
      </c>
    </row>
    <row r="4232" spans="4:11" x14ac:dyDescent="0.35">
      <c r="D4232" s="1">
        <v>39493</v>
      </c>
      <c r="E4232">
        <v>1.7533000000000001</v>
      </c>
      <c r="I4232" s="1">
        <v>39407</v>
      </c>
      <c r="J4232">
        <v>5799.53</v>
      </c>
      <c r="K4232" s="4">
        <f t="shared" si="293"/>
        <v>57995.299999999996</v>
      </c>
    </row>
    <row r="4233" spans="4:11" x14ac:dyDescent="0.35">
      <c r="D4233" s="1">
        <v>39492</v>
      </c>
      <c r="E4233">
        <v>1.7461</v>
      </c>
      <c r="I4233" s="1">
        <v>39405</v>
      </c>
      <c r="J4233">
        <v>5770.17</v>
      </c>
      <c r="K4233" s="4">
        <f t="shared" si="293"/>
        <v>57701.7</v>
      </c>
    </row>
    <row r="4234" spans="4:11" x14ac:dyDescent="0.35">
      <c r="D4234" s="1">
        <v>39491</v>
      </c>
      <c r="E4234">
        <v>1.7451000000000001</v>
      </c>
      <c r="I4234" s="1">
        <v>39402</v>
      </c>
      <c r="J4234">
        <v>5717.98</v>
      </c>
      <c r="K4234" s="4">
        <f t="shared" si="293"/>
        <v>57179.799999999996</v>
      </c>
    </row>
    <row r="4235" spans="4:11" x14ac:dyDescent="0.35">
      <c r="D4235" s="1">
        <v>39490</v>
      </c>
      <c r="E4235">
        <v>1.7470000000000001</v>
      </c>
      <c r="I4235" s="1">
        <v>39400</v>
      </c>
      <c r="J4235">
        <v>5665.79</v>
      </c>
      <c r="K4235" s="4">
        <f t="shared" si="293"/>
        <v>56657.9</v>
      </c>
    </row>
    <row r="4236" spans="4:11" x14ac:dyDescent="0.35">
      <c r="D4236" s="1">
        <v>39489</v>
      </c>
      <c r="E4236">
        <v>1.7593000000000001</v>
      </c>
      <c r="I4236" s="1">
        <v>39399</v>
      </c>
      <c r="J4236">
        <v>5740.81</v>
      </c>
      <c r="K4236" s="4">
        <f t="shared" si="293"/>
        <v>57408.100000000006</v>
      </c>
    </row>
    <row r="4237" spans="4:11" x14ac:dyDescent="0.35">
      <c r="D4237" s="1">
        <v>39486</v>
      </c>
      <c r="E4237">
        <v>1.7673000000000001</v>
      </c>
      <c r="I4237" s="1">
        <v>39398</v>
      </c>
      <c r="J4237">
        <v>5845.19</v>
      </c>
      <c r="K4237" s="4">
        <f t="shared" si="293"/>
        <v>58451.899999999994</v>
      </c>
    </row>
    <row r="4238" spans="4:11" x14ac:dyDescent="0.35">
      <c r="D4238" s="1">
        <v>39485</v>
      </c>
      <c r="E4238">
        <v>1.7619</v>
      </c>
      <c r="I4238" s="1">
        <v>39395</v>
      </c>
      <c r="J4238">
        <v>5708.2</v>
      </c>
      <c r="K4238" s="4">
        <f t="shared" si="293"/>
        <v>57082</v>
      </c>
    </row>
    <row r="4239" spans="4:11" x14ac:dyDescent="0.35">
      <c r="D4239" s="1">
        <v>39484</v>
      </c>
      <c r="E4239">
        <v>1.7523</v>
      </c>
      <c r="I4239" s="1">
        <v>39394</v>
      </c>
      <c r="J4239">
        <v>5726.14</v>
      </c>
      <c r="K4239" s="4">
        <f t="shared" si="293"/>
        <v>57261.4</v>
      </c>
    </row>
    <row r="4240" spans="4:11" x14ac:dyDescent="0.35">
      <c r="D4240" s="1">
        <v>39479</v>
      </c>
      <c r="E4240">
        <v>1.7443</v>
      </c>
      <c r="I4240" s="1">
        <v>39393</v>
      </c>
      <c r="J4240">
        <v>5698.41</v>
      </c>
      <c r="K4240" s="4">
        <f t="shared" si="293"/>
        <v>56984.1</v>
      </c>
    </row>
    <row r="4241" spans="4:11" x14ac:dyDescent="0.35">
      <c r="D4241" s="1">
        <v>39478</v>
      </c>
      <c r="E4241">
        <v>1.7595000000000001</v>
      </c>
      <c r="I4241" s="1">
        <v>39392</v>
      </c>
      <c r="J4241">
        <v>5685.36</v>
      </c>
      <c r="K4241" s="4">
        <f t="shared" si="293"/>
        <v>56853.599999999999</v>
      </c>
    </row>
    <row r="4242" spans="4:11" x14ac:dyDescent="0.35">
      <c r="D4242" s="1">
        <v>39477</v>
      </c>
      <c r="E4242">
        <v>1.7794000000000001</v>
      </c>
      <c r="I4242" s="1">
        <v>39391</v>
      </c>
      <c r="J4242">
        <v>5744.08</v>
      </c>
      <c r="K4242" s="4">
        <f t="shared" si="293"/>
        <v>57440.800000000003</v>
      </c>
    </row>
    <row r="4243" spans="4:11" x14ac:dyDescent="0.35">
      <c r="D4243" s="1">
        <v>39476</v>
      </c>
      <c r="E4243">
        <v>1.7754000000000001</v>
      </c>
      <c r="I4243" s="1">
        <v>39387</v>
      </c>
      <c r="J4243">
        <v>5717.98</v>
      </c>
      <c r="K4243" s="4">
        <f t="shared" si="293"/>
        <v>57179.799999999996</v>
      </c>
    </row>
    <row r="4244" spans="4:11" x14ac:dyDescent="0.35">
      <c r="D4244" s="1">
        <v>39475</v>
      </c>
      <c r="E4244">
        <v>1.7898000000000001</v>
      </c>
      <c r="I4244" s="1">
        <v>39386</v>
      </c>
      <c r="J4244">
        <v>5665.79</v>
      </c>
      <c r="K4244" s="4">
        <f t="shared" si="293"/>
        <v>56657.9</v>
      </c>
    </row>
    <row r="4245" spans="4:11" x14ac:dyDescent="0.35">
      <c r="D4245" s="1">
        <v>39472</v>
      </c>
      <c r="E4245">
        <v>1.7904</v>
      </c>
      <c r="I4245" s="1">
        <v>39385</v>
      </c>
      <c r="J4245">
        <v>5698.3</v>
      </c>
      <c r="K4245" s="4">
        <f t="shared" si="293"/>
        <v>56983</v>
      </c>
    </row>
    <row r="4246" spans="4:11" x14ac:dyDescent="0.35">
      <c r="D4246" s="1">
        <v>39471</v>
      </c>
      <c r="E4246">
        <v>1.7875000000000001</v>
      </c>
      <c r="I4246" s="1">
        <v>39384</v>
      </c>
      <c r="J4246">
        <v>5721.05</v>
      </c>
      <c r="K4246" s="4">
        <f t="shared" si="293"/>
        <v>57210.5</v>
      </c>
    </row>
    <row r="4247" spans="4:11" x14ac:dyDescent="0.35">
      <c r="D4247" s="1">
        <v>39470</v>
      </c>
      <c r="E4247">
        <v>1.8139000000000001</v>
      </c>
      <c r="I4247" s="1">
        <v>39381</v>
      </c>
      <c r="J4247">
        <v>5748.68</v>
      </c>
      <c r="K4247" s="4">
        <f t="shared" si="293"/>
        <v>57486.8</v>
      </c>
    </row>
    <row r="4248" spans="4:11" x14ac:dyDescent="0.35">
      <c r="D4248" s="1">
        <v>39469</v>
      </c>
      <c r="E4248">
        <v>1.8032999999999999</v>
      </c>
      <c r="I4248" s="1">
        <v>39380</v>
      </c>
      <c r="J4248">
        <v>5787.69</v>
      </c>
      <c r="K4248" s="4">
        <f t="shared" si="293"/>
        <v>57876.899999999994</v>
      </c>
    </row>
    <row r="4249" spans="4:11" x14ac:dyDescent="0.35">
      <c r="D4249" s="1">
        <v>39468</v>
      </c>
      <c r="E4249">
        <v>1.8292999999999999</v>
      </c>
      <c r="I4249" s="1">
        <v>39379</v>
      </c>
      <c r="J4249">
        <v>5834.82</v>
      </c>
      <c r="K4249" s="4">
        <f t="shared" si="293"/>
        <v>58348.2</v>
      </c>
    </row>
    <row r="4250" spans="4:11" x14ac:dyDescent="0.35">
      <c r="D4250" s="1">
        <v>39465</v>
      </c>
      <c r="E4250">
        <v>1.7842</v>
      </c>
      <c r="I4250" s="1">
        <v>39378</v>
      </c>
      <c r="J4250">
        <v>5828.32</v>
      </c>
      <c r="K4250" s="4">
        <f t="shared" si="293"/>
        <v>58283.199999999997</v>
      </c>
    </row>
    <row r="4251" spans="4:11" x14ac:dyDescent="0.35">
      <c r="D4251" s="1">
        <v>39464</v>
      </c>
      <c r="E4251">
        <v>1.7679</v>
      </c>
      <c r="I4251" s="1">
        <v>39377</v>
      </c>
      <c r="J4251">
        <v>5903.09</v>
      </c>
      <c r="K4251" s="4">
        <f t="shared" si="293"/>
        <v>59030.9</v>
      </c>
    </row>
    <row r="4252" spans="4:11" x14ac:dyDescent="0.35">
      <c r="D4252" s="1">
        <v>39463</v>
      </c>
      <c r="E4252">
        <v>1.7622</v>
      </c>
      <c r="I4252" s="1">
        <v>39374</v>
      </c>
      <c r="J4252">
        <v>5899.83</v>
      </c>
      <c r="K4252" s="4">
        <f t="shared" si="293"/>
        <v>58998.3</v>
      </c>
    </row>
    <row r="4253" spans="4:11" x14ac:dyDescent="0.35">
      <c r="D4253" s="1">
        <v>39462</v>
      </c>
      <c r="E4253">
        <v>1.7442</v>
      </c>
      <c r="I4253" s="1">
        <v>39373</v>
      </c>
      <c r="J4253">
        <v>5815.32</v>
      </c>
      <c r="K4253" s="4">
        <f t="shared" si="293"/>
        <v>58153.2</v>
      </c>
    </row>
    <row r="4254" spans="4:11" x14ac:dyDescent="0.35">
      <c r="D4254" s="1">
        <v>39461</v>
      </c>
      <c r="E4254">
        <v>1.7405999999999999</v>
      </c>
      <c r="I4254" s="1">
        <v>39372</v>
      </c>
      <c r="J4254">
        <v>5909.59</v>
      </c>
      <c r="K4254" s="4">
        <f t="shared" si="293"/>
        <v>59095.9</v>
      </c>
    </row>
    <row r="4255" spans="4:11" x14ac:dyDescent="0.35">
      <c r="D4255" s="1">
        <v>39458</v>
      </c>
      <c r="E4255">
        <v>1.7527999999999999</v>
      </c>
      <c r="I4255" s="1">
        <v>39371</v>
      </c>
      <c r="J4255">
        <v>5929.09</v>
      </c>
      <c r="K4255" s="4">
        <f t="shared" si="293"/>
        <v>59290.9</v>
      </c>
    </row>
    <row r="4256" spans="4:11" x14ac:dyDescent="0.35">
      <c r="D4256" s="1">
        <v>39457</v>
      </c>
      <c r="E4256">
        <v>1.762</v>
      </c>
      <c r="I4256" s="1">
        <v>39370</v>
      </c>
      <c r="J4256">
        <v>5906.34</v>
      </c>
      <c r="K4256" s="4">
        <f t="shared" si="293"/>
        <v>59063.4</v>
      </c>
    </row>
    <row r="4257" spans="4:11" x14ac:dyDescent="0.35">
      <c r="D4257" s="1">
        <v>39456</v>
      </c>
      <c r="E4257">
        <v>1.7683</v>
      </c>
      <c r="I4257" s="1">
        <v>39366</v>
      </c>
      <c r="J4257">
        <v>5867.33</v>
      </c>
      <c r="K4257" s="4">
        <f t="shared" si="293"/>
        <v>58673.3</v>
      </c>
    </row>
    <row r="4258" spans="4:11" x14ac:dyDescent="0.35">
      <c r="D4258" s="1">
        <v>39455</v>
      </c>
      <c r="E4258">
        <v>1.7545999999999999</v>
      </c>
      <c r="I4258" s="1">
        <v>39365</v>
      </c>
      <c r="J4258">
        <v>5844.64</v>
      </c>
      <c r="K4258" s="4">
        <f t="shared" si="293"/>
        <v>58446.400000000001</v>
      </c>
    </row>
    <row r="4259" spans="4:11" x14ac:dyDescent="0.35">
      <c r="D4259" s="1">
        <v>39454</v>
      </c>
      <c r="E4259">
        <v>1.7666999999999999</v>
      </c>
      <c r="I4259" s="1">
        <v>39364</v>
      </c>
      <c r="J4259">
        <v>5852.74</v>
      </c>
      <c r="K4259" s="4">
        <f t="shared" si="293"/>
        <v>58527.399999999994</v>
      </c>
    </row>
    <row r="4260" spans="4:11" x14ac:dyDescent="0.35">
      <c r="D4260" s="1">
        <v>39451</v>
      </c>
      <c r="E4260">
        <v>1.7565999999999999</v>
      </c>
      <c r="I4260" s="1">
        <v>39363</v>
      </c>
      <c r="J4260">
        <v>5904.61</v>
      </c>
      <c r="K4260" s="4">
        <f t="shared" si="293"/>
        <v>59046.1</v>
      </c>
    </row>
    <row r="4261" spans="4:11" x14ac:dyDescent="0.35">
      <c r="D4261" s="1">
        <v>39450</v>
      </c>
      <c r="E4261">
        <v>1.7561</v>
      </c>
      <c r="I4261" s="1">
        <v>39360</v>
      </c>
      <c r="J4261">
        <v>5870.57</v>
      </c>
      <c r="K4261" s="4">
        <f t="shared" si="293"/>
        <v>58705.7</v>
      </c>
    </row>
    <row r="4262" spans="4:11" x14ac:dyDescent="0.35">
      <c r="D4262" s="1">
        <v>39449</v>
      </c>
      <c r="E4262">
        <v>1.7714000000000001</v>
      </c>
      <c r="I4262" s="1">
        <v>39359</v>
      </c>
      <c r="J4262">
        <v>5922.44</v>
      </c>
      <c r="K4262" s="4">
        <f t="shared" si="293"/>
        <v>59224.399999999994</v>
      </c>
    </row>
    <row r="4263" spans="4:11" x14ac:dyDescent="0.35">
      <c r="D4263" s="1">
        <v>39447</v>
      </c>
      <c r="E4263">
        <v>1.7705</v>
      </c>
      <c r="I4263" s="1">
        <v>39358</v>
      </c>
      <c r="J4263">
        <v>5971.06</v>
      </c>
      <c r="K4263" s="4">
        <f t="shared" si="293"/>
        <v>59710.600000000006</v>
      </c>
    </row>
    <row r="4264" spans="4:11" x14ac:dyDescent="0.35">
      <c r="D4264" s="1">
        <v>39444</v>
      </c>
      <c r="E4264">
        <v>1.7705</v>
      </c>
      <c r="I4264" s="1">
        <v>39357</v>
      </c>
      <c r="J4264">
        <v>5964.58</v>
      </c>
      <c r="K4264" s="4">
        <f t="shared" si="293"/>
        <v>59645.8</v>
      </c>
    </row>
    <row r="4265" spans="4:11" x14ac:dyDescent="0.35">
      <c r="D4265" s="1">
        <v>39443</v>
      </c>
      <c r="E4265">
        <v>1.7663</v>
      </c>
      <c r="I4265" s="1">
        <v>39356</v>
      </c>
      <c r="J4265">
        <v>5880.3</v>
      </c>
      <c r="K4265" s="4">
        <f t="shared" si="293"/>
        <v>58803</v>
      </c>
    </row>
    <row r="4266" spans="4:11" x14ac:dyDescent="0.35">
      <c r="D4266" s="1">
        <v>39442</v>
      </c>
      <c r="E4266">
        <v>1.7786999999999999</v>
      </c>
      <c r="I4266" s="1">
        <v>39353</v>
      </c>
      <c r="J4266">
        <v>5971.06</v>
      </c>
      <c r="K4266" s="4">
        <f t="shared" si="293"/>
        <v>59710.600000000006</v>
      </c>
    </row>
    <row r="4267" spans="4:11" x14ac:dyDescent="0.35">
      <c r="D4267" s="1">
        <v>39440</v>
      </c>
      <c r="E4267">
        <v>1.7901</v>
      </c>
      <c r="I4267" s="1">
        <v>39352</v>
      </c>
      <c r="J4267">
        <v>5992.17</v>
      </c>
      <c r="K4267" s="4">
        <f t="shared" si="293"/>
        <v>59921.7</v>
      </c>
    </row>
    <row r="4268" spans="4:11" x14ac:dyDescent="0.35">
      <c r="D4268" s="1">
        <v>39437</v>
      </c>
      <c r="E4268">
        <v>1.7958000000000001</v>
      </c>
      <c r="I4268" s="1">
        <v>39351</v>
      </c>
      <c r="J4268">
        <v>5992.17</v>
      </c>
      <c r="K4268" s="4">
        <f t="shared" si="293"/>
        <v>59921.7</v>
      </c>
    </row>
    <row r="4269" spans="4:11" x14ac:dyDescent="0.35">
      <c r="D4269" s="1">
        <v>39436</v>
      </c>
      <c r="E4269">
        <v>1.8024</v>
      </c>
      <c r="I4269" s="1">
        <v>39350</v>
      </c>
      <c r="J4269">
        <v>6037.64</v>
      </c>
      <c r="K4269" s="4">
        <f t="shared" si="293"/>
        <v>60376.4</v>
      </c>
    </row>
    <row r="4270" spans="4:11" x14ac:dyDescent="0.35">
      <c r="D4270" s="1">
        <v>39435</v>
      </c>
      <c r="E4270">
        <v>1.8010999999999999</v>
      </c>
      <c r="I4270" s="1">
        <v>39349</v>
      </c>
      <c r="J4270">
        <v>6079.86</v>
      </c>
      <c r="K4270" s="4">
        <f t="shared" si="293"/>
        <v>60798.6</v>
      </c>
    </row>
    <row r="4271" spans="4:11" x14ac:dyDescent="0.35">
      <c r="D4271" s="1">
        <v>39434</v>
      </c>
      <c r="E4271">
        <v>1.8083</v>
      </c>
      <c r="I4271" s="1">
        <v>39346</v>
      </c>
      <c r="J4271">
        <v>6073.37</v>
      </c>
      <c r="K4271" s="4">
        <f t="shared" si="293"/>
        <v>60733.7</v>
      </c>
    </row>
    <row r="4272" spans="4:11" x14ac:dyDescent="0.35">
      <c r="D4272" s="1">
        <v>39433</v>
      </c>
      <c r="E4272">
        <v>1.8115000000000001</v>
      </c>
      <c r="I4272" s="1">
        <v>39345</v>
      </c>
      <c r="J4272">
        <v>6099.35</v>
      </c>
      <c r="K4272" s="4">
        <f t="shared" si="293"/>
        <v>60993.5</v>
      </c>
    </row>
    <row r="4273" spans="4:11" x14ac:dyDescent="0.35">
      <c r="D4273" s="1">
        <v>39430</v>
      </c>
      <c r="E4273">
        <v>1.7950999999999999</v>
      </c>
      <c r="I4273" s="1">
        <v>39344</v>
      </c>
      <c r="J4273">
        <v>6076.61</v>
      </c>
      <c r="K4273" s="4">
        <f t="shared" si="293"/>
        <v>60766.1</v>
      </c>
    </row>
    <row r="4274" spans="4:11" x14ac:dyDescent="0.35">
      <c r="D4274" s="1">
        <v>39429</v>
      </c>
      <c r="E4274">
        <v>1.7738</v>
      </c>
      <c r="I4274" s="1">
        <v>39343</v>
      </c>
      <c r="J4274">
        <v>6086.36</v>
      </c>
      <c r="K4274" s="4">
        <f t="shared" si="293"/>
        <v>60863.6</v>
      </c>
    </row>
    <row r="4275" spans="4:11" x14ac:dyDescent="0.35">
      <c r="D4275" s="1">
        <v>39428</v>
      </c>
      <c r="E4275">
        <v>1.7616000000000001</v>
      </c>
      <c r="I4275" s="1">
        <v>39342</v>
      </c>
      <c r="J4275">
        <v>6235.76</v>
      </c>
      <c r="K4275" s="4">
        <f t="shared" si="293"/>
        <v>62357.600000000006</v>
      </c>
    </row>
    <row r="4276" spans="4:11" x14ac:dyDescent="0.35">
      <c r="D4276" s="1">
        <v>39427</v>
      </c>
      <c r="E4276">
        <v>1.7642</v>
      </c>
      <c r="I4276" s="1">
        <v>39339</v>
      </c>
      <c r="J4276">
        <v>6170.8</v>
      </c>
      <c r="K4276" s="4">
        <f t="shared" si="293"/>
        <v>61708</v>
      </c>
    </row>
    <row r="4277" spans="4:11" x14ac:dyDescent="0.35">
      <c r="D4277" s="1">
        <v>39426</v>
      </c>
      <c r="E4277">
        <v>1.7612000000000001</v>
      </c>
      <c r="I4277" s="1">
        <v>39338</v>
      </c>
      <c r="J4277">
        <v>6206.53</v>
      </c>
      <c r="K4277" s="4">
        <f t="shared" si="293"/>
        <v>62065.299999999996</v>
      </c>
    </row>
    <row r="4278" spans="4:11" x14ac:dyDescent="0.35">
      <c r="D4278" s="1">
        <v>39423</v>
      </c>
      <c r="E4278">
        <v>1.7607999999999999</v>
      </c>
      <c r="I4278" s="1">
        <v>39337</v>
      </c>
      <c r="J4278">
        <v>6203.28</v>
      </c>
      <c r="K4278" s="4">
        <f t="shared" si="293"/>
        <v>62032.799999999996</v>
      </c>
    </row>
    <row r="4279" spans="4:11" x14ac:dyDescent="0.35">
      <c r="D4279" s="1">
        <v>39422</v>
      </c>
      <c r="E4279">
        <v>1.7865</v>
      </c>
      <c r="I4279" s="1">
        <v>39336</v>
      </c>
      <c r="J4279">
        <v>6263.36</v>
      </c>
      <c r="K4279" s="4">
        <f t="shared" si="293"/>
        <v>62633.599999999999</v>
      </c>
    </row>
    <row r="4280" spans="4:11" x14ac:dyDescent="0.35">
      <c r="D4280" s="1">
        <v>39421</v>
      </c>
      <c r="E4280">
        <v>1.7948</v>
      </c>
      <c r="I4280" s="1">
        <v>39335</v>
      </c>
      <c r="J4280">
        <v>6336.44</v>
      </c>
      <c r="K4280" s="4">
        <f t="shared" si="293"/>
        <v>63364.399999999994</v>
      </c>
    </row>
    <row r="4281" spans="4:11" x14ac:dyDescent="0.35">
      <c r="D4281" s="1">
        <v>39420</v>
      </c>
      <c r="E4281">
        <v>1.8225</v>
      </c>
      <c r="I4281" s="1">
        <v>39331</v>
      </c>
      <c r="J4281">
        <v>6333.19</v>
      </c>
      <c r="K4281" s="4">
        <f t="shared" si="293"/>
        <v>63331.899999999994</v>
      </c>
    </row>
    <row r="4282" spans="4:11" x14ac:dyDescent="0.35">
      <c r="D4282" s="1">
        <v>39419</v>
      </c>
      <c r="E4282">
        <v>1.788</v>
      </c>
      <c r="I4282" s="1">
        <v>39330</v>
      </c>
      <c r="J4282">
        <v>6391.65</v>
      </c>
      <c r="K4282" s="4">
        <f t="shared" si="293"/>
        <v>63916.5</v>
      </c>
    </row>
    <row r="4283" spans="4:11" x14ac:dyDescent="0.35">
      <c r="D4283" s="1">
        <v>39416</v>
      </c>
      <c r="E4283">
        <v>1.7828999999999999</v>
      </c>
      <c r="I4283" s="1">
        <v>39329</v>
      </c>
      <c r="J4283">
        <v>6339.68</v>
      </c>
      <c r="K4283" s="4">
        <f t="shared" si="293"/>
        <v>63396.800000000003</v>
      </c>
    </row>
    <row r="4284" spans="4:11" x14ac:dyDescent="0.35">
      <c r="D4284" s="1">
        <v>39415</v>
      </c>
      <c r="E4284">
        <v>1.7897000000000001</v>
      </c>
      <c r="I4284" s="1">
        <v>39328</v>
      </c>
      <c r="J4284">
        <v>6346.18</v>
      </c>
      <c r="K4284" s="4">
        <f t="shared" si="293"/>
        <v>63461.8</v>
      </c>
    </row>
    <row r="4285" spans="4:11" x14ac:dyDescent="0.35">
      <c r="D4285" s="1">
        <v>39414</v>
      </c>
      <c r="E4285">
        <v>1.8009999999999999</v>
      </c>
      <c r="I4285" s="1">
        <v>39325</v>
      </c>
      <c r="J4285">
        <v>6398.14</v>
      </c>
      <c r="K4285" s="4">
        <f t="shared" si="293"/>
        <v>63981.4</v>
      </c>
    </row>
    <row r="4286" spans="4:11" x14ac:dyDescent="0.35">
      <c r="D4286" s="1">
        <v>39413</v>
      </c>
      <c r="E4286">
        <v>1.8492999999999999</v>
      </c>
      <c r="I4286" s="1">
        <v>39324</v>
      </c>
      <c r="J4286">
        <v>6419.31</v>
      </c>
      <c r="K4286" s="4">
        <f t="shared" si="293"/>
        <v>64193.100000000006</v>
      </c>
    </row>
    <row r="4287" spans="4:11" x14ac:dyDescent="0.35">
      <c r="D4287" s="1">
        <v>39412</v>
      </c>
      <c r="E4287">
        <v>1.8102</v>
      </c>
      <c r="I4287" s="1">
        <v>39323</v>
      </c>
      <c r="J4287">
        <v>6396.52</v>
      </c>
      <c r="K4287" s="4">
        <f t="shared" si="293"/>
        <v>63965.200000000004</v>
      </c>
    </row>
    <row r="4288" spans="4:11" x14ac:dyDescent="0.35">
      <c r="D4288" s="1">
        <v>39409</v>
      </c>
      <c r="E4288">
        <v>1.7954000000000001</v>
      </c>
      <c r="I4288" s="1">
        <v>39322</v>
      </c>
      <c r="J4288">
        <v>6562.62</v>
      </c>
      <c r="K4288" s="4">
        <f t="shared" si="293"/>
        <v>65626.2</v>
      </c>
    </row>
    <row r="4289" spans="4:11" x14ac:dyDescent="0.35">
      <c r="D4289" s="1">
        <v>39408</v>
      </c>
      <c r="E4289">
        <v>1.7739</v>
      </c>
      <c r="I4289" s="1">
        <v>39321</v>
      </c>
      <c r="J4289">
        <v>6399.77</v>
      </c>
      <c r="K4289" s="4">
        <f t="shared" si="293"/>
        <v>63997.700000000004</v>
      </c>
    </row>
    <row r="4290" spans="4:11" x14ac:dyDescent="0.35">
      <c r="D4290" s="1">
        <v>39407</v>
      </c>
      <c r="E4290">
        <v>1.7858000000000001</v>
      </c>
      <c r="I4290" s="1">
        <v>39318</v>
      </c>
      <c r="J4290">
        <v>6311.84</v>
      </c>
      <c r="K4290" s="4">
        <f t="shared" si="293"/>
        <v>63118.400000000001</v>
      </c>
    </row>
    <row r="4291" spans="4:11" x14ac:dyDescent="0.35">
      <c r="D4291" s="1">
        <v>39406</v>
      </c>
      <c r="E4291">
        <v>1.7639</v>
      </c>
      <c r="I4291" s="1">
        <v>39317</v>
      </c>
      <c r="J4291">
        <v>6474.68</v>
      </c>
      <c r="K4291" s="4">
        <f t="shared" si="293"/>
        <v>64746.8</v>
      </c>
    </row>
    <row r="4292" spans="4:11" x14ac:dyDescent="0.35">
      <c r="D4292" s="1">
        <v>39405</v>
      </c>
      <c r="E4292">
        <v>1.7585</v>
      </c>
      <c r="I4292" s="1">
        <v>39316</v>
      </c>
      <c r="J4292">
        <v>6507.27</v>
      </c>
      <c r="K4292" s="4">
        <f t="shared" si="293"/>
        <v>65072.700000000004</v>
      </c>
    </row>
    <row r="4293" spans="4:11" x14ac:dyDescent="0.35">
      <c r="D4293" s="1">
        <v>39402</v>
      </c>
      <c r="E4293">
        <v>1.7405999999999999</v>
      </c>
      <c r="I4293" s="1">
        <v>39315</v>
      </c>
      <c r="J4293">
        <v>6660.42</v>
      </c>
      <c r="K4293" s="4">
        <f t="shared" ref="K4293:K4356" si="294">J4293*10</f>
        <v>66604.2</v>
      </c>
    </row>
    <row r="4294" spans="4:11" x14ac:dyDescent="0.35">
      <c r="D4294" s="1">
        <v>39400</v>
      </c>
      <c r="E4294">
        <v>1.7370000000000001</v>
      </c>
      <c r="I4294" s="1">
        <v>39314</v>
      </c>
      <c r="J4294">
        <v>6622.94</v>
      </c>
      <c r="K4294" s="4">
        <f t="shared" si="294"/>
        <v>66229.399999999994</v>
      </c>
    </row>
    <row r="4295" spans="4:11" x14ac:dyDescent="0.35">
      <c r="D4295" s="1">
        <v>39399</v>
      </c>
      <c r="E4295">
        <v>1.7674000000000001</v>
      </c>
      <c r="I4295" s="1">
        <v>39311</v>
      </c>
      <c r="J4295">
        <v>6543.11</v>
      </c>
      <c r="K4295" s="4">
        <f t="shared" si="294"/>
        <v>65431.1</v>
      </c>
    </row>
    <row r="4296" spans="4:11" x14ac:dyDescent="0.35">
      <c r="D4296" s="1">
        <v>39398</v>
      </c>
      <c r="E4296">
        <v>1.7732000000000001</v>
      </c>
      <c r="I4296" s="1">
        <v>39310</v>
      </c>
      <c r="J4296">
        <v>6712.55</v>
      </c>
      <c r="K4296" s="4">
        <f t="shared" si="294"/>
        <v>67125.5</v>
      </c>
    </row>
    <row r="4297" spans="4:11" x14ac:dyDescent="0.35">
      <c r="D4297" s="1">
        <v>39395</v>
      </c>
      <c r="E4297">
        <v>1.7482</v>
      </c>
      <c r="I4297" s="1">
        <v>39309</v>
      </c>
      <c r="J4297">
        <v>6712.55</v>
      </c>
      <c r="K4297" s="4">
        <f t="shared" si="294"/>
        <v>67125.5</v>
      </c>
    </row>
    <row r="4298" spans="4:11" x14ac:dyDescent="0.35">
      <c r="D4298" s="1">
        <v>39394</v>
      </c>
      <c r="E4298">
        <v>1.7345999999999999</v>
      </c>
      <c r="I4298" s="1">
        <v>39308</v>
      </c>
      <c r="J4298">
        <v>6510.53</v>
      </c>
      <c r="K4298" s="4">
        <f t="shared" si="294"/>
        <v>65105.299999999996</v>
      </c>
    </row>
    <row r="4299" spans="4:11" x14ac:dyDescent="0.35">
      <c r="D4299" s="1">
        <v>39393</v>
      </c>
      <c r="E4299">
        <v>1.7392000000000001</v>
      </c>
      <c r="I4299" s="1">
        <v>39307</v>
      </c>
      <c r="J4299">
        <v>6380.18</v>
      </c>
      <c r="K4299" s="4">
        <f t="shared" si="294"/>
        <v>63801.8</v>
      </c>
    </row>
    <row r="4300" spans="4:11" x14ac:dyDescent="0.35">
      <c r="D4300" s="1">
        <v>39392</v>
      </c>
      <c r="E4300">
        <v>1.7317</v>
      </c>
      <c r="I4300" s="1">
        <v>39304</v>
      </c>
      <c r="J4300">
        <v>6380.18</v>
      </c>
      <c r="K4300" s="4">
        <f t="shared" si="294"/>
        <v>63801.8</v>
      </c>
    </row>
    <row r="4301" spans="4:11" x14ac:dyDescent="0.35">
      <c r="D4301" s="1">
        <v>39391</v>
      </c>
      <c r="E4301">
        <v>1.7547999999999999</v>
      </c>
      <c r="I4301" s="1">
        <v>39303</v>
      </c>
      <c r="J4301">
        <v>6295.46</v>
      </c>
      <c r="K4301" s="4">
        <f t="shared" si="294"/>
        <v>62954.6</v>
      </c>
    </row>
    <row r="4302" spans="4:11" x14ac:dyDescent="0.35">
      <c r="D4302" s="1">
        <v>39387</v>
      </c>
      <c r="E4302">
        <v>1.7452000000000001</v>
      </c>
      <c r="I4302" s="1">
        <v>39302</v>
      </c>
      <c r="J4302">
        <v>6163.49</v>
      </c>
      <c r="K4302" s="4">
        <f t="shared" si="294"/>
        <v>61634.899999999994</v>
      </c>
    </row>
    <row r="4303" spans="4:11" x14ac:dyDescent="0.35">
      <c r="D4303" s="1">
        <v>39386</v>
      </c>
      <c r="E4303">
        <v>1.7432000000000001</v>
      </c>
      <c r="I4303" s="1">
        <v>39301</v>
      </c>
      <c r="J4303">
        <v>6227.03</v>
      </c>
      <c r="K4303" s="4">
        <f t="shared" si="294"/>
        <v>62270.299999999996</v>
      </c>
    </row>
    <row r="4304" spans="4:11" x14ac:dyDescent="0.35">
      <c r="D4304" s="1">
        <v>39385</v>
      </c>
      <c r="E4304">
        <v>1.7544</v>
      </c>
      <c r="I4304" s="1">
        <v>39300</v>
      </c>
      <c r="J4304">
        <v>6210.74</v>
      </c>
      <c r="K4304" s="4">
        <f t="shared" si="294"/>
        <v>62107.399999999994</v>
      </c>
    </row>
    <row r="4305" spans="4:11" x14ac:dyDescent="0.35">
      <c r="D4305" s="1">
        <v>39384</v>
      </c>
      <c r="E4305">
        <v>1.7586999999999999</v>
      </c>
      <c r="I4305" s="1">
        <v>39297</v>
      </c>
      <c r="J4305">
        <v>6217.26</v>
      </c>
      <c r="K4305" s="4">
        <f t="shared" si="294"/>
        <v>62172.600000000006</v>
      </c>
    </row>
    <row r="4306" spans="4:11" x14ac:dyDescent="0.35">
      <c r="D4306" s="1">
        <v>39381</v>
      </c>
      <c r="E4306">
        <v>1.7744</v>
      </c>
      <c r="I4306" s="1">
        <v>39296</v>
      </c>
      <c r="J4306">
        <v>6126.02</v>
      </c>
      <c r="K4306" s="4">
        <f t="shared" si="294"/>
        <v>61260.200000000004</v>
      </c>
    </row>
    <row r="4307" spans="4:11" x14ac:dyDescent="0.35">
      <c r="D4307" s="1">
        <v>39380</v>
      </c>
      <c r="E4307">
        <v>1.7887999999999999</v>
      </c>
      <c r="I4307" s="1">
        <v>39295</v>
      </c>
      <c r="J4307">
        <v>6145.57</v>
      </c>
      <c r="K4307" s="4">
        <f t="shared" si="294"/>
        <v>61455.7</v>
      </c>
    </row>
    <row r="4308" spans="4:11" x14ac:dyDescent="0.35">
      <c r="D4308" s="1">
        <v>39379</v>
      </c>
      <c r="E4308">
        <v>1.7961</v>
      </c>
      <c r="I4308" s="1">
        <v>39294</v>
      </c>
      <c r="J4308">
        <v>6192.82</v>
      </c>
      <c r="K4308" s="4">
        <f t="shared" si="294"/>
        <v>61928.2</v>
      </c>
    </row>
    <row r="4309" spans="4:11" x14ac:dyDescent="0.35">
      <c r="D4309" s="1">
        <v>39378</v>
      </c>
      <c r="E4309">
        <v>1.7999000000000001</v>
      </c>
      <c r="I4309" s="1">
        <v>39293</v>
      </c>
      <c r="J4309">
        <v>6186.21</v>
      </c>
      <c r="K4309" s="4">
        <f t="shared" si="294"/>
        <v>61862.1</v>
      </c>
    </row>
    <row r="4310" spans="4:11" x14ac:dyDescent="0.35">
      <c r="D4310" s="1">
        <v>39377</v>
      </c>
      <c r="E4310">
        <v>1.8198000000000001</v>
      </c>
      <c r="I4310" s="1">
        <v>39290</v>
      </c>
      <c r="J4310">
        <v>6252.2</v>
      </c>
      <c r="K4310" s="4">
        <f t="shared" si="294"/>
        <v>62522</v>
      </c>
    </row>
    <row r="4311" spans="4:11" x14ac:dyDescent="0.35">
      <c r="D4311" s="1">
        <v>39374</v>
      </c>
      <c r="E4311">
        <v>1.7956000000000001</v>
      </c>
      <c r="I4311" s="1">
        <v>39289</v>
      </c>
      <c r="J4311">
        <v>6298.39</v>
      </c>
      <c r="K4311" s="4">
        <f t="shared" si="294"/>
        <v>62983.9</v>
      </c>
    </row>
    <row r="4312" spans="4:11" x14ac:dyDescent="0.35">
      <c r="D4312" s="1">
        <v>39373</v>
      </c>
      <c r="E4312">
        <v>1.8063</v>
      </c>
      <c r="I4312" s="1">
        <v>39288</v>
      </c>
      <c r="J4312">
        <v>6143.32</v>
      </c>
      <c r="K4312" s="4">
        <f t="shared" si="294"/>
        <v>61433.2</v>
      </c>
    </row>
    <row r="4313" spans="4:11" x14ac:dyDescent="0.35">
      <c r="D4313" s="1">
        <v>39372</v>
      </c>
      <c r="E4313">
        <v>1.8129999999999999</v>
      </c>
      <c r="I4313" s="1">
        <v>39287</v>
      </c>
      <c r="J4313">
        <v>6153.22</v>
      </c>
      <c r="K4313" s="4">
        <f t="shared" si="294"/>
        <v>61532.200000000004</v>
      </c>
    </row>
    <row r="4314" spans="4:11" x14ac:dyDescent="0.35">
      <c r="D4314" s="1">
        <v>39371</v>
      </c>
      <c r="E4314">
        <v>1.8233999999999999</v>
      </c>
      <c r="I4314" s="1">
        <v>39286</v>
      </c>
      <c r="J4314">
        <v>6072.39</v>
      </c>
      <c r="K4314" s="4">
        <f t="shared" si="294"/>
        <v>60723.9</v>
      </c>
    </row>
    <row r="4315" spans="4:11" x14ac:dyDescent="0.35">
      <c r="D4315" s="1">
        <v>39370</v>
      </c>
      <c r="E4315">
        <v>1.8069999999999999</v>
      </c>
      <c r="I4315" s="1">
        <v>39283</v>
      </c>
      <c r="J4315">
        <v>6136.72</v>
      </c>
      <c r="K4315" s="4">
        <f t="shared" si="294"/>
        <v>61367.200000000004</v>
      </c>
    </row>
    <row r="4316" spans="4:11" x14ac:dyDescent="0.35">
      <c r="D4316" s="1">
        <v>39366</v>
      </c>
      <c r="E4316">
        <v>1.7911999999999999</v>
      </c>
      <c r="I4316" s="1">
        <v>39282</v>
      </c>
      <c r="J4316">
        <v>6146.62</v>
      </c>
      <c r="K4316" s="4">
        <f t="shared" si="294"/>
        <v>61466.2</v>
      </c>
    </row>
    <row r="4317" spans="4:11" x14ac:dyDescent="0.35">
      <c r="D4317" s="1">
        <v>39365</v>
      </c>
      <c r="E4317">
        <v>1.804</v>
      </c>
      <c r="I4317" s="1">
        <v>39281</v>
      </c>
      <c r="J4317">
        <v>6135.07</v>
      </c>
      <c r="K4317" s="4">
        <f t="shared" si="294"/>
        <v>61350.7</v>
      </c>
    </row>
    <row r="4318" spans="4:11" x14ac:dyDescent="0.35">
      <c r="D4318" s="1">
        <v>39364</v>
      </c>
      <c r="E4318">
        <v>1.81</v>
      </c>
      <c r="I4318" s="1">
        <v>39280</v>
      </c>
      <c r="J4318">
        <v>6141.67</v>
      </c>
      <c r="K4318" s="4">
        <f t="shared" si="294"/>
        <v>61416.7</v>
      </c>
    </row>
    <row r="4319" spans="4:11" x14ac:dyDescent="0.35">
      <c r="D4319" s="1">
        <v>39363</v>
      </c>
      <c r="E4319">
        <v>1.8125</v>
      </c>
      <c r="I4319" s="1">
        <v>39279</v>
      </c>
      <c r="J4319">
        <v>6169.72</v>
      </c>
      <c r="K4319" s="4">
        <f t="shared" si="294"/>
        <v>61697.200000000004</v>
      </c>
    </row>
    <row r="4320" spans="4:11" x14ac:dyDescent="0.35">
      <c r="D4320" s="1">
        <v>39360</v>
      </c>
      <c r="E4320">
        <v>1.8084</v>
      </c>
      <c r="I4320" s="1">
        <v>39276</v>
      </c>
      <c r="J4320">
        <v>6144.97</v>
      </c>
      <c r="K4320" s="4">
        <f t="shared" si="294"/>
        <v>61449.700000000004</v>
      </c>
    </row>
    <row r="4321" spans="4:11" x14ac:dyDescent="0.35">
      <c r="D4321" s="1">
        <v>39359</v>
      </c>
      <c r="E4321">
        <v>1.8275999999999999</v>
      </c>
      <c r="I4321" s="1">
        <v>39275</v>
      </c>
      <c r="J4321">
        <v>6177.97</v>
      </c>
      <c r="K4321" s="4">
        <f t="shared" si="294"/>
        <v>61779.700000000004</v>
      </c>
    </row>
    <row r="4322" spans="4:11" x14ac:dyDescent="0.35">
      <c r="D4322" s="1">
        <v>39358</v>
      </c>
      <c r="E4322">
        <v>1.8266</v>
      </c>
      <c r="I4322" s="1">
        <v>39274</v>
      </c>
      <c r="J4322">
        <v>6248.9</v>
      </c>
      <c r="K4322" s="4">
        <f t="shared" si="294"/>
        <v>62489</v>
      </c>
    </row>
    <row r="4323" spans="4:11" x14ac:dyDescent="0.35">
      <c r="D4323" s="1">
        <v>39357</v>
      </c>
      <c r="E4323">
        <v>1.8227</v>
      </c>
      <c r="I4323" s="1">
        <v>39273</v>
      </c>
      <c r="J4323">
        <v>6281.89</v>
      </c>
      <c r="K4323" s="4">
        <f t="shared" si="294"/>
        <v>62818.9</v>
      </c>
    </row>
    <row r="4324" spans="4:11" x14ac:dyDescent="0.35">
      <c r="D4324" s="1">
        <v>39356</v>
      </c>
      <c r="E4324">
        <v>1.8217000000000001</v>
      </c>
      <c r="I4324" s="1">
        <v>39269</v>
      </c>
      <c r="J4324">
        <v>6288.49</v>
      </c>
      <c r="K4324" s="4">
        <f t="shared" si="294"/>
        <v>62884.899999999994</v>
      </c>
    </row>
    <row r="4325" spans="4:11" x14ac:dyDescent="0.35">
      <c r="D4325" s="1">
        <v>39353</v>
      </c>
      <c r="E4325">
        <v>1.8381000000000001</v>
      </c>
      <c r="I4325" s="1">
        <v>39268</v>
      </c>
      <c r="J4325">
        <v>6321.49</v>
      </c>
      <c r="K4325" s="4">
        <f t="shared" si="294"/>
        <v>63214.899999999994</v>
      </c>
    </row>
    <row r="4326" spans="4:11" x14ac:dyDescent="0.35">
      <c r="D4326" s="1">
        <v>39352</v>
      </c>
      <c r="E4326">
        <v>1.8401000000000001</v>
      </c>
      <c r="I4326" s="1">
        <v>39267</v>
      </c>
      <c r="J4326">
        <v>6309.94</v>
      </c>
      <c r="K4326" s="4">
        <f t="shared" si="294"/>
        <v>63099.399999999994</v>
      </c>
    </row>
    <row r="4327" spans="4:11" x14ac:dyDescent="0.35">
      <c r="D4327" s="1">
        <v>39351</v>
      </c>
      <c r="E4327">
        <v>1.8485</v>
      </c>
      <c r="I4327" s="1">
        <v>39266</v>
      </c>
      <c r="J4327">
        <v>6329.73</v>
      </c>
      <c r="K4327" s="4">
        <f t="shared" si="294"/>
        <v>63297.299999999996</v>
      </c>
    </row>
    <row r="4328" spans="4:11" x14ac:dyDescent="0.35">
      <c r="D4328" s="1">
        <v>39350</v>
      </c>
      <c r="E4328">
        <v>1.8648</v>
      </c>
      <c r="I4328" s="1">
        <v>39265</v>
      </c>
      <c r="J4328">
        <v>6339.63</v>
      </c>
      <c r="K4328" s="4">
        <f t="shared" si="294"/>
        <v>63396.3</v>
      </c>
    </row>
    <row r="4329" spans="4:11" x14ac:dyDescent="0.35">
      <c r="D4329" s="1">
        <v>39349</v>
      </c>
      <c r="E4329">
        <v>1.8686</v>
      </c>
      <c r="I4329" s="1">
        <v>39262</v>
      </c>
      <c r="J4329">
        <v>6394.07</v>
      </c>
      <c r="K4329" s="4">
        <f t="shared" si="294"/>
        <v>63940.7</v>
      </c>
    </row>
    <row r="4330" spans="4:11" x14ac:dyDescent="0.35">
      <c r="D4330" s="1">
        <v>39346</v>
      </c>
      <c r="E4330">
        <v>1.861</v>
      </c>
      <c r="I4330" s="1">
        <v>39261</v>
      </c>
      <c r="J4330">
        <v>6395.73</v>
      </c>
      <c r="K4330" s="4">
        <f t="shared" si="294"/>
        <v>63957.299999999996</v>
      </c>
    </row>
    <row r="4331" spans="4:11" x14ac:dyDescent="0.35">
      <c r="D4331" s="1">
        <v>39345</v>
      </c>
      <c r="E4331">
        <v>1.8629</v>
      </c>
      <c r="I4331" s="1">
        <v>39260</v>
      </c>
      <c r="J4331">
        <v>6418.96</v>
      </c>
      <c r="K4331" s="4">
        <f t="shared" si="294"/>
        <v>64189.599999999999</v>
      </c>
    </row>
    <row r="4332" spans="4:11" x14ac:dyDescent="0.35">
      <c r="D4332" s="1">
        <v>39344</v>
      </c>
      <c r="E4332">
        <v>1.8631</v>
      </c>
      <c r="I4332" s="1">
        <v>39259</v>
      </c>
      <c r="J4332">
        <v>6501.94</v>
      </c>
      <c r="K4332" s="4">
        <f t="shared" si="294"/>
        <v>65019.399999999994</v>
      </c>
    </row>
    <row r="4333" spans="4:11" x14ac:dyDescent="0.35">
      <c r="D4333" s="1">
        <v>39343</v>
      </c>
      <c r="E4333">
        <v>1.8952</v>
      </c>
      <c r="I4333" s="1">
        <v>39258</v>
      </c>
      <c r="J4333">
        <v>6465.43</v>
      </c>
      <c r="K4333" s="4">
        <f t="shared" si="294"/>
        <v>64654.3</v>
      </c>
    </row>
    <row r="4334" spans="4:11" x14ac:dyDescent="0.35">
      <c r="D4334" s="1">
        <v>39342</v>
      </c>
      <c r="E4334">
        <v>1.9115</v>
      </c>
      <c r="I4334" s="1">
        <v>39255</v>
      </c>
      <c r="J4334">
        <v>6460.45</v>
      </c>
      <c r="K4334" s="4">
        <f t="shared" si="294"/>
        <v>64604.5</v>
      </c>
    </row>
    <row r="4335" spans="4:11" x14ac:dyDescent="0.35">
      <c r="D4335" s="1">
        <v>39339</v>
      </c>
      <c r="E4335">
        <v>1.9023000000000001</v>
      </c>
      <c r="I4335" s="1">
        <v>39254</v>
      </c>
      <c r="J4335">
        <v>6379.13</v>
      </c>
      <c r="K4335" s="4">
        <f t="shared" si="294"/>
        <v>63791.3</v>
      </c>
    </row>
    <row r="4336" spans="4:11" x14ac:dyDescent="0.35">
      <c r="D4336" s="1">
        <v>39338</v>
      </c>
      <c r="E4336">
        <v>1.8983000000000001</v>
      </c>
      <c r="I4336" s="1">
        <v>39253</v>
      </c>
      <c r="J4336">
        <v>6415.64</v>
      </c>
      <c r="K4336" s="4">
        <f t="shared" si="294"/>
        <v>64156.4</v>
      </c>
    </row>
    <row r="4337" spans="4:11" x14ac:dyDescent="0.35">
      <c r="D4337" s="1">
        <v>39337</v>
      </c>
      <c r="E4337">
        <v>1.9117</v>
      </c>
      <c r="I4337" s="1">
        <v>39252</v>
      </c>
      <c r="J4337">
        <v>6326.03</v>
      </c>
      <c r="K4337" s="4">
        <f t="shared" si="294"/>
        <v>63260.299999999996</v>
      </c>
    </row>
    <row r="4338" spans="4:11" x14ac:dyDescent="0.35">
      <c r="D4338" s="1">
        <v>39336</v>
      </c>
      <c r="E4338">
        <v>1.9296</v>
      </c>
      <c r="I4338" s="1">
        <v>39251</v>
      </c>
      <c r="J4338">
        <v>6339.31</v>
      </c>
      <c r="K4338" s="4">
        <f t="shared" si="294"/>
        <v>63393.100000000006</v>
      </c>
    </row>
    <row r="4339" spans="4:11" x14ac:dyDescent="0.35">
      <c r="D4339" s="1">
        <v>39335</v>
      </c>
      <c r="E4339">
        <v>1.9582999999999999</v>
      </c>
      <c r="I4339" s="1">
        <v>39248</v>
      </c>
      <c r="J4339">
        <v>6354.24</v>
      </c>
      <c r="K4339" s="4">
        <f t="shared" si="294"/>
        <v>63542.399999999994</v>
      </c>
    </row>
    <row r="4340" spans="4:11" x14ac:dyDescent="0.35">
      <c r="D4340" s="1">
        <v>39331</v>
      </c>
      <c r="E4340">
        <v>1.9537</v>
      </c>
      <c r="I4340" s="1">
        <v>39247</v>
      </c>
      <c r="J4340">
        <v>6389.09</v>
      </c>
      <c r="K4340" s="4">
        <f t="shared" si="294"/>
        <v>63890.9</v>
      </c>
    </row>
    <row r="4341" spans="4:11" x14ac:dyDescent="0.35">
      <c r="D4341" s="1">
        <v>39330</v>
      </c>
      <c r="E4341">
        <v>1.9632000000000001</v>
      </c>
      <c r="I4341" s="1">
        <v>39246</v>
      </c>
      <c r="J4341">
        <v>6458.79</v>
      </c>
      <c r="K4341" s="4">
        <f t="shared" si="294"/>
        <v>64587.9</v>
      </c>
    </row>
    <row r="4342" spans="4:11" x14ac:dyDescent="0.35">
      <c r="D4342" s="1">
        <v>39329</v>
      </c>
      <c r="E4342">
        <v>1.952</v>
      </c>
      <c r="I4342" s="1">
        <v>39245</v>
      </c>
      <c r="J4342">
        <v>6525.17</v>
      </c>
      <c r="K4342" s="4">
        <f t="shared" si="294"/>
        <v>65251.7</v>
      </c>
    </row>
    <row r="4343" spans="4:11" x14ac:dyDescent="0.35">
      <c r="D4343" s="1">
        <v>39328</v>
      </c>
      <c r="E4343">
        <v>1.9539</v>
      </c>
      <c r="I4343" s="1">
        <v>39244</v>
      </c>
      <c r="J4343">
        <v>6480.36</v>
      </c>
      <c r="K4343" s="4">
        <f t="shared" si="294"/>
        <v>64803.6</v>
      </c>
    </row>
    <row r="4344" spans="4:11" x14ac:dyDescent="0.35">
      <c r="D4344" s="1">
        <v>39325</v>
      </c>
      <c r="E4344">
        <v>1.9612000000000001</v>
      </c>
      <c r="I4344" s="1">
        <v>39241</v>
      </c>
      <c r="J4344">
        <v>6515.21</v>
      </c>
      <c r="K4344" s="4">
        <f t="shared" si="294"/>
        <v>65152.1</v>
      </c>
    </row>
    <row r="4345" spans="4:11" x14ac:dyDescent="0.35">
      <c r="D4345" s="1">
        <v>39324</v>
      </c>
      <c r="E4345">
        <v>1.9769000000000001</v>
      </c>
      <c r="I4345" s="1">
        <v>39239</v>
      </c>
      <c r="J4345">
        <v>6498.62</v>
      </c>
      <c r="K4345" s="4">
        <f t="shared" si="294"/>
        <v>64986.2</v>
      </c>
    </row>
    <row r="4346" spans="4:11" x14ac:dyDescent="0.35">
      <c r="D4346" s="1">
        <v>39323</v>
      </c>
      <c r="E4346">
        <v>1.9856</v>
      </c>
      <c r="I4346" s="1">
        <v>39238</v>
      </c>
      <c r="J4346">
        <v>6458.79</v>
      </c>
      <c r="K4346" s="4">
        <f t="shared" si="294"/>
        <v>64587.9</v>
      </c>
    </row>
    <row r="4347" spans="4:11" x14ac:dyDescent="0.35">
      <c r="D4347" s="1">
        <v>39322</v>
      </c>
      <c r="E4347">
        <v>1.9841</v>
      </c>
      <c r="I4347" s="1">
        <v>39237</v>
      </c>
      <c r="J4347">
        <v>6422.28</v>
      </c>
      <c r="K4347" s="4">
        <f t="shared" si="294"/>
        <v>64222.799999999996</v>
      </c>
    </row>
    <row r="4348" spans="4:11" x14ac:dyDescent="0.35">
      <c r="D4348" s="1">
        <v>39321</v>
      </c>
      <c r="E4348">
        <v>1.9480999999999999</v>
      </c>
      <c r="I4348" s="1">
        <v>39234</v>
      </c>
      <c r="J4348">
        <v>6344.29</v>
      </c>
      <c r="K4348" s="4">
        <f t="shared" si="294"/>
        <v>63442.9</v>
      </c>
    </row>
    <row r="4349" spans="4:11" x14ac:dyDescent="0.35">
      <c r="D4349" s="1">
        <v>39318</v>
      </c>
      <c r="E4349">
        <v>1.9846999999999999</v>
      </c>
      <c r="I4349" s="1">
        <v>39233</v>
      </c>
      <c r="J4349">
        <v>6389.09</v>
      </c>
      <c r="K4349" s="4">
        <f t="shared" si="294"/>
        <v>63890.9</v>
      </c>
    </row>
    <row r="4350" spans="4:11" x14ac:dyDescent="0.35">
      <c r="D4350" s="1">
        <v>39317</v>
      </c>
      <c r="E4350">
        <v>1.9931000000000001</v>
      </c>
      <c r="I4350" s="1">
        <v>39232</v>
      </c>
      <c r="J4350">
        <v>6428.86</v>
      </c>
      <c r="K4350" s="4">
        <f t="shared" si="294"/>
        <v>64288.6</v>
      </c>
    </row>
    <row r="4351" spans="4:11" x14ac:dyDescent="0.35">
      <c r="D4351" s="1">
        <v>39316</v>
      </c>
      <c r="E4351">
        <v>2.0165000000000002</v>
      </c>
      <c r="I4351" s="1">
        <v>39231</v>
      </c>
      <c r="J4351">
        <v>6463.65</v>
      </c>
      <c r="K4351" s="4">
        <f t="shared" si="294"/>
        <v>64636.5</v>
      </c>
    </row>
    <row r="4352" spans="4:11" x14ac:dyDescent="0.35">
      <c r="D4352" s="1">
        <v>39315</v>
      </c>
      <c r="E4352">
        <v>2.0377000000000001</v>
      </c>
      <c r="I4352" s="1">
        <v>39230</v>
      </c>
      <c r="J4352">
        <v>6447.08</v>
      </c>
      <c r="K4352" s="4">
        <f t="shared" si="294"/>
        <v>64470.8</v>
      </c>
    </row>
    <row r="4353" spans="4:11" x14ac:dyDescent="0.35">
      <c r="D4353" s="1">
        <v>39314</v>
      </c>
      <c r="E4353">
        <v>2.0272000000000001</v>
      </c>
      <c r="I4353" s="1">
        <v>39227</v>
      </c>
      <c r="J4353">
        <v>6468.62</v>
      </c>
      <c r="K4353" s="4">
        <f t="shared" si="294"/>
        <v>64686.2</v>
      </c>
    </row>
    <row r="4354" spans="4:11" x14ac:dyDescent="0.35">
      <c r="D4354" s="1">
        <v>39311</v>
      </c>
      <c r="E4354">
        <v>2.0367999999999999</v>
      </c>
      <c r="I4354" s="1">
        <v>39226</v>
      </c>
      <c r="J4354">
        <v>6508.39</v>
      </c>
      <c r="K4354" s="4">
        <f t="shared" si="294"/>
        <v>65083.9</v>
      </c>
    </row>
    <row r="4355" spans="4:11" x14ac:dyDescent="0.35">
      <c r="D4355" s="1">
        <v>39310</v>
      </c>
      <c r="E4355">
        <v>2.1116000000000001</v>
      </c>
      <c r="I4355" s="1">
        <v>39225</v>
      </c>
      <c r="J4355">
        <v>6493.48</v>
      </c>
      <c r="K4355" s="4">
        <f t="shared" si="294"/>
        <v>64934.799999999996</v>
      </c>
    </row>
    <row r="4356" spans="4:11" x14ac:dyDescent="0.35">
      <c r="D4356" s="1">
        <v>39309</v>
      </c>
      <c r="E4356">
        <v>2.0034999999999998</v>
      </c>
      <c r="I4356" s="1">
        <v>39224</v>
      </c>
      <c r="J4356">
        <v>6476.91</v>
      </c>
      <c r="K4356" s="4">
        <f t="shared" si="294"/>
        <v>64769.1</v>
      </c>
    </row>
    <row r="4357" spans="4:11" x14ac:dyDescent="0.35">
      <c r="D4357" s="1">
        <v>39308</v>
      </c>
      <c r="E4357">
        <v>1.9801</v>
      </c>
      <c r="I4357" s="1">
        <v>39223</v>
      </c>
      <c r="J4357">
        <v>6438.8</v>
      </c>
      <c r="K4357" s="4">
        <f t="shared" ref="K4357:K4420" si="295">J4357*10</f>
        <v>64388</v>
      </c>
    </row>
    <row r="4358" spans="4:11" x14ac:dyDescent="0.35">
      <c r="D4358" s="1">
        <v>39307</v>
      </c>
      <c r="E4358">
        <v>1.9402999999999999</v>
      </c>
      <c r="I4358" s="1">
        <v>39220</v>
      </c>
      <c r="J4358">
        <v>6506.73</v>
      </c>
      <c r="K4358" s="4">
        <f t="shared" si="295"/>
        <v>65067.299999999996</v>
      </c>
    </row>
    <row r="4359" spans="4:11" x14ac:dyDescent="0.35">
      <c r="D4359" s="1">
        <v>39304</v>
      </c>
      <c r="E4359">
        <v>1.9541999999999999</v>
      </c>
      <c r="I4359" s="1">
        <v>39219</v>
      </c>
      <c r="J4359">
        <v>6511.7</v>
      </c>
      <c r="K4359" s="4">
        <f t="shared" si="295"/>
        <v>65117</v>
      </c>
    </row>
    <row r="4360" spans="4:11" x14ac:dyDescent="0.35">
      <c r="D4360" s="1">
        <v>39303</v>
      </c>
      <c r="E4360">
        <v>1.9182999999999999</v>
      </c>
      <c r="I4360" s="1">
        <v>39218</v>
      </c>
      <c r="J4360">
        <v>6488.51</v>
      </c>
      <c r="K4360" s="4">
        <f t="shared" si="295"/>
        <v>64885.100000000006</v>
      </c>
    </row>
    <row r="4361" spans="4:11" x14ac:dyDescent="0.35">
      <c r="D4361" s="1">
        <v>39302</v>
      </c>
      <c r="E4361">
        <v>1.8857999999999999</v>
      </c>
      <c r="I4361" s="1">
        <v>39217</v>
      </c>
      <c r="J4361">
        <v>6561.41</v>
      </c>
      <c r="K4361" s="4">
        <f t="shared" si="295"/>
        <v>65614.100000000006</v>
      </c>
    </row>
    <row r="4362" spans="4:11" x14ac:dyDescent="0.35">
      <c r="D4362" s="1">
        <v>39301</v>
      </c>
      <c r="E4362">
        <v>1.9069</v>
      </c>
      <c r="I4362" s="1">
        <v>39216</v>
      </c>
      <c r="J4362">
        <v>6662.48</v>
      </c>
      <c r="K4362" s="4">
        <f t="shared" si="295"/>
        <v>66624.799999999988</v>
      </c>
    </row>
    <row r="4363" spans="4:11" x14ac:dyDescent="0.35">
      <c r="D4363" s="1">
        <v>39300</v>
      </c>
      <c r="E4363">
        <v>1.9097999999999999</v>
      </c>
      <c r="I4363" s="1">
        <v>39213</v>
      </c>
      <c r="J4363">
        <v>6702.25</v>
      </c>
      <c r="K4363" s="4">
        <f t="shared" si="295"/>
        <v>67022.5</v>
      </c>
    </row>
    <row r="4364" spans="4:11" x14ac:dyDescent="0.35">
      <c r="D4364" s="1">
        <v>39297</v>
      </c>
      <c r="E4364">
        <v>1.8806</v>
      </c>
      <c r="I4364" s="1">
        <v>39212</v>
      </c>
      <c r="J4364">
        <v>6738.7</v>
      </c>
      <c r="K4364" s="4">
        <f t="shared" si="295"/>
        <v>67387</v>
      </c>
    </row>
    <row r="4365" spans="4:11" x14ac:dyDescent="0.35">
      <c r="D4365" s="1">
        <v>39296</v>
      </c>
      <c r="E4365">
        <v>1.8721000000000001</v>
      </c>
      <c r="I4365" s="1">
        <v>39211</v>
      </c>
      <c r="J4365">
        <v>6690.65</v>
      </c>
      <c r="K4365" s="4">
        <f t="shared" si="295"/>
        <v>66906.5</v>
      </c>
    </row>
    <row r="4366" spans="4:11" x14ac:dyDescent="0.35">
      <c r="D4366" s="1">
        <v>39295</v>
      </c>
      <c r="E4366">
        <v>1.8848</v>
      </c>
      <c r="I4366" s="1">
        <v>39210</v>
      </c>
      <c r="J4366">
        <v>6733.73</v>
      </c>
      <c r="K4366" s="4">
        <f t="shared" si="295"/>
        <v>67337.299999999988</v>
      </c>
    </row>
    <row r="4367" spans="4:11" x14ac:dyDescent="0.35">
      <c r="D4367" s="1">
        <v>39294</v>
      </c>
      <c r="E4367">
        <v>1.8768</v>
      </c>
      <c r="I4367" s="1">
        <v>39209</v>
      </c>
      <c r="J4367">
        <v>6717.16</v>
      </c>
      <c r="K4367" s="4">
        <f t="shared" si="295"/>
        <v>67171.600000000006</v>
      </c>
    </row>
    <row r="4368" spans="4:11" x14ac:dyDescent="0.35">
      <c r="D4368" s="1">
        <v>39293</v>
      </c>
      <c r="E4368">
        <v>1.8801000000000001</v>
      </c>
      <c r="I4368" s="1">
        <v>39206</v>
      </c>
      <c r="J4368">
        <v>6753.61</v>
      </c>
      <c r="K4368" s="4">
        <f t="shared" si="295"/>
        <v>67536.099999999991</v>
      </c>
    </row>
    <row r="4369" spans="4:11" x14ac:dyDescent="0.35">
      <c r="D4369" s="1">
        <v>39290</v>
      </c>
      <c r="E4369">
        <v>1.9060999999999999</v>
      </c>
      <c r="I4369" s="1">
        <v>39205</v>
      </c>
      <c r="J4369">
        <v>6743.67</v>
      </c>
      <c r="K4369" s="4">
        <f t="shared" si="295"/>
        <v>67436.7</v>
      </c>
    </row>
    <row r="4370" spans="4:11" x14ac:dyDescent="0.35">
      <c r="D4370" s="1">
        <v>39289</v>
      </c>
      <c r="E4370">
        <v>1.9046000000000001</v>
      </c>
      <c r="I4370" s="1">
        <v>39204</v>
      </c>
      <c r="J4370">
        <v>6718.82</v>
      </c>
      <c r="K4370" s="4">
        <f t="shared" si="295"/>
        <v>67188.2</v>
      </c>
    </row>
    <row r="4371" spans="4:11" x14ac:dyDescent="0.35">
      <c r="D4371" s="1">
        <v>39288</v>
      </c>
      <c r="E4371">
        <v>1.8634999999999999</v>
      </c>
      <c r="I4371" s="1">
        <v>39202</v>
      </c>
      <c r="J4371">
        <v>6776.81</v>
      </c>
      <c r="K4371" s="4">
        <f t="shared" si="295"/>
        <v>67768.100000000006</v>
      </c>
    </row>
    <row r="4372" spans="4:11" x14ac:dyDescent="0.35">
      <c r="D4372" s="1">
        <v>39287</v>
      </c>
      <c r="E4372">
        <v>1.8516999999999999</v>
      </c>
      <c r="I4372" s="1">
        <v>39199</v>
      </c>
      <c r="J4372">
        <v>6768.48</v>
      </c>
      <c r="K4372" s="4">
        <f t="shared" si="295"/>
        <v>67684.799999999988</v>
      </c>
    </row>
    <row r="4373" spans="4:11" x14ac:dyDescent="0.35">
      <c r="D4373" s="1">
        <v>39286</v>
      </c>
      <c r="E4373">
        <v>1.8440000000000001</v>
      </c>
      <c r="I4373" s="1">
        <v>39198</v>
      </c>
      <c r="J4373">
        <v>6776.81</v>
      </c>
      <c r="K4373" s="4">
        <f t="shared" si="295"/>
        <v>67768.100000000006</v>
      </c>
    </row>
    <row r="4374" spans="4:11" x14ac:dyDescent="0.35">
      <c r="D4374" s="1">
        <v>39283</v>
      </c>
      <c r="E4374">
        <v>1.8597999999999999</v>
      </c>
      <c r="I4374" s="1">
        <v>39197</v>
      </c>
      <c r="J4374">
        <v>6733.5</v>
      </c>
      <c r="K4374" s="4">
        <f t="shared" si="295"/>
        <v>67335</v>
      </c>
    </row>
    <row r="4375" spans="4:11" x14ac:dyDescent="0.35">
      <c r="D4375" s="1">
        <v>39282</v>
      </c>
      <c r="E4375">
        <v>1.8528</v>
      </c>
      <c r="I4375" s="1">
        <v>39196</v>
      </c>
      <c r="J4375">
        <v>6780.14</v>
      </c>
      <c r="K4375" s="4">
        <f t="shared" si="295"/>
        <v>67801.400000000009</v>
      </c>
    </row>
    <row r="4376" spans="4:11" x14ac:dyDescent="0.35">
      <c r="D4376" s="1">
        <v>39281</v>
      </c>
      <c r="E4376">
        <v>1.8601000000000001</v>
      </c>
      <c r="I4376" s="1">
        <v>39195</v>
      </c>
      <c r="J4376">
        <v>6781.81</v>
      </c>
      <c r="K4376" s="4">
        <f t="shared" si="295"/>
        <v>67818.100000000006</v>
      </c>
    </row>
    <row r="4377" spans="4:11" x14ac:dyDescent="0.35">
      <c r="D4377" s="1">
        <v>39280</v>
      </c>
      <c r="E4377">
        <v>1.8613</v>
      </c>
      <c r="I4377" s="1">
        <v>39192</v>
      </c>
      <c r="J4377">
        <v>6760.15</v>
      </c>
      <c r="K4377" s="4">
        <f t="shared" si="295"/>
        <v>67601.5</v>
      </c>
    </row>
    <row r="4378" spans="4:11" x14ac:dyDescent="0.35">
      <c r="D4378" s="1">
        <v>39279</v>
      </c>
      <c r="E4378">
        <v>1.8638999999999999</v>
      </c>
      <c r="I4378" s="1">
        <v>39191</v>
      </c>
      <c r="J4378">
        <v>6768.48</v>
      </c>
      <c r="K4378" s="4">
        <f t="shared" si="295"/>
        <v>67684.799999999988</v>
      </c>
    </row>
    <row r="4379" spans="4:11" x14ac:dyDescent="0.35">
      <c r="D4379" s="1">
        <v>39276</v>
      </c>
      <c r="E4379">
        <v>1.8675999999999999</v>
      </c>
      <c r="I4379" s="1">
        <v>39190</v>
      </c>
      <c r="J4379">
        <v>6786.81</v>
      </c>
      <c r="K4379" s="4">
        <f t="shared" si="295"/>
        <v>67868.100000000006</v>
      </c>
    </row>
    <row r="4380" spans="4:11" x14ac:dyDescent="0.35">
      <c r="D4380" s="1">
        <v>39275</v>
      </c>
      <c r="E4380">
        <v>1.8758999999999999</v>
      </c>
      <c r="I4380" s="1">
        <v>39189</v>
      </c>
      <c r="J4380">
        <v>6800.13</v>
      </c>
      <c r="K4380" s="4">
        <f t="shared" si="295"/>
        <v>68001.3</v>
      </c>
    </row>
    <row r="4381" spans="4:11" x14ac:dyDescent="0.35">
      <c r="D4381" s="1">
        <v>39274</v>
      </c>
      <c r="E4381">
        <v>1.8892</v>
      </c>
      <c r="I4381" s="1">
        <v>39188</v>
      </c>
      <c r="J4381">
        <v>6786.81</v>
      </c>
      <c r="K4381" s="4">
        <f t="shared" si="295"/>
        <v>67868.100000000006</v>
      </c>
    </row>
    <row r="4382" spans="4:11" x14ac:dyDescent="0.35">
      <c r="D4382" s="1">
        <v>39273</v>
      </c>
      <c r="E4382">
        <v>1.8938999999999999</v>
      </c>
      <c r="I4382" s="1">
        <v>39185</v>
      </c>
      <c r="J4382">
        <v>6750.16</v>
      </c>
      <c r="K4382" s="4">
        <f t="shared" si="295"/>
        <v>67501.600000000006</v>
      </c>
    </row>
    <row r="4383" spans="4:11" x14ac:dyDescent="0.35">
      <c r="D4383" s="1">
        <v>39272</v>
      </c>
      <c r="E4383">
        <v>1.8984000000000001</v>
      </c>
      <c r="I4383" s="1">
        <v>39184</v>
      </c>
      <c r="J4383">
        <v>6786.81</v>
      </c>
      <c r="K4383" s="4">
        <f t="shared" si="295"/>
        <v>67868.100000000006</v>
      </c>
    </row>
    <row r="4384" spans="4:11" x14ac:dyDescent="0.35">
      <c r="D4384" s="1">
        <v>39269</v>
      </c>
      <c r="E4384">
        <v>1.9025000000000001</v>
      </c>
      <c r="I4384" s="1">
        <v>39183</v>
      </c>
      <c r="J4384">
        <v>6813.46</v>
      </c>
      <c r="K4384" s="4">
        <f t="shared" si="295"/>
        <v>68134.600000000006</v>
      </c>
    </row>
    <row r="4385" spans="4:11" x14ac:dyDescent="0.35">
      <c r="D4385" s="1">
        <v>39268</v>
      </c>
      <c r="E4385">
        <v>1.9149</v>
      </c>
      <c r="I4385" s="1">
        <v>39182</v>
      </c>
      <c r="J4385">
        <v>6781.81</v>
      </c>
      <c r="K4385" s="4">
        <f t="shared" si="295"/>
        <v>67818.100000000006</v>
      </c>
    </row>
    <row r="4386" spans="4:11" x14ac:dyDescent="0.35">
      <c r="D4386" s="1">
        <v>39267</v>
      </c>
      <c r="E4386">
        <v>1.9091</v>
      </c>
      <c r="I4386" s="1">
        <v>39181</v>
      </c>
      <c r="J4386">
        <v>6768.48</v>
      </c>
      <c r="K4386" s="4">
        <f t="shared" si="295"/>
        <v>67684.799999999988</v>
      </c>
    </row>
    <row r="4387" spans="4:11" x14ac:dyDescent="0.35">
      <c r="D4387" s="1">
        <v>39266</v>
      </c>
      <c r="E4387">
        <v>1.9114</v>
      </c>
      <c r="I4387" s="1">
        <v>39177</v>
      </c>
      <c r="J4387">
        <v>6790.14</v>
      </c>
      <c r="K4387" s="4">
        <f t="shared" si="295"/>
        <v>67901.400000000009</v>
      </c>
    </row>
    <row r="4388" spans="4:11" x14ac:dyDescent="0.35">
      <c r="D4388" s="1">
        <v>39265</v>
      </c>
      <c r="E4388">
        <v>1.9168000000000001</v>
      </c>
      <c r="I4388" s="1">
        <v>39176</v>
      </c>
      <c r="J4388">
        <v>6813.46</v>
      </c>
      <c r="K4388" s="4">
        <f t="shared" si="295"/>
        <v>68134.600000000006</v>
      </c>
    </row>
    <row r="4389" spans="4:11" x14ac:dyDescent="0.35">
      <c r="D4389" s="1">
        <v>39262</v>
      </c>
      <c r="E4389">
        <v>1.9254</v>
      </c>
      <c r="I4389" s="1">
        <v>39175</v>
      </c>
      <c r="J4389">
        <v>6813.46</v>
      </c>
      <c r="K4389" s="4">
        <f t="shared" si="295"/>
        <v>68134.600000000006</v>
      </c>
    </row>
    <row r="4390" spans="4:11" x14ac:dyDescent="0.35">
      <c r="D4390" s="1">
        <v>39261</v>
      </c>
      <c r="E4390">
        <v>1.9248000000000001</v>
      </c>
      <c r="I4390" s="1">
        <v>39174</v>
      </c>
      <c r="J4390">
        <v>6841.78</v>
      </c>
      <c r="K4390" s="4">
        <f t="shared" si="295"/>
        <v>68417.8</v>
      </c>
    </row>
    <row r="4391" spans="4:11" x14ac:dyDescent="0.35">
      <c r="D4391" s="1">
        <v>39260</v>
      </c>
      <c r="E4391">
        <v>1.9491000000000001</v>
      </c>
      <c r="I4391" s="1">
        <v>39171</v>
      </c>
      <c r="J4391">
        <v>6898.42</v>
      </c>
      <c r="K4391" s="4">
        <f t="shared" si="295"/>
        <v>68984.2</v>
      </c>
    </row>
    <row r="4392" spans="4:11" x14ac:dyDescent="0.35">
      <c r="D4392" s="1">
        <v>39259</v>
      </c>
      <c r="E4392">
        <v>1.948</v>
      </c>
      <c r="I4392" s="1">
        <v>39170</v>
      </c>
      <c r="J4392">
        <v>6868.12</v>
      </c>
      <c r="K4392" s="4">
        <f t="shared" si="295"/>
        <v>68681.2</v>
      </c>
    </row>
    <row r="4393" spans="4:11" x14ac:dyDescent="0.35">
      <c r="D4393" s="1">
        <v>39258</v>
      </c>
      <c r="E4393">
        <v>1.9371</v>
      </c>
      <c r="I4393" s="1">
        <v>39169</v>
      </c>
      <c r="J4393">
        <v>6962.39</v>
      </c>
      <c r="K4393" s="4">
        <f t="shared" si="295"/>
        <v>69623.900000000009</v>
      </c>
    </row>
    <row r="4394" spans="4:11" x14ac:dyDescent="0.35">
      <c r="D4394" s="1">
        <v>39255</v>
      </c>
      <c r="E4394">
        <v>1.9326000000000001</v>
      </c>
      <c r="I4394" s="1">
        <v>39168</v>
      </c>
      <c r="J4394">
        <v>6967.44</v>
      </c>
      <c r="K4394" s="4">
        <f t="shared" si="295"/>
        <v>69674.399999999994</v>
      </c>
    </row>
    <row r="4395" spans="4:11" x14ac:dyDescent="0.35">
      <c r="D4395" s="1">
        <v>39254</v>
      </c>
      <c r="E4395">
        <v>1.9189000000000001</v>
      </c>
      <c r="I4395" s="1">
        <v>39167</v>
      </c>
      <c r="J4395">
        <v>6942.19</v>
      </c>
      <c r="K4395" s="4">
        <f t="shared" si="295"/>
        <v>69421.899999999994</v>
      </c>
    </row>
    <row r="4396" spans="4:11" x14ac:dyDescent="0.35">
      <c r="D4396" s="1">
        <v>39253</v>
      </c>
      <c r="E4396">
        <v>1.919</v>
      </c>
      <c r="I4396" s="1">
        <v>39164</v>
      </c>
      <c r="J4396">
        <v>6945.56</v>
      </c>
      <c r="K4396" s="4">
        <f t="shared" si="295"/>
        <v>69455.600000000006</v>
      </c>
    </row>
    <row r="4397" spans="4:11" x14ac:dyDescent="0.35">
      <c r="D4397" s="1">
        <v>39252</v>
      </c>
      <c r="E4397">
        <v>1.905</v>
      </c>
      <c r="I4397" s="1">
        <v>39163</v>
      </c>
      <c r="J4397">
        <v>6950.61</v>
      </c>
      <c r="K4397" s="4">
        <f t="shared" si="295"/>
        <v>69506.099999999991</v>
      </c>
    </row>
    <row r="4398" spans="4:11" x14ac:dyDescent="0.35">
      <c r="D4398" s="1">
        <v>39251</v>
      </c>
      <c r="E4398">
        <v>1.9038999999999999</v>
      </c>
      <c r="I4398" s="1">
        <v>39162</v>
      </c>
      <c r="J4398">
        <v>6921.99</v>
      </c>
      <c r="K4398" s="4">
        <f t="shared" si="295"/>
        <v>69219.899999999994</v>
      </c>
    </row>
    <row r="4399" spans="4:11" x14ac:dyDescent="0.35">
      <c r="D4399" s="1">
        <v>39248</v>
      </c>
      <c r="E4399">
        <v>1.9089</v>
      </c>
      <c r="I4399" s="1">
        <v>39161</v>
      </c>
      <c r="J4399">
        <v>7002.79</v>
      </c>
      <c r="K4399" s="4">
        <f t="shared" si="295"/>
        <v>70027.899999999994</v>
      </c>
    </row>
    <row r="4400" spans="4:11" x14ac:dyDescent="0.35">
      <c r="D4400" s="1">
        <v>39247</v>
      </c>
      <c r="E4400">
        <v>1.9295</v>
      </c>
      <c r="I4400" s="1">
        <v>39160</v>
      </c>
      <c r="J4400">
        <v>6997.74</v>
      </c>
      <c r="K4400" s="4">
        <f t="shared" si="295"/>
        <v>69977.399999999994</v>
      </c>
    </row>
    <row r="4401" spans="4:11" x14ac:dyDescent="0.35">
      <c r="D4401" s="1">
        <v>39246</v>
      </c>
      <c r="E4401">
        <v>1.9434</v>
      </c>
      <c r="I4401" s="1">
        <v>39157</v>
      </c>
      <c r="J4401">
        <v>7060.02</v>
      </c>
      <c r="K4401" s="4">
        <f t="shared" si="295"/>
        <v>70600.200000000012</v>
      </c>
    </row>
    <row r="4402" spans="4:11" x14ac:dyDescent="0.35">
      <c r="D4402" s="1">
        <v>39245</v>
      </c>
      <c r="E4402">
        <v>1.9412</v>
      </c>
      <c r="I4402" s="1">
        <v>39156</v>
      </c>
      <c r="J4402">
        <v>7058.34</v>
      </c>
      <c r="K4402" s="4">
        <f t="shared" si="295"/>
        <v>70583.399999999994</v>
      </c>
    </row>
    <row r="4403" spans="4:11" x14ac:dyDescent="0.35">
      <c r="D4403" s="1">
        <v>39244</v>
      </c>
      <c r="E4403">
        <v>1.9464999999999999</v>
      </c>
      <c r="I4403" s="1">
        <v>39155</v>
      </c>
      <c r="J4403">
        <v>7053.29</v>
      </c>
      <c r="K4403" s="4">
        <f t="shared" si="295"/>
        <v>70532.899999999994</v>
      </c>
    </row>
    <row r="4404" spans="4:11" x14ac:dyDescent="0.35">
      <c r="D4404" s="1">
        <v>39241</v>
      </c>
      <c r="E4404">
        <v>1.9630000000000001</v>
      </c>
      <c r="I4404" s="1">
        <v>39154</v>
      </c>
      <c r="J4404">
        <v>7127.36</v>
      </c>
      <c r="K4404" s="4">
        <f t="shared" si="295"/>
        <v>71273.599999999991</v>
      </c>
    </row>
    <row r="4405" spans="4:11" x14ac:dyDescent="0.35">
      <c r="D4405" s="1">
        <v>39239</v>
      </c>
      <c r="E4405">
        <v>1.9609000000000001</v>
      </c>
      <c r="I4405" s="1">
        <v>39153</v>
      </c>
      <c r="J4405">
        <v>7053.29</v>
      </c>
      <c r="K4405" s="4">
        <f t="shared" si="295"/>
        <v>70532.899999999994</v>
      </c>
    </row>
    <row r="4406" spans="4:11" x14ac:dyDescent="0.35">
      <c r="D4406" s="1">
        <v>39238</v>
      </c>
      <c r="E4406">
        <v>1.9387000000000001</v>
      </c>
      <c r="I4406" s="1">
        <v>39150</v>
      </c>
      <c r="J4406">
        <v>7085.27</v>
      </c>
      <c r="K4406" s="4">
        <f t="shared" si="295"/>
        <v>70852.700000000012</v>
      </c>
    </row>
    <row r="4407" spans="4:11" x14ac:dyDescent="0.35">
      <c r="D4407" s="1">
        <v>39237</v>
      </c>
      <c r="E4407">
        <v>1.9207000000000001</v>
      </c>
      <c r="I4407" s="1">
        <v>39149</v>
      </c>
      <c r="J4407">
        <v>7129.04</v>
      </c>
      <c r="K4407" s="4">
        <f t="shared" si="295"/>
        <v>71290.399999999994</v>
      </c>
    </row>
    <row r="4408" spans="4:11" x14ac:dyDescent="0.35">
      <c r="D4408" s="1">
        <v>39234</v>
      </c>
      <c r="E4408">
        <v>1.9048</v>
      </c>
      <c r="I4408" s="1">
        <v>39148</v>
      </c>
      <c r="J4408">
        <v>7174.49</v>
      </c>
      <c r="K4408" s="4">
        <f t="shared" si="295"/>
        <v>71744.899999999994</v>
      </c>
    </row>
    <row r="4409" spans="4:11" x14ac:dyDescent="0.35">
      <c r="D4409" s="1">
        <v>39233</v>
      </c>
      <c r="E4409">
        <v>1.9280999999999999</v>
      </c>
      <c r="I4409" s="1">
        <v>39147</v>
      </c>
      <c r="J4409">
        <v>7154.29</v>
      </c>
      <c r="K4409" s="4">
        <f t="shared" si="295"/>
        <v>71542.899999999994</v>
      </c>
    </row>
    <row r="4410" spans="4:11" x14ac:dyDescent="0.35">
      <c r="D4410" s="1">
        <v>39232</v>
      </c>
      <c r="E4410">
        <v>1.946</v>
      </c>
      <c r="I4410" s="1">
        <v>39146</v>
      </c>
      <c r="J4410">
        <v>7245.19</v>
      </c>
      <c r="K4410" s="4">
        <f t="shared" si="295"/>
        <v>72451.899999999994</v>
      </c>
    </row>
    <row r="4411" spans="4:11" x14ac:dyDescent="0.35">
      <c r="D4411" s="1">
        <v>39231</v>
      </c>
      <c r="E4411">
        <v>1.9453</v>
      </c>
      <c r="I4411" s="1">
        <v>39143</v>
      </c>
      <c r="J4411">
        <v>7208.16</v>
      </c>
      <c r="K4411" s="4">
        <f t="shared" si="295"/>
        <v>72081.600000000006</v>
      </c>
    </row>
    <row r="4412" spans="4:11" x14ac:dyDescent="0.35">
      <c r="D4412" s="1">
        <v>39230</v>
      </c>
      <c r="E4412">
        <v>1.9433</v>
      </c>
      <c r="I4412" s="1">
        <v>39142</v>
      </c>
      <c r="J4412">
        <v>7167.76</v>
      </c>
      <c r="K4412" s="4">
        <f t="shared" si="295"/>
        <v>71677.600000000006</v>
      </c>
    </row>
    <row r="4413" spans="4:11" x14ac:dyDescent="0.35">
      <c r="D4413" s="1">
        <v>39227</v>
      </c>
      <c r="E4413">
        <v>1.9512</v>
      </c>
      <c r="I4413" s="1">
        <v>39141</v>
      </c>
      <c r="J4413">
        <v>7161.03</v>
      </c>
      <c r="K4413" s="4">
        <f t="shared" si="295"/>
        <v>71610.3</v>
      </c>
    </row>
    <row r="4414" spans="4:11" x14ac:dyDescent="0.35">
      <c r="D4414" s="1">
        <v>39226</v>
      </c>
      <c r="E4414">
        <v>1.9644999999999999</v>
      </c>
      <c r="I4414" s="1">
        <v>39140</v>
      </c>
      <c r="J4414">
        <v>7216.81</v>
      </c>
      <c r="K4414" s="4">
        <f t="shared" si="295"/>
        <v>72168.100000000006</v>
      </c>
    </row>
    <row r="4415" spans="4:11" x14ac:dyDescent="0.35">
      <c r="D4415" s="1">
        <v>39225</v>
      </c>
      <c r="E4415">
        <v>1.9480999999999999</v>
      </c>
      <c r="I4415" s="1">
        <v>39139</v>
      </c>
      <c r="J4415">
        <v>7035.93</v>
      </c>
      <c r="K4415" s="4">
        <f t="shared" si="295"/>
        <v>70359.3</v>
      </c>
    </row>
    <row r="4416" spans="4:11" x14ac:dyDescent="0.35">
      <c r="D4416" s="1">
        <v>39224</v>
      </c>
      <c r="E4416">
        <v>1.9400999999999999</v>
      </c>
      <c r="I4416" s="1">
        <v>39136</v>
      </c>
      <c r="J4416">
        <v>7057.9</v>
      </c>
      <c r="K4416" s="4">
        <f t="shared" si="295"/>
        <v>70579</v>
      </c>
    </row>
    <row r="4417" spans="4:11" x14ac:dyDescent="0.35">
      <c r="D4417" s="1">
        <v>39223</v>
      </c>
      <c r="E4417">
        <v>1.9427000000000001</v>
      </c>
      <c r="I4417" s="1">
        <v>39135</v>
      </c>
      <c r="J4417">
        <v>7047.76</v>
      </c>
      <c r="K4417" s="4">
        <f t="shared" si="295"/>
        <v>70477.600000000006</v>
      </c>
    </row>
    <row r="4418" spans="4:11" x14ac:dyDescent="0.35">
      <c r="D4418" s="1">
        <v>39220</v>
      </c>
      <c r="E4418">
        <v>1.9621999999999999</v>
      </c>
      <c r="I4418" s="1">
        <v>39134</v>
      </c>
      <c r="J4418">
        <v>7027.47</v>
      </c>
      <c r="K4418" s="4">
        <f t="shared" si="295"/>
        <v>70274.7</v>
      </c>
    </row>
    <row r="4419" spans="4:11" x14ac:dyDescent="0.35">
      <c r="D4419" s="1">
        <v>39219</v>
      </c>
      <c r="E4419">
        <v>1.9564999999999999</v>
      </c>
      <c r="I4419" s="1">
        <v>39129</v>
      </c>
      <c r="J4419">
        <v>7081.57</v>
      </c>
      <c r="K4419" s="4">
        <f t="shared" si="295"/>
        <v>70815.7</v>
      </c>
    </row>
    <row r="4420" spans="4:11" x14ac:dyDescent="0.35">
      <c r="D4420" s="1">
        <v>39218</v>
      </c>
      <c r="E4420">
        <v>1.9578</v>
      </c>
      <c r="I4420" s="1">
        <v>39128</v>
      </c>
      <c r="J4420">
        <v>7083.26</v>
      </c>
      <c r="K4420" s="4">
        <f t="shared" si="295"/>
        <v>70832.600000000006</v>
      </c>
    </row>
    <row r="4421" spans="4:11" x14ac:dyDescent="0.35">
      <c r="D4421" s="1">
        <v>39217</v>
      </c>
      <c r="E4421">
        <v>1.9914000000000001</v>
      </c>
      <c r="I4421" s="1">
        <v>39127</v>
      </c>
      <c r="J4421">
        <v>7074.81</v>
      </c>
      <c r="K4421" s="4">
        <f t="shared" ref="K4421:K4484" si="296">J4421*10</f>
        <v>70748.100000000006</v>
      </c>
    </row>
    <row r="4422" spans="4:11" x14ac:dyDescent="0.35">
      <c r="D4422" s="1">
        <v>39216</v>
      </c>
      <c r="E4422">
        <v>2.0129999999999999</v>
      </c>
      <c r="I4422" s="1">
        <v>39126</v>
      </c>
      <c r="J4422">
        <v>7140.74</v>
      </c>
      <c r="K4422" s="4">
        <f t="shared" si="296"/>
        <v>71407.399999999994</v>
      </c>
    </row>
    <row r="4423" spans="4:11" x14ac:dyDescent="0.35">
      <c r="D4423" s="1">
        <v>39213</v>
      </c>
      <c r="E4423">
        <v>2.0186000000000002</v>
      </c>
      <c r="I4423" s="1">
        <v>39125</v>
      </c>
      <c r="J4423">
        <v>7174.55</v>
      </c>
      <c r="K4423" s="4">
        <f t="shared" si="296"/>
        <v>71745.5</v>
      </c>
    </row>
    <row r="4424" spans="4:11" x14ac:dyDescent="0.35">
      <c r="D4424" s="1">
        <v>39212</v>
      </c>
      <c r="E4424">
        <v>2.0209000000000001</v>
      </c>
      <c r="I4424" s="1">
        <v>39122</v>
      </c>
      <c r="J4424">
        <v>7144.12</v>
      </c>
      <c r="K4424" s="4">
        <f t="shared" si="296"/>
        <v>71441.2</v>
      </c>
    </row>
    <row r="4425" spans="4:11" x14ac:dyDescent="0.35">
      <c r="D4425" s="1">
        <v>39211</v>
      </c>
      <c r="E4425">
        <v>2.0213999999999999</v>
      </c>
      <c r="I4425" s="1">
        <v>39121</v>
      </c>
      <c r="J4425">
        <v>7117.07</v>
      </c>
      <c r="K4425" s="4">
        <f t="shared" si="296"/>
        <v>71170.7</v>
      </c>
    </row>
    <row r="4426" spans="4:11" x14ac:dyDescent="0.35">
      <c r="D4426" s="1">
        <v>39210</v>
      </c>
      <c r="E4426">
        <v>2.0217999999999998</v>
      </c>
      <c r="I4426" s="1">
        <v>39120</v>
      </c>
      <c r="J4426">
        <v>7110.31</v>
      </c>
      <c r="K4426" s="4">
        <f t="shared" si="296"/>
        <v>71103.100000000006</v>
      </c>
    </row>
    <row r="4427" spans="4:11" x14ac:dyDescent="0.35">
      <c r="D4427" s="1">
        <v>39209</v>
      </c>
      <c r="E4427">
        <v>2.0257999999999998</v>
      </c>
      <c r="I4427" s="1">
        <v>39119</v>
      </c>
      <c r="J4427">
        <v>7056.21</v>
      </c>
      <c r="K4427" s="4">
        <f t="shared" si="296"/>
        <v>70562.100000000006</v>
      </c>
    </row>
    <row r="4428" spans="4:11" x14ac:dyDescent="0.35">
      <c r="D4428" s="1">
        <v>39206</v>
      </c>
      <c r="E4428">
        <v>2.0301</v>
      </c>
      <c r="I4428" s="1">
        <v>39118</v>
      </c>
      <c r="J4428">
        <v>7056.21</v>
      </c>
      <c r="K4428" s="4">
        <f t="shared" si="296"/>
        <v>70562.100000000006</v>
      </c>
    </row>
    <row r="4429" spans="4:11" x14ac:dyDescent="0.35">
      <c r="D4429" s="1">
        <v>39205</v>
      </c>
      <c r="E4429">
        <v>2.0230999999999999</v>
      </c>
      <c r="I4429" s="1">
        <v>39115</v>
      </c>
      <c r="J4429">
        <v>7137.36</v>
      </c>
      <c r="K4429" s="4">
        <f t="shared" si="296"/>
        <v>71373.599999999991</v>
      </c>
    </row>
    <row r="4430" spans="4:11" x14ac:dyDescent="0.35">
      <c r="D4430" s="1">
        <v>39204</v>
      </c>
      <c r="E4430">
        <v>2.0259999999999998</v>
      </c>
      <c r="I4430" s="1">
        <v>39114</v>
      </c>
      <c r="J4430">
        <v>7093.41</v>
      </c>
      <c r="K4430" s="4">
        <f t="shared" si="296"/>
        <v>70934.100000000006</v>
      </c>
    </row>
    <row r="4431" spans="4:11" x14ac:dyDescent="0.35">
      <c r="D4431" s="1">
        <v>39202</v>
      </c>
      <c r="E4431">
        <v>2.0331000000000001</v>
      </c>
      <c r="I4431" s="1">
        <v>39113</v>
      </c>
      <c r="J4431">
        <v>7201.6</v>
      </c>
      <c r="K4431" s="4">
        <f t="shared" si="296"/>
        <v>72016</v>
      </c>
    </row>
    <row r="4432" spans="4:11" x14ac:dyDescent="0.35">
      <c r="D4432" s="1">
        <v>39199</v>
      </c>
      <c r="E4432">
        <v>2.0312999999999999</v>
      </c>
      <c r="I4432" s="1">
        <v>39112</v>
      </c>
      <c r="J4432">
        <v>7220.23</v>
      </c>
      <c r="K4432" s="4">
        <f t="shared" si="296"/>
        <v>72202.299999999988</v>
      </c>
    </row>
    <row r="4433" spans="4:11" x14ac:dyDescent="0.35">
      <c r="D4433" s="1">
        <v>39198</v>
      </c>
      <c r="E4433">
        <v>2.0244</v>
      </c>
      <c r="I4433" s="1">
        <v>39111</v>
      </c>
      <c r="J4433">
        <v>7242.26</v>
      </c>
      <c r="K4433" s="4">
        <f t="shared" si="296"/>
        <v>72422.600000000006</v>
      </c>
    </row>
    <row r="4434" spans="4:11" x14ac:dyDescent="0.35">
      <c r="D4434" s="1">
        <v>39197</v>
      </c>
      <c r="E4434">
        <v>2.0228000000000002</v>
      </c>
      <c r="I4434" s="1">
        <v>39108</v>
      </c>
      <c r="J4434">
        <v>7243.95</v>
      </c>
      <c r="K4434" s="4">
        <f t="shared" si="296"/>
        <v>72439.5</v>
      </c>
    </row>
    <row r="4435" spans="4:11" x14ac:dyDescent="0.35">
      <c r="D4435" s="1">
        <v>39196</v>
      </c>
      <c r="E4435">
        <v>2.0377000000000001</v>
      </c>
      <c r="I4435" s="1">
        <v>39106</v>
      </c>
      <c r="J4435">
        <v>7213.46</v>
      </c>
      <c r="K4435" s="4">
        <f t="shared" si="296"/>
        <v>72134.600000000006</v>
      </c>
    </row>
    <row r="4436" spans="4:11" x14ac:dyDescent="0.35">
      <c r="D4436" s="1">
        <v>39195</v>
      </c>
      <c r="E4436">
        <v>2.0282</v>
      </c>
      <c r="I4436" s="1">
        <v>39105</v>
      </c>
      <c r="J4436">
        <v>7220.23</v>
      </c>
      <c r="K4436" s="4">
        <f t="shared" si="296"/>
        <v>72202.299999999988</v>
      </c>
    </row>
    <row r="4437" spans="4:11" x14ac:dyDescent="0.35">
      <c r="D4437" s="1">
        <v>39192</v>
      </c>
      <c r="E4437">
        <v>2.0253999999999999</v>
      </c>
      <c r="I4437" s="1">
        <v>39104</v>
      </c>
      <c r="J4437">
        <v>7249.03</v>
      </c>
      <c r="K4437" s="4">
        <f t="shared" si="296"/>
        <v>72490.3</v>
      </c>
    </row>
    <row r="4438" spans="4:11" x14ac:dyDescent="0.35">
      <c r="D4438" s="1">
        <v>39191</v>
      </c>
      <c r="E4438">
        <v>2.0304000000000002</v>
      </c>
      <c r="I4438" s="1">
        <v>39101</v>
      </c>
      <c r="J4438">
        <v>7232.09</v>
      </c>
      <c r="K4438" s="4">
        <f t="shared" si="296"/>
        <v>72320.899999999994</v>
      </c>
    </row>
    <row r="4439" spans="4:11" x14ac:dyDescent="0.35">
      <c r="D4439" s="1">
        <v>39190</v>
      </c>
      <c r="E4439">
        <v>2.0356999999999998</v>
      </c>
      <c r="I4439" s="1">
        <v>39100</v>
      </c>
      <c r="J4439">
        <v>7257.5</v>
      </c>
      <c r="K4439" s="4">
        <f t="shared" si="296"/>
        <v>72575</v>
      </c>
    </row>
    <row r="4440" spans="4:11" x14ac:dyDescent="0.35">
      <c r="D4440" s="1">
        <v>39189</v>
      </c>
      <c r="E4440">
        <v>2.0339999999999998</v>
      </c>
      <c r="I4440" s="1">
        <v>39099</v>
      </c>
      <c r="J4440">
        <v>7257.5</v>
      </c>
      <c r="K4440" s="4">
        <f t="shared" si="296"/>
        <v>72575</v>
      </c>
    </row>
    <row r="4441" spans="4:11" x14ac:dyDescent="0.35">
      <c r="D4441" s="1">
        <v>39188</v>
      </c>
      <c r="E4441">
        <v>2.0331999999999999</v>
      </c>
      <c r="I4441" s="1">
        <v>39098</v>
      </c>
      <c r="J4441">
        <v>7264.28</v>
      </c>
      <c r="K4441" s="4">
        <f t="shared" si="296"/>
        <v>72642.8</v>
      </c>
    </row>
    <row r="4442" spans="4:11" x14ac:dyDescent="0.35">
      <c r="D4442" s="1">
        <v>39185</v>
      </c>
      <c r="E4442">
        <v>2.0223</v>
      </c>
      <c r="I4442" s="1">
        <v>39097</v>
      </c>
      <c r="J4442">
        <v>7277.83</v>
      </c>
      <c r="K4442" s="4">
        <f t="shared" si="296"/>
        <v>72778.3</v>
      </c>
    </row>
    <row r="4443" spans="4:11" x14ac:dyDescent="0.35">
      <c r="D4443" s="1">
        <v>39184</v>
      </c>
      <c r="E4443">
        <v>2.0363000000000002</v>
      </c>
      <c r="I4443" s="1">
        <v>39094</v>
      </c>
      <c r="J4443">
        <v>7277.83</v>
      </c>
      <c r="K4443" s="4">
        <f t="shared" si="296"/>
        <v>72778.3</v>
      </c>
    </row>
    <row r="4444" spans="4:11" x14ac:dyDescent="0.35">
      <c r="D4444" s="1">
        <v>39183</v>
      </c>
      <c r="E4444">
        <v>2.0325000000000002</v>
      </c>
      <c r="I4444" s="1">
        <v>39093</v>
      </c>
      <c r="J4444">
        <v>7299.86</v>
      </c>
      <c r="K4444" s="4">
        <f t="shared" si="296"/>
        <v>72998.599999999991</v>
      </c>
    </row>
    <row r="4445" spans="4:11" x14ac:dyDescent="0.35">
      <c r="D4445" s="1">
        <v>39182</v>
      </c>
      <c r="E4445">
        <v>2.0274000000000001</v>
      </c>
      <c r="I4445" s="1">
        <v>39092</v>
      </c>
      <c r="J4445">
        <v>7308.33</v>
      </c>
      <c r="K4445" s="4">
        <f t="shared" si="296"/>
        <v>73083.3</v>
      </c>
    </row>
    <row r="4446" spans="4:11" x14ac:dyDescent="0.35">
      <c r="D4446" s="1">
        <v>39181</v>
      </c>
      <c r="E4446">
        <v>2.0228000000000002</v>
      </c>
      <c r="I4446" s="1">
        <v>39091</v>
      </c>
      <c r="J4446">
        <v>7308.33</v>
      </c>
      <c r="K4446" s="4">
        <f t="shared" si="296"/>
        <v>73083.3</v>
      </c>
    </row>
    <row r="4447" spans="4:11" x14ac:dyDescent="0.35">
      <c r="D4447" s="1">
        <v>39177</v>
      </c>
      <c r="E4447">
        <v>2.0325000000000002</v>
      </c>
      <c r="I4447" s="1">
        <v>39090</v>
      </c>
      <c r="J4447">
        <v>7306.63</v>
      </c>
      <c r="K4447" s="4">
        <f t="shared" si="296"/>
        <v>73066.3</v>
      </c>
    </row>
    <row r="4448" spans="4:11" x14ac:dyDescent="0.35">
      <c r="D4448" s="1">
        <v>39176</v>
      </c>
      <c r="E4448">
        <v>2.0312999999999999</v>
      </c>
      <c r="I4448" s="1">
        <v>39087</v>
      </c>
      <c r="J4448">
        <v>7332.04</v>
      </c>
      <c r="K4448" s="4">
        <f t="shared" si="296"/>
        <v>73320.399999999994</v>
      </c>
    </row>
    <row r="4449" spans="4:11" x14ac:dyDescent="0.35">
      <c r="D4449" s="1">
        <v>39175</v>
      </c>
      <c r="E4449">
        <v>2.0364</v>
      </c>
      <c r="I4449" s="1">
        <v>39086</v>
      </c>
      <c r="J4449">
        <v>7303.24</v>
      </c>
      <c r="K4449" s="4">
        <f t="shared" si="296"/>
        <v>73032.399999999994</v>
      </c>
    </row>
    <row r="4450" spans="4:11" x14ac:dyDescent="0.35">
      <c r="D4450" s="1">
        <v>39174</v>
      </c>
      <c r="E4450">
        <v>2.0470000000000002</v>
      </c>
      <c r="I4450" s="1">
        <v>39085</v>
      </c>
      <c r="J4450">
        <v>7301.55</v>
      </c>
      <c r="K4450" s="4">
        <f t="shared" si="296"/>
        <v>73015.5</v>
      </c>
    </row>
    <row r="4451" spans="4:11" x14ac:dyDescent="0.35">
      <c r="D4451" s="1">
        <v>39171</v>
      </c>
      <c r="E4451">
        <v>2.0495999999999999</v>
      </c>
      <c r="I4451" s="1">
        <v>39084</v>
      </c>
      <c r="J4451">
        <v>7257.5</v>
      </c>
      <c r="K4451" s="4">
        <f t="shared" si="296"/>
        <v>72575</v>
      </c>
    </row>
    <row r="4452" spans="4:11" x14ac:dyDescent="0.35">
      <c r="D4452" s="1">
        <v>39170</v>
      </c>
      <c r="E4452">
        <v>2.0537000000000001</v>
      </c>
      <c r="I4452" s="1">
        <v>39079</v>
      </c>
      <c r="J4452">
        <v>7286.3</v>
      </c>
      <c r="K4452" s="4">
        <f t="shared" si="296"/>
        <v>72863</v>
      </c>
    </row>
    <row r="4453" spans="4:11" x14ac:dyDescent="0.35">
      <c r="D4453" s="1">
        <v>39169</v>
      </c>
      <c r="E4453">
        <v>2.0708000000000002</v>
      </c>
      <c r="I4453" s="1">
        <v>39078</v>
      </c>
      <c r="J4453">
        <v>7315.28</v>
      </c>
      <c r="K4453" s="4">
        <f t="shared" si="296"/>
        <v>73152.800000000003</v>
      </c>
    </row>
    <row r="4454" spans="4:11" x14ac:dyDescent="0.35">
      <c r="D4454" s="1">
        <v>39168</v>
      </c>
      <c r="E4454">
        <v>2.0629</v>
      </c>
      <c r="I4454" s="1">
        <v>39077</v>
      </c>
      <c r="J4454">
        <v>7325.5</v>
      </c>
      <c r="K4454" s="4">
        <f t="shared" si="296"/>
        <v>73255</v>
      </c>
    </row>
    <row r="4455" spans="4:11" x14ac:dyDescent="0.35">
      <c r="D4455" s="1">
        <v>39167</v>
      </c>
      <c r="E4455">
        <v>2.0592999999999999</v>
      </c>
      <c r="I4455" s="1">
        <v>39073</v>
      </c>
      <c r="J4455">
        <v>7328.91</v>
      </c>
      <c r="K4455" s="4">
        <f t="shared" si="296"/>
        <v>73289.100000000006</v>
      </c>
    </row>
    <row r="4456" spans="4:11" x14ac:dyDescent="0.35">
      <c r="D4456" s="1">
        <v>39164</v>
      </c>
      <c r="E4456">
        <v>2.0644</v>
      </c>
      <c r="I4456" s="1">
        <v>39072</v>
      </c>
      <c r="J4456">
        <v>7351.07</v>
      </c>
      <c r="K4456" s="4">
        <f t="shared" si="296"/>
        <v>73510.7</v>
      </c>
    </row>
    <row r="4457" spans="4:11" x14ac:dyDescent="0.35">
      <c r="D4457" s="1">
        <v>39163</v>
      </c>
      <c r="E4457">
        <v>2.0594000000000001</v>
      </c>
      <c r="I4457" s="1">
        <v>39071</v>
      </c>
      <c r="J4457">
        <v>7363</v>
      </c>
      <c r="K4457" s="4">
        <f t="shared" si="296"/>
        <v>73630</v>
      </c>
    </row>
    <row r="4458" spans="4:11" x14ac:dyDescent="0.35">
      <c r="D4458" s="1">
        <v>39162</v>
      </c>
      <c r="E4458">
        <v>2.0668000000000002</v>
      </c>
      <c r="I4458" s="1">
        <v>39070</v>
      </c>
      <c r="J4458">
        <v>7363</v>
      </c>
      <c r="K4458" s="4">
        <f t="shared" si="296"/>
        <v>73630</v>
      </c>
    </row>
    <row r="4459" spans="4:11" x14ac:dyDescent="0.35">
      <c r="D4459" s="1">
        <v>39161</v>
      </c>
      <c r="E4459">
        <v>2.0754999999999999</v>
      </c>
      <c r="I4459" s="1">
        <v>39069</v>
      </c>
      <c r="J4459">
        <v>7344.25</v>
      </c>
      <c r="K4459" s="4">
        <f t="shared" si="296"/>
        <v>73442.5</v>
      </c>
    </row>
    <row r="4460" spans="4:11" x14ac:dyDescent="0.35">
      <c r="D4460" s="1">
        <v>39160</v>
      </c>
      <c r="E4460">
        <v>2.0783999999999998</v>
      </c>
      <c r="I4460" s="1">
        <v>39066</v>
      </c>
      <c r="J4460">
        <v>7323.8</v>
      </c>
      <c r="K4460" s="4">
        <f t="shared" si="296"/>
        <v>73238</v>
      </c>
    </row>
    <row r="4461" spans="4:11" x14ac:dyDescent="0.35">
      <c r="D4461" s="1">
        <v>39157</v>
      </c>
      <c r="E4461">
        <v>2.0907</v>
      </c>
      <c r="I4461" s="1">
        <v>39065</v>
      </c>
      <c r="J4461">
        <v>7320.39</v>
      </c>
      <c r="K4461" s="4">
        <f t="shared" si="296"/>
        <v>73203.900000000009</v>
      </c>
    </row>
    <row r="4462" spans="4:11" x14ac:dyDescent="0.35">
      <c r="D4462" s="1">
        <v>39156</v>
      </c>
      <c r="E4462">
        <v>2.0901000000000001</v>
      </c>
      <c r="I4462" s="1">
        <v>39064</v>
      </c>
      <c r="J4462">
        <v>7349.37</v>
      </c>
      <c r="K4462" s="4">
        <f t="shared" si="296"/>
        <v>73493.7</v>
      </c>
    </row>
    <row r="4463" spans="4:11" x14ac:dyDescent="0.35">
      <c r="D4463" s="1">
        <v>39155</v>
      </c>
      <c r="E4463">
        <v>2.1036000000000001</v>
      </c>
      <c r="I4463" s="1">
        <v>39063</v>
      </c>
      <c r="J4463">
        <v>7340.84</v>
      </c>
      <c r="K4463" s="4">
        <f t="shared" si="296"/>
        <v>73408.399999999994</v>
      </c>
    </row>
    <row r="4464" spans="4:11" x14ac:dyDescent="0.35">
      <c r="D4464" s="1">
        <v>39154</v>
      </c>
      <c r="E4464">
        <v>2.0954000000000002</v>
      </c>
      <c r="I4464" s="1">
        <v>39062</v>
      </c>
      <c r="J4464">
        <v>7313.57</v>
      </c>
      <c r="K4464" s="4">
        <f t="shared" si="296"/>
        <v>73135.7</v>
      </c>
    </row>
    <row r="4465" spans="4:11" x14ac:dyDescent="0.35">
      <c r="D4465" s="1">
        <v>39153</v>
      </c>
      <c r="E4465">
        <v>2.0893999999999999</v>
      </c>
      <c r="I4465" s="1">
        <v>39059</v>
      </c>
      <c r="J4465">
        <v>7328.91</v>
      </c>
      <c r="K4465" s="4">
        <f t="shared" si="296"/>
        <v>73289.100000000006</v>
      </c>
    </row>
    <row r="4466" spans="4:11" x14ac:dyDescent="0.35">
      <c r="D4466" s="1">
        <v>39150</v>
      </c>
      <c r="E4466">
        <v>2.0975000000000001</v>
      </c>
      <c r="I4466" s="1">
        <v>39058</v>
      </c>
      <c r="J4466">
        <v>7339.14</v>
      </c>
      <c r="K4466" s="4">
        <f t="shared" si="296"/>
        <v>73391.400000000009</v>
      </c>
    </row>
    <row r="4467" spans="4:11" x14ac:dyDescent="0.35">
      <c r="D4467" s="1">
        <v>39149</v>
      </c>
      <c r="E4467">
        <v>2.1046</v>
      </c>
      <c r="I4467" s="1">
        <v>39057</v>
      </c>
      <c r="J4467">
        <v>7345.96</v>
      </c>
      <c r="K4467" s="4">
        <f t="shared" si="296"/>
        <v>73459.600000000006</v>
      </c>
    </row>
    <row r="4468" spans="4:11" x14ac:dyDescent="0.35">
      <c r="D4468" s="1">
        <v>39148</v>
      </c>
      <c r="E4468">
        <v>2.1113</v>
      </c>
      <c r="I4468" s="1">
        <v>39056</v>
      </c>
      <c r="J4468">
        <v>7354.48</v>
      </c>
      <c r="K4468" s="4">
        <f t="shared" si="296"/>
        <v>73544.799999999988</v>
      </c>
    </row>
    <row r="4469" spans="4:11" x14ac:dyDescent="0.35">
      <c r="D4469" s="1">
        <v>39147</v>
      </c>
      <c r="E4469">
        <v>2.1200999999999999</v>
      </c>
      <c r="I4469" s="1">
        <v>39055</v>
      </c>
      <c r="J4469">
        <v>7395.38</v>
      </c>
      <c r="K4469" s="4">
        <f t="shared" si="296"/>
        <v>73953.8</v>
      </c>
    </row>
    <row r="4470" spans="4:11" x14ac:dyDescent="0.35">
      <c r="D4470" s="1">
        <v>39146</v>
      </c>
      <c r="E4470">
        <v>2.1379999999999999</v>
      </c>
      <c r="I4470" s="1">
        <v>39052</v>
      </c>
      <c r="J4470">
        <v>7434.59</v>
      </c>
      <c r="K4470" s="4">
        <f t="shared" si="296"/>
        <v>74345.899999999994</v>
      </c>
    </row>
    <row r="4471" spans="4:11" x14ac:dyDescent="0.35">
      <c r="D4471" s="1">
        <v>39143</v>
      </c>
      <c r="E4471">
        <v>2.1265999999999998</v>
      </c>
      <c r="I4471" s="1">
        <v>39051</v>
      </c>
      <c r="J4471">
        <v>7403.91</v>
      </c>
      <c r="K4471" s="4">
        <f t="shared" si="296"/>
        <v>74039.100000000006</v>
      </c>
    </row>
    <row r="4472" spans="4:11" x14ac:dyDescent="0.35">
      <c r="D4472" s="1">
        <v>39142</v>
      </c>
      <c r="E4472">
        <v>2.1252</v>
      </c>
      <c r="I4472" s="1">
        <v>39050</v>
      </c>
      <c r="J4472">
        <v>7398.78</v>
      </c>
      <c r="K4472" s="4">
        <f t="shared" si="296"/>
        <v>73987.8</v>
      </c>
    </row>
    <row r="4473" spans="4:11" x14ac:dyDescent="0.35">
      <c r="D4473" s="1">
        <v>39141</v>
      </c>
      <c r="E4473">
        <v>2.1173999999999999</v>
      </c>
      <c r="I4473" s="1">
        <v>39049</v>
      </c>
      <c r="J4473">
        <v>7461.98</v>
      </c>
      <c r="K4473" s="4">
        <f t="shared" si="296"/>
        <v>74619.799999999988</v>
      </c>
    </row>
    <row r="4474" spans="4:11" x14ac:dyDescent="0.35">
      <c r="D4474" s="1">
        <v>39140</v>
      </c>
      <c r="E4474">
        <v>2.1091000000000002</v>
      </c>
      <c r="I4474" s="1">
        <v>39048</v>
      </c>
      <c r="J4474">
        <v>7516.63</v>
      </c>
      <c r="K4474" s="4">
        <f t="shared" si="296"/>
        <v>75166.3</v>
      </c>
    </row>
    <row r="4475" spans="4:11" x14ac:dyDescent="0.35">
      <c r="D4475" s="1">
        <v>39139</v>
      </c>
      <c r="E4475">
        <v>2.0855000000000001</v>
      </c>
      <c r="I4475" s="1">
        <v>39045</v>
      </c>
      <c r="J4475">
        <v>7424.4</v>
      </c>
      <c r="K4475" s="4">
        <f t="shared" si="296"/>
        <v>74244</v>
      </c>
    </row>
    <row r="4476" spans="4:11" x14ac:dyDescent="0.35">
      <c r="D4476" s="1">
        <v>39136</v>
      </c>
      <c r="E4476">
        <v>2.0859999999999999</v>
      </c>
      <c r="I4476" s="1">
        <v>39044</v>
      </c>
      <c r="J4476">
        <v>7426.11</v>
      </c>
      <c r="K4476" s="4">
        <f t="shared" si="296"/>
        <v>74261.099999999991</v>
      </c>
    </row>
    <row r="4477" spans="4:11" x14ac:dyDescent="0.35">
      <c r="D4477" s="1">
        <v>39135</v>
      </c>
      <c r="E4477">
        <v>2.0758000000000001</v>
      </c>
      <c r="I4477" s="1">
        <v>39043</v>
      </c>
      <c r="J4477">
        <v>7402.2</v>
      </c>
      <c r="K4477" s="4">
        <f t="shared" si="296"/>
        <v>74022</v>
      </c>
    </row>
    <row r="4478" spans="4:11" x14ac:dyDescent="0.35">
      <c r="D4478" s="1">
        <v>39134</v>
      </c>
      <c r="E4478">
        <v>2.0794000000000001</v>
      </c>
      <c r="I4478" s="1">
        <v>39042</v>
      </c>
      <c r="J4478">
        <v>7412.45</v>
      </c>
      <c r="K4478" s="4">
        <f t="shared" si="296"/>
        <v>74124.5</v>
      </c>
    </row>
    <row r="4479" spans="4:11" x14ac:dyDescent="0.35">
      <c r="D4479" s="1">
        <v>39129</v>
      </c>
      <c r="E4479">
        <v>2.0905</v>
      </c>
      <c r="I4479" s="1">
        <v>39038</v>
      </c>
      <c r="J4479">
        <v>7407.32</v>
      </c>
      <c r="K4479" s="4">
        <f t="shared" si="296"/>
        <v>74073.2</v>
      </c>
    </row>
    <row r="4480" spans="4:11" x14ac:dyDescent="0.35">
      <c r="D4480" s="1">
        <v>39128</v>
      </c>
      <c r="E4480">
        <v>2.0888</v>
      </c>
      <c r="I4480" s="1">
        <v>39037</v>
      </c>
      <c r="J4480">
        <v>7388.53</v>
      </c>
      <c r="K4480" s="4">
        <f t="shared" si="296"/>
        <v>73885.3</v>
      </c>
    </row>
    <row r="4481" spans="4:11" x14ac:dyDescent="0.35">
      <c r="D4481" s="1">
        <v>39127</v>
      </c>
      <c r="E4481">
        <v>2.0992000000000002</v>
      </c>
      <c r="I4481" s="1">
        <v>39035</v>
      </c>
      <c r="J4481">
        <v>7352.67</v>
      </c>
      <c r="K4481" s="4">
        <f t="shared" si="296"/>
        <v>73526.7</v>
      </c>
    </row>
    <row r="4482" spans="4:11" x14ac:dyDescent="0.35">
      <c r="D4482" s="1">
        <v>39126</v>
      </c>
      <c r="E4482">
        <v>2.1080000000000001</v>
      </c>
      <c r="I4482" s="1">
        <v>39034</v>
      </c>
      <c r="J4482">
        <v>7412.45</v>
      </c>
      <c r="K4482" s="4">
        <f t="shared" si="296"/>
        <v>74124.5</v>
      </c>
    </row>
    <row r="4483" spans="4:11" x14ac:dyDescent="0.35">
      <c r="D4483" s="1">
        <v>39125</v>
      </c>
      <c r="E4483">
        <v>2.1132</v>
      </c>
      <c r="I4483" s="1">
        <v>39031</v>
      </c>
      <c r="J4483">
        <v>7395.37</v>
      </c>
      <c r="K4483" s="4">
        <f t="shared" si="296"/>
        <v>73953.7</v>
      </c>
    </row>
    <row r="4484" spans="4:11" x14ac:dyDescent="0.35">
      <c r="D4484" s="1">
        <v>39122</v>
      </c>
      <c r="E4484">
        <v>2.1025</v>
      </c>
      <c r="I4484" s="1">
        <v>39030</v>
      </c>
      <c r="J4484">
        <v>7357.79</v>
      </c>
      <c r="K4484" s="4">
        <f t="shared" si="296"/>
        <v>73577.899999999994</v>
      </c>
    </row>
    <row r="4485" spans="4:11" x14ac:dyDescent="0.35">
      <c r="D4485" s="1">
        <v>39121</v>
      </c>
      <c r="E4485">
        <v>2.0943000000000001</v>
      </c>
      <c r="I4485" s="1">
        <v>39029</v>
      </c>
      <c r="J4485">
        <v>7349.25</v>
      </c>
      <c r="K4485" s="4">
        <f t="shared" ref="K4485:K4548" si="297">J4485*10</f>
        <v>73492.5</v>
      </c>
    </row>
    <row r="4486" spans="4:11" x14ac:dyDescent="0.35">
      <c r="D4486" s="1">
        <v>39120</v>
      </c>
      <c r="E4486">
        <v>2.0844</v>
      </c>
      <c r="I4486" s="1">
        <v>39028</v>
      </c>
      <c r="J4486">
        <v>7345.84</v>
      </c>
      <c r="K4486" s="4">
        <f t="shared" si="297"/>
        <v>73458.399999999994</v>
      </c>
    </row>
    <row r="4487" spans="4:11" x14ac:dyDescent="0.35">
      <c r="D4487" s="1">
        <v>39119</v>
      </c>
      <c r="E4487">
        <v>2.0825</v>
      </c>
      <c r="I4487" s="1">
        <v>39027</v>
      </c>
      <c r="J4487">
        <v>7340.71</v>
      </c>
      <c r="K4487" s="4">
        <f t="shared" si="297"/>
        <v>73407.100000000006</v>
      </c>
    </row>
    <row r="4488" spans="4:11" x14ac:dyDescent="0.35">
      <c r="D4488" s="1">
        <v>39118</v>
      </c>
      <c r="E4488">
        <v>2.0956000000000001</v>
      </c>
      <c r="I4488" s="1">
        <v>39024</v>
      </c>
      <c r="J4488">
        <v>7340.71</v>
      </c>
      <c r="K4488" s="4">
        <f t="shared" si="297"/>
        <v>73407.100000000006</v>
      </c>
    </row>
    <row r="4489" spans="4:11" x14ac:dyDescent="0.35">
      <c r="D4489" s="1">
        <v>39115</v>
      </c>
      <c r="E4489">
        <v>2.0973999999999999</v>
      </c>
      <c r="I4489" s="1">
        <v>39022</v>
      </c>
      <c r="J4489">
        <v>7354.38</v>
      </c>
      <c r="K4489" s="4">
        <f t="shared" si="297"/>
        <v>73543.8</v>
      </c>
    </row>
    <row r="4490" spans="4:11" x14ac:dyDescent="0.35">
      <c r="D4490" s="1">
        <v>39114</v>
      </c>
      <c r="E4490">
        <v>2.1084999999999998</v>
      </c>
      <c r="I4490" s="1">
        <v>39021</v>
      </c>
      <c r="J4490">
        <v>7352.67</v>
      </c>
      <c r="K4490" s="4">
        <f t="shared" si="297"/>
        <v>73526.7</v>
      </c>
    </row>
    <row r="4491" spans="4:11" x14ac:dyDescent="0.35">
      <c r="D4491" s="1">
        <v>39113</v>
      </c>
      <c r="E4491">
        <v>2.1238999999999999</v>
      </c>
      <c r="I4491" s="1">
        <v>39020</v>
      </c>
      <c r="J4491">
        <v>7383.56</v>
      </c>
      <c r="K4491" s="4">
        <f t="shared" si="297"/>
        <v>73835.600000000006</v>
      </c>
    </row>
    <row r="4492" spans="4:11" x14ac:dyDescent="0.35">
      <c r="D4492" s="1">
        <v>39112</v>
      </c>
      <c r="E4492">
        <v>2.1320999999999999</v>
      </c>
      <c r="I4492" s="1">
        <v>39017</v>
      </c>
      <c r="J4492">
        <v>7318.34</v>
      </c>
      <c r="K4492" s="4">
        <f t="shared" si="297"/>
        <v>73183.399999999994</v>
      </c>
    </row>
    <row r="4493" spans="4:11" x14ac:dyDescent="0.35">
      <c r="D4493" s="1">
        <v>39111</v>
      </c>
      <c r="E4493">
        <v>2.1352000000000002</v>
      </c>
      <c r="I4493" s="1">
        <v>39016</v>
      </c>
      <c r="J4493">
        <v>7344.09</v>
      </c>
      <c r="K4493" s="4">
        <f t="shared" si="297"/>
        <v>73440.899999999994</v>
      </c>
    </row>
    <row r="4494" spans="4:11" x14ac:dyDescent="0.35">
      <c r="D4494" s="1">
        <v>39108</v>
      </c>
      <c r="E4494">
        <v>2.1352000000000002</v>
      </c>
      <c r="I4494" s="1">
        <v>39015</v>
      </c>
      <c r="J4494">
        <v>7357.82</v>
      </c>
      <c r="K4494" s="4">
        <f t="shared" si="297"/>
        <v>73578.2</v>
      </c>
    </row>
    <row r="4495" spans="4:11" x14ac:dyDescent="0.35">
      <c r="D4495" s="1">
        <v>39107</v>
      </c>
      <c r="E4495">
        <v>2.1273</v>
      </c>
      <c r="I4495" s="1">
        <v>39014</v>
      </c>
      <c r="J4495">
        <v>7411.02</v>
      </c>
      <c r="K4495" s="4">
        <f t="shared" si="297"/>
        <v>74110.200000000012</v>
      </c>
    </row>
    <row r="4496" spans="4:11" x14ac:dyDescent="0.35">
      <c r="D4496" s="1">
        <v>39106</v>
      </c>
      <c r="E4496">
        <v>2.1278000000000001</v>
      </c>
      <c r="I4496" s="1">
        <v>39013</v>
      </c>
      <c r="J4496">
        <v>7354.38</v>
      </c>
      <c r="K4496" s="4">
        <f t="shared" si="297"/>
        <v>73543.8</v>
      </c>
    </row>
    <row r="4497" spans="4:11" x14ac:dyDescent="0.35">
      <c r="D4497" s="1">
        <v>39105</v>
      </c>
      <c r="E4497">
        <v>2.1360000000000001</v>
      </c>
      <c r="I4497" s="1">
        <v>39010</v>
      </c>
      <c r="J4497">
        <v>7359.53</v>
      </c>
      <c r="K4497" s="4">
        <f t="shared" si="297"/>
        <v>73595.3</v>
      </c>
    </row>
    <row r="4498" spans="4:11" x14ac:dyDescent="0.35">
      <c r="D4498" s="1">
        <v>39104</v>
      </c>
      <c r="E4498">
        <v>2.1318999999999999</v>
      </c>
      <c r="I4498" s="1">
        <v>39009</v>
      </c>
      <c r="J4498">
        <v>7380.13</v>
      </c>
      <c r="K4498" s="4">
        <f t="shared" si="297"/>
        <v>73801.3</v>
      </c>
    </row>
    <row r="4499" spans="4:11" x14ac:dyDescent="0.35">
      <c r="D4499" s="1">
        <v>39101</v>
      </c>
      <c r="E4499">
        <v>2.1299000000000001</v>
      </c>
      <c r="I4499" s="1">
        <v>39008</v>
      </c>
      <c r="J4499">
        <v>7347.52</v>
      </c>
      <c r="K4499" s="4">
        <f t="shared" si="297"/>
        <v>73475.200000000012</v>
      </c>
    </row>
    <row r="4500" spans="4:11" x14ac:dyDescent="0.35">
      <c r="D4500" s="1">
        <v>39100</v>
      </c>
      <c r="E4500">
        <v>2.1320999999999999</v>
      </c>
      <c r="I4500" s="1">
        <v>39007</v>
      </c>
      <c r="J4500">
        <v>7344.09</v>
      </c>
      <c r="K4500" s="4">
        <f t="shared" si="297"/>
        <v>73440.899999999994</v>
      </c>
    </row>
    <row r="4501" spans="4:11" x14ac:dyDescent="0.35">
      <c r="D4501" s="1">
        <v>39099</v>
      </c>
      <c r="E4501">
        <v>2.1341999999999999</v>
      </c>
      <c r="I4501" s="1">
        <v>39006</v>
      </c>
      <c r="J4501">
        <v>7338.94</v>
      </c>
      <c r="K4501" s="4">
        <f t="shared" si="297"/>
        <v>73389.399999999994</v>
      </c>
    </row>
    <row r="4502" spans="4:11" x14ac:dyDescent="0.35">
      <c r="D4502" s="1">
        <v>39098</v>
      </c>
      <c r="E4502">
        <v>2.1436000000000002</v>
      </c>
      <c r="I4502" s="1">
        <v>39003</v>
      </c>
      <c r="J4502">
        <v>7362.97</v>
      </c>
      <c r="K4502" s="4">
        <f t="shared" si="297"/>
        <v>73629.7</v>
      </c>
    </row>
    <row r="4503" spans="4:11" x14ac:dyDescent="0.35">
      <c r="D4503" s="1">
        <v>39097</v>
      </c>
      <c r="E4503">
        <v>2.1398999999999999</v>
      </c>
      <c r="I4503" s="1">
        <v>39001</v>
      </c>
      <c r="J4503">
        <v>7448.78</v>
      </c>
      <c r="K4503" s="4">
        <f t="shared" si="297"/>
        <v>74487.8</v>
      </c>
    </row>
    <row r="4504" spans="4:11" x14ac:dyDescent="0.35">
      <c r="D4504" s="1">
        <v>39094</v>
      </c>
      <c r="E4504">
        <v>2.1413000000000002</v>
      </c>
      <c r="I4504" s="1">
        <v>39000</v>
      </c>
      <c r="J4504">
        <v>7431.62</v>
      </c>
      <c r="K4504" s="4">
        <f t="shared" si="297"/>
        <v>74316.2</v>
      </c>
    </row>
    <row r="4505" spans="4:11" x14ac:dyDescent="0.35">
      <c r="D4505" s="1">
        <v>39093</v>
      </c>
      <c r="E4505">
        <v>2.1457000000000002</v>
      </c>
      <c r="I4505" s="1">
        <v>38999</v>
      </c>
      <c r="J4505">
        <v>7431.62</v>
      </c>
      <c r="K4505" s="4">
        <f t="shared" si="297"/>
        <v>74316.2</v>
      </c>
    </row>
    <row r="4506" spans="4:11" x14ac:dyDescent="0.35">
      <c r="D4506" s="1">
        <v>39092</v>
      </c>
      <c r="E4506">
        <v>2.1547999999999998</v>
      </c>
      <c r="I4506" s="1">
        <v>38996</v>
      </c>
      <c r="J4506">
        <v>7457.36</v>
      </c>
      <c r="K4506" s="4">
        <f t="shared" si="297"/>
        <v>74573.599999999991</v>
      </c>
    </row>
    <row r="4507" spans="4:11" x14ac:dyDescent="0.35">
      <c r="D4507" s="1">
        <v>39091</v>
      </c>
      <c r="E4507">
        <v>2.1497999999999999</v>
      </c>
      <c r="I4507" s="1">
        <v>38995</v>
      </c>
      <c r="J4507">
        <v>7462.51</v>
      </c>
      <c r="K4507" s="4">
        <f t="shared" si="297"/>
        <v>74625.100000000006</v>
      </c>
    </row>
    <row r="4508" spans="4:11" x14ac:dyDescent="0.35">
      <c r="D4508" s="1">
        <v>39090</v>
      </c>
      <c r="E4508">
        <v>2.1497000000000002</v>
      </c>
      <c r="I4508" s="1">
        <v>38994</v>
      </c>
      <c r="J4508">
        <v>7460.8</v>
      </c>
      <c r="K4508" s="4">
        <f t="shared" si="297"/>
        <v>74608</v>
      </c>
    </row>
    <row r="4509" spans="4:11" x14ac:dyDescent="0.35">
      <c r="D4509" s="1">
        <v>39087</v>
      </c>
      <c r="E4509">
        <v>2.1465999999999998</v>
      </c>
      <c r="I4509" s="1">
        <v>38993</v>
      </c>
      <c r="J4509">
        <v>7527.73</v>
      </c>
      <c r="K4509" s="4">
        <f t="shared" si="297"/>
        <v>75277.299999999988</v>
      </c>
    </row>
    <row r="4510" spans="4:11" x14ac:dyDescent="0.35">
      <c r="D4510" s="1">
        <v>39086</v>
      </c>
      <c r="E4510">
        <v>2.1421000000000001</v>
      </c>
      <c r="I4510" s="1">
        <v>38992</v>
      </c>
      <c r="J4510">
        <v>7448.78</v>
      </c>
      <c r="K4510" s="4">
        <f t="shared" si="297"/>
        <v>74487.8</v>
      </c>
    </row>
    <row r="4511" spans="4:11" x14ac:dyDescent="0.35">
      <c r="D4511" s="1">
        <v>39085</v>
      </c>
      <c r="E4511">
        <v>2.1364000000000001</v>
      </c>
      <c r="I4511" s="1">
        <v>38989</v>
      </c>
      <c r="J4511">
        <v>7496.84</v>
      </c>
      <c r="K4511" s="4">
        <f t="shared" si="297"/>
        <v>74968.399999999994</v>
      </c>
    </row>
    <row r="4512" spans="4:11" x14ac:dyDescent="0.35">
      <c r="D4512" s="1">
        <v>39084</v>
      </c>
      <c r="E4512">
        <v>2.1334</v>
      </c>
      <c r="I4512" s="1">
        <v>38988</v>
      </c>
      <c r="J4512">
        <v>7476.16</v>
      </c>
      <c r="K4512" s="4">
        <f t="shared" si="297"/>
        <v>74761.600000000006</v>
      </c>
    </row>
    <row r="4513" spans="4:11" x14ac:dyDescent="0.35">
      <c r="D4513" s="1">
        <v>39080</v>
      </c>
      <c r="E4513">
        <v>2.1372</v>
      </c>
      <c r="I4513" s="1">
        <v>38987</v>
      </c>
      <c r="J4513">
        <v>7555.43</v>
      </c>
      <c r="K4513" s="4">
        <f t="shared" si="297"/>
        <v>75554.3</v>
      </c>
    </row>
    <row r="4514" spans="4:11" x14ac:dyDescent="0.35">
      <c r="D4514" s="1">
        <v>39079</v>
      </c>
      <c r="E4514">
        <v>2.1372</v>
      </c>
      <c r="I4514" s="1">
        <v>38986</v>
      </c>
      <c r="J4514">
        <v>7545.09</v>
      </c>
      <c r="K4514" s="4">
        <f t="shared" si="297"/>
        <v>75450.899999999994</v>
      </c>
    </row>
    <row r="4515" spans="4:11" x14ac:dyDescent="0.35">
      <c r="D4515" s="1">
        <v>39078</v>
      </c>
      <c r="E4515">
        <v>2.1488999999999998</v>
      </c>
      <c r="I4515" s="1">
        <v>38985</v>
      </c>
      <c r="J4515">
        <v>7669.18</v>
      </c>
      <c r="K4515" s="4">
        <f t="shared" si="297"/>
        <v>76691.8</v>
      </c>
    </row>
    <row r="4516" spans="4:11" x14ac:dyDescent="0.35">
      <c r="D4516" s="1">
        <v>39077</v>
      </c>
      <c r="E4516">
        <v>2.1429</v>
      </c>
      <c r="I4516" s="1">
        <v>38982</v>
      </c>
      <c r="J4516">
        <v>7627.82</v>
      </c>
      <c r="K4516" s="4">
        <f t="shared" si="297"/>
        <v>76278.2</v>
      </c>
    </row>
    <row r="4517" spans="4:11" x14ac:dyDescent="0.35">
      <c r="D4517" s="1">
        <v>39073</v>
      </c>
      <c r="E4517">
        <v>2.1509999999999998</v>
      </c>
      <c r="I4517" s="1">
        <v>38981</v>
      </c>
      <c r="J4517">
        <v>7648.5</v>
      </c>
      <c r="K4517" s="4">
        <f t="shared" si="297"/>
        <v>76485</v>
      </c>
    </row>
    <row r="4518" spans="4:11" x14ac:dyDescent="0.35">
      <c r="D4518" s="1">
        <v>39072</v>
      </c>
      <c r="E4518">
        <v>2.1585000000000001</v>
      </c>
      <c r="I4518" s="1">
        <v>38980</v>
      </c>
      <c r="J4518">
        <v>7510.63</v>
      </c>
      <c r="K4518" s="4">
        <f t="shared" si="297"/>
        <v>75106.3</v>
      </c>
    </row>
    <row r="4519" spans="4:11" x14ac:dyDescent="0.35">
      <c r="D4519" s="1">
        <v>39071</v>
      </c>
      <c r="E4519">
        <v>2.1551999999999998</v>
      </c>
      <c r="I4519" s="1">
        <v>38979</v>
      </c>
      <c r="J4519">
        <v>7464.09</v>
      </c>
      <c r="K4519" s="4">
        <f t="shared" si="297"/>
        <v>74640.899999999994</v>
      </c>
    </row>
    <row r="4520" spans="4:11" x14ac:dyDescent="0.35">
      <c r="D4520" s="1">
        <v>39070</v>
      </c>
      <c r="E4520">
        <v>2.1564000000000001</v>
      </c>
      <c r="I4520" s="1">
        <v>38978</v>
      </c>
      <c r="J4520">
        <v>7424.45</v>
      </c>
      <c r="K4520" s="4">
        <f t="shared" si="297"/>
        <v>74244.5</v>
      </c>
    </row>
    <row r="4521" spans="4:11" x14ac:dyDescent="0.35">
      <c r="D4521" s="1">
        <v>39069</v>
      </c>
      <c r="E4521">
        <v>2.1461999999999999</v>
      </c>
      <c r="I4521" s="1">
        <v>38975</v>
      </c>
      <c r="J4521">
        <v>7439.97</v>
      </c>
      <c r="K4521" s="4">
        <f t="shared" si="297"/>
        <v>74399.7</v>
      </c>
    </row>
    <row r="4522" spans="4:11" x14ac:dyDescent="0.35">
      <c r="D4522" s="1">
        <v>39066</v>
      </c>
      <c r="E4522">
        <v>2.1461999999999999</v>
      </c>
      <c r="I4522" s="1">
        <v>38974</v>
      </c>
      <c r="J4522">
        <v>7469.26</v>
      </c>
      <c r="K4522" s="4">
        <f t="shared" si="297"/>
        <v>74692.600000000006</v>
      </c>
    </row>
    <row r="4523" spans="4:11" x14ac:dyDescent="0.35">
      <c r="D4523" s="1">
        <v>39065</v>
      </c>
      <c r="E4523">
        <v>2.1452</v>
      </c>
      <c r="I4523" s="1">
        <v>38973</v>
      </c>
      <c r="J4523">
        <v>7472.71</v>
      </c>
      <c r="K4523" s="4">
        <f t="shared" si="297"/>
        <v>74727.100000000006</v>
      </c>
    </row>
    <row r="4524" spans="4:11" x14ac:dyDescent="0.35">
      <c r="D4524" s="1">
        <v>39064</v>
      </c>
      <c r="E4524">
        <v>2.1450999999999998</v>
      </c>
      <c r="I4524" s="1">
        <v>38972</v>
      </c>
      <c r="J4524">
        <v>7496.84</v>
      </c>
      <c r="K4524" s="4">
        <f t="shared" si="297"/>
        <v>74968.399999999994</v>
      </c>
    </row>
    <row r="4525" spans="4:11" x14ac:dyDescent="0.35">
      <c r="D4525" s="1">
        <v>39063</v>
      </c>
      <c r="E4525">
        <v>2.1473</v>
      </c>
      <c r="I4525" s="1">
        <v>38971</v>
      </c>
      <c r="J4525">
        <v>7565.77</v>
      </c>
      <c r="K4525" s="4">
        <f t="shared" si="297"/>
        <v>75657.700000000012</v>
      </c>
    </row>
    <row r="4526" spans="4:11" x14ac:dyDescent="0.35">
      <c r="D4526" s="1">
        <v>39062</v>
      </c>
      <c r="E4526">
        <v>2.1375999999999999</v>
      </c>
      <c r="I4526" s="1">
        <v>38968</v>
      </c>
      <c r="J4526">
        <v>7479.6</v>
      </c>
      <c r="K4526" s="4">
        <f t="shared" si="297"/>
        <v>74796</v>
      </c>
    </row>
    <row r="4527" spans="4:11" x14ac:dyDescent="0.35">
      <c r="D4527" s="1">
        <v>39059</v>
      </c>
      <c r="E4527">
        <v>2.1434000000000002</v>
      </c>
      <c r="I4527" s="1">
        <v>38966</v>
      </c>
      <c r="J4527">
        <v>7446.86</v>
      </c>
      <c r="K4527" s="4">
        <f t="shared" si="297"/>
        <v>74468.599999999991</v>
      </c>
    </row>
    <row r="4528" spans="4:11" x14ac:dyDescent="0.35">
      <c r="D4528" s="1">
        <v>39058</v>
      </c>
      <c r="E4528">
        <v>2.1419999999999999</v>
      </c>
      <c r="I4528" s="1">
        <v>38965</v>
      </c>
      <c r="J4528">
        <v>7395.16</v>
      </c>
      <c r="K4528" s="4">
        <f t="shared" si="297"/>
        <v>73951.600000000006</v>
      </c>
    </row>
    <row r="4529" spans="4:11" x14ac:dyDescent="0.35">
      <c r="D4529" s="1">
        <v>39057</v>
      </c>
      <c r="E4529">
        <v>2.1520000000000001</v>
      </c>
      <c r="I4529" s="1">
        <v>38964</v>
      </c>
      <c r="J4529">
        <v>7357.24</v>
      </c>
      <c r="K4529" s="4">
        <f t="shared" si="297"/>
        <v>73572.399999999994</v>
      </c>
    </row>
    <row r="4530" spans="4:11" x14ac:dyDescent="0.35">
      <c r="D4530" s="1">
        <v>39056</v>
      </c>
      <c r="E4530">
        <v>2.1551999999999998</v>
      </c>
      <c r="I4530" s="1">
        <v>38961</v>
      </c>
      <c r="J4530">
        <v>7410.67</v>
      </c>
      <c r="K4530" s="4">
        <f t="shared" si="297"/>
        <v>74106.7</v>
      </c>
    </row>
    <row r="4531" spans="4:11" x14ac:dyDescent="0.35">
      <c r="D4531" s="1">
        <v>39055</v>
      </c>
      <c r="E4531">
        <v>2.1684999999999999</v>
      </c>
      <c r="I4531" s="1">
        <v>38960</v>
      </c>
      <c r="J4531">
        <v>7445.14</v>
      </c>
      <c r="K4531" s="4">
        <f t="shared" si="297"/>
        <v>74451.400000000009</v>
      </c>
    </row>
    <row r="4532" spans="4:11" x14ac:dyDescent="0.35">
      <c r="D4532" s="1">
        <v>39052</v>
      </c>
      <c r="E4532">
        <v>2.1663999999999999</v>
      </c>
      <c r="I4532" s="1">
        <v>38959</v>
      </c>
      <c r="J4532">
        <v>7445.14</v>
      </c>
      <c r="K4532" s="4">
        <f t="shared" si="297"/>
        <v>74451.400000000009</v>
      </c>
    </row>
    <row r="4533" spans="4:11" x14ac:dyDescent="0.35">
      <c r="D4533" s="1">
        <v>39051</v>
      </c>
      <c r="E4533">
        <v>2.1659999999999999</v>
      </c>
      <c r="I4533" s="1">
        <v>38958</v>
      </c>
      <c r="J4533">
        <v>7446.88</v>
      </c>
      <c r="K4533" s="4">
        <f t="shared" si="297"/>
        <v>74468.800000000003</v>
      </c>
    </row>
    <row r="4534" spans="4:11" x14ac:dyDescent="0.35">
      <c r="D4534" s="1">
        <v>39050</v>
      </c>
      <c r="E4534">
        <v>2.1775000000000002</v>
      </c>
      <c r="I4534" s="1">
        <v>38957</v>
      </c>
      <c r="J4534">
        <v>7457.32</v>
      </c>
      <c r="K4534" s="4">
        <f t="shared" si="297"/>
        <v>74573.2</v>
      </c>
    </row>
    <row r="4535" spans="4:11" x14ac:dyDescent="0.35">
      <c r="D4535" s="1">
        <v>39049</v>
      </c>
      <c r="E4535">
        <v>2.1861999999999999</v>
      </c>
      <c r="I4535" s="1">
        <v>38954</v>
      </c>
      <c r="J4535">
        <v>7539.16</v>
      </c>
      <c r="K4535" s="4">
        <f t="shared" si="297"/>
        <v>75391.600000000006</v>
      </c>
    </row>
    <row r="4536" spans="4:11" x14ac:dyDescent="0.35">
      <c r="D4536" s="1">
        <v>39048</v>
      </c>
      <c r="E4536">
        <v>2.1791999999999998</v>
      </c>
      <c r="I4536" s="1">
        <v>38953</v>
      </c>
      <c r="J4536">
        <v>7507.82</v>
      </c>
      <c r="K4536" s="4">
        <f t="shared" si="297"/>
        <v>75078.2</v>
      </c>
    </row>
    <row r="4537" spans="4:11" x14ac:dyDescent="0.35">
      <c r="D4537" s="1">
        <v>39045</v>
      </c>
      <c r="E4537">
        <v>2.1692</v>
      </c>
      <c r="I4537" s="1">
        <v>38952</v>
      </c>
      <c r="J4537">
        <v>7514.78</v>
      </c>
      <c r="K4537" s="4">
        <f t="shared" si="297"/>
        <v>75147.8</v>
      </c>
    </row>
    <row r="4538" spans="4:11" x14ac:dyDescent="0.35">
      <c r="D4538" s="1">
        <v>39044</v>
      </c>
      <c r="E4538">
        <v>2.1675</v>
      </c>
      <c r="I4538" s="1">
        <v>38951</v>
      </c>
      <c r="J4538">
        <v>7455.58</v>
      </c>
      <c r="K4538" s="4">
        <f t="shared" si="297"/>
        <v>74555.8</v>
      </c>
    </row>
    <row r="4539" spans="4:11" x14ac:dyDescent="0.35">
      <c r="D4539" s="1">
        <v>39043</v>
      </c>
      <c r="E4539">
        <v>2.1615000000000002</v>
      </c>
      <c r="I4539" s="1">
        <v>38950</v>
      </c>
      <c r="J4539">
        <v>7443.39</v>
      </c>
      <c r="K4539" s="4">
        <f t="shared" si="297"/>
        <v>74433.900000000009</v>
      </c>
    </row>
    <row r="4540" spans="4:11" x14ac:dyDescent="0.35">
      <c r="D4540" s="1">
        <v>39042</v>
      </c>
      <c r="E4540">
        <v>2.1629999999999998</v>
      </c>
      <c r="I4540" s="1">
        <v>38947</v>
      </c>
      <c r="J4540">
        <v>7492.15</v>
      </c>
      <c r="K4540" s="4">
        <f t="shared" si="297"/>
        <v>74921.5</v>
      </c>
    </row>
    <row r="4541" spans="4:11" x14ac:dyDescent="0.35">
      <c r="D4541" s="1">
        <v>39041</v>
      </c>
      <c r="E4541">
        <v>2.1614</v>
      </c>
      <c r="I4541" s="1">
        <v>38946</v>
      </c>
      <c r="J4541">
        <v>7483.44</v>
      </c>
      <c r="K4541" s="4">
        <f t="shared" si="297"/>
        <v>74834.399999999994</v>
      </c>
    </row>
    <row r="4542" spans="4:11" x14ac:dyDescent="0.35">
      <c r="D4542" s="1">
        <v>39038</v>
      </c>
      <c r="E4542">
        <v>2.1585000000000001</v>
      </c>
      <c r="I4542" s="1">
        <v>38945</v>
      </c>
      <c r="J4542">
        <v>7479.96</v>
      </c>
      <c r="K4542" s="4">
        <f t="shared" si="297"/>
        <v>74799.600000000006</v>
      </c>
    </row>
    <row r="4543" spans="4:11" x14ac:dyDescent="0.35">
      <c r="D4543" s="1">
        <v>39037</v>
      </c>
      <c r="E4543">
        <v>2.1509</v>
      </c>
      <c r="I4543" s="1">
        <v>38944</v>
      </c>
      <c r="J4543">
        <v>7486.92</v>
      </c>
      <c r="K4543" s="4">
        <f t="shared" si="297"/>
        <v>74869.2</v>
      </c>
    </row>
    <row r="4544" spans="4:11" x14ac:dyDescent="0.35">
      <c r="D4544" s="1">
        <v>39035</v>
      </c>
      <c r="E4544">
        <v>2.1528999999999998</v>
      </c>
      <c r="I4544" s="1">
        <v>38943</v>
      </c>
      <c r="J4544">
        <v>7573.98</v>
      </c>
      <c r="K4544" s="4">
        <f t="shared" si="297"/>
        <v>75739.799999999988</v>
      </c>
    </row>
    <row r="4545" spans="4:11" x14ac:dyDescent="0.35">
      <c r="D4545" s="1">
        <v>39034</v>
      </c>
      <c r="E4545">
        <v>2.1612</v>
      </c>
      <c r="I4545" s="1">
        <v>38940</v>
      </c>
      <c r="J4545">
        <v>7577.46</v>
      </c>
      <c r="K4545" s="4">
        <f t="shared" si="297"/>
        <v>75774.600000000006</v>
      </c>
    </row>
    <row r="4546" spans="4:11" x14ac:dyDescent="0.35">
      <c r="D4546" s="1">
        <v>39031</v>
      </c>
      <c r="E4546">
        <v>2.1480999999999999</v>
      </c>
      <c r="I4546" s="1">
        <v>38939</v>
      </c>
      <c r="J4546">
        <v>7546.12</v>
      </c>
      <c r="K4546" s="4">
        <f t="shared" si="297"/>
        <v>75461.2</v>
      </c>
    </row>
    <row r="4547" spans="4:11" x14ac:dyDescent="0.35">
      <c r="D4547" s="1">
        <v>39030</v>
      </c>
      <c r="E4547">
        <v>2.1404000000000001</v>
      </c>
      <c r="I4547" s="1">
        <v>38938</v>
      </c>
      <c r="J4547">
        <v>7580.95</v>
      </c>
      <c r="K4547" s="4">
        <f t="shared" si="297"/>
        <v>75809.5</v>
      </c>
    </row>
    <row r="4548" spans="4:11" x14ac:dyDescent="0.35">
      <c r="D4548" s="1">
        <v>39029</v>
      </c>
      <c r="E4548">
        <v>2.1456</v>
      </c>
      <c r="I4548" s="1">
        <v>38937</v>
      </c>
      <c r="J4548">
        <v>7601.84</v>
      </c>
      <c r="K4548" s="4">
        <f t="shared" si="297"/>
        <v>76018.399999999994</v>
      </c>
    </row>
    <row r="4549" spans="4:11" x14ac:dyDescent="0.35">
      <c r="D4549" s="1">
        <v>39028</v>
      </c>
      <c r="E4549">
        <v>2.1345000000000001</v>
      </c>
      <c r="I4549" s="1">
        <v>38936</v>
      </c>
      <c r="J4549">
        <v>7661.04</v>
      </c>
      <c r="K4549" s="4">
        <f t="shared" ref="K4549:K4612" si="298">J4549*10</f>
        <v>76610.399999999994</v>
      </c>
    </row>
    <row r="4550" spans="4:11" x14ac:dyDescent="0.35">
      <c r="D4550" s="1">
        <v>39027</v>
      </c>
      <c r="E4550">
        <v>2.137</v>
      </c>
      <c r="I4550" s="1">
        <v>38933</v>
      </c>
      <c r="J4550">
        <v>7641.89</v>
      </c>
      <c r="K4550" s="4">
        <f t="shared" si="298"/>
        <v>76418.900000000009</v>
      </c>
    </row>
    <row r="4551" spans="4:11" x14ac:dyDescent="0.35">
      <c r="D4551" s="1">
        <v>39024</v>
      </c>
      <c r="E4551">
        <v>2.1412</v>
      </c>
      <c r="I4551" s="1">
        <v>38932</v>
      </c>
      <c r="J4551">
        <v>7633.18</v>
      </c>
      <c r="K4551" s="4">
        <f t="shared" si="298"/>
        <v>76331.8</v>
      </c>
    </row>
    <row r="4552" spans="4:11" x14ac:dyDescent="0.35">
      <c r="D4552" s="1">
        <v>39022</v>
      </c>
      <c r="E4552">
        <v>2.1402000000000001</v>
      </c>
      <c r="I4552" s="1">
        <v>38931</v>
      </c>
      <c r="J4552">
        <v>7661.04</v>
      </c>
      <c r="K4552" s="4">
        <f t="shared" si="298"/>
        <v>76610.399999999994</v>
      </c>
    </row>
    <row r="4553" spans="4:11" x14ac:dyDescent="0.35">
      <c r="D4553" s="1">
        <v>39021</v>
      </c>
      <c r="E4553">
        <v>2.1421999999999999</v>
      </c>
      <c r="I4553" s="1">
        <v>38930</v>
      </c>
      <c r="J4553">
        <v>7685.41</v>
      </c>
      <c r="K4553" s="4">
        <f t="shared" si="298"/>
        <v>76854.100000000006</v>
      </c>
    </row>
    <row r="4554" spans="4:11" x14ac:dyDescent="0.35">
      <c r="D4554" s="1">
        <v>39020</v>
      </c>
      <c r="E4554">
        <v>2.1448</v>
      </c>
      <c r="I4554" s="1">
        <v>38929</v>
      </c>
      <c r="J4554">
        <v>7647.11</v>
      </c>
      <c r="K4554" s="4">
        <f t="shared" si="298"/>
        <v>76471.099999999991</v>
      </c>
    </row>
    <row r="4555" spans="4:11" x14ac:dyDescent="0.35">
      <c r="D4555" s="1">
        <v>39017</v>
      </c>
      <c r="E4555">
        <v>2.137</v>
      </c>
      <c r="I4555" s="1">
        <v>38926</v>
      </c>
      <c r="J4555">
        <v>7655.89</v>
      </c>
      <c r="K4555" s="4">
        <f t="shared" si="298"/>
        <v>76558.900000000009</v>
      </c>
    </row>
    <row r="4556" spans="4:11" x14ac:dyDescent="0.35">
      <c r="D4556" s="1">
        <v>39016</v>
      </c>
      <c r="E4556">
        <v>2.1355</v>
      </c>
      <c r="I4556" s="1">
        <v>38925</v>
      </c>
      <c r="J4556">
        <v>7706.5</v>
      </c>
      <c r="K4556" s="4">
        <f t="shared" si="298"/>
        <v>77065</v>
      </c>
    </row>
    <row r="4557" spans="4:11" x14ac:dyDescent="0.35">
      <c r="D4557" s="1">
        <v>39015</v>
      </c>
      <c r="E4557">
        <v>2.1501999999999999</v>
      </c>
      <c r="I4557" s="1">
        <v>38924</v>
      </c>
      <c r="J4557">
        <v>7712.12</v>
      </c>
      <c r="K4557" s="4">
        <f t="shared" si="298"/>
        <v>77121.2</v>
      </c>
    </row>
    <row r="4558" spans="4:11" x14ac:dyDescent="0.35">
      <c r="D4558" s="1">
        <v>39014</v>
      </c>
      <c r="E4558">
        <v>2.1459000000000001</v>
      </c>
      <c r="I4558" s="1">
        <v>38923</v>
      </c>
      <c r="J4558">
        <v>7745.51</v>
      </c>
      <c r="K4558" s="4">
        <f t="shared" si="298"/>
        <v>77455.100000000006</v>
      </c>
    </row>
    <row r="4559" spans="4:11" x14ac:dyDescent="0.35">
      <c r="D4559" s="1">
        <v>39013</v>
      </c>
      <c r="E4559">
        <v>2.1383000000000001</v>
      </c>
      <c r="I4559" s="1">
        <v>38922</v>
      </c>
      <c r="J4559">
        <v>7708.26</v>
      </c>
      <c r="K4559" s="4">
        <f t="shared" si="298"/>
        <v>77082.600000000006</v>
      </c>
    </row>
    <row r="4560" spans="4:11" x14ac:dyDescent="0.35">
      <c r="D4560" s="1">
        <v>39010</v>
      </c>
      <c r="E4560">
        <v>2.1448999999999998</v>
      </c>
      <c r="I4560" s="1">
        <v>38919</v>
      </c>
      <c r="J4560">
        <v>7759.57</v>
      </c>
      <c r="K4560" s="4">
        <f t="shared" si="298"/>
        <v>77595.7</v>
      </c>
    </row>
    <row r="4561" spans="4:11" x14ac:dyDescent="0.35">
      <c r="D4561" s="1">
        <v>39009</v>
      </c>
      <c r="E4561">
        <v>2.1379000000000001</v>
      </c>
      <c r="I4561" s="1">
        <v>38918</v>
      </c>
      <c r="J4561">
        <v>7717.39</v>
      </c>
      <c r="K4561" s="4">
        <f t="shared" si="298"/>
        <v>77173.900000000009</v>
      </c>
    </row>
    <row r="4562" spans="4:11" x14ac:dyDescent="0.35">
      <c r="D4562" s="1">
        <v>39008</v>
      </c>
      <c r="E4562">
        <v>2.1331000000000002</v>
      </c>
      <c r="I4562" s="1">
        <v>38917</v>
      </c>
      <c r="J4562">
        <v>7694.55</v>
      </c>
      <c r="K4562" s="4">
        <f t="shared" si="298"/>
        <v>76945.5</v>
      </c>
    </row>
    <row r="4563" spans="4:11" x14ac:dyDescent="0.35">
      <c r="D4563" s="1">
        <v>39007</v>
      </c>
      <c r="E4563">
        <v>2.1353</v>
      </c>
      <c r="I4563" s="1">
        <v>38916</v>
      </c>
      <c r="J4563">
        <v>7720.91</v>
      </c>
      <c r="K4563" s="4">
        <f t="shared" si="298"/>
        <v>77209.100000000006</v>
      </c>
    </row>
    <row r="4564" spans="4:11" x14ac:dyDescent="0.35">
      <c r="D4564" s="1">
        <v>39006</v>
      </c>
      <c r="E4564">
        <v>2.1322999999999999</v>
      </c>
      <c r="I4564" s="1">
        <v>38915</v>
      </c>
      <c r="J4564">
        <v>7770.11</v>
      </c>
      <c r="K4564" s="4">
        <f t="shared" si="298"/>
        <v>77701.099999999991</v>
      </c>
    </row>
    <row r="4565" spans="4:11" x14ac:dyDescent="0.35">
      <c r="D4565" s="1">
        <v>39003</v>
      </c>
      <c r="E4565">
        <v>2.1410999999999998</v>
      </c>
      <c r="I4565" s="1">
        <v>38912</v>
      </c>
      <c r="J4565">
        <v>7819.31</v>
      </c>
      <c r="K4565" s="4">
        <f t="shared" si="298"/>
        <v>78193.100000000006</v>
      </c>
    </row>
    <row r="4566" spans="4:11" x14ac:dyDescent="0.35">
      <c r="D4566" s="1">
        <v>39001</v>
      </c>
      <c r="E4566">
        <v>2.1537999999999999</v>
      </c>
      <c r="I4566" s="1">
        <v>38911</v>
      </c>
      <c r="J4566">
        <v>7847.42</v>
      </c>
      <c r="K4566" s="4">
        <f t="shared" si="298"/>
        <v>78474.2</v>
      </c>
    </row>
    <row r="4567" spans="4:11" x14ac:dyDescent="0.35">
      <c r="D4567" s="1">
        <v>39000</v>
      </c>
      <c r="E4567">
        <v>2.1488999999999998</v>
      </c>
      <c r="I4567" s="1">
        <v>38910</v>
      </c>
      <c r="J4567">
        <v>7764.84</v>
      </c>
      <c r="K4567" s="4">
        <f t="shared" si="298"/>
        <v>77648.399999999994</v>
      </c>
    </row>
    <row r="4568" spans="4:11" x14ac:dyDescent="0.35">
      <c r="D4568" s="1">
        <v>38999</v>
      </c>
      <c r="E4568">
        <v>2.1579999999999999</v>
      </c>
      <c r="I4568" s="1">
        <v>38909</v>
      </c>
      <c r="J4568">
        <v>7706.85</v>
      </c>
      <c r="K4568" s="4">
        <f t="shared" si="298"/>
        <v>77068.5</v>
      </c>
    </row>
    <row r="4569" spans="4:11" x14ac:dyDescent="0.35">
      <c r="D4569" s="1">
        <v>38996</v>
      </c>
      <c r="E4569">
        <v>2.1627999999999998</v>
      </c>
      <c r="I4569" s="1">
        <v>38908</v>
      </c>
      <c r="J4569">
        <v>7705.09</v>
      </c>
      <c r="K4569" s="4">
        <f t="shared" si="298"/>
        <v>77050.899999999994</v>
      </c>
    </row>
    <row r="4570" spans="4:11" x14ac:dyDescent="0.35">
      <c r="D4570" s="1">
        <v>38995</v>
      </c>
      <c r="E4570">
        <v>2.1621000000000001</v>
      </c>
      <c r="I4570" s="1">
        <v>38905</v>
      </c>
      <c r="J4570">
        <v>7689.28</v>
      </c>
      <c r="K4570" s="4">
        <f t="shared" si="298"/>
        <v>76892.800000000003</v>
      </c>
    </row>
    <row r="4571" spans="4:11" x14ac:dyDescent="0.35">
      <c r="D4571" s="1">
        <v>38994</v>
      </c>
      <c r="E4571">
        <v>2.1667999999999998</v>
      </c>
      <c r="I4571" s="1">
        <v>38904</v>
      </c>
      <c r="J4571">
        <v>7699.82</v>
      </c>
      <c r="K4571" s="4">
        <f t="shared" si="298"/>
        <v>76998.2</v>
      </c>
    </row>
    <row r="4572" spans="4:11" x14ac:dyDescent="0.35">
      <c r="D4572" s="1">
        <v>38993</v>
      </c>
      <c r="E4572">
        <v>2.1646999999999998</v>
      </c>
      <c r="I4572" s="1">
        <v>38903</v>
      </c>
      <c r="J4572">
        <v>7812.28</v>
      </c>
      <c r="K4572" s="4">
        <f t="shared" si="298"/>
        <v>78122.8</v>
      </c>
    </row>
    <row r="4573" spans="4:11" x14ac:dyDescent="0.35">
      <c r="D4573" s="1">
        <v>38992</v>
      </c>
      <c r="E4573">
        <v>2.1615000000000002</v>
      </c>
      <c r="I4573" s="1">
        <v>38902</v>
      </c>
      <c r="J4573">
        <v>7671.71</v>
      </c>
      <c r="K4573" s="4">
        <f t="shared" si="298"/>
        <v>76717.100000000006</v>
      </c>
    </row>
    <row r="4574" spans="4:11" x14ac:dyDescent="0.35">
      <c r="D4574" s="1">
        <v>38989</v>
      </c>
      <c r="E4574">
        <v>2.1734</v>
      </c>
      <c r="I4574" s="1">
        <v>38901</v>
      </c>
      <c r="J4574">
        <v>7682.25</v>
      </c>
      <c r="K4574" s="4">
        <f t="shared" si="298"/>
        <v>76822.5</v>
      </c>
    </row>
    <row r="4575" spans="4:11" x14ac:dyDescent="0.35">
      <c r="D4575" s="1">
        <v>38988</v>
      </c>
      <c r="E4575">
        <v>2.1785000000000001</v>
      </c>
      <c r="I4575" s="1">
        <v>38898</v>
      </c>
      <c r="J4575">
        <v>7676.98</v>
      </c>
      <c r="K4575" s="4">
        <f t="shared" si="298"/>
        <v>76769.799999999988</v>
      </c>
    </row>
    <row r="4576" spans="4:11" x14ac:dyDescent="0.35">
      <c r="D4576" s="1">
        <v>38987</v>
      </c>
      <c r="E4576">
        <v>2.1852</v>
      </c>
      <c r="I4576" s="1">
        <v>38897</v>
      </c>
      <c r="J4576">
        <v>7730.19</v>
      </c>
      <c r="K4576" s="4">
        <f t="shared" si="298"/>
        <v>77301.899999999994</v>
      </c>
    </row>
    <row r="4577" spans="4:11" x14ac:dyDescent="0.35">
      <c r="D4577" s="1">
        <v>38986</v>
      </c>
      <c r="E4577">
        <v>2.1972</v>
      </c>
      <c r="I4577" s="1">
        <v>38896</v>
      </c>
      <c r="J4577">
        <v>7879.19</v>
      </c>
      <c r="K4577" s="4">
        <f t="shared" si="298"/>
        <v>78791.899999999994</v>
      </c>
    </row>
    <row r="4578" spans="4:11" x14ac:dyDescent="0.35">
      <c r="D4578" s="1">
        <v>38985</v>
      </c>
      <c r="E4578">
        <v>2.218</v>
      </c>
      <c r="I4578" s="1">
        <v>38895</v>
      </c>
      <c r="J4578">
        <v>7960.79</v>
      </c>
      <c r="K4578" s="4">
        <f t="shared" si="298"/>
        <v>79607.899999999994</v>
      </c>
    </row>
    <row r="4579" spans="4:11" x14ac:dyDescent="0.35">
      <c r="D4579" s="1">
        <v>38982</v>
      </c>
      <c r="E4579">
        <v>2.2168999999999999</v>
      </c>
      <c r="I4579" s="1">
        <v>38894</v>
      </c>
      <c r="J4579">
        <v>7946.6</v>
      </c>
      <c r="K4579" s="4">
        <f t="shared" si="298"/>
        <v>79466</v>
      </c>
    </row>
    <row r="4580" spans="4:11" x14ac:dyDescent="0.35">
      <c r="D4580" s="1">
        <v>38981</v>
      </c>
      <c r="E4580">
        <v>2.1960999999999999</v>
      </c>
      <c r="I4580" s="1">
        <v>38891</v>
      </c>
      <c r="J4580">
        <v>7921.76</v>
      </c>
      <c r="K4580" s="4">
        <f t="shared" si="298"/>
        <v>79217.600000000006</v>
      </c>
    </row>
    <row r="4581" spans="4:11" x14ac:dyDescent="0.35">
      <c r="D4581" s="1">
        <v>38980</v>
      </c>
      <c r="E4581">
        <v>2.1682000000000001</v>
      </c>
      <c r="I4581" s="1">
        <v>38890</v>
      </c>
      <c r="J4581">
        <v>7953.69</v>
      </c>
      <c r="K4581" s="4">
        <f t="shared" si="298"/>
        <v>79536.899999999994</v>
      </c>
    </row>
    <row r="4582" spans="4:11" x14ac:dyDescent="0.35">
      <c r="D4582" s="1">
        <v>38979</v>
      </c>
      <c r="E4582">
        <v>2.1509999999999998</v>
      </c>
      <c r="I4582" s="1">
        <v>38889</v>
      </c>
      <c r="J4582">
        <v>7921.76</v>
      </c>
      <c r="K4582" s="4">
        <f t="shared" si="298"/>
        <v>79217.600000000006</v>
      </c>
    </row>
    <row r="4583" spans="4:11" x14ac:dyDescent="0.35">
      <c r="D4583" s="1">
        <v>38978</v>
      </c>
      <c r="E4583">
        <v>2.1444999999999999</v>
      </c>
      <c r="I4583" s="1">
        <v>38888</v>
      </c>
      <c r="J4583">
        <v>7960.79</v>
      </c>
      <c r="K4583" s="4">
        <f t="shared" si="298"/>
        <v>79607.899999999994</v>
      </c>
    </row>
    <row r="4584" spans="4:11" x14ac:dyDescent="0.35">
      <c r="D4584" s="1">
        <v>38975</v>
      </c>
      <c r="E4584">
        <v>2.1532</v>
      </c>
      <c r="I4584" s="1">
        <v>38887</v>
      </c>
      <c r="J4584">
        <v>8049.48</v>
      </c>
      <c r="K4584" s="4">
        <f t="shared" si="298"/>
        <v>80494.799999999988</v>
      </c>
    </row>
    <row r="4585" spans="4:11" x14ac:dyDescent="0.35">
      <c r="D4585" s="1">
        <v>38974</v>
      </c>
      <c r="E4585">
        <v>2.1585000000000001</v>
      </c>
      <c r="I4585" s="1">
        <v>38884</v>
      </c>
      <c r="J4585">
        <v>7978.88</v>
      </c>
      <c r="K4585" s="4">
        <f t="shared" si="298"/>
        <v>79788.800000000003</v>
      </c>
    </row>
    <row r="4586" spans="4:11" x14ac:dyDescent="0.35">
      <c r="D4586" s="1">
        <v>38973</v>
      </c>
      <c r="E4586">
        <v>2.1692</v>
      </c>
      <c r="I4586" s="1">
        <v>38882</v>
      </c>
      <c r="J4586">
        <v>8123.62</v>
      </c>
      <c r="K4586" s="4">
        <f t="shared" si="298"/>
        <v>81236.2</v>
      </c>
    </row>
    <row r="4587" spans="4:11" x14ac:dyDescent="0.35">
      <c r="D4587" s="1">
        <v>38972</v>
      </c>
      <c r="E4587">
        <v>2.1724000000000001</v>
      </c>
      <c r="I4587" s="1">
        <v>38881</v>
      </c>
      <c r="J4587">
        <v>8230.4</v>
      </c>
      <c r="K4587" s="4">
        <f t="shared" si="298"/>
        <v>82304</v>
      </c>
    </row>
    <row r="4588" spans="4:11" x14ac:dyDescent="0.35">
      <c r="D4588" s="1">
        <v>38971</v>
      </c>
      <c r="E4588">
        <v>2.1743000000000001</v>
      </c>
      <c r="I4588" s="1">
        <v>38880</v>
      </c>
      <c r="J4588">
        <v>8223.31</v>
      </c>
      <c r="K4588" s="4">
        <f t="shared" si="298"/>
        <v>82233.099999999991</v>
      </c>
    </row>
    <row r="4589" spans="4:11" x14ac:dyDescent="0.35">
      <c r="D4589" s="1">
        <v>38968</v>
      </c>
      <c r="E4589">
        <v>2.1574</v>
      </c>
      <c r="I4589" s="1">
        <v>38877</v>
      </c>
      <c r="J4589">
        <v>8081.41</v>
      </c>
      <c r="K4589" s="4">
        <f t="shared" si="298"/>
        <v>80814.100000000006</v>
      </c>
    </row>
    <row r="4590" spans="4:11" x14ac:dyDescent="0.35">
      <c r="D4590" s="1">
        <v>38966</v>
      </c>
      <c r="E4590">
        <v>2.1435</v>
      </c>
      <c r="I4590" s="1">
        <v>38876</v>
      </c>
      <c r="J4590">
        <v>8060.47</v>
      </c>
      <c r="K4590" s="4">
        <f t="shared" si="298"/>
        <v>80604.7</v>
      </c>
    </row>
    <row r="4591" spans="4:11" x14ac:dyDescent="0.35">
      <c r="D4591" s="1">
        <v>38965</v>
      </c>
      <c r="E4591">
        <v>2.1280000000000001</v>
      </c>
      <c r="I4591" s="1">
        <v>38875</v>
      </c>
      <c r="J4591">
        <v>8056.57</v>
      </c>
      <c r="K4591" s="4">
        <f t="shared" si="298"/>
        <v>80565.7</v>
      </c>
    </row>
    <row r="4592" spans="4:11" x14ac:dyDescent="0.35">
      <c r="D4592" s="1">
        <v>38964</v>
      </c>
      <c r="E4592">
        <v>2.1274000000000002</v>
      </c>
      <c r="I4592" s="1">
        <v>38874</v>
      </c>
      <c r="J4592">
        <v>8028.19</v>
      </c>
      <c r="K4592" s="4">
        <f t="shared" si="298"/>
        <v>80281.899999999994</v>
      </c>
    </row>
    <row r="4593" spans="4:11" x14ac:dyDescent="0.35">
      <c r="D4593" s="1">
        <v>38961</v>
      </c>
      <c r="E4593">
        <v>2.1459999999999999</v>
      </c>
      <c r="I4593" s="1">
        <v>38873</v>
      </c>
      <c r="J4593">
        <v>8095.6</v>
      </c>
      <c r="K4593" s="4">
        <f t="shared" si="298"/>
        <v>80956</v>
      </c>
    </row>
    <row r="4594" spans="4:11" x14ac:dyDescent="0.35">
      <c r="D4594" s="1">
        <v>38960</v>
      </c>
      <c r="E4594">
        <v>2.1379999999999999</v>
      </c>
      <c r="I4594" s="1">
        <v>38870</v>
      </c>
      <c r="J4594">
        <v>8110.14</v>
      </c>
      <c r="K4594" s="4">
        <f t="shared" si="298"/>
        <v>81101.400000000009</v>
      </c>
    </row>
    <row r="4595" spans="4:11" x14ac:dyDescent="0.35">
      <c r="D4595" s="1">
        <v>38959</v>
      </c>
      <c r="E4595">
        <v>2.1322000000000001</v>
      </c>
      <c r="I4595" s="1">
        <v>38869</v>
      </c>
      <c r="J4595">
        <v>8028.19</v>
      </c>
      <c r="K4595" s="4">
        <f t="shared" si="298"/>
        <v>80281.899999999994</v>
      </c>
    </row>
    <row r="4596" spans="4:11" x14ac:dyDescent="0.35">
      <c r="D4596" s="1">
        <v>38958</v>
      </c>
      <c r="E4596">
        <v>2.1410999999999998</v>
      </c>
      <c r="I4596" s="1">
        <v>38868</v>
      </c>
      <c r="J4596">
        <v>8265.8799999999992</v>
      </c>
      <c r="K4596" s="4">
        <f t="shared" si="298"/>
        <v>82658.799999999988</v>
      </c>
    </row>
    <row r="4597" spans="4:11" x14ac:dyDescent="0.35">
      <c r="D4597" s="1">
        <v>38957</v>
      </c>
      <c r="E4597">
        <v>2.1465000000000001</v>
      </c>
      <c r="I4597" s="1">
        <v>38867</v>
      </c>
      <c r="J4597">
        <v>8330.93</v>
      </c>
      <c r="K4597" s="4">
        <f t="shared" si="298"/>
        <v>83309.3</v>
      </c>
    </row>
    <row r="4598" spans="4:11" x14ac:dyDescent="0.35">
      <c r="D4598" s="1">
        <v>38954</v>
      </c>
      <c r="E4598">
        <v>2.1562999999999999</v>
      </c>
      <c r="I4598" s="1">
        <v>38866</v>
      </c>
      <c r="J4598">
        <v>8248.27</v>
      </c>
      <c r="K4598" s="4">
        <f t="shared" si="298"/>
        <v>82482.700000000012</v>
      </c>
    </row>
    <row r="4599" spans="4:11" x14ac:dyDescent="0.35">
      <c r="D4599" s="1">
        <v>38953</v>
      </c>
      <c r="E4599">
        <v>2.1515</v>
      </c>
      <c r="I4599" s="1">
        <v>38863</v>
      </c>
      <c r="J4599">
        <v>8076.83</v>
      </c>
      <c r="K4599" s="4">
        <f t="shared" si="298"/>
        <v>80768.3</v>
      </c>
    </row>
    <row r="4600" spans="4:11" x14ac:dyDescent="0.35">
      <c r="D4600" s="1">
        <v>38952</v>
      </c>
      <c r="E4600">
        <v>2.1345999999999998</v>
      </c>
      <c r="I4600" s="1">
        <v>38862</v>
      </c>
      <c r="J4600">
        <v>8223.11</v>
      </c>
      <c r="K4600" s="4">
        <f t="shared" si="298"/>
        <v>82231.100000000006</v>
      </c>
    </row>
    <row r="4601" spans="4:11" x14ac:dyDescent="0.35">
      <c r="D4601" s="1">
        <v>38951</v>
      </c>
      <c r="E4601">
        <v>2.1347</v>
      </c>
      <c r="I4601" s="1">
        <v>38861</v>
      </c>
      <c r="J4601">
        <v>8399.2199999999993</v>
      </c>
      <c r="K4601" s="4">
        <f t="shared" si="298"/>
        <v>83992.2</v>
      </c>
    </row>
    <row r="4602" spans="4:11" x14ac:dyDescent="0.35">
      <c r="D4602" s="1">
        <v>38950</v>
      </c>
      <c r="E4602">
        <v>2.1353</v>
      </c>
      <c r="I4602" s="1">
        <v>38860</v>
      </c>
      <c r="J4602">
        <v>8478.2900000000009</v>
      </c>
      <c r="K4602" s="4">
        <f t="shared" si="298"/>
        <v>84782.900000000009</v>
      </c>
    </row>
    <row r="4603" spans="4:11" x14ac:dyDescent="0.35">
      <c r="D4603" s="1">
        <v>38947</v>
      </c>
      <c r="E4603">
        <v>2.1448</v>
      </c>
      <c r="I4603" s="1">
        <v>38859</v>
      </c>
      <c r="J4603">
        <v>8226.7099999999991</v>
      </c>
      <c r="K4603" s="4">
        <f t="shared" si="298"/>
        <v>82267.099999999991</v>
      </c>
    </row>
    <row r="4604" spans="4:11" x14ac:dyDescent="0.35">
      <c r="D4604" s="1">
        <v>38946</v>
      </c>
      <c r="E4604">
        <v>2.1356999999999999</v>
      </c>
      <c r="I4604" s="1">
        <v>38856</v>
      </c>
      <c r="J4604">
        <v>7935.95</v>
      </c>
      <c r="K4604" s="4">
        <f t="shared" si="298"/>
        <v>79359.5</v>
      </c>
    </row>
    <row r="4605" spans="4:11" x14ac:dyDescent="0.35">
      <c r="D4605" s="1">
        <v>38945</v>
      </c>
      <c r="E4605">
        <v>2.1320999999999999</v>
      </c>
      <c r="I4605" s="1">
        <v>38855</v>
      </c>
      <c r="J4605">
        <v>7856.52</v>
      </c>
      <c r="K4605" s="4">
        <f t="shared" si="298"/>
        <v>78565.200000000012</v>
      </c>
    </row>
    <row r="4606" spans="4:11" x14ac:dyDescent="0.35">
      <c r="D4606" s="1">
        <v>38944</v>
      </c>
      <c r="E4606">
        <v>2.1472000000000002</v>
      </c>
      <c r="I4606" s="1">
        <v>38854</v>
      </c>
      <c r="J4606">
        <v>7982.31</v>
      </c>
      <c r="K4606" s="4">
        <f t="shared" si="298"/>
        <v>79823.100000000006</v>
      </c>
    </row>
    <row r="4607" spans="4:11" x14ac:dyDescent="0.35">
      <c r="D4607" s="1">
        <v>38943</v>
      </c>
      <c r="E4607">
        <v>2.1597</v>
      </c>
      <c r="I4607" s="1">
        <v>38853</v>
      </c>
      <c r="J4607">
        <v>7716.35</v>
      </c>
      <c r="K4607" s="4">
        <f t="shared" si="298"/>
        <v>77163.5</v>
      </c>
    </row>
    <row r="4608" spans="4:11" x14ac:dyDescent="0.35">
      <c r="D4608" s="1">
        <v>38940</v>
      </c>
      <c r="E4608">
        <v>2.1608000000000001</v>
      </c>
      <c r="I4608" s="1">
        <v>38852</v>
      </c>
      <c r="J4608">
        <v>7818.78</v>
      </c>
      <c r="K4608" s="4">
        <f t="shared" si="298"/>
        <v>78187.8</v>
      </c>
    </row>
    <row r="4609" spans="4:11" x14ac:dyDescent="0.35">
      <c r="D4609" s="1">
        <v>38939</v>
      </c>
      <c r="E4609">
        <v>2.1619999999999999</v>
      </c>
      <c r="I4609" s="1">
        <v>38849</v>
      </c>
      <c r="J4609">
        <v>7763.08</v>
      </c>
      <c r="K4609" s="4">
        <f t="shared" si="298"/>
        <v>77630.8</v>
      </c>
    </row>
    <row r="4610" spans="4:11" x14ac:dyDescent="0.35">
      <c r="D4610" s="1">
        <v>38938</v>
      </c>
      <c r="E4610">
        <v>2.1678999999999999</v>
      </c>
      <c r="I4610" s="1">
        <v>38848</v>
      </c>
      <c r="J4610">
        <v>7583.38</v>
      </c>
      <c r="K4610" s="4">
        <f t="shared" si="298"/>
        <v>75833.8</v>
      </c>
    </row>
    <row r="4611" spans="4:11" x14ac:dyDescent="0.35">
      <c r="D4611" s="1">
        <v>38937</v>
      </c>
      <c r="E4611">
        <v>2.1831</v>
      </c>
      <c r="I4611" s="1">
        <v>38847</v>
      </c>
      <c r="J4611">
        <v>7504.31</v>
      </c>
      <c r="K4611" s="4">
        <f t="shared" si="298"/>
        <v>75043.100000000006</v>
      </c>
    </row>
    <row r="4612" spans="4:11" x14ac:dyDescent="0.35">
      <c r="D4612" s="1">
        <v>38936</v>
      </c>
      <c r="E4612">
        <v>2.1785000000000001</v>
      </c>
      <c r="I4612" s="1">
        <v>38846</v>
      </c>
      <c r="J4612">
        <v>7443.21</v>
      </c>
      <c r="K4612" s="4">
        <f t="shared" si="298"/>
        <v>74432.100000000006</v>
      </c>
    </row>
    <row r="4613" spans="4:11" x14ac:dyDescent="0.35">
      <c r="D4613" s="1">
        <v>38933</v>
      </c>
      <c r="E4613">
        <v>2.1711999999999998</v>
      </c>
      <c r="I4613" s="1">
        <v>38845</v>
      </c>
      <c r="J4613">
        <v>7507.9</v>
      </c>
      <c r="K4613" s="4">
        <f t="shared" ref="K4613:K4676" si="299">J4613*10</f>
        <v>75079</v>
      </c>
    </row>
    <row r="4614" spans="4:11" x14ac:dyDescent="0.35">
      <c r="D4614" s="1">
        <v>38932</v>
      </c>
      <c r="E4614">
        <v>2.1827000000000001</v>
      </c>
      <c r="I4614" s="1">
        <v>38842</v>
      </c>
      <c r="J4614">
        <v>7439.62</v>
      </c>
      <c r="K4614" s="4">
        <f t="shared" si="299"/>
        <v>74396.2</v>
      </c>
    </row>
    <row r="4615" spans="4:11" x14ac:dyDescent="0.35">
      <c r="D4615" s="1">
        <v>38931</v>
      </c>
      <c r="E4615">
        <v>2.1812999999999998</v>
      </c>
      <c r="I4615" s="1">
        <v>38841</v>
      </c>
      <c r="J4615">
        <v>7500.71</v>
      </c>
      <c r="K4615" s="4">
        <f t="shared" si="299"/>
        <v>75007.100000000006</v>
      </c>
    </row>
    <row r="4616" spans="4:11" x14ac:dyDescent="0.35">
      <c r="D4616" s="1">
        <v>38930</v>
      </c>
      <c r="E4616">
        <v>2.1897000000000002</v>
      </c>
      <c r="I4616" s="1">
        <v>38840</v>
      </c>
      <c r="J4616">
        <v>7522.28</v>
      </c>
      <c r="K4616" s="4">
        <f t="shared" si="299"/>
        <v>75222.8</v>
      </c>
    </row>
    <row r="4617" spans="4:11" x14ac:dyDescent="0.35">
      <c r="D4617" s="1">
        <v>38929</v>
      </c>
      <c r="E4617">
        <v>2.1753999999999998</v>
      </c>
      <c r="I4617" s="1">
        <v>38839</v>
      </c>
      <c r="J4617">
        <v>7473.76</v>
      </c>
      <c r="K4617" s="4">
        <f t="shared" si="299"/>
        <v>74737.600000000006</v>
      </c>
    </row>
    <row r="4618" spans="4:11" x14ac:dyDescent="0.35">
      <c r="D4618" s="1">
        <v>38926</v>
      </c>
      <c r="E4618">
        <v>2.1791999999999998</v>
      </c>
      <c r="I4618" s="1">
        <v>38835</v>
      </c>
      <c r="J4618">
        <v>7558.22</v>
      </c>
      <c r="K4618" s="4">
        <f t="shared" si="299"/>
        <v>75582.2</v>
      </c>
    </row>
    <row r="4619" spans="4:11" x14ac:dyDescent="0.35">
      <c r="D4619" s="1">
        <v>38925</v>
      </c>
      <c r="E4619">
        <v>2.1890999999999998</v>
      </c>
      <c r="I4619" s="1">
        <v>38834</v>
      </c>
      <c r="J4619">
        <v>7600.17</v>
      </c>
      <c r="K4619" s="4">
        <f t="shared" si="299"/>
        <v>76001.7</v>
      </c>
    </row>
    <row r="4620" spans="4:11" x14ac:dyDescent="0.35">
      <c r="D4620" s="1">
        <v>38924</v>
      </c>
      <c r="E4620">
        <v>2.1976</v>
      </c>
      <c r="I4620" s="1">
        <v>38833</v>
      </c>
      <c r="J4620">
        <v>7666.71</v>
      </c>
      <c r="K4620" s="4">
        <f t="shared" si="299"/>
        <v>76667.100000000006</v>
      </c>
    </row>
    <row r="4621" spans="4:11" x14ac:dyDescent="0.35">
      <c r="D4621" s="1">
        <v>38923</v>
      </c>
      <c r="E4621">
        <v>2.1985000000000001</v>
      </c>
      <c r="I4621" s="1">
        <v>38832</v>
      </c>
      <c r="J4621">
        <v>7717.34</v>
      </c>
      <c r="K4621" s="4">
        <f t="shared" si="299"/>
        <v>77173.399999999994</v>
      </c>
    </row>
    <row r="4622" spans="4:11" x14ac:dyDescent="0.35">
      <c r="D4622" s="1">
        <v>38922</v>
      </c>
      <c r="E4622">
        <v>2.1907999999999999</v>
      </c>
      <c r="I4622" s="1">
        <v>38831</v>
      </c>
      <c r="J4622">
        <v>7656.22</v>
      </c>
      <c r="K4622" s="4">
        <f t="shared" si="299"/>
        <v>76562.2</v>
      </c>
    </row>
    <row r="4623" spans="4:11" x14ac:dyDescent="0.35">
      <c r="D4623" s="1">
        <v>38919</v>
      </c>
      <c r="E4623">
        <v>2.1926999999999999</v>
      </c>
      <c r="I4623" s="1">
        <v>38827</v>
      </c>
      <c r="J4623">
        <v>7681.54</v>
      </c>
      <c r="K4623" s="4">
        <f t="shared" si="299"/>
        <v>76815.399999999994</v>
      </c>
    </row>
    <row r="4624" spans="4:11" x14ac:dyDescent="0.35">
      <c r="D4624" s="1">
        <v>38918</v>
      </c>
      <c r="E4624">
        <v>2.1886999999999999</v>
      </c>
      <c r="I4624" s="1">
        <v>38826</v>
      </c>
      <c r="J4624">
        <v>7664.9</v>
      </c>
      <c r="K4624" s="4">
        <f t="shared" si="299"/>
        <v>76649</v>
      </c>
    </row>
    <row r="4625" spans="4:11" x14ac:dyDescent="0.35">
      <c r="D4625" s="1">
        <v>38917</v>
      </c>
      <c r="E4625">
        <v>2.1802000000000001</v>
      </c>
      <c r="I4625" s="1">
        <v>38825</v>
      </c>
      <c r="J4625">
        <v>7670.33</v>
      </c>
      <c r="K4625" s="4">
        <f t="shared" si="299"/>
        <v>76703.3</v>
      </c>
    </row>
    <row r="4626" spans="4:11" x14ac:dyDescent="0.35">
      <c r="D4626" s="1">
        <v>38916</v>
      </c>
      <c r="E4626">
        <v>2.1953999999999998</v>
      </c>
      <c r="I4626" s="1">
        <v>38824</v>
      </c>
      <c r="J4626">
        <v>7760.74</v>
      </c>
      <c r="K4626" s="4">
        <f t="shared" si="299"/>
        <v>77607.399999999994</v>
      </c>
    </row>
    <row r="4627" spans="4:11" x14ac:dyDescent="0.35">
      <c r="D4627" s="1">
        <v>38915</v>
      </c>
      <c r="E4627">
        <v>2.2118000000000002</v>
      </c>
      <c r="I4627" s="1">
        <v>38820</v>
      </c>
      <c r="J4627">
        <v>7767.97</v>
      </c>
      <c r="K4627" s="4">
        <f t="shared" si="299"/>
        <v>77679.7</v>
      </c>
    </row>
    <row r="4628" spans="4:11" x14ac:dyDescent="0.35">
      <c r="D4628" s="1">
        <v>38912</v>
      </c>
      <c r="E4628">
        <v>2.2122000000000002</v>
      </c>
      <c r="I4628" s="1">
        <v>38819</v>
      </c>
      <c r="J4628">
        <v>7755.31</v>
      </c>
      <c r="K4628" s="4">
        <f t="shared" si="299"/>
        <v>77553.100000000006</v>
      </c>
    </row>
    <row r="4629" spans="4:11" x14ac:dyDescent="0.35">
      <c r="D4629" s="1">
        <v>38911</v>
      </c>
      <c r="E4629">
        <v>2.2098</v>
      </c>
      <c r="I4629" s="1">
        <v>38818</v>
      </c>
      <c r="J4629">
        <v>7740.12</v>
      </c>
      <c r="K4629" s="4">
        <f t="shared" si="299"/>
        <v>77401.2</v>
      </c>
    </row>
    <row r="4630" spans="4:11" x14ac:dyDescent="0.35">
      <c r="D4630" s="1">
        <v>38910</v>
      </c>
      <c r="E4630">
        <v>2.1907000000000001</v>
      </c>
      <c r="I4630" s="1">
        <v>38817</v>
      </c>
      <c r="J4630">
        <v>7826.19</v>
      </c>
      <c r="K4630" s="4">
        <f t="shared" si="299"/>
        <v>78261.899999999994</v>
      </c>
    </row>
    <row r="4631" spans="4:11" x14ac:dyDescent="0.35">
      <c r="D4631" s="1">
        <v>38909</v>
      </c>
      <c r="E4631">
        <v>2.1850999999999998</v>
      </c>
      <c r="I4631" s="1">
        <v>38814</v>
      </c>
      <c r="J4631">
        <v>7825.83</v>
      </c>
      <c r="K4631" s="4">
        <f t="shared" si="299"/>
        <v>78258.3</v>
      </c>
    </row>
    <row r="4632" spans="4:11" x14ac:dyDescent="0.35">
      <c r="D4632" s="1">
        <v>38908</v>
      </c>
      <c r="E4632">
        <v>2.1741999999999999</v>
      </c>
      <c r="I4632" s="1">
        <v>38813</v>
      </c>
      <c r="J4632">
        <v>7757.51</v>
      </c>
      <c r="K4632" s="4">
        <f t="shared" si="299"/>
        <v>77575.100000000006</v>
      </c>
    </row>
    <row r="4633" spans="4:11" x14ac:dyDescent="0.35">
      <c r="D4633" s="1">
        <v>38905</v>
      </c>
      <c r="E4633">
        <v>2.1757</v>
      </c>
      <c r="I4633" s="1">
        <v>38812</v>
      </c>
      <c r="J4633">
        <v>7779.2</v>
      </c>
      <c r="K4633" s="4">
        <f t="shared" si="299"/>
        <v>77792</v>
      </c>
    </row>
    <row r="4634" spans="4:11" x14ac:dyDescent="0.35">
      <c r="D4634" s="1">
        <v>38904</v>
      </c>
      <c r="E4634">
        <v>2.1831999999999998</v>
      </c>
      <c r="I4634" s="1">
        <v>38811</v>
      </c>
      <c r="J4634">
        <v>7791.85</v>
      </c>
      <c r="K4634" s="4">
        <f t="shared" si="299"/>
        <v>77918.5</v>
      </c>
    </row>
    <row r="4635" spans="4:11" x14ac:dyDescent="0.35">
      <c r="D4635" s="1">
        <v>38903</v>
      </c>
      <c r="E4635">
        <v>2.1947000000000001</v>
      </c>
      <c r="I4635" s="1">
        <v>38807</v>
      </c>
      <c r="J4635">
        <v>7786.43</v>
      </c>
      <c r="K4635" s="4">
        <f t="shared" si="299"/>
        <v>77864.3</v>
      </c>
    </row>
    <row r="4636" spans="4:11" x14ac:dyDescent="0.35">
      <c r="D4636" s="1">
        <v>38902</v>
      </c>
      <c r="E4636">
        <v>2.1638000000000002</v>
      </c>
      <c r="I4636" s="1">
        <v>38806</v>
      </c>
      <c r="J4636">
        <v>7831.22</v>
      </c>
      <c r="K4636" s="4">
        <f t="shared" si="299"/>
        <v>78312.2</v>
      </c>
    </row>
    <row r="4637" spans="4:11" x14ac:dyDescent="0.35">
      <c r="D4637" s="1">
        <v>38901</v>
      </c>
      <c r="E4637">
        <v>2.1692999999999998</v>
      </c>
      <c r="I4637" s="1">
        <v>38805</v>
      </c>
      <c r="J4637">
        <v>7904.68</v>
      </c>
      <c r="K4637" s="4">
        <f t="shared" si="299"/>
        <v>79046.8</v>
      </c>
    </row>
    <row r="4638" spans="4:11" x14ac:dyDescent="0.35">
      <c r="D4638" s="1">
        <v>38898</v>
      </c>
      <c r="E4638">
        <v>2.1635</v>
      </c>
      <c r="I4638" s="1">
        <v>38804</v>
      </c>
      <c r="J4638">
        <v>8055.17</v>
      </c>
      <c r="K4638" s="4">
        <f t="shared" si="299"/>
        <v>80551.7</v>
      </c>
    </row>
    <row r="4639" spans="4:11" x14ac:dyDescent="0.35">
      <c r="D4639" s="1">
        <v>38897</v>
      </c>
      <c r="E4639">
        <v>2.2054999999999998</v>
      </c>
      <c r="I4639" s="1">
        <v>38803</v>
      </c>
      <c r="J4639">
        <v>7827.64</v>
      </c>
      <c r="K4639" s="4">
        <f t="shared" si="299"/>
        <v>78276.400000000009</v>
      </c>
    </row>
    <row r="4640" spans="4:11" x14ac:dyDescent="0.35">
      <c r="D4640" s="1">
        <v>38896</v>
      </c>
      <c r="E4640">
        <v>2.2254</v>
      </c>
      <c r="I4640" s="1">
        <v>38800</v>
      </c>
      <c r="J4640">
        <v>7702.79</v>
      </c>
      <c r="K4640" s="4">
        <f t="shared" si="299"/>
        <v>77027.899999999994</v>
      </c>
    </row>
    <row r="4641" spans="4:11" x14ac:dyDescent="0.35">
      <c r="D4641" s="1">
        <v>38895</v>
      </c>
      <c r="E4641">
        <v>2.2307000000000001</v>
      </c>
      <c r="I4641" s="1">
        <v>38799</v>
      </c>
      <c r="J4641">
        <v>7758.08</v>
      </c>
      <c r="K4641" s="4">
        <f t="shared" si="299"/>
        <v>77580.800000000003</v>
      </c>
    </row>
    <row r="4642" spans="4:11" x14ac:dyDescent="0.35">
      <c r="D4642" s="1">
        <v>38894</v>
      </c>
      <c r="E4642">
        <v>2.2250999999999999</v>
      </c>
      <c r="I4642" s="1">
        <v>38798</v>
      </c>
      <c r="J4642">
        <v>7711.71</v>
      </c>
      <c r="K4642" s="4">
        <f t="shared" si="299"/>
        <v>77117.100000000006</v>
      </c>
    </row>
    <row r="4643" spans="4:11" x14ac:dyDescent="0.35">
      <c r="D4643" s="1">
        <v>38891</v>
      </c>
      <c r="E4643">
        <v>2.2454000000000001</v>
      </c>
      <c r="I4643" s="1">
        <v>38797</v>
      </c>
      <c r="J4643">
        <v>7790.18</v>
      </c>
      <c r="K4643" s="4">
        <f t="shared" si="299"/>
        <v>77901.8</v>
      </c>
    </row>
    <row r="4644" spans="4:11" x14ac:dyDescent="0.35">
      <c r="D4644" s="1">
        <v>38890</v>
      </c>
      <c r="E4644">
        <v>2.2383000000000002</v>
      </c>
      <c r="I4644" s="1">
        <v>38796</v>
      </c>
      <c r="J4644">
        <v>7695.66</v>
      </c>
      <c r="K4644" s="4">
        <f t="shared" si="299"/>
        <v>76956.600000000006</v>
      </c>
    </row>
    <row r="4645" spans="4:11" x14ac:dyDescent="0.35">
      <c r="D4645" s="1">
        <v>38889</v>
      </c>
      <c r="E4645">
        <v>2.2370000000000001</v>
      </c>
      <c r="I4645" s="1">
        <v>38793</v>
      </c>
      <c r="J4645">
        <v>7618.97</v>
      </c>
      <c r="K4645" s="4">
        <f t="shared" si="299"/>
        <v>76189.7</v>
      </c>
    </row>
    <row r="4646" spans="4:11" x14ac:dyDescent="0.35">
      <c r="D4646" s="1">
        <v>38888</v>
      </c>
      <c r="E4646">
        <v>2.2498</v>
      </c>
      <c r="I4646" s="1">
        <v>38792</v>
      </c>
      <c r="J4646">
        <v>7570.82</v>
      </c>
      <c r="K4646" s="4">
        <f t="shared" si="299"/>
        <v>75708.2</v>
      </c>
    </row>
    <row r="4647" spans="4:11" x14ac:dyDescent="0.35">
      <c r="D4647" s="1">
        <v>38887</v>
      </c>
      <c r="E4647">
        <v>2.2395999999999998</v>
      </c>
      <c r="I4647" s="1">
        <v>38791</v>
      </c>
      <c r="J4647">
        <v>7586.87</v>
      </c>
      <c r="K4647" s="4">
        <f t="shared" si="299"/>
        <v>75868.7</v>
      </c>
    </row>
    <row r="4648" spans="4:11" x14ac:dyDescent="0.35">
      <c r="D4648" s="1">
        <v>38884</v>
      </c>
      <c r="E4648">
        <v>2.2513000000000001</v>
      </c>
      <c r="I4648" s="1">
        <v>38790</v>
      </c>
      <c r="J4648">
        <v>7608.27</v>
      </c>
      <c r="K4648" s="4">
        <f t="shared" si="299"/>
        <v>76082.700000000012</v>
      </c>
    </row>
    <row r="4649" spans="4:11" x14ac:dyDescent="0.35">
      <c r="D4649" s="1">
        <v>38882</v>
      </c>
      <c r="E4649">
        <v>2.2837000000000001</v>
      </c>
      <c r="I4649" s="1">
        <v>38789</v>
      </c>
      <c r="J4649">
        <v>7651.07</v>
      </c>
      <c r="K4649" s="4">
        <f t="shared" si="299"/>
        <v>76510.7</v>
      </c>
    </row>
    <row r="4650" spans="4:11" x14ac:dyDescent="0.35">
      <c r="D4650" s="1">
        <v>38881</v>
      </c>
      <c r="E4650">
        <v>2.3010000000000002</v>
      </c>
      <c r="I4650" s="1">
        <v>38786</v>
      </c>
      <c r="J4650">
        <v>7690.31</v>
      </c>
      <c r="K4650" s="4">
        <f t="shared" si="299"/>
        <v>76903.100000000006</v>
      </c>
    </row>
    <row r="4651" spans="4:11" x14ac:dyDescent="0.35">
      <c r="D4651" s="1">
        <v>38880</v>
      </c>
      <c r="E4651">
        <v>2.2698999999999998</v>
      </c>
      <c r="I4651" s="1">
        <v>38785</v>
      </c>
      <c r="J4651">
        <v>7767</v>
      </c>
      <c r="K4651" s="4">
        <f t="shared" si="299"/>
        <v>77670</v>
      </c>
    </row>
    <row r="4652" spans="4:11" x14ac:dyDescent="0.35">
      <c r="D4652" s="1">
        <v>38877</v>
      </c>
      <c r="E4652">
        <v>2.2606999999999999</v>
      </c>
      <c r="I4652" s="1">
        <v>38784</v>
      </c>
      <c r="J4652">
        <v>7793.75</v>
      </c>
      <c r="K4652" s="4">
        <f t="shared" si="299"/>
        <v>77937.5</v>
      </c>
    </row>
    <row r="4653" spans="4:11" x14ac:dyDescent="0.35">
      <c r="D4653" s="1">
        <v>38876</v>
      </c>
      <c r="E4653">
        <v>2.2692999999999999</v>
      </c>
      <c r="I4653" s="1">
        <v>38783</v>
      </c>
      <c r="J4653">
        <v>7761.65</v>
      </c>
      <c r="K4653" s="4">
        <f t="shared" si="299"/>
        <v>77616.5</v>
      </c>
    </row>
    <row r="4654" spans="4:11" x14ac:dyDescent="0.35">
      <c r="D4654" s="1">
        <v>38875</v>
      </c>
      <c r="E4654">
        <v>2.2492000000000001</v>
      </c>
      <c r="I4654" s="1">
        <v>38782</v>
      </c>
      <c r="J4654">
        <v>7722.41</v>
      </c>
      <c r="K4654" s="4">
        <f t="shared" si="299"/>
        <v>77224.100000000006</v>
      </c>
    </row>
    <row r="4655" spans="4:11" x14ac:dyDescent="0.35">
      <c r="D4655" s="1">
        <v>38874</v>
      </c>
      <c r="E4655">
        <v>2.2677999999999998</v>
      </c>
      <c r="I4655" s="1">
        <v>38779</v>
      </c>
      <c r="J4655">
        <v>7601.49</v>
      </c>
      <c r="K4655" s="4">
        <f t="shared" si="299"/>
        <v>76014.899999999994</v>
      </c>
    </row>
    <row r="4656" spans="4:11" x14ac:dyDescent="0.35">
      <c r="D4656" s="1">
        <v>38873</v>
      </c>
      <c r="E4656">
        <v>2.2549000000000001</v>
      </c>
      <c r="I4656" s="1">
        <v>38778</v>
      </c>
      <c r="J4656">
        <v>7579.73</v>
      </c>
      <c r="K4656" s="4">
        <f t="shared" si="299"/>
        <v>75797.299999999988</v>
      </c>
    </row>
    <row r="4657" spans="4:11" x14ac:dyDescent="0.35">
      <c r="D4657" s="1">
        <v>38870</v>
      </c>
      <c r="E4657">
        <v>2.2587000000000002</v>
      </c>
      <c r="I4657" s="1">
        <v>38772</v>
      </c>
      <c r="J4657">
        <v>7725.98</v>
      </c>
      <c r="K4657" s="4">
        <f t="shared" si="299"/>
        <v>77259.799999999988</v>
      </c>
    </row>
    <row r="4658" spans="4:11" x14ac:dyDescent="0.35">
      <c r="D4658" s="1">
        <v>38869</v>
      </c>
      <c r="E4658">
        <v>2.2705000000000002</v>
      </c>
      <c r="I4658" s="1">
        <v>38771</v>
      </c>
      <c r="J4658">
        <v>7740.45</v>
      </c>
      <c r="K4658" s="4">
        <f t="shared" si="299"/>
        <v>77404.5</v>
      </c>
    </row>
    <row r="4659" spans="4:11" x14ac:dyDescent="0.35">
      <c r="D4659" s="1">
        <v>38868</v>
      </c>
      <c r="E4659">
        <v>2.2997000000000001</v>
      </c>
      <c r="I4659" s="1">
        <v>38770</v>
      </c>
      <c r="J4659">
        <v>7720.55</v>
      </c>
      <c r="K4659" s="4">
        <f t="shared" si="299"/>
        <v>77205.5</v>
      </c>
    </row>
    <row r="4660" spans="4:11" x14ac:dyDescent="0.35">
      <c r="D4660" s="1">
        <v>38867</v>
      </c>
      <c r="E4660">
        <v>2.3227000000000002</v>
      </c>
      <c r="I4660" s="1">
        <v>38769</v>
      </c>
      <c r="J4660">
        <v>7838.47</v>
      </c>
      <c r="K4660" s="4">
        <f t="shared" si="299"/>
        <v>78384.7</v>
      </c>
    </row>
    <row r="4661" spans="4:11" x14ac:dyDescent="0.35">
      <c r="D4661" s="1">
        <v>38866</v>
      </c>
      <c r="E4661">
        <v>2.2557999999999998</v>
      </c>
      <c r="I4661" s="1">
        <v>38768</v>
      </c>
      <c r="J4661">
        <v>7657.25</v>
      </c>
      <c r="K4661" s="4">
        <f t="shared" si="299"/>
        <v>76572.5</v>
      </c>
    </row>
    <row r="4662" spans="4:11" x14ac:dyDescent="0.35">
      <c r="D4662" s="1">
        <v>38863</v>
      </c>
      <c r="E4662">
        <v>2.2511999999999999</v>
      </c>
      <c r="I4662" s="1">
        <v>38765</v>
      </c>
      <c r="J4662">
        <v>7686.19</v>
      </c>
      <c r="K4662" s="4">
        <f t="shared" si="299"/>
        <v>76861.899999999994</v>
      </c>
    </row>
    <row r="4663" spans="4:11" x14ac:dyDescent="0.35">
      <c r="D4663" s="1">
        <v>38862</v>
      </c>
      <c r="E4663">
        <v>2.3142</v>
      </c>
      <c r="I4663" s="1">
        <v>38764</v>
      </c>
      <c r="J4663">
        <v>7650.02</v>
      </c>
      <c r="K4663" s="4">
        <f t="shared" si="299"/>
        <v>76500.200000000012</v>
      </c>
    </row>
    <row r="4664" spans="4:11" x14ac:dyDescent="0.35">
      <c r="D4664" s="1">
        <v>38861</v>
      </c>
      <c r="E4664">
        <v>2.3702999999999999</v>
      </c>
      <c r="I4664" s="1">
        <v>38763</v>
      </c>
      <c r="J4664">
        <v>7729.6</v>
      </c>
      <c r="K4664" s="4">
        <f t="shared" si="299"/>
        <v>77296</v>
      </c>
    </row>
    <row r="4665" spans="4:11" x14ac:dyDescent="0.35">
      <c r="D4665" s="1">
        <v>38860</v>
      </c>
      <c r="E4665">
        <v>2.2593000000000001</v>
      </c>
      <c r="I4665" s="1">
        <v>38762</v>
      </c>
      <c r="J4665">
        <v>7747.68</v>
      </c>
      <c r="K4665" s="4">
        <f t="shared" si="299"/>
        <v>77476.800000000003</v>
      </c>
    </row>
    <row r="4666" spans="4:11" x14ac:dyDescent="0.35">
      <c r="D4666" s="1">
        <v>38859</v>
      </c>
      <c r="E4666">
        <v>2.2875000000000001</v>
      </c>
      <c r="I4666" s="1">
        <v>38761</v>
      </c>
      <c r="J4666">
        <v>7838.11</v>
      </c>
      <c r="K4666" s="4">
        <f t="shared" si="299"/>
        <v>78381.099999999991</v>
      </c>
    </row>
    <row r="4667" spans="4:11" x14ac:dyDescent="0.35">
      <c r="D4667" s="1">
        <v>38856</v>
      </c>
      <c r="E4667">
        <v>2.1922000000000001</v>
      </c>
      <c r="I4667" s="1">
        <v>38758</v>
      </c>
      <c r="J4667">
        <v>7861.62</v>
      </c>
      <c r="K4667" s="4">
        <f t="shared" si="299"/>
        <v>78616.2</v>
      </c>
    </row>
    <row r="4668" spans="4:11" x14ac:dyDescent="0.35">
      <c r="D4668" s="1">
        <v>38855</v>
      </c>
      <c r="E4668">
        <v>2.1825000000000001</v>
      </c>
      <c r="I4668" s="1">
        <v>38757</v>
      </c>
      <c r="J4668">
        <v>7881.51</v>
      </c>
      <c r="K4668" s="4">
        <f t="shared" si="299"/>
        <v>78815.100000000006</v>
      </c>
    </row>
    <row r="4669" spans="4:11" x14ac:dyDescent="0.35">
      <c r="D4669" s="1">
        <v>38854</v>
      </c>
      <c r="E4669">
        <v>2.1818</v>
      </c>
      <c r="I4669" s="1">
        <v>38756</v>
      </c>
      <c r="J4669">
        <v>7952.04</v>
      </c>
      <c r="K4669" s="4">
        <f t="shared" si="299"/>
        <v>79520.399999999994</v>
      </c>
    </row>
    <row r="4670" spans="4:11" x14ac:dyDescent="0.35">
      <c r="D4670" s="1">
        <v>38853</v>
      </c>
      <c r="E4670">
        <v>2.1395</v>
      </c>
      <c r="I4670" s="1">
        <v>38755</v>
      </c>
      <c r="J4670">
        <v>7971.94</v>
      </c>
      <c r="K4670" s="4">
        <f t="shared" si="299"/>
        <v>79719.399999999994</v>
      </c>
    </row>
    <row r="4671" spans="4:11" x14ac:dyDescent="0.35">
      <c r="D4671" s="1">
        <v>38852</v>
      </c>
      <c r="E4671">
        <v>2.1766000000000001</v>
      </c>
      <c r="I4671" s="1">
        <v>38754</v>
      </c>
      <c r="J4671">
        <v>7907.19</v>
      </c>
      <c r="K4671" s="4">
        <f t="shared" si="299"/>
        <v>79071.899999999994</v>
      </c>
    </row>
    <row r="4672" spans="4:11" x14ac:dyDescent="0.35">
      <c r="D4672" s="1">
        <v>38849</v>
      </c>
      <c r="E4672">
        <v>2.1299000000000001</v>
      </c>
      <c r="I4672" s="1">
        <v>38751</v>
      </c>
      <c r="J4672">
        <v>8058.74</v>
      </c>
      <c r="K4672" s="4">
        <f t="shared" si="299"/>
        <v>80587.399999999994</v>
      </c>
    </row>
    <row r="4673" spans="4:11" x14ac:dyDescent="0.35">
      <c r="D4673" s="1">
        <v>38848</v>
      </c>
      <c r="E4673">
        <v>2.0872999999999999</v>
      </c>
      <c r="I4673" s="1">
        <v>38750</v>
      </c>
      <c r="J4673">
        <v>8116.62</v>
      </c>
      <c r="K4673" s="4">
        <f t="shared" si="299"/>
        <v>81166.2</v>
      </c>
    </row>
    <row r="4674" spans="4:11" x14ac:dyDescent="0.35">
      <c r="D4674" s="1">
        <v>38847</v>
      </c>
      <c r="E4674">
        <v>2.0577999999999999</v>
      </c>
      <c r="I4674" s="1">
        <v>38749</v>
      </c>
      <c r="J4674">
        <v>8089.49</v>
      </c>
      <c r="K4674" s="4">
        <f t="shared" si="299"/>
        <v>80894.899999999994</v>
      </c>
    </row>
    <row r="4675" spans="4:11" x14ac:dyDescent="0.35">
      <c r="D4675" s="1">
        <v>38846</v>
      </c>
      <c r="E4675">
        <v>2.0634000000000001</v>
      </c>
      <c r="I4675" s="1">
        <v>38748</v>
      </c>
      <c r="J4675">
        <v>8084.06</v>
      </c>
      <c r="K4675" s="4">
        <f t="shared" si="299"/>
        <v>80840.600000000006</v>
      </c>
    </row>
    <row r="4676" spans="4:11" x14ac:dyDescent="0.35">
      <c r="D4676" s="1">
        <v>38845</v>
      </c>
      <c r="E4676">
        <v>2.0642999999999998</v>
      </c>
      <c r="I4676" s="1">
        <v>38747</v>
      </c>
      <c r="J4676">
        <v>8089.54</v>
      </c>
      <c r="K4676" s="4">
        <f t="shared" si="299"/>
        <v>80895.399999999994</v>
      </c>
    </row>
    <row r="4677" spans="4:11" x14ac:dyDescent="0.35">
      <c r="D4677" s="1">
        <v>38842</v>
      </c>
      <c r="E4677">
        <v>2.0579000000000001</v>
      </c>
      <c r="I4677" s="1">
        <v>38744</v>
      </c>
      <c r="J4677">
        <v>8065.82</v>
      </c>
      <c r="K4677" s="4">
        <f t="shared" ref="K4677:K4740" si="300">J4677*10</f>
        <v>80658.2</v>
      </c>
    </row>
    <row r="4678" spans="4:11" x14ac:dyDescent="0.35">
      <c r="D4678" s="1">
        <v>38841</v>
      </c>
      <c r="E4678">
        <v>2.0659000000000001</v>
      </c>
      <c r="I4678" s="1">
        <v>38743</v>
      </c>
      <c r="J4678">
        <v>8164.36</v>
      </c>
      <c r="K4678" s="4">
        <f t="shared" si="300"/>
        <v>81643.599999999991</v>
      </c>
    </row>
    <row r="4679" spans="4:11" x14ac:dyDescent="0.35">
      <c r="D4679" s="1">
        <v>38840</v>
      </c>
      <c r="E4679">
        <v>2.0697999999999999</v>
      </c>
      <c r="I4679" s="1">
        <v>38741</v>
      </c>
      <c r="J4679">
        <v>8193.5499999999993</v>
      </c>
      <c r="K4679" s="4">
        <f t="shared" si="300"/>
        <v>81935.5</v>
      </c>
    </row>
    <row r="4680" spans="4:11" x14ac:dyDescent="0.35">
      <c r="D4680" s="1">
        <v>38839</v>
      </c>
      <c r="E4680">
        <v>2.0710000000000002</v>
      </c>
      <c r="I4680" s="1">
        <v>38740</v>
      </c>
      <c r="J4680">
        <v>8241</v>
      </c>
      <c r="K4680" s="4">
        <f t="shared" si="300"/>
        <v>82410</v>
      </c>
    </row>
    <row r="4681" spans="4:11" x14ac:dyDescent="0.35">
      <c r="D4681" s="1">
        <v>38835</v>
      </c>
      <c r="E4681">
        <v>2.0884</v>
      </c>
      <c r="I4681" s="1">
        <v>38737</v>
      </c>
      <c r="J4681">
        <v>8321.2900000000009</v>
      </c>
      <c r="K4681" s="4">
        <f t="shared" si="300"/>
        <v>83212.900000000009</v>
      </c>
    </row>
    <row r="4682" spans="4:11" x14ac:dyDescent="0.35">
      <c r="D4682" s="1">
        <v>38834</v>
      </c>
      <c r="E4682">
        <v>2.1128</v>
      </c>
      <c r="I4682" s="1">
        <v>38736</v>
      </c>
      <c r="J4682">
        <v>8478.23</v>
      </c>
      <c r="K4682" s="4">
        <f t="shared" si="300"/>
        <v>84782.299999999988</v>
      </c>
    </row>
    <row r="4683" spans="4:11" x14ac:dyDescent="0.35">
      <c r="D4683" s="1">
        <v>38833</v>
      </c>
      <c r="E4683">
        <v>2.1215999999999999</v>
      </c>
      <c r="I4683" s="1">
        <v>38735</v>
      </c>
      <c r="J4683">
        <v>8485.5300000000007</v>
      </c>
      <c r="K4683" s="4">
        <f t="shared" si="300"/>
        <v>84855.3</v>
      </c>
    </row>
    <row r="4684" spans="4:11" x14ac:dyDescent="0.35">
      <c r="D4684" s="1">
        <v>38832</v>
      </c>
      <c r="E4684">
        <v>2.1225000000000001</v>
      </c>
      <c r="I4684" s="1">
        <v>38734</v>
      </c>
      <c r="J4684">
        <v>8485.5300000000007</v>
      </c>
      <c r="K4684" s="4">
        <f t="shared" si="300"/>
        <v>84855.3</v>
      </c>
    </row>
    <row r="4685" spans="4:11" x14ac:dyDescent="0.35">
      <c r="D4685" s="1">
        <v>38831</v>
      </c>
      <c r="E4685">
        <v>2.1173999999999999</v>
      </c>
      <c r="I4685" s="1">
        <v>38733</v>
      </c>
      <c r="J4685">
        <v>8343.19</v>
      </c>
      <c r="K4685" s="4">
        <f t="shared" si="300"/>
        <v>83431.900000000009</v>
      </c>
    </row>
    <row r="4686" spans="4:11" x14ac:dyDescent="0.35">
      <c r="D4686" s="1">
        <v>38827</v>
      </c>
      <c r="E4686">
        <v>2.1227999999999998</v>
      </c>
      <c r="I4686" s="1">
        <v>38730</v>
      </c>
      <c r="J4686">
        <v>8310.34</v>
      </c>
      <c r="K4686" s="4">
        <f t="shared" si="300"/>
        <v>83103.399999999994</v>
      </c>
    </row>
    <row r="4687" spans="4:11" x14ac:dyDescent="0.35">
      <c r="D4687" s="1">
        <v>38826</v>
      </c>
      <c r="E4687">
        <v>2.1135000000000002</v>
      </c>
      <c r="I4687" s="1">
        <v>38729</v>
      </c>
      <c r="J4687">
        <v>8343.19</v>
      </c>
      <c r="K4687" s="4">
        <f t="shared" si="300"/>
        <v>83431.900000000009</v>
      </c>
    </row>
    <row r="4688" spans="4:11" x14ac:dyDescent="0.35">
      <c r="D4688" s="1">
        <v>38825</v>
      </c>
      <c r="E4688">
        <v>2.1284000000000001</v>
      </c>
      <c r="I4688" s="1">
        <v>38728</v>
      </c>
      <c r="J4688">
        <v>8368.74</v>
      </c>
      <c r="K4688" s="4">
        <f t="shared" si="300"/>
        <v>83687.399999999994</v>
      </c>
    </row>
    <row r="4689" spans="4:11" x14ac:dyDescent="0.35">
      <c r="D4689" s="1">
        <v>38824</v>
      </c>
      <c r="E4689">
        <v>2.1335000000000002</v>
      </c>
      <c r="I4689" s="1">
        <v>38727</v>
      </c>
      <c r="J4689">
        <v>8299.4</v>
      </c>
      <c r="K4689" s="4">
        <f t="shared" si="300"/>
        <v>82994</v>
      </c>
    </row>
    <row r="4690" spans="4:11" x14ac:dyDescent="0.35">
      <c r="D4690" s="1">
        <v>38820</v>
      </c>
      <c r="E4690">
        <v>2.1417999999999999</v>
      </c>
      <c r="I4690" s="1">
        <v>38726</v>
      </c>
      <c r="J4690">
        <v>8262.9</v>
      </c>
      <c r="K4690" s="4">
        <f t="shared" si="300"/>
        <v>82629</v>
      </c>
    </row>
    <row r="4691" spans="4:11" x14ac:dyDescent="0.35">
      <c r="D4691" s="1">
        <v>38819</v>
      </c>
      <c r="E4691">
        <v>2.1328</v>
      </c>
      <c r="I4691" s="1">
        <v>38723</v>
      </c>
      <c r="J4691">
        <v>8379.69</v>
      </c>
      <c r="K4691" s="4">
        <f t="shared" si="300"/>
        <v>83796.900000000009</v>
      </c>
    </row>
    <row r="4692" spans="4:11" x14ac:dyDescent="0.35">
      <c r="D4692" s="1">
        <v>38818</v>
      </c>
      <c r="E4692">
        <v>2.1412</v>
      </c>
      <c r="I4692" s="1">
        <v>38722</v>
      </c>
      <c r="J4692">
        <v>8401.59</v>
      </c>
      <c r="K4692" s="4">
        <f t="shared" si="300"/>
        <v>84015.9</v>
      </c>
    </row>
    <row r="4693" spans="4:11" x14ac:dyDescent="0.35">
      <c r="D4693" s="1">
        <v>38817</v>
      </c>
      <c r="E4693">
        <v>2.1514000000000002</v>
      </c>
      <c r="I4693" s="1">
        <v>38721</v>
      </c>
      <c r="J4693">
        <v>8410.7099999999991</v>
      </c>
      <c r="K4693" s="4">
        <f t="shared" si="300"/>
        <v>84107.099999999991</v>
      </c>
    </row>
    <row r="4694" spans="4:11" x14ac:dyDescent="0.35">
      <c r="D4694" s="1">
        <v>38814</v>
      </c>
      <c r="E4694">
        <v>2.1400999999999999</v>
      </c>
      <c r="I4694" s="1">
        <v>38720</v>
      </c>
      <c r="J4694">
        <v>8565.82</v>
      </c>
      <c r="K4694" s="4">
        <f t="shared" si="300"/>
        <v>85658.2</v>
      </c>
    </row>
    <row r="4695" spans="4:11" x14ac:dyDescent="0.35">
      <c r="D4695" s="1">
        <v>38813</v>
      </c>
      <c r="E4695">
        <v>2.1291000000000002</v>
      </c>
      <c r="I4695" s="1">
        <v>38719</v>
      </c>
      <c r="J4695">
        <v>8624.2199999999993</v>
      </c>
      <c r="K4695" s="4">
        <f t="shared" si="300"/>
        <v>86242.2</v>
      </c>
    </row>
    <row r="4696" spans="4:11" x14ac:dyDescent="0.35">
      <c r="D4696" s="1">
        <v>38812</v>
      </c>
      <c r="E4696">
        <v>2.1335999999999999</v>
      </c>
      <c r="I4696" s="1">
        <v>38715</v>
      </c>
      <c r="J4696">
        <v>8576.77</v>
      </c>
      <c r="K4696" s="4">
        <f t="shared" si="300"/>
        <v>85767.700000000012</v>
      </c>
    </row>
    <row r="4697" spans="4:11" x14ac:dyDescent="0.35">
      <c r="D4697" s="1">
        <v>38811</v>
      </c>
      <c r="E4697">
        <v>2.1284999999999998</v>
      </c>
      <c r="I4697" s="1">
        <v>38714</v>
      </c>
      <c r="J4697">
        <v>8584.1</v>
      </c>
      <c r="K4697" s="4">
        <f t="shared" si="300"/>
        <v>85841</v>
      </c>
    </row>
    <row r="4698" spans="4:11" x14ac:dyDescent="0.35">
      <c r="D4698" s="1">
        <v>38810</v>
      </c>
      <c r="E4698">
        <v>2.1534</v>
      </c>
      <c r="I4698" s="1">
        <v>38713</v>
      </c>
      <c r="J4698">
        <v>8573.11</v>
      </c>
      <c r="K4698" s="4">
        <f t="shared" si="300"/>
        <v>85731.1</v>
      </c>
    </row>
    <row r="4699" spans="4:11" x14ac:dyDescent="0.35">
      <c r="D4699" s="1">
        <v>38807</v>
      </c>
      <c r="E4699">
        <v>2.1716000000000002</v>
      </c>
      <c r="I4699" s="1">
        <v>38712</v>
      </c>
      <c r="J4699">
        <v>8576.77</v>
      </c>
      <c r="K4699" s="4">
        <f t="shared" si="300"/>
        <v>85767.700000000012</v>
      </c>
    </row>
    <row r="4700" spans="4:11" x14ac:dyDescent="0.35">
      <c r="D4700" s="1">
        <v>38806</v>
      </c>
      <c r="E4700">
        <v>2.1943999999999999</v>
      </c>
      <c r="I4700" s="1">
        <v>38709</v>
      </c>
      <c r="J4700">
        <v>8510.4599999999991</v>
      </c>
      <c r="K4700" s="4">
        <f t="shared" si="300"/>
        <v>85104.599999999991</v>
      </c>
    </row>
    <row r="4701" spans="4:11" x14ac:dyDescent="0.35">
      <c r="D4701" s="1">
        <v>38805</v>
      </c>
      <c r="E4701">
        <v>2.222</v>
      </c>
      <c r="I4701" s="1">
        <v>38708</v>
      </c>
      <c r="J4701">
        <v>8580.44</v>
      </c>
      <c r="K4701" s="4">
        <f t="shared" si="300"/>
        <v>85804.400000000009</v>
      </c>
    </row>
    <row r="4702" spans="4:11" x14ac:dyDescent="0.35">
      <c r="D4702" s="1">
        <v>38804</v>
      </c>
      <c r="E4702">
        <v>2.2229999999999999</v>
      </c>
      <c r="I4702" s="1">
        <v>38707</v>
      </c>
      <c r="J4702">
        <v>8485.18</v>
      </c>
      <c r="K4702" s="4">
        <f t="shared" si="300"/>
        <v>84851.8</v>
      </c>
    </row>
    <row r="4703" spans="4:11" x14ac:dyDescent="0.35">
      <c r="D4703" s="1">
        <v>38803</v>
      </c>
      <c r="E4703">
        <v>2.1796000000000002</v>
      </c>
      <c r="I4703" s="1">
        <v>38706</v>
      </c>
      <c r="J4703">
        <v>8631.73</v>
      </c>
      <c r="K4703" s="4">
        <f t="shared" si="300"/>
        <v>86317.299999999988</v>
      </c>
    </row>
    <row r="4704" spans="4:11" x14ac:dyDescent="0.35">
      <c r="D4704" s="1">
        <v>38800</v>
      </c>
      <c r="E4704">
        <v>2.1619999999999999</v>
      </c>
      <c r="I4704" s="1">
        <v>38705</v>
      </c>
      <c r="J4704">
        <v>8803.92</v>
      </c>
      <c r="K4704" s="4">
        <f t="shared" si="300"/>
        <v>88039.2</v>
      </c>
    </row>
    <row r="4705" spans="4:11" x14ac:dyDescent="0.35">
      <c r="D4705" s="1">
        <v>38799</v>
      </c>
      <c r="E4705">
        <v>2.1497999999999999</v>
      </c>
      <c r="I4705" s="1">
        <v>38702</v>
      </c>
      <c r="J4705">
        <v>8598.75</v>
      </c>
      <c r="K4705" s="4">
        <f t="shared" si="300"/>
        <v>85987.5</v>
      </c>
    </row>
    <row r="4706" spans="4:11" x14ac:dyDescent="0.35">
      <c r="D4706" s="1">
        <v>38798</v>
      </c>
      <c r="E4706">
        <v>2.1545000000000001</v>
      </c>
      <c r="I4706" s="1">
        <v>38701</v>
      </c>
      <c r="J4706">
        <v>8481.52</v>
      </c>
      <c r="K4706" s="4">
        <f t="shared" si="300"/>
        <v>84815.200000000012</v>
      </c>
    </row>
    <row r="4707" spans="4:11" x14ac:dyDescent="0.35">
      <c r="D4707" s="1">
        <v>38797</v>
      </c>
      <c r="E4707">
        <v>2.1583000000000001</v>
      </c>
      <c r="I4707" s="1">
        <v>38700</v>
      </c>
      <c r="J4707">
        <v>8367.94</v>
      </c>
      <c r="K4707" s="4">
        <f t="shared" si="300"/>
        <v>83679.400000000009</v>
      </c>
    </row>
    <row r="4708" spans="4:11" x14ac:dyDescent="0.35">
      <c r="D4708" s="1">
        <v>38796</v>
      </c>
      <c r="E4708">
        <v>2.1377999999999999</v>
      </c>
      <c r="I4708" s="1">
        <v>38699</v>
      </c>
      <c r="J4708">
        <v>8331.2999999999993</v>
      </c>
      <c r="K4708" s="4">
        <f t="shared" si="300"/>
        <v>83313</v>
      </c>
    </row>
    <row r="4709" spans="4:11" x14ac:dyDescent="0.35">
      <c r="D4709" s="1">
        <v>38793</v>
      </c>
      <c r="E4709">
        <v>2.1179999999999999</v>
      </c>
      <c r="I4709" s="1">
        <v>38698</v>
      </c>
      <c r="J4709">
        <v>8309.32</v>
      </c>
      <c r="K4709" s="4">
        <f t="shared" si="300"/>
        <v>83093.2</v>
      </c>
    </row>
    <row r="4710" spans="4:11" x14ac:dyDescent="0.35">
      <c r="D4710" s="1">
        <v>38792</v>
      </c>
      <c r="E4710">
        <v>2.1059000000000001</v>
      </c>
      <c r="I4710" s="1">
        <v>38695</v>
      </c>
      <c r="J4710">
        <v>8300.16</v>
      </c>
      <c r="K4710" s="4">
        <f t="shared" si="300"/>
        <v>83001.600000000006</v>
      </c>
    </row>
    <row r="4711" spans="4:11" x14ac:dyDescent="0.35">
      <c r="D4711" s="1">
        <v>38791</v>
      </c>
      <c r="E4711">
        <v>2.1206999999999998</v>
      </c>
      <c r="I4711" s="1">
        <v>38694</v>
      </c>
      <c r="J4711">
        <v>8206.74</v>
      </c>
      <c r="K4711" s="4">
        <f t="shared" si="300"/>
        <v>82067.399999999994</v>
      </c>
    </row>
    <row r="4712" spans="4:11" x14ac:dyDescent="0.35">
      <c r="D4712" s="1">
        <v>38790</v>
      </c>
      <c r="E4712">
        <v>2.1261000000000001</v>
      </c>
      <c r="I4712" s="1">
        <v>38693</v>
      </c>
      <c r="J4712">
        <v>8111.48</v>
      </c>
      <c r="K4712" s="4">
        <f t="shared" si="300"/>
        <v>81114.799999999988</v>
      </c>
    </row>
    <row r="4713" spans="4:11" x14ac:dyDescent="0.35">
      <c r="D4713" s="1">
        <v>38789</v>
      </c>
      <c r="E4713">
        <v>2.1341000000000001</v>
      </c>
      <c r="I4713" s="1">
        <v>38692</v>
      </c>
      <c r="J4713">
        <v>8023.55</v>
      </c>
      <c r="K4713" s="4">
        <f t="shared" si="300"/>
        <v>80235.5</v>
      </c>
    </row>
    <row r="4714" spans="4:11" x14ac:dyDescent="0.35">
      <c r="D4714" s="1">
        <v>38786</v>
      </c>
      <c r="E4714">
        <v>2.1438999999999999</v>
      </c>
      <c r="I4714" s="1">
        <v>38691</v>
      </c>
      <c r="J4714">
        <v>8118.81</v>
      </c>
      <c r="K4714" s="4">
        <f t="shared" si="300"/>
        <v>81188.100000000006</v>
      </c>
    </row>
    <row r="4715" spans="4:11" x14ac:dyDescent="0.35">
      <c r="D4715" s="1">
        <v>38785</v>
      </c>
      <c r="E4715">
        <v>2.1606999999999998</v>
      </c>
      <c r="I4715" s="1">
        <v>38688</v>
      </c>
      <c r="J4715">
        <v>8173.76</v>
      </c>
      <c r="K4715" s="4">
        <f t="shared" si="300"/>
        <v>81737.600000000006</v>
      </c>
    </row>
    <row r="4716" spans="4:11" x14ac:dyDescent="0.35">
      <c r="D4716" s="1">
        <v>38784</v>
      </c>
      <c r="E4716">
        <v>2.177</v>
      </c>
      <c r="I4716" s="1">
        <v>38687</v>
      </c>
      <c r="J4716">
        <v>8214.06</v>
      </c>
      <c r="K4716" s="4">
        <f t="shared" si="300"/>
        <v>82140.599999999991</v>
      </c>
    </row>
    <row r="4717" spans="4:11" x14ac:dyDescent="0.35">
      <c r="D4717" s="1">
        <v>38783</v>
      </c>
      <c r="E4717">
        <v>2.1674000000000002</v>
      </c>
      <c r="I4717" s="1">
        <v>38686</v>
      </c>
      <c r="J4717">
        <v>8195.75</v>
      </c>
      <c r="K4717" s="4">
        <f t="shared" si="300"/>
        <v>81957.5</v>
      </c>
    </row>
    <row r="4718" spans="4:11" x14ac:dyDescent="0.35">
      <c r="D4718" s="1">
        <v>38782</v>
      </c>
      <c r="E4718">
        <v>2.1253000000000002</v>
      </c>
      <c r="I4718" s="1">
        <v>38685</v>
      </c>
      <c r="J4718">
        <v>8176.05</v>
      </c>
      <c r="K4718" s="4">
        <f t="shared" si="300"/>
        <v>81760.5</v>
      </c>
    </row>
    <row r="4719" spans="4:11" x14ac:dyDescent="0.35">
      <c r="D4719" s="1">
        <v>38779</v>
      </c>
      <c r="E4719">
        <v>2.1147</v>
      </c>
      <c r="I4719" s="1">
        <v>38684</v>
      </c>
      <c r="J4719">
        <v>8164.9</v>
      </c>
      <c r="K4719" s="4">
        <f t="shared" si="300"/>
        <v>81649</v>
      </c>
    </row>
    <row r="4720" spans="4:11" x14ac:dyDescent="0.35">
      <c r="D4720" s="1">
        <v>38778</v>
      </c>
      <c r="E4720">
        <v>2.1126</v>
      </c>
      <c r="I4720" s="1">
        <v>38681</v>
      </c>
      <c r="J4720">
        <v>8313.5499999999993</v>
      </c>
      <c r="K4720" s="4">
        <f t="shared" si="300"/>
        <v>83135.5</v>
      </c>
    </row>
    <row r="4721" spans="4:11" x14ac:dyDescent="0.35">
      <c r="D4721" s="1">
        <v>38777</v>
      </c>
      <c r="E4721">
        <v>2.1173000000000002</v>
      </c>
      <c r="I4721" s="1">
        <v>38680</v>
      </c>
      <c r="J4721">
        <v>8347</v>
      </c>
      <c r="K4721" s="4">
        <f t="shared" si="300"/>
        <v>83470</v>
      </c>
    </row>
    <row r="4722" spans="4:11" x14ac:dyDescent="0.35">
      <c r="D4722" s="1">
        <v>38772</v>
      </c>
      <c r="E4722">
        <v>2.1347</v>
      </c>
      <c r="I4722" s="1">
        <v>38679</v>
      </c>
      <c r="J4722">
        <v>8360.01</v>
      </c>
      <c r="K4722" s="4">
        <f t="shared" si="300"/>
        <v>83600.100000000006</v>
      </c>
    </row>
    <row r="4723" spans="4:11" x14ac:dyDescent="0.35">
      <c r="D4723" s="1">
        <v>38771</v>
      </c>
      <c r="E4723">
        <v>2.1345000000000001</v>
      </c>
      <c r="I4723" s="1">
        <v>38678</v>
      </c>
      <c r="J4723">
        <v>8347</v>
      </c>
      <c r="K4723" s="4">
        <f t="shared" si="300"/>
        <v>83470</v>
      </c>
    </row>
    <row r="4724" spans="4:11" x14ac:dyDescent="0.35">
      <c r="D4724" s="1">
        <v>38770</v>
      </c>
      <c r="E4724">
        <v>2.1476000000000002</v>
      </c>
      <c r="I4724" s="1">
        <v>38677</v>
      </c>
      <c r="J4724">
        <v>8283.82</v>
      </c>
      <c r="K4724" s="4">
        <f t="shared" si="300"/>
        <v>82838.2</v>
      </c>
    </row>
    <row r="4725" spans="4:11" x14ac:dyDescent="0.35">
      <c r="D4725" s="1">
        <v>38769</v>
      </c>
      <c r="E4725">
        <v>2.1288999999999998</v>
      </c>
      <c r="I4725" s="1">
        <v>38674</v>
      </c>
      <c r="J4725">
        <v>8324.33</v>
      </c>
      <c r="K4725" s="4">
        <f t="shared" si="300"/>
        <v>83243.3</v>
      </c>
    </row>
    <row r="4726" spans="4:11" x14ac:dyDescent="0.35">
      <c r="D4726" s="1">
        <v>38768</v>
      </c>
      <c r="E4726">
        <v>2.1173999999999999</v>
      </c>
      <c r="I4726" s="1">
        <v>38673</v>
      </c>
      <c r="J4726">
        <v>8189.06</v>
      </c>
      <c r="K4726" s="4">
        <f t="shared" si="300"/>
        <v>81890.600000000006</v>
      </c>
    </row>
    <row r="4727" spans="4:11" x14ac:dyDescent="0.35">
      <c r="D4727" s="1">
        <v>38765</v>
      </c>
      <c r="E4727">
        <v>2.1177999999999999</v>
      </c>
      <c r="I4727" s="1">
        <v>38672</v>
      </c>
      <c r="J4727">
        <v>8209.5</v>
      </c>
      <c r="K4727" s="4">
        <f t="shared" si="300"/>
        <v>82095</v>
      </c>
    </row>
    <row r="4728" spans="4:11" x14ac:dyDescent="0.35">
      <c r="D4728" s="1">
        <v>38764</v>
      </c>
      <c r="E4728">
        <v>2.1168999999999998</v>
      </c>
      <c r="I4728" s="1">
        <v>38670</v>
      </c>
      <c r="J4728">
        <v>8257.81</v>
      </c>
      <c r="K4728" s="4">
        <f t="shared" si="300"/>
        <v>82578.099999999991</v>
      </c>
    </row>
    <row r="4729" spans="4:11" x14ac:dyDescent="0.35">
      <c r="D4729" s="1">
        <v>38763</v>
      </c>
      <c r="E4729">
        <v>2.1366999999999998</v>
      </c>
      <c r="I4729" s="1">
        <v>38667</v>
      </c>
      <c r="J4729">
        <v>8083.14</v>
      </c>
      <c r="K4729" s="4">
        <f t="shared" si="300"/>
        <v>80831.400000000009</v>
      </c>
    </row>
    <row r="4730" spans="4:11" x14ac:dyDescent="0.35">
      <c r="D4730" s="1">
        <v>38762</v>
      </c>
      <c r="E4730">
        <v>2.1427</v>
      </c>
      <c r="I4730" s="1">
        <v>38666</v>
      </c>
      <c r="J4730">
        <v>8105.44</v>
      </c>
      <c r="K4730" s="4">
        <f t="shared" si="300"/>
        <v>81054.399999999994</v>
      </c>
    </row>
    <row r="4731" spans="4:11" x14ac:dyDescent="0.35">
      <c r="D4731" s="1">
        <v>38761</v>
      </c>
      <c r="E4731">
        <v>2.1613000000000002</v>
      </c>
      <c r="I4731" s="1">
        <v>38665</v>
      </c>
      <c r="J4731">
        <v>8160.81</v>
      </c>
      <c r="K4731" s="4">
        <f t="shared" si="300"/>
        <v>81608.100000000006</v>
      </c>
    </row>
    <row r="4732" spans="4:11" x14ac:dyDescent="0.35">
      <c r="D4732" s="1">
        <v>38758</v>
      </c>
      <c r="E4732">
        <v>2.1566999999999998</v>
      </c>
      <c r="I4732" s="1">
        <v>38664</v>
      </c>
      <c r="J4732">
        <v>8198.35</v>
      </c>
      <c r="K4732" s="4">
        <f t="shared" si="300"/>
        <v>81983.5</v>
      </c>
    </row>
    <row r="4733" spans="4:11" x14ac:dyDescent="0.35">
      <c r="D4733" s="1">
        <v>38757</v>
      </c>
      <c r="E4733">
        <v>2.177</v>
      </c>
      <c r="I4733" s="1">
        <v>38663</v>
      </c>
      <c r="J4733">
        <v>8268.9599999999991</v>
      </c>
      <c r="K4733" s="4">
        <f t="shared" si="300"/>
        <v>82689.599999999991</v>
      </c>
    </row>
    <row r="4734" spans="4:11" x14ac:dyDescent="0.35">
      <c r="D4734" s="1">
        <v>38756</v>
      </c>
      <c r="E4734">
        <v>2.1947999999999999</v>
      </c>
      <c r="I4734" s="1">
        <v>38660</v>
      </c>
      <c r="J4734">
        <v>8291.26</v>
      </c>
      <c r="K4734" s="4">
        <f t="shared" si="300"/>
        <v>82912.600000000006</v>
      </c>
    </row>
    <row r="4735" spans="4:11" x14ac:dyDescent="0.35">
      <c r="D4735" s="1">
        <v>38755</v>
      </c>
      <c r="E4735">
        <v>2.1858</v>
      </c>
      <c r="I4735" s="1">
        <v>38659</v>
      </c>
      <c r="J4735">
        <v>8343.2900000000009</v>
      </c>
      <c r="K4735" s="4">
        <f t="shared" si="300"/>
        <v>83432.900000000009</v>
      </c>
    </row>
    <row r="4736" spans="4:11" x14ac:dyDescent="0.35">
      <c r="D4736" s="1">
        <v>38754</v>
      </c>
      <c r="E4736">
        <v>2.1869000000000001</v>
      </c>
      <c r="I4736" s="1">
        <v>38657</v>
      </c>
      <c r="J4736">
        <v>8447.34</v>
      </c>
      <c r="K4736" s="4">
        <f t="shared" si="300"/>
        <v>84473.4</v>
      </c>
    </row>
    <row r="4737" spans="4:11" x14ac:dyDescent="0.35">
      <c r="D4737" s="1">
        <v>38751</v>
      </c>
      <c r="E4737">
        <v>2.2193999999999998</v>
      </c>
      <c r="I4737" s="1">
        <v>38656</v>
      </c>
      <c r="J4737">
        <v>8447.34</v>
      </c>
      <c r="K4737" s="4">
        <f t="shared" si="300"/>
        <v>84473.4</v>
      </c>
    </row>
    <row r="4738" spans="4:11" x14ac:dyDescent="0.35">
      <c r="D4738" s="1">
        <v>38750</v>
      </c>
      <c r="E4738">
        <v>2.2202000000000002</v>
      </c>
      <c r="I4738" s="1">
        <v>38653</v>
      </c>
      <c r="J4738">
        <v>8484.81</v>
      </c>
      <c r="K4738" s="4">
        <f t="shared" si="300"/>
        <v>84848.099999999991</v>
      </c>
    </row>
    <row r="4739" spans="4:11" x14ac:dyDescent="0.35">
      <c r="D4739" s="1">
        <v>38749</v>
      </c>
      <c r="E4739">
        <v>2.2208999999999999</v>
      </c>
      <c r="I4739" s="1">
        <v>38652</v>
      </c>
      <c r="J4739">
        <v>8593.44</v>
      </c>
      <c r="K4739" s="4">
        <f t="shared" si="300"/>
        <v>85934.400000000009</v>
      </c>
    </row>
    <row r="4740" spans="4:11" x14ac:dyDescent="0.35">
      <c r="D4740" s="1">
        <v>38748</v>
      </c>
      <c r="E4740">
        <v>2.2151999999999998</v>
      </c>
      <c r="I4740" s="1">
        <v>38651</v>
      </c>
      <c r="J4740">
        <v>8574.7099999999991</v>
      </c>
      <c r="K4740" s="4">
        <f t="shared" si="300"/>
        <v>85747.099999999991</v>
      </c>
    </row>
    <row r="4741" spans="4:11" x14ac:dyDescent="0.35">
      <c r="D4741" s="1">
        <v>38747</v>
      </c>
      <c r="E4741">
        <v>2.2107999999999999</v>
      </c>
      <c r="I4741" s="1">
        <v>38650</v>
      </c>
      <c r="J4741">
        <v>8520.39</v>
      </c>
      <c r="K4741" s="4">
        <f t="shared" ref="K4741:K4804" si="301">J4741*10</f>
        <v>85203.9</v>
      </c>
    </row>
    <row r="4742" spans="4:11" x14ac:dyDescent="0.35">
      <c r="D4742" s="1">
        <v>38744</v>
      </c>
      <c r="E4742">
        <v>2.2143999999999999</v>
      </c>
      <c r="I4742" s="1">
        <v>38649</v>
      </c>
      <c r="J4742">
        <v>8485.18</v>
      </c>
      <c r="K4742" s="4">
        <f t="shared" si="301"/>
        <v>84851.8</v>
      </c>
    </row>
    <row r="4743" spans="4:11" x14ac:dyDescent="0.35">
      <c r="D4743" s="1">
        <v>38743</v>
      </c>
      <c r="E4743">
        <v>2.2374000000000001</v>
      </c>
      <c r="I4743" s="1">
        <v>38646</v>
      </c>
      <c r="J4743">
        <v>8511.0300000000007</v>
      </c>
      <c r="K4743" s="4">
        <f t="shared" si="301"/>
        <v>85110.3</v>
      </c>
    </row>
    <row r="4744" spans="4:11" x14ac:dyDescent="0.35">
      <c r="D4744" s="1">
        <v>38742</v>
      </c>
      <c r="E4744">
        <v>2.2425000000000002</v>
      </c>
      <c r="I4744" s="1">
        <v>38645</v>
      </c>
      <c r="J4744">
        <v>8499.7900000000009</v>
      </c>
      <c r="K4744" s="4">
        <f t="shared" si="301"/>
        <v>84997.900000000009</v>
      </c>
    </row>
    <row r="4745" spans="4:11" x14ac:dyDescent="0.35">
      <c r="D4745" s="1">
        <v>38741</v>
      </c>
      <c r="E4745">
        <v>2.2431999999999999</v>
      </c>
      <c r="I4745" s="1">
        <v>38644</v>
      </c>
      <c r="J4745">
        <v>8423</v>
      </c>
      <c r="K4745" s="4">
        <f t="shared" si="301"/>
        <v>84230</v>
      </c>
    </row>
    <row r="4746" spans="4:11" x14ac:dyDescent="0.35">
      <c r="D4746" s="1">
        <v>38740</v>
      </c>
      <c r="E4746">
        <v>2.2601</v>
      </c>
      <c r="I4746" s="1">
        <v>38643</v>
      </c>
      <c r="J4746">
        <v>8466.07</v>
      </c>
      <c r="K4746" s="4">
        <f t="shared" si="301"/>
        <v>84660.7</v>
      </c>
    </row>
    <row r="4747" spans="4:11" x14ac:dyDescent="0.35">
      <c r="D4747" s="1">
        <v>38737</v>
      </c>
      <c r="E4747">
        <v>2.2747999999999999</v>
      </c>
      <c r="I4747" s="1">
        <v>38642</v>
      </c>
      <c r="J4747">
        <v>8421.1200000000008</v>
      </c>
      <c r="K4747" s="4">
        <f t="shared" si="301"/>
        <v>84211.200000000012</v>
      </c>
    </row>
    <row r="4748" spans="4:11" x14ac:dyDescent="0.35">
      <c r="D4748" s="1">
        <v>38736</v>
      </c>
      <c r="E4748">
        <v>2.3216999999999999</v>
      </c>
      <c r="I4748" s="1">
        <v>38639</v>
      </c>
      <c r="J4748">
        <v>8473.57</v>
      </c>
      <c r="K4748" s="4">
        <f t="shared" si="301"/>
        <v>84735.7</v>
      </c>
    </row>
    <row r="4749" spans="4:11" x14ac:dyDescent="0.35">
      <c r="D4749" s="1">
        <v>38735</v>
      </c>
      <c r="E4749">
        <v>2.3268</v>
      </c>
      <c r="I4749" s="1">
        <v>38638</v>
      </c>
      <c r="J4749">
        <v>8545.49</v>
      </c>
      <c r="K4749" s="4">
        <f t="shared" si="301"/>
        <v>85454.9</v>
      </c>
    </row>
    <row r="4750" spans="4:11" x14ac:dyDescent="0.35">
      <c r="D4750" s="1">
        <v>38734</v>
      </c>
      <c r="E4750">
        <v>2.2915999999999999</v>
      </c>
      <c r="I4750" s="1">
        <v>38636</v>
      </c>
      <c r="J4750">
        <v>8428.61</v>
      </c>
      <c r="K4750" s="4">
        <f t="shared" si="301"/>
        <v>84286.1</v>
      </c>
    </row>
    <row r="4751" spans="4:11" x14ac:dyDescent="0.35">
      <c r="D4751" s="1">
        <v>38733</v>
      </c>
      <c r="E4751">
        <v>2.2753999999999999</v>
      </c>
      <c r="I4751" s="1">
        <v>38635</v>
      </c>
      <c r="J4751">
        <v>8469.82</v>
      </c>
      <c r="K4751" s="4">
        <f t="shared" si="301"/>
        <v>84698.2</v>
      </c>
    </row>
    <row r="4752" spans="4:11" x14ac:dyDescent="0.35">
      <c r="D4752" s="1">
        <v>38730</v>
      </c>
      <c r="E4752">
        <v>2.2738999999999998</v>
      </c>
      <c r="I4752" s="1">
        <v>38632</v>
      </c>
      <c r="J4752">
        <v>8484.81</v>
      </c>
      <c r="K4752" s="4">
        <f t="shared" si="301"/>
        <v>84848.099999999991</v>
      </c>
    </row>
    <row r="4753" spans="4:11" x14ac:dyDescent="0.35">
      <c r="D4753" s="1">
        <v>38729</v>
      </c>
      <c r="E4753">
        <v>2.2721</v>
      </c>
      <c r="I4753" s="1">
        <v>38631</v>
      </c>
      <c r="J4753">
        <v>8642.14</v>
      </c>
      <c r="K4753" s="4">
        <f t="shared" si="301"/>
        <v>86421.4</v>
      </c>
    </row>
    <row r="4754" spans="4:11" x14ac:dyDescent="0.35">
      <c r="D4754" s="1">
        <v>38728</v>
      </c>
      <c r="E4754">
        <v>2.2671000000000001</v>
      </c>
      <c r="I4754" s="1">
        <v>38630</v>
      </c>
      <c r="J4754">
        <v>8582.2000000000007</v>
      </c>
      <c r="K4754" s="4">
        <f t="shared" si="301"/>
        <v>85822</v>
      </c>
    </row>
    <row r="4755" spans="4:11" x14ac:dyDescent="0.35">
      <c r="D4755" s="1">
        <v>38727</v>
      </c>
      <c r="E4755">
        <v>2.2629999999999999</v>
      </c>
      <c r="I4755" s="1">
        <v>38629</v>
      </c>
      <c r="J4755">
        <v>8578.4599999999991</v>
      </c>
      <c r="K4755" s="4">
        <f t="shared" si="301"/>
        <v>85784.599999999991</v>
      </c>
    </row>
    <row r="4756" spans="4:11" x14ac:dyDescent="0.35">
      <c r="D4756" s="1">
        <v>38726</v>
      </c>
      <c r="E4756">
        <v>2.2624</v>
      </c>
      <c r="I4756" s="1">
        <v>38628</v>
      </c>
      <c r="J4756">
        <v>8481.06</v>
      </c>
      <c r="K4756" s="4">
        <f t="shared" si="301"/>
        <v>84810.599999999991</v>
      </c>
    </row>
    <row r="4757" spans="4:11" x14ac:dyDescent="0.35">
      <c r="D4757" s="1">
        <v>38723</v>
      </c>
      <c r="E4757">
        <v>2.2862</v>
      </c>
      <c r="I4757" s="1">
        <v>38625</v>
      </c>
      <c r="J4757">
        <v>8462.33</v>
      </c>
      <c r="K4757" s="4">
        <f t="shared" si="301"/>
        <v>84623.3</v>
      </c>
    </row>
    <row r="4758" spans="4:11" x14ac:dyDescent="0.35">
      <c r="D4758" s="1">
        <v>38722</v>
      </c>
      <c r="E4758">
        <v>2.2816999999999998</v>
      </c>
      <c r="I4758" s="1">
        <v>38624</v>
      </c>
      <c r="J4758">
        <v>8437.57</v>
      </c>
      <c r="K4758" s="4">
        <f t="shared" si="301"/>
        <v>84375.7</v>
      </c>
    </row>
    <row r="4759" spans="4:11" x14ac:dyDescent="0.35">
      <c r="D4759" s="1">
        <v>38721</v>
      </c>
      <c r="E4759">
        <v>2.3058000000000001</v>
      </c>
      <c r="I4759" s="1">
        <v>38623</v>
      </c>
      <c r="J4759">
        <v>8506.14</v>
      </c>
      <c r="K4759" s="4">
        <f t="shared" si="301"/>
        <v>85061.4</v>
      </c>
    </row>
    <row r="4760" spans="4:11" x14ac:dyDescent="0.35">
      <c r="D4760" s="1">
        <v>38720</v>
      </c>
      <c r="E4760">
        <v>2.3452000000000002</v>
      </c>
      <c r="I4760" s="1">
        <v>38622</v>
      </c>
      <c r="J4760">
        <v>8620.41</v>
      </c>
      <c r="K4760" s="4">
        <f t="shared" si="301"/>
        <v>86204.1</v>
      </c>
    </row>
    <row r="4761" spans="4:11" x14ac:dyDescent="0.35">
      <c r="D4761" s="1">
        <v>38719</v>
      </c>
      <c r="E4761">
        <v>2.3361999999999998</v>
      </c>
      <c r="I4761" s="1">
        <v>38621</v>
      </c>
      <c r="J4761">
        <v>8589.94</v>
      </c>
      <c r="K4761" s="4">
        <f t="shared" si="301"/>
        <v>85899.400000000009</v>
      </c>
    </row>
    <row r="4762" spans="4:11" x14ac:dyDescent="0.35">
      <c r="D4762" s="1">
        <v>38716</v>
      </c>
      <c r="E4762">
        <v>2.3399000000000001</v>
      </c>
      <c r="I4762" s="1">
        <v>38618</v>
      </c>
      <c r="J4762">
        <v>8669.93</v>
      </c>
      <c r="K4762" s="4">
        <f t="shared" si="301"/>
        <v>86699.3</v>
      </c>
    </row>
    <row r="4763" spans="4:11" x14ac:dyDescent="0.35">
      <c r="D4763" s="1">
        <v>38715</v>
      </c>
      <c r="E4763">
        <v>2.3399000000000001</v>
      </c>
      <c r="I4763" s="1">
        <v>38617</v>
      </c>
      <c r="J4763">
        <v>8698.5</v>
      </c>
      <c r="K4763" s="4">
        <f t="shared" si="301"/>
        <v>86985</v>
      </c>
    </row>
    <row r="4764" spans="4:11" x14ac:dyDescent="0.35">
      <c r="D4764" s="1">
        <v>38714</v>
      </c>
      <c r="E4764">
        <v>2.3475000000000001</v>
      </c>
      <c r="I4764" s="1">
        <v>38616</v>
      </c>
      <c r="J4764">
        <v>8696.6</v>
      </c>
      <c r="K4764" s="4">
        <f t="shared" si="301"/>
        <v>86966</v>
      </c>
    </row>
    <row r="4765" spans="4:11" x14ac:dyDescent="0.35">
      <c r="D4765" s="1">
        <v>38713</v>
      </c>
      <c r="E4765">
        <v>2.3517999999999999</v>
      </c>
      <c r="I4765" s="1">
        <v>38615</v>
      </c>
      <c r="J4765">
        <v>8799.4500000000007</v>
      </c>
      <c r="K4765" s="4">
        <f t="shared" si="301"/>
        <v>87994.5</v>
      </c>
    </row>
    <row r="4766" spans="4:11" x14ac:dyDescent="0.35">
      <c r="D4766" s="1">
        <v>38712</v>
      </c>
      <c r="E4766">
        <v>2.3317000000000001</v>
      </c>
      <c r="I4766" s="1">
        <v>38614</v>
      </c>
      <c r="J4766">
        <v>8795.64</v>
      </c>
      <c r="K4766" s="4">
        <f t="shared" si="301"/>
        <v>87956.4</v>
      </c>
    </row>
    <row r="4767" spans="4:11" x14ac:dyDescent="0.35">
      <c r="D4767" s="1">
        <v>38709</v>
      </c>
      <c r="E4767">
        <v>2.3319000000000001</v>
      </c>
      <c r="I4767" s="1">
        <v>38611</v>
      </c>
      <c r="J4767">
        <v>8818.5</v>
      </c>
      <c r="K4767" s="4">
        <f t="shared" si="301"/>
        <v>88185</v>
      </c>
    </row>
    <row r="4768" spans="4:11" x14ac:dyDescent="0.35">
      <c r="D4768" s="1">
        <v>38708</v>
      </c>
      <c r="E4768">
        <v>2.3246000000000002</v>
      </c>
      <c r="I4768" s="1">
        <v>38610</v>
      </c>
      <c r="J4768">
        <v>8814.69</v>
      </c>
      <c r="K4768" s="4">
        <f t="shared" si="301"/>
        <v>88146.900000000009</v>
      </c>
    </row>
    <row r="4769" spans="4:11" x14ac:dyDescent="0.35">
      <c r="D4769" s="1">
        <v>38707</v>
      </c>
      <c r="E4769">
        <v>2.3159999999999998</v>
      </c>
      <c r="I4769" s="1">
        <v>38609</v>
      </c>
      <c r="J4769">
        <v>8909.92</v>
      </c>
      <c r="K4769" s="4">
        <f t="shared" si="301"/>
        <v>89099.199999999997</v>
      </c>
    </row>
    <row r="4770" spans="4:11" x14ac:dyDescent="0.35">
      <c r="D4770" s="1">
        <v>38706</v>
      </c>
      <c r="E4770">
        <v>2.3489</v>
      </c>
      <c r="I4770" s="1">
        <v>38608</v>
      </c>
      <c r="J4770">
        <v>8936.58</v>
      </c>
      <c r="K4770" s="4">
        <f t="shared" si="301"/>
        <v>89365.8</v>
      </c>
    </row>
    <row r="4771" spans="4:11" x14ac:dyDescent="0.35">
      <c r="D4771" s="1">
        <v>38705</v>
      </c>
      <c r="E4771">
        <v>2.3727</v>
      </c>
      <c r="I4771" s="1">
        <v>38607</v>
      </c>
      <c r="J4771">
        <v>8908.02</v>
      </c>
      <c r="K4771" s="4">
        <f t="shared" si="301"/>
        <v>89080.200000000012</v>
      </c>
    </row>
    <row r="4772" spans="4:11" x14ac:dyDescent="0.35">
      <c r="D4772" s="1">
        <v>38702</v>
      </c>
      <c r="E4772">
        <v>2.3348</v>
      </c>
      <c r="I4772" s="1">
        <v>38604</v>
      </c>
      <c r="J4772">
        <v>8906.11</v>
      </c>
      <c r="K4772" s="4">
        <f t="shared" si="301"/>
        <v>89061.1</v>
      </c>
    </row>
    <row r="4773" spans="4:11" x14ac:dyDescent="0.35">
      <c r="D4773" s="1">
        <v>38701</v>
      </c>
      <c r="E4773">
        <v>2.2949000000000002</v>
      </c>
      <c r="I4773" s="1">
        <v>38603</v>
      </c>
      <c r="J4773">
        <v>8951.82</v>
      </c>
      <c r="K4773" s="4">
        <f t="shared" si="301"/>
        <v>89518.2</v>
      </c>
    </row>
    <row r="4774" spans="4:11" x14ac:dyDescent="0.35">
      <c r="D4774" s="1">
        <v>38700</v>
      </c>
      <c r="E4774">
        <v>2.2770999999999999</v>
      </c>
      <c r="I4774" s="1">
        <v>38601</v>
      </c>
      <c r="J4774">
        <v>8955.6299999999992</v>
      </c>
      <c r="K4774" s="4">
        <f t="shared" si="301"/>
        <v>89556.299999999988</v>
      </c>
    </row>
    <row r="4775" spans="4:11" x14ac:dyDescent="0.35">
      <c r="D4775" s="1">
        <v>38699</v>
      </c>
      <c r="E4775">
        <v>2.2557</v>
      </c>
      <c r="I4775" s="1">
        <v>38600</v>
      </c>
      <c r="J4775">
        <v>8993.7199999999993</v>
      </c>
      <c r="K4775" s="4">
        <f t="shared" si="301"/>
        <v>89937.2</v>
      </c>
    </row>
    <row r="4776" spans="4:11" x14ac:dyDescent="0.35">
      <c r="D4776" s="1">
        <v>38698</v>
      </c>
      <c r="E4776">
        <v>2.2625999999999999</v>
      </c>
      <c r="I4776" s="1">
        <v>38597</v>
      </c>
      <c r="J4776">
        <v>8993.7199999999993</v>
      </c>
      <c r="K4776" s="4">
        <f t="shared" si="301"/>
        <v>89937.2</v>
      </c>
    </row>
    <row r="4777" spans="4:11" x14ac:dyDescent="0.35">
      <c r="D4777" s="1">
        <v>38695</v>
      </c>
      <c r="E4777">
        <v>2.2437999999999998</v>
      </c>
      <c r="I4777" s="1">
        <v>38596</v>
      </c>
      <c r="J4777">
        <v>9104.19</v>
      </c>
      <c r="K4777" s="4">
        <f t="shared" si="301"/>
        <v>91041.900000000009</v>
      </c>
    </row>
    <row r="4778" spans="4:11" x14ac:dyDescent="0.35">
      <c r="D4778" s="1">
        <v>38694</v>
      </c>
      <c r="E4778">
        <v>2.2119</v>
      </c>
      <c r="I4778" s="1">
        <v>38595</v>
      </c>
      <c r="J4778">
        <v>9111.81</v>
      </c>
      <c r="K4778" s="4">
        <f t="shared" si="301"/>
        <v>91118.099999999991</v>
      </c>
    </row>
    <row r="4779" spans="4:11" x14ac:dyDescent="0.35">
      <c r="D4779" s="1">
        <v>38693</v>
      </c>
      <c r="E4779">
        <v>2.1791999999999998</v>
      </c>
      <c r="I4779" s="1">
        <v>38594</v>
      </c>
      <c r="J4779">
        <v>9192.89</v>
      </c>
      <c r="K4779" s="4">
        <f t="shared" si="301"/>
        <v>91928.9</v>
      </c>
    </row>
    <row r="4780" spans="4:11" x14ac:dyDescent="0.35">
      <c r="D4780" s="1">
        <v>38692</v>
      </c>
      <c r="E4780">
        <v>2.1798999999999999</v>
      </c>
      <c r="I4780" s="1">
        <v>38593</v>
      </c>
      <c r="J4780">
        <v>9239.2199999999993</v>
      </c>
      <c r="K4780" s="4">
        <f t="shared" si="301"/>
        <v>92392.2</v>
      </c>
    </row>
    <row r="4781" spans="4:11" x14ac:dyDescent="0.35">
      <c r="D4781" s="1">
        <v>38691</v>
      </c>
      <c r="E4781">
        <v>2.1960000000000002</v>
      </c>
      <c r="I4781" s="1">
        <v>38590</v>
      </c>
      <c r="J4781">
        <v>9297.14</v>
      </c>
      <c r="K4781" s="4">
        <f t="shared" si="301"/>
        <v>92971.4</v>
      </c>
    </row>
    <row r="4782" spans="4:11" x14ac:dyDescent="0.35">
      <c r="D4782" s="1">
        <v>38688</v>
      </c>
      <c r="E4782">
        <v>2.2052999999999998</v>
      </c>
      <c r="I4782" s="1">
        <v>38589</v>
      </c>
      <c r="J4782">
        <v>9289.42</v>
      </c>
      <c r="K4782" s="4">
        <f t="shared" si="301"/>
        <v>92894.2</v>
      </c>
    </row>
    <row r="4783" spans="4:11" x14ac:dyDescent="0.35">
      <c r="D4783" s="1">
        <v>38687</v>
      </c>
      <c r="E4783">
        <v>2.2168999999999999</v>
      </c>
      <c r="I4783" s="1">
        <v>38588</v>
      </c>
      <c r="J4783">
        <v>9497.91</v>
      </c>
      <c r="K4783" s="4">
        <f t="shared" si="301"/>
        <v>94979.1</v>
      </c>
    </row>
    <row r="4784" spans="4:11" x14ac:dyDescent="0.35">
      <c r="D4784" s="1">
        <v>38686</v>
      </c>
      <c r="E4784">
        <v>2.2061999999999999</v>
      </c>
      <c r="I4784" s="1">
        <v>38587</v>
      </c>
      <c r="J4784">
        <v>9304.86</v>
      </c>
      <c r="K4784" s="4">
        <f t="shared" si="301"/>
        <v>93048.6</v>
      </c>
    </row>
    <row r="4785" spans="4:11" x14ac:dyDescent="0.35">
      <c r="D4785" s="1">
        <v>38685</v>
      </c>
      <c r="E4785">
        <v>2.1972</v>
      </c>
      <c r="I4785" s="1">
        <v>38586</v>
      </c>
      <c r="J4785">
        <v>9227.64</v>
      </c>
      <c r="K4785" s="4">
        <f t="shared" si="301"/>
        <v>92276.4</v>
      </c>
    </row>
    <row r="4786" spans="4:11" x14ac:dyDescent="0.35">
      <c r="D4786" s="1">
        <v>38684</v>
      </c>
      <c r="E4786">
        <v>2.2086000000000001</v>
      </c>
      <c r="I4786" s="1">
        <v>38583</v>
      </c>
      <c r="J4786">
        <v>9494.0400000000009</v>
      </c>
      <c r="K4786" s="4">
        <f t="shared" si="301"/>
        <v>94940.400000000009</v>
      </c>
    </row>
    <row r="4787" spans="4:11" x14ac:dyDescent="0.35">
      <c r="D4787" s="1">
        <v>38681</v>
      </c>
      <c r="E4787">
        <v>2.2321</v>
      </c>
      <c r="I4787" s="1">
        <v>38582</v>
      </c>
      <c r="J4787">
        <v>9320.2999999999993</v>
      </c>
      <c r="K4787" s="4">
        <f t="shared" si="301"/>
        <v>93203</v>
      </c>
    </row>
    <row r="4788" spans="4:11" x14ac:dyDescent="0.35">
      <c r="D4788" s="1">
        <v>38680</v>
      </c>
      <c r="E4788">
        <v>2.2362000000000002</v>
      </c>
      <c r="I4788" s="1">
        <v>38581</v>
      </c>
      <c r="J4788">
        <v>9138.84</v>
      </c>
      <c r="K4788" s="4">
        <f t="shared" si="301"/>
        <v>91388.4</v>
      </c>
    </row>
    <row r="4789" spans="4:11" x14ac:dyDescent="0.35">
      <c r="D4789" s="1">
        <v>38679</v>
      </c>
      <c r="E4789">
        <v>2.2372000000000001</v>
      </c>
      <c r="I4789" s="1">
        <v>38580</v>
      </c>
      <c r="J4789">
        <v>9154.2800000000007</v>
      </c>
      <c r="K4789" s="4">
        <f t="shared" si="301"/>
        <v>91542.8</v>
      </c>
    </row>
    <row r="4790" spans="4:11" x14ac:dyDescent="0.35">
      <c r="D4790" s="1">
        <v>38678</v>
      </c>
      <c r="E4790">
        <v>2.2503000000000002</v>
      </c>
      <c r="I4790" s="1">
        <v>38579</v>
      </c>
      <c r="J4790">
        <v>9080.92</v>
      </c>
      <c r="K4790" s="4">
        <f t="shared" si="301"/>
        <v>90809.2</v>
      </c>
    </row>
    <row r="4791" spans="4:11" x14ac:dyDescent="0.35">
      <c r="D4791" s="1">
        <v>38677</v>
      </c>
      <c r="E4791">
        <v>2.2172999999999998</v>
      </c>
      <c r="I4791" s="1">
        <v>38576</v>
      </c>
      <c r="J4791">
        <v>9239.2199999999993</v>
      </c>
      <c r="K4791" s="4">
        <f t="shared" si="301"/>
        <v>92392.2</v>
      </c>
    </row>
    <row r="4792" spans="4:11" x14ac:dyDescent="0.35">
      <c r="D4792" s="1">
        <v>38674</v>
      </c>
      <c r="E4792">
        <v>2.2179000000000002</v>
      </c>
      <c r="I4792" s="1">
        <v>38575</v>
      </c>
      <c r="J4792">
        <v>9169.73</v>
      </c>
      <c r="K4792" s="4">
        <f t="shared" si="301"/>
        <v>91697.299999999988</v>
      </c>
    </row>
    <row r="4793" spans="4:11" x14ac:dyDescent="0.35">
      <c r="D4793" s="1">
        <v>38673</v>
      </c>
      <c r="E4793">
        <v>2.1858</v>
      </c>
      <c r="I4793" s="1">
        <v>38574</v>
      </c>
      <c r="J4793">
        <v>8891.74</v>
      </c>
      <c r="K4793" s="4">
        <f t="shared" si="301"/>
        <v>88917.4</v>
      </c>
    </row>
    <row r="4794" spans="4:11" x14ac:dyDescent="0.35">
      <c r="D4794" s="1">
        <v>38672</v>
      </c>
      <c r="E4794">
        <v>2.1966000000000001</v>
      </c>
      <c r="I4794" s="1">
        <v>38573</v>
      </c>
      <c r="J4794">
        <v>8918.77</v>
      </c>
      <c r="K4794" s="4">
        <f t="shared" si="301"/>
        <v>89187.700000000012</v>
      </c>
    </row>
    <row r="4795" spans="4:11" x14ac:dyDescent="0.35">
      <c r="D4795" s="1">
        <v>38670</v>
      </c>
      <c r="E4795">
        <v>2.1981999999999999</v>
      </c>
      <c r="I4795" s="1">
        <v>38572</v>
      </c>
      <c r="J4795">
        <v>9092.51</v>
      </c>
      <c r="K4795" s="4">
        <f t="shared" si="301"/>
        <v>90925.1</v>
      </c>
    </row>
    <row r="4796" spans="4:11" x14ac:dyDescent="0.35">
      <c r="D4796" s="1">
        <v>38667</v>
      </c>
      <c r="E4796">
        <v>2.1625000000000001</v>
      </c>
      <c r="I4796" s="1">
        <v>38569</v>
      </c>
      <c r="J4796">
        <v>9015.2900000000009</v>
      </c>
      <c r="K4796" s="4">
        <f t="shared" si="301"/>
        <v>90152.900000000009</v>
      </c>
    </row>
    <row r="4797" spans="4:11" x14ac:dyDescent="0.35">
      <c r="D4797" s="1">
        <v>38666</v>
      </c>
      <c r="E4797">
        <v>2.1749000000000001</v>
      </c>
      <c r="I4797" s="1">
        <v>38568</v>
      </c>
      <c r="J4797">
        <v>9019.15</v>
      </c>
      <c r="K4797" s="4">
        <f t="shared" si="301"/>
        <v>90191.5</v>
      </c>
    </row>
    <row r="4798" spans="4:11" x14ac:dyDescent="0.35">
      <c r="D4798" s="1">
        <v>38665</v>
      </c>
      <c r="E4798">
        <v>2.1709000000000001</v>
      </c>
      <c r="I4798" s="1">
        <v>38567</v>
      </c>
      <c r="J4798">
        <v>9080.92</v>
      </c>
      <c r="K4798" s="4">
        <f t="shared" si="301"/>
        <v>90809.2</v>
      </c>
    </row>
    <row r="4799" spans="4:11" x14ac:dyDescent="0.35">
      <c r="D4799" s="1">
        <v>38664</v>
      </c>
      <c r="E4799">
        <v>2.2023999999999999</v>
      </c>
      <c r="I4799" s="1">
        <v>38566</v>
      </c>
      <c r="J4799">
        <v>9142.7000000000007</v>
      </c>
      <c r="K4799" s="4">
        <f t="shared" si="301"/>
        <v>91427</v>
      </c>
    </row>
    <row r="4800" spans="4:11" x14ac:dyDescent="0.35">
      <c r="D4800" s="1">
        <v>38663</v>
      </c>
      <c r="E4800">
        <v>2.2004999999999999</v>
      </c>
      <c r="I4800" s="1">
        <v>38565</v>
      </c>
      <c r="J4800">
        <v>9289.42</v>
      </c>
      <c r="K4800" s="4">
        <f t="shared" si="301"/>
        <v>92894.2</v>
      </c>
    </row>
    <row r="4801" spans="4:11" x14ac:dyDescent="0.35">
      <c r="D4801" s="1">
        <v>38660</v>
      </c>
      <c r="E4801">
        <v>2.2223000000000002</v>
      </c>
      <c r="I4801" s="1">
        <v>38562</v>
      </c>
      <c r="J4801">
        <v>9289.42</v>
      </c>
      <c r="K4801" s="4">
        <f t="shared" si="301"/>
        <v>92894.2</v>
      </c>
    </row>
    <row r="4802" spans="4:11" x14ac:dyDescent="0.35">
      <c r="D4802" s="1">
        <v>38659</v>
      </c>
      <c r="E4802">
        <v>2.2328000000000001</v>
      </c>
      <c r="I4802" s="1">
        <v>38561</v>
      </c>
      <c r="J4802">
        <v>9339.8799999999992</v>
      </c>
      <c r="K4802" s="4">
        <f t="shared" si="301"/>
        <v>93398.799999999988</v>
      </c>
    </row>
    <row r="4803" spans="4:11" x14ac:dyDescent="0.35">
      <c r="D4803" s="1">
        <v>38657</v>
      </c>
      <c r="E4803">
        <v>2.2507999999999999</v>
      </c>
      <c r="I4803" s="1">
        <v>38560</v>
      </c>
      <c r="J4803">
        <v>9483.51</v>
      </c>
      <c r="K4803" s="4">
        <f t="shared" si="301"/>
        <v>94835.1</v>
      </c>
    </row>
    <row r="4804" spans="4:11" x14ac:dyDescent="0.35">
      <c r="D4804" s="1">
        <v>38656</v>
      </c>
      <c r="E4804">
        <v>2.2534999999999998</v>
      </c>
      <c r="I4804" s="1">
        <v>38559</v>
      </c>
      <c r="J4804">
        <v>9452.4599999999991</v>
      </c>
      <c r="K4804" s="4">
        <f t="shared" si="301"/>
        <v>94524.599999999991</v>
      </c>
    </row>
    <row r="4805" spans="4:11" x14ac:dyDescent="0.35">
      <c r="D4805" s="1">
        <v>38653</v>
      </c>
      <c r="E4805">
        <v>2.2783000000000002</v>
      </c>
      <c r="I4805" s="1">
        <v>38558</v>
      </c>
      <c r="J4805">
        <v>9662.08</v>
      </c>
      <c r="K4805" s="4">
        <f t="shared" ref="K4805:K4853" si="302">J4805*10</f>
        <v>96620.800000000003</v>
      </c>
    </row>
    <row r="4806" spans="4:11" x14ac:dyDescent="0.35">
      <c r="D4806" s="1">
        <v>38652</v>
      </c>
      <c r="E4806">
        <v>2.2843</v>
      </c>
      <c r="I4806" s="1">
        <v>38555</v>
      </c>
      <c r="J4806">
        <v>9328.23</v>
      </c>
      <c r="K4806" s="4">
        <f t="shared" si="302"/>
        <v>93282.299999999988</v>
      </c>
    </row>
    <row r="4807" spans="4:11" x14ac:dyDescent="0.35">
      <c r="D4807" s="1">
        <v>38651</v>
      </c>
      <c r="E4807">
        <v>2.2738</v>
      </c>
      <c r="I4807" s="1">
        <v>38554</v>
      </c>
      <c r="J4807">
        <v>9207.9</v>
      </c>
      <c r="K4807" s="4">
        <f t="shared" si="302"/>
        <v>92079</v>
      </c>
    </row>
    <row r="4808" spans="4:11" x14ac:dyDescent="0.35">
      <c r="D4808" s="1">
        <v>38650</v>
      </c>
      <c r="E4808">
        <v>2.2610000000000001</v>
      </c>
      <c r="I4808" s="1">
        <v>38553</v>
      </c>
      <c r="J4808">
        <v>9099.2000000000007</v>
      </c>
      <c r="K4808" s="4">
        <f t="shared" si="302"/>
        <v>90992</v>
      </c>
    </row>
    <row r="4809" spans="4:11" x14ac:dyDescent="0.35">
      <c r="D4809" s="1">
        <v>38649</v>
      </c>
      <c r="E4809">
        <v>2.2614999999999998</v>
      </c>
      <c r="I4809" s="1">
        <v>38552</v>
      </c>
      <c r="J4809">
        <v>9149.67</v>
      </c>
      <c r="K4809" s="4">
        <f t="shared" si="302"/>
        <v>91496.7</v>
      </c>
    </row>
    <row r="4810" spans="4:11" x14ac:dyDescent="0.35">
      <c r="D4810" s="1">
        <v>38646</v>
      </c>
      <c r="E4810">
        <v>2.2538</v>
      </c>
      <c r="I4810" s="1">
        <v>38551</v>
      </c>
      <c r="J4810">
        <v>9122.49</v>
      </c>
      <c r="K4810" s="4">
        <f t="shared" si="302"/>
        <v>91224.9</v>
      </c>
    </row>
    <row r="4811" spans="4:11" x14ac:dyDescent="0.35">
      <c r="D4811" s="1">
        <v>38645</v>
      </c>
      <c r="E4811">
        <v>2.2435</v>
      </c>
      <c r="I4811" s="1">
        <v>38548</v>
      </c>
      <c r="J4811">
        <v>9141.9</v>
      </c>
      <c r="K4811" s="4">
        <f t="shared" si="302"/>
        <v>91419</v>
      </c>
    </row>
    <row r="4812" spans="4:11" x14ac:dyDescent="0.35">
      <c r="D4812" s="1">
        <v>38644</v>
      </c>
      <c r="E4812">
        <v>2.2526999999999999</v>
      </c>
      <c r="I4812" s="1">
        <v>38547</v>
      </c>
      <c r="J4812">
        <v>9114.73</v>
      </c>
      <c r="K4812" s="4">
        <f t="shared" si="302"/>
        <v>91147.299999999988</v>
      </c>
    </row>
    <row r="4813" spans="4:11" x14ac:dyDescent="0.35">
      <c r="D4813" s="1">
        <v>38643</v>
      </c>
      <c r="E4813">
        <v>2.2397</v>
      </c>
      <c r="I4813" s="1">
        <v>38546</v>
      </c>
      <c r="J4813">
        <v>9200.1299999999992</v>
      </c>
      <c r="K4813" s="4">
        <f t="shared" si="302"/>
        <v>92001.299999999988</v>
      </c>
    </row>
    <row r="4814" spans="4:11" x14ac:dyDescent="0.35">
      <c r="D4814" s="1">
        <v>38642</v>
      </c>
      <c r="E4814">
        <v>2.2343999999999999</v>
      </c>
      <c r="I4814" s="1">
        <v>38545</v>
      </c>
      <c r="J4814">
        <v>9141.9</v>
      </c>
      <c r="K4814" s="4">
        <f t="shared" si="302"/>
        <v>91419</v>
      </c>
    </row>
    <row r="4815" spans="4:11" x14ac:dyDescent="0.35">
      <c r="D4815" s="1">
        <v>38639</v>
      </c>
      <c r="E4815">
        <v>2.2503000000000002</v>
      </c>
      <c r="I4815" s="1">
        <v>38544</v>
      </c>
      <c r="J4815">
        <v>9157.43</v>
      </c>
      <c r="K4815" s="4">
        <f t="shared" si="302"/>
        <v>91574.3</v>
      </c>
    </row>
    <row r="4816" spans="4:11" x14ac:dyDescent="0.35">
      <c r="D4816" s="1">
        <v>38638</v>
      </c>
      <c r="E4816">
        <v>2.2618999999999998</v>
      </c>
      <c r="I4816" s="1">
        <v>38541</v>
      </c>
      <c r="J4816">
        <v>9270.01</v>
      </c>
      <c r="K4816" s="4">
        <f t="shared" si="302"/>
        <v>92700.1</v>
      </c>
    </row>
    <row r="4817" spans="4:11" x14ac:dyDescent="0.35">
      <c r="D4817" s="1">
        <v>38636</v>
      </c>
      <c r="E4817">
        <v>2.2343000000000002</v>
      </c>
      <c r="I4817" s="1">
        <v>38540</v>
      </c>
      <c r="J4817">
        <v>9301.06</v>
      </c>
      <c r="K4817" s="4">
        <f t="shared" si="302"/>
        <v>93010.599999999991</v>
      </c>
    </row>
    <row r="4818" spans="4:11" x14ac:dyDescent="0.35">
      <c r="D4818" s="1">
        <v>38635</v>
      </c>
      <c r="E4818">
        <v>2.2376</v>
      </c>
      <c r="I4818" s="1">
        <v>38539</v>
      </c>
      <c r="J4818">
        <v>9374.82</v>
      </c>
      <c r="K4818" s="4">
        <f t="shared" si="302"/>
        <v>93748.2</v>
      </c>
    </row>
    <row r="4819" spans="4:11" x14ac:dyDescent="0.35">
      <c r="D4819" s="1">
        <v>38632</v>
      </c>
      <c r="E4819">
        <v>2.2622</v>
      </c>
      <c r="I4819" s="1">
        <v>38538</v>
      </c>
      <c r="J4819">
        <v>9332.1200000000008</v>
      </c>
      <c r="K4819" s="4">
        <f t="shared" si="302"/>
        <v>93321.200000000012</v>
      </c>
    </row>
    <row r="4820" spans="4:11" x14ac:dyDescent="0.35">
      <c r="D4820" s="1">
        <v>38631</v>
      </c>
      <c r="E4820">
        <v>2.2877999999999998</v>
      </c>
      <c r="I4820" s="1">
        <v>38537</v>
      </c>
      <c r="J4820">
        <v>9285.5300000000007</v>
      </c>
      <c r="K4820" s="4">
        <f t="shared" si="302"/>
        <v>92855.3</v>
      </c>
    </row>
    <row r="4821" spans="4:11" x14ac:dyDescent="0.35">
      <c r="D4821" s="1">
        <v>38630</v>
      </c>
      <c r="E4821">
        <v>2.2677</v>
      </c>
      <c r="I4821" s="1">
        <v>38534</v>
      </c>
      <c r="J4821">
        <v>9204.01</v>
      </c>
      <c r="K4821" s="4">
        <f t="shared" si="302"/>
        <v>92040.1</v>
      </c>
    </row>
    <row r="4822" spans="4:11" x14ac:dyDescent="0.35">
      <c r="D4822" s="1">
        <v>38629</v>
      </c>
      <c r="E4822">
        <v>2.2416</v>
      </c>
      <c r="I4822" s="1">
        <v>38533</v>
      </c>
      <c r="J4822">
        <v>9169.08</v>
      </c>
      <c r="K4822" s="4">
        <f t="shared" si="302"/>
        <v>91690.8</v>
      </c>
    </row>
    <row r="4823" spans="4:11" x14ac:dyDescent="0.35">
      <c r="D4823" s="1">
        <v>38628</v>
      </c>
      <c r="E4823">
        <v>2.2330999999999999</v>
      </c>
      <c r="I4823" s="1">
        <v>38532</v>
      </c>
      <c r="J4823">
        <v>9206.1299999999992</v>
      </c>
      <c r="K4823" s="4">
        <f t="shared" si="302"/>
        <v>92061.299999999988</v>
      </c>
    </row>
    <row r="4824" spans="4:11" x14ac:dyDescent="0.35">
      <c r="D4824" s="1">
        <v>38625</v>
      </c>
      <c r="E4824">
        <v>2.2214</v>
      </c>
      <c r="I4824" s="1">
        <v>38531</v>
      </c>
      <c r="J4824">
        <v>9260.75</v>
      </c>
      <c r="K4824" s="4">
        <f t="shared" si="302"/>
        <v>92607.5</v>
      </c>
    </row>
    <row r="4825" spans="4:11" x14ac:dyDescent="0.35">
      <c r="D4825" s="1">
        <v>38624</v>
      </c>
      <c r="E4825">
        <v>2.2235999999999998</v>
      </c>
      <c r="I4825" s="1">
        <v>38530</v>
      </c>
      <c r="J4825">
        <v>9288.0499999999993</v>
      </c>
      <c r="K4825" s="4">
        <f t="shared" si="302"/>
        <v>92880.5</v>
      </c>
    </row>
    <row r="4826" spans="4:11" x14ac:dyDescent="0.35">
      <c r="D4826" s="1">
        <v>38623</v>
      </c>
      <c r="E4826">
        <v>2.2425000000000002</v>
      </c>
      <c r="I4826" s="1">
        <v>38527</v>
      </c>
      <c r="J4826">
        <v>9323.16</v>
      </c>
      <c r="K4826" s="4">
        <f t="shared" si="302"/>
        <v>93231.6</v>
      </c>
    </row>
    <row r="4827" spans="4:11" x14ac:dyDescent="0.35">
      <c r="D4827" s="1">
        <v>38622</v>
      </c>
      <c r="E4827">
        <v>2.2524999999999999</v>
      </c>
      <c r="I4827" s="1">
        <v>38526</v>
      </c>
      <c r="J4827">
        <v>9424.59</v>
      </c>
      <c r="K4827" s="4">
        <f t="shared" si="302"/>
        <v>94245.9</v>
      </c>
    </row>
    <row r="4828" spans="4:11" x14ac:dyDescent="0.35">
      <c r="D4828" s="1">
        <v>38621</v>
      </c>
      <c r="E4828">
        <v>2.2574999999999998</v>
      </c>
      <c r="I4828" s="1">
        <v>38525</v>
      </c>
      <c r="J4828">
        <v>9346.57</v>
      </c>
      <c r="K4828" s="4">
        <f t="shared" si="302"/>
        <v>93465.7</v>
      </c>
    </row>
    <row r="4829" spans="4:11" x14ac:dyDescent="0.35">
      <c r="D4829" s="1">
        <v>38618</v>
      </c>
      <c r="E4829">
        <v>2.2673999999999999</v>
      </c>
      <c r="I4829" s="1">
        <v>38524</v>
      </c>
      <c r="J4829">
        <v>9303.64</v>
      </c>
      <c r="K4829" s="4">
        <f t="shared" si="302"/>
        <v>93036.4</v>
      </c>
    </row>
    <row r="4830" spans="4:11" x14ac:dyDescent="0.35">
      <c r="D4830" s="1">
        <v>38617</v>
      </c>
      <c r="E4830">
        <v>2.2744</v>
      </c>
      <c r="I4830" s="1">
        <v>38523</v>
      </c>
      <c r="J4830">
        <v>9389.49</v>
      </c>
      <c r="K4830" s="4">
        <f t="shared" si="302"/>
        <v>93894.9</v>
      </c>
    </row>
    <row r="4831" spans="4:11" x14ac:dyDescent="0.35">
      <c r="D4831" s="1">
        <v>38616</v>
      </c>
      <c r="E4831">
        <v>2.2818999999999998</v>
      </c>
      <c r="I4831" s="1">
        <v>38520</v>
      </c>
      <c r="J4831">
        <v>9366.08</v>
      </c>
      <c r="K4831" s="4">
        <f t="shared" si="302"/>
        <v>93660.800000000003</v>
      </c>
    </row>
    <row r="4832" spans="4:11" x14ac:dyDescent="0.35">
      <c r="D4832" s="1">
        <v>38615</v>
      </c>
      <c r="E4832">
        <v>2.294</v>
      </c>
      <c r="I4832" s="1">
        <v>38519</v>
      </c>
      <c r="J4832">
        <v>9436.33</v>
      </c>
      <c r="K4832" s="4">
        <f t="shared" si="302"/>
        <v>94363.3</v>
      </c>
    </row>
    <row r="4833" spans="4:11" x14ac:dyDescent="0.35">
      <c r="D4833" s="1">
        <v>38614</v>
      </c>
      <c r="E4833">
        <v>2.2896999999999998</v>
      </c>
      <c r="I4833" s="1">
        <v>38518</v>
      </c>
      <c r="J4833">
        <v>9522.18</v>
      </c>
      <c r="K4833" s="4">
        <f t="shared" si="302"/>
        <v>95221.8</v>
      </c>
    </row>
    <row r="4834" spans="4:11" x14ac:dyDescent="0.35">
      <c r="D4834" s="1">
        <v>38611</v>
      </c>
      <c r="E4834">
        <v>2.2928999999999999</v>
      </c>
      <c r="I4834" s="1">
        <v>38517</v>
      </c>
      <c r="J4834">
        <v>9561.2099999999991</v>
      </c>
      <c r="K4834" s="4">
        <f t="shared" si="302"/>
        <v>95612.099999999991</v>
      </c>
    </row>
    <row r="4835" spans="4:11" x14ac:dyDescent="0.35">
      <c r="D4835" s="1">
        <v>38610</v>
      </c>
      <c r="E4835">
        <v>2.3003999999999998</v>
      </c>
      <c r="I4835" s="1">
        <v>38516</v>
      </c>
      <c r="J4835">
        <v>9643.16</v>
      </c>
      <c r="K4835" s="4">
        <f t="shared" si="302"/>
        <v>96431.6</v>
      </c>
    </row>
    <row r="4836" spans="4:11" x14ac:dyDescent="0.35">
      <c r="D4836" s="1">
        <v>38609</v>
      </c>
      <c r="E4836">
        <v>2.3292000000000002</v>
      </c>
      <c r="I4836" s="1">
        <v>38513</v>
      </c>
      <c r="J4836">
        <v>9744.6299999999992</v>
      </c>
      <c r="K4836" s="4">
        <f t="shared" si="302"/>
        <v>97446.299999999988</v>
      </c>
    </row>
    <row r="4837" spans="4:11" x14ac:dyDescent="0.35">
      <c r="D4837" s="1">
        <v>38608</v>
      </c>
      <c r="E4837">
        <v>2.3260999999999998</v>
      </c>
      <c r="I4837" s="1">
        <v>38512</v>
      </c>
      <c r="J4837">
        <v>9853.9</v>
      </c>
      <c r="K4837" s="4">
        <f t="shared" si="302"/>
        <v>98539</v>
      </c>
    </row>
    <row r="4838" spans="4:11" x14ac:dyDescent="0.35">
      <c r="D4838" s="1">
        <v>38607</v>
      </c>
      <c r="E4838">
        <v>2.3189000000000002</v>
      </c>
      <c r="I4838" s="1">
        <v>38511</v>
      </c>
      <c r="J4838">
        <v>9709.5</v>
      </c>
      <c r="K4838" s="4">
        <f t="shared" si="302"/>
        <v>97095</v>
      </c>
    </row>
    <row r="4839" spans="4:11" x14ac:dyDescent="0.35">
      <c r="D4839" s="1">
        <v>38604</v>
      </c>
      <c r="E4839">
        <v>2.3167</v>
      </c>
      <c r="I4839" s="1">
        <v>38510</v>
      </c>
      <c r="J4839">
        <v>9697.7999999999993</v>
      </c>
      <c r="K4839" s="4">
        <f t="shared" si="302"/>
        <v>96978</v>
      </c>
    </row>
    <row r="4840" spans="4:11" x14ac:dyDescent="0.35">
      <c r="D4840" s="1">
        <v>38603</v>
      </c>
      <c r="E4840">
        <v>2.319</v>
      </c>
      <c r="I4840" s="1">
        <v>38509</v>
      </c>
      <c r="J4840">
        <v>9678.2800000000007</v>
      </c>
      <c r="K4840" s="4">
        <f t="shared" si="302"/>
        <v>96782.8</v>
      </c>
    </row>
    <row r="4841" spans="4:11" x14ac:dyDescent="0.35">
      <c r="D4841" s="1">
        <v>38601</v>
      </c>
      <c r="E4841">
        <v>2.3254000000000001</v>
      </c>
      <c r="I4841" s="1">
        <v>38506</v>
      </c>
      <c r="J4841">
        <v>9561.2099999999991</v>
      </c>
      <c r="K4841" s="4">
        <f t="shared" si="302"/>
        <v>95612.099999999991</v>
      </c>
    </row>
    <row r="4842" spans="4:11" x14ac:dyDescent="0.35">
      <c r="D4842" s="1">
        <v>38600</v>
      </c>
      <c r="E4842">
        <v>2.3287</v>
      </c>
      <c r="I4842" s="1">
        <v>38505</v>
      </c>
      <c r="J4842">
        <v>9522.18</v>
      </c>
      <c r="K4842" s="4">
        <f t="shared" si="302"/>
        <v>95221.8</v>
      </c>
    </row>
    <row r="4843" spans="4:11" x14ac:dyDescent="0.35">
      <c r="D4843" s="1">
        <v>38597</v>
      </c>
      <c r="E4843">
        <v>2.3420999999999998</v>
      </c>
      <c r="I4843" s="1">
        <v>38504</v>
      </c>
      <c r="J4843">
        <v>9678.2800000000007</v>
      </c>
      <c r="K4843" s="4">
        <f t="shared" si="302"/>
        <v>96782.8</v>
      </c>
    </row>
    <row r="4844" spans="4:11" x14ac:dyDescent="0.35">
      <c r="D4844" s="1">
        <v>38596</v>
      </c>
      <c r="E4844">
        <v>2.3614999999999999</v>
      </c>
      <c r="I4844" s="1">
        <v>38503</v>
      </c>
      <c r="J4844">
        <v>9529.99</v>
      </c>
      <c r="K4844" s="4">
        <f t="shared" si="302"/>
        <v>95299.9</v>
      </c>
    </row>
    <row r="4845" spans="4:11" x14ac:dyDescent="0.35">
      <c r="D4845" s="1">
        <v>38595</v>
      </c>
      <c r="E4845">
        <v>2.3628999999999998</v>
      </c>
      <c r="I4845" s="1">
        <v>38502</v>
      </c>
      <c r="J4845">
        <v>9385.59</v>
      </c>
      <c r="K4845" s="4">
        <f t="shared" si="302"/>
        <v>93855.9</v>
      </c>
    </row>
    <row r="4846" spans="4:11" x14ac:dyDescent="0.35">
      <c r="D4846" s="1">
        <v>38594</v>
      </c>
      <c r="E4846">
        <v>2.3853</v>
      </c>
      <c r="I4846" s="1">
        <v>38499</v>
      </c>
      <c r="J4846">
        <v>9464.83</v>
      </c>
      <c r="K4846" s="4">
        <f t="shared" si="302"/>
        <v>94648.3</v>
      </c>
    </row>
    <row r="4847" spans="4:11" x14ac:dyDescent="0.35">
      <c r="D4847" s="1">
        <v>38593</v>
      </c>
      <c r="E4847">
        <v>2.3986999999999998</v>
      </c>
      <c r="I4847" s="1">
        <v>38497</v>
      </c>
      <c r="J4847">
        <v>9555.9500000000007</v>
      </c>
      <c r="K4847" s="4">
        <f t="shared" si="302"/>
        <v>95559.5</v>
      </c>
    </row>
    <row r="4848" spans="4:11" x14ac:dyDescent="0.35">
      <c r="D4848" s="1">
        <v>38590</v>
      </c>
      <c r="E4848">
        <v>2.4121000000000001</v>
      </c>
      <c r="I4848" s="1">
        <v>38496</v>
      </c>
      <c r="J4848">
        <v>9635.19</v>
      </c>
      <c r="K4848" s="4">
        <f t="shared" si="302"/>
        <v>96351.900000000009</v>
      </c>
    </row>
    <row r="4849" spans="4:11" x14ac:dyDescent="0.35">
      <c r="D4849" s="1">
        <v>38589</v>
      </c>
      <c r="E4849">
        <v>2.4195000000000002</v>
      </c>
      <c r="I4849" s="1">
        <v>38495</v>
      </c>
      <c r="J4849">
        <v>9639.15</v>
      </c>
      <c r="K4849" s="4">
        <f t="shared" si="302"/>
        <v>96391.5</v>
      </c>
    </row>
    <row r="4850" spans="4:11" x14ac:dyDescent="0.35">
      <c r="D4850" s="1">
        <v>38588</v>
      </c>
      <c r="E4850">
        <v>2.4226999999999999</v>
      </c>
      <c r="I4850" s="1">
        <v>38492</v>
      </c>
      <c r="J4850">
        <v>9710.4599999999991</v>
      </c>
      <c r="K4850" s="4">
        <f t="shared" si="302"/>
        <v>97104.599999999991</v>
      </c>
    </row>
    <row r="4851" spans="4:11" x14ac:dyDescent="0.35">
      <c r="D4851" s="1">
        <v>38587</v>
      </c>
      <c r="E4851">
        <v>2.4089</v>
      </c>
      <c r="I4851" s="1">
        <v>38491</v>
      </c>
      <c r="J4851">
        <v>9726.31</v>
      </c>
      <c r="K4851" s="4">
        <f t="shared" si="302"/>
        <v>97263.099999999991</v>
      </c>
    </row>
    <row r="4852" spans="4:11" x14ac:dyDescent="0.35">
      <c r="D4852" s="1">
        <v>38586</v>
      </c>
      <c r="E4852">
        <v>2.4020000000000001</v>
      </c>
      <c r="I4852" s="1">
        <v>38490</v>
      </c>
      <c r="J4852">
        <v>9785.74</v>
      </c>
      <c r="K4852" s="4">
        <f t="shared" si="302"/>
        <v>97857.4</v>
      </c>
    </row>
    <row r="4853" spans="4:11" x14ac:dyDescent="0.35">
      <c r="D4853" s="1">
        <v>38583</v>
      </c>
      <c r="E4853">
        <v>2.4308000000000001</v>
      </c>
      <c r="I4853" s="1">
        <v>38489</v>
      </c>
      <c r="J4853">
        <v>9880.82</v>
      </c>
      <c r="K4853" s="4">
        <f t="shared" si="302"/>
        <v>98808.2</v>
      </c>
    </row>
    <row r="4854" spans="4:11" x14ac:dyDescent="0.35">
      <c r="D4854" s="1">
        <v>38582</v>
      </c>
      <c r="E4854">
        <v>2.3628999999999998</v>
      </c>
    </row>
    <row r="4855" spans="4:11" x14ac:dyDescent="0.35">
      <c r="D4855" s="1">
        <v>38581</v>
      </c>
      <c r="E4855">
        <v>2.3483999999999998</v>
      </c>
    </row>
    <row r="4856" spans="4:11" x14ac:dyDescent="0.35">
      <c r="D4856" s="1">
        <v>38580</v>
      </c>
      <c r="E4856">
        <v>2.3433999999999999</v>
      </c>
    </row>
    <row r="4857" spans="4:11" x14ac:dyDescent="0.35">
      <c r="D4857" s="1">
        <v>38579</v>
      </c>
      <c r="E4857">
        <v>2.3414000000000001</v>
      </c>
    </row>
    <row r="4858" spans="4:11" x14ac:dyDescent="0.35">
      <c r="D4858" s="1">
        <v>38576</v>
      </c>
      <c r="E4858">
        <v>2.375</v>
      </c>
    </row>
    <row r="4859" spans="4:11" x14ac:dyDescent="0.35">
      <c r="D4859" s="1">
        <v>38575</v>
      </c>
      <c r="E4859">
        <v>2.3161</v>
      </c>
    </row>
    <row r="4860" spans="4:11" x14ac:dyDescent="0.35">
      <c r="D4860" s="1">
        <v>38574</v>
      </c>
      <c r="E4860">
        <v>2.2759</v>
      </c>
    </row>
    <row r="4861" spans="4:11" x14ac:dyDescent="0.35">
      <c r="D4861" s="1">
        <v>38573</v>
      </c>
      <c r="E4861">
        <v>2.3142999999999998</v>
      </c>
    </row>
    <row r="4862" spans="4:11" x14ac:dyDescent="0.35">
      <c r="D4862" s="1">
        <v>38572</v>
      </c>
      <c r="E4862">
        <v>2.3092000000000001</v>
      </c>
    </row>
    <row r="4863" spans="4:11" x14ac:dyDescent="0.35">
      <c r="D4863" s="1">
        <v>38569</v>
      </c>
      <c r="E4863">
        <v>2.2978000000000001</v>
      </c>
    </row>
    <row r="4864" spans="4:11" x14ac:dyDescent="0.35">
      <c r="D4864" s="1">
        <v>38568</v>
      </c>
      <c r="E4864">
        <v>2.3046000000000002</v>
      </c>
    </row>
    <row r="4865" spans="4:5" x14ac:dyDescent="0.35">
      <c r="D4865" s="1">
        <v>38567</v>
      </c>
      <c r="E4865">
        <v>2.3142999999999998</v>
      </c>
    </row>
    <row r="4866" spans="4:5" x14ac:dyDescent="0.35">
      <c r="D4866" s="1">
        <v>38566</v>
      </c>
      <c r="E4866">
        <v>2.3521999999999998</v>
      </c>
    </row>
    <row r="4867" spans="4:5" x14ac:dyDescent="0.35">
      <c r="D4867" s="1">
        <v>38565</v>
      </c>
      <c r="E4867">
        <v>2.3776999999999999</v>
      </c>
    </row>
    <row r="4868" spans="4:5" x14ac:dyDescent="0.35">
      <c r="D4868" s="1">
        <v>38562</v>
      </c>
      <c r="E4868">
        <v>2.3896999999999999</v>
      </c>
    </row>
    <row r="4869" spans="4:5" x14ac:dyDescent="0.35">
      <c r="D4869" s="1">
        <v>38561</v>
      </c>
      <c r="E4869">
        <v>2.4203000000000001</v>
      </c>
    </row>
    <row r="4870" spans="4:5" x14ac:dyDescent="0.35">
      <c r="D4870" s="1">
        <v>38560</v>
      </c>
      <c r="E4870">
        <v>2.4430999999999998</v>
      </c>
    </row>
    <row r="4871" spans="4:5" x14ac:dyDescent="0.35">
      <c r="D4871" s="1">
        <v>38559</v>
      </c>
      <c r="E4871">
        <v>2.4647999999999999</v>
      </c>
    </row>
    <row r="4872" spans="4:5" x14ac:dyDescent="0.35">
      <c r="D4872" s="1">
        <v>38558</v>
      </c>
      <c r="E4872">
        <v>2.4279000000000002</v>
      </c>
    </row>
    <row r="4873" spans="4:5" x14ac:dyDescent="0.35">
      <c r="D4873" s="1">
        <v>38555</v>
      </c>
      <c r="E4873">
        <v>2.3753000000000002</v>
      </c>
    </row>
    <row r="4874" spans="4:5" x14ac:dyDescent="0.35">
      <c r="D4874" s="1">
        <v>38554</v>
      </c>
      <c r="E4874">
        <v>2.3397000000000001</v>
      </c>
    </row>
    <row r="4875" spans="4:5" x14ac:dyDescent="0.35">
      <c r="D4875" s="1">
        <v>38553</v>
      </c>
      <c r="E4875">
        <v>2.3513999999999999</v>
      </c>
    </row>
    <row r="4876" spans="4:5" x14ac:dyDescent="0.35">
      <c r="D4876" s="1">
        <v>38552</v>
      </c>
      <c r="E4876">
        <v>2.3426</v>
      </c>
    </row>
    <row r="4877" spans="4:5" x14ac:dyDescent="0.35">
      <c r="D4877" s="1">
        <v>38551</v>
      </c>
      <c r="E4877">
        <v>2.3296000000000001</v>
      </c>
    </row>
    <row r="4878" spans="4:5" x14ac:dyDescent="0.35">
      <c r="D4878" s="1">
        <v>38548</v>
      </c>
      <c r="E4878">
        <v>2.3418999999999999</v>
      </c>
    </row>
    <row r="4879" spans="4:5" x14ac:dyDescent="0.35">
      <c r="D4879" s="1">
        <v>38547</v>
      </c>
      <c r="E4879">
        <v>2.3424999999999998</v>
      </c>
    </row>
    <row r="4880" spans="4:5" x14ac:dyDescent="0.35">
      <c r="D4880" s="1">
        <v>38546</v>
      </c>
      <c r="E4880">
        <v>2.3473999999999999</v>
      </c>
    </row>
    <row r="4881" spans="4:5" x14ac:dyDescent="0.35">
      <c r="D4881" s="1">
        <v>38545</v>
      </c>
      <c r="E4881">
        <v>2.3344999999999998</v>
      </c>
    </row>
    <row r="4882" spans="4:5" x14ac:dyDescent="0.35">
      <c r="D4882" s="1">
        <v>38544</v>
      </c>
      <c r="E4882">
        <v>2.3494000000000002</v>
      </c>
    </row>
    <row r="4883" spans="4:5" x14ac:dyDescent="0.35">
      <c r="D4883" s="1">
        <v>38541</v>
      </c>
      <c r="E4883">
        <v>2.3675000000000002</v>
      </c>
    </row>
    <row r="4884" spans="4:5" x14ac:dyDescent="0.35">
      <c r="D4884" s="1">
        <v>38540</v>
      </c>
      <c r="E4884">
        <v>2.3881999999999999</v>
      </c>
    </row>
    <row r="4885" spans="4:5" x14ac:dyDescent="0.35">
      <c r="D4885" s="1">
        <v>38539</v>
      </c>
      <c r="E4885">
        <v>2.3893</v>
      </c>
    </row>
    <row r="4886" spans="4:5" x14ac:dyDescent="0.35">
      <c r="D4886" s="1">
        <v>38538</v>
      </c>
      <c r="E4886">
        <v>2.3660000000000001</v>
      </c>
    </row>
    <row r="4887" spans="4:5" x14ac:dyDescent="0.35">
      <c r="D4887" s="1">
        <v>38537</v>
      </c>
      <c r="E4887">
        <v>2.3706999999999998</v>
      </c>
    </row>
    <row r="4888" spans="4:5" x14ac:dyDescent="0.35">
      <c r="D4888" s="1">
        <v>38534</v>
      </c>
      <c r="E4888">
        <v>2.3451</v>
      </c>
    </row>
    <row r="4889" spans="4:5" x14ac:dyDescent="0.35">
      <c r="D4889" s="1">
        <v>38533</v>
      </c>
      <c r="E4889">
        <v>2.3496000000000001</v>
      </c>
    </row>
    <row r="4890" spans="4:5" x14ac:dyDescent="0.35">
      <c r="D4890" s="1">
        <v>38532</v>
      </c>
      <c r="E4890">
        <v>2.3540999999999999</v>
      </c>
    </row>
    <row r="4891" spans="4:5" x14ac:dyDescent="0.35">
      <c r="D4891" s="1">
        <v>38531</v>
      </c>
      <c r="E4891">
        <v>2.3685999999999998</v>
      </c>
    </row>
    <row r="4892" spans="4:5" x14ac:dyDescent="0.35">
      <c r="D4892" s="1">
        <v>38530</v>
      </c>
      <c r="E4892">
        <v>2.3822000000000001</v>
      </c>
    </row>
    <row r="4893" spans="4:5" x14ac:dyDescent="0.35">
      <c r="D4893" s="1">
        <v>38527</v>
      </c>
      <c r="E4893">
        <v>2.3868999999999998</v>
      </c>
    </row>
    <row r="4894" spans="4:5" x14ac:dyDescent="0.35">
      <c r="D4894" s="1">
        <v>38526</v>
      </c>
      <c r="E4894">
        <v>2.3923999999999999</v>
      </c>
    </row>
    <row r="4895" spans="4:5" x14ac:dyDescent="0.35">
      <c r="D4895" s="1">
        <v>38525</v>
      </c>
      <c r="E4895">
        <v>2.3694999999999999</v>
      </c>
    </row>
    <row r="4896" spans="4:5" x14ac:dyDescent="0.35">
      <c r="D4896" s="1">
        <v>38524</v>
      </c>
      <c r="E4896">
        <v>2.3763999999999998</v>
      </c>
    </row>
    <row r="4897" spans="4:5" x14ac:dyDescent="0.35">
      <c r="D4897" s="1">
        <v>38523</v>
      </c>
      <c r="E4897">
        <v>2.3847</v>
      </c>
    </row>
    <row r="4898" spans="4:5" x14ac:dyDescent="0.35">
      <c r="D4898" s="1">
        <v>38520</v>
      </c>
      <c r="E4898">
        <v>2.3864999999999998</v>
      </c>
    </row>
    <row r="4899" spans="4:5" x14ac:dyDescent="0.35">
      <c r="D4899" s="1">
        <v>38519</v>
      </c>
      <c r="E4899">
        <v>2.4152999999999998</v>
      </c>
    </row>
    <row r="4900" spans="4:5" x14ac:dyDescent="0.35">
      <c r="D4900" s="1">
        <v>38518</v>
      </c>
      <c r="E4900">
        <v>2.4447000000000001</v>
      </c>
    </row>
    <row r="4901" spans="4:5" x14ac:dyDescent="0.35">
      <c r="D4901" s="1">
        <v>38517</v>
      </c>
      <c r="E4901">
        <v>2.4367000000000001</v>
      </c>
    </row>
    <row r="4902" spans="4:5" x14ac:dyDescent="0.35">
      <c r="D4902" s="1">
        <v>38516</v>
      </c>
      <c r="E4902">
        <v>2.4554</v>
      </c>
    </row>
    <row r="4903" spans="4:5" x14ac:dyDescent="0.35">
      <c r="D4903" s="1">
        <v>38513</v>
      </c>
      <c r="E4903">
        <v>2.4742999999999999</v>
      </c>
    </row>
    <row r="4904" spans="4:5" x14ac:dyDescent="0.35">
      <c r="D4904" s="1">
        <v>38512</v>
      </c>
      <c r="E4904">
        <v>2.4883000000000002</v>
      </c>
    </row>
    <row r="4905" spans="4:5" x14ac:dyDescent="0.35">
      <c r="D4905" s="1">
        <v>38511</v>
      </c>
      <c r="E4905">
        <v>2.4456000000000002</v>
      </c>
    </row>
    <row r="4906" spans="4:5" x14ac:dyDescent="0.35">
      <c r="D4906" s="1">
        <v>38510</v>
      </c>
      <c r="E4906">
        <v>2.4624000000000001</v>
      </c>
    </row>
    <row r="4907" spans="4:5" x14ac:dyDescent="0.35">
      <c r="D4907" s="1">
        <v>38509</v>
      </c>
      <c r="E4907">
        <v>2.4567999999999999</v>
      </c>
    </row>
    <row r="4908" spans="4:5" x14ac:dyDescent="0.35">
      <c r="D4908" s="1">
        <v>38506</v>
      </c>
      <c r="E4908">
        <v>2.4020999999999999</v>
      </c>
    </row>
    <row r="4909" spans="4:5" x14ac:dyDescent="0.35">
      <c r="D4909" s="1">
        <v>38505</v>
      </c>
      <c r="E4909">
        <v>2.4194</v>
      </c>
    </row>
    <row r="4910" spans="4:5" x14ac:dyDescent="0.35">
      <c r="D4910" s="1">
        <v>38504</v>
      </c>
      <c r="E4910">
        <v>2.4278</v>
      </c>
    </row>
    <row r="4911" spans="4:5" x14ac:dyDescent="0.35">
      <c r="D4911" s="1">
        <v>38503</v>
      </c>
      <c r="E4911">
        <v>2.403</v>
      </c>
    </row>
    <row r="4912" spans="4:5" x14ac:dyDescent="0.35">
      <c r="D4912" s="1">
        <v>38502</v>
      </c>
      <c r="E4912">
        <v>2.3776000000000002</v>
      </c>
    </row>
    <row r="4913" spans="4:5" x14ac:dyDescent="0.35">
      <c r="D4913" s="1">
        <v>38499</v>
      </c>
      <c r="E4913">
        <v>2.3925999999999998</v>
      </c>
    </row>
    <row r="4914" spans="4:5" x14ac:dyDescent="0.35">
      <c r="D4914" s="1">
        <v>38497</v>
      </c>
      <c r="E4914">
        <v>2.4108000000000001</v>
      </c>
    </row>
    <row r="4915" spans="4:5" x14ac:dyDescent="0.35">
      <c r="D4915" s="1">
        <v>38496</v>
      </c>
      <c r="E4915">
        <v>2.4304999999999999</v>
      </c>
    </row>
    <row r="4916" spans="4:5" x14ac:dyDescent="0.35">
      <c r="D4916" s="1">
        <v>38495</v>
      </c>
      <c r="E4916">
        <v>2.4291</v>
      </c>
    </row>
    <row r="4917" spans="4:5" x14ac:dyDescent="0.35">
      <c r="D4917" s="1">
        <v>38492</v>
      </c>
      <c r="E4917">
        <v>2.4485000000000001</v>
      </c>
    </row>
    <row r="4918" spans="4:5" x14ac:dyDescent="0.35">
      <c r="D4918" s="1">
        <v>38491</v>
      </c>
      <c r="E4918">
        <v>2.4449999999999998</v>
      </c>
    </row>
    <row r="4919" spans="4:5" x14ac:dyDescent="0.35">
      <c r="D4919" s="1">
        <v>38490</v>
      </c>
      <c r="E4919">
        <v>2.4628000000000001</v>
      </c>
    </row>
    <row r="4920" spans="4:5" x14ac:dyDescent="0.35">
      <c r="D4920" s="1">
        <v>38489</v>
      </c>
      <c r="E4920">
        <v>2.4771000000000001</v>
      </c>
    </row>
    <row r="4921" spans="4:5" x14ac:dyDescent="0.35">
      <c r="D4921" s="1">
        <v>38488</v>
      </c>
      <c r="E4921">
        <v>2.4763999999999999</v>
      </c>
    </row>
    <row r="4922" spans="4:5" x14ac:dyDescent="0.35">
      <c r="D4922" s="1">
        <v>38485</v>
      </c>
      <c r="E4922">
        <v>2.4706999999999999</v>
      </c>
    </row>
    <row r="4923" spans="4:5" x14ac:dyDescent="0.35">
      <c r="D4923" s="1">
        <v>38484</v>
      </c>
      <c r="E4923">
        <v>2.464</v>
      </c>
    </row>
    <row r="4924" spans="4:5" x14ac:dyDescent="0.35">
      <c r="D4924" s="1">
        <v>38483</v>
      </c>
      <c r="E4924">
        <v>2.4710999999999999</v>
      </c>
    </row>
    <row r="4925" spans="4:5" x14ac:dyDescent="0.35">
      <c r="D4925" s="1">
        <v>38482</v>
      </c>
      <c r="E4925">
        <v>2.4641999999999999</v>
      </c>
    </row>
    <row r="4926" spans="4:5" x14ac:dyDescent="0.35">
      <c r="D4926" s="1">
        <v>38481</v>
      </c>
      <c r="E4926">
        <v>2.4529999999999998</v>
      </c>
    </row>
    <row r="4927" spans="4:5" x14ac:dyDescent="0.35">
      <c r="D4927" s="1">
        <v>38478</v>
      </c>
      <c r="E4927">
        <v>2.4586000000000001</v>
      </c>
    </row>
    <row r="4928" spans="4:5" x14ac:dyDescent="0.35">
      <c r="D4928" s="1">
        <v>38477</v>
      </c>
      <c r="E4928">
        <v>2.4679000000000002</v>
      </c>
    </row>
    <row r="4929" spans="4:5" x14ac:dyDescent="0.35">
      <c r="D4929" s="1">
        <v>38476</v>
      </c>
      <c r="E4929">
        <v>2.4756999999999998</v>
      </c>
    </row>
    <row r="4930" spans="4:5" x14ac:dyDescent="0.35">
      <c r="D4930" s="1">
        <v>38475</v>
      </c>
      <c r="E4930">
        <v>2.4998999999999998</v>
      </c>
    </row>
    <row r="4931" spans="4:5" x14ac:dyDescent="0.35">
      <c r="D4931" s="1">
        <v>38474</v>
      </c>
      <c r="E4931">
        <v>2.5137999999999998</v>
      </c>
    </row>
    <row r="4932" spans="4:5" x14ac:dyDescent="0.35">
      <c r="D4932" s="1">
        <v>38471</v>
      </c>
      <c r="E4932">
        <v>2.5305</v>
      </c>
    </row>
    <row r="4933" spans="4:5" x14ac:dyDescent="0.35">
      <c r="D4933" s="1">
        <v>38470</v>
      </c>
      <c r="E4933">
        <v>2.5209000000000001</v>
      </c>
    </row>
    <row r="4934" spans="4:5" x14ac:dyDescent="0.35">
      <c r="D4934" s="1">
        <v>38469</v>
      </c>
      <c r="E4934">
        <v>2.5186999999999999</v>
      </c>
    </row>
    <row r="4935" spans="4:5" x14ac:dyDescent="0.35">
      <c r="D4935" s="1">
        <v>38468</v>
      </c>
      <c r="E4935">
        <v>2.5347</v>
      </c>
    </row>
    <row r="4936" spans="4:5" x14ac:dyDescent="0.35">
      <c r="D4936" s="1">
        <v>38467</v>
      </c>
      <c r="E4936">
        <v>2.5299999999999998</v>
      </c>
    </row>
    <row r="4937" spans="4:5" x14ac:dyDescent="0.35">
      <c r="D4937" s="1">
        <v>38464</v>
      </c>
      <c r="E4937">
        <v>2.5384000000000002</v>
      </c>
    </row>
    <row r="4938" spans="4:5" x14ac:dyDescent="0.35">
      <c r="D4938" s="1">
        <v>38462</v>
      </c>
      <c r="E4938">
        <v>2.5636999999999999</v>
      </c>
    </row>
    <row r="4939" spans="4:5" x14ac:dyDescent="0.35">
      <c r="D4939" s="1">
        <v>38461</v>
      </c>
      <c r="E4939">
        <v>2.5817000000000001</v>
      </c>
    </row>
    <row r="4940" spans="4:5" x14ac:dyDescent="0.35">
      <c r="D4940" s="1">
        <v>38460</v>
      </c>
      <c r="E4940">
        <v>2.6149</v>
      </c>
    </row>
    <row r="4941" spans="4:5" x14ac:dyDescent="0.35">
      <c r="D4941" s="1">
        <v>38457</v>
      </c>
      <c r="E4941">
        <v>2.5962999999999998</v>
      </c>
    </row>
    <row r="4942" spans="4:5" x14ac:dyDescent="0.35">
      <c r="D4942" s="1">
        <v>38456</v>
      </c>
      <c r="E4942">
        <v>2.5739000000000001</v>
      </c>
    </row>
    <row r="4943" spans="4:5" x14ac:dyDescent="0.35">
      <c r="D4943" s="1">
        <v>38455</v>
      </c>
      <c r="E4943">
        <v>2.5590000000000002</v>
      </c>
    </row>
    <row r="4944" spans="4:5" x14ac:dyDescent="0.35">
      <c r="D4944" s="1">
        <v>38454</v>
      </c>
      <c r="E4944">
        <v>2.5891000000000002</v>
      </c>
    </row>
    <row r="4945" spans="4:5" x14ac:dyDescent="0.35">
      <c r="D4945" s="1">
        <v>38453</v>
      </c>
      <c r="E4945">
        <v>2.5775000000000001</v>
      </c>
    </row>
    <row r="4946" spans="4:5" x14ac:dyDescent="0.35">
      <c r="D4946" s="1">
        <v>38450</v>
      </c>
      <c r="E4946">
        <v>2.5933999999999999</v>
      </c>
    </row>
    <row r="4947" spans="4:5" x14ac:dyDescent="0.35">
      <c r="D4947" s="1">
        <v>38449</v>
      </c>
      <c r="E4947">
        <v>2.6011000000000002</v>
      </c>
    </row>
    <row r="4948" spans="4:5" x14ac:dyDescent="0.35">
      <c r="D4948" s="1">
        <v>38448</v>
      </c>
      <c r="E4948">
        <v>2.6059000000000001</v>
      </c>
    </row>
    <row r="4949" spans="4:5" x14ac:dyDescent="0.35">
      <c r="D4949" s="1">
        <v>38447</v>
      </c>
      <c r="E4949">
        <v>2.6246999999999998</v>
      </c>
    </row>
    <row r="4950" spans="4:5" x14ac:dyDescent="0.35">
      <c r="D4950" s="1">
        <v>38446</v>
      </c>
      <c r="E4950">
        <v>2.6589999999999998</v>
      </c>
    </row>
    <row r="4951" spans="4:5" x14ac:dyDescent="0.35">
      <c r="D4951" s="1">
        <v>38443</v>
      </c>
      <c r="E4951">
        <v>2.6541999999999999</v>
      </c>
    </row>
    <row r="4952" spans="4:5" x14ac:dyDescent="0.35">
      <c r="D4952" s="1">
        <v>38442</v>
      </c>
      <c r="E4952">
        <v>2.6654</v>
      </c>
    </row>
    <row r="4953" spans="4:5" x14ac:dyDescent="0.35">
      <c r="D4953" s="1">
        <v>38441</v>
      </c>
      <c r="E4953">
        <v>2.68</v>
      </c>
    </row>
    <row r="4954" spans="4:5" x14ac:dyDescent="0.35">
      <c r="D4954" s="1">
        <v>38440</v>
      </c>
      <c r="E4954">
        <v>2.7023000000000001</v>
      </c>
    </row>
    <row r="4955" spans="4:5" x14ac:dyDescent="0.35">
      <c r="D4955" s="1">
        <v>38439</v>
      </c>
      <c r="E4955">
        <v>2.7376999999999998</v>
      </c>
    </row>
    <row r="4956" spans="4:5" x14ac:dyDescent="0.35">
      <c r="D4956" s="1">
        <v>38435</v>
      </c>
      <c r="E4956">
        <v>2.7294999999999998</v>
      </c>
    </row>
    <row r="4957" spans="4:5" x14ac:dyDescent="0.35">
      <c r="D4957" s="1">
        <v>38434</v>
      </c>
      <c r="E4957">
        <v>2.7395</v>
      </c>
    </row>
    <row r="4958" spans="4:5" x14ac:dyDescent="0.35">
      <c r="D4958" s="1">
        <v>38433</v>
      </c>
      <c r="E4958">
        <v>2.7052</v>
      </c>
    </row>
    <row r="4959" spans="4:5" x14ac:dyDescent="0.35">
      <c r="D4959" s="1">
        <v>38432</v>
      </c>
      <c r="E4959">
        <v>2.7280000000000002</v>
      </c>
    </row>
    <row r="4960" spans="4:5" x14ac:dyDescent="0.35">
      <c r="D4960" s="1">
        <v>38429</v>
      </c>
      <c r="E4960">
        <v>2.7155</v>
      </c>
    </row>
    <row r="4961" spans="4:5" x14ac:dyDescent="0.35">
      <c r="D4961" s="1">
        <v>38428</v>
      </c>
      <c r="E4961">
        <v>2.7513999999999998</v>
      </c>
    </row>
    <row r="4962" spans="4:5" x14ac:dyDescent="0.35">
      <c r="D4962" s="1">
        <v>38427</v>
      </c>
      <c r="E4962">
        <v>2.7562000000000002</v>
      </c>
    </row>
    <row r="4963" spans="4:5" x14ac:dyDescent="0.35">
      <c r="D4963" s="1">
        <v>38426</v>
      </c>
      <c r="E4963">
        <v>2.7612999999999999</v>
      </c>
    </row>
    <row r="4964" spans="4:5" x14ac:dyDescent="0.35">
      <c r="D4964" s="1">
        <v>38425</v>
      </c>
      <c r="E4964">
        <v>2.7515000000000001</v>
      </c>
    </row>
    <row r="4965" spans="4:5" x14ac:dyDescent="0.35">
      <c r="D4965" s="1">
        <v>38422</v>
      </c>
      <c r="E4965">
        <v>2.7012999999999998</v>
      </c>
    </row>
    <row r="4966" spans="4:5" x14ac:dyDescent="0.35">
      <c r="D4966" s="1">
        <v>38421</v>
      </c>
      <c r="E4966">
        <v>2.7311000000000001</v>
      </c>
    </row>
    <row r="4967" spans="4:5" x14ac:dyDescent="0.35">
      <c r="D4967" s="1">
        <v>38420</v>
      </c>
      <c r="E4967">
        <v>2.7105000000000001</v>
      </c>
    </row>
    <row r="4968" spans="4:5" x14ac:dyDescent="0.35">
      <c r="D4968" s="1">
        <v>38419</v>
      </c>
      <c r="E4968">
        <v>2.6926000000000001</v>
      </c>
    </row>
    <row r="4969" spans="4:5" x14ac:dyDescent="0.35">
      <c r="D4969" s="1">
        <v>38418</v>
      </c>
      <c r="E4969">
        <v>2.6616</v>
      </c>
    </row>
    <row r="4970" spans="4:5" x14ac:dyDescent="0.35">
      <c r="D4970" s="1">
        <v>38415</v>
      </c>
      <c r="E4970">
        <v>2.6606999999999998</v>
      </c>
    </row>
    <row r="4971" spans="4:5" x14ac:dyDescent="0.35">
      <c r="D4971" s="1">
        <v>38414</v>
      </c>
      <c r="E4971">
        <v>2.669</v>
      </c>
    </row>
    <row r="4972" spans="4:5" x14ac:dyDescent="0.35">
      <c r="D4972" s="1">
        <v>38413</v>
      </c>
      <c r="E4972">
        <v>2.6360000000000001</v>
      </c>
    </row>
    <row r="4973" spans="4:5" x14ac:dyDescent="0.35">
      <c r="D4973" s="1">
        <v>38412</v>
      </c>
      <c r="E4973">
        <v>2.6002999999999998</v>
      </c>
    </row>
    <row r="4974" spans="4:5" x14ac:dyDescent="0.35">
      <c r="D4974" s="1">
        <v>38411</v>
      </c>
      <c r="E4974">
        <v>2.5941999999999998</v>
      </c>
    </row>
    <row r="4975" spans="4:5" x14ac:dyDescent="0.35">
      <c r="D4975" s="1">
        <v>38408</v>
      </c>
      <c r="E4975">
        <v>2.6312000000000002</v>
      </c>
    </row>
    <row r="4976" spans="4:5" x14ac:dyDescent="0.35">
      <c r="D4976" s="1">
        <v>38407</v>
      </c>
      <c r="E4976">
        <v>2.609</v>
      </c>
    </row>
    <row r="4977" spans="4:5" x14ac:dyDescent="0.35">
      <c r="D4977" s="1">
        <v>38406</v>
      </c>
      <c r="E4977">
        <v>2.5849000000000002</v>
      </c>
    </row>
    <row r="4978" spans="4:5" x14ac:dyDescent="0.35">
      <c r="D4978" s="1">
        <v>38405</v>
      </c>
      <c r="E4978">
        <v>2.5929000000000002</v>
      </c>
    </row>
    <row r="4979" spans="4:5" x14ac:dyDescent="0.35">
      <c r="D4979" s="1">
        <v>38404</v>
      </c>
      <c r="E4979">
        <v>2.5754000000000001</v>
      </c>
    </row>
    <row r="4980" spans="4:5" x14ac:dyDescent="0.35">
      <c r="D4980" s="1">
        <v>38401</v>
      </c>
      <c r="E4980">
        <v>2.5613000000000001</v>
      </c>
    </row>
    <row r="4981" spans="4:5" x14ac:dyDescent="0.35">
      <c r="D4981" s="1">
        <v>38400</v>
      </c>
      <c r="E4981">
        <v>2.5729000000000002</v>
      </c>
    </row>
    <row r="4982" spans="4:5" x14ac:dyDescent="0.35">
      <c r="D4982" s="1">
        <v>38399</v>
      </c>
      <c r="E4982">
        <v>2.5918000000000001</v>
      </c>
    </row>
    <row r="4983" spans="4:5" x14ac:dyDescent="0.35">
      <c r="D4983" s="1">
        <v>38398</v>
      </c>
      <c r="E4983">
        <v>2.5754000000000001</v>
      </c>
    </row>
    <row r="4984" spans="4:5" x14ac:dyDescent="0.35">
      <c r="D4984" s="1">
        <v>38397</v>
      </c>
      <c r="E4984">
        <v>2.5825999999999998</v>
      </c>
    </row>
    <row r="4985" spans="4:5" x14ac:dyDescent="0.35">
      <c r="D4985" s="1">
        <v>38394</v>
      </c>
      <c r="E4985">
        <v>2.6164999999999998</v>
      </c>
    </row>
    <row r="4986" spans="4:5" x14ac:dyDescent="0.35">
      <c r="D4986" s="1">
        <v>38393</v>
      </c>
      <c r="E4986">
        <v>2.6114000000000002</v>
      </c>
    </row>
    <row r="4987" spans="4:5" x14ac:dyDescent="0.35">
      <c r="D4987" s="1">
        <v>38392</v>
      </c>
      <c r="E4987">
        <v>2.6070000000000002</v>
      </c>
    </row>
    <row r="4988" spans="4:5" x14ac:dyDescent="0.35">
      <c r="D4988" s="1">
        <v>38387</v>
      </c>
      <c r="E4988">
        <v>2.6021999999999998</v>
      </c>
    </row>
    <row r="4989" spans="4:5" x14ac:dyDescent="0.35">
      <c r="D4989" s="1">
        <v>38386</v>
      </c>
      <c r="E4989">
        <v>2.6025999999999998</v>
      </c>
    </row>
    <row r="4990" spans="4:5" x14ac:dyDescent="0.35">
      <c r="D4990" s="1">
        <v>38385</v>
      </c>
      <c r="E4990">
        <v>2.6232000000000002</v>
      </c>
    </row>
    <row r="4991" spans="4:5" x14ac:dyDescent="0.35">
      <c r="D4991" s="1">
        <v>38384</v>
      </c>
      <c r="E4991">
        <v>2.6122000000000001</v>
      </c>
    </row>
    <row r="4992" spans="4:5" x14ac:dyDescent="0.35">
      <c r="D4992" s="1">
        <v>38383</v>
      </c>
      <c r="E4992">
        <v>2.6240000000000001</v>
      </c>
    </row>
    <row r="4993" spans="4:5" x14ac:dyDescent="0.35">
      <c r="D4993" s="1">
        <v>38380</v>
      </c>
      <c r="E4993">
        <v>2.6579000000000002</v>
      </c>
    </row>
    <row r="4994" spans="4:5" x14ac:dyDescent="0.35">
      <c r="D4994" s="1">
        <v>38379</v>
      </c>
      <c r="E4994">
        <v>2.6637</v>
      </c>
    </row>
    <row r="4995" spans="4:5" x14ac:dyDescent="0.35">
      <c r="D4995" s="1">
        <v>38378</v>
      </c>
      <c r="E4995">
        <v>2.6739999999999999</v>
      </c>
    </row>
    <row r="4996" spans="4:5" x14ac:dyDescent="0.35">
      <c r="D4996" s="1">
        <v>38377</v>
      </c>
      <c r="E4996">
        <v>2.6785999999999999</v>
      </c>
    </row>
    <row r="4997" spans="4:5" x14ac:dyDescent="0.35">
      <c r="D4997" s="1">
        <v>38376</v>
      </c>
      <c r="E4997">
        <v>2.6772</v>
      </c>
    </row>
    <row r="4998" spans="4:5" x14ac:dyDescent="0.35">
      <c r="D4998" s="1">
        <v>38373</v>
      </c>
      <c r="E4998">
        <v>2.6991000000000001</v>
      </c>
    </row>
    <row r="4999" spans="4:5" x14ac:dyDescent="0.35">
      <c r="D4999" s="1">
        <v>38372</v>
      </c>
      <c r="E4999">
        <v>2.7214</v>
      </c>
    </row>
    <row r="5000" spans="4:5" x14ac:dyDescent="0.35">
      <c r="D5000" s="1">
        <v>38371</v>
      </c>
      <c r="E5000">
        <v>2.7176999999999998</v>
      </c>
    </row>
    <row r="5001" spans="4:5" x14ac:dyDescent="0.35">
      <c r="D5001" s="1">
        <v>38370</v>
      </c>
      <c r="E5001">
        <v>2.7130999999999998</v>
      </c>
    </row>
    <row r="5002" spans="4:5" x14ac:dyDescent="0.35">
      <c r="D5002" s="1">
        <v>38369</v>
      </c>
      <c r="E5002">
        <v>2.6999</v>
      </c>
    </row>
    <row r="5003" spans="4:5" x14ac:dyDescent="0.35">
      <c r="D5003" s="1">
        <v>38366</v>
      </c>
      <c r="E5003">
        <v>2.7065999999999999</v>
      </c>
    </row>
    <row r="5004" spans="4:5" x14ac:dyDescent="0.35">
      <c r="D5004" s="1">
        <v>38365</v>
      </c>
      <c r="E5004">
        <v>2.7002999999999999</v>
      </c>
    </row>
    <row r="5005" spans="4:5" x14ac:dyDescent="0.35">
      <c r="D5005" s="1">
        <v>38364</v>
      </c>
      <c r="E5005">
        <v>2.7105000000000001</v>
      </c>
    </row>
    <row r="5006" spans="4:5" x14ac:dyDescent="0.35">
      <c r="D5006" s="1">
        <v>38363</v>
      </c>
      <c r="E5006">
        <v>2.7098</v>
      </c>
    </row>
    <row r="5007" spans="4:5" x14ac:dyDescent="0.35">
      <c r="D5007" s="1">
        <v>38362</v>
      </c>
      <c r="E5007">
        <v>2.6964999999999999</v>
      </c>
    </row>
    <row r="5008" spans="4:5" x14ac:dyDescent="0.35">
      <c r="D5008" s="1">
        <v>38359</v>
      </c>
      <c r="E5008">
        <v>2.7023999999999999</v>
      </c>
    </row>
    <row r="5009" spans="4:5" x14ac:dyDescent="0.35">
      <c r="D5009" s="1">
        <v>38358</v>
      </c>
      <c r="E5009">
        <v>2.7199</v>
      </c>
    </row>
    <row r="5010" spans="4:5" x14ac:dyDescent="0.35">
      <c r="D5010" s="1">
        <v>38357</v>
      </c>
      <c r="E5010">
        <v>2.7088000000000001</v>
      </c>
    </row>
    <row r="5011" spans="4:5" x14ac:dyDescent="0.35">
      <c r="D5011" s="1">
        <v>38356</v>
      </c>
      <c r="E5011">
        <v>2.6879</v>
      </c>
    </row>
    <row r="5012" spans="4:5" x14ac:dyDescent="0.35">
      <c r="D5012" s="1">
        <v>38355</v>
      </c>
      <c r="E5012">
        <v>2.6674000000000002</v>
      </c>
    </row>
    <row r="5013" spans="4:5" x14ac:dyDescent="0.35">
      <c r="D5013" s="1">
        <v>38352</v>
      </c>
      <c r="E5013">
        <v>2.6536</v>
      </c>
    </row>
    <row r="5014" spans="4:5" x14ac:dyDescent="0.35">
      <c r="D5014" s="1">
        <v>38351</v>
      </c>
      <c r="E5014">
        <v>2.6536</v>
      </c>
    </row>
    <row r="5015" spans="4:5" x14ac:dyDescent="0.35">
      <c r="D5015" s="1">
        <v>38350</v>
      </c>
      <c r="E5015">
        <v>2.6827999999999999</v>
      </c>
    </row>
    <row r="5016" spans="4:5" x14ac:dyDescent="0.35">
      <c r="D5016" s="1">
        <v>38349</v>
      </c>
      <c r="E5016">
        <v>2.6886999999999999</v>
      </c>
    </row>
    <row r="5017" spans="4:5" x14ac:dyDescent="0.35">
      <c r="D5017" s="1">
        <v>38348</v>
      </c>
      <c r="E5017">
        <v>2.6974999999999998</v>
      </c>
    </row>
    <row r="5018" spans="4:5" x14ac:dyDescent="0.35">
      <c r="D5018" s="1">
        <v>38345</v>
      </c>
      <c r="E5018">
        <v>2.6903999999999999</v>
      </c>
    </row>
    <row r="5019" spans="4:5" x14ac:dyDescent="0.35">
      <c r="D5019" s="1">
        <v>38344</v>
      </c>
      <c r="E5019">
        <v>2.7059000000000002</v>
      </c>
    </row>
    <row r="5020" spans="4:5" x14ac:dyDescent="0.35">
      <c r="D5020" s="1">
        <v>38343</v>
      </c>
      <c r="E5020">
        <v>2.6981999999999999</v>
      </c>
    </row>
    <row r="5021" spans="4:5" x14ac:dyDescent="0.35">
      <c r="D5021" s="1">
        <v>38342</v>
      </c>
      <c r="E5021">
        <v>2.6884000000000001</v>
      </c>
    </row>
    <row r="5022" spans="4:5" x14ac:dyDescent="0.35">
      <c r="D5022" s="1">
        <v>38341</v>
      </c>
      <c r="E5022">
        <v>2.6919</v>
      </c>
    </row>
    <row r="5023" spans="4:5" x14ac:dyDescent="0.35">
      <c r="D5023" s="1">
        <v>38338</v>
      </c>
      <c r="E5023">
        <v>2.7239</v>
      </c>
    </row>
    <row r="5024" spans="4:5" x14ac:dyDescent="0.35">
      <c r="D5024" s="1">
        <v>38337</v>
      </c>
      <c r="E5024">
        <v>2.7284999999999999</v>
      </c>
    </row>
    <row r="5025" spans="4:5" x14ac:dyDescent="0.35">
      <c r="D5025" s="1">
        <v>38336</v>
      </c>
      <c r="E5025">
        <v>2.75</v>
      </c>
    </row>
    <row r="5026" spans="4:5" x14ac:dyDescent="0.35">
      <c r="D5026" s="1">
        <v>38335</v>
      </c>
      <c r="E5026">
        <v>2.7572000000000001</v>
      </c>
    </row>
    <row r="5027" spans="4:5" x14ac:dyDescent="0.35">
      <c r="D5027" s="1">
        <v>38334</v>
      </c>
      <c r="E5027">
        <v>2.7688999999999999</v>
      </c>
    </row>
    <row r="5028" spans="4:5" x14ac:dyDescent="0.35">
      <c r="D5028" s="1">
        <v>38331</v>
      </c>
      <c r="E5028">
        <v>2.7858999999999998</v>
      </c>
    </row>
    <row r="5029" spans="4:5" x14ac:dyDescent="0.35">
      <c r="D5029" s="1">
        <v>38330</v>
      </c>
      <c r="E5029">
        <v>2.7736000000000001</v>
      </c>
    </row>
    <row r="5030" spans="4:5" x14ac:dyDescent="0.35">
      <c r="D5030" s="1">
        <v>38329</v>
      </c>
      <c r="E5030">
        <v>2.7656000000000001</v>
      </c>
    </row>
    <row r="5031" spans="4:5" x14ac:dyDescent="0.35">
      <c r="D5031" s="1">
        <v>38328</v>
      </c>
      <c r="E5031">
        <v>2.7313999999999998</v>
      </c>
    </row>
    <row r="5032" spans="4:5" x14ac:dyDescent="0.35">
      <c r="D5032" s="1">
        <v>38327</v>
      </c>
      <c r="E5032">
        <v>2.7178</v>
      </c>
    </row>
    <row r="5033" spans="4:5" x14ac:dyDescent="0.35">
      <c r="D5033" s="1">
        <v>38324</v>
      </c>
      <c r="E5033">
        <v>2.7086999999999999</v>
      </c>
    </row>
    <row r="5034" spans="4:5" x14ac:dyDescent="0.35">
      <c r="D5034" s="1">
        <v>38323</v>
      </c>
      <c r="E5034">
        <v>2.7231000000000001</v>
      </c>
    </row>
    <row r="5035" spans="4:5" x14ac:dyDescent="0.35">
      <c r="D5035" s="1">
        <v>38322</v>
      </c>
      <c r="E5035">
        <v>2.7136999999999998</v>
      </c>
    </row>
    <row r="5036" spans="4:5" x14ac:dyDescent="0.35">
      <c r="D5036" s="1">
        <v>38321</v>
      </c>
      <c r="E5036">
        <v>2.7299000000000002</v>
      </c>
    </row>
    <row r="5037" spans="4:5" x14ac:dyDescent="0.35">
      <c r="D5037" s="1">
        <v>38320</v>
      </c>
      <c r="E5037">
        <v>2.7393999999999998</v>
      </c>
    </row>
    <row r="5038" spans="4:5" x14ac:dyDescent="0.35">
      <c r="D5038" s="1">
        <v>38317</v>
      </c>
      <c r="E5038">
        <v>2.7324000000000002</v>
      </c>
    </row>
    <row r="5039" spans="4:5" x14ac:dyDescent="0.35">
      <c r="D5039" s="1">
        <v>38316</v>
      </c>
      <c r="E5039">
        <v>2.7503000000000002</v>
      </c>
    </row>
    <row r="5040" spans="4:5" x14ac:dyDescent="0.35">
      <c r="D5040" s="1">
        <v>38315</v>
      </c>
      <c r="E5040">
        <v>2.7477</v>
      </c>
    </row>
    <row r="5041" spans="4:5" x14ac:dyDescent="0.35">
      <c r="D5041" s="1">
        <v>38314</v>
      </c>
      <c r="E5041">
        <v>2.7437999999999998</v>
      </c>
    </row>
    <row r="5042" spans="4:5" x14ac:dyDescent="0.35">
      <c r="D5042" s="1">
        <v>38313</v>
      </c>
      <c r="E5042">
        <v>2.7669999999999999</v>
      </c>
    </row>
    <row r="5043" spans="4:5" x14ac:dyDescent="0.35">
      <c r="D5043" s="1">
        <v>38310</v>
      </c>
      <c r="E5043">
        <v>2.7629000000000001</v>
      </c>
    </row>
    <row r="5044" spans="4:5" x14ac:dyDescent="0.35">
      <c r="D5044" s="1">
        <v>38309</v>
      </c>
      <c r="E5044">
        <v>2.7595000000000001</v>
      </c>
    </row>
    <row r="5045" spans="4:5" x14ac:dyDescent="0.35">
      <c r="D5045" s="1">
        <v>38308</v>
      </c>
      <c r="E5045">
        <v>2.7665999999999999</v>
      </c>
    </row>
    <row r="5046" spans="4:5" x14ac:dyDescent="0.35">
      <c r="D5046" s="1">
        <v>38307</v>
      </c>
      <c r="E5046">
        <v>2.7848000000000002</v>
      </c>
    </row>
    <row r="5047" spans="4:5" x14ac:dyDescent="0.35">
      <c r="D5047" s="1">
        <v>38303</v>
      </c>
      <c r="E5047">
        <v>2.7982999999999998</v>
      </c>
    </row>
    <row r="5048" spans="4:5" x14ac:dyDescent="0.35">
      <c r="D5048" s="1">
        <v>38302</v>
      </c>
      <c r="E5048">
        <v>2.8191999999999999</v>
      </c>
    </row>
    <row r="5049" spans="4:5" x14ac:dyDescent="0.35">
      <c r="D5049" s="1">
        <v>38301</v>
      </c>
      <c r="E5049">
        <v>2.8201000000000001</v>
      </c>
    </row>
    <row r="5050" spans="4:5" x14ac:dyDescent="0.35">
      <c r="D5050" s="1">
        <v>38300</v>
      </c>
      <c r="E5050">
        <v>2.8279000000000001</v>
      </c>
    </row>
    <row r="5051" spans="4:5" x14ac:dyDescent="0.35">
      <c r="D5051" s="1">
        <v>38299</v>
      </c>
      <c r="E5051">
        <v>2.8290999999999999</v>
      </c>
    </row>
    <row r="5052" spans="4:5" x14ac:dyDescent="0.35">
      <c r="D5052" s="1">
        <v>38296</v>
      </c>
      <c r="E5052">
        <v>2.8178000000000001</v>
      </c>
    </row>
    <row r="5053" spans="4:5" x14ac:dyDescent="0.35">
      <c r="D5053" s="1">
        <v>38295</v>
      </c>
      <c r="E5053">
        <v>2.8203</v>
      </c>
    </row>
    <row r="5054" spans="4:5" x14ac:dyDescent="0.35">
      <c r="D5054" s="1">
        <v>38294</v>
      </c>
      <c r="E5054">
        <v>2.8296000000000001</v>
      </c>
    </row>
    <row r="5055" spans="4:5" x14ac:dyDescent="0.35">
      <c r="D5055" s="1">
        <v>38292</v>
      </c>
      <c r="E5055">
        <v>2.8582000000000001</v>
      </c>
    </row>
    <row r="5056" spans="4:5" x14ac:dyDescent="0.35">
      <c r="D5056" s="1">
        <v>38289</v>
      </c>
      <c r="E5056">
        <v>2.8557000000000001</v>
      </c>
    </row>
    <row r="5057" spans="4:5" x14ac:dyDescent="0.35">
      <c r="D5057" s="1">
        <v>38288</v>
      </c>
      <c r="E5057">
        <v>2.8647</v>
      </c>
    </row>
    <row r="5058" spans="4:5" x14ac:dyDescent="0.35">
      <c r="D5058" s="1">
        <v>38287</v>
      </c>
      <c r="E5058">
        <v>2.8576999999999999</v>
      </c>
    </row>
    <row r="5059" spans="4:5" x14ac:dyDescent="0.35">
      <c r="D5059" s="1">
        <v>38286</v>
      </c>
      <c r="E5059">
        <v>2.8721000000000001</v>
      </c>
    </row>
    <row r="5060" spans="4:5" x14ac:dyDescent="0.35">
      <c r="D5060" s="1">
        <v>38285</v>
      </c>
      <c r="E5060">
        <v>2.8809</v>
      </c>
    </row>
    <row r="5061" spans="4:5" x14ac:dyDescent="0.35">
      <c r="D5061" s="1">
        <v>38282</v>
      </c>
      <c r="E5061">
        <v>2.8481000000000001</v>
      </c>
    </row>
    <row r="5062" spans="4:5" x14ac:dyDescent="0.35">
      <c r="D5062" s="1">
        <v>38281</v>
      </c>
      <c r="E5062">
        <v>2.8527</v>
      </c>
    </row>
    <row r="5063" spans="4:5" x14ac:dyDescent="0.35">
      <c r="D5063" s="1">
        <v>38280</v>
      </c>
      <c r="E5063">
        <v>2.8839000000000001</v>
      </c>
    </row>
    <row r="5064" spans="4:5" x14ac:dyDescent="0.35">
      <c r="D5064" s="1">
        <v>38279</v>
      </c>
      <c r="E5064">
        <v>2.8698000000000001</v>
      </c>
    </row>
    <row r="5065" spans="4:5" x14ac:dyDescent="0.35">
      <c r="D5065" s="1">
        <v>38278</v>
      </c>
      <c r="E5065">
        <v>2.8538999999999999</v>
      </c>
    </row>
    <row r="5066" spans="4:5" x14ac:dyDescent="0.35">
      <c r="D5066" s="1">
        <v>38275</v>
      </c>
      <c r="E5066">
        <v>2.8614999999999999</v>
      </c>
    </row>
    <row r="5067" spans="4:5" x14ac:dyDescent="0.35">
      <c r="D5067" s="1">
        <v>38274</v>
      </c>
      <c r="E5067">
        <v>2.8622999999999998</v>
      </c>
    </row>
    <row r="5068" spans="4:5" x14ac:dyDescent="0.35">
      <c r="D5068" s="1">
        <v>38273</v>
      </c>
      <c r="E5068">
        <v>2.8365999999999998</v>
      </c>
    </row>
    <row r="5069" spans="4:5" x14ac:dyDescent="0.35">
      <c r="D5069" s="1">
        <v>38271</v>
      </c>
      <c r="E5069">
        <v>2.831</v>
      </c>
    </row>
    <row r="5070" spans="4:5" x14ac:dyDescent="0.35">
      <c r="D5070" s="1">
        <v>38268</v>
      </c>
      <c r="E5070">
        <v>2.8243</v>
      </c>
    </row>
    <row r="5071" spans="4:5" x14ac:dyDescent="0.35">
      <c r="D5071" s="1">
        <v>38267</v>
      </c>
      <c r="E5071">
        <v>2.851</v>
      </c>
    </row>
    <row r="5072" spans="4:5" x14ac:dyDescent="0.35">
      <c r="D5072" s="1">
        <v>38266</v>
      </c>
      <c r="E5072">
        <v>2.8353999999999999</v>
      </c>
    </row>
    <row r="5073" spans="4:5" x14ac:dyDescent="0.35">
      <c r="D5073" s="1">
        <v>38265</v>
      </c>
      <c r="E5073">
        <v>2.8233000000000001</v>
      </c>
    </row>
    <row r="5074" spans="4:5" x14ac:dyDescent="0.35">
      <c r="D5074" s="1">
        <v>38264</v>
      </c>
      <c r="E5074">
        <v>2.8256999999999999</v>
      </c>
    </row>
    <row r="5075" spans="4:5" x14ac:dyDescent="0.35">
      <c r="D5075" s="1">
        <v>38261</v>
      </c>
      <c r="E5075">
        <v>2.8504999999999998</v>
      </c>
    </row>
    <row r="5076" spans="4:5" x14ac:dyDescent="0.35">
      <c r="D5076" s="1">
        <v>38260</v>
      </c>
      <c r="E5076">
        <v>2.8578000000000001</v>
      </c>
    </row>
    <row r="5077" spans="4:5" x14ac:dyDescent="0.35">
      <c r="D5077" s="1">
        <v>38259</v>
      </c>
      <c r="E5077">
        <v>2.8593999999999999</v>
      </c>
    </row>
    <row r="5078" spans="4:5" x14ac:dyDescent="0.35">
      <c r="D5078" s="1">
        <v>38258</v>
      </c>
      <c r="E5078">
        <v>2.8683999999999998</v>
      </c>
    </row>
    <row r="5079" spans="4:5" x14ac:dyDescent="0.35">
      <c r="D5079" s="1">
        <v>38257</v>
      </c>
      <c r="E5079">
        <v>2.8719999999999999</v>
      </c>
    </row>
    <row r="5080" spans="4:5" x14ac:dyDescent="0.35">
      <c r="D5080" s="1">
        <v>38254</v>
      </c>
      <c r="E5080">
        <v>2.8727</v>
      </c>
    </row>
    <row r="5081" spans="4:5" x14ac:dyDescent="0.35">
      <c r="D5081" s="1">
        <v>38253</v>
      </c>
      <c r="E5081">
        <v>2.8717000000000001</v>
      </c>
    </row>
    <row r="5082" spans="4:5" x14ac:dyDescent="0.35">
      <c r="D5082" s="1">
        <v>38252</v>
      </c>
      <c r="E5082">
        <v>2.8668999999999998</v>
      </c>
    </row>
    <row r="5083" spans="4:5" x14ac:dyDescent="0.35">
      <c r="D5083" s="1">
        <v>38251</v>
      </c>
      <c r="E5083">
        <v>2.8729</v>
      </c>
    </row>
    <row r="5084" spans="4:5" x14ac:dyDescent="0.35">
      <c r="D5084" s="1">
        <v>38250</v>
      </c>
      <c r="E5084">
        <v>2.8668</v>
      </c>
    </row>
    <row r="5085" spans="4:5" x14ac:dyDescent="0.35">
      <c r="D5085" s="1">
        <v>38247</v>
      </c>
      <c r="E5085">
        <v>2.8736000000000002</v>
      </c>
    </row>
    <row r="5086" spans="4:5" x14ac:dyDescent="0.35">
      <c r="D5086" s="1">
        <v>38246</v>
      </c>
      <c r="E5086">
        <v>2.8883999999999999</v>
      </c>
    </row>
    <row r="5087" spans="4:5" x14ac:dyDescent="0.35">
      <c r="D5087" s="1">
        <v>38245</v>
      </c>
      <c r="E5087">
        <v>2.9034</v>
      </c>
    </row>
    <row r="5088" spans="4:5" x14ac:dyDescent="0.35">
      <c r="D5088" s="1">
        <v>38244</v>
      </c>
      <c r="E5088">
        <v>2.9117000000000002</v>
      </c>
    </row>
    <row r="5089" spans="4:5" x14ac:dyDescent="0.35">
      <c r="D5089" s="1">
        <v>38243</v>
      </c>
      <c r="E5089">
        <v>2.9051999999999998</v>
      </c>
    </row>
    <row r="5090" spans="4:5" x14ac:dyDescent="0.35">
      <c r="D5090" s="1">
        <v>38240</v>
      </c>
      <c r="E5090">
        <v>2.8980000000000001</v>
      </c>
    </row>
    <row r="5091" spans="4:5" x14ac:dyDescent="0.35">
      <c r="D5091" s="1">
        <v>38239</v>
      </c>
      <c r="E5091">
        <v>2.9020000000000001</v>
      </c>
    </row>
    <row r="5092" spans="4:5" x14ac:dyDescent="0.35">
      <c r="D5092" s="1">
        <v>38238</v>
      </c>
      <c r="E5092">
        <v>2.9005999999999998</v>
      </c>
    </row>
    <row r="5093" spans="4:5" x14ac:dyDescent="0.35">
      <c r="D5093" s="1">
        <v>38236</v>
      </c>
      <c r="E5093">
        <v>2.9134000000000002</v>
      </c>
    </row>
    <row r="5094" spans="4:5" x14ac:dyDescent="0.35">
      <c r="D5094" s="1">
        <v>38233</v>
      </c>
      <c r="E5094">
        <v>2.9281000000000001</v>
      </c>
    </row>
    <row r="5095" spans="4:5" x14ac:dyDescent="0.35">
      <c r="D5095" s="1">
        <v>38232</v>
      </c>
      <c r="E5095">
        <v>2.9352999999999998</v>
      </c>
    </row>
    <row r="5096" spans="4:5" x14ac:dyDescent="0.35">
      <c r="D5096" s="1">
        <v>38231</v>
      </c>
      <c r="E5096">
        <v>2.9289999999999998</v>
      </c>
    </row>
    <row r="5097" spans="4:5" x14ac:dyDescent="0.35">
      <c r="D5097" s="1">
        <v>38230</v>
      </c>
      <c r="E5097">
        <v>2.9329999999999998</v>
      </c>
    </row>
    <row r="5098" spans="4:5" x14ac:dyDescent="0.35">
      <c r="D5098" s="1">
        <v>38229</v>
      </c>
      <c r="E5098">
        <v>2.948</v>
      </c>
    </row>
    <row r="5099" spans="4:5" x14ac:dyDescent="0.35">
      <c r="D5099" s="1">
        <v>38226</v>
      </c>
      <c r="E5099">
        <v>2.9563000000000001</v>
      </c>
    </row>
    <row r="5100" spans="4:5" x14ac:dyDescent="0.35">
      <c r="D5100" s="1">
        <v>38225</v>
      </c>
      <c r="E5100">
        <v>2.9533</v>
      </c>
    </row>
    <row r="5101" spans="4:5" x14ac:dyDescent="0.35">
      <c r="D5101" s="1">
        <v>38224</v>
      </c>
      <c r="E5101">
        <v>2.9504000000000001</v>
      </c>
    </row>
    <row r="5102" spans="4:5" x14ac:dyDescent="0.35">
      <c r="D5102" s="1">
        <v>38223</v>
      </c>
      <c r="E5102">
        <v>2.9567999999999999</v>
      </c>
    </row>
    <row r="5103" spans="4:5" x14ac:dyDescent="0.35">
      <c r="D5103" s="1">
        <v>38222</v>
      </c>
      <c r="E5103">
        <v>2.9679000000000002</v>
      </c>
    </row>
    <row r="5104" spans="4:5" x14ac:dyDescent="0.35">
      <c r="D5104" s="1">
        <v>38219</v>
      </c>
      <c r="E5104">
        <v>2.9733999999999998</v>
      </c>
    </row>
    <row r="5105" spans="4:5" x14ac:dyDescent="0.35">
      <c r="D5105" s="1">
        <v>38218</v>
      </c>
      <c r="E5105">
        <v>2.9784999999999999</v>
      </c>
    </row>
    <row r="5106" spans="4:5" x14ac:dyDescent="0.35">
      <c r="D5106" s="1">
        <v>38217</v>
      </c>
      <c r="E5106">
        <v>2.9914000000000001</v>
      </c>
    </row>
    <row r="5107" spans="4:5" x14ac:dyDescent="0.35">
      <c r="D5107" s="1">
        <v>38216</v>
      </c>
      <c r="E5107">
        <v>2.9981</v>
      </c>
    </row>
    <row r="5108" spans="4:5" x14ac:dyDescent="0.35">
      <c r="D5108" s="1">
        <v>38215</v>
      </c>
      <c r="E5108">
        <v>3.0137999999999998</v>
      </c>
    </row>
    <row r="5109" spans="4:5" x14ac:dyDescent="0.35">
      <c r="D5109" s="1">
        <v>38212</v>
      </c>
      <c r="E5109">
        <v>3.0226999999999999</v>
      </c>
    </row>
    <row r="5110" spans="4:5" x14ac:dyDescent="0.35">
      <c r="D5110" s="1">
        <v>38211</v>
      </c>
      <c r="E5110">
        <v>3.0299</v>
      </c>
    </row>
    <row r="5111" spans="4:5" x14ac:dyDescent="0.35">
      <c r="D5111" s="1">
        <v>38210</v>
      </c>
      <c r="E5111">
        <v>3.0384000000000002</v>
      </c>
    </row>
    <row r="5112" spans="4:5" x14ac:dyDescent="0.35">
      <c r="D5112" s="1">
        <v>38209</v>
      </c>
      <c r="E5112">
        <v>3.0276999999999998</v>
      </c>
    </row>
    <row r="5113" spans="4:5" x14ac:dyDescent="0.35">
      <c r="D5113" s="1">
        <v>38208</v>
      </c>
      <c r="E5113">
        <v>3.0388000000000002</v>
      </c>
    </row>
    <row r="5114" spans="4:5" x14ac:dyDescent="0.35">
      <c r="D5114" s="1">
        <v>38205</v>
      </c>
      <c r="E5114">
        <v>3.0480999999999998</v>
      </c>
    </row>
    <row r="5115" spans="4:5" x14ac:dyDescent="0.35">
      <c r="D5115" s="1">
        <v>38204</v>
      </c>
      <c r="E5115">
        <v>3.0629</v>
      </c>
    </row>
    <row r="5116" spans="4:5" x14ac:dyDescent="0.35">
      <c r="D5116" s="1">
        <v>38203</v>
      </c>
      <c r="E5116">
        <v>3.0571000000000002</v>
      </c>
    </row>
    <row r="5117" spans="4:5" x14ac:dyDescent="0.35">
      <c r="D5117" s="1">
        <v>38202</v>
      </c>
      <c r="E5117">
        <v>3.0541999999999998</v>
      </c>
    </row>
    <row r="5118" spans="4:5" x14ac:dyDescent="0.35">
      <c r="D5118" s="1">
        <v>38201</v>
      </c>
      <c r="E5118">
        <v>3.0457999999999998</v>
      </c>
    </row>
    <row r="5119" spans="4:5" x14ac:dyDescent="0.35">
      <c r="D5119" s="1">
        <v>38198</v>
      </c>
      <c r="E5119">
        <v>3.0259999999999998</v>
      </c>
    </row>
    <row r="5120" spans="4:5" x14ac:dyDescent="0.35">
      <c r="D5120" s="1">
        <v>38197</v>
      </c>
      <c r="E5120">
        <v>3.0366</v>
      </c>
    </row>
    <row r="5121" spans="4:5" x14ac:dyDescent="0.35">
      <c r="D5121" s="1">
        <v>38196</v>
      </c>
      <c r="E5121">
        <v>3.0548999999999999</v>
      </c>
    </row>
    <row r="5122" spans="4:5" x14ac:dyDescent="0.35">
      <c r="D5122" s="1">
        <v>38195</v>
      </c>
      <c r="E5122">
        <v>3.0661999999999998</v>
      </c>
    </row>
    <row r="5123" spans="4:5" x14ac:dyDescent="0.35">
      <c r="D5123" s="1">
        <v>38194</v>
      </c>
      <c r="E5123">
        <v>3.0565000000000002</v>
      </c>
    </row>
    <row r="5124" spans="4:5" x14ac:dyDescent="0.35">
      <c r="D5124" s="1">
        <v>38191</v>
      </c>
      <c r="E5124">
        <v>3.0457000000000001</v>
      </c>
    </row>
    <row r="5125" spans="4:5" x14ac:dyDescent="0.35">
      <c r="D5125" s="1">
        <v>38190</v>
      </c>
      <c r="E5125">
        <v>3.0384000000000002</v>
      </c>
    </row>
    <row r="5126" spans="4:5" x14ac:dyDescent="0.35">
      <c r="D5126" s="1">
        <v>38189</v>
      </c>
      <c r="E5126">
        <v>3.0238999999999998</v>
      </c>
    </row>
    <row r="5127" spans="4:5" x14ac:dyDescent="0.35">
      <c r="D5127" s="1">
        <v>38188</v>
      </c>
      <c r="E5127">
        <v>3.0032999999999999</v>
      </c>
    </row>
    <row r="5128" spans="4:5" x14ac:dyDescent="0.35">
      <c r="D5128" s="1">
        <v>38187</v>
      </c>
      <c r="E5128">
        <v>2.9931000000000001</v>
      </c>
    </row>
    <row r="5129" spans="4:5" x14ac:dyDescent="0.35">
      <c r="D5129" s="1">
        <v>38184</v>
      </c>
      <c r="E5129">
        <v>3.0013000000000001</v>
      </c>
    </row>
    <row r="5130" spans="4:5" x14ac:dyDescent="0.35">
      <c r="D5130" s="1">
        <v>38183</v>
      </c>
      <c r="E5130">
        <v>3.0207000000000002</v>
      </c>
    </row>
    <row r="5131" spans="4:5" x14ac:dyDescent="0.35">
      <c r="D5131" s="1">
        <v>38182</v>
      </c>
      <c r="E5131">
        <v>3.0276000000000001</v>
      </c>
    </row>
    <row r="5132" spans="4:5" x14ac:dyDescent="0.35">
      <c r="D5132" s="1">
        <v>38181</v>
      </c>
      <c r="E5132">
        <v>3.0411999999999999</v>
      </c>
    </row>
    <row r="5133" spans="4:5" x14ac:dyDescent="0.35">
      <c r="D5133" s="1">
        <v>38180</v>
      </c>
      <c r="E5133">
        <v>3.0363000000000002</v>
      </c>
    </row>
    <row r="5134" spans="4:5" x14ac:dyDescent="0.35">
      <c r="D5134" s="1">
        <v>38177</v>
      </c>
      <c r="E5134">
        <v>3.0421</v>
      </c>
    </row>
    <row r="5135" spans="4:5" x14ac:dyDescent="0.35">
      <c r="D5135" s="1">
        <v>38176</v>
      </c>
      <c r="E5135">
        <v>3.0467</v>
      </c>
    </row>
    <row r="5136" spans="4:5" x14ac:dyDescent="0.35">
      <c r="D5136" s="1">
        <v>38175</v>
      </c>
      <c r="E5136">
        <v>3.0358999999999998</v>
      </c>
    </row>
    <row r="5137" spans="4:5" x14ac:dyDescent="0.35">
      <c r="D5137" s="1">
        <v>38174</v>
      </c>
      <c r="E5137">
        <v>3.0409999999999999</v>
      </c>
    </row>
    <row r="5138" spans="4:5" x14ac:dyDescent="0.35">
      <c r="D5138" s="1">
        <v>38173</v>
      </c>
      <c r="E5138">
        <v>3.0308000000000002</v>
      </c>
    </row>
    <row r="5139" spans="4:5" x14ac:dyDescent="0.35">
      <c r="D5139" s="1">
        <v>38170</v>
      </c>
      <c r="E5139">
        <v>3.0493999999999999</v>
      </c>
    </row>
    <row r="5140" spans="4:5" x14ac:dyDescent="0.35">
      <c r="D5140" s="1">
        <v>38169</v>
      </c>
      <c r="E5140">
        <v>3.0739000000000001</v>
      </c>
    </row>
    <row r="5141" spans="4:5" x14ac:dyDescent="0.35">
      <c r="D5141" s="1">
        <v>38168</v>
      </c>
      <c r="E5141">
        <v>3.1067</v>
      </c>
    </row>
    <row r="5142" spans="4:5" x14ac:dyDescent="0.35">
      <c r="D5142" s="1">
        <v>38167</v>
      </c>
      <c r="E5142">
        <v>3.1175000000000002</v>
      </c>
    </row>
    <row r="5143" spans="4:5" x14ac:dyDescent="0.35">
      <c r="D5143" s="1">
        <v>38166</v>
      </c>
      <c r="E5143">
        <v>3.1238999999999999</v>
      </c>
    </row>
    <row r="5144" spans="4:5" x14ac:dyDescent="0.35">
      <c r="D5144" s="1">
        <v>38163</v>
      </c>
      <c r="E5144">
        <v>3.1088</v>
      </c>
    </row>
    <row r="5145" spans="4:5" x14ac:dyDescent="0.35">
      <c r="D5145" s="1">
        <v>38162</v>
      </c>
      <c r="E5145">
        <v>3.1021999999999998</v>
      </c>
    </row>
    <row r="5146" spans="4:5" x14ac:dyDescent="0.35">
      <c r="D5146" s="1">
        <v>38161</v>
      </c>
      <c r="E5146">
        <v>3.125</v>
      </c>
    </row>
    <row r="5147" spans="4:5" x14ac:dyDescent="0.35">
      <c r="D5147" s="1">
        <v>38160</v>
      </c>
      <c r="E5147">
        <v>3.1333000000000002</v>
      </c>
    </row>
    <row r="5148" spans="4:5" x14ac:dyDescent="0.35">
      <c r="D5148" s="1">
        <v>38159</v>
      </c>
      <c r="E5148">
        <v>3.129</v>
      </c>
    </row>
    <row r="5149" spans="4:5" x14ac:dyDescent="0.35">
      <c r="D5149" s="1">
        <v>38156</v>
      </c>
      <c r="E5149">
        <v>3.1379999999999999</v>
      </c>
    </row>
    <row r="5150" spans="4:5" x14ac:dyDescent="0.35">
      <c r="D5150" s="1">
        <v>38155</v>
      </c>
      <c r="E5150">
        <v>3.1272000000000002</v>
      </c>
    </row>
    <row r="5151" spans="4:5" x14ac:dyDescent="0.35">
      <c r="D5151" s="1">
        <v>38154</v>
      </c>
      <c r="E5151">
        <v>3.1396999999999999</v>
      </c>
    </row>
    <row r="5152" spans="4:5" x14ac:dyDescent="0.35">
      <c r="D5152" s="1">
        <v>38153</v>
      </c>
      <c r="E5152">
        <v>3.1372</v>
      </c>
    </row>
    <row r="5153" spans="4:5" x14ac:dyDescent="0.35">
      <c r="D5153" s="1">
        <v>38152</v>
      </c>
      <c r="E5153">
        <v>3.1642999999999999</v>
      </c>
    </row>
    <row r="5154" spans="4:5" x14ac:dyDescent="0.35">
      <c r="D5154" s="1">
        <v>38149</v>
      </c>
      <c r="E5154">
        <v>3.1394000000000002</v>
      </c>
    </row>
    <row r="5155" spans="4:5" x14ac:dyDescent="0.35">
      <c r="D5155" s="1">
        <v>38147</v>
      </c>
      <c r="E5155">
        <v>3.1158000000000001</v>
      </c>
    </row>
    <row r="5156" spans="4:5" x14ac:dyDescent="0.35">
      <c r="D5156" s="1">
        <v>38146</v>
      </c>
      <c r="E5156">
        <v>3.1147</v>
      </c>
    </row>
    <row r="5157" spans="4:5" x14ac:dyDescent="0.35">
      <c r="D5157" s="1">
        <v>38145</v>
      </c>
      <c r="E5157">
        <v>3.1111</v>
      </c>
    </row>
    <row r="5158" spans="4:5" x14ac:dyDescent="0.35">
      <c r="D5158" s="1">
        <v>38142</v>
      </c>
      <c r="E5158">
        <v>3.1326999999999998</v>
      </c>
    </row>
    <row r="5159" spans="4:5" x14ac:dyDescent="0.35">
      <c r="D5159" s="1">
        <v>38141</v>
      </c>
      <c r="E5159">
        <v>3.1435</v>
      </c>
    </row>
    <row r="5160" spans="4:5" x14ac:dyDescent="0.35">
      <c r="D5160" s="1">
        <v>38140</v>
      </c>
      <c r="E5160">
        <v>3.1294</v>
      </c>
    </row>
    <row r="5161" spans="4:5" x14ac:dyDescent="0.35">
      <c r="D5161" s="1">
        <v>38139</v>
      </c>
      <c r="E5161">
        <v>3.1558999999999999</v>
      </c>
    </row>
    <row r="5162" spans="4:5" x14ac:dyDescent="0.35">
      <c r="D5162" s="1">
        <v>38138</v>
      </c>
      <c r="E5162">
        <v>3.1282999999999999</v>
      </c>
    </row>
    <row r="5163" spans="4:5" x14ac:dyDescent="0.35">
      <c r="D5163" s="1">
        <v>38135</v>
      </c>
      <c r="E5163">
        <v>3.0952999999999999</v>
      </c>
    </row>
    <row r="5164" spans="4:5" x14ac:dyDescent="0.35">
      <c r="D5164" s="1">
        <v>38134</v>
      </c>
      <c r="E5164">
        <v>3.1516000000000002</v>
      </c>
    </row>
    <row r="5165" spans="4:5" x14ac:dyDescent="0.35">
      <c r="D5165" s="1">
        <v>38133</v>
      </c>
      <c r="E5165">
        <v>3.1562000000000001</v>
      </c>
    </row>
    <row r="5166" spans="4:5" x14ac:dyDescent="0.35">
      <c r="D5166" s="1">
        <v>38132</v>
      </c>
      <c r="E5166">
        <v>3.1568000000000001</v>
      </c>
    </row>
    <row r="5167" spans="4:5" x14ac:dyDescent="0.35">
      <c r="D5167" s="1">
        <v>38131</v>
      </c>
      <c r="E5167">
        <v>3.1789999999999998</v>
      </c>
    </row>
    <row r="5168" spans="4:5" x14ac:dyDescent="0.35">
      <c r="D5168" s="1">
        <v>38128</v>
      </c>
      <c r="E5168">
        <v>3.2042999999999999</v>
      </c>
    </row>
    <row r="5169" spans="4:5" x14ac:dyDescent="0.35">
      <c r="D5169" s="1">
        <v>38127</v>
      </c>
      <c r="E5169">
        <v>3.1804999999999999</v>
      </c>
    </row>
    <row r="5170" spans="4:5" x14ac:dyDescent="0.35">
      <c r="D5170" s="1">
        <v>38126</v>
      </c>
      <c r="E5170">
        <v>3.1051000000000002</v>
      </c>
    </row>
    <row r="5171" spans="4:5" x14ac:dyDescent="0.35">
      <c r="D5171" s="1">
        <v>38125</v>
      </c>
      <c r="E5171">
        <v>3.1160999999999999</v>
      </c>
    </row>
    <row r="5172" spans="4:5" x14ac:dyDescent="0.35">
      <c r="D5172" s="1">
        <v>38124</v>
      </c>
      <c r="E5172">
        <v>3.1212</v>
      </c>
    </row>
    <row r="5173" spans="4:5" x14ac:dyDescent="0.35">
      <c r="D5173" s="1">
        <v>38121</v>
      </c>
      <c r="E5173">
        <v>3.0973999999999999</v>
      </c>
    </row>
    <row r="5174" spans="4:5" x14ac:dyDescent="0.35">
      <c r="D5174" s="1">
        <v>38120</v>
      </c>
      <c r="E5174">
        <v>3.1271</v>
      </c>
    </row>
    <row r="5175" spans="4:5" x14ac:dyDescent="0.35">
      <c r="D5175" s="1">
        <v>38119</v>
      </c>
      <c r="E5175">
        <v>3.1202999999999999</v>
      </c>
    </row>
    <row r="5176" spans="4:5" x14ac:dyDescent="0.35">
      <c r="D5176" s="1">
        <v>38118</v>
      </c>
      <c r="E5176">
        <v>3.1042999999999998</v>
      </c>
    </row>
    <row r="5177" spans="4:5" x14ac:dyDescent="0.35">
      <c r="D5177" s="1">
        <v>38117</v>
      </c>
      <c r="E5177">
        <v>3.1240999999999999</v>
      </c>
    </row>
    <row r="5178" spans="4:5" x14ac:dyDescent="0.35">
      <c r="D5178" s="1">
        <v>38114</v>
      </c>
      <c r="E5178">
        <v>3.0495999999999999</v>
      </c>
    </row>
    <row r="5179" spans="4:5" x14ac:dyDescent="0.35">
      <c r="D5179" s="1">
        <v>38113</v>
      </c>
      <c r="E5179">
        <v>2.9891000000000001</v>
      </c>
    </row>
    <row r="5180" spans="4:5" x14ac:dyDescent="0.35">
      <c r="D5180" s="1">
        <v>38112</v>
      </c>
      <c r="E5180">
        <v>2.9607999999999999</v>
      </c>
    </row>
    <row r="5181" spans="4:5" x14ac:dyDescent="0.35">
      <c r="D5181" s="1">
        <v>38111</v>
      </c>
      <c r="E5181">
        <v>2.9687999999999999</v>
      </c>
    </row>
    <row r="5182" spans="4:5" x14ac:dyDescent="0.35">
      <c r="D5182" s="1">
        <v>38110</v>
      </c>
      <c r="E5182">
        <v>2.9561000000000002</v>
      </c>
    </row>
    <row r="5183" spans="4:5" x14ac:dyDescent="0.35">
      <c r="D5183" s="1">
        <v>38107</v>
      </c>
      <c r="E5183">
        <v>2.9439000000000002</v>
      </c>
    </row>
    <row r="5184" spans="4:5" x14ac:dyDescent="0.35">
      <c r="D5184" s="1">
        <v>38106</v>
      </c>
      <c r="E5184">
        <v>2.9514</v>
      </c>
    </row>
    <row r="5185" spans="4:5" x14ac:dyDescent="0.35">
      <c r="D5185" s="1">
        <v>38105</v>
      </c>
      <c r="E5185">
        <v>2.9327000000000001</v>
      </c>
    </row>
    <row r="5186" spans="4:5" x14ac:dyDescent="0.35">
      <c r="D5186" s="1">
        <v>38104</v>
      </c>
      <c r="E5186">
        <v>2.9152999999999998</v>
      </c>
    </row>
    <row r="5187" spans="4:5" x14ac:dyDescent="0.35">
      <c r="D5187" s="1">
        <v>38103</v>
      </c>
      <c r="E5187">
        <v>2.9077000000000002</v>
      </c>
    </row>
    <row r="5188" spans="4:5" x14ac:dyDescent="0.35">
      <c r="D5188" s="1">
        <v>38100</v>
      </c>
      <c r="E5188">
        <v>2.9165000000000001</v>
      </c>
    </row>
    <row r="5189" spans="4:5" x14ac:dyDescent="0.35">
      <c r="D5189" s="1">
        <v>38099</v>
      </c>
      <c r="E5189">
        <v>2.9297</v>
      </c>
    </row>
    <row r="5190" spans="4:5" x14ac:dyDescent="0.35">
      <c r="D5190" s="1">
        <v>38097</v>
      </c>
      <c r="E5190">
        <v>2.9178000000000002</v>
      </c>
    </row>
    <row r="5191" spans="4:5" x14ac:dyDescent="0.35">
      <c r="D5191" s="1">
        <v>38096</v>
      </c>
      <c r="E5191">
        <v>2.9093</v>
      </c>
    </row>
    <row r="5192" spans="4:5" x14ac:dyDescent="0.35">
      <c r="D5192" s="1">
        <v>38093</v>
      </c>
      <c r="E5192">
        <v>2.9144999999999999</v>
      </c>
    </row>
    <row r="5193" spans="4:5" x14ac:dyDescent="0.35">
      <c r="D5193" s="1">
        <v>38092</v>
      </c>
      <c r="E5193">
        <v>2.9056000000000002</v>
      </c>
    </row>
    <row r="5194" spans="4:5" x14ac:dyDescent="0.35">
      <c r="D5194" s="1">
        <v>38091</v>
      </c>
      <c r="E5194">
        <v>2.8948</v>
      </c>
    </row>
    <row r="5195" spans="4:5" x14ac:dyDescent="0.35">
      <c r="D5195" s="1">
        <v>38090</v>
      </c>
      <c r="E5195">
        <v>2.8843000000000001</v>
      </c>
    </row>
    <row r="5196" spans="4:5" x14ac:dyDescent="0.35">
      <c r="D5196" s="1">
        <v>38089</v>
      </c>
      <c r="E5196">
        <v>2.8847</v>
      </c>
    </row>
    <row r="5197" spans="4:5" x14ac:dyDescent="0.35">
      <c r="D5197" s="1">
        <v>38085</v>
      </c>
      <c r="E5197">
        <v>2.8794</v>
      </c>
    </row>
    <row r="5198" spans="4:5" x14ac:dyDescent="0.35">
      <c r="D5198" s="1">
        <v>38084</v>
      </c>
      <c r="E5198">
        <v>2.8765000000000001</v>
      </c>
    </row>
    <row r="5199" spans="4:5" x14ac:dyDescent="0.35">
      <c r="D5199" s="1">
        <v>38083</v>
      </c>
      <c r="E5199">
        <v>2.8734999999999999</v>
      </c>
    </row>
    <row r="5200" spans="4:5" x14ac:dyDescent="0.35">
      <c r="D5200" s="1">
        <v>38082</v>
      </c>
      <c r="E5200">
        <v>2.8843000000000001</v>
      </c>
    </row>
    <row r="5201" spans="4:5" x14ac:dyDescent="0.35">
      <c r="D5201" s="1">
        <v>38079</v>
      </c>
      <c r="E5201">
        <v>2.8921999999999999</v>
      </c>
    </row>
    <row r="5202" spans="4:5" x14ac:dyDescent="0.35">
      <c r="D5202" s="1">
        <v>38078</v>
      </c>
      <c r="E5202">
        <v>2.8896000000000002</v>
      </c>
    </row>
    <row r="5203" spans="4:5" x14ac:dyDescent="0.35">
      <c r="D5203" s="1">
        <v>38077</v>
      </c>
      <c r="E5203">
        <v>2.9077999999999999</v>
      </c>
    </row>
    <row r="5204" spans="4:5" x14ac:dyDescent="0.35">
      <c r="D5204" s="1">
        <v>38076</v>
      </c>
      <c r="E5204">
        <v>2.9207999999999998</v>
      </c>
    </row>
    <row r="5205" spans="4:5" x14ac:dyDescent="0.35">
      <c r="D5205" s="1">
        <v>38075</v>
      </c>
      <c r="E5205">
        <v>2.9357000000000002</v>
      </c>
    </row>
    <row r="5206" spans="4:5" x14ac:dyDescent="0.35">
      <c r="D5206" s="1">
        <v>38072</v>
      </c>
      <c r="E5206">
        <v>2.9401999999999999</v>
      </c>
    </row>
    <row r="5207" spans="4:5" x14ac:dyDescent="0.35">
      <c r="D5207" s="1">
        <v>38071</v>
      </c>
      <c r="E5207">
        <v>2.9329000000000001</v>
      </c>
    </row>
    <row r="5208" spans="4:5" x14ac:dyDescent="0.35">
      <c r="D5208" s="1">
        <v>38070</v>
      </c>
      <c r="E5208">
        <v>2.9256000000000002</v>
      </c>
    </row>
    <row r="5209" spans="4:5" x14ac:dyDescent="0.35">
      <c r="D5209" s="1">
        <v>38069</v>
      </c>
      <c r="E5209">
        <v>2.9136000000000002</v>
      </c>
    </row>
    <row r="5210" spans="4:5" x14ac:dyDescent="0.35">
      <c r="D5210" s="1">
        <v>38068</v>
      </c>
      <c r="E5210">
        <v>2.9098999999999999</v>
      </c>
    </row>
    <row r="5211" spans="4:5" x14ac:dyDescent="0.35">
      <c r="D5211" s="1">
        <v>38065</v>
      </c>
      <c r="E5211">
        <v>2.8992</v>
      </c>
    </row>
    <row r="5212" spans="4:5" x14ac:dyDescent="0.35">
      <c r="D5212" s="1">
        <v>38064</v>
      </c>
      <c r="E5212">
        <v>2.9127000000000001</v>
      </c>
    </row>
    <row r="5213" spans="4:5" x14ac:dyDescent="0.35">
      <c r="D5213" s="1">
        <v>38063</v>
      </c>
      <c r="E5213">
        <v>2.9062000000000001</v>
      </c>
    </row>
    <row r="5214" spans="4:5" x14ac:dyDescent="0.35">
      <c r="D5214" s="1">
        <v>38062</v>
      </c>
      <c r="E5214">
        <v>2.8993000000000002</v>
      </c>
    </row>
    <row r="5215" spans="4:5" x14ac:dyDescent="0.35">
      <c r="D5215" s="1">
        <v>38061</v>
      </c>
      <c r="E5215">
        <v>2.9005000000000001</v>
      </c>
    </row>
    <row r="5216" spans="4:5" x14ac:dyDescent="0.35">
      <c r="D5216" s="1">
        <v>38058</v>
      </c>
      <c r="E5216">
        <v>2.9055</v>
      </c>
    </row>
    <row r="5217" spans="4:5" x14ac:dyDescent="0.35">
      <c r="D5217" s="1">
        <v>38057</v>
      </c>
      <c r="E5217">
        <v>2.9123999999999999</v>
      </c>
    </row>
    <row r="5218" spans="4:5" x14ac:dyDescent="0.35">
      <c r="D5218" s="1">
        <v>38056</v>
      </c>
      <c r="E5218">
        <v>2.8883000000000001</v>
      </c>
    </row>
    <row r="5219" spans="4:5" x14ac:dyDescent="0.35">
      <c r="D5219" s="1">
        <v>38055</v>
      </c>
      <c r="E5219">
        <v>2.875</v>
      </c>
    </row>
    <row r="5220" spans="4:5" x14ac:dyDescent="0.35">
      <c r="D5220" s="1">
        <v>38054</v>
      </c>
      <c r="E5220">
        <v>2.8744000000000001</v>
      </c>
    </row>
    <row r="5221" spans="4:5" x14ac:dyDescent="0.35">
      <c r="D5221" s="1">
        <v>38051</v>
      </c>
      <c r="E5221">
        <v>2.8782000000000001</v>
      </c>
    </row>
    <row r="5222" spans="4:5" x14ac:dyDescent="0.35">
      <c r="D5222" s="1">
        <v>38050</v>
      </c>
      <c r="E5222">
        <v>2.887</v>
      </c>
    </row>
    <row r="5223" spans="4:5" x14ac:dyDescent="0.35">
      <c r="D5223" s="1">
        <v>38049</v>
      </c>
      <c r="E5223">
        <v>2.8803999999999998</v>
      </c>
    </row>
    <row r="5224" spans="4:5" x14ac:dyDescent="0.35">
      <c r="D5224" s="1">
        <v>38048</v>
      </c>
      <c r="E5224">
        <v>2.9077999999999999</v>
      </c>
    </row>
    <row r="5225" spans="4:5" x14ac:dyDescent="0.35">
      <c r="D5225" s="1">
        <v>38047</v>
      </c>
      <c r="E5225">
        <v>2.8936999999999999</v>
      </c>
    </row>
    <row r="5226" spans="4:5" x14ac:dyDescent="0.35">
      <c r="D5226" s="1">
        <v>38044</v>
      </c>
      <c r="E5226">
        <v>2.9129999999999998</v>
      </c>
    </row>
    <row r="5227" spans="4:5" x14ac:dyDescent="0.35">
      <c r="D5227" s="1">
        <v>38043</v>
      </c>
      <c r="E5227">
        <v>2.9361000000000002</v>
      </c>
    </row>
    <row r="5228" spans="4:5" x14ac:dyDescent="0.35">
      <c r="D5228" s="1">
        <v>38042</v>
      </c>
      <c r="E5228">
        <v>2.9394999999999998</v>
      </c>
    </row>
    <row r="5229" spans="4:5" x14ac:dyDescent="0.35">
      <c r="D5229" s="1">
        <v>38037</v>
      </c>
      <c r="E5229">
        <v>2.9870000000000001</v>
      </c>
    </row>
    <row r="5230" spans="4:5" x14ac:dyDescent="0.35">
      <c r="D5230" s="1">
        <v>38036</v>
      </c>
      <c r="E5230">
        <v>2.9500999999999999</v>
      </c>
    </row>
    <row r="5231" spans="4:5" x14ac:dyDescent="0.35">
      <c r="D5231" s="1">
        <v>38035</v>
      </c>
      <c r="E5231">
        <v>2.9287999999999998</v>
      </c>
    </row>
    <row r="5232" spans="4:5" x14ac:dyDescent="0.35">
      <c r="D5232" s="1">
        <v>38034</v>
      </c>
      <c r="E5232">
        <v>2.9117000000000002</v>
      </c>
    </row>
    <row r="5233" spans="4:5" x14ac:dyDescent="0.35">
      <c r="D5233" s="1">
        <v>38033</v>
      </c>
      <c r="E5233">
        <v>2.9058000000000002</v>
      </c>
    </row>
    <row r="5234" spans="4:5" x14ac:dyDescent="0.35">
      <c r="D5234" s="1">
        <v>38030</v>
      </c>
      <c r="E5234">
        <v>2.9077000000000002</v>
      </c>
    </row>
    <row r="5235" spans="4:5" x14ac:dyDescent="0.35">
      <c r="D5235" s="1">
        <v>38029</v>
      </c>
      <c r="E5235">
        <v>2.9034</v>
      </c>
    </row>
    <row r="5236" spans="4:5" x14ac:dyDescent="0.35">
      <c r="D5236" s="1">
        <v>38028</v>
      </c>
      <c r="E5236">
        <v>2.9245000000000001</v>
      </c>
    </row>
    <row r="5237" spans="4:5" x14ac:dyDescent="0.35">
      <c r="D5237" s="1">
        <v>38027</v>
      </c>
      <c r="E5237">
        <v>2.919</v>
      </c>
    </row>
    <row r="5238" spans="4:5" x14ac:dyDescent="0.35">
      <c r="D5238" s="1">
        <v>38026</v>
      </c>
      <c r="E5238">
        <v>2.9333</v>
      </c>
    </row>
    <row r="5239" spans="4:5" x14ac:dyDescent="0.35">
      <c r="D5239" s="1">
        <v>38023</v>
      </c>
      <c r="E5239">
        <v>2.9491999999999998</v>
      </c>
    </row>
    <row r="5240" spans="4:5" x14ac:dyDescent="0.35">
      <c r="D5240" s="1">
        <v>38022</v>
      </c>
      <c r="E5240">
        <v>2.9327000000000001</v>
      </c>
    </row>
    <row r="5241" spans="4:5" x14ac:dyDescent="0.35">
      <c r="D5241" s="1">
        <v>38021</v>
      </c>
      <c r="E5241">
        <v>2.9098000000000002</v>
      </c>
    </row>
    <row r="5242" spans="4:5" x14ac:dyDescent="0.35">
      <c r="D5242" s="1">
        <v>38020</v>
      </c>
      <c r="E5242">
        <v>2.9318</v>
      </c>
    </row>
    <row r="5243" spans="4:5" x14ac:dyDescent="0.35">
      <c r="D5243" s="1">
        <v>38019</v>
      </c>
      <c r="E5243">
        <v>2.9478</v>
      </c>
    </row>
    <row r="5244" spans="4:5" x14ac:dyDescent="0.35">
      <c r="D5244" s="1">
        <v>38016</v>
      </c>
      <c r="E5244">
        <v>2.9401000000000002</v>
      </c>
    </row>
    <row r="5245" spans="4:5" x14ac:dyDescent="0.35">
      <c r="D5245" s="1">
        <v>38015</v>
      </c>
      <c r="E5245">
        <v>2.9228000000000001</v>
      </c>
    </row>
    <row r="5246" spans="4:5" x14ac:dyDescent="0.35">
      <c r="D5246" s="1">
        <v>38014</v>
      </c>
      <c r="E5246">
        <v>2.8776999999999999</v>
      </c>
    </row>
    <row r="5247" spans="4:5" x14ac:dyDescent="0.35">
      <c r="D5247" s="1">
        <v>38013</v>
      </c>
      <c r="E5247">
        <v>2.8578999999999999</v>
      </c>
    </row>
    <row r="5248" spans="4:5" x14ac:dyDescent="0.35">
      <c r="D5248" s="1">
        <v>38012</v>
      </c>
      <c r="E5248">
        <v>2.8422999999999998</v>
      </c>
    </row>
    <row r="5249" spans="4:5" x14ac:dyDescent="0.35">
      <c r="D5249" s="1">
        <v>38009</v>
      </c>
      <c r="E5249">
        <v>2.8426999999999998</v>
      </c>
    </row>
    <row r="5250" spans="4:5" x14ac:dyDescent="0.35">
      <c r="D5250" s="1">
        <v>38008</v>
      </c>
      <c r="E5250">
        <v>2.8409</v>
      </c>
    </row>
    <row r="5251" spans="4:5" x14ac:dyDescent="0.35">
      <c r="D5251" s="1">
        <v>38007</v>
      </c>
      <c r="E5251">
        <v>2.8409</v>
      </c>
    </row>
    <row r="5252" spans="4:5" x14ac:dyDescent="0.35">
      <c r="D5252" s="1">
        <v>38006</v>
      </c>
      <c r="E5252">
        <v>2.8374000000000001</v>
      </c>
    </row>
    <row r="5253" spans="4:5" x14ac:dyDescent="0.35">
      <c r="D5253" s="1">
        <v>38005</v>
      </c>
      <c r="E5253">
        <v>2.8411</v>
      </c>
    </row>
    <row r="5254" spans="4:5" x14ac:dyDescent="0.35">
      <c r="D5254" s="1">
        <v>38002</v>
      </c>
      <c r="E5254">
        <v>2.8176000000000001</v>
      </c>
    </row>
    <row r="5255" spans="4:5" x14ac:dyDescent="0.35">
      <c r="D5255" s="1">
        <v>38001</v>
      </c>
      <c r="E5255">
        <v>2.8117999999999999</v>
      </c>
    </row>
    <row r="5256" spans="4:5" x14ac:dyDescent="0.35">
      <c r="D5256" s="1">
        <v>38000</v>
      </c>
      <c r="E5256">
        <v>2.8134000000000001</v>
      </c>
    </row>
    <row r="5257" spans="4:5" x14ac:dyDescent="0.35">
      <c r="D5257" s="1">
        <v>37999</v>
      </c>
      <c r="E5257">
        <v>2.8014000000000001</v>
      </c>
    </row>
    <row r="5258" spans="4:5" x14ac:dyDescent="0.35">
      <c r="D5258" s="1">
        <v>37998</v>
      </c>
      <c r="E5258">
        <v>2.8155000000000001</v>
      </c>
    </row>
    <row r="5259" spans="4:5" x14ac:dyDescent="0.35">
      <c r="D5259" s="1">
        <v>37995</v>
      </c>
      <c r="E5259">
        <v>2.8414000000000001</v>
      </c>
    </row>
    <row r="5260" spans="4:5" x14ac:dyDescent="0.35">
      <c r="D5260" s="1">
        <v>37994</v>
      </c>
      <c r="E5260">
        <v>2.8580000000000001</v>
      </c>
    </row>
    <row r="5261" spans="4:5" x14ac:dyDescent="0.35">
      <c r="D5261" s="1">
        <v>37993</v>
      </c>
      <c r="E5261">
        <v>2.8715000000000002</v>
      </c>
    </row>
    <row r="5262" spans="4:5" x14ac:dyDescent="0.35">
      <c r="D5262" s="1">
        <v>37992</v>
      </c>
      <c r="E5262">
        <v>2.85</v>
      </c>
    </row>
    <row r="5263" spans="4:5" x14ac:dyDescent="0.35">
      <c r="D5263" s="1">
        <v>37991</v>
      </c>
      <c r="E5263">
        <v>2.8618999999999999</v>
      </c>
    </row>
    <row r="5264" spans="4:5" x14ac:dyDescent="0.35">
      <c r="D5264" s="1">
        <v>37988</v>
      </c>
      <c r="E5264">
        <v>2.8854000000000002</v>
      </c>
    </row>
    <row r="5265" spans="4:5" x14ac:dyDescent="0.35">
      <c r="D5265" s="1">
        <v>37986</v>
      </c>
      <c r="E5265">
        <v>2.8883999999999999</v>
      </c>
    </row>
    <row r="5266" spans="4:5" x14ac:dyDescent="0.35">
      <c r="D5266" s="1">
        <v>37985</v>
      </c>
      <c r="E5266">
        <v>2.8883999999999999</v>
      </c>
    </row>
    <row r="5267" spans="4:5" x14ac:dyDescent="0.35">
      <c r="D5267" s="1">
        <v>37984</v>
      </c>
      <c r="E5267">
        <v>2.8875000000000002</v>
      </c>
    </row>
    <row r="5268" spans="4:5" x14ac:dyDescent="0.35">
      <c r="D5268" s="1">
        <v>37981</v>
      </c>
      <c r="E5268">
        <v>2.8986000000000001</v>
      </c>
    </row>
    <row r="5269" spans="4:5" x14ac:dyDescent="0.35">
      <c r="D5269" s="1">
        <v>37979</v>
      </c>
      <c r="E5269">
        <v>2.9074</v>
      </c>
    </row>
    <row r="5270" spans="4:5" x14ac:dyDescent="0.35">
      <c r="D5270" s="1">
        <v>37978</v>
      </c>
      <c r="E5270">
        <v>2.9167000000000001</v>
      </c>
    </row>
    <row r="5271" spans="4:5" x14ac:dyDescent="0.35">
      <c r="D5271" s="1">
        <v>37977</v>
      </c>
      <c r="E5271">
        <v>2.9230999999999998</v>
      </c>
    </row>
    <row r="5272" spans="4:5" x14ac:dyDescent="0.35">
      <c r="D5272" s="1">
        <v>37974</v>
      </c>
      <c r="E5272">
        <v>2.927</v>
      </c>
    </row>
    <row r="5273" spans="4:5" x14ac:dyDescent="0.35">
      <c r="D5273" s="1">
        <v>37973</v>
      </c>
      <c r="E5273">
        <v>2.9333</v>
      </c>
    </row>
    <row r="5274" spans="4:5" x14ac:dyDescent="0.35">
      <c r="D5274" s="1">
        <v>37972</v>
      </c>
      <c r="E5274">
        <v>2.9373</v>
      </c>
    </row>
    <row r="5275" spans="4:5" x14ac:dyDescent="0.35">
      <c r="D5275" s="1">
        <v>37971</v>
      </c>
      <c r="E5275">
        <v>2.9312</v>
      </c>
    </row>
    <row r="5276" spans="4:5" x14ac:dyDescent="0.35">
      <c r="D5276" s="1">
        <v>37970</v>
      </c>
      <c r="E5276">
        <v>2.9285000000000001</v>
      </c>
    </row>
    <row r="5277" spans="4:5" x14ac:dyDescent="0.35">
      <c r="D5277" s="1">
        <v>37967</v>
      </c>
      <c r="E5277">
        <v>2.9411999999999998</v>
      </c>
    </row>
    <row r="5278" spans="4:5" x14ac:dyDescent="0.35">
      <c r="D5278" s="1">
        <v>37966</v>
      </c>
      <c r="E5278">
        <v>2.9426000000000001</v>
      </c>
    </row>
    <row r="5279" spans="4:5" x14ac:dyDescent="0.35">
      <c r="D5279" s="1">
        <v>37965</v>
      </c>
      <c r="E5279">
        <v>2.9420999999999999</v>
      </c>
    </row>
    <row r="5280" spans="4:5" x14ac:dyDescent="0.35">
      <c r="D5280" s="1">
        <v>37964</v>
      </c>
      <c r="E5280">
        <v>2.9342000000000001</v>
      </c>
    </row>
    <row r="5281" spans="4:5" x14ac:dyDescent="0.35">
      <c r="D5281" s="1">
        <v>37963</v>
      </c>
      <c r="E5281">
        <v>2.9413999999999998</v>
      </c>
    </row>
    <row r="5282" spans="4:5" x14ac:dyDescent="0.35">
      <c r="D5282" s="1">
        <v>37960</v>
      </c>
      <c r="E5282">
        <v>2.9390000000000001</v>
      </c>
    </row>
    <row r="5283" spans="4:5" x14ac:dyDescent="0.35">
      <c r="D5283" s="1">
        <v>37959</v>
      </c>
      <c r="E5283">
        <v>2.9394999999999998</v>
      </c>
    </row>
    <row r="5284" spans="4:5" x14ac:dyDescent="0.35">
      <c r="D5284" s="1">
        <v>37958</v>
      </c>
      <c r="E5284">
        <v>2.9308000000000001</v>
      </c>
    </row>
    <row r="5285" spans="4:5" x14ac:dyDescent="0.35">
      <c r="D5285" s="1">
        <v>37957</v>
      </c>
      <c r="E5285">
        <v>2.9264999999999999</v>
      </c>
    </row>
    <row r="5286" spans="4:5" x14ac:dyDescent="0.35">
      <c r="D5286" s="1">
        <v>37956</v>
      </c>
      <c r="E5286">
        <v>2.9333</v>
      </c>
    </row>
    <row r="5287" spans="4:5" x14ac:dyDescent="0.35">
      <c r="D5287" s="1">
        <v>37953</v>
      </c>
      <c r="E5287">
        <v>2.9485999999999999</v>
      </c>
    </row>
    <row r="5288" spans="4:5" x14ac:dyDescent="0.35">
      <c r="D5288" s="1">
        <v>37952</v>
      </c>
      <c r="E5288">
        <v>2.9468999999999999</v>
      </c>
    </row>
    <row r="5289" spans="4:5" x14ac:dyDescent="0.35">
      <c r="D5289" s="1">
        <v>37951</v>
      </c>
      <c r="E5289">
        <v>2.9352999999999998</v>
      </c>
    </row>
    <row r="5290" spans="4:5" x14ac:dyDescent="0.35">
      <c r="D5290" s="1">
        <v>37950</v>
      </c>
      <c r="E5290">
        <v>2.9238</v>
      </c>
    </row>
    <row r="5291" spans="4:5" x14ac:dyDescent="0.35">
      <c r="D5291" s="1">
        <v>37949</v>
      </c>
      <c r="E5291">
        <v>2.9262000000000001</v>
      </c>
    </row>
    <row r="5292" spans="4:5" x14ac:dyDescent="0.35">
      <c r="D5292" s="1">
        <v>37946</v>
      </c>
      <c r="E5292">
        <v>2.9293</v>
      </c>
    </row>
    <row r="5293" spans="4:5" x14ac:dyDescent="0.35">
      <c r="D5293" s="1">
        <v>37945</v>
      </c>
      <c r="E5293">
        <v>2.9472</v>
      </c>
    </row>
    <row r="5294" spans="4:5" x14ac:dyDescent="0.35">
      <c r="D5294" s="1">
        <v>37944</v>
      </c>
      <c r="E5294">
        <v>2.9499</v>
      </c>
    </row>
    <row r="5295" spans="4:5" x14ac:dyDescent="0.35">
      <c r="D5295" s="1">
        <v>37943</v>
      </c>
      <c r="E5295">
        <v>2.9413</v>
      </c>
    </row>
    <row r="5296" spans="4:5" x14ac:dyDescent="0.35">
      <c r="D5296" s="1">
        <v>37942</v>
      </c>
      <c r="E5296">
        <v>2.9538000000000002</v>
      </c>
    </row>
    <row r="5297" spans="4:5" x14ac:dyDescent="0.35">
      <c r="D5297" s="1">
        <v>37939</v>
      </c>
      <c r="E5297">
        <v>2.9409999999999998</v>
      </c>
    </row>
    <row r="5298" spans="4:5" x14ac:dyDescent="0.35">
      <c r="D5298" s="1">
        <v>37938</v>
      </c>
      <c r="E5298">
        <v>2.9188000000000001</v>
      </c>
    </row>
    <row r="5299" spans="4:5" x14ac:dyDescent="0.35">
      <c r="D5299" s="1">
        <v>37937</v>
      </c>
      <c r="E5299">
        <v>2.9104000000000001</v>
      </c>
    </row>
    <row r="5300" spans="4:5" x14ac:dyDescent="0.35">
      <c r="D5300" s="1">
        <v>37936</v>
      </c>
      <c r="E5300">
        <v>2.8946999999999998</v>
      </c>
    </row>
    <row r="5301" spans="4:5" x14ac:dyDescent="0.35">
      <c r="D5301" s="1">
        <v>37935</v>
      </c>
      <c r="E5301">
        <v>2.8799000000000001</v>
      </c>
    </row>
    <row r="5302" spans="4:5" x14ac:dyDescent="0.35">
      <c r="D5302" s="1">
        <v>37932</v>
      </c>
      <c r="E5302">
        <v>2.8691</v>
      </c>
    </row>
    <row r="5303" spans="4:5" x14ac:dyDescent="0.35">
      <c r="D5303" s="1">
        <v>37931</v>
      </c>
      <c r="E5303">
        <v>2.87</v>
      </c>
    </row>
    <row r="5304" spans="4:5" x14ac:dyDescent="0.35">
      <c r="D5304" s="1">
        <v>37930</v>
      </c>
      <c r="E5304">
        <v>2.8588</v>
      </c>
    </row>
    <row r="5305" spans="4:5" x14ac:dyDescent="0.35">
      <c r="D5305" s="1">
        <v>37929</v>
      </c>
      <c r="E5305">
        <v>2.8599000000000001</v>
      </c>
    </row>
    <row r="5306" spans="4:5" x14ac:dyDescent="0.35">
      <c r="D5306" s="1">
        <v>37928</v>
      </c>
      <c r="E5306">
        <v>2.8551000000000002</v>
      </c>
    </row>
    <row r="5307" spans="4:5" x14ac:dyDescent="0.35">
      <c r="D5307" s="1">
        <v>37925</v>
      </c>
      <c r="E5307">
        <v>2.8553999999999999</v>
      </c>
    </row>
    <row r="5308" spans="4:5" x14ac:dyDescent="0.35">
      <c r="D5308" s="1">
        <v>37924</v>
      </c>
      <c r="E5308">
        <v>2.8431999999999999</v>
      </c>
    </row>
    <row r="5309" spans="4:5" x14ac:dyDescent="0.35">
      <c r="D5309" s="1">
        <v>37923</v>
      </c>
      <c r="E5309">
        <v>2.8529</v>
      </c>
    </row>
    <row r="5310" spans="4:5" x14ac:dyDescent="0.35">
      <c r="D5310" s="1">
        <v>37922</v>
      </c>
      <c r="E5310">
        <v>2.8666999999999998</v>
      </c>
    </row>
    <row r="5311" spans="4:5" x14ac:dyDescent="0.35">
      <c r="D5311" s="1">
        <v>37921</v>
      </c>
      <c r="E5311">
        <v>2.8719999999999999</v>
      </c>
    </row>
    <row r="5312" spans="4:5" x14ac:dyDescent="0.35">
      <c r="D5312" s="1">
        <v>37918</v>
      </c>
      <c r="E5312">
        <v>2.8687</v>
      </c>
    </row>
    <row r="5313" spans="4:5" x14ac:dyDescent="0.35">
      <c r="D5313" s="1">
        <v>37917</v>
      </c>
      <c r="E5313">
        <v>2.8690000000000002</v>
      </c>
    </row>
    <row r="5314" spans="4:5" x14ac:dyDescent="0.35">
      <c r="D5314" s="1">
        <v>37916</v>
      </c>
      <c r="E5314">
        <v>2.8593999999999999</v>
      </c>
    </row>
    <row r="5315" spans="4:5" x14ac:dyDescent="0.35">
      <c r="D5315" s="1">
        <v>37915</v>
      </c>
      <c r="E5315">
        <v>2.8633999999999999</v>
      </c>
    </row>
    <row r="5316" spans="4:5" x14ac:dyDescent="0.35">
      <c r="D5316" s="1">
        <v>37914</v>
      </c>
      <c r="E5316">
        <v>2.8831000000000002</v>
      </c>
    </row>
    <row r="5317" spans="4:5" x14ac:dyDescent="0.35">
      <c r="D5317" s="1">
        <v>37911</v>
      </c>
      <c r="E5317">
        <v>2.8626999999999998</v>
      </c>
    </row>
    <row r="5318" spans="4:5" x14ac:dyDescent="0.35">
      <c r="D5318" s="1">
        <v>37910</v>
      </c>
      <c r="E5318">
        <v>2.8401000000000001</v>
      </c>
    </row>
    <row r="5319" spans="4:5" x14ac:dyDescent="0.35">
      <c r="D5319" s="1">
        <v>37909</v>
      </c>
      <c r="E5319">
        <v>2.8260000000000001</v>
      </c>
    </row>
    <row r="5320" spans="4:5" x14ac:dyDescent="0.35">
      <c r="D5320" s="1">
        <v>37908</v>
      </c>
      <c r="E5320">
        <v>2.8416999999999999</v>
      </c>
    </row>
    <row r="5321" spans="4:5" x14ac:dyDescent="0.35">
      <c r="D5321" s="1">
        <v>37907</v>
      </c>
      <c r="E5321">
        <v>2.8363</v>
      </c>
    </row>
    <row r="5322" spans="4:5" x14ac:dyDescent="0.35">
      <c r="D5322" s="1">
        <v>37904</v>
      </c>
      <c r="E5322">
        <v>2.8393000000000002</v>
      </c>
    </row>
    <row r="5323" spans="4:5" x14ac:dyDescent="0.35">
      <c r="D5323" s="1">
        <v>37903</v>
      </c>
      <c r="E5323">
        <v>2.8414000000000001</v>
      </c>
    </row>
    <row r="5324" spans="4:5" x14ac:dyDescent="0.35">
      <c r="D5324" s="1">
        <v>37902</v>
      </c>
      <c r="E5324">
        <v>2.8435999999999999</v>
      </c>
    </row>
    <row r="5325" spans="4:5" x14ac:dyDescent="0.35">
      <c r="D5325" s="1">
        <v>37901</v>
      </c>
      <c r="E5325">
        <v>2.8693</v>
      </c>
    </row>
    <row r="5326" spans="4:5" x14ac:dyDescent="0.35">
      <c r="D5326" s="1">
        <v>37900</v>
      </c>
      <c r="E5326">
        <v>2.8744999999999998</v>
      </c>
    </row>
    <row r="5327" spans="4:5" x14ac:dyDescent="0.35">
      <c r="D5327" s="1">
        <v>37897</v>
      </c>
      <c r="E5327">
        <v>2.8866999999999998</v>
      </c>
    </row>
    <row r="5328" spans="4:5" x14ac:dyDescent="0.35">
      <c r="D5328" s="1">
        <v>37896</v>
      </c>
      <c r="E5328">
        <v>2.8980999999999999</v>
      </c>
    </row>
    <row r="5329" spans="4:5" x14ac:dyDescent="0.35">
      <c r="D5329" s="1">
        <v>37895</v>
      </c>
      <c r="E5329">
        <v>2.9026000000000001</v>
      </c>
    </row>
    <row r="5330" spans="4:5" x14ac:dyDescent="0.35">
      <c r="D5330" s="1">
        <v>37894</v>
      </c>
      <c r="E5330">
        <v>2.9226000000000001</v>
      </c>
    </row>
    <row r="5331" spans="4:5" x14ac:dyDescent="0.35">
      <c r="D5331" s="1">
        <v>37893</v>
      </c>
      <c r="E5331">
        <v>2.9365999999999999</v>
      </c>
    </row>
    <row r="5332" spans="4:5" x14ac:dyDescent="0.35">
      <c r="D5332" s="1">
        <v>37890</v>
      </c>
      <c r="E5332">
        <v>2.9365000000000001</v>
      </c>
    </row>
    <row r="5333" spans="4:5" x14ac:dyDescent="0.35">
      <c r="D5333" s="1">
        <v>37889</v>
      </c>
      <c r="E5333">
        <v>2.9298000000000002</v>
      </c>
    </row>
    <row r="5334" spans="4:5" x14ac:dyDescent="0.35">
      <c r="D5334" s="1">
        <v>37888</v>
      </c>
      <c r="E5334">
        <v>2.9236</v>
      </c>
    </row>
    <row r="5335" spans="4:5" x14ac:dyDescent="0.35">
      <c r="D5335" s="1">
        <v>37887</v>
      </c>
      <c r="E5335">
        <v>2.9137</v>
      </c>
    </row>
    <row r="5336" spans="4:5" x14ac:dyDescent="0.35">
      <c r="D5336" s="1">
        <v>37886</v>
      </c>
      <c r="E5336">
        <v>2.9013</v>
      </c>
    </row>
    <row r="5337" spans="4:5" x14ac:dyDescent="0.35">
      <c r="D5337" s="1">
        <v>37883</v>
      </c>
      <c r="E5337">
        <v>2.9056999999999999</v>
      </c>
    </row>
    <row r="5338" spans="4:5" x14ac:dyDescent="0.35">
      <c r="D5338" s="1">
        <v>37882</v>
      </c>
      <c r="E5338">
        <v>2.8967000000000001</v>
      </c>
    </row>
    <row r="5339" spans="4:5" x14ac:dyDescent="0.35">
      <c r="D5339" s="1">
        <v>37881</v>
      </c>
      <c r="E5339">
        <v>2.9049</v>
      </c>
    </row>
    <row r="5340" spans="4:5" x14ac:dyDescent="0.35">
      <c r="D5340" s="1">
        <v>37880</v>
      </c>
      <c r="E5340">
        <v>2.8959000000000001</v>
      </c>
    </row>
    <row r="5341" spans="4:5" x14ac:dyDescent="0.35">
      <c r="D5341" s="1">
        <v>37879</v>
      </c>
      <c r="E5341">
        <v>2.8889999999999998</v>
      </c>
    </row>
    <row r="5342" spans="4:5" x14ac:dyDescent="0.35">
      <c r="D5342" s="1">
        <v>37876</v>
      </c>
      <c r="E5342">
        <v>2.8950999999999998</v>
      </c>
    </row>
    <row r="5343" spans="4:5" x14ac:dyDescent="0.35">
      <c r="D5343" s="1">
        <v>37875</v>
      </c>
      <c r="E5343">
        <v>2.8982999999999999</v>
      </c>
    </row>
    <row r="5344" spans="4:5" x14ac:dyDescent="0.35">
      <c r="D5344" s="1">
        <v>37874</v>
      </c>
      <c r="E5344">
        <v>2.9117000000000002</v>
      </c>
    </row>
    <row r="5345" spans="4:5" x14ac:dyDescent="0.35">
      <c r="D5345" s="1">
        <v>37873</v>
      </c>
      <c r="E5345">
        <v>2.9298000000000002</v>
      </c>
    </row>
    <row r="5346" spans="4:5" x14ac:dyDescent="0.35">
      <c r="D5346" s="1">
        <v>37872</v>
      </c>
      <c r="E5346">
        <v>2.9146999999999998</v>
      </c>
    </row>
    <row r="5347" spans="4:5" x14ac:dyDescent="0.35">
      <c r="D5347" s="1">
        <v>37869</v>
      </c>
      <c r="E5347">
        <v>2.9207999999999998</v>
      </c>
    </row>
    <row r="5348" spans="4:5" x14ac:dyDescent="0.35">
      <c r="D5348" s="1">
        <v>37868</v>
      </c>
      <c r="E5348">
        <v>2.9409999999999998</v>
      </c>
    </row>
    <row r="5349" spans="4:5" x14ac:dyDescent="0.35">
      <c r="D5349" s="1">
        <v>37867</v>
      </c>
      <c r="E5349">
        <v>2.956</v>
      </c>
    </row>
    <row r="5350" spans="4:5" x14ac:dyDescent="0.35">
      <c r="D5350" s="1">
        <v>37866</v>
      </c>
      <c r="E5350">
        <v>2.9781</v>
      </c>
    </row>
    <row r="5351" spans="4:5" x14ac:dyDescent="0.35">
      <c r="D5351" s="1">
        <v>37865</v>
      </c>
      <c r="E5351">
        <v>2.9832000000000001</v>
      </c>
    </row>
    <row r="5352" spans="4:5" x14ac:dyDescent="0.35">
      <c r="D5352" s="1">
        <v>37862</v>
      </c>
      <c r="E5352">
        <v>2.9657</v>
      </c>
    </row>
    <row r="5353" spans="4:5" x14ac:dyDescent="0.35">
      <c r="D5353" s="1">
        <v>37861</v>
      </c>
      <c r="E5353">
        <v>2.9523000000000001</v>
      </c>
    </row>
    <row r="5354" spans="4:5" x14ac:dyDescent="0.35">
      <c r="D5354" s="1">
        <v>37860</v>
      </c>
      <c r="E5354">
        <v>2.9725999999999999</v>
      </c>
    </row>
    <row r="5355" spans="4:5" x14ac:dyDescent="0.35">
      <c r="D5355" s="1">
        <v>37859</v>
      </c>
      <c r="E5355">
        <v>2.9887999999999999</v>
      </c>
    </row>
    <row r="5356" spans="4:5" x14ac:dyDescent="0.35">
      <c r="D5356" s="1">
        <v>37858</v>
      </c>
      <c r="E5356">
        <v>2.9887000000000001</v>
      </c>
    </row>
    <row r="5357" spans="4:5" x14ac:dyDescent="0.35">
      <c r="D5357" s="1">
        <v>37855</v>
      </c>
      <c r="E5357">
        <v>2.9918</v>
      </c>
    </row>
    <row r="5358" spans="4:5" x14ac:dyDescent="0.35">
      <c r="D5358" s="1">
        <v>37854</v>
      </c>
      <c r="E5358">
        <v>3.0024000000000002</v>
      </c>
    </row>
    <row r="5359" spans="4:5" x14ac:dyDescent="0.35">
      <c r="D5359" s="1">
        <v>37853</v>
      </c>
      <c r="E5359">
        <v>3.0002</v>
      </c>
    </row>
    <row r="5360" spans="4:5" x14ac:dyDescent="0.35">
      <c r="D5360" s="1">
        <v>37852</v>
      </c>
      <c r="E5360">
        <v>2.9965000000000002</v>
      </c>
    </row>
    <row r="5361" spans="4:5" x14ac:dyDescent="0.35">
      <c r="D5361" s="1">
        <v>37851</v>
      </c>
      <c r="E5361">
        <v>2.984</v>
      </c>
    </row>
    <row r="5362" spans="4:5" x14ac:dyDescent="0.35">
      <c r="D5362" s="1">
        <v>37848</v>
      </c>
      <c r="E5362">
        <v>2.9922</v>
      </c>
    </row>
    <row r="5363" spans="4:5" x14ac:dyDescent="0.35">
      <c r="D5363" s="1">
        <v>37847</v>
      </c>
      <c r="E5363">
        <v>3.0131999999999999</v>
      </c>
    </row>
    <row r="5364" spans="4:5" x14ac:dyDescent="0.35">
      <c r="D5364" s="1">
        <v>37846</v>
      </c>
      <c r="E5364">
        <v>3.0301</v>
      </c>
    </row>
    <row r="5365" spans="4:5" x14ac:dyDescent="0.35">
      <c r="D5365" s="1">
        <v>37845</v>
      </c>
      <c r="E5365">
        <v>3.0228999999999999</v>
      </c>
    </row>
    <row r="5366" spans="4:5" x14ac:dyDescent="0.35">
      <c r="D5366" s="1">
        <v>37844</v>
      </c>
      <c r="E5366">
        <v>2.9937</v>
      </c>
    </row>
    <row r="5367" spans="4:5" x14ac:dyDescent="0.35">
      <c r="D5367" s="1">
        <v>37841</v>
      </c>
      <c r="E5367">
        <v>2.9883999999999999</v>
      </c>
    </row>
    <row r="5368" spans="4:5" x14ac:dyDescent="0.35">
      <c r="D5368" s="1">
        <v>37840</v>
      </c>
      <c r="E5368">
        <v>3.0061</v>
      </c>
    </row>
    <row r="5369" spans="4:5" x14ac:dyDescent="0.35">
      <c r="D5369" s="1">
        <v>37839</v>
      </c>
      <c r="E5369">
        <v>3.0381999999999998</v>
      </c>
    </row>
    <row r="5370" spans="4:5" x14ac:dyDescent="0.35">
      <c r="D5370" s="1">
        <v>37838</v>
      </c>
      <c r="E5370">
        <v>3.0358000000000001</v>
      </c>
    </row>
    <row r="5371" spans="4:5" x14ac:dyDescent="0.35">
      <c r="D5371" s="1">
        <v>37837</v>
      </c>
      <c r="E5371">
        <v>3.0731999999999999</v>
      </c>
    </row>
    <row r="5372" spans="4:5" x14ac:dyDescent="0.35">
      <c r="D5372" s="1">
        <v>37834</v>
      </c>
      <c r="E5372">
        <v>2.9998</v>
      </c>
    </row>
    <row r="5373" spans="4:5" x14ac:dyDescent="0.35">
      <c r="D5373" s="1">
        <v>37833</v>
      </c>
      <c r="E5373">
        <v>2.9647000000000001</v>
      </c>
    </row>
    <row r="5374" spans="4:5" x14ac:dyDescent="0.35">
      <c r="D5374" s="1">
        <v>37832</v>
      </c>
      <c r="E5374">
        <v>2.9464999999999999</v>
      </c>
    </row>
    <row r="5375" spans="4:5" x14ac:dyDescent="0.35">
      <c r="D5375" s="1">
        <v>37831</v>
      </c>
      <c r="E5375">
        <v>2.9146999999999998</v>
      </c>
    </row>
    <row r="5376" spans="4:5" x14ac:dyDescent="0.35">
      <c r="D5376" s="1">
        <v>37830</v>
      </c>
      <c r="E5376">
        <v>2.8957000000000002</v>
      </c>
    </row>
    <row r="5377" spans="4:5" x14ac:dyDescent="0.35">
      <c r="D5377" s="1">
        <v>37827</v>
      </c>
      <c r="E5377">
        <v>2.8877000000000002</v>
      </c>
    </row>
    <row r="5378" spans="4:5" x14ac:dyDescent="0.35">
      <c r="D5378" s="1">
        <v>37826</v>
      </c>
      <c r="E5378">
        <v>2.8953000000000002</v>
      </c>
    </row>
    <row r="5379" spans="4:5" x14ac:dyDescent="0.35">
      <c r="D5379" s="1">
        <v>37825</v>
      </c>
      <c r="E5379">
        <v>2.887</v>
      </c>
    </row>
    <row r="5380" spans="4:5" x14ac:dyDescent="0.35">
      <c r="D5380" s="1">
        <v>37824</v>
      </c>
      <c r="E5380">
        <v>2.8818000000000001</v>
      </c>
    </row>
    <row r="5381" spans="4:5" x14ac:dyDescent="0.35">
      <c r="D5381" s="1">
        <v>37823</v>
      </c>
      <c r="E5381">
        <v>2.8820000000000001</v>
      </c>
    </row>
    <row r="5382" spans="4:5" x14ac:dyDescent="0.35">
      <c r="D5382" s="1">
        <v>37820</v>
      </c>
      <c r="E5382">
        <v>2.8765999999999998</v>
      </c>
    </row>
    <row r="5383" spans="4:5" x14ac:dyDescent="0.35">
      <c r="D5383" s="1">
        <v>37819</v>
      </c>
      <c r="E5383">
        <v>2.8555000000000001</v>
      </c>
    </row>
    <row r="5384" spans="4:5" x14ac:dyDescent="0.35">
      <c r="D5384" s="1">
        <v>37818</v>
      </c>
      <c r="E5384">
        <v>2.8668999999999998</v>
      </c>
    </row>
    <row r="5385" spans="4:5" x14ac:dyDescent="0.35">
      <c r="D5385" s="1">
        <v>37817</v>
      </c>
      <c r="E5385">
        <v>2.8546</v>
      </c>
    </row>
    <row r="5386" spans="4:5" x14ac:dyDescent="0.35">
      <c r="D5386" s="1">
        <v>37816</v>
      </c>
      <c r="E5386">
        <v>2.8744999999999998</v>
      </c>
    </row>
    <row r="5387" spans="4:5" x14ac:dyDescent="0.35">
      <c r="D5387" s="1">
        <v>37813</v>
      </c>
      <c r="E5387">
        <v>2.9020999999999999</v>
      </c>
    </row>
    <row r="5388" spans="4:5" x14ac:dyDescent="0.35">
      <c r="D5388" s="1">
        <v>37812</v>
      </c>
      <c r="E5388">
        <v>2.8914</v>
      </c>
    </row>
    <row r="5389" spans="4:5" x14ac:dyDescent="0.35">
      <c r="D5389" s="1">
        <v>37811</v>
      </c>
      <c r="E5389">
        <v>2.8662999999999998</v>
      </c>
    </row>
    <row r="5390" spans="4:5" x14ac:dyDescent="0.35">
      <c r="D5390" s="1">
        <v>37810</v>
      </c>
      <c r="E5390">
        <v>2.8815</v>
      </c>
    </row>
    <row r="5391" spans="4:5" x14ac:dyDescent="0.35">
      <c r="D5391" s="1">
        <v>37809</v>
      </c>
      <c r="E5391">
        <v>2.8668</v>
      </c>
    </row>
    <row r="5392" spans="4:5" x14ac:dyDescent="0.35">
      <c r="D5392" s="1">
        <v>37806</v>
      </c>
      <c r="E5392">
        <v>2.8290999999999999</v>
      </c>
    </row>
    <row r="5393" spans="4:5" x14ac:dyDescent="0.35">
      <c r="D5393" s="1">
        <v>37805</v>
      </c>
      <c r="E5393">
        <v>2.8323999999999998</v>
      </c>
    </row>
    <row r="5394" spans="4:5" x14ac:dyDescent="0.35">
      <c r="D5394" s="1">
        <v>37804</v>
      </c>
      <c r="E5394">
        <v>2.8210999999999999</v>
      </c>
    </row>
    <row r="5395" spans="4:5" x14ac:dyDescent="0.35">
      <c r="D5395" s="1">
        <v>37803</v>
      </c>
      <c r="E5395">
        <v>2.8435000000000001</v>
      </c>
    </row>
    <row r="5396" spans="4:5" x14ac:dyDescent="0.35">
      <c r="D5396" s="1">
        <v>37802</v>
      </c>
      <c r="E5396">
        <v>2.8712</v>
      </c>
    </row>
    <row r="5397" spans="4:5" x14ac:dyDescent="0.35">
      <c r="D5397" s="1">
        <v>37799</v>
      </c>
      <c r="E5397">
        <v>2.8803999999999998</v>
      </c>
    </row>
    <row r="5398" spans="4:5" x14ac:dyDescent="0.35">
      <c r="D5398" s="1">
        <v>37798</v>
      </c>
      <c r="E5398">
        <v>2.8932000000000002</v>
      </c>
    </row>
    <row r="5399" spans="4:5" x14ac:dyDescent="0.35">
      <c r="D5399" s="1">
        <v>37797</v>
      </c>
      <c r="E5399">
        <v>2.8551000000000002</v>
      </c>
    </row>
    <row r="5400" spans="4:5" x14ac:dyDescent="0.35">
      <c r="D5400" s="1">
        <v>37796</v>
      </c>
      <c r="E5400">
        <v>2.8607999999999998</v>
      </c>
    </row>
    <row r="5401" spans="4:5" x14ac:dyDescent="0.35">
      <c r="D5401" s="1">
        <v>37795</v>
      </c>
      <c r="E5401">
        <v>2.8780000000000001</v>
      </c>
    </row>
    <row r="5402" spans="4:5" x14ac:dyDescent="0.35">
      <c r="D5402" s="1">
        <v>37792</v>
      </c>
      <c r="E5402">
        <v>2.8925000000000001</v>
      </c>
    </row>
    <row r="5403" spans="4:5" x14ac:dyDescent="0.35">
      <c r="D5403" s="1">
        <v>37790</v>
      </c>
      <c r="E5403">
        <v>2.8894000000000002</v>
      </c>
    </row>
    <row r="5404" spans="4:5" x14ac:dyDescent="0.35">
      <c r="D5404" s="1">
        <v>37789</v>
      </c>
      <c r="E5404">
        <v>2.8736000000000002</v>
      </c>
    </row>
    <row r="5405" spans="4:5" x14ac:dyDescent="0.35">
      <c r="D5405" s="1">
        <v>37788</v>
      </c>
      <c r="E5405">
        <v>2.85</v>
      </c>
    </row>
    <row r="5406" spans="4:5" x14ac:dyDescent="0.35">
      <c r="D5406" s="1">
        <v>37785</v>
      </c>
      <c r="E5406">
        <v>2.8561999999999999</v>
      </c>
    </row>
    <row r="5407" spans="4:5" x14ac:dyDescent="0.35">
      <c r="D5407" s="1">
        <v>37784</v>
      </c>
      <c r="E5407">
        <v>2.8612000000000002</v>
      </c>
    </row>
    <row r="5408" spans="4:5" x14ac:dyDescent="0.35">
      <c r="D5408" s="1">
        <v>37783</v>
      </c>
      <c r="E5408">
        <v>2.8683999999999998</v>
      </c>
    </row>
    <row r="5409" spans="4:5" x14ac:dyDescent="0.35">
      <c r="D5409" s="1">
        <v>37782</v>
      </c>
      <c r="E5409">
        <v>2.8595000000000002</v>
      </c>
    </row>
    <row r="5410" spans="4:5" x14ac:dyDescent="0.35">
      <c r="D5410" s="1">
        <v>37781</v>
      </c>
      <c r="E5410">
        <v>2.8673999999999999</v>
      </c>
    </row>
    <row r="5411" spans="4:5" x14ac:dyDescent="0.35">
      <c r="D5411" s="1">
        <v>37778</v>
      </c>
      <c r="E5411">
        <v>2.8483000000000001</v>
      </c>
    </row>
    <row r="5412" spans="4:5" x14ac:dyDescent="0.35">
      <c r="D5412" s="1">
        <v>37777</v>
      </c>
      <c r="E5412">
        <v>2.8921000000000001</v>
      </c>
    </row>
    <row r="5413" spans="4:5" x14ac:dyDescent="0.35">
      <c r="D5413" s="1">
        <v>37776</v>
      </c>
      <c r="E5413">
        <v>2.9104000000000001</v>
      </c>
    </row>
    <row r="5414" spans="4:5" x14ac:dyDescent="0.35">
      <c r="D5414" s="1">
        <v>37775</v>
      </c>
      <c r="E5414">
        <v>2.9632000000000001</v>
      </c>
    </row>
    <row r="5415" spans="4:5" x14ac:dyDescent="0.35">
      <c r="D5415" s="1">
        <v>37774</v>
      </c>
      <c r="E5415">
        <v>2.9771999999999998</v>
      </c>
    </row>
    <row r="5416" spans="4:5" x14ac:dyDescent="0.35">
      <c r="D5416" s="1">
        <v>37771</v>
      </c>
      <c r="E5416">
        <v>2.9647999999999999</v>
      </c>
    </row>
    <row r="5417" spans="4:5" x14ac:dyDescent="0.35">
      <c r="D5417" s="1">
        <v>37770</v>
      </c>
      <c r="E5417">
        <v>2.948</v>
      </c>
    </row>
    <row r="5418" spans="4:5" x14ac:dyDescent="0.35">
      <c r="D5418" s="1">
        <v>37769</v>
      </c>
      <c r="E5418">
        <v>3.0131999999999999</v>
      </c>
    </row>
    <row r="5419" spans="4:5" x14ac:dyDescent="0.35">
      <c r="D5419" s="1">
        <v>37768</v>
      </c>
      <c r="E5419">
        <v>3.0249000000000001</v>
      </c>
    </row>
    <row r="5420" spans="4:5" x14ac:dyDescent="0.35">
      <c r="D5420" s="1">
        <v>37767</v>
      </c>
      <c r="E5420">
        <v>2.9557000000000002</v>
      </c>
    </row>
    <row r="5421" spans="4:5" x14ac:dyDescent="0.35">
      <c r="D5421" s="1">
        <v>37764</v>
      </c>
      <c r="E5421">
        <v>2.9437000000000002</v>
      </c>
    </row>
    <row r="5422" spans="4:5" x14ac:dyDescent="0.35">
      <c r="D5422" s="1">
        <v>37763</v>
      </c>
      <c r="E5422">
        <v>2.9834000000000001</v>
      </c>
    </row>
    <row r="5423" spans="4:5" x14ac:dyDescent="0.35">
      <c r="D5423" s="1">
        <v>37762</v>
      </c>
      <c r="E5423">
        <v>3.0101</v>
      </c>
    </row>
    <row r="5424" spans="4:5" x14ac:dyDescent="0.35">
      <c r="D5424" s="1">
        <v>37761</v>
      </c>
      <c r="E5424">
        <v>3.0133000000000001</v>
      </c>
    </row>
    <row r="5425" spans="4:5" x14ac:dyDescent="0.35">
      <c r="D5425" s="1">
        <v>37760</v>
      </c>
      <c r="E5425">
        <v>2.9807000000000001</v>
      </c>
    </row>
    <row r="5426" spans="4:5" x14ac:dyDescent="0.35">
      <c r="D5426" s="1">
        <v>37757</v>
      </c>
      <c r="E5426">
        <v>2.9723000000000002</v>
      </c>
    </row>
    <row r="5427" spans="4:5" x14ac:dyDescent="0.35">
      <c r="D5427" s="1">
        <v>37756</v>
      </c>
      <c r="E5427">
        <v>2.9298000000000002</v>
      </c>
    </row>
    <row r="5428" spans="4:5" x14ac:dyDescent="0.35">
      <c r="D5428" s="1">
        <v>37755</v>
      </c>
      <c r="E5428">
        <v>2.8894000000000002</v>
      </c>
    </row>
    <row r="5429" spans="4:5" x14ac:dyDescent="0.35">
      <c r="D5429" s="1">
        <v>37754</v>
      </c>
      <c r="E5429">
        <v>2.8645</v>
      </c>
    </row>
    <row r="5430" spans="4:5" x14ac:dyDescent="0.35">
      <c r="D5430" s="1">
        <v>37753</v>
      </c>
      <c r="E5430">
        <v>2.8748999999999998</v>
      </c>
    </row>
    <row r="5431" spans="4:5" x14ac:dyDescent="0.35">
      <c r="D5431" s="1">
        <v>37750</v>
      </c>
      <c r="E5431">
        <v>2.8794</v>
      </c>
    </row>
    <row r="5432" spans="4:5" x14ac:dyDescent="0.35">
      <c r="D5432" s="1">
        <v>37749</v>
      </c>
      <c r="E5432">
        <v>2.9169</v>
      </c>
    </row>
    <row r="5433" spans="4:5" x14ac:dyDescent="0.35">
      <c r="D5433" s="1">
        <v>37748</v>
      </c>
      <c r="E5433">
        <v>2.9630999999999998</v>
      </c>
    </row>
    <row r="5434" spans="4:5" x14ac:dyDescent="0.35">
      <c r="D5434" s="1">
        <v>37747</v>
      </c>
      <c r="E5434">
        <v>3.0268999999999999</v>
      </c>
    </row>
    <row r="5435" spans="4:5" x14ac:dyDescent="0.35">
      <c r="D5435" s="1">
        <v>37746</v>
      </c>
      <c r="E5435">
        <v>2.9836999999999998</v>
      </c>
    </row>
    <row r="5436" spans="4:5" x14ac:dyDescent="0.35">
      <c r="D5436" s="1">
        <v>37743</v>
      </c>
      <c r="E5436">
        <v>2.9150999999999998</v>
      </c>
    </row>
    <row r="5437" spans="4:5" x14ac:dyDescent="0.35">
      <c r="D5437" s="1">
        <v>37741</v>
      </c>
      <c r="E5437">
        <v>2.8889999999999998</v>
      </c>
    </row>
    <row r="5438" spans="4:5" x14ac:dyDescent="0.35">
      <c r="D5438" s="1">
        <v>37740</v>
      </c>
      <c r="E5438">
        <v>2.9243000000000001</v>
      </c>
    </row>
    <row r="5439" spans="4:5" x14ac:dyDescent="0.35">
      <c r="D5439" s="1">
        <v>37739</v>
      </c>
      <c r="E5439">
        <v>2.9906999999999999</v>
      </c>
    </row>
    <row r="5440" spans="4:5" x14ac:dyDescent="0.35">
      <c r="D5440" s="1">
        <v>37736</v>
      </c>
      <c r="E5440">
        <v>3.0114999999999998</v>
      </c>
    </row>
    <row r="5441" spans="4:5" x14ac:dyDescent="0.35">
      <c r="D5441" s="1">
        <v>37735</v>
      </c>
      <c r="E5441">
        <v>3.0021</v>
      </c>
    </row>
    <row r="5442" spans="4:5" x14ac:dyDescent="0.35">
      <c r="D5442" s="1">
        <v>37734</v>
      </c>
      <c r="E5442">
        <v>3.0139</v>
      </c>
    </row>
    <row r="5443" spans="4:5" x14ac:dyDescent="0.35">
      <c r="D5443" s="1">
        <v>37733</v>
      </c>
      <c r="E5443">
        <v>3.0630999999999999</v>
      </c>
    </row>
    <row r="5444" spans="4:5" x14ac:dyDescent="0.35">
      <c r="D5444" s="1">
        <v>37728</v>
      </c>
      <c r="E5444">
        <v>3.0280999999999998</v>
      </c>
    </row>
    <row r="5445" spans="4:5" x14ac:dyDescent="0.35">
      <c r="D5445" s="1">
        <v>37727</v>
      </c>
      <c r="E5445">
        <v>3.0743999999999998</v>
      </c>
    </row>
    <row r="5446" spans="4:5" x14ac:dyDescent="0.35">
      <c r="D5446" s="1">
        <v>37726</v>
      </c>
      <c r="E5446">
        <v>3.1145999999999998</v>
      </c>
    </row>
    <row r="5447" spans="4:5" x14ac:dyDescent="0.35">
      <c r="D5447" s="1">
        <v>37725</v>
      </c>
      <c r="E5447">
        <v>3.181</v>
      </c>
    </row>
    <row r="5448" spans="4:5" x14ac:dyDescent="0.35">
      <c r="D5448" s="1">
        <v>37722</v>
      </c>
      <c r="E5448">
        <v>3.2139000000000002</v>
      </c>
    </row>
    <row r="5449" spans="4:5" x14ac:dyDescent="0.35">
      <c r="D5449" s="1">
        <v>37721</v>
      </c>
      <c r="E5449">
        <v>3.2149000000000001</v>
      </c>
    </row>
    <row r="5450" spans="4:5" x14ac:dyDescent="0.35">
      <c r="D5450" s="1">
        <v>37720</v>
      </c>
      <c r="E5450">
        <v>3.1848999999999998</v>
      </c>
    </row>
    <row r="5451" spans="4:5" x14ac:dyDescent="0.35">
      <c r="D5451" s="1">
        <v>37719</v>
      </c>
      <c r="E5451">
        <v>3.1640999999999999</v>
      </c>
    </row>
    <row r="5452" spans="4:5" x14ac:dyDescent="0.35">
      <c r="D5452" s="1">
        <v>37718</v>
      </c>
      <c r="E5452">
        <v>3.1715</v>
      </c>
    </row>
    <row r="5453" spans="4:5" x14ac:dyDescent="0.35">
      <c r="D5453" s="1">
        <v>37715</v>
      </c>
      <c r="E5453">
        <v>3.2461000000000002</v>
      </c>
    </row>
    <row r="5454" spans="4:5" x14ac:dyDescent="0.35">
      <c r="D5454" s="1">
        <v>37714</v>
      </c>
      <c r="E5454">
        <v>3.2555000000000001</v>
      </c>
    </row>
    <row r="5455" spans="4:5" x14ac:dyDescent="0.35">
      <c r="D5455" s="1">
        <v>37713</v>
      </c>
      <c r="E5455">
        <v>3.2787000000000002</v>
      </c>
    </row>
    <row r="5456" spans="4:5" x14ac:dyDescent="0.35">
      <c r="D5456" s="1">
        <v>37712</v>
      </c>
      <c r="E5456">
        <v>3.3351000000000002</v>
      </c>
    </row>
    <row r="5457" spans="4:5" x14ac:dyDescent="0.35">
      <c r="D5457" s="1">
        <v>37711</v>
      </c>
      <c r="E5457">
        <v>3.3523000000000001</v>
      </c>
    </row>
    <row r="5458" spans="4:5" x14ac:dyDescent="0.35">
      <c r="D5458" s="1">
        <v>37708</v>
      </c>
      <c r="E5458">
        <v>3.3748999999999998</v>
      </c>
    </row>
    <row r="5459" spans="4:5" x14ac:dyDescent="0.35">
      <c r="D5459" s="1">
        <v>37707</v>
      </c>
      <c r="E5459">
        <v>3.4022999999999999</v>
      </c>
    </row>
    <row r="5460" spans="4:5" x14ac:dyDescent="0.35">
      <c r="D5460" s="1">
        <v>37706</v>
      </c>
      <c r="E5460">
        <v>3.3738999999999999</v>
      </c>
    </row>
    <row r="5461" spans="4:5" x14ac:dyDescent="0.35">
      <c r="D5461" s="1">
        <v>37705</v>
      </c>
      <c r="E5461">
        <v>3.3883999999999999</v>
      </c>
    </row>
    <row r="5462" spans="4:5" x14ac:dyDescent="0.35">
      <c r="D5462" s="1">
        <v>37704</v>
      </c>
      <c r="E5462">
        <v>3.4062000000000001</v>
      </c>
    </row>
    <row r="5463" spans="4:5" x14ac:dyDescent="0.35">
      <c r="D5463" s="1">
        <v>37701</v>
      </c>
      <c r="E5463">
        <v>3.4453999999999998</v>
      </c>
    </row>
    <row r="5464" spans="4:5" x14ac:dyDescent="0.35">
      <c r="D5464" s="1">
        <v>37700</v>
      </c>
      <c r="E5464">
        <v>3.4822000000000002</v>
      </c>
    </row>
    <row r="5465" spans="4:5" x14ac:dyDescent="0.35">
      <c r="D5465" s="1">
        <v>37699</v>
      </c>
      <c r="E5465">
        <v>3.4567999999999999</v>
      </c>
    </row>
    <row r="5466" spans="4:5" x14ac:dyDescent="0.35">
      <c r="D5466" s="1">
        <v>37698</v>
      </c>
      <c r="E5466">
        <v>3.43</v>
      </c>
    </row>
    <row r="5467" spans="4:5" x14ac:dyDescent="0.35">
      <c r="D5467" s="1">
        <v>37697</v>
      </c>
      <c r="E5467">
        <v>3.4434</v>
      </c>
    </row>
    <row r="5468" spans="4:5" x14ac:dyDescent="0.35">
      <c r="D5468" s="1">
        <v>37694</v>
      </c>
      <c r="E5468">
        <v>3.395</v>
      </c>
    </row>
    <row r="5469" spans="4:5" x14ac:dyDescent="0.35">
      <c r="D5469" s="1">
        <v>37693</v>
      </c>
      <c r="E5469">
        <v>3.4285000000000001</v>
      </c>
    </row>
    <row r="5470" spans="4:5" x14ac:dyDescent="0.35">
      <c r="D5470" s="1">
        <v>37692</v>
      </c>
      <c r="E5470">
        <v>3.4754999999999998</v>
      </c>
    </row>
    <row r="5471" spans="4:5" x14ac:dyDescent="0.35">
      <c r="D5471" s="1">
        <v>37691</v>
      </c>
      <c r="E5471">
        <v>3.5053000000000001</v>
      </c>
    </row>
    <row r="5472" spans="4:5" x14ac:dyDescent="0.35">
      <c r="D5472" s="1">
        <v>37690</v>
      </c>
      <c r="E5472">
        <v>3.5272999999999999</v>
      </c>
    </row>
    <row r="5473" spans="4:5" x14ac:dyDescent="0.35">
      <c r="D5473" s="1">
        <v>37687</v>
      </c>
      <c r="E5473">
        <v>3.5002</v>
      </c>
    </row>
    <row r="5474" spans="4:5" x14ac:dyDescent="0.35">
      <c r="D5474" s="1">
        <v>37686</v>
      </c>
      <c r="E5474">
        <v>3.5251999999999999</v>
      </c>
    </row>
    <row r="5475" spans="4:5" x14ac:dyDescent="0.35">
      <c r="D5475" s="1">
        <v>37685</v>
      </c>
      <c r="E5475">
        <v>3.5629</v>
      </c>
    </row>
    <row r="5476" spans="4:5" x14ac:dyDescent="0.35">
      <c r="D5476" s="1">
        <v>37680</v>
      </c>
      <c r="E5476">
        <v>3.5623999999999998</v>
      </c>
    </row>
    <row r="5477" spans="4:5" x14ac:dyDescent="0.35">
      <c r="D5477" s="1">
        <v>37679</v>
      </c>
      <c r="E5477">
        <v>3.5842000000000001</v>
      </c>
    </row>
    <row r="5478" spans="4:5" x14ac:dyDescent="0.35">
      <c r="D5478" s="1">
        <v>37678</v>
      </c>
      <c r="E5478">
        <v>3.5809000000000002</v>
      </c>
    </row>
    <row r="5479" spans="4:5" x14ac:dyDescent="0.35">
      <c r="D5479" s="1">
        <v>37677</v>
      </c>
      <c r="E5479">
        <v>3.6004999999999998</v>
      </c>
    </row>
    <row r="5480" spans="4:5" x14ac:dyDescent="0.35">
      <c r="D5480" s="1">
        <v>37676</v>
      </c>
      <c r="E5480">
        <v>3.5861999999999998</v>
      </c>
    </row>
    <row r="5481" spans="4:5" x14ac:dyDescent="0.35">
      <c r="D5481" s="1">
        <v>37673</v>
      </c>
      <c r="E5481">
        <v>3.6089000000000002</v>
      </c>
    </row>
    <row r="5482" spans="4:5" x14ac:dyDescent="0.35">
      <c r="D5482" s="1">
        <v>37672</v>
      </c>
      <c r="E5482">
        <v>3.6059000000000001</v>
      </c>
    </row>
    <row r="5483" spans="4:5" x14ac:dyDescent="0.35">
      <c r="D5483" s="1">
        <v>37671</v>
      </c>
      <c r="E5483">
        <v>3.5926999999999998</v>
      </c>
    </row>
    <row r="5484" spans="4:5" x14ac:dyDescent="0.35">
      <c r="D5484" s="1">
        <v>37670</v>
      </c>
      <c r="E5484">
        <v>3.5880999999999998</v>
      </c>
    </row>
    <row r="5485" spans="4:5" x14ac:dyDescent="0.35">
      <c r="D5485" s="1">
        <v>37669</v>
      </c>
      <c r="E5485">
        <v>3.6223999999999998</v>
      </c>
    </row>
    <row r="5486" spans="4:5" x14ac:dyDescent="0.35">
      <c r="D5486" s="1">
        <v>37666</v>
      </c>
      <c r="E5486">
        <v>3.6572</v>
      </c>
    </row>
    <row r="5487" spans="4:5" x14ac:dyDescent="0.35">
      <c r="D5487" s="1">
        <v>37665</v>
      </c>
      <c r="E5487">
        <v>3.6351</v>
      </c>
    </row>
    <row r="5488" spans="4:5" x14ac:dyDescent="0.35">
      <c r="D5488" s="1">
        <v>37664</v>
      </c>
      <c r="E5488">
        <v>3.5994999999999999</v>
      </c>
    </row>
    <row r="5489" spans="4:5" x14ac:dyDescent="0.35">
      <c r="D5489" s="1">
        <v>37663</v>
      </c>
      <c r="E5489">
        <v>3.5729000000000002</v>
      </c>
    </row>
    <row r="5490" spans="4:5" x14ac:dyDescent="0.35">
      <c r="D5490" s="1">
        <v>37662</v>
      </c>
      <c r="E5490">
        <v>3.6034000000000002</v>
      </c>
    </row>
    <row r="5491" spans="4:5" x14ac:dyDescent="0.35">
      <c r="D5491" s="1">
        <v>37659</v>
      </c>
      <c r="E5491">
        <v>3.5794000000000001</v>
      </c>
    </row>
    <row r="5492" spans="4:5" x14ac:dyDescent="0.35">
      <c r="D5492" s="1">
        <v>37658</v>
      </c>
      <c r="E5492">
        <v>3.6036999999999999</v>
      </c>
    </row>
    <row r="5493" spans="4:5" x14ac:dyDescent="0.35">
      <c r="D5493" s="1">
        <v>37657</v>
      </c>
      <c r="E5493">
        <v>3.5836999999999999</v>
      </c>
    </row>
    <row r="5494" spans="4:5" x14ac:dyDescent="0.35">
      <c r="D5494" s="1">
        <v>37656</v>
      </c>
      <c r="E5494">
        <v>3.5398000000000001</v>
      </c>
    </row>
    <row r="5495" spans="4:5" x14ac:dyDescent="0.35">
      <c r="D5495" s="1">
        <v>37655</v>
      </c>
      <c r="E5495">
        <v>3.4922</v>
      </c>
    </row>
    <row r="5496" spans="4:5" x14ac:dyDescent="0.35">
      <c r="D5496" s="1">
        <v>37652</v>
      </c>
      <c r="E5496">
        <v>3.5249999999999999</v>
      </c>
    </row>
    <row r="5497" spans="4:5" x14ac:dyDescent="0.35">
      <c r="D5497" s="1">
        <v>37651</v>
      </c>
      <c r="E5497">
        <v>3.5688</v>
      </c>
    </row>
    <row r="5498" spans="4:5" x14ac:dyDescent="0.35">
      <c r="D5498" s="1">
        <v>37650</v>
      </c>
      <c r="E5498">
        <v>3.6408999999999998</v>
      </c>
    </row>
    <row r="5499" spans="4:5" x14ac:dyDescent="0.35">
      <c r="D5499" s="1">
        <v>37649</v>
      </c>
      <c r="E5499">
        <v>3.6303999999999998</v>
      </c>
    </row>
    <row r="5500" spans="4:5" x14ac:dyDescent="0.35">
      <c r="D5500" s="1">
        <v>37648</v>
      </c>
      <c r="E5500">
        <v>3.6615000000000002</v>
      </c>
    </row>
    <row r="5501" spans="4:5" x14ac:dyDescent="0.35">
      <c r="D5501" s="1">
        <v>37645</v>
      </c>
      <c r="E5501">
        <v>3.5914999999999999</v>
      </c>
    </row>
    <row r="5502" spans="4:5" x14ac:dyDescent="0.35">
      <c r="D5502" s="1">
        <v>37644</v>
      </c>
      <c r="E5502">
        <v>3.4893000000000001</v>
      </c>
    </row>
    <row r="5503" spans="4:5" x14ac:dyDescent="0.35">
      <c r="D5503" s="1">
        <v>37643</v>
      </c>
      <c r="E5503">
        <v>3.5181</v>
      </c>
    </row>
    <row r="5504" spans="4:5" x14ac:dyDescent="0.35">
      <c r="D5504" s="1">
        <v>37642</v>
      </c>
      <c r="E5504">
        <v>3.4394</v>
      </c>
    </row>
    <row r="5505" spans="4:5" x14ac:dyDescent="0.35">
      <c r="D5505" s="1">
        <v>37641</v>
      </c>
      <c r="E5505">
        <v>3.4095</v>
      </c>
    </row>
    <row r="5506" spans="4:5" x14ac:dyDescent="0.35">
      <c r="D5506" s="1">
        <v>37638</v>
      </c>
      <c r="E5506">
        <v>3.3624000000000001</v>
      </c>
    </row>
    <row r="5507" spans="4:5" x14ac:dyDescent="0.35">
      <c r="D5507" s="1">
        <v>37637</v>
      </c>
      <c r="E5507">
        <v>3.2928999999999999</v>
      </c>
    </row>
    <row r="5508" spans="4:5" x14ac:dyDescent="0.35">
      <c r="D5508" s="1">
        <v>37636</v>
      </c>
      <c r="E5508">
        <v>3.2974999999999999</v>
      </c>
    </row>
    <row r="5509" spans="4:5" x14ac:dyDescent="0.35">
      <c r="D5509" s="1">
        <v>37635</v>
      </c>
      <c r="E5509">
        <v>3.2749999999999999</v>
      </c>
    </row>
    <row r="5510" spans="4:5" x14ac:dyDescent="0.35">
      <c r="D5510" s="1">
        <v>37634</v>
      </c>
      <c r="E5510">
        <v>3.2948</v>
      </c>
    </row>
    <row r="5511" spans="4:5" x14ac:dyDescent="0.35">
      <c r="D5511" s="1">
        <v>37631</v>
      </c>
      <c r="E5511">
        <v>3.2909999999999999</v>
      </c>
    </row>
    <row r="5512" spans="4:5" x14ac:dyDescent="0.35">
      <c r="D5512" s="1">
        <v>37630</v>
      </c>
      <c r="E5512">
        <v>3.3289</v>
      </c>
    </row>
    <row r="5513" spans="4:5" x14ac:dyDescent="0.35">
      <c r="D5513" s="1">
        <v>37629</v>
      </c>
      <c r="E5513">
        <v>3.3115999999999999</v>
      </c>
    </row>
    <row r="5514" spans="4:5" x14ac:dyDescent="0.35">
      <c r="D5514" s="1">
        <v>37628</v>
      </c>
      <c r="E5514">
        <v>3.3414999999999999</v>
      </c>
    </row>
    <row r="5515" spans="4:5" x14ac:dyDescent="0.35">
      <c r="D5515" s="1">
        <v>37627</v>
      </c>
      <c r="E5515">
        <v>3.3656000000000001</v>
      </c>
    </row>
    <row r="5516" spans="4:5" x14ac:dyDescent="0.35">
      <c r="D5516" s="1">
        <v>37624</v>
      </c>
      <c r="E5516">
        <v>3.4689999999999999</v>
      </c>
    </row>
    <row r="5517" spans="4:5" x14ac:dyDescent="0.35">
      <c r="D5517" s="1">
        <v>37623</v>
      </c>
      <c r="E5517">
        <v>3.5215999999999998</v>
      </c>
    </row>
    <row r="5518" spans="4:5" x14ac:dyDescent="0.35">
      <c r="D5518" s="1">
        <v>37621</v>
      </c>
      <c r="E5518">
        <v>3.5325000000000002</v>
      </c>
    </row>
    <row r="5519" spans="4:5" x14ac:dyDescent="0.35">
      <c r="D5519" s="1">
        <v>37620</v>
      </c>
      <c r="E5519">
        <v>3.5325000000000002</v>
      </c>
    </row>
    <row r="5520" spans="4:5" x14ac:dyDescent="0.35">
      <c r="D5520" s="1">
        <v>37617</v>
      </c>
      <c r="E5520">
        <v>3.5405000000000002</v>
      </c>
    </row>
    <row r="5521" spans="4:5" x14ac:dyDescent="0.35">
      <c r="D5521" s="1">
        <v>37616</v>
      </c>
      <c r="E5521">
        <v>3.5243000000000002</v>
      </c>
    </row>
    <row r="5522" spans="4:5" x14ac:dyDescent="0.35">
      <c r="D5522" s="1">
        <v>37614</v>
      </c>
      <c r="E5522">
        <v>3.5002</v>
      </c>
    </row>
    <row r="5523" spans="4:5" x14ac:dyDescent="0.35">
      <c r="D5523" s="1">
        <v>37613</v>
      </c>
      <c r="E5523">
        <v>3.4939</v>
      </c>
    </row>
    <row r="5524" spans="4:5" x14ac:dyDescent="0.35">
      <c r="D5524" s="1">
        <v>37610</v>
      </c>
      <c r="E5524">
        <v>3.427</v>
      </c>
    </row>
    <row r="5525" spans="4:5" x14ac:dyDescent="0.35">
      <c r="D5525" s="1">
        <v>37609</v>
      </c>
      <c r="E5525">
        <v>3.5038999999999998</v>
      </c>
    </row>
    <row r="5526" spans="4:5" x14ac:dyDescent="0.35">
      <c r="D5526" s="1">
        <v>37608</v>
      </c>
      <c r="E5526">
        <v>3.5308000000000002</v>
      </c>
    </row>
    <row r="5527" spans="4:5" x14ac:dyDescent="0.35">
      <c r="D5527" s="1">
        <v>37607</v>
      </c>
      <c r="E5527">
        <v>3.5819000000000001</v>
      </c>
    </row>
    <row r="5528" spans="4:5" x14ac:dyDescent="0.35">
      <c r="D5528" s="1">
        <v>37606</v>
      </c>
      <c r="E5528">
        <v>3.6309999999999998</v>
      </c>
    </row>
    <row r="5529" spans="4:5" x14ac:dyDescent="0.35">
      <c r="D5529" s="1">
        <v>37603</v>
      </c>
      <c r="E5529">
        <v>3.7334000000000001</v>
      </c>
    </row>
    <row r="5530" spans="4:5" x14ac:dyDescent="0.35">
      <c r="D5530" s="1">
        <v>37602</v>
      </c>
      <c r="E5530">
        <v>3.7526999999999999</v>
      </c>
    </row>
    <row r="5531" spans="4:5" x14ac:dyDescent="0.35">
      <c r="D5531" s="1">
        <v>37601</v>
      </c>
      <c r="E5531">
        <v>3.7946</v>
      </c>
    </row>
    <row r="5532" spans="4:5" x14ac:dyDescent="0.35">
      <c r="D5532" s="1">
        <v>37600</v>
      </c>
      <c r="E5532">
        <v>3.7677</v>
      </c>
    </row>
    <row r="5533" spans="4:5" x14ac:dyDescent="0.35">
      <c r="D5533" s="1">
        <v>37599</v>
      </c>
      <c r="E5533">
        <v>3.7972000000000001</v>
      </c>
    </row>
    <row r="5534" spans="4:5" x14ac:dyDescent="0.35">
      <c r="D5534" s="1">
        <v>37596</v>
      </c>
      <c r="E5534">
        <v>3.7517999999999998</v>
      </c>
    </row>
    <row r="5535" spans="4:5" x14ac:dyDescent="0.35">
      <c r="D5535" s="1">
        <v>37595</v>
      </c>
      <c r="E5535">
        <v>3.7505999999999999</v>
      </c>
    </row>
    <row r="5536" spans="4:5" x14ac:dyDescent="0.35">
      <c r="D5536" s="1">
        <v>37594</v>
      </c>
      <c r="E5536">
        <v>3.7040999999999999</v>
      </c>
    </row>
    <row r="5537" spans="4:5" x14ac:dyDescent="0.35">
      <c r="D5537" s="1">
        <v>37593</v>
      </c>
      <c r="E5537">
        <v>3.6617000000000002</v>
      </c>
    </row>
    <row r="5538" spans="4:5" x14ac:dyDescent="0.35">
      <c r="D5538" s="1">
        <v>37592</v>
      </c>
      <c r="E5538">
        <v>3.6152000000000002</v>
      </c>
    </row>
    <row r="5539" spans="4:5" x14ac:dyDescent="0.35">
      <c r="D5539" s="1">
        <v>37589</v>
      </c>
      <c r="E5539">
        <v>3.6356999999999999</v>
      </c>
    </row>
    <row r="5540" spans="4:5" x14ac:dyDescent="0.35">
      <c r="D5540" s="1">
        <v>37588</v>
      </c>
      <c r="E5540">
        <v>3.6021999999999998</v>
      </c>
    </row>
    <row r="5541" spans="4:5" x14ac:dyDescent="0.35">
      <c r="D5541" s="1">
        <v>37587</v>
      </c>
      <c r="E5541">
        <v>3.589</v>
      </c>
    </row>
    <row r="5542" spans="4:5" x14ac:dyDescent="0.35">
      <c r="D5542" s="1">
        <v>37586</v>
      </c>
      <c r="E5542">
        <v>3.5863999999999998</v>
      </c>
    </row>
    <row r="5543" spans="4:5" x14ac:dyDescent="0.35">
      <c r="D5543" s="1">
        <v>37585</v>
      </c>
      <c r="E5543">
        <v>3.5484</v>
      </c>
    </row>
    <row r="5544" spans="4:5" x14ac:dyDescent="0.35">
      <c r="D5544" s="1">
        <v>37582</v>
      </c>
      <c r="E5544">
        <v>3.5608</v>
      </c>
    </row>
    <row r="5545" spans="4:5" x14ac:dyDescent="0.35">
      <c r="D5545" s="1">
        <v>37581</v>
      </c>
      <c r="E5545">
        <v>3.5095000000000001</v>
      </c>
    </row>
    <row r="5546" spans="4:5" x14ac:dyDescent="0.35">
      <c r="D5546" s="1">
        <v>37580</v>
      </c>
      <c r="E5546">
        <v>3.5137999999999998</v>
      </c>
    </row>
    <row r="5547" spans="4:5" x14ac:dyDescent="0.35">
      <c r="D5547" s="1">
        <v>37579</v>
      </c>
      <c r="E5547">
        <v>3.5539000000000001</v>
      </c>
    </row>
    <row r="5548" spans="4:5" x14ac:dyDescent="0.35">
      <c r="D5548" s="1">
        <v>37578</v>
      </c>
      <c r="E5548">
        <v>3.5880999999999998</v>
      </c>
    </row>
    <row r="5549" spans="4:5" x14ac:dyDescent="0.35">
      <c r="D5549" s="1">
        <v>37574</v>
      </c>
      <c r="E5549">
        <v>3.6789000000000001</v>
      </c>
    </row>
    <row r="5550" spans="4:5" x14ac:dyDescent="0.35">
      <c r="D5550" s="1">
        <v>37573</v>
      </c>
      <c r="E5550">
        <v>3.6334</v>
      </c>
    </row>
    <row r="5551" spans="4:5" x14ac:dyDescent="0.35">
      <c r="D5551" s="1">
        <v>37572</v>
      </c>
      <c r="E5551">
        <v>3.5518999999999998</v>
      </c>
    </row>
    <row r="5552" spans="4:5" x14ac:dyDescent="0.35">
      <c r="D5552" s="1">
        <v>37571</v>
      </c>
      <c r="E5552">
        <v>3.5026999999999999</v>
      </c>
    </row>
    <row r="5553" spans="4:5" x14ac:dyDescent="0.35">
      <c r="D5553" s="1">
        <v>37568</v>
      </c>
      <c r="E5553">
        <v>3.5263</v>
      </c>
    </row>
    <row r="5554" spans="4:5" x14ac:dyDescent="0.35">
      <c r="D5554" s="1">
        <v>37567</v>
      </c>
      <c r="E5554">
        <v>3.621</v>
      </c>
    </row>
    <row r="5555" spans="4:5" x14ac:dyDescent="0.35">
      <c r="D5555" s="1">
        <v>37566</v>
      </c>
      <c r="E5555">
        <v>3.5968</v>
      </c>
    </row>
    <row r="5556" spans="4:5" x14ac:dyDescent="0.35">
      <c r="D5556" s="1">
        <v>37565</v>
      </c>
      <c r="E5556">
        <v>3.5617000000000001</v>
      </c>
    </row>
    <row r="5557" spans="4:5" x14ac:dyDescent="0.35">
      <c r="D5557" s="1">
        <v>37564</v>
      </c>
      <c r="E5557">
        <v>3.5409999999999999</v>
      </c>
    </row>
    <row r="5558" spans="4:5" x14ac:dyDescent="0.35">
      <c r="D5558" s="1">
        <v>37561</v>
      </c>
      <c r="E5558">
        <v>3.6105</v>
      </c>
    </row>
    <row r="5559" spans="4:5" x14ac:dyDescent="0.35">
      <c r="D5559" s="1">
        <v>37560</v>
      </c>
      <c r="E5559">
        <v>3.6442000000000001</v>
      </c>
    </row>
    <row r="5560" spans="4:5" x14ac:dyDescent="0.35">
      <c r="D5560" s="1">
        <v>37559</v>
      </c>
      <c r="E5560">
        <v>3.7435</v>
      </c>
    </row>
    <row r="5561" spans="4:5" x14ac:dyDescent="0.35">
      <c r="D5561" s="1">
        <v>37558</v>
      </c>
      <c r="E5561">
        <v>3.8203</v>
      </c>
    </row>
    <row r="5562" spans="4:5" x14ac:dyDescent="0.35">
      <c r="D5562" s="1">
        <v>37557</v>
      </c>
      <c r="E5562">
        <v>3.7397999999999998</v>
      </c>
    </row>
    <row r="5563" spans="4:5" x14ac:dyDescent="0.35">
      <c r="D5563" s="1">
        <v>37554</v>
      </c>
      <c r="E5563">
        <v>3.8007</v>
      </c>
    </row>
    <row r="5564" spans="4:5" x14ac:dyDescent="0.35">
      <c r="D5564" s="1">
        <v>37553</v>
      </c>
      <c r="E5564">
        <v>3.8609</v>
      </c>
    </row>
    <row r="5565" spans="4:5" x14ac:dyDescent="0.35">
      <c r="D5565" s="1">
        <v>37552</v>
      </c>
      <c r="E5565">
        <v>3.8696000000000002</v>
      </c>
    </row>
    <row r="5566" spans="4:5" x14ac:dyDescent="0.35">
      <c r="D5566" s="1">
        <v>37551</v>
      </c>
      <c r="E5566">
        <v>3.9544000000000001</v>
      </c>
    </row>
    <row r="5567" spans="4:5" x14ac:dyDescent="0.35">
      <c r="D5567" s="1">
        <v>37550</v>
      </c>
      <c r="E5567">
        <v>3.9117000000000002</v>
      </c>
    </row>
    <row r="5568" spans="4:5" x14ac:dyDescent="0.35">
      <c r="D5568" s="1">
        <v>37547</v>
      </c>
      <c r="E5568">
        <v>3.8751000000000002</v>
      </c>
    </row>
    <row r="5569" spans="4:5" x14ac:dyDescent="0.35">
      <c r="D5569" s="1">
        <v>37546</v>
      </c>
      <c r="E5569">
        <v>3.9237000000000002</v>
      </c>
    </row>
    <row r="5570" spans="4:5" x14ac:dyDescent="0.35">
      <c r="D5570" s="1">
        <v>37545</v>
      </c>
      <c r="E5570">
        <v>3.8736000000000002</v>
      </c>
    </row>
    <row r="5571" spans="4:5" x14ac:dyDescent="0.35">
      <c r="D5571" s="1">
        <v>37544</v>
      </c>
      <c r="E5571">
        <v>3.8559000000000001</v>
      </c>
    </row>
    <row r="5572" spans="4:5" x14ac:dyDescent="0.35">
      <c r="D5572" s="1">
        <v>37543</v>
      </c>
      <c r="E5572">
        <v>3.8605</v>
      </c>
    </row>
    <row r="5573" spans="4:5" x14ac:dyDescent="0.35">
      <c r="D5573" s="1">
        <v>37540</v>
      </c>
      <c r="E5573">
        <v>3.9226999999999999</v>
      </c>
    </row>
    <row r="5574" spans="4:5" x14ac:dyDescent="0.35">
      <c r="D5574" s="1">
        <v>37539</v>
      </c>
      <c r="E5574">
        <v>3.9220000000000002</v>
      </c>
    </row>
    <row r="5575" spans="4:5" x14ac:dyDescent="0.35">
      <c r="D5575" s="1">
        <v>37538</v>
      </c>
      <c r="E5575">
        <v>3.8512</v>
      </c>
    </row>
    <row r="5576" spans="4:5" x14ac:dyDescent="0.35">
      <c r="D5576" s="1">
        <v>37537</v>
      </c>
      <c r="E5576">
        <v>3.7008999999999999</v>
      </c>
    </row>
    <row r="5577" spans="4:5" x14ac:dyDescent="0.35">
      <c r="D5577" s="1">
        <v>37536</v>
      </c>
      <c r="E5577">
        <v>3.6957</v>
      </c>
    </row>
    <row r="5578" spans="4:5" x14ac:dyDescent="0.35">
      <c r="D5578" s="1">
        <v>37533</v>
      </c>
      <c r="E5578">
        <v>3.6585000000000001</v>
      </c>
    </row>
    <row r="5579" spans="4:5" x14ac:dyDescent="0.35">
      <c r="D5579" s="1">
        <v>37532</v>
      </c>
      <c r="E5579">
        <v>3.6943999999999999</v>
      </c>
    </row>
    <row r="5580" spans="4:5" x14ac:dyDescent="0.35">
      <c r="D5580" s="1">
        <v>37531</v>
      </c>
      <c r="E5580">
        <v>3.5928</v>
      </c>
    </row>
    <row r="5581" spans="4:5" x14ac:dyDescent="0.35">
      <c r="D5581" s="1">
        <v>37530</v>
      </c>
      <c r="E5581">
        <v>3.7458999999999998</v>
      </c>
    </row>
    <row r="5582" spans="4:5" x14ac:dyDescent="0.35">
      <c r="D5582" s="1">
        <v>37529</v>
      </c>
      <c r="E5582">
        <v>3.8940999999999999</v>
      </c>
    </row>
    <row r="5583" spans="4:5" x14ac:dyDescent="0.35">
      <c r="D5583" s="1">
        <v>37526</v>
      </c>
      <c r="E5583">
        <v>3.8532999999999999</v>
      </c>
    </row>
    <row r="5584" spans="4:5" x14ac:dyDescent="0.35">
      <c r="D5584" s="1">
        <v>37525</v>
      </c>
      <c r="E5584">
        <v>3.7507999999999999</v>
      </c>
    </row>
    <row r="5585" spans="4:5" x14ac:dyDescent="0.35">
      <c r="D5585" s="1">
        <v>37524</v>
      </c>
      <c r="E5585">
        <v>3.7248999999999999</v>
      </c>
    </row>
    <row r="5586" spans="4:5" x14ac:dyDescent="0.35">
      <c r="D5586" s="1">
        <v>37523</v>
      </c>
      <c r="E5586">
        <v>3.6208</v>
      </c>
    </row>
    <row r="5587" spans="4:5" x14ac:dyDescent="0.35">
      <c r="D5587" s="1">
        <v>37522</v>
      </c>
      <c r="E5587">
        <v>3.544</v>
      </c>
    </row>
    <row r="5588" spans="4:5" x14ac:dyDescent="0.35">
      <c r="D5588" s="1">
        <v>37519</v>
      </c>
      <c r="E5588">
        <v>3.4268999999999998</v>
      </c>
    </row>
    <row r="5589" spans="4:5" x14ac:dyDescent="0.35">
      <c r="D5589" s="1">
        <v>37518</v>
      </c>
      <c r="E5589">
        <v>3.3835000000000002</v>
      </c>
    </row>
    <row r="5590" spans="4:5" x14ac:dyDescent="0.35">
      <c r="D5590" s="1">
        <v>37517</v>
      </c>
      <c r="E5590">
        <v>3.3231999999999999</v>
      </c>
    </row>
    <row r="5591" spans="4:5" x14ac:dyDescent="0.35">
      <c r="D5591" s="1">
        <v>37516</v>
      </c>
      <c r="E5591">
        <v>3.2240000000000002</v>
      </c>
    </row>
    <row r="5592" spans="4:5" x14ac:dyDescent="0.35">
      <c r="D5592" s="1">
        <v>37515</v>
      </c>
      <c r="E5592">
        <v>3.1876000000000002</v>
      </c>
    </row>
    <row r="5593" spans="4:5" x14ac:dyDescent="0.35">
      <c r="D5593" s="1">
        <v>37512</v>
      </c>
      <c r="E5593">
        <v>3.1497999999999999</v>
      </c>
    </row>
    <row r="5594" spans="4:5" x14ac:dyDescent="0.35">
      <c r="D5594" s="1">
        <v>37511</v>
      </c>
      <c r="E5594">
        <v>3.1231</v>
      </c>
    </row>
    <row r="5595" spans="4:5" x14ac:dyDescent="0.35">
      <c r="D5595" s="1">
        <v>37510</v>
      </c>
      <c r="E5595">
        <v>3.1145</v>
      </c>
    </row>
    <row r="5596" spans="4:5" x14ac:dyDescent="0.35">
      <c r="D5596" s="1">
        <v>37509</v>
      </c>
      <c r="E5596">
        <v>3.1297999999999999</v>
      </c>
    </row>
    <row r="5597" spans="4:5" x14ac:dyDescent="0.35">
      <c r="D5597" s="1">
        <v>37508</v>
      </c>
      <c r="E5597">
        <v>3.1303999999999998</v>
      </c>
    </row>
    <row r="5598" spans="4:5" x14ac:dyDescent="0.35">
      <c r="D5598" s="1">
        <v>37505</v>
      </c>
      <c r="E5598">
        <v>3.1775000000000002</v>
      </c>
    </row>
    <row r="5599" spans="4:5" x14ac:dyDescent="0.35">
      <c r="D5599" s="1">
        <v>37504</v>
      </c>
      <c r="E5599">
        <v>3.1503999999999999</v>
      </c>
    </row>
    <row r="5600" spans="4:5" x14ac:dyDescent="0.35">
      <c r="D5600" s="1">
        <v>37503</v>
      </c>
      <c r="E5600">
        <v>3.1316999999999999</v>
      </c>
    </row>
    <row r="5601" spans="4:5" x14ac:dyDescent="0.35">
      <c r="D5601" s="1">
        <v>37502</v>
      </c>
      <c r="E5601">
        <v>3.0979999999999999</v>
      </c>
    </row>
    <row r="5602" spans="4:5" x14ac:dyDescent="0.35">
      <c r="D5602" s="1">
        <v>37501</v>
      </c>
      <c r="E5602">
        <v>3.0278</v>
      </c>
    </row>
    <row r="5603" spans="4:5" x14ac:dyDescent="0.35">
      <c r="D5603" s="1">
        <v>37498</v>
      </c>
      <c r="E5603">
        <v>3.0215000000000001</v>
      </c>
    </row>
    <row r="5604" spans="4:5" x14ac:dyDescent="0.35">
      <c r="D5604" s="1">
        <v>37497</v>
      </c>
      <c r="E5604">
        <v>3.1231</v>
      </c>
    </row>
    <row r="5605" spans="4:5" x14ac:dyDescent="0.35">
      <c r="D5605" s="1">
        <v>37496</v>
      </c>
      <c r="E5605">
        <v>3.1211000000000002</v>
      </c>
    </row>
    <row r="5606" spans="4:5" x14ac:dyDescent="0.35">
      <c r="D5606" s="1">
        <v>37495</v>
      </c>
      <c r="E5606">
        <v>3.0941000000000001</v>
      </c>
    </row>
    <row r="5607" spans="4:5" x14ac:dyDescent="0.35">
      <c r="D5607" s="1">
        <v>37494</v>
      </c>
      <c r="E5607">
        <v>3.0779999999999998</v>
      </c>
    </row>
    <row r="5608" spans="4:5" x14ac:dyDescent="0.35">
      <c r="D5608" s="1">
        <v>37491</v>
      </c>
      <c r="E5608">
        <v>3.1128</v>
      </c>
    </row>
    <row r="5609" spans="4:5" x14ac:dyDescent="0.35">
      <c r="D5609" s="1">
        <v>37490</v>
      </c>
      <c r="E5609">
        <v>3.1408999999999998</v>
      </c>
    </row>
    <row r="5610" spans="4:5" x14ac:dyDescent="0.35">
      <c r="D5610" s="1">
        <v>37489</v>
      </c>
      <c r="E5610">
        <v>3.0785999999999998</v>
      </c>
    </row>
    <row r="5611" spans="4:5" x14ac:dyDescent="0.35">
      <c r="D5611" s="1">
        <v>37488</v>
      </c>
      <c r="E5611">
        <v>3.0914999999999999</v>
      </c>
    </row>
    <row r="5612" spans="4:5" x14ac:dyDescent="0.35">
      <c r="D5612" s="1">
        <v>37487</v>
      </c>
      <c r="E5612">
        <v>3.1133999999999999</v>
      </c>
    </row>
    <row r="5613" spans="4:5" x14ac:dyDescent="0.35">
      <c r="D5613" s="1">
        <v>37484</v>
      </c>
      <c r="E5613">
        <v>3.1612</v>
      </c>
    </row>
    <row r="5614" spans="4:5" x14ac:dyDescent="0.35">
      <c r="D5614" s="1">
        <v>37483</v>
      </c>
      <c r="E5614">
        <v>3.1903999999999999</v>
      </c>
    </row>
    <row r="5615" spans="4:5" x14ac:dyDescent="0.35">
      <c r="D5615" s="1">
        <v>37482</v>
      </c>
      <c r="E5615">
        <v>3.1957</v>
      </c>
    </row>
    <row r="5616" spans="4:5" x14ac:dyDescent="0.35">
      <c r="D5616" s="1">
        <v>37481</v>
      </c>
      <c r="E5616">
        <v>3.2086000000000001</v>
      </c>
    </row>
    <row r="5617" spans="4:5" x14ac:dyDescent="0.35">
      <c r="D5617" s="1">
        <v>37480</v>
      </c>
      <c r="E5617">
        <v>3.0971000000000002</v>
      </c>
    </row>
    <row r="5618" spans="4:5" x14ac:dyDescent="0.35">
      <c r="D5618" s="1">
        <v>37477</v>
      </c>
      <c r="E5618">
        <v>2.9956</v>
      </c>
    </row>
    <row r="5619" spans="4:5" x14ac:dyDescent="0.35">
      <c r="D5619" s="1">
        <v>37476</v>
      </c>
      <c r="E5619">
        <v>2.8875000000000002</v>
      </c>
    </row>
    <row r="5620" spans="4:5" x14ac:dyDescent="0.35">
      <c r="D5620" s="1">
        <v>37475</v>
      </c>
      <c r="E5620">
        <v>3.0590000000000002</v>
      </c>
    </row>
    <row r="5621" spans="4:5" x14ac:dyDescent="0.35">
      <c r="D5621" s="1">
        <v>37474</v>
      </c>
      <c r="E5621">
        <v>3.2061999999999999</v>
      </c>
    </row>
    <row r="5622" spans="4:5" x14ac:dyDescent="0.35">
      <c r="D5622" s="1">
        <v>37473</v>
      </c>
      <c r="E5622">
        <v>3.0724</v>
      </c>
    </row>
    <row r="5623" spans="4:5" x14ac:dyDescent="0.35">
      <c r="D5623" s="1">
        <v>37470</v>
      </c>
      <c r="E5623">
        <v>3.0293999999999999</v>
      </c>
    </row>
    <row r="5624" spans="4:5" x14ac:dyDescent="0.35">
      <c r="D5624" s="1">
        <v>37469</v>
      </c>
      <c r="E5624">
        <v>3.3267000000000002</v>
      </c>
    </row>
    <row r="5625" spans="4:5" x14ac:dyDescent="0.35">
      <c r="D5625" s="1">
        <v>37468</v>
      </c>
      <c r="E5625">
        <v>3.4277000000000002</v>
      </c>
    </row>
    <row r="5626" spans="4:5" x14ac:dyDescent="0.35">
      <c r="D5626" s="1">
        <v>37467</v>
      </c>
      <c r="E5626">
        <v>3.2684000000000002</v>
      </c>
    </row>
    <row r="5627" spans="4:5" x14ac:dyDescent="0.35">
      <c r="D5627" s="1">
        <v>37466</v>
      </c>
      <c r="E5627">
        <v>3.1440999999999999</v>
      </c>
    </row>
    <row r="5628" spans="4:5" x14ac:dyDescent="0.35">
      <c r="D5628" s="1">
        <v>37463</v>
      </c>
      <c r="E5628">
        <v>3.0169000000000001</v>
      </c>
    </row>
    <row r="5629" spans="4:5" x14ac:dyDescent="0.35">
      <c r="D5629" s="1">
        <v>37462</v>
      </c>
      <c r="E5629">
        <v>2.9813999999999998</v>
      </c>
    </row>
    <row r="5630" spans="4:5" x14ac:dyDescent="0.35">
      <c r="D5630" s="1">
        <v>37461</v>
      </c>
      <c r="E5630">
        <v>2.9470999999999998</v>
      </c>
    </row>
    <row r="5631" spans="4:5" x14ac:dyDescent="0.35">
      <c r="D5631" s="1">
        <v>37460</v>
      </c>
      <c r="E5631">
        <v>2.9123999999999999</v>
      </c>
    </row>
    <row r="5632" spans="4:5" x14ac:dyDescent="0.35">
      <c r="D5632" s="1">
        <v>37459</v>
      </c>
      <c r="E5632">
        <v>2.8807999999999998</v>
      </c>
    </row>
    <row r="5633" spans="4:5" x14ac:dyDescent="0.35">
      <c r="D5633" s="1">
        <v>37456</v>
      </c>
      <c r="E5633">
        <v>2.8662999999999998</v>
      </c>
    </row>
    <row r="5634" spans="4:5" x14ac:dyDescent="0.35">
      <c r="D5634" s="1">
        <v>37455</v>
      </c>
      <c r="E5634">
        <v>2.8763999999999998</v>
      </c>
    </row>
    <row r="5635" spans="4:5" x14ac:dyDescent="0.35">
      <c r="D5635" s="1">
        <v>37454</v>
      </c>
      <c r="E5635">
        <v>2.8774999999999999</v>
      </c>
    </row>
    <row r="5636" spans="4:5" x14ac:dyDescent="0.35">
      <c r="D5636" s="1">
        <v>37453</v>
      </c>
      <c r="E5636">
        <v>2.8662999999999998</v>
      </c>
    </row>
    <row r="5637" spans="4:5" x14ac:dyDescent="0.35">
      <c r="D5637" s="1">
        <v>37452</v>
      </c>
      <c r="E5637">
        <v>2.8447</v>
      </c>
    </row>
    <row r="5638" spans="4:5" x14ac:dyDescent="0.35">
      <c r="D5638" s="1">
        <v>37449</v>
      </c>
      <c r="E5638">
        <v>2.8138999999999998</v>
      </c>
    </row>
    <row r="5639" spans="4:5" x14ac:dyDescent="0.35">
      <c r="D5639" s="1">
        <v>37448</v>
      </c>
      <c r="E5639">
        <v>2.8224</v>
      </c>
    </row>
    <row r="5640" spans="4:5" x14ac:dyDescent="0.35">
      <c r="D5640" s="1">
        <v>37447</v>
      </c>
      <c r="E5640">
        <v>2.8532999999999999</v>
      </c>
    </row>
    <row r="5641" spans="4:5" x14ac:dyDescent="0.35">
      <c r="D5641" s="1">
        <v>37446</v>
      </c>
      <c r="E5641">
        <v>2.8542999999999998</v>
      </c>
    </row>
    <row r="5642" spans="4:5" x14ac:dyDescent="0.35">
      <c r="D5642" s="1">
        <v>37445</v>
      </c>
      <c r="E5642">
        <v>2.8702999999999999</v>
      </c>
    </row>
    <row r="5643" spans="4:5" x14ac:dyDescent="0.35">
      <c r="D5643" s="1">
        <v>37442</v>
      </c>
      <c r="E5643">
        <v>2.8738000000000001</v>
      </c>
    </row>
    <row r="5644" spans="4:5" x14ac:dyDescent="0.35">
      <c r="D5644" s="1">
        <v>37441</v>
      </c>
      <c r="E5644">
        <v>2.8473000000000002</v>
      </c>
    </row>
    <row r="5645" spans="4:5" x14ac:dyDescent="0.35">
      <c r="D5645" s="1">
        <v>37440</v>
      </c>
      <c r="E5645">
        <v>2.8609</v>
      </c>
    </row>
    <row r="5646" spans="4:5" x14ac:dyDescent="0.35">
      <c r="D5646" s="1">
        <v>37439</v>
      </c>
      <c r="E5646">
        <v>2.9133</v>
      </c>
    </row>
    <row r="5647" spans="4:5" x14ac:dyDescent="0.35">
      <c r="D5647" s="1">
        <v>37438</v>
      </c>
      <c r="E5647">
        <v>2.8586999999999998</v>
      </c>
    </row>
    <row r="5648" spans="4:5" x14ac:dyDescent="0.35">
      <c r="D5648" s="1">
        <v>37435</v>
      </c>
      <c r="E5648">
        <v>2.8435999999999999</v>
      </c>
    </row>
    <row r="5649" spans="4:5" x14ac:dyDescent="0.35">
      <c r="D5649" s="1">
        <v>37434</v>
      </c>
      <c r="E5649">
        <v>2.8584999999999998</v>
      </c>
    </row>
    <row r="5650" spans="4:5" x14ac:dyDescent="0.35">
      <c r="D5650" s="1">
        <v>37433</v>
      </c>
      <c r="E5650">
        <v>2.8576000000000001</v>
      </c>
    </row>
    <row r="5651" spans="4:5" x14ac:dyDescent="0.35">
      <c r="D5651" s="1">
        <v>37432</v>
      </c>
      <c r="E5651">
        <v>2.7987000000000002</v>
      </c>
    </row>
    <row r="5652" spans="4:5" x14ac:dyDescent="0.35">
      <c r="D5652" s="1">
        <v>37431</v>
      </c>
      <c r="E5652">
        <v>2.8260999999999998</v>
      </c>
    </row>
    <row r="5653" spans="4:5" x14ac:dyDescent="0.35">
      <c r="D5653" s="1">
        <v>37428</v>
      </c>
      <c r="E5653">
        <v>2.7902</v>
      </c>
    </row>
    <row r="5654" spans="4:5" x14ac:dyDescent="0.35">
      <c r="D5654" s="1">
        <v>37427</v>
      </c>
      <c r="E5654">
        <v>2.7496999999999998</v>
      </c>
    </row>
    <row r="5655" spans="4:5" x14ac:dyDescent="0.35">
      <c r="D5655" s="1">
        <v>37426</v>
      </c>
      <c r="E5655">
        <v>2.7021999999999999</v>
      </c>
    </row>
    <row r="5656" spans="4:5" x14ac:dyDescent="0.35">
      <c r="D5656" s="1">
        <v>37425</v>
      </c>
      <c r="E5656">
        <v>2.6692</v>
      </c>
    </row>
    <row r="5657" spans="4:5" x14ac:dyDescent="0.35">
      <c r="D5657" s="1">
        <v>37424</v>
      </c>
      <c r="E5657">
        <v>2.6815000000000002</v>
      </c>
    </row>
    <row r="5658" spans="4:5" x14ac:dyDescent="0.35">
      <c r="D5658" s="1">
        <v>37421</v>
      </c>
      <c r="E5658">
        <v>2.7172999999999998</v>
      </c>
    </row>
    <row r="5659" spans="4:5" x14ac:dyDescent="0.35">
      <c r="D5659" s="1">
        <v>37420</v>
      </c>
      <c r="E5659">
        <v>2.6913999999999998</v>
      </c>
    </row>
    <row r="5660" spans="4:5" x14ac:dyDescent="0.35">
      <c r="D5660" s="1">
        <v>37419</v>
      </c>
      <c r="E5660">
        <v>2.7477999999999998</v>
      </c>
    </row>
    <row r="5661" spans="4:5" x14ac:dyDescent="0.35">
      <c r="D5661" s="1">
        <v>37418</v>
      </c>
      <c r="E5661">
        <v>2.6656</v>
      </c>
    </row>
    <row r="5662" spans="4:5" x14ac:dyDescent="0.35">
      <c r="D5662" s="1">
        <v>37417</v>
      </c>
      <c r="E5662">
        <v>2.6358999999999999</v>
      </c>
    </row>
    <row r="5663" spans="4:5" x14ac:dyDescent="0.35">
      <c r="D5663" s="1">
        <v>37414</v>
      </c>
      <c r="E5663">
        <v>2.67</v>
      </c>
    </row>
    <row r="5664" spans="4:5" x14ac:dyDescent="0.35">
      <c r="D5664" s="1">
        <v>37413</v>
      </c>
      <c r="E5664">
        <v>2.641</v>
      </c>
    </row>
    <row r="5665" spans="4:5" x14ac:dyDescent="0.35">
      <c r="D5665" s="1">
        <v>37412</v>
      </c>
      <c r="E5665">
        <v>2.6078000000000001</v>
      </c>
    </row>
    <row r="5666" spans="4:5" x14ac:dyDescent="0.35">
      <c r="D5666" s="1">
        <v>37411</v>
      </c>
      <c r="E5666">
        <v>2.5689000000000002</v>
      </c>
    </row>
    <row r="5667" spans="4:5" x14ac:dyDescent="0.35">
      <c r="D5667" s="1">
        <v>37410</v>
      </c>
      <c r="E5667">
        <v>2.5405000000000002</v>
      </c>
    </row>
    <row r="5668" spans="4:5" x14ac:dyDescent="0.35">
      <c r="D5668" s="1">
        <v>37407</v>
      </c>
      <c r="E5668">
        <v>2.5211999999999999</v>
      </c>
    </row>
    <row r="5669" spans="4:5" x14ac:dyDescent="0.35">
      <c r="D5669" s="1">
        <v>37405</v>
      </c>
      <c r="E5669">
        <v>2.5192999999999999</v>
      </c>
    </row>
    <row r="5670" spans="4:5" x14ac:dyDescent="0.35">
      <c r="D5670" s="1">
        <v>37404</v>
      </c>
      <c r="E5670">
        <v>2.524</v>
      </c>
    </row>
    <row r="5671" spans="4:5" x14ac:dyDescent="0.35">
      <c r="D5671" s="1">
        <v>37403</v>
      </c>
      <c r="E5671">
        <v>2.5219999999999998</v>
      </c>
    </row>
    <row r="5672" spans="4:5" x14ac:dyDescent="0.35">
      <c r="D5672" s="1">
        <v>37400</v>
      </c>
      <c r="E5672">
        <v>2.5232000000000001</v>
      </c>
    </row>
    <row r="5673" spans="4:5" x14ac:dyDescent="0.35">
      <c r="D5673" s="1">
        <v>37399</v>
      </c>
      <c r="E5673">
        <v>2.5287999999999999</v>
      </c>
    </row>
    <row r="5674" spans="4:5" x14ac:dyDescent="0.35">
      <c r="D5674" s="1">
        <v>37398</v>
      </c>
      <c r="E5674">
        <v>2.5007999999999999</v>
      </c>
    </row>
    <row r="5675" spans="4:5" x14ac:dyDescent="0.35">
      <c r="D5675" s="1">
        <v>37397</v>
      </c>
      <c r="E5675">
        <v>2.4779</v>
      </c>
    </row>
    <row r="5676" spans="4:5" x14ac:dyDescent="0.35">
      <c r="D5676" s="1">
        <v>37396</v>
      </c>
      <c r="E5676">
        <v>2.4729000000000001</v>
      </c>
    </row>
    <row r="5677" spans="4:5" x14ac:dyDescent="0.35">
      <c r="D5677" s="1">
        <v>37393</v>
      </c>
      <c r="E5677">
        <v>2.4754999999999998</v>
      </c>
    </row>
    <row r="5678" spans="4:5" x14ac:dyDescent="0.35">
      <c r="D5678" s="1">
        <v>37392</v>
      </c>
      <c r="E5678">
        <v>2.4790999999999999</v>
      </c>
    </row>
    <row r="5679" spans="4:5" x14ac:dyDescent="0.35">
      <c r="D5679" s="1">
        <v>37391</v>
      </c>
      <c r="E5679">
        <v>2.5108999999999999</v>
      </c>
    </row>
    <row r="5680" spans="4:5" x14ac:dyDescent="0.35">
      <c r="D5680" s="1">
        <v>37390</v>
      </c>
      <c r="E5680">
        <v>2.5146000000000002</v>
      </c>
    </row>
    <row r="5681" spans="4:5" x14ac:dyDescent="0.35">
      <c r="D5681" s="1">
        <v>37389</v>
      </c>
      <c r="E5681">
        <v>2.4944000000000002</v>
      </c>
    </row>
    <row r="5682" spans="4:5" x14ac:dyDescent="0.35">
      <c r="D5682" s="1">
        <v>37386</v>
      </c>
      <c r="E5682">
        <v>2.4830000000000001</v>
      </c>
    </row>
    <row r="5683" spans="4:5" x14ac:dyDescent="0.35">
      <c r="D5683" s="1">
        <v>37385</v>
      </c>
      <c r="E5683">
        <v>2.4510999999999998</v>
      </c>
    </row>
    <row r="5684" spans="4:5" x14ac:dyDescent="0.35">
      <c r="D5684" s="1">
        <v>37384</v>
      </c>
      <c r="E5684">
        <v>2.4333</v>
      </c>
    </row>
    <row r="5685" spans="4:5" x14ac:dyDescent="0.35">
      <c r="D5685" s="1">
        <v>37383</v>
      </c>
      <c r="E5685">
        <v>2.4165999999999999</v>
      </c>
    </row>
    <row r="5686" spans="4:5" x14ac:dyDescent="0.35">
      <c r="D5686" s="1">
        <v>37382</v>
      </c>
      <c r="E5686">
        <v>2.4319000000000002</v>
      </c>
    </row>
    <row r="5687" spans="4:5" x14ac:dyDescent="0.35">
      <c r="D5687" s="1">
        <v>37379</v>
      </c>
      <c r="E5687">
        <v>2.4140999999999999</v>
      </c>
    </row>
    <row r="5688" spans="4:5" x14ac:dyDescent="0.35">
      <c r="D5688" s="1">
        <v>37378</v>
      </c>
      <c r="E5688">
        <v>2.3761999999999999</v>
      </c>
    </row>
    <row r="5689" spans="4:5" x14ac:dyDescent="0.35">
      <c r="D5689" s="1">
        <v>37376</v>
      </c>
      <c r="E5689">
        <v>2.3616999999999999</v>
      </c>
    </row>
    <row r="5690" spans="4:5" x14ac:dyDescent="0.35">
      <c r="D5690" s="1">
        <v>37375</v>
      </c>
      <c r="E5690">
        <v>2.3681000000000001</v>
      </c>
    </row>
    <row r="5691" spans="4:5" x14ac:dyDescent="0.35">
      <c r="D5691" s="1">
        <v>37372</v>
      </c>
      <c r="E5691">
        <v>2.355</v>
      </c>
    </row>
    <row r="5692" spans="4:5" x14ac:dyDescent="0.35">
      <c r="D5692" s="1">
        <v>37371</v>
      </c>
      <c r="E5692">
        <v>2.3658000000000001</v>
      </c>
    </row>
    <row r="5693" spans="4:5" x14ac:dyDescent="0.35">
      <c r="D5693" s="1">
        <v>37370</v>
      </c>
      <c r="E5693">
        <v>2.3559999999999999</v>
      </c>
    </row>
    <row r="5694" spans="4:5" x14ac:dyDescent="0.35">
      <c r="D5694" s="1">
        <v>37369</v>
      </c>
      <c r="E5694">
        <v>2.3479000000000001</v>
      </c>
    </row>
    <row r="5695" spans="4:5" x14ac:dyDescent="0.35">
      <c r="D5695" s="1">
        <v>37368</v>
      </c>
      <c r="E5695">
        <v>2.3338999999999999</v>
      </c>
    </row>
    <row r="5696" spans="4:5" x14ac:dyDescent="0.35">
      <c r="D5696" s="1">
        <v>37365</v>
      </c>
      <c r="E5696">
        <v>2.3260999999999998</v>
      </c>
    </row>
    <row r="5697" spans="4:5" x14ac:dyDescent="0.35">
      <c r="D5697" s="1">
        <v>37364</v>
      </c>
      <c r="E5697">
        <v>2.3319000000000001</v>
      </c>
    </row>
    <row r="5698" spans="4:5" x14ac:dyDescent="0.35">
      <c r="D5698" s="1">
        <v>37363</v>
      </c>
      <c r="E5698">
        <v>2.3157000000000001</v>
      </c>
    </row>
    <row r="5699" spans="4:5" x14ac:dyDescent="0.35">
      <c r="D5699" s="1">
        <v>37362</v>
      </c>
      <c r="E5699">
        <v>2.3163999999999998</v>
      </c>
    </row>
    <row r="5700" spans="4:5" x14ac:dyDescent="0.35">
      <c r="D5700" s="1">
        <v>37361</v>
      </c>
      <c r="E5700">
        <v>2.3172000000000001</v>
      </c>
    </row>
    <row r="5701" spans="4:5" x14ac:dyDescent="0.35">
      <c r="D5701" s="1">
        <v>37358</v>
      </c>
      <c r="E5701">
        <v>2.298</v>
      </c>
    </row>
    <row r="5702" spans="4:5" x14ac:dyDescent="0.35">
      <c r="D5702" s="1">
        <v>37357</v>
      </c>
      <c r="E5702">
        <v>2.2700999999999998</v>
      </c>
    </row>
    <row r="5703" spans="4:5" x14ac:dyDescent="0.35">
      <c r="D5703" s="1">
        <v>37356</v>
      </c>
      <c r="E5703">
        <v>2.2719999999999998</v>
      </c>
    </row>
    <row r="5704" spans="4:5" x14ac:dyDescent="0.35">
      <c r="D5704" s="1">
        <v>37355</v>
      </c>
      <c r="E5704">
        <v>2.2833999999999999</v>
      </c>
    </row>
    <row r="5705" spans="4:5" x14ac:dyDescent="0.35">
      <c r="D5705" s="1">
        <v>37354</v>
      </c>
      <c r="E5705">
        <v>2.2898999999999998</v>
      </c>
    </row>
    <row r="5706" spans="4:5" x14ac:dyDescent="0.35">
      <c r="D5706" s="1">
        <v>37351</v>
      </c>
      <c r="E5706">
        <v>2.2915999999999999</v>
      </c>
    </row>
    <row r="5707" spans="4:5" x14ac:dyDescent="0.35">
      <c r="D5707" s="1">
        <v>37350</v>
      </c>
      <c r="E5707">
        <v>2.3109999999999999</v>
      </c>
    </row>
    <row r="5708" spans="4:5" x14ac:dyDescent="0.35">
      <c r="D5708" s="1">
        <v>37349</v>
      </c>
      <c r="E5708">
        <v>2.2968999999999999</v>
      </c>
    </row>
    <row r="5709" spans="4:5" x14ac:dyDescent="0.35">
      <c r="D5709" s="1">
        <v>37348</v>
      </c>
      <c r="E5709">
        <v>2.3014000000000001</v>
      </c>
    </row>
    <row r="5710" spans="4:5" x14ac:dyDescent="0.35">
      <c r="D5710" s="1">
        <v>37347</v>
      </c>
      <c r="E5710">
        <v>2.3212000000000002</v>
      </c>
    </row>
    <row r="5711" spans="4:5" x14ac:dyDescent="0.35">
      <c r="D5711" s="1">
        <v>37343</v>
      </c>
      <c r="E5711">
        <v>2.3228</v>
      </c>
    </row>
    <row r="5712" spans="4:5" x14ac:dyDescent="0.35">
      <c r="D5712" s="1">
        <v>37342</v>
      </c>
      <c r="E5712">
        <v>2.3363</v>
      </c>
    </row>
    <row r="5713" spans="4:5" x14ac:dyDescent="0.35">
      <c r="D5713" s="1">
        <v>37341</v>
      </c>
      <c r="E5713">
        <v>2.3494000000000002</v>
      </c>
    </row>
    <row r="5714" spans="4:5" x14ac:dyDescent="0.35">
      <c r="D5714" s="1">
        <v>37340</v>
      </c>
      <c r="E5714">
        <v>2.3633000000000002</v>
      </c>
    </row>
    <row r="5715" spans="4:5" x14ac:dyDescent="0.35">
      <c r="D5715" s="1">
        <v>37337</v>
      </c>
      <c r="E5715">
        <v>2.35</v>
      </c>
    </row>
    <row r="5716" spans="4:5" x14ac:dyDescent="0.35">
      <c r="D5716" s="1">
        <v>37336</v>
      </c>
      <c r="E5716">
        <v>2.3466999999999998</v>
      </c>
    </row>
    <row r="5717" spans="4:5" x14ac:dyDescent="0.35">
      <c r="D5717" s="1">
        <v>37335</v>
      </c>
      <c r="E5717">
        <v>2.3372000000000002</v>
      </c>
    </row>
    <row r="5718" spans="4:5" x14ac:dyDescent="0.35">
      <c r="D5718" s="1">
        <v>37334</v>
      </c>
      <c r="E5718">
        <v>2.3424</v>
      </c>
    </row>
    <row r="5719" spans="4:5" x14ac:dyDescent="0.35">
      <c r="D5719" s="1">
        <v>37333</v>
      </c>
      <c r="E5719">
        <v>2.3397999999999999</v>
      </c>
    </row>
    <row r="5720" spans="4:5" x14ac:dyDescent="0.35">
      <c r="D5720" s="1">
        <v>37330</v>
      </c>
      <c r="E5720">
        <v>2.3534000000000002</v>
      </c>
    </row>
    <row r="5721" spans="4:5" x14ac:dyDescent="0.35">
      <c r="D5721" s="1">
        <v>37329</v>
      </c>
      <c r="E5721">
        <v>2.3433000000000002</v>
      </c>
    </row>
    <row r="5722" spans="4:5" x14ac:dyDescent="0.35">
      <c r="D5722" s="1">
        <v>37328</v>
      </c>
      <c r="E5722">
        <v>2.3359999999999999</v>
      </c>
    </row>
    <row r="5723" spans="4:5" x14ac:dyDescent="0.35">
      <c r="D5723" s="1">
        <v>37327</v>
      </c>
      <c r="E5723">
        <v>2.3488000000000002</v>
      </c>
    </row>
    <row r="5724" spans="4:5" x14ac:dyDescent="0.35">
      <c r="D5724" s="1">
        <v>37326</v>
      </c>
      <c r="E5724">
        <v>2.3479000000000001</v>
      </c>
    </row>
    <row r="5725" spans="4:5" x14ac:dyDescent="0.35">
      <c r="D5725" s="1">
        <v>37323</v>
      </c>
      <c r="E5725">
        <v>2.3574000000000002</v>
      </c>
    </row>
    <row r="5726" spans="4:5" x14ac:dyDescent="0.35">
      <c r="D5726" s="1">
        <v>37322</v>
      </c>
      <c r="E5726">
        <v>2.3654999999999999</v>
      </c>
    </row>
    <row r="5727" spans="4:5" x14ac:dyDescent="0.35">
      <c r="D5727" s="1">
        <v>37321</v>
      </c>
      <c r="E5727">
        <v>2.3512</v>
      </c>
    </row>
    <row r="5728" spans="4:5" x14ac:dyDescent="0.35">
      <c r="D5728" s="1">
        <v>37320</v>
      </c>
      <c r="E5728">
        <v>2.3243</v>
      </c>
    </row>
    <row r="5729" spans="4:5" x14ac:dyDescent="0.35">
      <c r="D5729" s="1">
        <v>37319</v>
      </c>
      <c r="E5729">
        <v>2.3424</v>
      </c>
    </row>
    <row r="5730" spans="4:5" x14ac:dyDescent="0.35">
      <c r="D5730" s="1">
        <v>37316</v>
      </c>
      <c r="E5730">
        <v>2.3588</v>
      </c>
    </row>
    <row r="5731" spans="4:5" x14ac:dyDescent="0.35">
      <c r="D5731" s="1">
        <v>37315</v>
      </c>
      <c r="E5731">
        <v>2.3473999999999999</v>
      </c>
    </row>
    <row r="5732" spans="4:5" x14ac:dyDescent="0.35">
      <c r="D5732" s="1">
        <v>37314</v>
      </c>
      <c r="E5732">
        <v>2.3818999999999999</v>
      </c>
    </row>
    <row r="5733" spans="4:5" x14ac:dyDescent="0.35">
      <c r="D5733" s="1">
        <v>37313</v>
      </c>
      <c r="E5733">
        <v>2.3938999999999999</v>
      </c>
    </row>
    <row r="5734" spans="4:5" x14ac:dyDescent="0.35">
      <c r="D5734" s="1">
        <v>37312</v>
      </c>
      <c r="E5734">
        <v>2.4054000000000002</v>
      </c>
    </row>
    <row r="5735" spans="4:5" x14ac:dyDescent="0.35">
      <c r="D5735" s="1">
        <v>37309</v>
      </c>
      <c r="E5735">
        <v>2.4264999999999999</v>
      </c>
    </row>
    <row r="5736" spans="4:5" x14ac:dyDescent="0.35">
      <c r="D5736" s="1">
        <v>37308</v>
      </c>
      <c r="E5736">
        <v>2.4232999999999998</v>
      </c>
    </row>
    <row r="5737" spans="4:5" x14ac:dyDescent="0.35">
      <c r="D5737" s="1">
        <v>37307</v>
      </c>
      <c r="E5737">
        <v>2.4276</v>
      </c>
    </row>
    <row r="5738" spans="4:5" x14ac:dyDescent="0.35">
      <c r="D5738" s="1">
        <v>37306</v>
      </c>
      <c r="E5738">
        <v>2.4241000000000001</v>
      </c>
    </row>
    <row r="5739" spans="4:5" x14ac:dyDescent="0.35">
      <c r="D5739" s="1">
        <v>37305</v>
      </c>
      <c r="E5739">
        <v>2.4276</v>
      </c>
    </row>
    <row r="5740" spans="4:5" x14ac:dyDescent="0.35">
      <c r="D5740" s="1">
        <v>37302</v>
      </c>
      <c r="E5740">
        <v>2.4371999999999998</v>
      </c>
    </row>
    <row r="5741" spans="4:5" x14ac:dyDescent="0.35">
      <c r="D5741" s="1">
        <v>37301</v>
      </c>
      <c r="E5741">
        <v>2.4241000000000001</v>
      </c>
    </row>
    <row r="5742" spans="4:5" x14ac:dyDescent="0.35">
      <c r="D5742" s="1">
        <v>37300</v>
      </c>
      <c r="E5742">
        <v>2.4224000000000001</v>
      </c>
    </row>
    <row r="5743" spans="4:5" x14ac:dyDescent="0.35">
      <c r="D5743" s="1">
        <v>37295</v>
      </c>
      <c r="E5743">
        <v>2.4683000000000002</v>
      </c>
    </row>
    <row r="5744" spans="4:5" x14ac:dyDescent="0.35">
      <c r="D5744" s="1">
        <v>37294</v>
      </c>
      <c r="E5744">
        <v>2.4510000000000001</v>
      </c>
    </row>
    <row r="5745" spans="4:5" x14ac:dyDescent="0.35">
      <c r="D5745" s="1">
        <v>37293</v>
      </c>
      <c r="E5745">
        <v>2.4198</v>
      </c>
    </row>
    <row r="5746" spans="4:5" x14ac:dyDescent="0.35">
      <c r="D5746" s="1">
        <v>37292</v>
      </c>
      <c r="E5746">
        <v>2.4205999999999999</v>
      </c>
    </row>
    <row r="5747" spans="4:5" x14ac:dyDescent="0.35">
      <c r="D5747" s="1">
        <v>37291</v>
      </c>
      <c r="E5747">
        <v>2.4220000000000002</v>
      </c>
    </row>
    <row r="5748" spans="4:5" x14ac:dyDescent="0.35">
      <c r="D5748" s="1">
        <v>37288</v>
      </c>
      <c r="E5748">
        <v>2.4152999999999998</v>
      </c>
    </row>
    <row r="5749" spans="4:5" x14ac:dyDescent="0.35">
      <c r="D5749" s="1">
        <v>37287</v>
      </c>
      <c r="E5749">
        <v>2.4175</v>
      </c>
    </row>
    <row r="5750" spans="4:5" x14ac:dyDescent="0.35">
      <c r="D5750" s="1">
        <v>37286</v>
      </c>
      <c r="E5750">
        <v>2.4376000000000002</v>
      </c>
    </row>
    <row r="5751" spans="4:5" x14ac:dyDescent="0.35">
      <c r="D5751" s="1">
        <v>37285</v>
      </c>
      <c r="E5751">
        <v>2.4226000000000001</v>
      </c>
    </row>
    <row r="5752" spans="4:5" x14ac:dyDescent="0.35">
      <c r="D5752" s="1">
        <v>37284</v>
      </c>
      <c r="E5752">
        <v>2.4220000000000002</v>
      </c>
    </row>
    <row r="5753" spans="4:5" x14ac:dyDescent="0.35">
      <c r="D5753" s="1">
        <v>37281</v>
      </c>
      <c r="E5753">
        <v>2.4037999999999999</v>
      </c>
    </row>
    <row r="5754" spans="4:5" x14ac:dyDescent="0.35">
      <c r="D5754" s="1">
        <v>37280</v>
      </c>
      <c r="E5754">
        <v>2.3973</v>
      </c>
    </row>
    <row r="5755" spans="4:5" x14ac:dyDescent="0.35">
      <c r="D5755" s="1">
        <v>37279</v>
      </c>
      <c r="E5755">
        <v>2.3795999999999999</v>
      </c>
    </row>
    <row r="5756" spans="4:5" x14ac:dyDescent="0.35">
      <c r="D5756" s="1">
        <v>37278</v>
      </c>
      <c r="E5756">
        <v>2.3658999999999999</v>
      </c>
    </row>
    <row r="5757" spans="4:5" x14ac:dyDescent="0.35">
      <c r="D5757" s="1">
        <v>37277</v>
      </c>
      <c r="E5757">
        <v>2.3734000000000002</v>
      </c>
    </row>
    <row r="5758" spans="4:5" x14ac:dyDescent="0.35">
      <c r="D5758" s="1">
        <v>37274</v>
      </c>
      <c r="E5758">
        <v>2.3744000000000001</v>
      </c>
    </row>
    <row r="5759" spans="4:5" x14ac:dyDescent="0.35">
      <c r="D5759" s="1">
        <v>37273</v>
      </c>
      <c r="E5759">
        <v>2.3633000000000002</v>
      </c>
    </row>
    <row r="5760" spans="4:5" x14ac:dyDescent="0.35">
      <c r="D5760" s="1">
        <v>37272</v>
      </c>
      <c r="E5760">
        <v>2.3858999999999999</v>
      </c>
    </row>
    <row r="5761" spans="4:5" x14ac:dyDescent="0.35">
      <c r="D5761" s="1">
        <v>37271</v>
      </c>
      <c r="E5761">
        <v>2.3696999999999999</v>
      </c>
    </row>
    <row r="5762" spans="4:5" x14ac:dyDescent="0.35">
      <c r="D5762" s="1">
        <v>37270</v>
      </c>
      <c r="E5762">
        <v>2.4064000000000001</v>
      </c>
    </row>
    <row r="5763" spans="4:5" x14ac:dyDescent="0.35">
      <c r="D5763" s="1">
        <v>37267</v>
      </c>
      <c r="E5763">
        <v>2.4159999999999999</v>
      </c>
    </row>
    <row r="5764" spans="4:5" x14ac:dyDescent="0.35">
      <c r="D5764" s="1">
        <v>37266</v>
      </c>
      <c r="E5764">
        <v>2.3887999999999998</v>
      </c>
    </row>
    <row r="5765" spans="4:5" x14ac:dyDescent="0.35">
      <c r="D5765" s="1">
        <v>37265</v>
      </c>
      <c r="E5765">
        <v>2.3786</v>
      </c>
    </row>
    <row r="5766" spans="4:5" x14ac:dyDescent="0.35">
      <c r="D5766" s="1">
        <v>37264</v>
      </c>
      <c r="E5766">
        <v>2.3445999999999998</v>
      </c>
    </row>
    <row r="5767" spans="4:5" x14ac:dyDescent="0.35">
      <c r="D5767" s="1">
        <v>37263</v>
      </c>
      <c r="E5767">
        <v>2.3420000000000001</v>
      </c>
    </row>
    <row r="5768" spans="4:5" x14ac:dyDescent="0.35">
      <c r="D5768" s="1">
        <v>37260</v>
      </c>
      <c r="E5768">
        <v>2.3092999999999999</v>
      </c>
    </row>
    <row r="5769" spans="4:5" x14ac:dyDescent="0.35">
      <c r="D5769" s="1">
        <v>37259</v>
      </c>
      <c r="E5769">
        <v>2.2924000000000002</v>
      </c>
    </row>
    <row r="5770" spans="4:5" x14ac:dyDescent="0.35">
      <c r="D5770" s="1">
        <v>37258</v>
      </c>
      <c r="E5770">
        <v>2.3058000000000001</v>
      </c>
    </row>
    <row r="5771" spans="4:5" x14ac:dyDescent="0.35">
      <c r="D5771" s="1">
        <v>37256</v>
      </c>
      <c r="E5771">
        <v>2.3195999999999999</v>
      </c>
    </row>
    <row r="5772" spans="4:5" x14ac:dyDescent="0.35">
      <c r="D5772" s="1">
        <v>37253</v>
      </c>
      <c r="E5772">
        <v>2.3195999999999999</v>
      </c>
    </row>
    <row r="5773" spans="4:5" x14ac:dyDescent="0.35">
      <c r="D5773" s="1">
        <v>37252</v>
      </c>
      <c r="E5773">
        <v>2.3207</v>
      </c>
    </row>
    <row r="5774" spans="4:5" x14ac:dyDescent="0.35">
      <c r="D5774" s="1">
        <v>37251</v>
      </c>
      <c r="E5774">
        <v>2.3136999999999999</v>
      </c>
    </row>
    <row r="5775" spans="4:5" x14ac:dyDescent="0.35">
      <c r="D5775" s="1">
        <v>37249</v>
      </c>
      <c r="E5775">
        <v>2.3370000000000002</v>
      </c>
    </row>
    <row r="5776" spans="4:5" x14ac:dyDescent="0.35">
      <c r="D5776" s="1">
        <v>37246</v>
      </c>
      <c r="E5776">
        <v>2.3302999999999998</v>
      </c>
    </row>
    <row r="5777" spans="4:5" x14ac:dyDescent="0.35">
      <c r="D5777" s="1">
        <v>37245</v>
      </c>
      <c r="E5777">
        <v>2.3193999999999999</v>
      </c>
    </row>
    <row r="5778" spans="4:5" x14ac:dyDescent="0.35">
      <c r="D5778" s="1">
        <v>37244</v>
      </c>
      <c r="E5778">
        <v>2.2921999999999998</v>
      </c>
    </row>
    <row r="5779" spans="4:5" x14ac:dyDescent="0.35">
      <c r="D5779" s="1">
        <v>37243</v>
      </c>
      <c r="E5779">
        <v>2.3422000000000001</v>
      </c>
    </row>
    <row r="5780" spans="4:5" x14ac:dyDescent="0.35">
      <c r="D5780" s="1">
        <v>37242</v>
      </c>
      <c r="E5780">
        <v>2.3572000000000002</v>
      </c>
    </row>
    <row r="5781" spans="4:5" x14ac:dyDescent="0.35">
      <c r="D5781" s="1">
        <v>37239</v>
      </c>
      <c r="E5781">
        <v>2.3832</v>
      </c>
    </row>
    <row r="5782" spans="4:5" x14ac:dyDescent="0.35">
      <c r="D5782" s="1">
        <v>37238</v>
      </c>
      <c r="E5782">
        <v>2.3839000000000001</v>
      </c>
    </row>
    <row r="5783" spans="4:5" x14ac:dyDescent="0.35">
      <c r="D5783" s="1">
        <v>37237</v>
      </c>
      <c r="E5783">
        <v>2.3542999999999998</v>
      </c>
    </row>
    <row r="5784" spans="4:5" x14ac:dyDescent="0.35">
      <c r="D5784" s="1">
        <v>37236</v>
      </c>
      <c r="E5784">
        <v>2.3409</v>
      </c>
    </row>
    <row r="5785" spans="4:5" x14ac:dyDescent="0.35">
      <c r="D5785" s="1">
        <v>37235</v>
      </c>
      <c r="E5785">
        <v>2.3571</v>
      </c>
    </row>
    <row r="5786" spans="4:5" x14ac:dyDescent="0.35">
      <c r="D5786" s="1">
        <v>37232</v>
      </c>
      <c r="E5786">
        <v>2.3997000000000002</v>
      </c>
    </row>
    <row r="5787" spans="4:5" x14ac:dyDescent="0.35">
      <c r="D5787" s="1">
        <v>37231</v>
      </c>
      <c r="E5787">
        <v>2.4426999999999999</v>
      </c>
    </row>
    <row r="5788" spans="4:5" x14ac:dyDescent="0.35">
      <c r="D5788" s="1">
        <v>37230</v>
      </c>
      <c r="E5788">
        <v>2.4298000000000002</v>
      </c>
    </row>
    <row r="5789" spans="4:5" x14ac:dyDescent="0.35">
      <c r="D5789" s="1">
        <v>37229</v>
      </c>
      <c r="E5789">
        <v>2.4281000000000001</v>
      </c>
    </row>
    <row r="5790" spans="4:5" x14ac:dyDescent="0.35">
      <c r="D5790" s="1">
        <v>37228</v>
      </c>
      <c r="E5790">
        <v>2.4664000000000001</v>
      </c>
    </row>
    <row r="5791" spans="4:5" x14ac:dyDescent="0.35">
      <c r="D5791" s="1">
        <v>37225</v>
      </c>
      <c r="E5791">
        <v>2.5278999999999998</v>
      </c>
    </row>
    <row r="5792" spans="4:5" x14ac:dyDescent="0.35">
      <c r="D5792" s="1">
        <v>37224</v>
      </c>
      <c r="E5792">
        <v>2.5064000000000002</v>
      </c>
    </row>
    <row r="5793" spans="4:5" x14ac:dyDescent="0.35">
      <c r="D5793" s="1">
        <v>37223</v>
      </c>
      <c r="E5793">
        <v>2.4849000000000001</v>
      </c>
    </row>
    <row r="5794" spans="4:5" x14ac:dyDescent="0.35">
      <c r="D5794" s="1">
        <v>37222</v>
      </c>
      <c r="E5794">
        <v>2.4596</v>
      </c>
    </row>
    <row r="5795" spans="4:5" x14ac:dyDescent="0.35">
      <c r="D5795" s="1">
        <v>37221</v>
      </c>
      <c r="E5795">
        <v>2.4885999999999999</v>
      </c>
    </row>
    <row r="5796" spans="4:5" x14ac:dyDescent="0.35">
      <c r="D5796" s="1">
        <v>37218</v>
      </c>
      <c r="E5796">
        <v>2.5125999999999999</v>
      </c>
    </row>
    <row r="5797" spans="4:5" x14ac:dyDescent="0.35">
      <c r="D5797" s="1">
        <v>37217</v>
      </c>
      <c r="E5797">
        <v>2.5375000000000001</v>
      </c>
    </row>
    <row r="5798" spans="4:5" x14ac:dyDescent="0.35">
      <c r="D5798" s="1">
        <v>37216</v>
      </c>
      <c r="E5798">
        <v>2.5402999999999998</v>
      </c>
    </row>
    <row r="5799" spans="4:5" x14ac:dyDescent="0.35">
      <c r="D5799" s="1">
        <v>37215</v>
      </c>
      <c r="E5799">
        <v>2.5341999999999998</v>
      </c>
    </row>
    <row r="5800" spans="4:5" x14ac:dyDescent="0.35">
      <c r="D5800" s="1">
        <v>37214</v>
      </c>
      <c r="E5800">
        <v>2.5146000000000002</v>
      </c>
    </row>
    <row r="5801" spans="4:5" x14ac:dyDescent="0.35">
      <c r="D5801" s="1">
        <v>37211</v>
      </c>
      <c r="E5801">
        <v>2.5384000000000002</v>
      </c>
    </row>
    <row r="5802" spans="4:5" x14ac:dyDescent="0.35">
      <c r="D5802" s="1">
        <v>37209</v>
      </c>
      <c r="E5802">
        <v>2.5291000000000001</v>
      </c>
    </row>
    <row r="5803" spans="4:5" x14ac:dyDescent="0.35">
      <c r="D5803" s="1">
        <v>37208</v>
      </c>
      <c r="E5803">
        <v>2.5261999999999998</v>
      </c>
    </row>
    <row r="5804" spans="4:5" x14ac:dyDescent="0.35">
      <c r="D5804" s="1">
        <v>37207</v>
      </c>
      <c r="E5804">
        <v>2.5493999999999999</v>
      </c>
    </row>
    <row r="5805" spans="4:5" x14ac:dyDescent="0.35">
      <c r="D5805" s="1">
        <v>37204</v>
      </c>
      <c r="E5805">
        <v>2.5339</v>
      </c>
    </row>
    <row r="5806" spans="4:5" x14ac:dyDescent="0.35">
      <c r="D5806" s="1">
        <v>37203</v>
      </c>
      <c r="E5806">
        <v>2.5562999999999998</v>
      </c>
    </row>
    <row r="5807" spans="4:5" x14ac:dyDescent="0.35">
      <c r="D5807" s="1">
        <v>37202</v>
      </c>
      <c r="E5807">
        <v>2.6046999999999998</v>
      </c>
    </row>
    <row r="5808" spans="4:5" x14ac:dyDescent="0.35">
      <c r="D5808" s="1">
        <v>37201</v>
      </c>
      <c r="E5808">
        <v>2.5994999999999999</v>
      </c>
    </row>
    <row r="5809" spans="4:5" x14ac:dyDescent="0.35">
      <c r="D5809" s="1">
        <v>37200</v>
      </c>
      <c r="E5809">
        <v>2.62</v>
      </c>
    </row>
    <row r="5810" spans="4:5" x14ac:dyDescent="0.35">
      <c r="D5810" s="1">
        <v>37196</v>
      </c>
      <c r="E5810">
        <v>2.6812</v>
      </c>
    </row>
    <row r="5811" spans="4:5" x14ac:dyDescent="0.35">
      <c r="D5811" s="1">
        <v>37195</v>
      </c>
      <c r="E5811">
        <v>2.7063000000000001</v>
      </c>
    </row>
    <row r="5812" spans="4:5" x14ac:dyDescent="0.35">
      <c r="D5812" s="1">
        <v>37194</v>
      </c>
      <c r="E5812">
        <v>2.7223000000000002</v>
      </c>
    </row>
    <row r="5813" spans="4:5" x14ac:dyDescent="0.35">
      <c r="D5813" s="1">
        <v>37193</v>
      </c>
      <c r="E5813">
        <v>2.7238000000000002</v>
      </c>
    </row>
    <row r="5814" spans="4:5" x14ac:dyDescent="0.35">
      <c r="D5814" s="1">
        <v>37190</v>
      </c>
      <c r="E5814">
        <v>2.7282000000000002</v>
      </c>
    </row>
    <row r="5815" spans="4:5" x14ac:dyDescent="0.35">
      <c r="D5815" s="1">
        <v>37189</v>
      </c>
      <c r="E5815">
        <v>2.742</v>
      </c>
    </row>
    <row r="5816" spans="4:5" x14ac:dyDescent="0.35">
      <c r="D5816" s="1">
        <v>37188</v>
      </c>
      <c r="E5816">
        <v>2.7429999999999999</v>
      </c>
    </row>
    <row r="5817" spans="4:5" x14ac:dyDescent="0.35">
      <c r="D5817" s="1">
        <v>37187</v>
      </c>
      <c r="E5817">
        <v>2.7160000000000002</v>
      </c>
    </row>
    <row r="5818" spans="4:5" x14ac:dyDescent="0.35">
      <c r="D5818" s="1">
        <v>37186</v>
      </c>
      <c r="E5818">
        <v>2.7168000000000001</v>
      </c>
    </row>
    <row r="5819" spans="4:5" x14ac:dyDescent="0.35">
      <c r="D5819" s="1">
        <v>37183</v>
      </c>
      <c r="E5819">
        <v>2.7565</v>
      </c>
    </row>
    <row r="5820" spans="4:5" x14ac:dyDescent="0.35">
      <c r="D5820" s="1">
        <v>37182</v>
      </c>
      <c r="E5820">
        <v>2.7416999999999998</v>
      </c>
    </row>
    <row r="5821" spans="4:5" x14ac:dyDescent="0.35">
      <c r="D5821" s="1">
        <v>37181</v>
      </c>
      <c r="E5821">
        <v>2.7202999999999999</v>
      </c>
    </row>
    <row r="5822" spans="4:5" x14ac:dyDescent="0.35">
      <c r="D5822" s="1">
        <v>37180</v>
      </c>
      <c r="E5822">
        <v>2.7517999999999998</v>
      </c>
    </row>
    <row r="5823" spans="4:5" x14ac:dyDescent="0.35">
      <c r="D5823" s="1">
        <v>37179</v>
      </c>
      <c r="E5823">
        <v>2.7782</v>
      </c>
    </row>
    <row r="5824" spans="4:5" x14ac:dyDescent="0.35">
      <c r="D5824" s="1">
        <v>37175</v>
      </c>
      <c r="E5824">
        <v>2.7791000000000001</v>
      </c>
    </row>
    <row r="5825" spans="4:5" x14ac:dyDescent="0.35">
      <c r="D5825" s="1">
        <v>37174</v>
      </c>
      <c r="E5825">
        <v>2.7776000000000001</v>
      </c>
    </row>
    <row r="5826" spans="4:5" x14ac:dyDescent="0.35">
      <c r="D5826" s="1">
        <v>37173</v>
      </c>
      <c r="E5826">
        <v>2.7789000000000001</v>
      </c>
    </row>
    <row r="5827" spans="4:5" x14ac:dyDescent="0.35">
      <c r="D5827" s="1">
        <v>37172</v>
      </c>
      <c r="E5827">
        <v>2.782</v>
      </c>
    </row>
    <row r="5828" spans="4:5" x14ac:dyDescent="0.35">
      <c r="D5828" s="1">
        <v>37169</v>
      </c>
      <c r="E5828">
        <v>2.7532000000000001</v>
      </c>
    </row>
    <row r="5829" spans="4:5" x14ac:dyDescent="0.35">
      <c r="D5829" s="1">
        <v>37168</v>
      </c>
      <c r="E5829">
        <v>2.7317999999999998</v>
      </c>
    </row>
    <row r="5830" spans="4:5" x14ac:dyDescent="0.35">
      <c r="D5830" s="1">
        <v>37167</v>
      </c>
      <c r="E5830">
        <v>2.7279</v>
      </c>
    </row>
    <row r="5831" spans="4:5" x14ac:dyDescent="0.35">
      <c r="D5831" s="1">
        <v>37166</v>
      </c>
      <c r="E5831">
        <v>2.7029999999999998</v>
      </c>
    </row>
    <row r="5832" spans="4:5" x14ac:dyDescent="0.35">
      <c r="D5832" s="1">
        <v>37165</v>
      </c>
      <c r="E5832">
        <v>2.6858</v>
      </c>
    </row>
    <row r="5833" spans="4:5" x14ac:dyDescent="0.35">
      <c r="D5833" s="1">
        <v>37162</v>
      </c>
      <c r="E5833">
        <v>2.6705000000000001</v>
      </c>
    </row>
    <row r="5834" spans="4:5" x14ac:dyDescent="0.35">
      <c r="D5834" s="1">
        <v>37161</v>
      </c>
      <c r="E5834">
        <v>2.7042000000000002</v>
      </c>
    </row>
    <row r="5835" spans="4:5" x14ac:dyDescent="0.35">
      <c r="D5835" s="1">
        <v>37160</v>
      </c>
      <c r="E5835">
        <v>2.7256</v>
      </c>
    </row>
    <row r="5836" spans="4:5" x14ac:dyDescent="0.35">
      <c r="D5836" s="1">
        <v>37159</v>
      </c>
      <c r="E5836">
        <v>2.7124999999999999</v>
      </c>
    </row>
    <row r="5837" spans="4:5" x14ac:dyDescent="0.35">
      <c r="D5837" s="1">
        <v>37158</v>
      </c>
      <c r="E5837">
        <v>2.7667000000000002</v>
      </c>
    </row>
    <row r="5838" spans="4:5" x14ac:dyDescent="0.35">
      <c r="D5838" s="1">
        <v>37155</v>
      </c>
      <c r="E5838">
        <v>2.7999000000000001</v>
      </c>
    </row>
    <row r="5839" spans="4:5" x14ac:dyDescent="0.35">
      <c r="D5839" s="1">
        <v>37154</v>
      </c>
      <c r="E5839">
        <v>2.7313999999999998</v>
      </c>
    </row>
    <row r="5840" spans="4:5" x14ac:dyDescent="0.35">
      <c r="D5840" s="1">
        <v>37153</v>
      </c>
      <c r="E5840">
        <v>2.7057000000000002</v>
      </c>
    </row>
    <row r="5841" spans="4:5" x14ac:dyDescent="0.35">
      <c r="D5841" s="1">
        <v>37152</v>
      </c>
      <c r="E5841">
        <v>2.6785000000000001</v>
      </c>
    </row>
    <row r="5842" spans="4:5" x14ac:dyDescent="0.35">
      <c r="D5842" s="1">
        <v>37151</v>
      </c>
      <c r="E5842">
        <v>2.6671</v>
      </c>
    </row>
    <row r="5843" spans="4:5" x14ac:dyDescent="0.35">
      <c r="D5843" s="1">
        <v>37148</v>
      </c>
      <c r="E5843">
        <v>2.6978</v>
      </c>
    </row>
    <row r="5844" spans="4:5" x14ac:dyDescent="0.35">
      <c r="D5844" s="1">
        <v>37147</v>
      </c>
      <c r="E5844">
        <v>2.6970000000000001</v>
      </c>
    </row>
    <row r="5845" spans="4:5" x14ac:dyDescent="0.35">
      <c r="D5845" s="1">
        <v>37146</v>
      </c>
      <c r="E5845">
        <v>2.6732999999999998</v>
      </c>
    </row>
    <row r="5846" spans="4:5" x14ac:dyDescent="0.35">
      <c r="D5846" s="1">
        <v>37145</v>
      </c>
      <c r="E5846">
        <v>2.6360999999999999</v>
      </c>
    </row>
    <row r="5847" spans="4:5" x14ac:dyDescent="0.35">
      <c r="D5847" s="1">
        <v>37144</v>
      </c>
      <c r="E5847">
        <v>2.6004999999999998</v>
      </c>
    </row>
    <row r="5848" spans="4:5" x14ac:dyDescent="0.35">
      <c r="D5848" s="1">
        <v>37140</v>
      </c>
      <c r="E5848">
        <v>2.5918999999999999</v>
      </c>
    </row>
    <row r="5849" spans="4:5" x14ac:dyDescent="0.35">
      <c r="D5849" s="1">
        <v>37139</v>
      </c>
      <c r="E5849">
        <v>2.5661</v>
      </c>
    </row>
    <row r="5850" spans="4:5" x14ac:dyDescent="0.35">
      <c r="D5850" s="1">
        <v>37138</v>
      </c>
      <c r="E5850">
        <v>2.5634000000000001</v>
      </c>
    </row>
    <row r="5851" spans="4:5" x14ac:dyDescent="0.35">
      <c r="D5851" s="1">
        <v>37137</v>
      </c>
      <c r="E5851">
        <v>2.5581999999999998</v>
      </c>
    </row>
    <row r="5852" spans="4:5" x14ac:dyDescent="0.35">
      <c r="D5852" s="1">
        <v>37134</v>
      </c>
      <c r="E5852">
        <v>2.5508999999999999</v>
      </c>
    </row>
    <row r="5853" spans="4:5" x14ac:dyDescent="0.35">
      <c r="D5853" s="1">
        <v>37133</v>
      </c>
      <c r="E5853">
        <v>2.5394999999999999</v>
      </c>
    </row>
    <row r="5854" spans="4:5" x14ac:dyDescent="0.35">
      <c r="D5854" s="1">
        <v>37132</v>
      </c>
      <c r="E5854">
        <v>2.5466000000000002</v>
      </c>
    </row>
    <row r="5855" spans="4:5" x14ac:dyDescent="0.35">
      <c r="D5855" s="1">
        <v>37131</v>
      </c>
      <c r="E5855">
        <v>2.5556000000000001</v>
      </c>
    </row>
    <row r="5856" spans="4:5" x14ac:dyDescent="0.35">
      <c r="D5856" s="1">
        <v>37130</v>
      </c>
      <c r="E5856">
        <v>2.5577000000000001</v>
      </c>
    </row>
    <row r="5857" spans="4:5" x14ac:dyDescent="0.35">
      <c r="D5857" s="1">
        <v>37127</v>
      </c>
      <c r="E5857">
        <v>2.5491999999999999</v>
      </c>
    </row>
    <row r="5858" spans="4:5" x14ac:dyDescent="0.35">
      <c r="D5858" s="1">
        <v>37126</v>
      </c>
      <c r="E5858">
        <v>2.5274000000000001</v>
      </c>
    </row>
    <row r="5859" spans="4:5" x14ac:dyDescent="0.35">
      <c r="D5859" s="1">
        <v>37125</v>
      </c>
      <c r="E5859">
        <v>2.5223</v>
      </c>
    </row>
    <row r="5860" spans="4:5" x14ac:dyDescent="0.35">
      <c r="D5860" s="1">
        <v>37124</v>
      </c>
      <c r="E5860">
        <v>2.5345</v>
      </c>
    </row>
    <row r="5861" spans="4:5" x14ac:dyDescent="0.35">
      <c r="D5861" s="1">
        <v>37123</v>
      </c>
      <c r="E5861">
        <v>2.5297999999999998</v>
      </c>
    </row>
    <row r="5862" spans="4:5" x14ac:dyDescent="0.35">
      <c r="D5862" s="1">
        <v>37120</v>
      </c>
      <c r="E5862">
        <v>2.5226999999999999</v>
      </c>
    </row>
    <row r="5863" spans="4:5" x14ac:dyDescent="0.35">
      <c r="D5863" s="1">
        <v>37119</v>
      </c>
      <c r="E5863">
        <v>2.4868999999999999</v>
      </c>
    </row>
    <row r="5864" spans="4:5" x14ac:dyDescent="0.35">
      <c r="D5864" s="1">
        <v>37118</v>
      </c>
      <c r="E5864">
        <v>2.4996999999999998</v>
      </c>
    </row>
    <row r="5865" spans="4:5" x14ac:dyDescent="0.35">
      <c r="D5865" s="1">
        <v>37117</v>
      </c>
      <c r="E5865">
        <v>2.5131999999999999</v>
      </c>
    </row>
    <row r="5866" spans="4:5" x14ac:dyDescent="0.35">
      <c r="D5866" s="1">
        <v>37116</v>
      </c>
      <c r="E5866">
        <v>2.4902000000000002</v>
      </c>
    </row>
    <row r="5867" spans="4:5" x14ac:dyDescent="0.35">
      <c r="D5867" s="1">
        <v>37113</v>
      </c>
      <c r="E5867">
        <v>2.4834000000000001</v>
      </c>
    </row>
    <row r="5868" spans="4:5" x14ac:dyDescent="0.35">
      <c r="D5868" s="1">
        <v>37112</v>
      </c>
      <c r="E5868">
        <v>2.4660000000000002</v>
      </c>
    </row>
    <row r="5869" spans="4:5" x14ac:dyDescent="0.35">
      <c r="D5869" s="1">
        <v>37111</v>
      </c>
      <c r="E5869">
        <v>2.4695999999999998</v>
      </c>
    </row>
    <row r="5870" spans="4:5" x14ac:dyDescent="0.35">
      <c r="D5870" s="1">
        <v>37110</v>
      </c>
      <c r="E5870">
        <v>2.4455</v>
      </c>
    </row>
    <row r="5871" spans="4:5" x14ac:dyDescent="0.35">
      <c r="D5871" s="1">
        <v>37109</v>
      </c>
      <c r="E5871">
        <v>2.4681999999999999</v>
      </c>
    </row>
    <row r="5872" spans="4:5" x14ac:dyDescent="0.35">
      <c r="D5872" s="1">
        <v>37106</v>
      </c>
      <c r="E5872">
        <v>2.4876</v>
      </c>
    </row>
    <row r="5873" spans="4:5" x14ac:dyDescent="0.35">
      <c r="D5873" s="1">
        <v>37105</v>
      </c>
      <c r="E5873">
        <v>2.4868999999999999</v>
      </c>
    </row>
    <row r="5874" spans="4:5" x14ac:dyDescent="0.35">
      <c r="D5874" s="1">
        <v>37104</v>
      </c>
      <c r="E5874">
        <v>2.4927000000000001</v>
      </c>
    </row>
    <row r="5875" spans="4:5" x14ac:dyDescent="0.35">
      <c r="D5875" s="1">
        <v>37103</v>
      </c>
      <c r="E5875">
        <v>2.4304999999999999</v>
      </c>
    </row>
    <row r="5876" spans="4:5" x14ac:dyDescent="0.35">
      <c r="D5876" s="1">
        <v>37102</v>
      </c>
      <c r="E5876">
        <v>2.4325999999999999</v>
      </c>
    </row>
    <row r="5877" spans="4:5" x14ac:dyDescent="0.35">
      <c r="D5877" s="1">
        <v>37099</v>
      </c>
      <c r="E5877">
        <v>2.4963000000000002</v>
      </c>
    </row>
    <row r="5878" spans="4:5" x14ac:dyDescent="0.35">
      <c r="D5878" s="1">
        <v>37098</v>
      </c>
      <c r="E5878">
        <v>2.4828000000000001</v>
      </c>
    </row>
    <row r="5879" spans="4:5" x14ac:dyDescent="0.35">
      <c r="D5879" s="1">
        <v>37097</v>
      </c>
      <c r="E5879">
        <v>2.4906000000000001</v>
      </c>
    </row>
    <row r="5880" spans="4:5" x14ac:dyDescent="0.35">
      <c r="D5880" s="1">
        <v>37096</v>
      </c>
      <c r="E5880">
        <v>2.4239000000000002</v>
      </c>
    </row>
    <row r="5881" spans="4:5" x14ac:dyDescent="0.35">
      <c r="D5881" s="1">
        <v>37095</v>
      </c>
      <c r="E5881">
        <v>2.41</v>
      </c>
    </row>
    <row r="5882" spans="4:5" x14ac:dyDescent="0.35">
      <c r="D5882" s="1">
        <v>37092</v>
      </c>
      <c r="E5882">
        <v>2.4565000000000001</v>
      </c>
    </row>
    <row r="5883" spans="4:5" x14ac:dyDescent="0.35">
      <c r="D5883" s="1">
        <v>37091</v>
      </c>
      <c r="E5883">
        <v>2.5024000000000002</v>
      </c>
    </row>
    <row r="5884" spans="4:5" x14ac:dyDescent="0.35">
      <c r="D5884" s="1">
        <v>37090</v>
      </c>
      <c r="E5884">
        <v>2.4687999999999999</v>
      </c>
    </row>
    <row r="5885" spans="4:5" x14ac:dyDescent="0.35">
      <c r="D5885" s="1">
        <v>37089</v>
      </c>
      <c r="E5885">
        <v>2.5295999999999998</v>
      </c>
    </row>
    <row r="5886" spans="4:5" x14ac:dyDescent="0.35">
      <c r="D5886" s="1">
        <v>37088</v>
      </c>
      <c r="E5886">
        <v>2.5971000000000002</v>
      </c>
    </row>
    <row r="5887" spans="4:5" x14ac:dyDescent="0.35">
      <c r="D5887" s="1">
        <v>37085</v>
      </c>
      <c r="E5887">
        <v>2.5529999999999999</v>
      </c>
    </row>
    <row r="5888" spans="4:5" x14ac:dyDescent="0.35">
      <c r="D5888" s="1">
        <v>37084</v>
      </c>
      <c r="E5888">
        <v>2.5415000000000001</v>
      </c>
    </row>
    <row r="5889" spans="4:5" x14ac:dyDescent="0.35">
      <c r="D5889" s="1">
        <v>37083</v>
      </c>
      <c r="E5889">
        <v>2.5291999999999999</v>
      </c>
    </row>
    <row r="5890" spans="4:5" x14ac:dyDescent="0.35">
      <c r="D5890" s="1">
        <v>37082</v>
      </c>
      <c r="E5890">
        <v>2.4794</v>
      </c>
    </row>
    <row r="5891" spans="4:5" x14ac:dyDescent="0.35">
      <c r="D5891" s="1">
        <v>37081</v>
      </c>
      <c r="E5891">
        <v>2.4540000000000002</v>
      </c>
    </row>
    <row r="5892" spans="4:5" x14ac:dyDescent="0.35">
      <c r="D5892" s="1">
        <v>37078</v>
      </c>
      <c r="E5892">
        <v>2.4935</v>
      </c>
    </row>
    <row r="5893" spans="4:5" x14ac:dyDescent="0.35">
      <c r="D5893" s="1">
        <v>37077</v>
      </c>
      <c r="E5893">
        <v>2.4104999999999999</v>
      </c>
    </row>
    <row r="5894" spans="4:5" x14ac:dyDescent="0.35">
      <c r="D5894" s="1">
        <v>37076</v>
      </c>
      <c r="E5894">
        <v>2.3898999999999999</v>
      </c>
    </row>
    <row r="5895" spans="4:5" x14ac:dyDescent="0.35">
      <c r="D5895" s="1">
        <v>37075</v>
      </c>
      <c r="E5895">
        <v>2.3386999999999998</v>
      </c>
    </row>
    <row r="5896" spans="4:5" x14ac:dyDescent="0.35">
      <c r="D5896" s="1">
        <v>37074</v>
      </c>
      <c r="E5896">
        <v>2.3241000000000001</v>
      </c>
    </row>
    <row r="5897" spans="4:5" x14ac:dyDescent="0.35">
      <c r="D5897" s="1">
        <v>37071</v>
      </c>
      <c r="E5897">
        <v>2.3041</v>
      </c>
    </row>
    <row r="5898" spans="4:5" x14ac:dyDescent="0.35">
      <c r="D5898" s="1">
        <v>37070</v>
      </c>
      <c r="E5898">
        <v>2.2915000000000001</v>
      </c>
    </row>
    <row r="5899" spans="4:5" x14ac:dyDescent="0.35">
      <c r="D5899" s="1">
        <v>37069</v>
      </c>
      <c r="E5899">
        <v>2.3228</v>
      </c>
    </row>
    <row r="5900" spans="4:5" x14ac:dyDescent="0.35">
      <c r="D5900" s="1">
        <v>37068</v>
      </c>
      <c r="E5900">
        <v>2.3130999999999999</v>
      </c>
    </row>
    <row r="5901" spans="4:5" x14ac:dyDescent="0.35">
      <c r="D5901" s="1">
        <v>37067</v>
      </c>
      <c r="E5901">
        <v>2.2989000000000002</v>
      </c>
    </row>
    <row r="5902" spans="4:5" x14ac:dyDescent="0.35">
      <c r="D5902" s="1">
        <v>37064</v>
      </c>
      <c r="E5902">
        <v>2.3288000000000002</v>
      </c>
    </row>
    <row r="5903" spans="4:5" x14ac:dyDescent="0.35">
      <c r="D5903" s="1">
        <v>37063</v>
      </c>
      <c r="E5903">
        <v>2.4045999999999998</v>
      </c>
    </row>
    <row r="5904" spans="4:5" x14ac:dyDescent="0.35">
      <c r="D5904" s="1">
        <v>37062</v>
      </c>
      <c r="E5904">
        <v>2.4740000000000002</v>
      </c>
    </row>
    <row r="5905" spans="4:5" x14ac:dyDescent="0.35">
      <c r="D5905" s="1">
        <v>37061</v>
      </c>
      <c r="E5905">
        <v>2.4666999999999999</v>
      </c>
    </row>
    <row r="5906" spans="4:5" x14ac:dyDescent="0.35">
      <c r="D5906" s="1">
        <v>37060</v>
      </c>
      <c r="E5906">
        <v>2.4578000000000002</v>
      </c>
    </row>
    <row r="5907" spans="4:5" x14ac:dyDescent="0.35">
      <c r="D5907" s="1">
        <v>37057</v>
      </c>
      <c r="E5907">
        <v>2.4070999999999998</v>
      </c>
    </row>
    <row r="5908" spans="4:5" x14ac:dyDescent="0.35">
      <c r="D5908" s="1">
        <v>37055</v>
      </c>
      <c r="E5908">
        <v>2.407</v>
      </c>
    </row>
    <row r="5909" spans="4:5" x14ac:dyDescent="0.35">
      <c r="D5909" s="1">
        <v>37054</v>
      </c>
      <c r="E5909">
        <v>2.3898000000000001</v>
      </c>
    </row>
    <row r="5910" spans="4:5" x14ac:dyDescent="0.35">
      <c r="D5910" s="1">
        <v>37053</v>
      </c>
      <c r="E5910">
        <v>2.3714</v>
      </c>
    </row>
    <row r="5911" spans="4:5" x14ac:dyDescent="0.35">
      <c r="D5911" s="1">
        <v>37050</v>
      </c>
      <c r="E5911">
        <v>2.3611</v>
      </c>
    </row>
    <row r="5912" spans="4:5" x14ac:dyDescent="0.35">
      <c r="D5912" s="1">
        <v>37049</v>
      </c>
      <c r="E5912">
        <v>2.3872</v>
      </c>
    </row>
    <row r="5913" spans="4:5" x14ac:dyDescent="0.35">
      <c r="D5913" s="1">
        <v>37048</v>
      </c>
      <c r="E5913">
        <v>2.3813</v>
      </c>
    </row>
    <row r="5914" spans="4:5" x14ac:dyDescent="0.35">
      <c r="D5914" s="1">
        <v>37047</v>
      </c>
      <c r="E5914">
        <v>2.3887</v>
      </c>
    </row>
    <row r="5915" spans="4:5" x14ac:dyDescent="0.35">
      <c r="D5915" s="1">
        <v>37046</v>
      </c>
      <c r="E5915">
        <v>2.3620999999999999</v>
      </c>
    </row>
    <row r="5916" spans="4:5" x14ac:dyDescent="0.35">
      <c r="D5916" s="1">
        <v>37043</v>
      </c>
      <c r="E5916">
        <v>2.3824999999999998</v>
      </c>
    </row>
    <row r="5917" spans="4:5" x14ac:dyDescent="0.35">
      <c r="D5917" s="1">
        <v>37042</v>
      </c>
      <c r="E5917">
        <v>2.3592</v>
      </c>
    </row>
    <row r="5918" spans="4:5" x14ac:dyDescent="0.35">
      <c r="D5918" s="1">
        <v>37041</v>
      </c>
      <c r="E5918">
        <v>2.3588</v>
      </c>
    </row>
    <row r="5919" spans="4:5" x14ac:dyDescent="0.35">
      <c r="D5919" s="1">
        <v>37040</v>
      </c>
      <c r="E5919">
        <v>2.3416999999999999</v>
      </c>
    </row>
    <row r="5920" spans="4:5" x14ac:dyDescent="0.35">
      <c r="D5920" s="1">
        <v>37039</v>
      </c>
      <c r="E5920">
        <v>2.3256999999999999</v>
      </c>
    </row>
    <row r="5921" spans="4:5" x14ac:dyDescent="0.35">
      <c r="D5921" s="1">
        <v>37036</v>
      </c>
      <c r="E5921">
        <v>2.3395000000000001</v>
      </c>
    </row>
    <row r="5922" spans="4:5" x14ac:dyDescent="0.35">
      <c r="D5922" s="1">
        <v>37035</v>
      </c>
      <c r="E5922">
        <v>2.3485999999999998</v>
      </c>
    </row>
    <row r="5923" spans="4:5" x14ac:dyDescent="0.35">
      <c r="D5923" s="1">
        <v>37034</v>
      </c>
      <c r="E5923">
        <v>2.3418999999999999</v>
      </c>
    </row>
    <row r="5924" spans="4:5" x14ac:dyDescent="0.35">
      <c r="D5924" s="1">
        <v>37033</v>
      </c>
      <c r="E5924">
        <v>2.3054000000000001</v>
      </c>
    </row>
    <row r="5925" spans="4:5" x14ac:dyDescent="0.35">
      <c r="D5925" s="1">
        <v>37032</v>
      </c>
      <c r="E5925">
        <v>2.327</v>
      </c>
    </row>
    <row r="5926" spans="4:5" x14ac:dyDescent="0.35">
      <c r="D5926" s="1">
        <v>37029</v>
      </c>
      <c r="E5926">
        <v>2.2932999999999999</v>
      </c>
    </row>
    <row r="5927" spans="4:5" x14ac:dyDescent="0.35">
      <c r="D5927" s="1">
        <v>37028</v>
      </c>
      <c r="E5927">
        <v>2.3028</v>
      </c>
    </row>
    <row r="5928" spans="4:5" x14ac:dyDescent="0.35">
      <c r="D5928" s="1">
        <v>37027</v>
      </c>
      <c r="E5928">
        <v>2.3210999999999999</v>
      </c>
    </row>
    <row r="5929" spans="4:5" x14ac:dyDescent="0.35">
      <c r="D5929" s="1">
        <v>37026</v>
      </c>
      <c r="E5929">
        <v>2.3376000000000001</v>
      </c>
    </row>
    <row r="5930" spans="4:5" x14ac:dyDescent="0.35">
      <c r="D5930" s="1">
        <v>37025</v>
      </c>
      <c r="E5930">
        <v>2.3054000000000001</v>
      </c>
    </row>
    <row r="5931" spans="4:5" x14ac:dyDescent="0.35">
      <c r="D5931" s="1">
        <v>37022</v>
      </c>
      <c r="E5931">
        <v>2.2854999999999999</v>
      </c>
    </row>
    <row r="5932" spans="4:5" x14ac:dyDescent="0.35">
      <c r="D5932" s="1">
        <v>37021</v>
      </c>
      <c r="E5932">
        <v>2.2686999999999999</v>
      </c>
    </row>
    <row r="5933" spans="4:5" x14ac:dyDescent="0.35">
      <c r="D5933" s="1">
        <v>37020</v>
      </c>
      <c r="E5933">
        <v>2.2578</v>
      </c>
    </row>
    <row r="5934" spans="4:5" x14ac:dyDescent="0.35">
      <c r="D5934" s="1">
        <v>37019</v>
      </c>
      <c r="E5934">
        <v>2.2311000000000001</v>
      </c>
    </row>
    <row r="5935" spans="4:5" x14ac:dyDescent="0.35">
      <c r="D5935" s="1">
        <v>37018</v>
      </c>
      <c r="E5935">
        <v>2.1949000000000001</v>
      </c>
    </row>
    <row r="5936" spans="4:5" x14ac:dyDescent="0.35">
      <c r="D5936" s="1">
        <v>37015</v>
      </c>
      <c r="E5936">
        <v>2.2179000000000002</v>
      </c>
    </row>
    <row r="5937" spans="4:5" x14ac:dyDescent="0.35">
      <c r="D5937" s="1">
        <v>37014</v>
      </c>
      <c r="E5937">
        <v>2.2345000000000002</v>
      </c>
    </row>
    <row r="5938" spans="4:5" x14ac:dyDescent="0.35">
      <c r="D5938" s="1">
        <v>37013</v>
      </c>
      <c r="E5938">
        <v>2.2231000000000001</v>
      </c>
    </row>
    <row r="5939" spans="4:5" x14ac:dyDescent="0.35">
      <c r="D5939" s="1">
        <v>37011</v>
      </c>
      <c r="E5939">
        <v>2.1839</v>
      </c>
    </row>
    <row r="5940" spans="4:5" x14ac:dyDescent="0.35">
      <c r="D5940" s="1">
        <v>37008</v>
      </c>
      <c r="E5940">
        <v>2.2172000000000001</v>
      </c>
    </row>
    <row r="5941" spans="4:5" x14ac:dyDescent="0.35">
      <c r="D5941" s="1">
        <v>37007</v>
      </c>
      <c r="E5941">
        <v>2.2532999999999999</v>
      </c>
    </row>
    <row r="5942" spans="4:5" x14ac:dyDescent="0.35">
      <c r="D5942" s="1">
        <v>37006</v>
      </c>
      <c r="E5942">
        <v>2.3003</v>
      </c>
    </row>
    <row r="5943" spans="4:5" x14ac:dyDescent="0.35">
      <c r="D5943" s="1">
        <v>37005</v>
      </c>
      <c r="E5943">
        <v>2.2530000000000001</v>
      </c>
    </row>
    <row r="5944" spans="4:5" x14ac:dyDescent="0.35">
      <c r="D5944" s="1">
        <v>37004</v>
      </c>
      <c r="E5944">
        <v>2.2578</v>
      </c>
    </row>
    <row r="5945" spans="4:5" x14ac:dyDescent="0.35">
      <c r="D5945" s="1">
        <v>37001</v>
      </c>
      <c r="E5945">
        <v>2.2355999999999998</v>
      </c>
    </row>
    <row r="5946" spans="4:5" x14ac:dyDescent="0.35">
      <c r="D5946" s="1">
        <v>37000</v>
      </c>
      <c r="E5946">
        <v>2.1873999999999998</v>
      </c>
    </row>
    <row r="5947" spans="4:5" x14ac:dyDescent="0.35">
      <c r="D5947" s="1">
        <v>36999</v>
      </c>
      <c r="E5947">
        <v>2.1741999999999999</v>
      </c>
    </row>
    <row r="5948" spans="4:5" x14ac:dyDescent="0.35">
      <c r="D5948" s="1">
        <v>36998</v>
      </c>
      <c r="E5948">
        <v>2.1880000000000002</v>
      </c>
    </row>
    <row r="5949" spans="4:5" x14ac:dyDescent="0.35">
      <c r="D5949" s="1">
        <v>36997</v>
      </c>
      <c r="E5949">
        <v>2.1817000000000002</v>
      </c>
    </row>
    <row r="5950" spans="4:5" x14ac:dyDescent="0.35">
      <c r="D5950" s="1">
        <v>36993</v>
      </c>
      <c r="E5950">
        <v>2.1564999999999999</v>
      </c>
    </row>
    <row r="5951" spans="4:5" x14ac:dyDescent="0.35">
      <c r="D5951" s="1">
        <v>36992</v>
      </c>
      <c r="E5951">
        <v>2.1375999999999999</v>
      </c>
    </row>
    <row r="5952" spans="4:5" x14ac:dyDescent="0.35">
      <c r="D5952" s="1">
        <v>36991</v>
      </c>
      <c r="E5952">
        <v>2.1414</v>
      </c>
    </row>
    <row r="5953" spans="4:5" x14ac:dyDescent="0.35">
      <c r="D5953" s="1">
        <v>36990</v>
      </c>
      <c r="E5953">
        <v>2.1634000000000002</v>
      </c>
    </row>
    <row r="5954" spans="4:5" x14ac:dyDescent="0.35">
      <c r="D5954" s="1">
        <v>36987</v>
      </c>
      <c r="E5954">
        <v>2.1513</v>
      </c>
    </row>
    <row r="5955" spans="4:5" x14ac:dyDescent="0.35">
      <c r="D5955" s="1">
        <v>36986</v>
      </c>
      <c r="E5955">
        <v>2.1581000000000001</v>
      </c>
    </row>
    <row r="5956" spans="4:5" x14ac:dyDescent="0.35">
      <c r="D5956" s="1">
        <v>36985</v>
      </c>
      <c r="E5956">
        <v>2.1623999999999999</v>
      </c>
    </row>
    <row r="5957" spans="4:5" x14ac:dyDescent="0.35">
      <c r="D5957" s="1">
        <v>36984</v>
      </c>
      <c r="E5957">
        <v>2.1724000000000001</v>
      </c>
    </row>
    <row r="5958" spans="4:5" x14ac:dyDescent="0.35">
      <c r="D5958" s="1">
        <v>36983</v>
      </c>
      <c r="E5958">
        <v>2.1576</v>
      </c>
    </row>
    <row r="5959" spans="4:5" x14ac:dyDescent="0.35">
      <c r="D5959" s="1">
        <v>36980</v>
      </c>
      <c r="E5959">
        <v>2.1608000000000001</v>
      </c>
    </row>
    <row r="5960" spans="4:5" x14ac:dyDescent="0.35">
      <c r="D5960" s="1">
        <v>36979</v>
      </c>
      <c r="E5960">
        <v>2.1360999999999999</v>
      </c>
    </row>
    <row r="5961" spans="4:5" x14ac:dyDescent="0.35">
      <c r="D5961" s="1">
        <v>36978</v>
      </c>
      <c r="E5961">
        <v>2.1162000000000001</v>
      </c>
    </row>
    <row r="5962" spans="4:5" x14ac:dyDescent="0.35">
      <c r="D5962" s="1">
        <v>36977</v>
      </c>
      <c r="E5962">
        <v>2.1227999999999998</v>
      </c>
    </row>
    <row r="5963" spans="4:5" x14ac:dyDescent="0.35">
      <c r="D5963" s="1">
        <v>36976</v>
      </c>
      <c r="E5963">
        <v>2.1364999999999998</v>
      </c>
    </row>
    <row r="5964" spans="4:5" x14ac:dyDescent="0.35">
      <c r="D5964" s="1">
        <v>36973</v>
      </c>
      <c r="E5964">
        <v>2.1577999999999999</v>
      </c>
    </row>
    <row r="5965" spans="4:5" x14ac:dyDescent="0.35">
      <c r="D5965" s="1">
        <v>36972</v>
      </c>
      <c r="E5965">
        <v>2.1410999999999998</v>
      </c>
    </row>
    <row r="5966" spans="4:5" x14ac:dyDescent="0.35">
      <c r="D5966" s="1">
        <v>36971</v>
      </c>
      <c r="E5966">
        <v>2.0992000000000002</v>
      </c>
    </row>
    <row r="5967" spans="4:5" x14ac:dyDescent="0.35">
      <c r="D5967" s="1">
        <v>36970</v>
      </c>
      <c r="E5967">
        <v>2.0920999999999998</v>
      </c>
    </row>
    <row r="5968" spans="4:5" x14ac:dyDescent="0.35">
      <c r="D5968" s="1">
        <v>36969</v>
      </c>
      <c r="E5968">
        <v>2.1269</v>
      </c>
    </row>
    <row r="5969" spans="4:5" x14ac:dyDescent="0.35">
      <c r="D5969" s="1">
        <v>36966</v>
      </c>
      <c r="E5969">
        <v>2.1208999999999998</v>
      </c>
    </row>
    <row r="5970" spans="4:5" x14ac:dyDescent="0.35">
      <c r="D5970" s="1">
        <v>36965</v>
      </c>
      <c r="E5970">
        <v>2.0855999999999999</v>
      </c>
    </row>
    <row r="5971" spans="4:5" x14ac:dyDescent="0.35">
      <c r="D5971" s="1">
        <v>36964</v>
      </c>
      <c r="E5971">
        <v>2.0754999999999999</v>
      </c>
    </row>
    <row r="5972" spans="4:5" x14ac:dyDescent="0.35">
      <c r="D5972" s="1">
        <v>36963</v>
      </c>
      <c r="E5972">
        <v>2.0613999999999999</v>
      </c>
    </row>
    <row r="5973" spans="4:5" x14ac:dyDescent="0.35">
      <c r="D5973" s="1">
        <v>36962</v>
      </c>
      <c r="E5973">
        <v>2.0543999999999998</v>
      </c>
    </row>
    <row r="5974" spans="4:5" x14ac:dyDescent="0.35">
      <c r="D5974" s="1">
        <v>36959</v>
      </c>
      <c r="E5974">
        <v>2.0590999999999999</v>
      </c>
    </row>
    <row r="5975" spans="4:5" x14ac:dyDescent="0.35">
      <c r="D5975" s="1">
        <v>36958</v>
      </c>
      <c r="E5975">
        <v>2.0377000000000001</v>
      </c>
    </row>
    <row r="5976" spans="4:5" x14ac:dyDescent="0.35">
      <c r="D5976" s="1">
        <v>36957</v>
      </c>
      <c r="E5976">
        <v>2.0383</v>
      </c>
    </row>
    <row r="5977" spans="4:5" x14ac:dyDescent="0.35">
      <c r="D5977" s="1">
        <v>36956</v>
      </c>
      <c r="E5977">
        <v>2.02</v>
      </c>
    </row>
    <row r="5978" spans="4:5" x14ac:dyDescent="0.35">
      <c r="D5978" s="1">
        <v>36955</v>
      </c>
      <c r="E5978">
        <v>2.0224000000000002</v>
      </c>
    </row>
    <row r="5979" spans="4:5" x14ac:dyDescent="0.35">
      <c r="D5979" s="1">
        <v>36952</v>
      </c>
      <c r="E5979">
        <v>2.0347</v>
      </c>
    </row>
    <row r="5980" spans="4:5" x14ac:dyDescent="0.35">
      <c r="D5980" s="1">
        <v>36951</v>
      </c>
      <c r="E5980">
        <v>2.0419999999999998</v>
      </c>
    </row>
    <row r="5981" spans="4:5" x14ac:dyDescent="0.35">
      <c r="D5981" s="1">
        <v>36950</v>
      </c>
      <c r="E5981">
        <v>2.0444</v>
      </c>
    </row>
    <row r="5982" spans="4:5" x14ac:dyDescent="0.35">
      <c r="D5982" s="1">
        <v>36945</v>
      </c>
      <c r="E5982">
        <v>2.0428000000000002</v>
      </c>
    </row>
    <row r="5983" spans="4:5" x14ac:dyDescent="0.35">
      <c r="D5983" s="1">
        <v>36944</v>
      </c>
      <c r="E5983">
        <v>2.036</v>
      </c>
    </row>
    <row r="5984" spans="4:5" x14ac:dyDescent="0.35">
      <c r="D5984" s="1">
        <v>36943</v>
      </c>
      <c r="E5984">
        <v>2.0232000000000001</v>
      </c>
    </row>
    <row r="5985" spans="4:5" x14ac:dyDescent="0.35">
      <c r="D5985" s="1">
        <v>36942</v>
      </c>
      <c r="E5985">
        <v>2.0055000000000001</v>
      </c>
    </row>
    <row r="5986" spans="4:5" x14ac:dyDescent="0.35">
      <c r="D5986" s="1">
        <v>36941</v>
      </c>
      <c r="E5986">
        <v>2.0019</v>
      </c>
    </row>
    <row r="5987" spans="4:5" x14ac:dyDescent="0.35">
      <c r="D5987" s="1">
        <v>36938</v>
      </c>
      <c r="E5987">
        <v>1.9932000000000001</v>
      </c>
    </row>
    <row r="5988" spans="4:5" x14ac:dyDescent="0.35">
      <c r="D5988" s="1">
        <v>36937</v>
      </c>
      <c r="E5988">
        <v>1.9803999999999999</v>
      </c>
    </row>
    <row r="5989" spans="4:5" x14ac:dyDescent="0.35">
      <c r="D5989" s="1">
        <v>36936</v>
      </c>
      <c r="E5989">
        <v>1.9885999999999999</v>
      </c>
    </row>
    <row r="5990" spans="4:5" x14ac:dyDescent="0.35">
      <c r="D5990" s="1">
        <v>36935</v>
      </c>
      <c r="E5990">
        <v>1.9795</v>
      </c>
    </row>
    <row r="5991" spans="4:5" x14ac:dyDescent="0.35">
      <c r="D5991" s="1">
        <v>36934</v>
      </c>
      <c r="E5991">
        <v>1.9804999999999999</v>
      </c>
    </row>
    <row r="5992" spans="4:5" x14ac:dyDescent="0.35">
      <c r="D5992" s="1">
        <v>36931</v>
      </c>
      <c r="E5992">
        <v>1.9876</v>
      </c>
    </row>
    <row r="5993" spans="4:5" x14ac:dyDescent="0.35">
      <c r="D5993" s="1">
        <v>36930</v>
      </c>
      <c r="E5993">
        <v>1.9951000000000001</v>
      </c>
    </row>
    <row r="5994" spans="4:5" x14ac:dyDescent="0.35">
      <c r="D5994" s="1">
        <v>36929</v>
      </c>
      <c r="E5994">
        <v>2.0036999999999998</v>
      </c>
    </row>
    <row r="5995" spans="4:5" x14ac:dyDescent="0.35">
      <c r="D5995" s="1">
        <v>36928</v>
      </c>
      <c r="E5995">
        <v>1.9972000000000001</v>
      </c>
    </row>
    <row r="5996" spans="4:5" x14ac:dyDescent="0.35">
      <c r="D5996" s="1">
        <v>36927</v>
      </c>
      <c r="E5996">
        <v>1.9937</v>
      </c>
    </row>
    <row r="5997" spans="4:5" x14ac:dyDescent="0.35">
      <c r="D5997" s="1">
        <v>36924</v>
      </c>
      <c r="E5997">
        <v>1.9925999999999999</v>
      </c>
    </row>
    <row r="5998" spans="4:5" x14ac:dyDescent="0.35">
      <c r="D5998" s="1">
        <v>36923</v>
      </c>
      <c r="E5998">
        <v>1.9731000000000001</v>
      </c>
    </row>
    <row r="5999" spans="4:5" x14ac:dyDescent="0.35">
      <c r="D5999" s="1">
        <v>36922</v>
      </c>
      <c r="E5999">
        <v>1.9702999999999999</v>
      </c>
    </row>
    <row r="6000" spans="4:5" x14ac:dyDescent="0.35">
      <c r="D6000" s="1">
        <v>36921</v>
      </c>
      <c r="E6000">
        <v>1.9705999999999999</v>
      </c>
    </row>
    <row r="6001" spans="4:5" x14ac:dyDescent="0.35">
      <c r="D6001" s="1">
        <v>36920</v>
      </c>
      <c r="E6001">
        <v>1.9744999999999999</v>
      </c>
    </row>
    <row r="6002" spans="4:5" x14ac:dyDescent="0.35">
      <c r="D6002" s="1">
        <v>36917</v>
      </c>
      <c r="E6002">
        <v>1.9732000000000001</v>
      </c>
    </row>
    <row r="6003" spans="4:5" x14ac:dyDescent="0.35">
      <c r="D6003" s="1">
        <v>36916</v>
      </c>
      <c r="E6003">
        <v>1.9730000000000001</v>
      </c>
    </row>
    <row r="6004" spans="4:5" x14ac:dyDescent="0.35">
      <c r="D6004" s="1">
        <v>36915</v>
      </c>
      <c r="E6004">
        <v>1.9587000000000001</v>
      </c>
    </row>
    <row r="6005" spans="4:5" x14ac:dyDescent="0.35">
      <c r="D6005" s="1">
        <v>36914</v>
      </c>
      <c r="E6005">
        <v>1.9578</v>
      </c>
    </row>
    <row r="6006" spans="4:5" x14ac:dyDescent="0.35">
      <c r="D6006" s="1">
        <v>36913</v>
      </c>
      <c r="E6006">
        <v>1.9562999999999999</v>
      </c>
    </row>
    <row r="6007" spans="4:5" x14ac:dyDescent="0.35">
      <c r="D6007" s="1">
        <v>36910</v>
      </c>
      <c r="E6007">
        <v>1.9544999999999999</v>
      </c>
    </row>
    <row r="6008" spans="4:5" x14ac:dyDescent="0.35">
      <c r="D6008" s="1">
        <v>36909</v>
      </c>
      <c r="E6008">
        <v>1.9519</v>
      </c>
    </row>
    <row r="6009" spans="4:5" x14ac:dyDescent="0.35">
      <c r="D6009" s="1">
        <v>36908</v>
      </c>
      <c r="E6009">
        <v>1.9493</v>
      </c>
    </row>
    <row r="6010" spans="4:5" x14ac:dyDescent="0.35">
      <c r="D6010" s="1">
        <v>36907</v>
      </c>
      <c r="E6010">
        <v>1.9508000000000001</v>
      </c>
    </row>
    <row r="6011" spans="4:5" x14ac:dyDescent="0.35">
      <c r="D6011" s="1">
        <v>36906</v>
      </c>
      <c r="E6011">
        <v>1.9467000000000001</v>
      </c>
    </row>
    <row r="6012" spans="4:5" x14ac:dyDescent="0.35">
      <c r="D6012" s="1">
        <v>36903</v>
      </c>
      <c r="E6012">
        <v>1.95</v>
      </c>
    </row>
    <row r="6013" spans="4:5" x14ac:dyDescent="0.35">
      <c r="D6013" s="1">
        <v>36902</v>
      </c>
      <c r="E6013">
        <v>1.9455</v>
      </c>
    </row>
    <row r="6014" spans="4:5" x14ac:dyDescent="0.35">
      <c r="D6014" s="1">
        <v>36901</v>
      </c>
      <c r="E6014">
        <v>1.9420999999999999</v>
      </c>
    </row>
    <row r="6015" spans="4:5" x14ac:dyDescent="0.35">
      <c r="D6015" s="1">
        <v>36900</v>
      </c>
      <c r="E6015">
        <v>1.9433</v>
      </c>
    </row>
    <row r="6016" spans="4:5" x14ac:dyDescent="0.35">
      <c r="D6016" s="1">
        <v>36899</v>
      </c>
      <c r="E6016">
        <v>1.9516</v>
      </c>
    </row>
    <row r="6017" spans="4:5" x14ac:dyDescent="0.35">
      <c r="D6017" s="1">
        <v>36896</v>
      </c>
      <c r="E6017">
        <v>1.9476</v>
      </c>
    </row>
    <row r="6018" spans="4:5" x14ac:dyDescent="0.35">
      <c r="D6018" s="1">
        <v>36895</v>
      </c>
      <c r="E6018">
        <v>1.9349000000000001</v>
      </c>
    </row>
    <row r="6019" spans="4:5" x14ac:dyDescent="0.35">
      <c r="D6019" s="1">
        <v>36894</v>
      </c>
      <c r="E6019">
        <v>1.9414</v>
      </c>
    </row>
    <row r="6020" spans="4:5" x14ac:dyDescent="0.35">
      <c r="D6020" s="1">
        <v>36893</v>
      </c>
      <c r="E6020">
        <v>1.9376</v>
      </c>
    </row>
    <row r="6021" spans="4:5" x14ac:dyDescent="0.35">
      <c r="D6021" s="1">
        <v>36889</v>
      </c>
      <c r="E6021">
        <v>1.9545999999999999</v>
      </c>
    </row>
    <row r="6022" spans="4:5" x14ac:dyDescent="0.35">
      <c r="D6022" s="1">
        <v>36888</v>
      </c>
      <c r="E6022">
        <v>1.9545999999999999</v>
      </c>
    </row>
    <row r="6023" spans="4:5" x14ac:dyDescent="0.35">
      <c r="D6023" s="1">
        <v>36887</v>
      </c>
      <c r="E6023">
        <v>1.96</v>
      </c>
    </row>
    <row r="6024" spans="4:5" x14ac:dyDescent="0.35">
      <c r="D6024" s="1">
        <v>36886</v>
      </c>
      <c r="E6024">
        <v>1.9570000000000001</v>
      </c>
    </row>
    <row r="6025" spans="4:5" x14ac:dyDescent="0.35">
      <c r="D6025" s="1">
        <v>36882</v>
      </c>
      <c r="E6025">
        <v>1.9516</v>
      </c>
    </row>
    <row r="6026" spans="4:5" x14ac:dyDescent="0.35">
      <c r="D6026" s="1">
        <v>36881</v>
      </c>
      <c r="E6026">
        <v>1.9570000000000001</v>
      </c>
    </row>
    <row r="6027" spans="4:5" x14ac:dyDescent="0.35">
      <c r="D6027" s="1">
        <v>36880</v>
      </c>
      <c r="E6027">
        <v>1.9551000000000001</v>
      </c>
    </row>
    <row r="6028" spans="4:5" x14ac:dyDescent="0.35">
      <c r="D6028" s="1">
        <v>36879</v>
      </c>
      <c r="E6028">
        <v>1.9548000000000001</v>
      </c>
    </row>
    <row r="6029" spans="4:5" x14ac:dyDescent="0.35">
      <c r="D6029" s="1">
        <v>36878</v>
      </c>
      <c r="E6029">
        <v>1.9531000000000001</v>
      </c>
    </row>
    <row r="6030" spans="4:5" x14ac:dyDescent="0.35">
      <c r="D6030" s="1">
        <v>36875</v>
      </c>
      <c r="E6030">
        <v>1.9670000000000001</v>
      </c>
    </row>
    <row r="6031" spans="4:5" x14ac:dyDescent="0.35">
      <c r="D6031" s="1">
        <v>36874</v>
      </c>
      <c r="E6031">
        <v>1.9626999999999999</v>
      </c>
    </row>
    <row r="6032" spans="4:5" x14ac:dyDescent="0.35">
      <c r="D6032" s="1">
        <v>36873</v>
      </c>
      <c r="E6032">
        <v>1.9615</v>
      </c>
    </row>
    <row r="6033" spans="4:5" x14ac:dyDescent="0.35">
      <c r="D6033" s="1">
        <v>36872</v>
      </c>
      <c r="E6033">
        <v>1.9668000000000001</v>
      </c>
    </row>
    <row r="6034" spans="4:5" x14ac:dyDescent="0.35">
      <c r="D6034" s="1">
        <v>36871</v>
      </c>
      <c r="E6034">
        <v>1.964</v>
      </c>
    </row>
    <row r="6035" spans="4:5" x14ac:dyDescent="0.35">
      <c r="D6035" s="1">
        <v>36868</v>
      </c>
      <c r="E6035">
        <v>1.9686999999999999</v>
      </c>
    </row>
    <row r="6036" spans="4:5" x14ac:dyDescent="0.35">
      <c r="D6036" s="1">
        <v>36867</v>
      </c>
      <c r="E6036">
        <v>1.9690000000000001</v>
      </c>
    </row>
    <row r="6037" spans="4:5" x14ac:dyDescent="0.35">
      <c r="D6037" s="1">
        <v>36866</v>
      </c>
      <c r="E6037">
        <v>1.9649000000000001</v>
      </c>
    </row>
    <row r="6038" spans="4:5" x14ac:dyDescent="0.35">
      <c r="D6038" s="1">
        <v>36865</v>
      </c>
      <c r="E6038">
        <v>1.964</v>
      </c>
    </row>
    <row r="6039" spans="4:5" x14ac:dyDescent="0.35">
      <c r="D6039" s="1">
        <v>36864</v>
      </c>
      <c r="E6039">
        <v>1.9839</v>
      </c>
    </row>
    <row r="6040" spans="4:5" x14ac:dyDescent="0.35">
      <c r="D6040" s="1">
        <v>36861</v>
      </c>
      <c r="E6040">
        <v>1.9786999999999999</v>
      </c>
    </row>
    <row r="6041" spans="4:5" x14ac:dyDescent="0.35">
      <c r="D6041" s="1">
        <v>36860</v>
      </c>
      <c r="E6041">
        <v>1.9588000000000001</v>
      </c>
    </row>
    <row r="6042" spans="4:5" x14ac:dyDescent="0.35">
      <c r="D6042" s="1">
        <v>36859</v>
      </c>
      <c r="E6042">
        <v>1.9601999999999999</v>
      </c>
    </row>
    <row r="6043" spans="4:5" x14ac:dyDescent="0.35">
      <c r="D6043" s="1">
        <v>36858</v>
      </c>
      <c r="E6043">
        <v>1.9770000000000001</v>
      </c>
    </row>
    <row r="6044" spans="4:5" x14ac:dyDescent="0.35">
      <c r="D6044" s="1">
        <v>36857</v>
      </c>
      <c r="E6044">
        <v>1.9562999999999999</v>
      </c>
    </row>
    <row r="6045" spans="4:5" x14ac:dyDescent="0.35">
      <c r="D6045" s="1">
        <v>36854</v>
      </c>
      <c r="E6045">
        <v>1.9552</v>
      </c>
    </row>
    <row r="6046" spans="4:5" x14ac:dyDescent="0.35">
      <c r="D6046" s="1">
        <v>36853</v>
      </c>
      <c r="E6046">
        <v>1.9404999999999999</v>
      </c>
    </row>
    <row r="6047" spans="4:5" x14ac:dyDescent="0.35">
      <c r="D6047" s="1">
        <v>36852</v>
      </c>
      <c r="E6047">
        <v>1.9314</v>
      </c>
    </row>
    <row r="6048" spans="4:5" x14ac:dyDescent="0.35">
      <c r="D6048" s="1">
        <v>36851</v>
      </c>
      <c r="E6048">
        <v>1.9092</v>
      </c>
    </row>
    <row r="6049" spans="4:5" x14ac:dyDescent="0.35">
      <c r="D6049" s="1">
        <v>36850</v>
      </c>
      <c r="E6049">
        <v>1.9357</v>
      </c>
    </row>
    <row r="6050" spans="4:5" x14ac:dyDescent="0.35">
      <c r="D6050" s="1">
        <v>36847</v>
      </c>
      <c r="E6050">
        <v>1.9601</v>
      </c>
    </row>
    <row r="6051" spans="4:5" x14ac:dyDescent="0.35">
      <c r="D6051" s="1">
        <v>36846</v>
      </c>
      <c r="E6051">
        <v>1.9478</v>
      </c>
    </row>
    <row r="6052" spans="4:5" x14ac:dyDescent="0.35">
      <c r="D6052" s="1">
        <v>36844</v>
      </c>
      <c r="E6052">
        <v>1.9433</v>
      </c>
    </row>
    <row r="6053" spans="4:5" x14ac:dyDescent="0.35">
      <c r="D6053" s="1">
        <v>36843</v>
      </c>
      <c r="E6053">
        <v>1.9571000000000001</v>
      </c>
    </row>
    <row r="6054" spans="4:5" x14ac:dyDescent="0.35">
      <c r="D6054" s="1">
        <v>36840</v>
      </c>
      <c r="E6054">
        <v>1.9558</v>
      </c>
    </row>
    <row r="6055" spans="4:5" x14ac:dyDescent="0.35">
      <c r="D6055" s="1">
        <v>36839</v>
      </c>
      <c r="E6055">
        <v>1.9675</v>
      </c>
    </row>
    <row r="6056" spans="4:5" x14ac:dyDescent="0.35">
      <c r="D6056" s="1">
        <v>36838</v>
      </c>
      <c r="E6056">
        <v>1.9495</v>
      </c>
    </row>
    <row r="6057" spans="4:5" x14ac:dyDescent="0.35">
      <c r="D6057" s="1">
        <v>36837</v>
      </c>
      <c r="E6057">
        <v>1.9564999999999999</v>
      </c>
    </row>
    <row r="6058" spans="4:5" x14ac:dyDescent="0.35">
      <c r="D6058" s="1">
        <v>36836</v>
      </c>
      <c r="E6058">
        <v>1.9454</v>
      </c>
    </row>
    <row r="6059" spans="4:5" x14ac:dyDescent="0.35">
      <c r="D6059" s="1">
        <v>36833</v>
      </c>
      <c r="E6059">
        <v>1.9278</v>
      </c>
    </row>
    <row r="6060" spans="4:5" x14ac:dyDescent="0.35">
      <c r="D6060" s="1">
        <v>36831</v>
      </c>
      <c r="E6060">
        <v>1.9091</v>
      </c>
    </row>
    <row r="6061" spans="4:5" x14ac:dyDescent="0.35">
      <c r="D6061" s="1">
        <v>36830</v>
      </c>
      <c r="E6061">
        <v>1.9081999999999999</v>
      </c>
    </row>
    <row r="6062" spans="4:5" x14ac:dyDescent="0.35">
      <c r="D6062" s="1">
        <v>36829</v>
      </c>
      <c r="E6062">
        <v>1.9176</v>
      </c>
    </row>
    <row r="6063" spans="4:5" x14ac:dyDescent="0.35">
      <c r="D6063" s="1">
        <v>36826</v>
      </c>
      <c r="E6063">
        <v>1.9232</v>
      </c>
    </row>
    <row r="6064" spans="4:5" x14ac:dyDescent="0.35">
      <c r="D6064" s="1">
        <v>36825</v>
      </c>
      <c r="E6064">
        <v>1.9332</v>
      </c>
    </row>
    <row r="6065" spans="4:5" x14ac:dyDescent="0.35">
      <c r="D6065" s="1">
        <v>36824</v>
      </c>
      <c r="E6065">
        <v>1.9274</v>
      </c>
    </row>
    <row r="6066" spans="4:5" x14ac:dyDescent="0.35">
      <c r="D6066" s="1">
        <v>36823</v>
      </c>
      <c r="E6066">
        <v>1.8973</v>
      </c>
    </row>
    <row r="6067" spans="4:5" x14ac:dyDescent="0.35">
      <c r="D6067" s="1">
        <v>36822</v>
      </c>
      <c r="E6067">
        <v>1.891</v>
      </c>
    </row>
    <row r="6068" spans="4:5" x14ac:dyDescent="0.35">
      <c r="D6068" s="1">
        <v>36819</v>
      </c>
      <c r="E6068">
        <v>1.8788</v>
      </c>
    </row>
    <row r="6069" spans="4:5" x14ac:dyDescent="0.35">
      <c r="D6069" s="1">
        <v>36818</v>
      </c>
      <c r="E6069">
        <v>1.8706</v>
      </c>
    </row>
    <row r="6070" spans="4:5" x14ac:dyDescent="0.35">
      <c r="D6070" s="1">
        <v>36817</v>
      </c>
      <c r="E6070">
        <v>1.8787</v>
      </c>
    </row>
    <row r="6071" spans="4:5" x14ac:dyDescent="0.35">
      <c r="D6071" s="1">
        <v>36816</v>
      </c>
      <c r="E6071">
        <v>1.8658999999999999</v>
      </c>
    </row>
    <row r="6072" spans="4:5" x14ac:dyDescent="0.35">
      <c r="D6072" s="1">
        <v>36815</v>
      </c>
      <c r="E6072">
        <v>1.8695999999999999</v>
      </c>
    </row>
    <row r="6073" spans="4:5" x14ac:dyDescent="0.35">
      <c r="D6073" s="1">
        <v>36812</v>
      </c>
      <c r="E6073">
        <v>1.8755999999999999</v>
      </c>
    </row>
    <row r="6074" spans="4:5" x14ac:dyDescent="0.35">
      <c r="D6074" s="1">
        <v>36810</v>
      </c>
      <c r="E6074">
        <v>1.8594999999999999</v>
      </c>
    </row>
    <row r="6075" spans="4:5" x14ac:dyDescent="0.35">
      <c r="D6075" s="1">
        <v>36809</v>
      </c>
      <c r="E6075">
        <v>1.8532999999999999</v>
      </c>
    </row>
    <row r="6076" spans="4:5" x14ac:dyDescent="0.35">
      <c r="D6076" s="1">
        <v>36808</v>
      </c>
      <c r="E6076">
        <v>1.8566</v>
      </c>
    </row>
    <row r="6077" spans="4:5" x14ac:dyDescent="0.35">
      <c r="D6077" s="1">
        <v>36805</v>
      </c>
      <c r="E6077">
        <v>1.8512</v>
      </c>
    </row>
    <row r="6078" spans="4:5" x14ac:dyDescent="0.35">
      <c r="D6078" s="1">
        <v>36804</v>
      </c>
      <c r="E6078">
        <v>1.8492999999999999</v>
      </c>
    </row>
    <row r="6079" spans="4:5" x14ac:dyDescent="0.35">
      <c r="D6079" s="1">
        <v>36803</v>
      </c>
      <c r="E6079">
        <v>1.8521000000000001</v>
      </c>
    </row>
    <row r="6080" spans="4:5" x14ac:dyDescent="0.35">
      <c r="D6080" s="1">
        <v>36802</v>
      </c>
      <c r="E6080">
        <v>1.849</v>
      </c>
    </row>
    <row r="6081" spans="4:5" x14ac:dyDescent="0.35">
      <c r="D6081" s="1">
        <v>36801</v>
      </c>
      <c r="E6081">
        <v>1.8474999999999999</v>
      </c>
    </row>
    <row r="6082" spans="4:5" x14ac:dyDescent="0.35">
      <c r="D6082" s="1">
        <v>36798</v>
      </c>
      <c r="E6082">
        <v>1.8429</v>
      </c>
    </row>
    <row r="6083" spans="4:5" x14ac:dyDescent="0.35">
      <c r="D6083" s="1">
        <v>36797</v>
      </c>
      <c r="E6083">
        <v>1.8471</v>
      </c>
    </row>
    <row r="6084" spans="4:5" x14ac:dyDescent="0.35">
      <c r="D6084" s="1">
        <v>36796</v>
      </c>
      <c r="E6084">
        <v>1.8484</v>
      </c>
    </row>
    <row r="6085" spans="4:5" x14ac:dyDescent="0.35">
      <c r="D6085" s="1">
        <v>36795</v>
      </c>
      <c r="E6085">
        <v>1.8498000000000001</v>
      </c>
    </row>
    <row r="6086" spans="4:5" x14ac:dyDescent="0.35">
      <c r="D6086" s="1">
        <v>36794</v>
      </c>
      <c r="E6086">
        <v>1.8411999999999999</v>
      </c>
    </row>
    <row r="6087" spans="4:5" x14ac:dyDescent="0.35">
      <c r="D6087" s="1">
        <v>36791</v>
      </c>
      <c r="E6087">
        <v>1.8586</v>
      </c>
    </row>
    <row r="6088" spans="4:5" x14ac:dyDescent="0.35">
      <c r="D6088" s="1">
        <v>36790</v>
      </c>
      <c r="E6088">
        <v>1.8509</v>
      </c>
    </row>
    <row r="6089" spans="4:5" x14ac:dyDescent="0.35">
      <c r="D6089" s="1">
        <v>36789</v>
      </c>
      <c r="E6089">
        <v>1.8537999999999999</v>
      </c>
    </row>
    <row r="6090" spans="4:5" x14ac:dyDescent="0.35">
      <c r="D6090" s="1">
        <v>36788</v>
      </c>
      <c r="E6090">
        <v>1.853</v>
      </c>
    </row>
    <row r="6091" spans="4:5" x14ac:dyDescent="0.35">
      <c r="D6091" s="1">
        <v>36787</v>
      </c>
      <c r="E6091">
        <v>1.855</v>
      </c>
    </row>
    <row r="6092" spans="4:5" x14ac:dyDescent="0.35">
      <c r="D6092" s="1">
        <v>36784</v>
      </c>
      <c r="E6092">
        <v>1.843</v>
      </c>
    </row>
    <row r="6093" spans="4:5" x14ac:dyDescent="0.35">
      <c r="D6093" s="1">
        <v>36783</v>
      </c>
      <c r="E6093">
        <v>1.8309</v>
      </c>
    </row>
    <row r="6094" spans="4:5" x14ac:dyDescent="0.35">
      <c r="D6094" s="1">
        <v>36782</v>
      </c>
      <c r="E6094">
        <v>1.8311999999999999</v>
      </c>
    </row>
    <row r="6095" spans="4:5" x14ac:dyDescent="0.35">
      <c r="D6095" s="1">
        <v>36781</v>
      </c>
      <c r="E6095">
        <v>1.8270999999999999</v>
      </c>
    </row>
    <row r="6096" spans="4:5" x14ac:dyDescent="0.35">
      <c r="D6096" s="1">
        <v>36780</v>
      </c>
      <c r="E6096">
        <v>1.8190999999999999</v>
      </c>
    </row>
    <row r="6097" spans="4:5" x14ac:dyDescent="0.35">
      <c r="D6097" s="1">
        <v>36777</v>
      </c>
      <c r="E6097">
        <v>1.8216000000000001</v>
      </c>
    </row>
    <row r="6098" spans="4:5" x14ac:dyDescent="0.35">
      <c r="D6098" s="1">
        <v>36775</v>
      </c>
      <c r="E6098">
        <v>1.8199000000000001</v>
      </c>
    </row>
    <row r="6099" spans="4:5" x14ac:dyDescent="0.35">
      <c r="D6099" s="1">
        <v>36774</v>
      </c>
      <c r="E6099">
        <v>1.8286</v>
      </c>
    </row>
    <row r="6100" spans="4:5" x14ac:dyDescent="0.35">
      <c r="D6100" s="1">
        <v>36773</v>
      </c>
      <c r="E6100">
        <v>1.8247</v>
      </c>
    </row>
    <row r="6101" spans="4:5" x14ac:dyDescent="0.35">
      <c r="D6101" s="1">
        <v>36770</v>
      </c>
      <c r="E6101">
        <v>1.821</v>
      </c>
    </row>
    <row r="6102" spans="4:5" x14ac:dyDescent="0.35">
      <c r="D6102" s="1">
        <v>36769</v>
      </c>
      <c r="E6102">
        <v>1.8226</v>
      </c>
    </row>
    <row r="6103" spans="4:5" x14ac:dyDescent="0.35">
      <c r="D6103" s="1">
        <v>36768</v>
      </c>
      <c r="E6103">
        <v>1.8250999999999999</v>
      </c>
    </row>
    <row r="6104" spans="4:5" x14ac:dyDescent="0.35">
      <c r="D6104" s="1">
        <v>36767</v>
      </c>
      <c r="E6104">
        <v>1.8341000000000001</v>
      </c>
    </row>
    <row r="6105" spans="4:5" x14ac:dyDescent="0.35">
      <c r="D6105" s="1">
        <v>36766</v>
      </c>
      <c r="E6105">
        <v>1.8269</v>
      </c>
    </row>
    <row r="6106" spans="4:5" x14ac:dyDescent="0.35">
      <c r="D6106" s="1">
        <v>36763</v>
      </c>
      <c r="E6106">
        <v>1.8205</v>
      </c>
    </row>
    <row r="6107" spans="4:5" x14ac:dyDescent="0.35">
      <c r="D6107" s="1">
        <v>36762</v>
      </c>
      <c r="E6107">
        <v>1.8196000000000001</v>
      </c>
    </row>
    <row r="6108" spans="4:5" x14ac:dyDescent="0.35">
      <c r="D6108" s="1">
        <v>36761</v>
      </c>
      <c r="E6108">
        <v>1.8178000000000001</v>
      </c>
    </row>
    <row r="6109" spans="4:5" x14ac:dyDescent="0.35">
      <c r="D6109" s="1">
        <v>36760</v>
      </c>
      <c r="E6109">
        <v>1.8161</v>
      </c>
    </row>
    <row r="6110" spans="4:5" x14ac:dyDescent="0.35">
      <c r="D6110" s="1">
        <v>36759</v>
      </c>
      <c r="E6110">
        <v>1.8190999999999999</v>
      </c>
    </row>
    <row r="6111" spans="4:5" x14ac:dyDescent="0.35">
      <c r="D6111" s="1">
        <v>36756</v>
      </c>
      <c r="E6111">
        <v>1.8166</v>
      </c>
    </row>
    <row r="6112" spans="4:5" x14ac:dyDescent="0.35">
      <c r="D6112" s="1">
        <v>36755</v>
      </c>
      <c r="E6112">
        <v>1.8088</v>
      </c>
    </row>
    <row r="6113" spans="4:5" x14ac:dyDescent="0.35">
      <c r="D6113" s="1">
        <v>36754</v>
      </c>
      <c r="E6113">
        <v>1.8062</v>
      </c>
    </row>
    <row r="6114" spans="4:5" x14ac:dyDescent="0.35">
      <c r="D6114" s="1">
        <v>36753</v>
      </c>
      <c r="E6114">
        <v>1.8048</v>
      </c>
    </row>
    <row r="6115" spans="4:5" x14ac:dyDescent="0.35">
      <c r="D6115" s="1">
        <v>36752</v>
      </c>
      <c r="E6115">
        <v>1.8012999999999999</v>
      </c>
    </row>
    <row r="6116" spans="4:5" x14ac:dyDescent="0.35">
      <c r="D6116" s="1">
        <v>36749</v>
      </c>
      <c r="E6116">
        <v>1.7950999999999999</v>
      </c>
    </row>
    <row r="6117" spans="4:5" x14ac:dyDescent="0.35">
      <c r="D6117" s="1">
        <v>36748</v>
      </c>
      <c r="E6117">
        <v>1.7954000000000001</v>
      </c>
    </row>
    <row r="6118" spans="4:5" x14ac:dyDescent="0.35">
      <c r="D6118" s="1">
        <v>36747</v>
      </c>
      <c r="E6118">
        <v>1.7942</v>
      </c>
    </row>
    <row r="6119" spans="4:5" x14ac:dyDescent="0.35">
      <c r="D6119" s="1">
        <v>36746</v>
      </c>
      <c r="E6119">
        <v>1.7984</v>
      </c>
    </row>
    <row r="6120" spans="4:5" x14ac:dyDescent="0.35">
      <c r="D6120" s="1">
        <v>36745</v>
      </c>
      <c r="E6120">
        <v>1.7952999999999999</v>
      </c>
    </row>
    <row r="6121" spans="4:5" x14ac:dyDescent="0.35">
      <c r="D6121" s="1">
        <v>36742</v>
      </c>
      <c r="E6121">
        <v>1.7910999999999999</v>
      </c>
    </row>
    <row r="6122" spans="4:5" x14ac:dyDescent="0.35">
      <c r="D6122" s="1">
        <v>36741</v>
      </c>
      <c r="E6122">
        <v>1.8070999999999999</v>
      </c>
    </row>
    <row r="6123" spans="4:5" x14ac:dyDescent="0.35">
      <c r="D6123" s="1">
        <v>36740</v>
      </c>
      <c r="E6123">
        <v>1.7907999999999999</v>
      </c>
    </row>
    <row r="6124" spans="4:5" x14ac:dyDescent="0.35">
      <c r="D6124" s="1">
        <v>36739</v>
      </c>
      <c r="E6124">
        <v>1.7871999999999999</v>
      </c>
    </row>
    <row r="6125" spans="4:5" x14ac:dyDescent="0.35">
      <c r="D6125" s="1">
        <v>36738</v>
      </c>
      <c r="E6125">
        <v>1.774</v>
      </c>
    </row>
    <row r="6126" spans="4:5" x14ac:dyDescent="0.35">
      <c r="D6126" s="1">
        <v>36735</v>
      </c>
      <c r="E6126">
        <v>1.782</v>
      </c>
    </row>
    <row r="6127" spans="4:5" x14ac:dyDescent="0.35">
      <c r="D6127" s="1">
        <v>36734</v>
      </c>
      <c r="E6127">
        <v>1.7839</v>
      </c>
    </row>
    <row r="6128" spans="4:5" x14ac:dyDescent="0.35">
      <c r="D6128" s="1">
        <v>36733</v>
      </c>
      <c r="E6128">
        <v>1.7917000000000001</v>
      </c>
    </row>
    <row r="6129" spans="4:5" x14ac:dyDescent="0.35">
      <c r="D6129" s="1">
        <v>36732</v>
      </c>
      <c r="E6129">
        <v>1.7889999999999999</v>
      </c>
    </row>
    <row r="6130" spans="4:5" x14ac:dyDescent="0.35">
      <c r="D6130" s="1">
        <v>36731</v>
      </c>
      <c r="E6130">
        <v>1.7948</v>
      </c>
    </row>
    <row r="6131" spans="4:5" x14ac:dyDescent="0.35">
      <c r="D6131" s="1">
        <v>36728</v>
      </c>
      <c r="E6131">
        <v>1.7912999999999999</v>
      </c>
    </row>
    <row r="6132" spans="4:5" x14ac:dyDescent="0.35">
      <c r="D6132" s="1">
        <v>36727</v>
      </c>
      <c r="E6132">
        <v>1.8007</v>
      </c>
    </row>
    <row r="6133" spans="4:5" x14ac:dyDescent="0.35">
      <c r="D6133" s="1">
        <v>36726</v>
      </c>
      <c r="E6133">
        <v>1.8036000000000001</v>
      </c>
    </row>
    <row r="6134" spans="4:5" x14ac:dyDescent="0.35">
      <c r="D6134" s="1">
        <v>36725</v>
      </c>
      <c r="E6134">
        <v>1.7962</v>
      </c>
    </row>
    <row r="6135" spans="4:5" x14ac:dyDescent="0.35">
      <c r="D6135" s="1">
        <v>36724</v>
      </c>
      <c r="E6135">
        <v>1.7970999999999999</v>
      </c>
    </row>
    <row r="6136" spans="4:5" x14ac:dyDescent="0.35">
      <c r="D6136" s="1">
        <v>36721</v>
      </c>
      <c r="E6136">
        <v>1.8098000000000001</v>
      </c>
    </row>
    <row r="6137" spans="4:5" x14ac:dyDescent="0.35">
      <c r="D6137" s="1">
        <v>36720</v>
      </c>
      <c r="E6137">
        <v>1.8096000000000001</v>
      </c>
    </row>
    <row r="6138" spans="4:5" x14ac:dyDescent="0.35">
      <c r="D6138" s="1">
        <v>36719</v>
      </c>
      <c r="E6138">
        <v>1.8026</v>
      </c>
    </row>
    <row r="6139" spans="4:5" x14ac:dyDescent="0.35">
      <c r="D6139" s="1">
        <v>36718</v>
      </c>
      <c r="E6139">
        <v>1.7964</v>
      </c>
    </row>
    <row r="6140" spans="4:5" x14ac:dyDescent="0.35">
      <c r="D6140" s="1">
        <v>36717</v>
      </c>
      <c r="E6140">
        <v>1.7998000000000001</v>
      </c>
    </row>
    <row r="6141" spans="4:5" x14ac:dyDescent="0.35">
      <c r="D6141" s="1">
        <v>36714</v>
      </c>
      <c r="E6141">
        <v>1.7964</v>
      </c>
    </row>
    <row r="6142" spans="4:5" x14ac:dyDescent="0.35">
      <c r="D6142" s="1">
        <v>36713</v>
      </c>
      <c r="E6142">
        <v>1.7962</v>
      </c>
    </row>
    <row r="6143" spans="4:5" x14ac:dyDescent="0.35">
      <c r="D6143" s="1">
        <v>36712</v>
      </c>
      <c r="E6143">
        <v>1.8039000000000001</v>
      </c>
    </row>
    <row r="6144" spans="4:5" x14ac:dyDescent="0.35">
      <c r="D6144" s="1">
        <v>36711</v>
      </c>
      <c r="E6144">
        <v>1.8112999999999999</v>
      </c>
    </row>
    <row r="6145" spans="4:5" x14ac:dyDescent="0.35">
      <c r="D6145" s="1">
        <v>36710</v>
      </c>
      <c r="E6145">
        <v>1.8071999999999999</v>
      </c>
    </row>
    <row r="6146" spans="4:5" x14ac:dyDescent="0.35">
      <c r="D6146" s="1">
        <v>36707</v>
      </c>
      <c r="E6146">
        <v>1.7991999999999999</v>
      </c>
    </row>
    <row r="6147" spans="4:5" x14ac:dyDescent="0.35">
      <c r="D6147" s="1">
        <v>36706</v>
      </c>
      <c r="E6147">
        <v>1.8164</v>
      </c>
    </row>
    <row r="6148" spans="4:5" x14ac:dyDescent="0.35">
      <c r="D6148" s="1">
        <v>36705</v>
      </c>
      <c r="E6148">
        <v>1.8187</v>
      </c>
    </row>
    <row r="6149" spans="4:5" x14ac:dyDescent="0.35">
      <c r="D6149" s="1">
        <v>36704</v>
      </c>
      <c r="E6149">
        <v>1.8227</v>
      </c>
    </row>
    <row r="6150" spans="4:5" x14ac:dyDescent="0.35">
      <c r="D6150" s="1">
        <v>36703</v>
      </c>
      <c r="E6150">
        <v>1.8273999999999999</v>
      </c>
    </row>
    <row r="6151" spans="4:5" x14ac:dyDescent="0.35">
      <c r="D6151" s="1">
        <v>36700</v>
      </c>
      <c r="E6151">
        <v>1.8194999999999999</v>
      </c>
    </row>
    <row r="6152" spans="4:5" x14ac:dyDescent="0.35">
      <c r="D6152" s="1">
        <v>36698</v>
      </c>
      <c r="E6152">
        <v>1.8112999999999999</v>
      </c>
    </row>
    <row r="6153" spans="4:5" x14ac:dyDescent="0.35">
      <c r="D6153" s="1">
        <v>36697</v>
      </c>
      <c r="E6153">
        <v>1.7983</v>
      </c>
    </row>
    <row r="6154" spans="4:5" x14ac:dyDescent="0.35">
      <c r="D6154" s="1">
        <v>36696</v>
      </c>
      <c r="E6154">
        <v>1.8022</v>
      </c>
    </row>
    <row r="6155" spans="4:5" x14ac:dyDescent="0.35">
      <c r="D6155" s="1">
        <v>36693</v>
      </c>
      <c r="E6155">
        <v>1.8065</v>
      </c>
    </row>
    <row r="6156" spans="4:5" x14ac:dyDescent="0.35">
      <c r="D6156" s="1">
        <v>36692</v>
      </c>
      <c r="E6156">
        <v>1.8070999999999999</v>
      </c>
    </row>
    <row r="6157" spans="4:5" x14ac:dyDescent="0.35">
      <c r="D6157" s="1">
        <v>36691</v>
      </c>
      <c r="E6157">
        <v>1.8099000000000001</v>
      </c>
    </row>
    <row r="6158" spans="4:5" x14ac:dyDescent="0.35">
      <c r="D6158" s="1">
        <v>36690</v>
      </c>
      <c r="E6158">
        <v>1.8091999999999999</v>
      </c>
    </row>
    <row r="6159" spans="4:5" x14ac:dyDescent="0.35">
      <c r="D6159" s="1">
        <v>36689</v>
      </c>
      <c r="E6159">
        <v>1.8031999999999999</v>
      </c>
    </row>
    <row r="6160" spans="4:5" x14ac:dyDescent="0.35">
      <c r="D6160" s="1">
        <v>36686</v>
      </c>
      <c r="E6160">
        <v>1.7990999999999999</v>
      </c>
    </row>
    <row r="6161" spans="4:5" x14ac:dyDescent="0.35">
      <c r="D6161" s="1">
        <v>36685</v>
      </c>
      <c r="E6161">
        <v>1.794</v>
      </c>
    </row>
    <row r="6162" spans="4:5" x14ac:dyDescent="0.35">
      <c r="D6162" s="1">
        <v>36684</v>
      </c>
      <c r="E6162">
        <v>1.8028</v>
      </c>
    </row>
    <row r="6163" spans="4:5" x14ac:dyDescent="0.35">
      <c r="D6163" s="1">
        <v>36683</v>
      </c>
      <c r="E6163">
        <v>1.7890999999999999</v>
      </c>
    </row>
    <row r="6164" spans="4:5" x14ac:dyDescent="0.35">
      <c r="D6164" s="1">
        <v>36682</v>
      </c>
      <c r="E6164">
        <v>1.7925</v>
      </c>
    </row>
    <row r="6165" spans="4:5" x14ac:dyDescent="0.35">
      <c r="D6165" s="1">
        <v>36679</v>
      </c>
      <c r="E6165">
        <v>1.8096000000000001</v>
      </c>
    </row>
    <row r="6166" spans="4:5" x14ac:dyDescent="0.35">
      <c r="D6166" s="1">
        <v>36678</v>
      </c>
      <c r="E6166">
        <v>1.8193999999999999</v>
      </c>
    </row>
    <row r="6167" spans="4:5" x14ac:dyDescent="0.35">
      <c r="D6167" s="1">
        <v>36677</v>
      </c>
      <c r="E6167">
        <v>1.8258000000000001</v>
      </c>
    </row>
    <row r="6168" spans="4:5" x14ac:dyDescent="0.35">
      <c r="D6168" s="1">
        <v>36676</v>
      </c>
      <c r="E6168">
        <v>1.8297000000000001</v>
      </c>
    </row>
    <row r="6169" spans="4:5" x14ac:dyDescent="0.35">
      <c r="D6169" s="1">
        <v>36675</v>
      </c>
      <c r="E6169">
        <v>1.8380000000000001</v>
      </c>
    </row>
    <row r="6170" spans="4:5" x14ac:dyDescent="0.35">
      <c r="D6170" s="1">
        <v>36672</v>
      </c>
      <c r="E6170">
        <v>1.8447</v>
      </c>
    </row>
    <row r="6171" spans="4:5" x14ac:dyDescent="0.35">
      <c r="D6171" s="1">
        <v>36671</v>
      </c>
      <c r="E6171">
        <v>1.8384</v>
      </c>
    </row>
    <row r="6172" spans="4:5" x14ac:dyDescent="0.35">
      <c r="D6172" s="1">
        <v>36670</v>
      </c>
      <c r="E6172">
        <v>1.8529</v>
      </c>
    </row>
    <row r="6173" spans="4:5" x14ac:dyDescent="0.35">
      <c r="D6173" s="1">
        <v>36669</v>
      </c>
      <c r="E6173">
        <v>1.8529</v>
      </c>
    </row>
    <row r="6174" spans="4:5" x14ac:dyDescent="0.35">
      <c r="D6174" s="1">
        <v>36668</v>
      </c>
      <c r="E6174">
        <v>1.8460000000000001</v>
      </c>
    </row>
    <row r="6175" spans="4:5" x14ac:dyDescent="0.35">
      <c r="D6175" s="1">
        <v>36665</v>
      </c>
      <c r="E6175">
        <v>1.8446</v>
      </c>
    </row>
    <row r="6176" spans="4:5" x14ac:dyDescent="0.35">
      <c r="D6176" s="1">
        <v>36664</v>
      </c>
      <c r="E6176">
        <v>1.8297000000000001</v>
      </c>
    </row>
    <row r="6177" spans="4:5" x14ac:dyDescent="0.35">
      <c r="D6177" s="1">
        <v>36663</v>
      </c>
      <c r="E6177">
        <v>1.8284</v>
      </c>
    </row>
    <row r="6178" spans="4:5" x14ac:dyDescent="0.35">
      <c r="D6178" s="1">
        <v>36662</v>
      </c>
      <c r="E6178">
        <v>1.819</v>
      </c>
    </row>
    <row r="6179" spans="4:5" x14ac:dyDescent="0.35">
      <c r="D6179" s="1">
        <v>36661</v>
      </c>
      <c r="E6179">
        <v>1.8373999999999999</v>
      </c>
    </row>
    <row r="6180" spans="4:5" x14ac:dyDescent="0.35">
      <c r="D6180" s="1">
        <v>36658</v>
      </c>
      <c r="E6180">
        <v>1.8258000000000001</v>
      </c>
    </row>
    <row r="6181" spans="4:5" x14ac:dyDescent="0.35">
      <c r="D6181" s="1">
        <v>36657</v>
      </c>
      <c r="E6181">
        <v>1.8153999999999999</v>
      </c>
    </row>
    <row r="6182" spans="4:5" x14ac:dyDescent="0.35">
      <c r="D6182" s="1">
        <v>36656</v>
      </c>
      <c r="E6182">
        <v>1.8161</v>
      </c>
    </row>
    <row r="6183" spans="4:5" x14ac:dyDescent="0.35">
      <c r="D6183" s="1">
        <v>36655</v>
      </c>
      <c r="E6183">
        <v>1.8070999999999999</v>
      </c>
    </row>
    <row r="6184" spans="4:5" x14ac:dyDescent="0.35">
      <c r="D6184" s="1">
        <v>36654</v>
      </c>
      <c r="E6184">
        <v>1.8049999999999999</v>
      </c>
    </row>
    <row r="6185" spans="4:5" x14ac:dyDescent="0.35">
      <c r="D6185" s="1">
        <v>36651</v>
      </c>
      <c r="E6185">
        <v>1.8109999999999999</v>
      </c>
    </row>
    <row r="6186" spans="4:5" x14ac:dyDescent="0.35">
      <c r="D6186" s="1">
        <v>36650</v>
      </c>
      <c r="E6186">
        <v>1.8136000000000001</v>
      </c>
    </row>
    <row r="6187" spans="4:5" x14ac:dyDescent="0.35">
      <c r="D6187" s="1">
        <v>36649</v>
      </c>
      <c r="E6187">
        <v>1.8153999999999999</v>
      </c>
    </row>
    <row r="6188" spans="4:5" x14ac:dyDescent="0.35">
      <c r="D6188" s="1">
        <v>36648</v>
      </c>
      <c r="E6188">
        <v>1.8</v>
      </c>
    </row>
    <row r="6189" spans="4:5" x14ac:dyDescent="0.35">
      <c r="D6189" s="1">
        <v>36644</v>
      </c>
      <c r="E6189">
        <v>1.8059000000000001</v>
      </c>
    </row>
    <row r="6190" spans="4:5" x14ac:dyDescent="0.35">
      <c r="D6190" s="1">
        <v>36643</v>
      </c>
      <c r="E6190">
        <v>1.8075000000000001</v>
      </c>
    </row>
    <row r="6191" spans="4:5" x14ac:dyDescent="0.35">
      <c r="D6191" s="1">
        <v>36642</v>
      </c>
      <c r="E6191">
        <v>1.7977000000000001</v>
      </c>
    </row>
    <row r="6192" spans="4:5" x14ac:dyDescent="0.35">
      <c r="D6192" s="1">
        <v>36641</v>
      </c>
      <c r="E6192">
        <v>1.788</v>
      </c>
    </row>
    <row r="6193" spans="4:5" x14ac:dyDescent="0.35">
      <c r="D6193" s="1">
        <v>36640</v>
      </c>
      <c r="E6193">
        <v>1.7907999999999999</v>
      </c>
    </row>
    <row r="6194" spans="4:5" x14ac:dyDescent="0.35">
      <c r="D6194" s="1">
        <v>36636</v>
      </c>
      <c r="E6194">
        <v>1.7776000000000001</v>
      </c>
    </row>
    <row r="6195" spans="4:5" x14ac:dyDescent="0.35">
      <c r="D6195" s="1">
        <v>36635</v>
      </c>
      <c r="E6195">
        <v>1.7654000000000001</v>
      </c>
    </row>
    <row r="6196" spans="4:5" x14ac:dyDescent="0.35">
      <c r="D6196" s="1">
        <v>36634</v>
      </c>
      <c r="E6196">
        <v>1.7687999999999999</v>
      </c>
    </row>
    <row r="6197" spans="4:5" x14ac:dyDescent="0.35">
      <c r="D6197" s="1">
        <v>36633</v>
      </c>
      <c r="E6197">
        <v>1.7865</v>
      </c>
    </row>
    <row r="6198" spans="4:5" x14ac:dyDescent="0.35">
      <c r="D6198" s="1">
        <v>36630</v>
      </c>
      <c r="E6198">
        <v>1.7825</v>
      </c>
    </row>
    <row r="6199" spans="4:5" x14ac:dyDescent="0.35">
      <c r="D6199" s="1">
        <v>36629</v>
      </c>
      <c r="E6199">
        <v>1.7625</v>
      </c>
    </row>
    <row r="6200" spans="4:5" x14ac:dyDescent="0.35">
      <c r="D6200" s="1">
        <v>36628</v>
      </c>
      <c r="E6200">
        <v>1.7463</v>
      </c>
    </row>
    <row r="6201" spans="4:5" x14ac:dyDescent="0.35">
      <c r="D6201" s="1">
        <v>36627</v>
      </c>
      <c r="E6201">
        <v>1.744</v>
      </c>
    </row>
    <row r="6202" spans="4:5" x14ac:dyDescent="0.35">
      <c r="D6202" s="1">
        <v>36626</v>
      </c>
      <c r="E6202">
        <v>1.7379</v>
      </c>
    </row>
    <row r="6203" spans="4:5" x14ac:dyDescent="0.35">
      <c r="D6203" s="1">
        <v>36623</v>
      </c>
      <c r="E6203">
        <v>1.7431000000000001</v>
      </c>
    </row>
    <row r="6204" spans="4:5" x14ac:dyDescent="0.35">
      <c r="D6204" s="1">
        <v>36622</v>
      </c>
      <c r="E6204">
        <v>1.7415</v>
      </c>
    </row>
    <row r="6205" spans="4:5" x14ac:dyDescent="0.35">
      <c r="D6205" s="1">
        <v>36621</v>
      </c>
      <c r="E6205">
        <v>1.7524</v>
      </c>
    </row>
    <row r="6206" spans="4:5" x14ac:dyDescent="0.35">
      <c r="D6206" s="1">
        <v>36620</v>
      </c>
      <c r="E6206">
        <v>1.7417</v>
      </c>
    </row>
    <row r="6207" spans="4:5" x14ac:dyDescent="0.35">
      <c r="D6207" s="1">
        <v>36619</v>
      </c>
      <c r="E6207">
        <v>1.7399</v>
      </c>
    </row>
    <row r="6208" spans="4:5" x14ac:dyDescent="0.35">
      <c r="D6208" s="1">
        <v>36616</v>
      </c>
      <c r="E6208">
        <v>1.7464999999999999</v>
      </c>
    </row>
    <row r="6209" spans="4:5" x14ac:dyDescent="0.35">
      <c r="D6209" s="1">
        <v>36615</v>
      </c>
      <c r="E6209">
        <v>1.7514000000000001</v>
      </c>
    </row>
    <row r="6210" spans="4:5" x14ac:dyDescent="0.35">
      <c r="D6210" s="1">
        <v>36614</v>
      </c>
      <c r="E6210">
        <v>1.7371000000000001</v>
      </c>
    </row>
    <row r="6211" spans="4:5" x14ac:dyDescent="0.35">
      <c r="D6211" s="1">
        <v>36613</v>
      </c>
      <c r="E6211">
        <v>1.7447999999999999</v>
      </c>
    </row>
    <row r="6212" spans="4:5" x14ac:dyDescent="0.35">
      <c r="D6212" s="1">
        <v>36612</v>
      </c>
      <c r="E6212">
        <v>1.7354000000000001</v>
      </c>
    </row>
    <row r="6213" spans="4:5" x14ac:dyDescent="0.35">
      <c r="D6213" s="1">
        <v>36609</v>
      </c>
      <c r="E6213">
        <v>1.7225999999999999</v>
      </c>
    </row>
    <row r="6214" spans="4:5" x14ac:dyDescent="0.35">
      <c r="D6214" s="1">
        <v>36608</v>
      </c>
      <c r="E6214">
        <v>1.7234</v>
      </c>
    </row>
    <row r="6215" spans="4:5" x14ac:dyDescent="0.35">
      <c r="D6215" s="1">
        <v>36607</v>
      </c>
      <c r="E6215">
        <v>1.7297</v>
      </c>
    </row>
    <row r="6216" spans="4:5" x14ac:dyDescent="0.35">
      <c r="D6216" s="1">
        <v>36606</v>
      </c>
      <c r="E6216">
        <v>1.7373000000000001</v>
      </c>
    </row>
    <row r="6217" spans="4:5" x14ac:dyDescent="0.35">
      <c r="D6217" s="1">
        <v>36605</v>
      </c>
      <c r="E6217">
        <v>1.738</v>
      </c>
    </row>
    <row r="6218" spans="4:5" x14ac:dyDescent="0.35">
      <c r="D6218" s="1">
        <v>36602</v>
      </c>
      <c r="E6218">
        <v>1.7399</v>
      </c>
    </row>
    <row r="6219" spans="4:5" x14ac:dyDescent="0.35">
      <c r="D6219" s="1">
        <v>36601</v>
      </c>
      <c r="E6219">
        <v>1.7349000000000001</v>
      </c>
    </row>
    <row r="6220" spans="4:5" x14ac:dyDescent="0.35">
      <c r="D6220" s="1">
        <v>36600</v>
      </c>
      <c r="E6220">
        <v>1.7423</v>
      </c>
    </row>
    <row r="6221" spans="4:5" x14ac:dyDescent="0.35">
      <c r="D6221" s="1">
        <v>36599</v>
      </c>
      <c r="E6221">
        <v>1.7363999999999999</v>
      </c>
    </row>
    <row r="6222" spans="4:5" x14ac:dyDescent="0.35">
      <c r="D6222" s="1">
        <v>36598</v>
      </c>
      <c r="E6222">
        <v>1.7494000000000001</v>
      </c>
    </row>
    <row r="6223" spans="4:5" x14ac:dyDescent="0.35">
      <c r="D6223" s="1">
        <v>36595</v>
      </c>
      <c r="E6223">
        <v>1.7378</v>
      </c>
    </row>
    <row r="6224" spans="4:5" x14ac:dyDescent="0.35">
      <c r="D6224" s="1">
        <v>36594</v>
      </c>
      <c r="E6224">
        <v>1.7335</v>
      </c>
    </row>
    <row r="6225" spans="4:5" x14ac:dyDescent="0.35">
      <c r="D6225" s="1">
        <v>36593</v>
      </c>
      <c r="E6225">
        <v>1.7490000000000001</v>
      </c>
    </row>
    <row r="6226" spans="4:5" x14ac:dyDescent="0.35">
      <c r="D6226" s="1">
        <v>36588</v>
      </c>
      <c r="E6226">
        <v>1.7503</v>
      </c>
    </row>
    <row r="6227" spans="4:5" x14ac:dyDescent="0.35">
      <c r="D6227" s="1">
        <v>36587</v>
      </c>
      <c r="E6227">
        <v>1.7592000000000001</v>
      </c>
    </row>
    <row r="6228" spans="4:5" x14ac:dyDescent="0.35">
      <c r="D6228" s="1">
        <v>36586</v>
      </c>
      <c r="E6228">
        <v>1.7669999999999999</v>
      </c>
    </row>
    <row r="6229" spans="4:5" x14ac:dyDescent="0.35">
      <c r="D6229" s="1">
        <v>36585</v>
      </c>
      <c r="E6229">
        <v>1.7677</v>
      </c>
    </row>
    <row r="6230" spans="4:5" x14ac:dyDescent="0.35">
      <c r="D6230" s="1">
        <v>36584</v>
      </c>
      <c r="E6230">
        <v>1.778</v>
      </c>
    </row>
    <row r="6231" spans="4:5" x14ac:dyDescent="0.35">
      <c r="D6231" s="1">
        <v>36581</v>
      </c>
      <c r="E6231">
        <v>1.7733000000000001</v>
      </c>
    </row>
    <row r="6232" spans="4:5" x14ac:dyDescent="0.35">
      <c r="D6232" s="1">
        <v>36580</v>
      </c>
      <c r="E6232">
        <v>1.7770999999999999</v>
      </c>
    </row>
    <row r="6233" spans="4:5" x14ac:dyDescent="0.35">
      <c r="D6233" s="1">
        <v>36579</v>
      </c>
      <c r="E6233">
        <v>1.7878000000000001</v>
      </c>
    </row>
    <row r="6234" spans="4:5" x14ac:dyDescent="0.35">
      <c r="D6234" s="1">
        <v>36578</v>
      </c>
      <c r="E6234">
        <v>1.7817000000000001</v>
      </c>
    </row>
    <row r="6235" spans="4:5" x14ac:dyDescent="0.35">
      <c r="D6235" s="1">
        <v>36577</v>
      </c>
      <c r="E6235">
        <v>1.7776000000000001</v>
      </c>
    </row>
    <row r="6236" spans="4:5" x14ac:dyDescent="0.35">
      <c r="D6236" s="1">
        <v>36574</v>
      </c>
      <c r="E6236">
        <v>1.7697000000000001</v>
      </c>
    </row>
    <row r="6237" spans="4:5" x14ac:dyDescent="0.35">
      <c r="D6237" s="1">
        <v>36573</v>
      </c>
      <c r="E6237">
        <v>1.7732000000000001</v>
      </c>
    </row>
    <row r="6238" spans="4:5" x14ac:dyDescent="0.35">
      <c r="D6238" s="1">
        <v>36572</v>
      </c>
      <c r="E6238">
        <v>1.7724</v>
      </c>
    </row>
    <row r="6239" spans="4:5" x14ac:dyDescent="0.35">
      <c r="D6239" s="1">
        <v>36571</v>
      </c>
      <c r="E6239">
        <v>1.7756000000000001</v>
      </c>
    </row>
    <row r="6240" spans="4:5" x14ac:dyDescent="0.35">
      <c r="D6240" s="1">
        <v>36570</v>
      </c>
      <c r="E6240">
        <v>1.7690999999999999</v>
      </c>
    </row>
    <row r="6241" spans="4:5" x14ac:dyDescent="0.35">
      <c r="D6241" s="1">
        <v>36567</v>
      </c>
      <c r="E6241">
        <v>1.7639</v>
      </c>
    </row>
    <row r="6242" spans="4:5" x14ac:dyDescent="0.35">
      <c r="D6242" s="1">
        <v>36566</v>
      </c>
      <c r="E6242">
        <v>1.7686999999999999</v>
      </c>
    </row>
    <row r="6243" spans="4:5" x14ac:dyDescent="0.35">
      <c r="D6243" s="1">
        <v>36565</v>
      </c>
      <c r="E6243">
        <v>1.7624</v>
      </c>
    </row>
    <row r="6244" spans="4:5" x14ac:dyDescent="0.35">
      <c r="D6244" s="1">
        <v>36564</v>
      </c>
      <c r="E6244">
        <v>1.7645999999999999</v>
      </c>
    </row>
    <row r="6245" spans="4:5" x14ac:dyDescent="0.35">
      <c r="D6245" s="1">
        <v>36563</v>
      </c>
      <c r="E6245">
        <v>1.7650999999999999</v>
      </c>
    </row>
    <row r="6246" spans="4:5" x14ac:dyDescent="0.35">
      <c r="D6246" s="1">
        <v>36560</v>
      </c>
      <c r="E6246">
        <v>1.7777000000000001</v>
      </c>
    </row>
    <row r="6247" spans="4:5" x14ac:dyDescent="0.35">
      <c r="D6247" s="1">
        <v>36559</v>
      </c>
      <c r="E6247">
        <v>1.7770999999999999</v>
      </c>
    </row>
    <row r="6248" spans="4:5" x14ac:dyDescent="0.35">
      <c r="D6248" s="1">
        <v>36558</v>
      </c>
      <c r="E6248">
        <v>1.7891999999999999</v>
      </c>
    </row>
    <row r="6249" spans="4:5" x14ac:dyDescent="0.35">
      <c r="D6249" s="1">
        <v>36557</v>
      </c>
      <c r="E6249">
        <v>1.7924</v>
      </c>
    </row>
    <row r="6250" spans="4:5" x14ac:dyDescent="0.35">
      <c r="D6250" s="1">
        <v>36556</v>
      </c>
      <c r="E6250">
        <v>1.8016000000000001</v>
      </c>
    </row>
    <row r="6251" spans="4:5" x14ac:dyDescent="0.35">
      <c r="D6251" s="1">
        <v>36553</v>
      </c>
      <c r="E6251">
        <v>1.7867</v>
      </c>
    </row>
    <row r="6252" spans="4:5" x14ac:dyDescent="0.35">
      <c r="D6252" s="1">
        <v>36552</v>
      </c>
      <c r="E6252">
        <v>1.7745</v>
      </c>
    </row>
    <row r="6253" spans="4:5" x14ac:dyDescent="0.35">
      <c r="D6253" s="1">
        <v>36551</v>
      </c>
      <c r="E6253">
        <v>1.7761</v>
      </c>
    </row>
    <row r="6254" spans="4:5" x14ac:dyDescent="0.35">
      <c r="D6254" s="1">
        <v>36550</v>
      </c>
      <c r="E6254">
        <v>1.7733000000000001</v>
      </c>
    </row>
    <row r="6255" spans="4:5" x14ac:dyDescent="0.35">
      <c r="D6255" s="1">
        <v>36549</v>
      </c>
      <c r="E6255">
        <v>1.7644</v>
      </c>
    </row>
    <row r="6256" spans="4:5" x14ac:dyDescent="0.35">
      <c r="D6256" s="1">
        <v>36546</v>
      </c>
      <c r="E6256">
        <v>1.7776000000000001</v>
      </c>
    </row>
    <row r="6257" spans="4:5" x14ac:dyDescent="0.35">
      <c r="D6257" s="1">
        <v>36545</v>
      </c>
      <c r="E6257">
        <v>1.7793000000000001</v>
      </c>
    </row>
    <row r="6258" spans="4:5" x14ac:dyDescent="0.35">
      <c r="D6258" s="1">
        <v>36544</v>
      </c>
      <c r="E6258">
        <v>1.7976000000000001</v>
      </c>
    </row>
    <row r="6259" spans="4:5" x14ac:dyDescent="0.35">
      <c r="D6259" s="1">
        <v>36543</v>
      </c>
      <c r="E6259">
        <v>1.7916000000000001</v>
      </c>
    </row>
    <row r="6260" spans="4:5" x14ac:dyDescent="0.35">
      <c r="D6260" s="1">
        <v>36542</v>
      </c>
      <c r="E6260">
        <v>1.7948999999999999</v>
      </c>
    </row>
    <row r="6261" spans="4:5" x14ac:dyDescent="0.35">
      <c r="D6261" s="1">
        <v>36539</v>
      </c>
      <c r="E6261">
        <v>1.7988999999999999</v>
      </c>
    </row>
    <row r="6262" spans="4:5" x14ac:dyDescent="0.35">
      <c r="D6262" s="1">
        <v>36538</v>
      </c>
      <c r="E6262">
        <v>1.8185</v>
      </c>
    </row>
    <row r="6263" spans="4:5" x14ac:dyDescent="0.35">
      <c r="D6263" s="1">
        <v>36537</v>
      </c>
      <c r="E6263">
        <v>1.8306</v>
      </c>
    </row>
    <row r="6264" spans="4:5" x14ac:dyDescent="0.35">
      <c r="D6264" s="1">
        <v>36536</v>
      </c>
      <c r="E6264">
        <v>1.8210999999999999</v>
      </c>
    </row>
    <row r="6265" spans="4:5" x14ac:dyDescent="0.35">
      <c r="D6265" s="1">
        <v>36535</v>
      </c>
      <c r="E6265">
        <v>1.8152999999999999</v>
      </c>
    </row>
    <row r="6266" spans="4:5" x14ac:dyDescent="0.35">
      <c r="D6266" s="1">
        <v>36532</v>
      </c>
      <c r="E6266">
        <v>1.8272999999999999</v>
      </c>
    </row>
    <row r="6267" spans="4:5" x14ac:dyDescent="0.35">
      <c r="D6267" s="1">
        <v>36531</v>
      </c>
      <c r="E6267">
        <v>1.8452999999999999</v>
      </c>
    </row>
    <row r="6268" spans="4:5" x14ac:dyDescent="0.35">
      <c r="D6268" s="1">
        <v>36530</v>
      </c>
      <c r="E6268">
        <v>1.8535999999999999</v>
      </c>
    </row>
    <row r="6269" spans="4:5" x14ac:dyDescent="0.35">
      <c r="D6269" s="1">
        <v>36529</v>
      </c>
      <c r="E6269">
        <v>1.8329</v>
      </c>
    </row>
    <row r="6270" spans="4:5" x14ac:dyDescent="0.35">
      <c r="D6270" s="1">
        <v>36528</v>
      </c>
      <c r="E6270">
        <v>1.8003</v>
      </c>
    </row>
    <row r="6271" spans="4:5" x14ac:dyDescent="0.35">
      <c r="D6271" s="1">
        <v>36525</v>
      </c>
      <c r="E6271">
        <v>1.7882</v>
      </c>
    </row>
    <row r="6272" spans="4:5" x14ac:dyDescent="0.35">
      <c r="D6272" s="1">
        <v>36524</v>
      </c>
      <c r="E6272">
        <v>1.7882</v>
      </c>
    </row>
    <row r="6273" spans="4:5" x14ac:dyDescent="0.35">
      <c r="D6273" s="1">
        <v>36523</v>
      </c>
      <c r="E6273">
        <v>1.8162</v>
      </c>
    </row>
    <row r="6274" spans="4:5" x14ac:dyDescent="0.35">
      <c r="D6274" s="1">
        <v>36522</v>
      </c>
      <c r="E6274">
        <v>1.8281000000000001</v>
      </c>
    </row>
    <row r="6275" spans="4:5" x14ac:dyDescent="0.35">
      <c r="D6275" s="1">
        <v>36521</v>
      </c>
      <c r="E6275">
        <v>1.8259000000000001</v>
      </c>
    </row>
    <row r="6276" spans="4:5" x14ac:dyDescent="0.35">
      <c r="D6276" s="1">
        <v>36518</v>
      </c>
      <c r="E6276">
        <v>1.8282</v>
      </c>
    </row>
    <row r="6277" spans="4:5" x14ac:dyDescent="0.35">
      <c r="D6277" s="1">
        <v>36517</v>
      </c>
      <c r="E6277">
        <v>1.8278000000000001</v>
      </c>
    </row>
    <row r="6278" spans="4:5" x14ac:dyDescent="0.35">
      <c r="D6278" s="1">
        <v>36516</v>
      </c>
      <c r="E6278">
        <v>1.8196000000000001</v>
      </c>
    </row>
    <row r="6279" spans="4:5" x14ac:dyDescent="0.35">
      <c r="D6279" s="1">
        <v>36515</v>
      </c>
      <c r="E6279">
        <v>1.8226</v>
      </c>
    </row>
    <row r="6280" spans="4:5" x14ac:dyDescent="0.35">
      <c r="D6280" s="1">
        <v>36514</v>
      </c>
      <c r="E6280">
        <v>1.804</v>
      </c>
    </row>
    <row r="6281" spans="4:5" x14ac:dyDescent="0.35">
      <c r="D6281" s="1">
        <v>36511</v>
      </c>
      <c r="E6281">
        <v>1.8169999999999999</v>
      </c>
    </row>
    <row r="6282" spans="4:5" x14ac:dyDescent="0.35">
      <c r="D6282" s="1">
        <v>36510</v>
      </c>
      <c r="E6282">
        <v>1.8399000000000001</v>
      </c>
    </row>
    <row r="6283" spans="4:5" x14ac:dyDescent="0.35">
      <c r="D6283" s="1">
        <v>36509</v>
      </c>
      <c r="E6283">
        <v>1.8492999999999999</v>
      </c>
    </row>
    <row r="6284" spans="4:5" x14ac:dyDescent="0.35">
      <c r="D6284" s="1">
        <v>36508</v>
      </c>
      <c r="E6284">
        <v>1.8454999999999999</v>
      </c>
    </row>
    <row r="6285" spans="4:5" x14ac:dyDescent="0.35">
      <c r="D6285" s="1">
        <v>36507</v>
      </c>
      <c r="E6285">
        <v>1.8555999999999999</v>
      </c>
    </row>
    <row r="6286" spans="4:5" x14ac:dyDescent="0.35">
      <c r="D6286" s="1">
        <v>36504</v>
      </c>
      <c r="E6286">
        <v>1.8658999999999999</v>
      </c>
    </row>
    <row r="6287" spans="4:5" x14ac:dyDescent="0.35">
      <c r="D6287" s="1">
        <v>36503</v>
      </c>
      <c r="E6287">
        <v>1.8660000000000001</v>
      </c>
    </row>
    <row r="6288" spans="4:5" x14ac:dyDescent="0.35">
      <c r="D6288" s="1">
        <v>36502</v>
      </c>
      <c r="E6288">
        <v>1.8619000000000001</v>
      </c>
    </row>
    <row r="6289" spans="4:5" x14ac:dyDescent="0.35">
      <c r="D6289" s="1">
        <v>36501</v>
      </c>
      <c r="E6289">
        <v>1.8586</v>
      </c>
    </row>
    <row r="6290" spans="4:5" x14ac:dyDescent="0.35">
      <c r="D6290" s="1">
        <v>36500</v>
      </c>
      <c r="E6290">
        <v>1.8661000000000001</v>
      </c>
    </row>
    <row r="6291" spans="4:5" x14ac:dyDescent="0.35">
      <c r="D6291" s="1">
        <v>36497</v>
      </c>
      <c r="E6291">
        <v>1.8766</v>
      </c>
    </row>
    <row r="6292" spans="4:5" x14ac:dyDescent="0.35">
      <c r="D6292" s="1">
        <v>36496</v>
      </c>
      <c r="E6292">
        <v>1.8942000000000001</v>
      </c>
    </row>
    <row r="6293" spans="4:5" x14ac:dyDescent="0.35">
      <c r="D6293" s="1">
        <v>36495</v>
      </c>
      <c r="E6293">
        <v>1.9213</v>
      </c>
    </row>
    <row r="6294" spans="4:5" x14ac:dyDescent="0.35">
      <c r="D6294" s="1">
        <v>36494</v>
      </c>
      <c r="E6294">
        <v>1.9218999999999999</v>
      </c>
    </row>
    <row r="6295" spans="4:5" x14ac:dyDescent="0.35">
      <c r="D6295" s="1">
        <v>36493</v>
      </c>
      <c r="E6295">
        <v>1.9205000000000001</v>
      </c>
    </row>
    <row r="6296" spans="4:5" x14ac:dyDescent="0.35">
      <c r="D6296" s="1">
        <v>36490</v>
      </c>
      <c r="E6296">
        <v>1.9255</v>
      </c>
    </row>
    <row r="6297" spans="4:5" x14ac:dyDescent="0.35">
      <c r="D6297" s="1">
        <v>36489</v>
      </c>
      <c r="E6297">
        <v>1.9292</v>
      </c>
    </row>
    <row r="6298" spans="4:5" x14ac:dyDescent="0.35">
      <c r="D6298" s="1">
        <v>36488</v>
      </c>
      <c r="E6298">
        <v>1.9287000000000001</v>
      </c>
    </row>
    <row r="6299" spans="4:5" x14ac:dyDescent="0.35">
      <c r="D6299" s="1">
        <v>36487</v>
      </c>
      <c r="E6299">
        <v>1.9319999999999999</v>
      </c>
    </row>
    <row r="6300" spans="4:5" x14ac:dyDescent="0.35">
      <c r="D6300" s="1">
        <v>36486</v>
      </c>
      <c r="E6300">
        <v>1.9314</v>
      </c>
    </row>
    <row r="6301" spans="4:5" x14ac:dyDescent="0.35">
      <c r="D6301" s="1">
        <v>36483</v>
      </c>
      <c r="E6301">
        <v>1.9305000000000001</v>
      </c>
    </row>
    <row r="6302" spans="4:5" x14ac:dyDescent="0.35">
      <c r="D6302" s="1">
        <v>36482</v>
      </c>
      <c r="E6302">
        <v>1.9281999999999999</v>
      </c>
    </row>
    <row r="6303" spans="4:5" x14ac:dyDescent="0.35">
      <c r="D6303" s="1">
        <v>36481</v>
      </c>
      <c r="E6303">
        <v>1.9319</v>
      </c>
    </row>
    <row r="6304" spans="4:5" x14ac:dyDescent="0.35">
      <c r="D6304" s="1">
        <v>36480</v>
      </c>
      <c r="E6304">
        <v>1.9322999999999999</v>
      </c>
    </row>
    <row r="6305" spans="4:5" x14ac:dyDescent="0.35">
      <c r="D6305" s="1">
        <v>36476</v>
      </c>
      <c r="E6305">
        <v>1.9322999999999999</v>
      </c>
    </row>
    <row r="6306" spans="4:5" x14ac:dyDescent="0.35">
      <c r="D6306" s="1">
        <v>36475</v>
      </c>
      <c r="E6306">
        <v>1.9279999999999999</v>
      </c>
    </row>
    <row r="6307" spans="4:5" x14ac:dyDescent="0.35">
      <c r="D6307" s="1">
        <v>36474</v>
      </c>
      <c r="E6307">
        <v>1.9339999999999999</v>
      </c>
    </row>
    <row r="6308" spans="4:5" x14ac:dyDescent="0.35">
      <c r="D6308" s="1">
        <v>36473</v>
      </c>
      <c r="E6308">
        <v>1.9233</v>
      </c>
    </row>
    <row r="6309" spans="4:5" x14ac:dyDescent="0.35">
      <c r="D6309" s="1">
        <v>36472</v>
      </c>
      <c r="E6309">
        <v>1.9258</v>
      </c>
    </row>
    <row r="6310" spans="4:5" x14ac:dyDescent="0.35">
      <c r="D6310" s="1">
        <v>36469</v>
      </c>
      <c r="E6310">
        <v>1.9147000000000001</v>
      </c>
    </row>
    <row r="6311" spans="4:5" x14ac:dyDescent="0.35">
      <c r="D6311" s="1">
        <v>36468</v>
      </c>
      <c r="E6311">
        <v>1.9287000000000001</v>
      </c>
    </row>
    <row r="6312" spans="4:5" x14ac:dyDescent="0.35">
      <c r="D6312" s="1">
        <v>36467</v>
      </c>
      <c r="E6312">
        <v>1.9406000000000001</v>
      </c>
    </row>
    <row r="6313" spans="4:5" x14ac:dyDescent="0.35">
      <c r="D6313" s="1">
        <v>36465</v>
      </c>
      <c r="E6313">
        <v>1.9422999999999999</v>
      </c>
    </row>
    <row r="6314" spans="4:5" x14ac:dyDescent="0.35">
      <c r="D6314" s="1">
        <v>36462</v>
      </c>
      <c r="E6314">
        <v>1.9521999999999999</v>
      </c>
    </row>
    <row r="6315" spans="4:5" x14ac:dyDescent="0.35">
      <c r="D6315" s="1">
        <v>36461</v>
      </c>
      <c r="E6315">
        <v>1.9781</v>
      </c>
    </row>
    <row r="6316" spans="4:5" x14ac:dyDescent="0.35">
      <c r="D6316" s="1">
        <v>36460</v>
      </c>
      <c r="E6316">
        <v>1.9945999999999999</v>
      </c>
    </row>
    <row r="6317" spans="4:5" x14ac:dyDescent="0.35">
      <c r="D6317" s="1">
        <v>36459</v>
      </c>
      <c r="E6317">
        <v>1.9861</v>
      </c>
    </row>
    <row r="6318" spans="4:5" x14ac:dyDescent="0.35">
      <c r="D6318" s="1">
        <v>36458</v>
      </c>
      <c r="E6318">
        <v>1.9769000000000001</v>
      </c>
    </row>
    <row r="6319" spans="4:5" x14ac:dyDescent="0.35">
      <c r="D6319" s="1">
        <v>36455</v>
      </c>
      <c r="E6319">
        <v>1.9825999999999999</v>
      </c>
    </row>
    <row r="6320" spans="4:5" x14ac:dyDescent="0.35">
      <c r="D6320" s="1">
        <v>36454</v>
      </c>
      <c r="E6320">
        <v>1.9927999999999999</v>
      </c>
    </row>
    <row r="6321" spans="4:5" x14ac:dyDescent="0.35">
      <c r="D6321" s="1">
        <v>36453</v>
      </c>
      <c r="E6321">
        <v>2.0017</v>
      </c>
    </row>
    <row r="6322" spans="4:5" x14ac:dyDescent="0.35">
      <c r="D6322" s="1">
        <v>36452</v>
      </c>
      <c r="E6322">
        <v>1.9924999999999999</v>
      </c>
    </row>
    <row r="6323" spans="4:5" x14ac:dyDescent="0.35">
      <c r="D6323" s="1">
        <v>36451</v>
      </c>
      <c r="E6323">
        <v>1.9821</v>
      </c>
    </row>
    <row r="6324" spans="4:5" x14ac:dyDescent="0.35">
      <c r="D6324" s="1">
        <v>36448</v>
      </c>
      <c r="E6324">
        <v>1.9785999999999999</v>
      </c>
    </row>
    <row r="6325" spans="4:5" x14ac:dyDescent="0.35">
      <c r="D6325" s="1">
        <v>36447</v>
      </c>
      <c r="E6325">
        <v>1.964</v>
      </c>
    </row>
    <row r="6326" spans="4:5" x14ac:dyDescent="0.35">
      <c r="D6326" s="1">
        <v>36446</v>
      </c>
      <c r="E6326">
        <v>1.9579</v>
      </c>
    </row>
    <row r="6327" spans="4:5" x14ac:dyDescent="0.35">
      <c r="D6327" s="1">
        <v>36444</v>
      </c>
      <c r="E6327">
        <v>1.9541999999999999</v>
      </c>
    </row>
    <row r="6328" spans="4:5" x14ac:dyDescent="0.35">
      <c r="D6328" s="1">
        <v>36441</v>
      </c>
      <c r="E6328">
        <v>1.9421999999999999</v>
      </c>
    </row>
    <row r="6329" spans="4:5" x14ac:dyDescent="0.35">
      <c r="D6329" s="1">
        <v>36440</v>
      </c>
      <c r="E6329">
        <v>1.9331</v>
      </c>
    </row>
    <row r="6330" spans="4:5" x14ac:dyDescent="0.35">
      <c r="D6330" s="1">
        <v>36439</v>
      </c>
      <c r="E6330">
        <v>1.9592000000000001</v>
      </c>
    </row>
    <row r="6331" spans="4:5" x14ac:dyDescent="0.35">
      <c r="D6331" s="1">
        <v>36438</v>
      </c>
      <c r="E6331">
        <v>1.9517</v>
      </c>
    </row>
    <row r="6332" spans="4:5" x14ac:dyDescent="0.35">
      <c r="D6332" s="1">
        <v>36437</v>
      </c>
      <c r="E6332">
        <v>1.9379999999999999</v>
      </c>
    </row>
    <row r="6333" spans="4:5" x14ac:dyDescent="0.35">
      <c r="D6333" s="1">
        <v>36434</v>
      </c>
      <c r="E6333">
        <v>1.9557</v>
      </c>
    </row>
    <row r="6334" spans="4:5" x14ac:dyDescent="0.35">
      <c r="D6334" s="1">
        <v>36433</v>
      </c>
      <c r="E6334">
        <v>1.9215</v>
      </c>
    </row>
    <row r="6335" spans="4:5" x14ac:dyDescent="0.35">
      <c r="D6335" s="1">
        <v>36432</v>
      </c>
      <c r="E6335">
        <v>1.9216</v>
      </c>
    </row>
    <row r="6336" spans="4:5" x14ac:dyDescent="0.35">
      <c r="D6336" s="1">
        <v>36431</v>
      </c>
      <c r="E6336">
        <v>1.9384999999999999</v>
      </c>
    </row>
    <row r="6337" spans="4:5" x14ac:dyDescent="0.35">
      <c r="D6337" s="1">
        <v>36430</v>
      </c>
      <c r="E6337">
        <v>1.9166000000000001</v>
      </c>
    </row>
    <row r="6338" spans="4:5" x14ac:dyDescent="0.35">
      <c r="D6338" s="1">
        <v>36427</v>
      </c>
      <c r="E6338">
        <v>1.9136</v>
      </c>
    </row>
    <row r="6339" spans="4:5" x14ac:dyDescent="0.35">
      <c r="D6339" s="1">
        <v>36426</v>
      </c>
      <c r="E6339">
        <v>1.8906000000000001</v>
      </c>
    </row>
    <row r="6340" spans="4:5" x14ac:dyDescent="0.35">
      <c r="D6340" s="1">
        <v>36425</v>
      </c>
      <c r="E6340">
        <v>1.8897999999999999</v>
      </c>
    </row>
    <row r="6341" spans="4:5" x14ac:dyDescent="0.35">
      <c r="D6341" s="1">
        <v>36424</v>
      </c>
      <c r="E6341">
        <v>1.8783000000000001</v>
      </c>
    </row>
    <row r="6342" spans="4:5" x14ac:dyDescent="0.35">
      <c r="D6342" s="1">
        <v>36423</v>
      </c>
      <c r="E6342">
        <v>1.8736999999999999</v>
      </c>
    </row>
    <row r="6343" spans="4:5" x14ac:dyDescent="0.35">
      <c r="D6343" s="1">
        <v>36420</v>
      </c>
      <c r="E6343">
        <v>1.8853</v>
      </c>
    </row>
    <row r="6344" spans="4:5" x14ac:dyDescent="0.35">
      <c r="D6344" s="1">
        <v>36419</v>
      </c>
      <c r="E6344">
        <v>1.8786</v>
      </c>
    </row>
    <row r="6345" spans="4:5" x14ac:dyDescent="0.35">
      <c r="D6345" s="1">
        <v>36418</v>
      </c>
      <c r="E6345">
        <v>1.8771</v>
      </c>
    </row>
    <row r="6346" spans="4:5" x14ac:dyDescent="0.35">
      <c r="D6346" s="1">
        <v>36417</v>
      </c>
      <c r="E6346">
        <v>1.8915</v>
      </c>
    </row>
    <row r="6347" spans="4:5" x14ac:dyDescent="0.35">
      <c r="D6347" s="1">
        <v>36416</v>
      </c>
      <c r="E6347">
        <v>1.8814</v>
      </c>
    </row>
    <row r="6348" spans="4:5" x14ac:dyDescent="0.35">
      <c r="D6348" s="1">
        <v>36413</v>
      </c>
      <c r="E6348">
        <v>1.8613</v>
      </c>
    </row>
    <row r="6349" spans="4:5" x14ac:dyDescent="0.35">
      <c r="D6349" s="1">
        <v>36412</v>
      </c>
      <c r="E6349">
        <v>1.8727</v>
      </c>
    </row>
    <row r="6350" spans="4:5" x14ac:dyDescent="0.35">
      <c r="D6350" s="1">
        <v>36411</v>
      </c>
      <c r="E6350">
        <v>1.8975</v>
      </c>
    </row>
    <row r="6351" spans="4:5" x14ac:dyDescent="0.35">
      <c r="D6351" s="1">
        <v>36409</v>
      </c>
      <c r="E6351">
        <v>1.9051</v>
      </c>
    </row>
    <row r="6352" spans="4:5" x14ac:dyDescent="0.35">
      <c r="D6352" s="1">
        <v>36406</v>
      </c>
      <c r="E6352">
        <v>1.9032</v>
      </c>
    </row>
    <row r="6353" spans="4:5" x14ac:dyDescent="0.35">
      <c r="D6353" s="1">
        <v>36405</v>
      </c>
      <c r="E6353">
        <v>1.9236</v>
      </c>
    </row>
    <row r="6354" spans="4:5" x14ac:dyDescent="0.35">
      <c r="D6354" s="1">
        <v>36404</v>
      </c>
      <c r="E6354">
        <v>1.9209000000000001</v>
      </c>
    </row>
    <row r="6355" spans="4:5" x14ac:dyDescent="0.35">
      <c r="D6355" s="1">
        <v>36403</v>
      </c>
      <c r="E6355">
        <v>1.9151</v>
      </c>
    </row>
    <row r="6356" spans="4:5" x14ac:dyDescent="0.35">
      <c r="D6356" s="1">
        <v>36402</v>
      </c>
      <c r="E6356">
        <v>1.9428000000000001</v>
      </c>
    </row>
    <row r="6357" spans="4:5" x14ac:dyDescent="0.35">
      <c r="D6357" s="1">
        <v>36399</v>
      </c>
      <c r="E6357">
        <v>1.9235</v>
      </c>
    </row>
    <row r="6358" spans="4:5" x14ac:dyDescent="0.35">
      <c r="D6358" s="1">
        <v>36398</v>
      </c>
      <c r="E6358">
        <v>1.9078999999999999</v>
      </c>
    </row>
    <row r="6359" spans="4:5" x14ac:dyDescent="0.35">
      <c r="D6359" s="1">
        <v>36397</v>
      </c>
      <c r="E6359">
        <v>1.9302999999999999</v>
      </c>
    </row>
    <row r="6360" spans="4:5" x14ac:dyDescent="0.35">
      <c r="D6360" s="1">
        <v>36396</v>
      </c>
      <c r="E6360">
        <v>1.9017999999999999</v>
      </c>
    </row>
    <row r="6361" spans="4:5" x14ac:dyDescent="0.35">
      <c r="D6361" s="1">
        <v>36395</v>
      </c>
      <c r="E6361">
        <v>1.8697999999999999</v>
      </c>
    </row>
    <row r="6362" spans="4:5" x14ac:dyDescent="0.35">
      <c r="D6362" s="1">
        <v>36392</v>
      </c>
      <c r="E6362">
        <v>1.9489000000000001</v>
      </c>
    </row>
    <row r="6363" spans="4:5" x14ac:dyDescent="0.35">
      <c r="D6363" s="1">
        <v>36391</v>
      </c>
      <c r="E6363">
        <v>1.9162999999999999</v>
      </c>
    </row>
    <row r="6364" spans="4:5" x14ac:dyDescent="0.35">
      <c r="D6364" s="1">
        <v>36390</v>
      </c>
      <c r="E6364">
        <v>1.8918999999999999</v>
      </c>
    </row>
    <row r="6365" spans="4:5" x14ac:dyDescent="0.35">
      <c r="D6365" s="1">
        <v>36389</v>
      </c>
      <c r="E6365">
        <v>1.8812</v>
      </c>
    </row>
    <row r="6366" spans="4:5" x14ac:dyDescent="0.35">
      <c r="D6366" s="1">
        <v>36388</v>
      </c>
      <c r="E6366">
        <v>1.8759999999999999</v>
      </c>
    </row>
    <row r="6367" spans="4:5" x14ac:dyDescent="0.35">
      <c r="D6367" s="1">
        <v>36385</v>
      </c>
      <c r="E6367">
        <v>1.8703000000000001</v>
      </c>
    </row>
    <row r="6368" spans="4:5" x14ac:dyDescent="0.35">
      <c r="D6368" s="1">
        <v>36384</v>
      </c>
      <c r="E6368">
        <v>1.8503000000000001</v>
      </c>
    </row>
    <row r="6369" spans="4:5" x14ac:dyDescent="0.35">
      <c r="D6369" s="1">
        <v>36383</v>
      </c>
      <c r="E6369">
        <v>1.8622000000000001</v>
      </c>
    </row>
    <row r="6370" spans="4:5" x14ac:dyDescent="0.35">
      <c r="D6370" s="1">
        <v>36382</v>
      </c>
      <c r="E6370">
        <v>1.8721000000000001</v>
      </c>
    </row>
    <row r="6371" spans="4:5" x14ac:dyDescent="0.35">
      <c r="D6371" s="1">
        <v>36381</v>
      </c>
      <c r="E6371">
        <v>1.8446</v>
      </c>
    </row>
    <row r="6372" spans="4:5" x14ac:dyDescent="0.35">
      <c r="D6372" s="1">
        <v>36378</v>
      </c>
      <c r="E6372">
        <v>1.8485</v>
      </c>
    </row>
    <row r="6373" spans="4:5" x14ac:dyDescent="0.35">
      <c r="D6373" s="1">
        <v>36377</v>
      </c>
      <c r="E6373">
        <v>1.8468</v>
      </c>
    </row>
    <row r="6374" spans="4:5" x14ac:dyDescent="0.35">
      <c r="D6374" s="1">
        <v>36376</v>
      </c>
      <c r="E6374">
        <v>1.8209</v>
      </c>
    </row>
    <row r="6375" spans="4:5" x14ac:dyDescent="0.35">
      <c r="D6375" s="1">
        <v>36375</v>
      </c>
      <c r="E6375">
        <v>1.827</v>
      </c>
    </row>
    <row r="6376" spans="4:5" x14ac:dyDescent="0.35">
      <c r="D6376" s="1">
        <v>36374</v>
      </c>
      <c r="E6376">
        <v>1.8107</v>
      </c>
    </row>
    <row r="6377" spans="4:5" x14ac:dyDescent="0.35">
      <c r="D6377" s="1">
        <v>36371</v>
      </c>
      <c r="E6377">
        <v>1.7884</v>
      </c>
    </row>
    <row r="6378" spans="4:5" x14ac:dyDescent="0.35">
      <c r="D6378" s="1">
        <v>36370</v>
      </c>
      <c r="E6378">
        <v>1.7930999999999999</v>
      </c>
    </row>
    <row r="6379" spans="4:5" x14ac:dyDescent="0.35">
      <c r="D6379" s="1">
        <v>36369</v>
      </c>
      <c r="E6379">
        <v>1.7907</v>
      </c>
    </row>
    <row r="6380" spans="4:5" x14ac:dyDescent="0.35">
      <c r="D6380" s="1">
        <v>36368</v>
      </c>
      <c r="E6380">
        <v>1.8165</v>
      </c>
    </row>
    <row r="6381" spans="4:5" x14ac:dyDescent="0.35">
      <c r="D6381" s="1">
        <v>36367</v>
      </c>
      <c r="E6381">
        <v>1.8194999999999999</v>
      </c>
    </row>
    <row r="6382" spans="4:5" x14ac:dyDescent="0.35">
      <c r="D6382" s="1">
        <v>36364</v>
      </c>
      <c r="E6382">
        <v>1.8139000000000001</v>
      </c>
    </row>
    <row r="6383" spans="4:5" x14ac:dyDescent="0.35">
      <c r="D6383" s="1">
        <v>36363</v>
      </c>
      <c r="E6383">
        <v>1.8163</v>
      </c>
    </row>
    <row r="6384" spans="4:5" x14ac:dyDescent="0.35">
      <c r="D6384" s="1">
        <v>36362</v>
      </c>
      <c r="E6384">
        <v>1.8163</v>
      </c>
    </row>
    <row r="6385" spans="4:5" x14ac:dyDescent="0.35">
      <c r="D6385" s="1">
        <v>36361</v>
      </c>
      <c r="E6385">
        <v>1.7974000000000001</v>
      </c>
    </row>
    <row r="6386" spans="4:5" x14ac:dyDescent="0.35">
      <c r="D6386" s="1">
        <v>36360</v>
      </c>
      <c r="E6386">
        <v>1.7921</v>
      </c>
    </row>
    <row r="6387" spans="4:5" x14ac:dyDescent="0.35">
      <c r="D6387" s="1">
        <v>36357</v>
      </c>
      <c r="E6387">
        <v>1.8099000000000001</v>
      </c>
    </row>
    <row r="6388" spans="4:5" x14ac:dyDescent="0.35">
      <c r="D6388" s="1">
        <v>36356</v>
      </c>
      <c r="E6388">
        <v>1.8272999999999999</v>
      </c>
    </row>
    <row r="6389" spans="4:5" x14ac:dyDescent="0.35">
      <c r="D6389" s="1">
        <v>36355</v>
      </c>
      <c r="E6389">
        <v>1.8101</v>
      </c>
    </row>
    <row r="6390" spans="4:5" x14ac:dyDescent="0.35">
      <c r="D6390" s="1">
        <v>36354</v>
      </c>
      <c r="E6390">
        <v>1.8384</v>
      </c>
    </row>
    <row r="6391" spans="4:5" x14ac:dyDescent="0.35">
      <c r="D6391" s="1">
        <v>36353</v>
      </c>
      <c r="E6391">
        <v>1.8182</v>
      </c>
    </row>
    <row r="6392" spans="4:5" x14ac:dyDescent="0.35">
      <c r="D6392" s="1">
        <v>36350</v>
      </c>
      <c r="E6392">
        <v>1.8036000000000001</v>
      </c>
    </row>
    <row r="6393" spans="4:5" x14ac:dyDescent="0.35">
      <c r="D6393" s="1">
        <v>36349</v>
      </c>
      <c r="E6393">
        <v>1.7903</v>
      </c>
    </row>
    <row r="6394" spans="4:5" x14ac:dyDescent="0.35">
      <c r="D6394" s="1">
        <v>36348</v>
      </c>
      <c r="E6394">
        <v>1.7806999999999999</v>
      </c>
    </row>
    <row r="6395" spans="4:5" x14ac:dyDescent="0.35">
      <c r="D6395" s="1">
        <v>36347</v>
      </c>
      <c r="E6395">
        <v>1.7746</v>
      </c>
    </row>
    <row r="6396" spans="4:5" x14ac:dyDescent="0.35">
      <c r="D6396" s="1">
        <v>36346</v>
      </c>
      <c r="E6396">
        <v>1.7655000000000001</v>
      </c>
    </row>
    <row r="6397" spans="4:5" x14ac:dyDescent="0.35">
      <c r="D6397" s="1">
        <v>36343</v>
      </c>
      <c r="E6397">
        <v>1.7698</v>
      </c>
    </row>
    <row r="6398" spans="4:5" x14ac:dyDescent="0.35">
      <c r="D6398" s="1">
        <v>36342</v>
      </c>
      <c r="E6398">
        <v>1.7566999999999999</v>
      </c>
    </row>
    <row r="6399" spans="4:5" x14ac:dyDescent="0.35">
      <c r="D6399" s="1">
        <v>36341</v>
      </c>
      <c r="E6399">
        <v>1.7686999999999999</v>
      </c>
    </row>
    <row r="6400" spans="4:5" x14ac:dyDescent="0.35">
      <c r="D6400" s="1">
        <v>36340</v>
      </c>
      <c r="E6400">
        <v>1.7664</v>
      </c>
    </row>
    <row r="6401" spans="4:5" x14ac:dyDescent="0.35">
      <c r="D6401" s="1">
        <v>36339</v>
      </c>
      <c r="E6401">
        <v>1.7891999999999999</v>
      </c>
    </row>
    <row r="6402" spans="4:5" x14ac:dyDescent="0.35">
      <c r="D6402" s="1">
        <v>36336</v>
      </c>
      <c r="E6402">
        <v>1.7896000000000001</v>
      </c>
    </row>
    <row r="6403" spans="4:5" x14ac:dyDescent="0.35">
      <c r="D6403" s="1">
        <v>36335</v>
      </c>
      <c r="E6403">
        <v>1.7995000000000001</v>
      </c>
    </row>
    <row r="6404" spans="4:5" x14ac:dyDescent="0.35">
      <c r="D6404" s="1">
        <v>36334</v>
      </c>
      <c r="E6404">
        <v>1.784</v>
      </c>
    </row>
    <row r="6405" spans="4:5" x14ac:dyDescent="0.35">
      <c r="D6405" s="1">
        <v>36333</v>
      </c>
      <c r="E6405">
        <v>1.768</v>
      </c>
    </row>
    <row r="6406" spans="4:5" x14ac:dyDescent="0.35">
      <c r="D6406" s="1">
        <v>36332</v>
      </c>
      <c r="E6406">
        <v>1.7627999999999999</v>
      </c>
    </row>
    <row r="6407" spans="4:5" x14ac:dyDescent="0.35">
      <c r="D6407" s="1">
        <v>36329</v>
      </c>
      <c r="E6407">
        <v>1.7477</v>
      </c>
    </row>
    <row r="6408" spans="4:5" x14ac:dyDescent="0.35">
      <c r="D6408" s="1">
        <v>36328</v>
      </c>
      <c r="E6408">
        <v>1.7597</v>
      </c>
    </row>
    <row r="6409" spans="4:5" x14ac:dyDescent="0.35">
      <c r="D6409" s="1">
        <v>36327</v>
      </c>
      <c r="E6409">
        <v>1.7666999999999999</v>
      </c>
    </row>
    <row r="6410" spans="4:5" x14ac:dyDescent="0.35">
      <c r="D6410" s="1">
        <v>36326</v>
      </c>
      <c r="E6410">
        <v>1.7884</v>
      </c>
    </row>
    <row r="6411" spans="4:5" x14ac:dyDescent="0.35">
      <c r="D6411" s="1">
        <v>36325</v>
      </c>
      <c r="E6411">
        <v>1.7775000000000001</v>
      </c>
    </row>
    <row r="6412" spans="4:5" x14ac:dyDescent="0.35">
      <c r="D6412" s="1">
        <v>36322</v>
      </c>
      <c r="E6412">
        <v>1.7722</v>
      </c>
    </row>
    <row r="6413" spans="4:5" x14ac:dyDescent="0.35">
      <c r="D6413" s="1">
        <v>36321</v>
      </c>
      <c r="E6413">
        <v>1.7588999999999999</v>
      </c>
    </row>
    <row r="6414" spans="4:5" x14ac:dyDescent="0.35">
      <c r="D6414" s="1">
        <v>36320</v>
      </c>
      <c r="E6414">
        <v>1.7483</v>
      </c>
    </row>
    <row r="6415" spans="4:5" x14ac:dyDescent="0.35">
      <c r="D6415" s="1">
        <v>36319</v>
      </c>
      <c r="E6415">
        <v>1.7471000000000001</v>
      </c>
    </row>
    <row r="6416" spans="4:5" x14ac:dyDescent="0.35">
      <c r="D6416" s="1">
        <v>36318</v>
      </c>
      <c r="E6416">
        <v>1.7403999999999999</v>
      </c>
    </row>
    <row r="6417" spans="4:5" x14ac:dyDescent="0.35">
      <c r="D6417" s="1">
        <v>36315</v>
      </c>
      <c r="E6417">
        <v>1.7357</v>
      </c>
    </row>
    <row r="6418" spans="4:5" x14ac:dyDescent="0.35">
      <c r="D6418" s="1">
        <v>36313</v>
      </c>
      <c r="E6418">
        <v>1.7534000000000001</v>
      </c>
    </row>
    <row r="6419" spans="4:5" x14ac:dyDescent="0.35">
      <c r="D6419" s="1">
        <v>36312</v>
      </c>
      <c r="E6419">
        <v>1.7327999999999999</v>
      </c>
    </row>
    <row r="6420" spans="4:5" x14ac:dyDescent="0.35">
      <c r="D6420" s="1">
        <v>36311</v>
      </c>
      <c r="E6420">
        <v>1.7232000000000001</v>
      </c>
    </row>
    <row r="6421" spans="4:5" x14ac:dyDescent="0.35">
      <c r="D6421" s="1">
        <v>36308</v>
      </c>
      <c r="E6421">
        <v>1.7302999999999999</v>
      </c>
    </row>
    <row r="6422" spans="4:5" x14ac:dyDescent="0.35">
      <c r="D6422" s="1">
        <v>36307</v>
      </c>
      <c r="E6422">
        <v>1.7129000000000001</v>
      </c>
    </row>
    <row r="6423" spans="4:5" x14ac:dyDescent="0.35">
      <c r="D6423" s="1">
        <v>36306</v>
      </c>
      <c r="E6423">
        <v>1.7178</v>
      </c>
    </row>
    <row r="6424" spans="4:5" x14ac:dyDescent="0.35">
      <c r="D6424" s="1">
        <v>36305</v>
      </c>
      <c r="E6424">
        <v>1.7472000000000001</v>
      </c>
    </row>
    <row r="6425" spans="4:5" x14ac:dyDescent="0.35">
      <c r="D6425" s="1">
        <v>36304</v>
      </c>
      <c r="E6425">
        <v>1.6977</v>
      </c>
    </row>
    <row r="6426" spans="4:5" x14ac:dyDescent="0.35">
      <c r="D6426" s="1">
        <v>36301</v>
      </c>
      <c r="E6426">
        <v>1.6955</v>
      </c>
    </row>
    <row r="6427" spans="4:5" x14ac:dyDescent="0.35">
      <c r="D6427" s="1">
        <v>36300</v>
      </c>
      <c r="E6427">
        <v>1.6826000000000001</v>
      </c>
    </row>
    <row r="6428" spans="4:5" x14ac:dyDescent="0.35">
      <c r="D6428" s="1">
        <v>36299</v>
      </c>
      <c r="E6428">
        <v>1.6628000000000001</v>
      </c>
    </row>
    <row r="6429" spans="4:5" x14ac:dyDescent="0.35">
      <c r="D6429" s="1">
        <v>36298</v>
      </c>
      <c r="E6429">
        <v>1.6651</v>
      </c>
    </row>
    <row r="6430" spans="4:5" x14ac:dyDescent="0.35">
      <c r="D6430" s="1">
        <v>36297</v>
      </c>
      <c r="E6430">
        <v>1.6661999999999999</v>
      </c>
    </row>
    <row r="6431" spans="4:5" x14ac:dyDescent="0.35">
      <c r="D6431" s="1">
        <v>36294</v>
      </c>
      <c r="E6431">
        <v>1.6561999999999999</v>
      </c>
    </row>
    <row r="6432" spans="4:5" x14ac:dyDescent="0.35">
      <c r="D6432" s="1">
        <v>36293</v>
      </c>
      <c r="E6432">
        <v>1.6501999999999999</v>
      </c>
    </row>
    <row r="6433" spans="4:5" x14ac:dyDescent="0.35">
      <c r="D6433" s="1">
        <v>36292</v>
      </c>
      <c r="E6433">
        <v>1.6606000000000001</v>
      </c>
    </row>
    <row r="6434" spans="4:5" x14ac:dyDescent="0.35">
      <c r="D6434" s="1">
        <v>36291</v>
      </c>
      <c r="E6434">
        <v>1.6459999999999999</v>
      </c>
    </row>
    <row r="6435" spans="4:5" x14ac:dyDescent="0.35">
      <c r="D6435" s="1">
        <v>36290</v>
      </c>
      <c r="E6435">
        <v>1.651</v>
      </c>
    </row>
    <row r="6436" spans="4:5" x14ac:dyDescent="0.35">
      <c r="D6436" s="1">
        <v>36287</v>
      </c>
      <c r="E6436">
        <v>1.6704000000000001</v>
      </c>
    </row>
    <row r="6437" spans="4:5" x14ac:dyDescent="0.35">
      <c r="D6437" s="1">
        <v>36286</v>
      </c>
      <c r="E6437">
        <v>1.6720999999999999</v>
      </c>
    </row>
    <row r="6438" spans="4:5" x14ac:dyDescent="0.35">
      <c r="D6438" s="1">
        <v>36285</v>
      </c>
      <c r="E6438">
        <v>1.6839</v>
      </c>
    </row>
    <row r="6439" spans="4:5" x14ac:dyDescent="0.35">
      <c r="D6439" s="1">
        <v>36284</v>
      </c>
      <c r="E6439">
        <v>1.6726000000000001</v>
      </c>
    </row>
    <row r="6440" spans="4:5" x14ac:dyDescent="0.35">
      <c r="D6440" s="1">
        <v>36283</v>
      </c>
      <c r="E6440">
        <v>1.6727000000000001</v>
      </c>
    </row>
    <row r="6441" spans="4:5" x14ac:dyDescent="0.35">
      <c r="D6441" s="1">
        <v>36280</v>
      </c>
      <c r="E6441">
        <v>1.6598999999999999</v>
      </c>
    </row>
    <row r="6442" spans="4:5" x14ac:dyDescent="0.35">
      <c r="D6442" s="1">
        <v>36279</v>
      </c>
      <c r="E6442">
        <v>1.6668000000000001</v>
      </c>
    </row>
    <row r="6443" spans="4:5" x14ac:dyDescent="0.35">
      <c r="D6443" s="1">
        <v>36278</v>
      </c>
      <c r="E6443">
        <v>1.6955</v>
      </c>
    </row>
    <row r="6444" spans="4:5" x14ac:dyDescent="0.35">
      <c r="D6444" s="1">
        <v>36277</v>
      </c>
      <c r="E6444">
        <v>1.7060999999999999</v>
      </c>
    </row>
    <row r="6445" spans="4:5" x14ac:dyDescent="0.35">
      <c r="D6445" s="1">
        <v>36276</v>
      </c>
      <c r="E6445">
        <v>1.6970000000000001</v>
      </c>
    </row>
    <row r="6446" spans="4:5" x14ac:dyDescent="0.35">
      <c r="D6446" s="1">
        <v>36273</v>
      </c>
      <c r="E6446">
        <v>1.6842999999999999</v>
      </c>
    </row>
    <row r="6447" spans="4:5" x14ac:dyDescent="0.35">
      <c r="D6447" s="1">
        <v>36272</v>
      </c>
      <c r="E6447">
        <v>1.7005999999999999</v>
      </c>
    </row>
    <row r="6448" spans="4:5" x14ac:dyDescent="0.35">
      <c r="D6448" s="1">
        <v>36270</v>
      </c>
      <c r="E6448">
        <v>1.7093</v>
      </c>
    </row>
    <row r="6449" spans="4:5" x14ac:dyDescent="0.35">
      <c r="D6449" s="1">
        <v>36269</v>
      </c>
      <c r="E6449">
        <v>1.6713</v>
      </c>
    </row>
    <row r="6450" spans="4:5" x14ac:dyDescent="0.35">
      <c r="D6450" s="1">
        <v>36266</v>
      </c>
      <c r="E6450">
        <v>1.6692</v>
      </c>
    </row>
    <row r="6451" spans="4:5" x14ac:dyDescent="0.35">
      <c r="D6451" s="1">
        <v>36265</v>
      </c>
      <c r="E6451">
        <v>1.6679999999999999</v>
      </c>
    </row>
    <row r="6452" spans="4:5" x14ac:dyDescent="0.35">
      <c r="D6452" s="1">
        <v>36264</v>
      </c>
      <c r="E6452">
        <v>1.6567000000000001</v>
      </c>
    </row>
    <row r="6453" spans="4:5" x14ac:dyDescent="0.35">
      <c r="D6453" s="1">
        <v>36263</v>
      </c>
      <c r="E6453">
        <v>1.6712</v>
      </c>
    </row>
    <row r="6454" spans="4:5" x14ac:dyDescent="0.35">
      <c r="D6454" s="1">
        <v>36262</v>
      </c>
      <c r="E6454">
        <v>1.7045999999999999</v>
      </c>
    </row>
    <row r="6455" spans="4:5" x14ac:dyDescent="0.35">
      <c r="D6455" s="1">
        <v>36259</v>
      </c>
      <c r="E6455">
        <v>1.7081999999999999</v>
      </c>
    </row>
    <row r="6456" spans="4:5" x14ac:dyDescent="0.35">
      <c r="D6456" s="1">
        <v>36258</v>
      </c>
      <c r="E6456">
        <v>1.7198</v>
      </c>
    </row>
    <row r="6457" spans="4:5" x14ac:dyDescent="0.35">
      <c r="D6457" s="1">
        <v>36257</v>
      </c>
      <c r="E6457">
        <v>1.7286999999999999</v>
      </c>
    </row>
    <row r="6458" spans="4:5" x14ac:dyDescent="0.35">
      <c r="D6458" s="1">
        <v>36256</v>
      </c>
      <c r="E6458">
        <v>1.7305999999999999</v>
      </c>
    </row>
    <row r="6459" spans="4:5" x14ac:dyDescent="0.35">
      <c r="D6459" s="1">
        <v>36255</v>
      </c>
      <c r="E6459">
        <v>1.7242999999999999</v>
      </c>
    </row>
    <row r="6460" spans="4:5" x14ac:dyDescent="0.35">
      <c r="D6460" s="1">
        <v>36250</v>
      </c>
      <c r="E6460">
        <v>1.7212000000000001</v>
      </c>
    </row>
    <row r="6461" spans="4:5" x14ac:dyDescent="0.35">
      <c r="D6461" s="1">
        <v>36249</v>
      </c>
      <c r="E6461">
        <v>1.7325999999999999</v>
      </c>
    </row>
    <row r="6462" spans="4:5" x14ac:dyDescent="0.35">
      <c r="D6462" s="1">
        <v>36248</v>
      </c>
      <c r="E6462">
        <v>1.7646999999999999</v>
      </c>
    </row>
    <row r="6463" spans="4:5" x14ac:dyDescent="0.35">
      <c r="D6463" s="1">
        <v>36245</v>
      </c>
      <c r="E6463">
        <v>1.7742</v>
      </c>
    </row>
    <row r="6464" spans="4:5" x14ac:dyDescent="0.35">
      <c r="D6464" s="1">
        <v>36244</v>
      </c>
      <c r="E6464">
        <v>1.8091999999999999</v>
      </c>
    </row>
    <row r="6465" spans="4:5" x14ac:dyDescent="0.35">
      <c r="D6465" s="1">
        <v>36243</v>
      </c>
      <c r="E6465">
        <v>1.8420000000000001</v>
      </c>
    </row>
    <row r="6466" spans="4:5" x14ac:dyDescent="0.35">
      <c r="D6466" s="1">
        <v>36242</v>
      </c>
      <c r="E6466">
        <v>1.8508</v>
      </c>
    </row>
    <row r="6467" spans="4:5" x14ac:dyDescent="0.35">
      <c r="D6467" s="1">
        <v>36241</v>
      </c>
      <c r="E6467">
        <v>1.8607</v>
      </c>
    </row>
    <row r="6468" spans="4:5" x14ac:dyDescent="0.35">
      <c r="D6468" s="1">
        <v>36238</v>
      </c>
      <c r="E6468">
        <v>1.8499000000000001</v>
      </c>
    </row>
    <row r="6469" spans="4:5" x14ac:dyDescent="0.35">
      <c r="D6469" s="1">
        <v>36237</v>
      </c>
      <c r="E6469">
        <v>1.8588</v>
      </c>
    </row>
    <row r="6470" spans="4:5" x14ac:dyDescent="0.35">
      <c r="D6470" s="1">
        <v>36236</v>
      </c>
      <c r="E6470">
        <v>1.8769</v>
      </c>
    </row>
    <row r="6471" spans="4:5" x14ac:dyDescent="0.35">
      <c r="D6471" s="1">
        <v>36235</v>
      </c>
      <c r="E6471">
        <v>1.8512999999999999</v>
      </c>
    </row>
    <row r="6472" spans="4:5" x14ac:dyDescent="0.35">
      <c r="D6472" s="1">
        <v>36234</v>
      </c>
      <c r="E6472">
        <v>1.8816999999999999</v>
      </c>
    </row>
    <row r="6473" spans="4:5" x14ac:dyDescent="0.35">
      <c r="D6473" s="1">
        <v>36231</v>
      </c>
      <c r="E6473">
        <v>1.9043000000000001</v>
      </c>
    </row>
    <row r="6474" spans="4:5" x14ac:dyDescent="0.35">
      <c r="D6474" s="1">
        <v>36230</v>
      </c>
      <c r="E6474">
        <v>1.8775999999999999</v>
      </c>
    </row>
    <row r="6475" spans="4:5" x14ac:dyDescent="0.35">
      <c r="D6475" s="1">
        <v>36229</v>
      </c>
      <c r="E6475">
        <v>1.8623000000000001</v>
      </c>
    </row>
    <row r="6476" spans="4:5" x14ac:dyDescent="0.35">
      <c r="D6476" s="1">
        <v>36228</v>
      </c>
      <c r="E6476">
        <v>1.9048</v>
      </c>
    </row>
    <row r="6477" spans="4:5" x14ac:dyDescent="0.35">
      <c r="D6477" s="1">
        <v>36227</v>
      </c>
      <c r="E6477">
        <v>1.97</v>
      </c>
    </row>
    <row r="6478" spans="4:5" x14ac:dyDescent="0.35">
      <c r="D6478" s="1">
        <v>36224</v>
      </c>
      <c r="E6478">
        <v>1.9925999999999999</v>
      </c>
    </row>
    <row r="6479" spans="4:5" x14ac:dyDescent="0.35">
      <c r="D6479" s="1">
        <v>36223</v>
      </c>
      <c r="E6479">
        <v>2.1013999999999999</v>
      </c>
    </row>
    <row r="6480" spans="4:5" x14ac:dyDescent="0.35">
      <c r="D6480" s="1">
        <v>36222</v>
      </c>
      <c r="E6480">
        <v>2.1638999999999999</v>
      </c>
    </row>
    <row r="6481" spans="4:5" x14ac:dyDescent="0.35">
      <c r="D6481" s="1">
        <v>36221</v>
      </c>
      <c r="E6481">
        <v>2.13</v>
      </c>
    </row>
    <row r="6482" spans="4:5" x14ac:dyDescent="0.35">
      <c r="D6482" s="1">
        <v>36220</v>
      </c>
      <c r="E6482">
        <v>2.0276000000000001</v>
      </c>
    </row>
    <row r="6483" spans="4:5" x14ac:dyDescent="0.35">
      <c r="D6483" s="1">
        <v>36217</v>
      </c>
      <c r="E6483">
        <v>2.0640000000000001</v>
      </c>
    </row>
    <row r="6484" spans="4:5" x14ac:dyDescent="0.35">
      <c r="D6484" s="1">
        <v>36216</v>
      </c>
      <c r="E6484">
        <v>2.0343</v>
      </c>
    </row>
    <row r="6485" spans="4:5" x14ac:dyDescent="0.35">
      <c r="D6485" s="1">
        <v>36215</v>
      </c>
      <c r="E6485">
        <v>2.0024999999999999</v>
      </c>
    </row>
    <row r="6486" spans="4:5" x14ac:dyDescent="0.35">
      <c r="D6486" s="1">
        <v>36214</v>
      </c>
      <c r="E6486">
        <v>2.012</v>
      </c>
    </row>
    <row r="6487" spans="4:5" x14ac:dyDescent="0.35">
      <c r="D6487" s="1">
        <v>36213</v>
      </c>
      <c r="E6487">
        <v>1.9348000000000001</v>
      </c>
    </row>
    <row r="6488" spans="4:5" x14ac:dyDescent="0.35">
      <c r="D6488" s="1">
        <v>36210</v>
      </c>
      <c r="E6488">
        <v>1.92</v>
      </c>
    </row>
    <row r="6489" spans="4:5" x14ac:dyDescent="0.35">
      <c r="D6489" s="1">
        <v>36209</v>
      </c>
      <c r="E6489">
        <v>1.9020999999999999</v>
      </c>
    </row>
    <row r="6490" spans="4:5" x14ac:dyDescent="0.35">
      <c r="D6490" s="1">
        <v>36208</v>
      </c>
      <c r="E6490">
        <v>1.9171</v>
      </c>
    </row>
    <row r="6491" spans="4:5" x14ac:dyDescent="0.35">
      <c r="D6491" s="1">
        <v>36203</v>
      </c>
      <c r="E6491">
        <v>1.8976</v>
      </c>
    </row>
    <row r="6492" spans="4:5" x14ac:dyDescent="0.35">
      <c r="D6492" s="1">
        <v>36202</v>
      </c>
      <c r="E6492">
        <v>1.8859999999999999</v>
      </c>
    </row>
    <row r="6493" spans="4:5" x14ac:dyDescent="0.35">
      <c r="D6493" s="1">
        <v>36201</v>
      </c>
      <c r="E6493">
        <v>1.8945000000000001</v>
      </c>
    </row>
    <row r="6494" spans="4:5" x14ac:dyDescent="0.35">
      <c r="D6494" s="1">
        <v>36200</v>
      </c>
      <c r="E6494">
        <v>1.9325000000000001</v>
      </c>
    </row>
    <row r="6495" spans="4:5" x14ac:dyDescent="0.35">
      <c r="D6495" s="1">
        <v>36199</v>
      </c>
      <c r="E6495">
        <v>1.8601000000000001</v>
      </c>
    </row>
    <row r="6496" spans="4:5" x14ac:dyDescent="0.35">
      <c r="D6496" s="1">
        <v>36196</v>
      </c>
      <c r="E6496">
        <v>1.8309</v>
      </c>
    </row>
    <row r="6497" spans="4:5" x14ac:dyDescent="0.35">
      <c r="D6497" s="1">
        <v>36195</v>
      </c>
      <c r="E6497">
        <v>1.8131999999999999</v>
      </c>
    </row>
    <row r="6498" spans="4:5" x14ac:dyDescent="0.35">
      <c r="D6498" s="1">
        <v>36194</v>
      </c>
      <c r="E6498">
        <v>1.7701</v>
      </c>
    </row>
    <row r="6499" spans="4:5" x14ac:dyDescent="0.35">
      <c r="D6499" s="1">
        <v>36193</v>
      </c>
      <c r="E6499">
        <v>1.7971999999999999</v>
      </c>
    </row>
    <row r="6500" spans="4:5" x14ac:dyDescent="0.35">
      <c r="D6500" s="1">
        <v>36192</v>
      </c>
      <c r="E6500">
        <v>1.9630000000000001</v>
      </c>
    </row>
    <row r="6501" spans="4:5" x14ac:dyDescent="0.35">
      <c r="D6501" s="1">
        <v>36189</v>
      </c>
      <c r="E6501">
        <v>1.9823999999999999</v>
      </c>
    </row>
    <row r="6502" spans="4:5" x14ac:dyDescent="0.35">
      <c r="D6502" s="1">
        <v>36188</v>
      </c>
      <c r="E6502">
        <v>1.9198</v>
      </c>
    </row>
    <row r="6503" spans="4:5" x14ac:dyDescent="0.35">
      <c r="D6503" s="1">
        <v>36187</v>
      </c>
      <c r="E6503">
        <v>1.8877999999999999</v>
      </c>
    </row>
    <row r="6504" spans="4:5" x14ac:dyDescent="0.35">
      <c r="D6504" s="1">
        <v>36186</v>
      </c>
      <c r="E6504">
        <v>1.8762000000000001</v>
      </c>
    </row>
    <row r="6505" spans="4:5" x14ac:dyDescent="0.35">
      <c r="D6505" s="1">
        <v>36185</v>
      </c>
      <c r="E6505">
        <v>1.7598</v>
      </c>
    </row>
    <row r="6506" spans="4:5" x14ac:dyDescent="0.35">
      <c r="D6506" s="1">
        <v>36182</v>
      </c>
      <c r="E6506">
        <v>1.7040999999999999</v>
      </c>
    </row>
    <row r="6507" spans="4:5" x14ac:dyDescent="0.35">
      <c r="D6507" s="1">
        <v>36181</v>
      </c>
      <c r="E6507">
        <v>1.6594</v>
      </c>
    </row>
    <row r="6508" spans="4:5" x14ac:dyDescent="0.35">
      <c r="D6508" s="1">
        <v>36180</v>
      </c>
      <c r="E6508">
        <v>1.5727</v>
      </c>
    </row>
    <row r="6509" spans="4:5" x14ac:dyDescent="0.35">
      <c r="D6509" s="1">
        <v>36179</v>
      </c>
      <c r="E6509">
        <v>1.5571999999999999</v>
      </c>
    </row>
    <row r="6510" spans="4:5" x14ac:dyDescent="0.35">
      <c r="D6510" s="1">
        <v>36178</v>
      </c>
      <c r="E6510">
        <v>1.5376000000000001</v>
      </c>
    </row>
    <row r="6511" spans="4:5" x14ac:dyDescent="0.35">
      <c r="D6511" s="1">
        <v>36175</v>
      </c>
      <c r="E6511">
        <v>1.4651000000000001</v>
      </c>
    </row>
    <row r="6512" spans="4:5" x14ac:dyDescent="0.35">
      <c r="D6512" s="1">
        <v>36174</v>
      </c>
      <c r="E6512">
        <v>1.3186</v>
      </c>
    </row>
    <row r="6513" spans="4:5" x14ac:dyDescent="0.35">
      <c r="D6513" s="1">
        <v>36173</v>
      </c>
      <c r="E6513">
        <v>1.3185</v>
      </c>
    </row>
    <row r="6514" spans="4:5" x14ac:dyDescent="0.35">
      <c r="D6514" s="1">
        <v>36172</v>
      </c>
      <c r="E6514">
        <v>1.2105999999999999</v>
      </c>
    </row>
    <row r="6515" spans="4:5" x14ac:dyDescent="0.35">
      <c r="D6515" s="1">
        <v>36171</v>
      </c>
      <c r="E6515">
        <v>1.2101</v>
      </c>
    </row>
    <row r="6516" spans="4:5" x14ac:dyDescent="0.35">
      <c r="D6516" s="1">
        <v>36168</v>
      </c>
      <c r="E6516">
        <v>1.2096</v>
      </c>
    </row>
    <row r="6517" spans="4:5" x14ac:dyDescent="0.35">
      <c r="D6517" s="1">
        <v>36167</v>
      </c>
      <c r="E6517">
        <v>1.2093</v>
      </c>
    </row>
    <row r="6518" spans="4:5" x14ac:dyDescent="0.35">
      <c r="D6518" s="1">
        <v>36166</v>
      </c>
      <c r="E6518">
        <v>1.2088000000000001</v>
      </c>
    </row>
    <row r="6519" spans="4:5" x14ac:dyDescent="0.35">
      <c r="D6519" s="1">
        <v>36165</v>
      </c>
      <c r="E6519">
        <v>1.2077</v>
      </c>
    </row>
    <row r="6520" spans="4:5" x14ac:dyDescent="0.35">
      <c r="D6520" s="1">
        <v>36164</v>
      </c>
      <c r="E6520">
        <v>1.2070000000000001</v>
      </c>
    </row>
    <row r="6521" spans="4:5" x14ac:dyDescent="0.35">
      <c r="D6521" s="1">
        <v>36160</v>
      </c>
      <c r="E6521">
        <v>1.2079</v>
      </c>
    </row>
    <row r="6522" spans="4:5" x14ac:dyDescent="0.35">
      <c r="D6522" s="1">
        <v>36159</v>
      </c>
      <c r="E6522">
        <v>1.2075</v>
      </c>
    </row>
    <row r="6523" spans="4:5" x14ac:dyDescent="0.35">
      <c r="D6523" s="1">
        <v>36158</v>
      </c>
      <c r="E6523">
        <v>1.2076</v>
      </c>
    </row>
    <row r="6524" spans="4:5" x14ac:dyDescent="0.35">
      <c r="D6524" s="1">
        <v>36157</v>
      </c>
      <c r="E6524">
        <v>1.2076</v>
      </c>
    </row>
    <row r="6525" spans="4:5" x14ac:dyDescent="0.35">
      <c r="D6525" s="1">
        <v>36153</v>
      </c>
      <c r="E6525">
        <v>1.2071000000000001</v>
      </c>
    </row>
    <row r="6526" spans="4:5" x14ac:dyDescent="0.35">
      <c r="D6526" s="1">
        <v>36152</v>
      </c>
      <c r="E6526">
        <v>1.2070000000000001</v>
      </c>
    </row>
    <row r="6527" spans="4:5" x14ac:dyDescent="0.35">
      <c r="D6527" s="1">
        <v>36151</v>
      </c>
      <c r="E6527">
        <v>1.2065999999999999</v>
      </c>
    </row>
    <row r="6528" spans="4:5" x14ac:dyDescent="0.35">
      <c r="D6528" s="1">
        <v>36150</v>
      </c>
      <c r="E6528">
        <v>1.2060999999999999</v>
      </c>
    </row>
    <row r="6529" spans="4:5" x14ac:dyDescent="0.35">
      <c r="D6529" s="1">
        <v>36147</v>
      </c>
      <c r="E6529">
        <v>1.206</v>
      </c>
    </row>
    <row r="6530" spans="4:5" x14ac:dyDescent="0.35">
      <c r="D6530" s="1">
        <v>36146</v>
      </c>
      <c r="E6530">
        <v>1.2057</v>
      </c>
    </row>
    <row r="6531" spans="4:5" x14ac:dyDescent="0.35">
      <c r="D6531" s="1">
        <v>36145</v>
      </c>
      <c r="E6531">
        <v>1.2044999999999999</v>
      </c>
    </row>
    <row r="6532" spans="4:5" x14ac:dyDescent="0.35">
      <c r="D6532" s="1">
        <v>36144</v>
      </c>
      <c r="E6532">
        <v>1.2043999999999999</v>
      </c>
    </row>
    <row r="6533" spans="4:5" x14ac:dyDescent="0.35">
      <c r="D6533" s="1">
        <v>36143</v>
      </c>
      <c r="E6533">
        <v>1.204</v>
      </c>
    </row>
    <row r="6534" spans="4:5" x14ac:dyDescent="0.35">
      <c r="D6534" s="1">
        <v>36140</v>
      </c>
      <c r="E6534">
        <v>1.2032</v>
      </c>
    </row>
    <row r="6535" spans="4:5" x14ac:dyDescent="0.35">
      <c r="D6535" s="1">
        <v>36139</v>
      </c>
      <c r="E6535">
        <v>1.2025999999999999</v>
      </c>
    </row>
    <row r="6536" spans="4:5" x14ac:dyDescent="0.35">
      <c r="D6536" s="1">
        <v>36138</v>
      </c>
      <c r="E6536">
        <v>1.2029000000000001</v>
      </c>
    </row>
    <row r="6537" spans="4:5" x14ac:dyDescent="0.35">
      <c r="D6537" s="1">
        <v>36137</v>
      </c>
      <c r="E6537">
        <v>1.2027000000000001</v>
      </c>
    </row>
    <row r="6538" spans="4:5" x14ac:dyDescent="0.35">
      <c r="D6538" s="1">
        <v>36136</v>
      </c>
      <c r="E6538">
        <v>1.2020999999999999</v>
      </c>
    </row>
    <row r="6539" spans="4:5" x14ac:dyDescent="0.35">
      <c r="D6539" s="1">
        <v>36133</v>
      </c>
      <c r="E6539">
        <v>1.2018</v>
      </c>
    </row>
    <row r="6540" spans="4:5" x14ac:dyDescent="0.35">
      <c r="D6540" s="1">
        <v>36132</v>
      </c>
      <c r="E6540">
        <v>1.2015</v>
      </c>
    </row>
    <row r="6541" spans="4:5" x14ac:dyDescent="0.35">
      <c r="D6541" s="1">
        <v>36131</v>
      </c>
      <c r="E6541">
        <v>1.2004999999999999</v>
      </c>
    </row>
    <row r="6542" spans="4:5" x14ac:dyDescent="0.35">
      <c r="D6542" s="1">
        <v>36130</v>
      </c>
      <c r="E6542">
        <v>1.2008000000000001</v>
      </c>
    </row>
    <row r="6543" spans="4:5" x14ac:dyDescent="0.35">
      <c r="D6543" s="1">
        <v>36129</v>
      </c>
      <c r="E6543">
        <v>1.2003999999999999</v>
      </c>
    </row>
    <row r="6544" spans="4:5" x14ac:dyDescent="0.35">
      <c r="D6544" s="1">
        <v>36126</v>
      </c>
      <c r="E6544">
        <v>1.1995</v>
      </c>
    </row>
    <row r="6545" spans="4:5" x14ac:dyDescent="0.35">
      <c r="D6545" s="1">
        <v>36125</v>
      </c>
      <c r="E6545">
        <v>1.1983999999999999</v>
      </c>
    </row>
    <row r="6546" spans="4:5" x14ac:dyDescent="0.35">
      <c r="D6546" s="1">
        <v>36124</v>
      </c>
      <c r="E6546">
        <v>1.1974</v>
      </c>
    </row>
    <row r="6547" spans="4:5" x14ac:dyDescent="0.35">
      <c r="D6547" s="1">
        <v>36123</v>
      </c>
      <c r="E6547">
        <v>1.1970000000000001</v>
      </c>
    </row>
    <row r="6548" spans="4:5" x14ac:dyDescent="0.35">
      <c r="D6548" s="1">
        <v>36122</v>
      </c>
      <c r="E6548">
        <v>1.1966000000000001</v>
      </c>
    </row>
    <row r="6549" spans="4:5" x14ac:dyDescent="0.35">
      <c r="D6549" s="1">
        <v>36119</v>
      </c>
      <c r="E6549">
        <v>1.1941999999999999</v>
      </c>
    </row>
    <row r="6550" spans="4:5" x14ac:dyDescent="0.35">
      <c r="D6550" s="1">
        <v>36118</v>
      </c>
      <c r="E6550">
        <v>1.1923999999999999</v>
      </c>
    </row>
    <row r="6551" spans="4:5" x14ac:dyDescent="0.35">
      <c r="D6551" s="1">
        <v>36117</v>
      </c>
      <c r="E6551">
        <v>1.1904999999999999</v>
      </c>
    </row>
    <row r="6552" spans="4:5" x14ac:dyDescent="0.35">
      <c r="D6552" s="1">
        <v>36116</v>
      </c>
      <c r="E6552">
        <v>1.1900999999999999</v>
      </c>
    </row>
    <row r="6553" spans="4:5" x14ac:dyDescent="0.35">
      <c r="D6553" s="1">
        <v>36115</v>
      </c>
      <c r="E6553">
        <v>1.1900999999999999</v>
      </c>
    </row>
    <row r="6554" spans="4:5" x14ac:dyDescent="0.35">
      <c r="D6554" s="1">
        <v>36112</v>
      </c>
      <c r="E6554">
        <v>1.1907000000000001</v>
      </c>
    </row>
    <row r="6555" spans="4:5" x14ac:dyDescent="0.35">
      <c r="D6555" s="1">
        <v>36111</v>
      </c>
      <c r="E6555">
        <v>1.1904999999999999</v>
      </c>
    </row>
    <row r="6556" spans="4:5" x14ac:dyDescent="0.35">
      <c r="D6556" s="1">
        <v>36110</v>
      </c>
      <c r="E6556">
        <v>1.19</v>
      </c>
    </row>
    <row r="6557" spans="4:5" x14ac:dyDescent="0.35">
      <c r="D6557" s="1">
        <v>36109</v>
      </c>
      <c r="E6557">
        <v>1.1902999999999999</v>
      </c>
    </row>
    <row r="6558" spans="4:5" x14ac:dyDescent="0.35">
      <c r="D6558" s="1">
        <v>36108</v>
      </c>
      <c r="E6558">
        <v>1.1891</v>
      </c>
    </row>
    <row r="6559" spans="4:5" x14ac:dyDescent="0.35">
      <c r="D6559" s="1">
        <v>36105</v>
      </c>
      <c r="E6559">
        <v>1.1876</v>
      </c>
    </row>
    <row r="6560" spans="4:5" x14ac:dyDescent="0.35">
      <c r="D6560" s="1">
        <v>36104</v>
      </c>
      <c r="E6560">
        <v>1.1897</v>
      </c>
    </row>
    <row r="6561" spans="4:5" x14ac:dyDescent="0.35">
      <c r="D6561" s="1">
        <v>36103</v>
      </c>
      <c r="E6561">
        <v>1.1908000000000001</v>
      </c>
    </row>
    <row r="6562" spans="4:5" x14ac:dyDescent="0.35">
      <c r="D6562" s="1">
        <v>36102</v>
      </c>
      <c r="E6562">
        <v>1.1920999999999999</v>
      </c>
    </row>
    <row r="6563" spans="4:5" x14ac:dyDescent="0.35">
      <c r="D6563" s="1">
        <v>36098</v>
      </c>
      <c r="E6563">
        <v>1.1923999999999999</v>
      </c>
    </row>
    <row r="6564" spans="4:5" x14ac:dyDescent="0.35">
      <c r="D6564" s="1">
        <v>36097</v>
      </c>
      <c r="E6564">
        <v>1.1914</v>
      </c>
    </row>
    <row r="6565" spans="4:5" x14ac:dyDescent="0.35">
      <c r="D6565" s="1">
        <v>36096</v>
      </c>
      <c r="E6565">
        <v>1.1916</v>
      </c>
    </row>
    <row r="6566" spans="4:5" x14ac:dyDescent="0.35">
      <c r="D6566" s="1">
        <v>36095</v>
      </c>
      <c r="E6566">
        <v>1.1914</v>
      </c>
    </row>
    <row r="6567" spans="4:5" x14ac:dyDescent="0.35">
      <c r="D6567" s="1">
        <v>36094</v>
      </c>
      <c r="E6567">
        <v>1.1904999999999999</v>
      </c>
    </row>
    <row r="6568" spans="4:5" x14ac:dyDescent="0.35">
      <c r="D6568" s="1">
        <v>36091</v>
      </c>
      <c r="E6568">
        <v>1.1902999999999999</v>
      </c>
    </row>
    <row r="6569" spans="4:5" x14ac:dyDescent="0.35">
      <c r="D6569" s="1">
        <v>36090</v>
      </c>
      <c r="E6569">
        <v>1.1897</v>
      </c>
    </row>
    <row r="6570" spans="4:5" x14ac:dyDescent="0.35">
      <c r="D6570" s="1">
        <v>36089</v>
      </c>
      <c r="E6570">
        <v>1.1891</v>
      </c>
    </row>
    <row r="6571" spans="4:5" x14ac:dyDescent="0.35">
      <c r="D6571" s="1">
        <v>36088</v>
      </c>
      <c r="E6571">
        <v>1.1888000000000001</v>
      </c>
    </row>
    <row r="6572" spans="4:5" x14ac:dyDescent="0.35">
      <c r="D6572" s="1">
        <v>36087</v>
      </c>
      <c r="E6572">
        <v>1.1891</v>
      </c>
    </row>
    <row r="6573" spans="4:5" x14ac:dyDescent="0.35">
      <c r="D6573" s="1">
        <v>36084</v>
      </c>
      <c r="E6573">
        <v>1.1878</v>
      </c>
    </row>
    <row r="6574" spans="4:5" x14ac:dyDescent="0.35">
      <c r="D6574" s="1">
        <v>36083</v>
      </c>
      <c r="E6574">
        <v>1.1878</v>
      </c>
    </row>
    <row r="6575" spans="4:5" x14ac:dyDescent="0.35">
      <c r="D6575" s="1">
        <v>36082</v>
      </c>
      <c r="E6575">
        <v>1.1879999999999999</v>
      </c>
    </row>
    <row r="6576" spans="4:5" x14ac:dyDescent="0.35">
      <c r="D6576" s="1">
        <v>36081</v>
      </c>
      <c r="E6576">
        <v>1.1869000000000001</v>
      </c>
    </row>
    <row r="6577" spans="4:5" x14ac:dyDescent="0.35">
      <c r="D6577" s="1">
        <v>36077</v>
      </c>
      <c r="E6577">
        <v>1.1859</v>
      </c>
    </row>
    <row r="6578" spans="4:5" x14ac:dyDescent="0.35">
      <c r="D6578" s="1">
        <v>36076</v>
      </c>
      <c r="E6578">
        <v>1.1838</v>
      </c>
    </row>
    <row r="6579" spans="4:5" x14ac:dyDescent="0.35">
      <c r="D6579" s="1">
        <v>36075</v>
      </c>
      <c r="E6579">
        <v>1.1822999999999999</v>
      </c>
    </row>
    <row r="6580" spans="4:5" x14ac:dyDescent="0.35">
      <c r="D6580" s="1">
        <v>36074</v>
      </c>
      <c r="E6580">
        <v>1.1840999999999999</v>
      </c>
    </row>
    <row r="6581" spans="4:5" x14ac:dyDescent="0.35">
      <c r="D6581" s="1">
        <v>36073</v>
      </c>
      <c r="E6581">
        <v>1.1852</v>
      </c>
    </row>
    <row r="6582" spans="4:5" x14ac:dyDescent="0.35">
      <c r="D6582" s="1">
        <v>36070</v>
      </c>
      <c r="E6582">
        <v>1.1829000000000001</v>
      </c>
    </row>
    <row r="6583" spans="4:5" x14ac:dyDescent="0.35">
      <c r="D6583" s="1">
        <v>36069</v>
      </c>
      <c r="E6583">
        <v>1.1798999999999999</v>
      </c>
    </row>
    <row r="6584" spans="4:5" x14ac:dyDescent="0.35">
      <c r="D6584" s="1">
        <v>36068</v>
      </c>
      <c r="E6584">
        <v>1.1848000000000001</v>
      </c>
    </row>
    <row r="6585" spans="4:5" x14ac:dyDescent="0.35">
      <c r="D6585" s="1">
        <v>36067</v>
      </c>
      <c r="E6585">
        <v>1.1841999999999999</v>
      </c>
    </row>
    <row r="6586" spans="4:5" x14ac:dyDescent="0.35">
      <c r="D6586" s="1">
        <v>36066</v>
      </c>
      <c r="E6586">
        <v>1.1840999999999999</v>
      </c>
    </row>
    <row r="6587" spans="4:5" x14ac:dyDescent="0.35">
      <c r="D6587" s="1">
        <v>36063</v>
      </c>
      <c r="E6587">
        <v>1.1839999999999999</v>
      </c>
    </row>
    <row r="6588" spans="4:5" x14ac:dyDescent="0.35">
      <c r="D6588" s="1">
        <v>36062</v>
      </c>
      <c r="E6588">
        <v>1.1827000000000001</v>
      </c>
    </row>
    <row r="6589" spans="4:5" x14ac:dyDescent="0.35">
      <c r="D6589" s="1">
        <v>36061</v>
      </c>
      <c r="E6589">
        <v>1.1830000000000001</v>
      </c>
    </row>
    <row r="6590" spans="4:5" x14ac:dyDescent="0.35">
      <c r="D6590" s="1">
        <v>36060</v>
      </c>
      <c r="E6590">
        <v>1.1821999999999999</v>
      </c>
    </row>
    <row r="6591" spans="4:5" x14ac:dyDescent="0.35">
      <c r="D6591" s="1">
        <v>36059</v>
      </c>
      <c r="E6591">
        <v>1.1808000000000001</v>
      </c>
    </row>
    <row r="6592" spans="4:5" x14ac:dyDescent="0.35">
      <c r="D6592" s="1">
        <v>36056</v>
      </c>
      <c r="E6592">
        <v>1.18</v>
      </c>
    </row>
    <row r="6593" spans="4:5" x14ac:dyDescent="0.35">
      <c r="D6593" s="1">
        <v>36055</v>
      </c>
      <c r="E6593">
        <v>1.1793</v>
      </c>
    </row>
    <row r="6594" spans="4:5" x14ac:dyDescent="0.35">
      <c r="D6594" s="1">
        <v>36054</v>
      </c>
      <c r="E6594">
        <v>1.1788000000000001</v>
      </c>
    </row>
    <row r="6595" spans="4:5" x14ac:dyDescent="0.35">
      <c r="D6595" s="1">
        <v>36053</v>
      </c>
      <c r="E6595">
        <v>1.179</v>
      </c>
    </row>
    <row r="6596" spans="4:5" x14ac:dyDescent="0.35">
      <c r="D6596" s="1">
        <v>36052</v>
      </c>
      <c r="E6596">
        <v>1.1795</v>
      </c>
    </row>
    <row r="6597" spans="4:5" x14ac:dyDescent="0.35">
      <c r="D6597" s="1">
        <v>36049</v>
      </c>
      <c r="E6597">
        <v>1.1785000000000001</v>
      </c>
    </row>
    <row r="6598" spans="4:5" x14ac:dyDescent="0.35">
      <c r="D6598" s="1">
        <v>36048</v>
      </c>
      <c r="E6598">
        <v>1.1786000000000001</v>
      </c>
    </row>
    <row r="6599" spans="4:5" x14ac:dyDescent="0.35">
      <c r="D6599" s="1">
        <v>36047</v>
      </c>
      <c r="E6599">
        <v>1.1783999999999999</v>
      </c>
    </row>
    <row r="6600" spans="4:5" x14ac:dyDescent="0.35">
      <c r="D6600" s="1">
        <v>36046</v>
      </c>
      <c r="E6600">
        <v>1.1760999999999999</v>
      </c>
    </row>
    <row r="6601" spans="4:5" x14ac:dyDescent="0.35">
      <c r="D6601" s="1">
        <v>36042</v>
      </c>
      <c r="E6601">
        <v>1.1776</v>
      </c>
    </row>
    <row r="6602" spans="4:5" x14ac:dyDescent="0.35">
      <c r="D6602" s="1">
        <v>36041</v>
      </c>
      <c r="E6602">
        <v>1.1772</v>
      </c>
    </row>
    <row r="6603" spans="4:5" x14ac:dyDescent="0.35">
      <c r="D6603" s="1">
        <v>36040</v>
      </c>
      <c r="E6603">
        <v>1.1766000000000001</v>
      </c>
    </row>
    <row r="6604" spans="4:5" x14ac:dyDescent="0.35">
      <c r="D6604" s="1">
        <v>36039</v>
      </c>
      <c r="E6604">
        <v>1.1763999999999999</v>
      </c>
    </row>
    <row r="6605" spans="4:5" x14ac:dyDescent="0.35">
      <c r="D6605" s="1">
        <v>36038</v>
      </c>
      <c r="E6605">
        <v>1.1760999999999999</v>
      </c>
    </row>
    <row r="6606" spans="4:5" x14ac:dyDescent="0.35">
      <c r="D6606" s="1">
        <v>36035</v>
      </c>
      <c r="E6606">
        <v>1.1755</v>
      </c>
    </row>
    <row r="6607" spans="4:5" x14ac:dyDescent="0.35">
      <c r="D6607" s="1">
        <v>36034</v>
      </c>
      <c r="E6607">
        <v>1.1745000000000001</v>
      </c>
    </row>
    <row r="6608" spans="4:5" x14ac:dyDescent="0.35">
      <c r="D6608" s="1">
        <v>36033</v>
      </c>
      <c r="E6608">
        <v>1.1719999999999999</v>
      </c>
    </row>
    <row r="6609" spans="4:5" x14ac:dyDescent="0.35">
      <c r="D6609" s="1">
        <v>36032</v>
      </c>
      <c r="E6609">
        <v>1.1738999999999999</v>
      </c>
    </row>
    <row r="6610" spans="4:5" x14ac:dyDescent="0.35">
      <c r="D6610" s="1">
        <v>36031</v>
      </c>
      <c r="E6610">
        <v>1.1741999999999999</v>
      </c>
    </row>
    <row r="6611" spans="4:5" x14ac:dyDescent="0.35">
      <c r="D6611" s="1">
        <v>36028</v>
      </c>
      <c r="E6611">
        <v>1.1745000000000001</v>
      </c>
    </row>
    <row r="6612" spans="4:5" x14ac:dyDescent="0.35">
      <c r="D6612" s="1">
        <v>36027</v>
      </c>
      <c r="E6612">
        <v>1.173</v>
      </c>
    </row>
    <row r="6613" spans="4:5" x14ac:dyDescent="0.35">
      <c r="D6613" s="1">
        <v>36026</v>
      </c>
      <c r="E6613">
        <v>1.1734</v>
      </c>
    </row>
    <row r="6614" spans="4:5" x14ac:dyDescent="0.35">
      <c r="D6614" s="1">
        <v>36025</v>
      </c>
      <c r="E6614">
        <v>1.1731</v>
      </c>
    </row>
    <row r="6615" spans="4:5" x14ac:dyDescent="0.35">
      <c r="D6615" s="1">
        <v>36024</v>
      </c>
      <c r="E6615">
        <v>1.1721999999999999</v>
      </c>
    </row>
    <row r="6616" spans="4:5" x14ac:dyDescent="0.35">
      <c r="D6616" s="1">
        <v>36021</v>
      </c>
      <c r="E6616">
        <v>1.1708000000000001</v>
      </c>
    </row>
    <row r="6617" spans="4:5" x14ac:dyDescent="0.35">
      <c r="D6617" s="1">
        <v>36020</v>
      </c>
      <c r="E6617">
        <v>1.1708000000000001</v>
      </c>
    </row>
    <row r="6618" spans="4:5" x14ac:dyDescent="0.35">
      <c r="D6618" s="1">
        <v>36019</v>
      </c>
      <c r="E6618">
        <v>1.1692</v>
      </c>
    </row>
    <row r="6619" spans="4:5" x14ac:dyDescent="0.35">
      <c r="D6619" s="1">
        <v>36018</v>
      </c>
      <c r="E6619">
        <v>1.1680999999999999</v>
      </c>
    </row>
    <row r="6620" spans="4:5" x14ac:dyDescent="0.35">
      <c r="D6620" s="1">
        <v>36017</v>
      </c>
      <c r="E6620">
        <v>1.1684000000000001</v>
      </c>
    </row>
    <row r="6621" spans="4:5" x14ac:dyDescent="0.35">
      <c r="D6621" s="1">
        <v>36014</v>
      </c>
      <c r="E6621">
        <v>1.1675</v>
      </c>
    </row>
    <row r="6622" spans="4:5" x14ac:dyDescent="0.35">
      <c r="D6622" s="1">
        <v>36013</v>
      </c>
      <c r="E6622">
        <v>1.1673</v>
      </c>
    </row>
    <row r="6623" spans="4:5" x14ac:dyDescent="0.35">
      <c r="D6623" s="1">
        <v>36012</v>
      </c>
      <c r="E6623">
        <v>1.1662999999999999</v>
      </c>
    </row>
    <row r="6624" spans="4:5" x14ac:dyDescent="0.35">
      <c r="D6624" s="1">
        <v>36011</v>
      </c>
      <c r="E6624">
        <v>1.1651</v>
      </c>
    </row>
    <row r="6625" spans="4:5" x14ac:dyDescent="0.35">
      <c r="D6625" s="1">
        <v>36010</v>
      </c>
      <c r="E6625">
        <v>1.1635</v>
      </c>
    </row>
    <row r="6626" spans="4:5" x14ac:dyDescent="0.35">
      <c r="D6626" s="1">
        <v>36007</v>
      </c>
      <c r="E6626">
        <v>1.1626000000000001</v>
      </c>
    </row>
    <row r="6627" spans="4:5" x14ac:dyDescent="0.35">
      <c r="D6627" s="1">
        <v>36006</v>
      </c>
      <c r="E6627">
        <v>1.1616</v>
      </c>
    </row>
    <row r="6628" spans="4:5" x14ac:dyDescent="0.35">
      <c r="D6628" s="1">
        <v>36005</v>
      </c>
      <c r="E6628">
        <v>1.1624000000000001</v>
      </c>
    </row>
    <row r="6629" spans="4:5" x14ac:dyDescent="0.35">
      <c r="D6629" s="1">
        <v>36004</v>
      </c>
      <c r="E6629">
        <v>1.1627000000000001</v>
      </c>
    </row>
    <row r="6630" spans="4:5" x14ac:dyDescent="0.35">
      <c r="D6630" s="1">
        <v>36003</v>
      </c>
      <c r="E6630">
        <v>1.1653</v>
      </c>
    </row>
    <row r="6631" spans="4:5" x14ac:dyDescent="0.35">
      <c r="D6631" s="1">
        <v>36000</v>
      </c>
      <c r="E6631">
        <v>1.1647000000000001</v>
      </c>
    </row>
    <row r="6632" spans="4:5" x14ac:dyDescent="0.35">
      <c r="D6632" s="1">
        <v>35999</v>
      </c>
      <c r="E6632">
        <v>1.1638999999999999</v>
      </c>
    </row>
    <row r="6633" spans="4:5" x14ac:dyDescent="0.35">
      <c r="D6633" s="1">
        <v>35998</v>
      </c>
      <c r="E6633">
        <v>1.1612</v>
      </c>
    </row>
    <row r="6634" spans="4:5" x14ac:dyDescent="0.35">
      <c r="D6634" s="1">
        <v>35997</v>
      </c>
      <c r="E6634">
        <v>1.1601999999999999</v>
      </c>
    </row>
    <row r="6635" spans="4:5" x14ac:dyDescent="0.35">
      <c r="D6635" s="1">
        <v>35996</v>
      </c>
      <c r="E6635">
        <v>1.1598999999999999</v>
      </c>
    </row>
    <row r="6636" spans="4:5" x14ac:dyDescent="0.35">
      <c r="D6636" s="1">
        <v>35993</v>
      </c>
      <c r="E6636">
        <v>1.1609</v>
      </c>
    </row>
    <row r="6637" spans="4:5" x14ac:dyDescent="0.35">
      <c r="D6637" s="1">
        <v>35992</v>
      </c>
      <c r="E6637">
        <v>1.1613</v>
      </c>
    </row>
    <row r="6638" spans="4:5" x14ac:dyDescent="0.35">
      <c r="D6638" s="1">
        <v>35991</v>
      </c>
      <c r="E6638">
        <v>1.1607000000000001</v>
      </c>
    </row>
    <row r="6639" spans="4:5" x14ac:dyDescent="0.35">
      <c r="D6639" s="1">
        <v>35990</v>
      </c>
      <c r="E6639">
        <v>1.1626000000000001</v>
      </c>
    </row>
    <row r="6640" spans="4:5" x14ac:dyDescent="0.35">
      <c r="D6640" s="1">
        <v>35989</v>
      </c>
      <c r="E6640">
        <v>1.1611</v>
      </c>
    </row>
    <row r="6641" spans="4:5" x14ac:dyDescent="0.35">
      <c r="D6641" s="1">
        <v>35986</v>
      </c>
      <c r="E6641">
        <v>1.1604000000000001</v>
      </c>
    </row>
    <row r="6642" spans="4:5" x14ac:dyDescent="0.35">
      <c r="D6642" s="1">
        <v>35985</v>
      </c>
      <c r="E6642">
        <v>1.1604000000000001</v>
      </c>
    </row>
    <row r="6643" spans="4:5" x14ac:dyDescent="0.35">
      <c r="D6643" s="1">
        <v>35984</v>
      </c>
      <c r="E6643">
        <v>1.1589</v>
      </c>
    </row>
    <row r="6644" spans="4:5" x14ac:dyDescent="0.35">
      <c r="D6644" s="1">
        <v>35983</v>
      </c>
      <c r="E6644">
        <v>1.1580999999999999</v>
      </c>
    </row>
    <row r="6645" spans="4:5" x14ac:dyDescent="0.35">
      <c r="D6645" s="1">
        <v>35982</v>
      </c>
      <c r="E6645">
        <v>1.1575</v>
      </c>
    </row>
    <row r="6646" spans="4:5" x14ac:dyDescent="0.35">
      <c r="D6646" s="1">
        <v>35979</v>
      </c>
      <c r="E6646">
        <v>1.1567000000000001</v>
      </c>
    </row>
    <row r="6647" spans="4:5" x14ac:dyDescent="0.35">
      <c r="D6647" s="1">
        <v>35978</v>
      </c>
      <c r="E6647">
        <v>1.1564000000000001</v>
      </c>
    </row>
    <row r="6648" spans="4:5" x14ac:dyDescent="0.35">
      <c r="D6648" s="1">
        <v>35977</v>
      </c>
      <c r="E6648">
        <v>1.1564000000000001</v>
      </c>
    </row>
    <row r="6649" spans="4:5" x14ac:dyDescent="0.35">
      <c r="D6649" s="1">
        <v>35976</v>
      </c>
      <c r="E6649">
        <v>1.1560999999999999</v>
      </c>
    </row>
    <row r="6650" spans="4:5" x14ac:dyDescent="0.35">
      <c r="D6650" s="1">
        <v>35975</v>
      </c>
      <c r="E6650">
        <v>1.1557999999999999</v>
      </c>
    </row>
    <row r="6651" spans="4:5" x14ac:dyDescent="0.35">
      <c r="D6651" s="1">
        <v>35972</v>
      </c>
      <c r="E6651">
        <v>1.1556</v>
      </c>
    </row>
    <row r="6652" spans="4:5" x14ac:dyDescent="0.35">
      <c r="D6652" s="1">
        <v>35971</v>
      </c>
      <c r="E6652">
        <v>1.1553</v>
      </c>
    </row>
    <row r="6653" spans="4:5" x14ac:dyDescent="0.35">
      <c r="D6653" s="1">
        <v>35970</v>
      </c>
      <c r="E6653">
        <v>1.1551</v>
      </c>
    </row>
    <row r="6654" spans="4:5" x14ac:dyDescent="0.35">
      <c r="D6654" s="1">
        <v>35969</v>
      </c>
      <c r="E6654">
        <v>1.1547000000000001</v>
      </c>
    </row>
    <row r="6655" spans="4:5" x14ac:dyDescent="0.35">
      <c r="D6655" s="1">
        <v>35968</v>
      </c>
      <c r="E6655">
        <v>1.1546000000000001</v>
      </c>
    </row>
    <row r="6656" spans="4:5" x14ac:dyDescent="0.35">
      <c r="D6656" s="1">
        <v>35965</v>
      </c>
      <c r="E6656">
        <v>1.1554</v>
      </c>
    </row>
    <row r="6657" spans="4:5" x14ac:dyDescent="0.35">
      <c r="D6657" s="1">
        <v>35964</v>
      </c>
      <c r="E6657">
        <v>1.1549</v>
      </c>
    </row>
    <row r="6658" spans="4:5" x14ac:dyDescent="0.35">
      <c r="D6658" s="1">
        <v>35963</v>
      </c>
      <c r="E6658">
        <v>1.1545000000000001</v>
      </c>
    </row>
    <row r="6659" spans="4:5" x14ac:dyDescent="0.35">
      <c r="D6659" s="1">
        <v>35962</v>
      </c>
      <c r="E6659">
        <v>1.1540999999999999</v>
      </c>
    </row>
    <row r="6660" spans="4:5" x14ac:dyDescent="0.35">
      <c r="D6660" s="1">
        <v>35961</v>
      </c>
      <c r="E6660">
        <v>1.1543000000000001</v>
      </c>
    </row>
    <row r="6661" spans="4:5" x14ac:dyDescent="0.35">
      <c r="D6661" s="1">
        <v>35958</v>
      </c>
      <c r="E6661">
        <v>1.1545000000000001</v>
      </c>
    </row>
    <row r="6662" spans="4:5" x14ac:dyDescent="0.35">
      <c r="D6662" s="1">
        <v>35956</v>
      </c>
      <c r="E6662">
        <v>1.1537999999999999</v>
      </c>
    </row>
    <row r="6663" spans="4:5" x14ac:dyDescent="0.35">
      <c r="D6663" s="1">
        <v>35955</v>
      </c>
      <c r="E6663">
        <v>1.1528</v>
      </c>
    </row>
    <row r="6664" spans="4:5" x14ac:dyDescent="0.35">
      <c r="D6664" s="1">
        <v>35954</v>
      </c>
      <c r="E6664">
        <v>1.1520999999999999</v>
      </c>
    </row>
    <row r="6665" spans="4:5" x14ac:dyDescent="0.35">
      <c r="D6665" s="1">
        <v>35951</v>
      </c>
      <c r="E6665">
        <v>1.1516</v>
      </c>
    </row>
    <row r="6666" spans="4:5" x14ac:dyDescent="0.35">
      <c r="D6666" s="1">
        <v>35950</v>
      </c>
      <c r="E6666">
        <v>1.1509</v>
      </c>
    </row>
    <row r="6667" spans="4:5" x14ac:dyDescent="0.35">
      <c r="D6667" s="1">
        <v>35949</v>
      </c>
      <c r="E6667">
        <v>1.151</v>
      </c>
    </row>
    <row r="6668" spans="4:5" x14ac:dyDescent="0.35">
      <c r="D6668" s="1">
        <v>35948</v>
      </c>
      <c r="E6668">
        <v>1.1509</v>
      </c>
    </row>
    <row r="6669" spans="4:5" x14ac:dyDescent="0.35">
      <c r="D6669" s="1">
        <v>35947</v>
      </c>
      <c r="E6669">
        <v>1.1512</v>
      </c>
    </row>
    <row r="6670" spans="4:5" x14ac:dyDescent="0.35">
      <c r="D6670" s="1">
        <v>35944</v>
      </c>
      <c r="E6670">
        <v>1.1496999999999999</v>
      </c>
    </row>
    <row r="6671" spans="4:5" x14ac:dyDescent="0.35">
      <c r="D6671" s="1">
        <v>35943</v>
      </c>
      <c r="E6671">
        <v>1.1492</v>
      </c>
    </row>
    <row r="6672" spans="4:5" x14ac:dyDescent="0.35">
      <c r="D6672" s="1">
        <v>35942</v>
      </c>
      <c r="E6672">
        <v>1.1512</v>
      </c>
    </row>
    <row r="6673" spans="4:5" x14ac:dyDescent="0.35">
      <c r="D6673" s="1">
        <v>35941</v>
      </c>
      <c r="E6673">
        <v>1.1523000000000001</v>
      </c>
    </row>
    <row r="6674" spans="4:5" x14ac:dyDescent="0.35">
      <c r="D6674" s="1">
        <v>35940</v>
      </c>
      <c r="E6674">
        <v>1.1508</v>
      </c>
    </row>
    <row r="6675" spans="4:5" x14ac:dyDescent="0.35">
      <c r="D6675" s="1">
        <v>35937</v>
      </c>
      <c r="E6675">
        <v>1.1507000000000001</v>
      </c>
    </row>
    <row r="6676" spans="4:5" x14ac:dyDescent="0.35">
      <c r="D6676" s="1">
        <v>35936</v>
      </c>
      <c r="E6676">
        <v>1.1489</v>
      </c>
    </row>
    <row r="6677" spans="4:5" x14ac:dyDescent="0.35">
      <c r="D6677" s="1">
        <v>35935</v>
      </c>
      <c r="E6677">
        <v>1.1480999999999999</v>
      </c>
    </row>
    <row r="6678" spans="4:5" x14ac:dyDescent="0.35">
      <c r="D6678" s="1">
        <v>35934</v>
      </c>
      <c r="E6678">
        <v>1.1479999999999999</v>
      </c>
    </row>
    <row r="6679" spans="4:5" x14ac:dyDescent="0.35">
      <c r="D6679" s="1">
        <v>35933</v>
      </c>
      <c r="E6679">
        <v>1.1467000000000001</v>
      </c>
    </row>
    <row r="6680" spans="4:5" x14ac:dyDescent="0.35">
      <c r="D6680" s="1">
        <v>35930</v>
      </c>
      <c r="E6680">
        <v>1.1464000000000001</v>
      </c>
    </row>
    <row r="6681" spans="4:5" x14ac:dyDescent="0.35">
      <c r="D6681" s="1">
        <v>35929</v>
      </c>
      <c r="E6681">
        <v>1.1465000000000001</v>
      </c>
    </row>
    <row r="6682" spans="4:5" x14ac:dyDescent="0.35">
      <c r="D6682" s="1">
        <v>35928</v>
      </c>
      <c r="E6682">
        <v>1.1466000000000001</v>
      </c>
    </row>
    <row r="6683" spans="4:5" x14ac:dyDescent="0.35">
      <c r="D6683" s="1">
        <v>35927</v>
      </c>
      <c r="E6683">
        <v>1.1455</v>
      </c>
    </row>
    <row r="6684" spans="4:5" x14ac:dyDescent="0.35">
      <c r="D6684" s="1">
        <v>35926</v>
      </c>
      <c r="E6684">
        <v>1.1451</v>
      </c>
    </row>
    <row r="6685" spans="4:5" x14ac:dyDescent="0.35">
      <c r="D6685" s="1">
        <v>35923</v>
      </c>
      <c r="E6685">
        <v>1.1447000000000001</v>
      </c>
    </row>
    <row r="6686" spans="4:5" x14ac:dyDescent="0.35">
      <c r="D6686" s="1">
        <v>35922</v>
      </c>
      <c r="E6686">
        <v>1.1443000000000001</v>
      </c>
    </row>
    <row r="6687" spans="4:5" x14ac:dyDescent="0.35">
      <c r="D6687" s="1">
        <v>35921</v>
      </c>
      <c r="E6687">
        <v>1.1444000000000001</v>
      </c>
    </row>
    <row r="6688" spans="4:5" x14ac:dyDescent="0.35">
      <c r="D6688" s="1">
        <v>35920</v>
      </c>
      <c r="E6688">
        <v>1.1440999999999999</v>
      </c>
    </row>
    <row r="6689" spans="4:5" x14ac:dyDescent="0.35">
      <c r="D6689" s="1">
        <v>35919</v>
      </c>
      <c r="E6689">
        <v>1.1434</v>
      </c>
    </row>
    <row r="6690" spans="4:5" x14ac:dyDescent="0.35">
      <c r="D6690" s="1">
        <v>35915</v>
      </c>
      <c r="E6690">
        <v>1.1435</v>
      </c>
    </row>
    <row r="6691" spans="4:5" x14ac:dyDescent="0.35">
      <c r="D6691" s="1">
        <v>35914</v>
      </c>
      <c r="E6691">
        <v>1.1445000000000001</v>
      </c>
    </row>
    <row r="6692" spans="4:5" x14ac:dyDescent="0.35">
      <c r="D6692" s="1">
        <v>35913</v>
      </c>
      <c r="E6692">
        <v>1.1440999999999999</v>
      </c>
    </row>
    <row r="6693" spans="4:5" x14ac:dyDescent="0.35">
      <c r="D6693" s="1">
        <v>35912</v>
      </c>
      <c r="E6693">
        <v>1.1433</v>
      </c>
    </row>
    <row r="6694" spans="4:5" x14ac:dyDescent="0.35">
      <c r="D6694" s="1">
        <v>35909</v>
      </c>
      <c r="E6694">
        <v>1.1427</v>
      </c>
    </row>
    <row r="6695" spans="4:5" x14ac:dyDescent="0.35">
      <c r="D6695" s="1">
        <v>35908</v>
      </c>
      <c r="E6695">
        <v>1.1419999999999999</v>
      </c>
    </row>
    <row r="6696" spans="4:5" x14ac:dyDescent="0.35">
      <c r="D6696" s="1">
        <v>35907</v>
      </c>
      <c r="E6696">
        <v>1.1416999999999999</v>
      </c>
    </row>
    <row r="6697" spans="4:5" x14ac:dyDescent="0.35">
      <c r="D6697" s="1">
        <v>35905</v>
      </c>
      <c r="E6697">
        <v>1.141</v>
      </c>
    </row>
    <row r="6698" spans="4:5" x14ac:dyDescent="0.35">
      <c r="D6698" s="1">
        <v>35902</v>
      </c>
      <c r="E6698">
        <v>1.1406000000000001</v>
      </c>
    </row>
    <row r="6699" spans="4:5" x14ac:dyDescent="0.35">
      <c r="D6699" s="1">
        <v>35901</v>
      </c>
      <c r="E6699">
        <v>1.1400999999999999</v>
      </c>
    </row>
    <row r="6700" spans="4:5" x14ac:dyDescent="0.35">
      <c r="D6700" s="1">
        <v>35900</v>
      </c>
      <c r="E6700">
        <v>1.1398999999999999</v>
      </c>
    </row>
    <row r="6701" spans="4:5" x14ac:dyDescent="0.35">
      <c r="D6701" s="1">
        <v>35899</v>
      </c>
      <c r="E6701">
        <v>1.1395999999999999</v>
      </c>
    </row>
    <row r="6702" spans="4:5" x14ac:dyDescent="0.35">
      <c r="D6702" s="1">
        <v>35898</v>
      </c>
      <c r="E6702">
        <v>1.1389</v>
      </c>
    </row>
    <row r="6703" spans="4:5" x14ac:dyDescent="0.35">
      <c r="D6703" s="1">
        <v>35893</v>
      </c>
      <c r="E6703">
        <v>1.1386000000000001</v>
      </c>
    </row>
    <row r="6704" spans="4:5" x14ac:dyDescent="0.35">
      <c r="D6704" s="1">
        <v>35892</v>
      </c>
      <c r="E6704">
        <v>1.1379999999999999</v>
      </c>
    </row>
    <row r="6705" spans="4:5" x14ac:dyDescent="0.35">
      <c r="D6705" s="1">
        <v>35891</v>
      </c>
      <c r="E6705">
        <v>1.1379999999999999</v>
      </c>
    </row>
    <row r="6706" spans="4:5" x14ac:dyDescent="0.35">
      <c r="D6706" s="1">
        <v>35888</v>
      </c>
      <c r="E6706">
        <v>1.1375999999999999</v>
      </c>
    </row>
    <row r="6707" spans="4:5" x14ac:dyDescent="0.35">
      <c r="D6707" s="1">
        <v>35887</v>
      </c>
      <c r="E6707">
        <v>1.1367</v>
      </c>
    </row>
    <row r="6708" spans="4:5" x14ac:dyDescent="0.35">
      <c r="D6708" s="1">
        <v>35886</v>
      </c>
      <c r="E6708">
        <v>1.1367</v>
      </c>
    </row>
    <row r="6709" spans="4:5" x14ac:dyDescent="0.35">
      <c r="D6709" s="1">
        <v>35885</v>
      </c>
      <c r="E6709">
        <v>1.1366000000000001</v>
      </c>
    </row>
    <row r="6710" spans="4:5" x14ac:dyDescent="0.35">
      <c r="D6710" s="1">
        <v>35884</v>
      </c>
      <c r="E6710">
        <v>1.1356999999999999</v>
      </c>
    </row>
    <row r="6711" spans="4:5" x14ac:dyDescent="0.35">
      <c r="D6711" s="1">
        <v>35881</v>
      </c>
      <c r="E6711">
        <v>1.1355999999999999</v>
      </c>
    </row>
    <row r="6712" spans="4:5" x14ac:dyDescent="0.35">
      <c r="D6712" s="1">
        <v>35880</v>
      </c>
      <c r="E6712">
        <v>1.1352</v>
      </c>
    </row>
    <row r="6713" spans="4:5" x14ac:dyDescent="0.35">
      <c r="D6713" s="1">
        <v>35879</v>
      </c>
      <c r="E6713">
        <v>1.135</v>
      </c>
    </row>
    <row r="6714" spans="4:5" x14ac:dyDescent="0.35">
      <c r="D6714" s="1">
        <v>35878</v>
      </c>
      <c r="E6714">
        <v>1.1344000000000001</v>
      </c>
    </row>
    <row r="6715" spans="4:5" x14ac:dyDescent="0.35">
      <c r="D6715" s="1">
        <v>35877</v>
      </c>
      <c r="E6715">
        <v>1.1341000000000001</v>
      </c>
    </row>
    <row r="6716" spans="4:5" x14ac:dyDescent="0.35">
      <c r="D6716" s="1">
        <v>35874</v>
      </c>
      <c r="E6716">
        <v>1.1337999999999999</v>
      </c>
    </row>
    <row r="6717" spans="4:5" x14ac:dyDescent="0.35">
      <c r="D6717" s="1">
        <v>35873</v>
      </c>
      <c r="E6717">
        <v>1.1335999999999999</v>
      </c>
    </row>
    <row r="6718" spans="4:5" x14ac:dyDescent="0.35">
      <c r="D6718" s="1">
        <v>35872</v>
      </c>
      <c r="E6718">
        <v>1.1335999999999999</v>
      </c>
    </row>
    <row r="6719" spans="4:5" x14ac:dyDescent="0.35">
      <c r="D6719" s="1">
        <v>35871</v>
      </c>
      <c r="E6719">
        <v>1.1327</v>
      </c>
    </row>
    <row r="6720" spans="4:5" x14ac:dyDescent="0.35">
      <c r="D6720" s="1">
        <v>35870</v>
      </c>
      <c r="E6720">
        <v>1.1327</v>
      </c>
    </row>
    <row r="6721" spans="4:5" x14ac:dyDescent="0.35">
      <c r="D6721" s="1">
        <v>35867</v>
      </c>
      <c r="E6721">
        <v>1.1326000000000001</v>
      </c>
    </row>
    <row r="6722" spans="4:5" x14ac:dyDescent="0.35">
      <c r="D6722" s="1">
        <v>35866</v>
      </c>
      <c r="E6722">
        <v>1.1319999999999999</v>
      </c>
    </row>
    <row r="6723" spans="4:5" x14ac:dyDescent="0.35">
      <c r="D6723" s="1">
        <v>35865</v>
      </c>
      <c r="E6723">
        <v>1.1316999999999999</v>
      </c>
    </row>
    <row r="6724" spans="4:5" x14ac:dyDescent="0.35">
      <c r="D6724" s="1">
        <v>35864</v>
      </c>
      <c r="E6724">
        <v>1.1315999999999999</v>
      </c>
    </row>
    <row r="6725" spans="4:5" x14ac:dyDescent="0.35">
      <c r="D6725" s="1">
        <v>35863</v>
      </c>
      <c r="E6725">
        <v>1.1315</v>
      </c>
    </row>
    <row r="6726" spans="4:5" x14ac:dyDescent="0.35">
      <c r="D6726" s="1">
        <v>35860</v>
      </c>
      <c r="E6726">
        <v>1.1307</v>
      </c>
    </row>
    <row r="6727" spans="4:5" x14ac:dyDescent="0.35">
      <c r="D6727" s="1">
        <v>35859</v>
      </c>
      <c r="E6727">
        <v>1.1306</v>
      </c>
    </row>
    <row r="6728" spans="4:5" x14ac:dyDescent="0.35">
      <c r="D6728" s="1">
        <v>35858</v>
      </c>
      <c r="E6728">
        <v>1.1306</v>
      </c>
    </row>
    <row r="6729" spans="4:5" x14ac:dyDescent="0.35">
      <c r="D6729" s="1">
        <v>35857</v>
      </c>
      <c r="E6729">
        <v>1.1297999999999999</v>
      </c>
    </row>
    <row r="6730" spans="4:5" x14ac:dyDescent="0.35">
      <c r="D6730" s="1">
        <v>35856</v>
      </c>
      <c r="E6730">
        <v>1.1296999999999999</v>
      </c>
    </row>
    <row r="6731" spans="4:5" x14ac:dyDescent="0.35">
      <c r="D6731" s="1">
        <v>35853</v>
      </c>
      <c r="E6731">
        <v>1.1295999999999999</v>
      </c>
    </row>
    <row r="6732" spans="4:5" x14ac:dyDescent="0.35">
      <c r="D6732" s="1">
        <v>35852</v>
      </c>
      <c r="E6732">
        <v>1.129</v>
      </c>
    </row>
    <row r="6733" spans="4:5" x14ac:dyDescent="0.35">
      <c r="D6733" s="1">
        <v>35851</v>
      </c>
      <c r="E6733">
        <v>1.1289</v>
      </c>
    </row>
    <row r="6734" spans="4:5" x14ac:dyDescent="0.35">
      <c r="D6734" s="1">
        <v>35846</v>
      </c>
      <c r="E6734">
        <v>1.1287</v>
      </c>
    </row>
    <row r="6735" spans="4:5" x14ac:dyDescent="0.35">
      <c r="D6735" s="1">
        <v>35845</v>
      </c>
      <c r="E6735">
        <v>1.1284000000000001</v>
      </c>
    </row>
    <row r="6736" spans="4:5" x14ac:dyDescent="0.35">
      <c r="D6736" s="1">
        <v>35844</v>
      </c>
      <c r="E6736">
        <v>1.1277999999999999</v>
      </c>
    </row>
    <row r="6737" spans="4:5" x14ac:dyDescent="0.35">
      <c r="D6737" s="1">
        <v>35843</v>
      </c>
      <c r="E6737">
        <v>1.1275999999999999</v>
      </c>
    </row>
    <row r="6738" spans="4:5" x14ac:dyDescent="0.35">
      <c r="D6738" s="1">
        <v>35842</v>
      </c>
      <c r="E6738">
        <v>1.1266</v>
      </c>
    </row>
    <row r="6739" spans="4:5" x14ac:dyDescent="0.35">
      <c r="D6739" s="1">
        <v>35839</v>
      </c>
      <c r="E6739">
        <v>1.1268</v>
      </c>
    </row>
    <row r="6740" spans="4:5" x14ac:dyDescent="0.35">
      <c r="D6740" s="1">
        <v>35838</v>
      </c>
      <c r="E6740">
        <v>1.1259999999999999</v>
      </c>
    </row>
    <row r="6741" spans="4:5" x14ac:dyDescent="0.35">
      <c r="D6741" s="1">
        <v>35837</v>
      </c>
      <c r="E6741">
        <v>1.1256999999999999</v>
      </c>
    </row>
    <row r="6742" spans="4:5" x14ac:dyDescent="0.35">
      <c r="D6742" s="1">
        <v>35836</v>
      </c>
      <c r="E6742">
        <v>1.1255999999999999</v>
      </c>
    </row>
    <row r="6743" spans="4:5" x14ac:dyDescent="0.35">
      <c r="D6743" s="1">
        <v>35835</v>
      </c>
      <c r="E6743">
        <v>1.1247</v>
      </c>
    </row>
    <row r="6744" spans="4:5" x14ac:dyDescent="0.35">
      <c r="D6744" s="1">
        <v>35832</v>
      </c>
      <c r="E6744">
        <v>1.1246</v>
      </c>
    </row>
    <row r="6745" spans="4:5" x14ac:dyDescent="0.35">
      <c r="D6745" s="1">
        <v>35831</v>
      </c>
      <c r="E6745">
        <v>1.1236999999999999</v>
      </c>
    </row>
    <row r="6746" spans="4:5" x14ac:dyDescent="0.35">
      <c r="D6746" s="1">
        <v>35830</v>
      </c>
      <c r="E6746">
        <v>1.1236999999999999</v>
      </c>
    </row>
    <row r="6747" spans="4:5" x14ac:dyDescent="0.35">
      <c r="D6747" s="1">
        <v>35829</v>
      </c>
      <c r="E6747">
        <v>1.1235999999999999</v>
      </c>
    </row>
    <row r="6748" spans="4:5" x14ac:dyDescent="0.35">
      <c r="D6748" s="1">
        <v>35828</v>
      </c>
      <c r="E6748">
        <v>1.1228</v>
      </c>
    </row>
    <row r="6749" spans="4:5" x14ac:dyDescent="0.35">
      <c r="D6749" s="1">
        <v>35825</v>
      </c>
      <c r="E6749">
        <v>1.1229</v>
      </c>
    </row>
    <row r="6750" spans="4:5" x14ac:dyDescent="0.35">
      <c r="D6750" s="1">
        <v>35824</v>
      </c>
      <c r="E6750">
        <v>1.1222000000000001</v>
      </c>
    </row>
    <row r="6751" spans="4:5" x14ac:dyDescent="0.35">
      <c r="D6751" s="1">
        <v>35823</v>
      </c>
      <c r="E6751">
        <v>1.1218999999999999</v>
      </c>
    </row>
    <row r="6752" spans="4:5" x14ac:dyDescent="0.35">
      <c r="D6752" s="1">
        <v>35822</v>
      </c>
      <c r="E6752">
        <v>1.1215999999999999</v>
      </c>
    </row>
    <row r="6753" spans="4:5" x14ac:dyDescent="0.35">
      <c r="D6753" s="1">
        <v>35821</v>
      </c>
      <c r="E6753">
        <v>1.1208</v>
      </c>
    </row>
    <row r="6754" spans="4:5" x14ac:dyDescent="0.35">
      <c r="D6754" s="1">
        <v>35818</v>
      </c>
      <c r="E6754">
        <v>1.1207</v>
      </c>
    </row>
    <row r="6755" spans="4:5" x14ac:dyDescent="0.35">
      <c r="D6755" s="1">
        <v>35817</v>
      </c>
      <c r="E6755">
        <v>1.1197999999999999</v>
      </c>
    </row>
    <row r="6756" spans="4:5" x14ac:dyDescent="0.35">
      <c r="D6756" s="1">
        <v>35816</v>
      </c>
      <c r="E6756">
        <v>1.1198999999999999</v>
      </c>
    </row>
    <row r="6757" spans="4:5" x14ac:dyDescent="0.35">
      <c r="D6757" s="1">
        <v>35815</v>
      </c>
      <c r="E6757">
        <v>1.1196999999999999</v>
      </c>
    </row>
    <row r="6758" spans="4:5" x14ac:dyDescent="0.35">
      <c r="D6758" s="1">
        <v>35814</v>
      </c>
      <c r="E6758">
        <v>1.1193</v>
      </c>
    </row>
    <row r="6759" spans="4:5" x14ac:dyDescent="0.35">
      <c r="D6759" s="1">
        <v>35811</v>
      </c>
      <c r="E6759">
        <v>1.1196999999999999</v>
      </c>
    </row>
    <row r="6760" spans="4:5" x14ac:dyDescent="0.35">
      <c r="D6760" s="1">
        <v>35810</v>
      </c>
      <c r="E6760">
        <v>1.1197999999999999</v>
      </c>
    </row>
    <row r="6761" spans="4:5" x14ac:dyDescent="0.35">
      <c r="D6761" s="1">
        <v>35809</v>
      </c>
      <c r="E6761">
        <v>1.1182000000000001</v>
      </c>
    </row>
    <row r="6762" spans="4:5" x14ac:dyDescent="0.35">
      <c r="D6762" s="1">
        <v>35808</v>
      </c>
      <c r="E6762">
        <v>1.1178999999999999</v>
      </c>
    </row>
    <row r="6763" spans="4:5" x14ac:dyDescent="0.35">
      <c r="D6763" s="1">
        <v>35807</v>
      </c>
      <c r="E6763">
        <v>1.1184000000000001</v>
      </c>
    </row>
    <row r="6764" spans="4:5" x14ac:dyDescent="0.35">
      <c r="D6764" s="1">
        <v>35804</v>
      </c>
      <c r="E6764">
        <v>1.1175999999999999</v>
      </c>
    </row>
    <row r="6765" spans="4:5" x14ac:dyDescent="0.35">
      <c r="D6765" s="1">
        <v>35803</v>
      </c>
      <c r="E6765">
        <v>1.1172</v>
      </c>
    </row>
    <row r="6766" spans="4:5" x14ac:dyDescent="0.35">
      <c r="D6766" s="1">
        <v>35802</v>
      </c>
      <c r="E6766">
        <v>1.1167</v>
      </c>
    </row>
    <row r="6767" spans="4:5" x14ac:dyDescent="0.35">
      <c r="D6767" s="1">
        <v>35801</v>
      </c>
      <c r="E6767">
        <v>1.1161000000000001</v>
      </c>
    </row>
    <row r="6768" spans="4:5" x14ac:dyDescent="0.35">
      <c r="D6768" s="1">
        <v>35800</v>
      </c>
      <c r="E6768">
        <v>1.1156999999999999</v>
      </c>
    </row>
    <row r="6769" spans="4:5" x14ac:dyDescent="0.35">
      <c r="D6769" s="1">
        <v>35797</v>
      </c>
      <c r="E6769">
        <v>1.1156999999999999</v>
      </c>
    </row>
    <row r="6770" spans="4:5" x14ac:dyDescent="0.35">
      <c r="D6770" s="1">
        <v>35795</v>
      </c>
      <c r="E6770">
        <v>1.1155999999999999</v>
      </c>
    </row>
    <row r="6771" spans="4:5" x14ac:dyDescent="0.35">
      <c r="D6771" s="1">
        <v>35794</v>
      </c>
      <c r="E6771">
        <v>1.1155999999999999</v>
      </c>
    </row>
    <row r="6772" spans="4:5" x14ac:dyDescent="0.35">
      <c r="D6772" s="1">
        <v>35793</v>
      </c>
      <c r="E6772">
        <v>1.1149</v>
      </c>
    </row>
    <row r="6773" spans="4:5" x14ac:dyDescent="0.35">
      <c r="D6773" s="1">
        <v>35790</v>
      </c>
      <c r="E6773">
        <v>1.1143000000000001</v>
      </c>
    </row>
    <row r="6774" spans="4:5" x14ac:dyDescent="0.35">
      <c r="D6774" s="1">
        <v>35788</v>
      </c>
      <c r="E6774">
        <v>1.1142000000000001</v>
      </c>
    </row>
    <row r="6775" spans="4:5" x14ac:dyDescent="0.35">
      <c r="D6775" s="1">
        <v>35787</v>
      </c>
      <c r="E6775">
        <v>1.1142000000000001</v>
      </c>
    </row>
    <row r="6776" spans="4:5" x14ac:dyDescent="0.35">
      <c r="D6776" s="1">
        <v>35786</v>
      </c>
      <c r="E6776">
        <v>1.1143000000000001</v>
      </c>
    </row>
    <row r="6777" spans="4:5" x14ac:dyDescent="0.35">
      <c r="D6777" s="1">
        <v>35783</v>
      </c>
      <c r="E6777">
        <v>1.1140000000000001</v>
      </c>
    </row>
    <row r="6778" spans="4:5" x14ac:dyDescent="0.35">
      <c r="D6778" s="1">
        <v>35782</v>
      </c>
      <c r="E6778">
        <v>1.1135999999999999</v>
      </c>
    </row>
    <row r="6779" spans="4:5" x14ac:dyDescent="0.35">
      <c r="D6779" s="1">
        <v>35781</v>
      </c>
      <c r="E6779">
        <v>1.1133</v>
      </c>
    </row>
    <row r="6780" spans="4:5" x14ac:dyDescent="0.35">
      <c r="D6780" s="1">
        <v>35780</v>
      </c>
      <c r="E6780">
        <v>1.1126</v>
      </c>
    </row>
    <row r="6781" spans="4:5" x14ac:dyDescent="0.35">
      <c r="D6781" s="1">
        <v>35779</v>
      </c>
      <c r="E6781">
        <v>1.1134999999999999</v>
      </c>
    </row>
    <row r="6782" spans="4:5" x14ac:dyDescent="0.35">
      <c r="D6782" s="1">
        <v>35776</v>
      </c>
      <c r="E6782">
        <v>1.1153999999999999</v>
      </c>
    </row>
    <row r="6783" spans="4:5" x14ac:dyDescent="0.35">
      <c r="D6783" s="1">
        <v>35775</v>
      </c>
      <c r="E6783">
        <v>1.1143000000000001</v>
      </c>
    </row>
    <row r="6784" spans="4:5" x14ac:dyDescent="0.35">
      <c r="D6784" s="1">
        <v>35774</v>
      </c>
      <c r="E6784">
        <v>1.1121000000000001</v>
      </c>
    </row>
    <row r="6785" spans="4:5" x14ac:dyDescent="0.35">
      <c r="D6785" s="1">
        <v>35773</v>
      </c>
      <c r="E6785">
        <v>1.1113999999999999</v>
      </c>
    </row>
    <row r="6786" spans="4:5" x14ac:dyDescent="0.35">
      <c r="D6786" s="1">
        <v>35772</v>
      </c>
      <c r="E6786">
        <v>1.1111</v>
      </c>
    </row>
    <row r="6787" spans="4:5" x14ac:dyDescent="0.35">
      <c r="D6787" s="1">
        <v>35769</v>
      </c>
      <c r="E6787">
        <v>1.1096999999999999</v>
      </c>
    </row>
    <row r="6788" spans="4:5" x14ac:dyDescent="0.35">
      <c r="D6788" s="1">
        <v>35768</v>
      </c>
      <c r="E6788">
        <v>1.1097999999999999</v>
      </c>
    </row>
    <row r="6789" spans="4:5" x14ac:dyDescent="0.35">
      <c r="D6789" s="1">
        <v>35767</v>
      </c>
      <c r="E6789">
        <v>1.1095999999999999</v>
      </c>
    </row>
    <row r="6790" spans="4:5" x14ac:dyDescent="0.35">
      <c r="D6790" s="1">
        <v>35766</v>
      </c>
      <c r="E6790">
        <v>1.1088</v>
      </c>
    </row>
    <row r="6791" spans="4:5" x14ac:dyDescent="0.35">
      <c r="D6791" s="1">
        <v>35765</v>
      </c>
      <c r="E6791">
        <v>1.1088</v>
      </c>
    </row>
    <row r="6792" spans="4:5" x14ac:dyDescent="0.35">
      <c r="D6792" s="1">
        <v>35762</v>
      </c>
      <c r="E6792">
        <v>1.109</v>
      </c>
    </row>
    <row r="6793" spans="4:5" x14ac:dyDescent="0.35">
      <c r="D6793" s="1">
        <v>35761</v>
      </c>
      <c r="E6793">
        <v>1.1081000000000001</v>
      </c>
    </row>
    <row r="6794" spans="4:5" x14ac:dyDescent="0.35">
      <c r="D6794" s="1">
        <v>35760</v>
      </c>
      <c r="E6794">
        <v>1.1095999999999999</v>
      </c>
    </row>
    <row r="6795" spans="4:5" x14ac:dyDescent="0.35">
      <c r="D6795" s="1">
        <v>35759</v>
      </c>
      <c r="E6795">
        <v>1.1095999999999999</v>
      </c>
    </row>
    <row r="6796" spans="4:5" x14ac:dyDescent="0.35">
      <c r="D6796" s="1">
        <v>35758</v>
      </c>
      <c r="E6796">
        <v>1.1089</v>
      </c>
    </row>
    <row r="6797" spans="4:5" x14ac:dyDescent="0.35">
      <c r="D6797" s="1">
        <v>35755</v>
      </c>
      <c r="E6797">
        <v>1.1086</v>
      </c>
    </row>
    <row r="6798" spans="4:5" x14ac:dyDescent="0.35">
      <c r="D6798" s="1">
        <v>35754</v>
      </c>
      <c r="E6798">
        <v>1.1073</v>
      </c>
    </row>
    <row r="6799" spans="4:5" x14ac:dyDescent="0.35">
      <c r="D6799" s="1">
        <v>35753</v>
      </c>
      <c r="E6799">
        <v>1.1073</v>
      </c>
    </row>
    <row r="6800" spans="4:5" x14ac:dyDescent="0.35">
      <c r="D6800" s="1">
        <v>35752</v>
      </c>
      <c r="E6800">
        <v>1.1057999999999999</v>
      </c>
    </row>
    <row r="6801" spans="4:5" x14ac:dyDescent="0.35">
      <c r="D6801" s="1">
        <v>35751</v>
      </c>
      <c r="E6801">
        <v>1.1059000000000001</v>
      </c>
    </row>
    <row r="6802" spans="4:5" x14ac:dyDescent="0.35">
      <c r="D6802" s="1">
        <v>35748</v>
      </c>
      <c r="E6802">
        <v>1.1073999999999999</v>
      </c>
    </row>
    <row r="6803" spans="4:5" x14ac:dyDescent="0.35">
      <c r="D6803" s="1">
        <v>35747</v>
      </c>
      <c r="E6803">
        <v>1.1062000000000001</v>
      </c>
    </row>
    <row r="6804" spans="4:5" x14ac:dyDescent="0.35">
      <c r="D6804" s="1">
        <v>35746</v>
      </c>
      <c r="E6804">
        <v>1.1055999999999999</v>
      </c>
    </row>
    <row r="6805" spans="4:5" x14ac:dyDescent="0.35">
      <c r="D6805" s="1">
        <v>35745</v>
      </c>
      <c r="E6805">
        <v>1.1042000000000001</v>
      </c>
    </row>
    <row r="6806" spans="4:5" x14ac:dyDescent="0.35">
      <c r="D6806" s="1">
        <v>35744</v>
      </c>
      <c r="E6806">
        <v>1.1045</v>
      </c>
    </row>
    <row r="6807" spans="4:5" x14ac:dyDescent="0.35">
      <c r="D6807" s="1">
        <v>35741</v>
      </c>
      <c r="E6807">
        <v>1.1073999999999999</v>
      </c>
    </row>
    <row r="6808" spans="4:5" x14ac:dyDescent="0.35">
      <c r="D6808" s="1">
        <v>35740</v>
      </c>
      <c r="E6808">
        <v>1.1061000000000001</v>
      </c>
    </row>
    <row r="6809" spans="4:5" x14ac:dyDescent="0.35">
      <c r="D6809" s="1">
        <v>35739</v>
      </c>
      <c r="E6809">
        <v>1.1032999999999999</v>
      </c>
    </row>
    <row r="6810" spans="4:5" x14ac:dyDescent="0.35">
      <c r="D6810" s="1">
        <v>35738</v>
      </c>
      <c r="E6810">
        <v>1.1032999999999999</v>
      </c>
    </row>
    <row r="6811" spans="4:5" x14ac:dyDescent="0.35">
      <c r="D6811" s="1">
        <v>35737</v>
      </c>
      <c r="E6811">
        <v>1.1022000000000001</v>
      </c>
    </row>
    <row r="6812" spans="4:5" x14ac:dyDescent="0.35">
      <c r="D6812" s="1">
        <v>35734</v>
      </c>
      <c r="E6812">
        <v>1.1023000000000001</v>
      </c>
    </row>
    <row r="6813" spans="4:5" x14ac:dyDescent="0.35">
      <c r="D6813" s="1">
        <v>35733</v>
      </c>
      <c r="E6813">
        <v>1.1054999999999999</v>
      </c>
    </row>
    <row r="6814" spans="4:5" x14ac:dyDescent="0.35">
      <c r="D6814" s="1">
        <v>35732</v>
      </c>
      <c r="E6814">
        <v>1.1015999999999999</v>
      </c>
    </row>
    <row r="6815" spans="4:5" x14ac:dyDescent="0.35">
      <c r="D6815" s="1">
        <v>35731</v>
      </c>
      <c r="E6815">
        <v>1.1055999999999999</v>
      </c>
    </row>
    <row r="6816" spans="4:5" x14ac:dyDescent="0.35">
      <c r="D6816" s="1">
        <v>35730</v>
      </c>
      <c r="E6816">
        <v>1.1019000000000001</v>
      </c>
    </row>
    <row r="6817" spans="4:5" x14ac:dyDescent="0.35">
      <c r="D6817" s="1">
        <v>35727</v>
      </c>
      <c r="E6817">
        <v>1.1004</v>
      </c>
    </row>
    <row r="6818" spans="4:5" x14ac:dyDescent="0.35">
      <c r="D6818" s="1">
        <v>35726</v>
      </c>
      <c r="E6818">
        <v>1.1001000000000001</v>
      </c>
    </row>
    <row r="6819" spans="4:5" x14ac:dyDescent="0.35">
      <c r="D6819" s="1">
        <v>35725</v>
      </c>
      <c r="E6819">
        <v>1.1000000000000001</v>
      </c>
    </row>
    <row r="6820" spans="4:5" x14ac:dyDescent="0.35">
      <c r="D6820" s="1">
        <v>35724</v>
      </c>
      <c r="E6820">
        <v>1.0995999999999999</v>
      </c>
    </row>
    <row r="6821" spans="4:5" x14ac:dyDescent="0.35">
      <c r="D6821" s="1">
        <v>35723</v>
      </c>
      <c r="E6821">
        <v>1.0994999999999999</v>
      </c>
    </row>
    <row r="6822" spans="4:5" x14ac:dyDescent="0.35">
      <c r="D6822" s="1">
        <v>35720</v>
      </c>
      <c r="E6822">
        <v>1.0992</v>
      </c>
    </row>
    <row r="6823" spans="4:5" x14ac:dyDescent="0.35">
      <c r="D6823" s="1">
        <v>35719</v>
      </c>
      <c r="E6823">
        <v>1.0988</v>
      </c>
    </row>
    <row r="6824" spans="4:5" x14ac:dyDescent="0.35">
      <c r="D6824" s="1">
        <v>35718</v>
      </c>
      <c r="E6824">
        <v>1.0986</v>
      </c>
    </row>
    <row r="6825" spans="4:5" x14ac:dyDescent="0.35">
      <c r="D6825" s="1">
        <v>35717</v>
      </c>
      <c r="E6825">
        <v>1.0980000000000001</v>
      </c>
    </row>
    <row r="6826" spans="4:5" x14ac:dyDescent="0.35">
      <c r="D6826" s="1">
        <v>35716</v>
      </c>
      <c r="E6826">
        <v>1.0976999999999999</v>
      </c>
    </row>
    <row r="6827" spans="4:5" x14ac:dyDescent="0.35">
      <c r="D6827" s="1">
        <v>35713</v>
      </c>
      <c r="E6827">
        <v>1.0976999999999999</v>
      </c>
    </row>
    <row r="6828" spans="4:5" x14ac:dyDescent="0.35">
      <c r="D6828" s="1">
        <v>35712</v>
      </c>
      <c r="E6828">
        <v>1.0973999999999999</v>
      </c>
    </row>
    <row r="6829" spans="4:5" x14ac:dyDescent="0.35">
      <c r="D6829" s="1">
        <v>35711</v>
      </c>
      <c r="E6829">
        <v>1.0971</v>
      </c>
    </row>
    <row r="6830" spans="4:5" x14ac:dyDescent="0.35">
      <c r="D6830" s="1">
        <v>35710</v>
      </c>
      <c r="E6830">
        <v>1.0969</v>
      </c>
    </row>
    <row r="6831" spans="4:5" x14ac:dyDescent="0.35">
      <c r="D6831" s="1">
        <v>35709</v>
      </c>
      <c r="E6831">
        <v>1.0966</v>
      </c>
    </row>
    <row r="6832" spans="4:5" x14ac:dyDescent="0.35">
      <c r="D6832" s="1">
        <v>35706</v>
      </c>
      <c r="E6832">
        <v>1.0963000000000001</v>
      </c>
    </row>
    <row r="6833" spans="4:5" x14ac:dyDescent="0.35">
      <c r="D6833" s="1">
        <v>35705</v>
      </c>
      <c r="E6833">
        <v>1.0962000000000001</v>
      </c>
    </row>
    <row r="6834" spans="4:5" x14ac:dyDescent="0.35">
      <c r="D6834" s="1">
        <v>35704</v>
      </c>
      <c r="E6834">
        <v>1.0959000000000001</v>
      </c>
    </row>
    <row r="6835" spans="4:5" x14ac:dyDescent="0.35">
      <c r="D6835" s="1">
        <v>35703</v>
      </c>
      <c r="E6835">
        <v>1.0955999999999999</v>
      </c>
    </row>
    <row r="6836" spans="4:5" x14ac:dyDescent="0.35">
      <c r="D6836" s="1">
        <v>35702</v>
      </c>
      <c r="E6836">
        <v>1.0953999999999999</v>
      </c>
    </row>
    <row r="6837" spans="4:5" x14ac:dyDescent="0.35">
      <c r="D6837" s="1">
        <v>35699</v>
      </c>
      <c r="E6837">
        <v>1.0952999999999999</v>
      </c>
    </row>
    <row r="6838" spans="4:5" x14ac:dyDescent="0.35">
      <c r="D6838" s="1">
        <v>35698</v>
      </c>
      <c r="E6838">
        <v>1.0947</v>
      </c>
    </row>
    <row r="6839" spans="4:5" x14ac:dyDescent="0.35">
      <c r="D6839" s="1">
        <v>35697</v>
      </c>
      <c r="E6839">
        <v>1.0946</v>
      </c>
    </row>
    <row r="6840" spans="4:5" x14ac:dyDescent="0.35">
      <c r="D6840" s="1">
        <v>35696</v>
      </c>
      <c r="E6840">
        <v>1.0944</v>
      </c>
    </row>
    <row r="6841" spans="4:5" x14ac:dyDescent="0.35">
      <c r="D6841" s="1">
        <v>35695</v>
      </c>
      <c r="E6841">
        <v>1.0941000000000001</v>
      </c>
    </row>
    <row r="6842" spans="4:5" x14ac:dyDescent="0.35">
      <c r="D6842" s="1">
        <v>35692</v>
      </c>
      <c r="E6842">
        <v>1.0934999999999999</v>
      </c>
    </row>
    <row r="6843" spans="4:5" x14ac:dyDescent="0.35">
      <c r="D6843" s="1">
        <v>35691</v>
      </c>
      <c r="E6843">
        <v>1.0933999999999999</v>
      </c>
    </row>
    <row r="6844" spans="4:5" x14ac:dyDescent="0.35">
      <c r="D6844" s="1">
        <v>35690</v>
      </c>
      <c r="E6844">
        <v>1.093</v>
      </c>
    </row>
    <row r="6845" spans="4:5" x14ac:dyDescent="0.35">
      <c r="D6845" s="1">
        <v>35689</v>
      </c>
      <c r="E6845">
        <v>1.0924</v>
      </c>
    </row>
    <row r="6846" spans="4:5" x14ac:dyDescent="0.35">
      <c r="D6846" s="1">
        <v>35688</v>
      </c>
      <c r="E6846">
        <v>1.0919000000000001</v>
      </c>
    </row>
    <row r="6847" spans="4:5" x14ac:dyDescent="0.35">
      <c r="D6847" s="1">
        <v>35685</v>
      </c>
      <c r="E6847">
        <v>1.0916999999999999</v>
      </c>
    </row>
    <row r="6848" spans="4:5" x14ac:dyDescent="0.35">
      <c r="D6848" s="1">
        <v>35684</v>
      </c>
      <c r="E6848">
        <v>1.0913999999999999</v>
      </c>
    </row>
    <row r="6849" spans="4:5" x14ac:dyDescent="0.35">
      <c r="D6849" s="1">
        <v>35683</v>
      </c>
      <c r="E6849">
        <v>1.091</v>
      </c>
    </row>
    <row r="6850" spans="4:5" x14ac:dyDescent="0.35">
      <c r="D6850" s="1">
        <v>35682</v>
      </c>
      <c r="E6850">
        <v>1.0907</v>
      </c>
    </row>
    <row r="6851" spans="4:5" x14ac:dyDescent="0.35">
      <c r="D6851" s="1">
        <v>35681</v>
      </c>
      <c r="E6851">
        <v>1.0908</v>
      </c>
    </row>
    <row r="6852" spans="4:5" x14ac:dyDescent="0.35">
      <c r="D6852" s="1">
        <v>35678</v>
      </c>
      <c r="E6852">
        <v>1.0921000000000001</v>
      </c>
    </row>
    <row r="6853" spans="4:5" x14ac:dyDescent="0.35">
      <c r="D6853" s="1">
        <v>35677</v>
      </c>
      <c r="E6853">
        <v>1.0916999999999999</v>
      </c>
    </row>
    <row r="6854" spans="4:5" x14ac:dyDescent="0.35">
      <c r="D6854" s="1">
        <v>35676</v>
      </c>
      <c r="E6854">
        <v>1.0916999999999999</v>
      </c>
    </row>
    <row r="6855" spans="4:5" x14ac:dyDescent="0.35">
      <c r="D6855" s="1">
        <v>35675</v>
      </c>
      <c r="E6855">
        <v>1.0913999999999999</v>
      </c>
    </row>
    <row r="6856" spans="4:5" x14ac:dyDescent="0.35">
      <c r="D6856" s="1">
        <v>35674</v>
      </c>
      <c r="E6856">
        <v>1.0906</v>
      </c>
    </row>
    <row r="6857" spans="4:5" x14ac:dyDescent="0.35">
      <c r="D6857" s="1">
        <v>35671</v>
      </c>
      <c r="E6857">
        <v>1.0908</v>
      </c>
    </row>
    <row r="6858" spans="4:5" x14ac:dyDescent="0.35">
      <c r="D6858" s="1">
        <v>35670</v>
      </c>
      <c r="E6858">
        <v>1.0908</v>
      </c>
    </row>
    <row r="6859" spans="4:5" x14ac:dyDescent="0.35">
      <c r="D6859" s="1">
        <v>35669</v>
      </c>
      <c r="E6859">
        <v>1.0913999999999999</v>
      </c>
    </row>
    <row r="6860" spans="4:5" x14ac:dyDescent="0.35">
      <c r="D6860" s="1">
        <v>35668</v>
      </c>
      <c r="E6860">
        <v>1.0916999999999999</v>
      </c>
    </row>
    <row r="6861" spans="4:5" x14ac:dyDescent="0.35">
      <c r="D6861" s="1">
        <v>35667</v>
      </c>
      <c r="E6861">
        <v>1.0911999999999999</v>
      </c>
    </row>
    <row r="6862" spans="4:5" x14ac:dyDescent="0.35">
      <c r="D6862" s="1">
        <v>35664</v>
      </c>
      <c r="E6862">
        <v>1.0904</v>
      </c>
    </row>
    <row r="6863" spans="4:5" x14ac:dyDescent="0.35">
      <c r="D6863" s="1">
        <v>35663</v>
      </c>
      <c r="E6863">
        <v>1.0880000000000001</v>
      </c>
    </row>
    <row r="6864" spans="4:5" x14ac:dyDescent="0.35">
      <c r="D6864" s="1">
        <v>35662</v>
      </c>
      <c r="E6864">
        <v>1.0882000000000001</v>
      </c>
    </row>
    <row r="6865" spans="4:5" x14ac:dyDescent="0.35">
      <c r="D6865" s="1">
        <v>35661</v>
      </c>
      <c r="E6865">
        <v>1.0886</v>
      </c>
    </row>
    <row r="6866" spans="4:5" x14ac:dyDescent="0.35">
      <c r="D6866" s="1">
        <v>35660</v>
      </c>
      <c r="E6866">
        <v>1.0876999999999999</v>
      </c>
    </row>
    <row r="6867" spans="4:5" x14ac:dyDescent="0.35">
      <c r="D6867" s="1">
        <v>35657</v>
      </c>
      <c r="E6867">
        <v>1.0865</v>
      </c>
    </row>
    <row r="6868" spans="4:5" x14ac:dyDescent="0.35">
      <c r="D6868" s="1">
        <v>35656</v>
      </c>
      <c r="E6868">
        <v>1.0855999999999999</v>
      </c>
    </row>
    <row r="6869" spans="4:5" x14ac:dyDescent="0.35">
      <c r="D6869" s="1">
        <v>35655</v>
      </c>
      <c r="E6869">
        <v>1.0854999999999999</v>
      </c>
    </row>
    <row r="6870" spans="4:5" x14ac:dyDescent="0.35">
      <c r="D6870" s="1">
        <v>35654</v>
      </c>
      <c r="E6870">
        <v>1.0851</v>
      </c>
    </row>
    <row r="6871" spans="4:5" x14ac:dyDescent="0.35">
      <c r="D6871" s="1">
        <v>35653</v>
      </c>
      <c r="E6871">
        <v>1.085</v>
      </c>
    </row>
    <row r="6872" spans="4:5" x14ac:dyDescent="0.35">
      <c r="D6872" s="1">
        <v>35650</v>
      </c>
      <c r="E6872">
        <v>1.085</v>
      </c>
    </row>
    <row r="6873" spans="4:5" x14ac:dyDescent="0.35">
      <c r="D6873" s="1">
        <v>35649</v>
      </c>
      <c r="E6873">
        <v>1.0843</v>
      </c>
    </row>
    <row r="6874" spans="4:5" x14ac:dyDescent="0.35">
      <c r="D6874" s="1">
        <v>35648</v>
      </c>
      <c r="E6874">
        <v>1.0837000000000001</v>
      </c>
    </row>
    <row r="6875" spans="4:5" x14ac:dyDescent="0.35">
      <c r="D6875" s="1">
        <v>35647</v>
      </c>
      <c r="E6875">
        <v>1.0834999999999999</v>
      </c>
    </row>
    <row r="6876" spans="4:5" x14ac:dyDescent="0.35">
      <c r="D6876" s="1">
        <v>35646</v>
      </c>
      <c r="E6876">
        <v>1.0827</v>
      </c>
    </row>
    <row r="6877" spans="4:5" x14ac:dyDescent="0.35">
      <c r="D6877" s="1">
        <v>35643</v>
      </c>
      <c r="E6877">
        <v>1.0827</v>
      </c>
    </row>
    <row r="6878" spans="4:5" x14ac:dyDescent="0.35">
      <c r="D6878" s="1">
        <v>35642</v>
      </c>
      <c r="E6878">
        <v>1.0826</v>
      </c>
    </row>
    <row r="6879" spans="4:5" x14ac:dyDescent="0.35">
      <c r="D6879" s="1">
        <v>35641</v>
      </c>
      <c r="E6879">
        <v>1.0826</v>
      </c>
    </row>
    <row r="6880" spans="4:5" x14ac:dyDescent="0.35">
      <c r="D6880" s="1">
        <v>35640</v>
      </c>
      <c r="E6880">
        <v>1.0825</v>
      </c>
    </row>
    <row r="6881" spans="4:5" x14ac:dyDescent="0.35">
      <c r="D6881" s="1">
        <v>35639</v>
      </c>
      <c r="E6881">
        <v>1.0819000000000001</v>
      </c>
    </row>
    <row r="6882" spans="4:5" x14ac:dyDescent="0.35">
      <c r="D6882" s="1">
        <v>35636</v>
      </c>
      <c r="E6882">
        <v>1.0815999999999999</v>
      </c>
    </row>
    <row r="6883" spans="4:5" x14ac:dyDescent="0.35">
      <c r="D6883" s="1">
        <v>35635</v>
      </c>
      <c r="E6883">
        <v>1.0813999999999999</v>
      </c>
    </row>
    <row r="6884" spans="4:5" x14ac:dyDescent="0.35">
      <c r="D6884" s="1">
        <v>35634</v>
      </c>
      <c r="E6884">
        <v>1.0814999999999999</v>
      </c>
    </row>
    <row r="6885" spans="4:5" x14ac:dyDescent="0.35">
      <c r="D6885" s="1">
        <v>35633</v>
      </c>
      <c r="E6885">
        <v>1.0809</v>
      </c>
    </row>
    <row r="6886" spans="4:5" x14ac:dyDescent="0.35">
      <c r="D6886" s="1">
        <v>35632</v>
      </c>
      <c r="E6886">
        <v>1.0807</v>
      </c>
    </row>
    <row r="6887" spans="4:5" x14ac:dyDescent="0.35">
      <c r="D6887" s="1">
        <v>35629</v>
      </c>
      <c r="E6887">
        <v>1.0808</v>
      </c>
    </row>
    <row r="6888" spans="4:5" x14ac:dyDescent="0.35">
      <c r="D6888" s="1">
        <v>35628</v>
      </c>
      <c r="E6888">
        <v>1.0804</v>
      </c>
    </row>
    <row r="6889" spans="4:5" x14ac:dyDescent="0.35">
      <c r="D6889" s="1">
        <v>35627</v>
      </c>
      <c r="E6889">
        <v>1.0803</v>
      </c>
    </row>
    <row r="6890" spans="4:5" x14ac:dyDescent="0.35">
      <c r="D6890" s="1">
        <v>35626</v>
      </c>
      <c r="E6890">
        <v>1.08</v>
      </c>
    </row>
    <row r="6891" spans="4:5" x14ac:dyDescent="0.35">
      <c r="D6891" s="1">
        <v>35625</v>
      </c>
      <c r="E6891">
        <v>1.0798000000000001</v>
      </c>
    </row>
    <row r="6892" spans="4:5" x14ac:dyDescent="0.35">
      <c r="D6892" s="1">
        <v>35622</v>
      </c>
      <c r="E6892">
        <v>1.0794999999999999</v>
      </c>
    </row>
    <row r="6893" spans="4:5" x14ac:dyDescent="0.35">
      <c r="D6893" s="1">
        <v>35621</v>
      </c>
      <c r="E6893">
        <v>1.0789</v>
      </c>
    </row>
    <row r="6894" spans="4:5" x14ac:dyDescent="0.35">
      <c r="D6894" s="1">
        <v>35620</v>
      </c>
      <c r="E6894">
        <v>1.0788</v>
      </c>
    </row>
    <row r="6895" spans="4:5" x14ac:dyDescent="0.35">
      <c r="D6895" s="1">
        <v>35619</v>
      </c>
      <c r="E6895">
        <v>1.0782</v>
      </c>
    </row>
    <row r="6896" spans="4:5" x14ac:dyDescent="0.35">
      <c r="D6896" s="1">
        <v>35618</v>
      </c>
      <c r="E6896">
        <v>1.0772999999999999</v>
      </c>
    </row>
    <row r="6897" spans="4:5" x14ac:dyDescent="0.35">
      <c r="D6897" s="1">
        <v>35615</v>
      </c>
      <c r="E6897">
        <v>1.0770999999999999</v>
      </c>
    </row>
    <row r="6898" spans="4:5" x14ac:dyDescent="0.35">
      <c r="D6898" s="1">
        <v>35614</v>
      </c>
      <c r="E6898">
        <v>1.077</v>
      </c>
    </row>
    <row r="6899" spans="4:5" x14ac:dyDescent="0.35">
      <c r="D6899" s="1">
        <v>35613</v>
      </c>
      <c r="E6899">
        <v>1.0765</v>
      </c>
    </row>
    <row r="6900" spans="4:5" x14ac:dyDescent="0.35">
      <c r="D6900" s="1">
        <v>35612</v>
      </c>
      <c r="E6900">
        <v>1.0763</v>
      </c>
    </row>
    <row r="6901" spans="4:5" x14ac:dyDescent="0.35">
      <c r="D6901" s="1">
        <v>35611</v>
      </c>
      <c r="E6901">
        <v>1.0761000000000001</v>
      </c>
    </row>
    <row r="6902" spans="4:5" x14ac:dyDescent="0.35">
      <c r="D6902" s="1">
        <v>35608</v>
      </c>
      <c r="E6902">
        <v>1.0764</v>
      </c>
    </row>
    <row r="6903" spans="4:5" x14ac:dyDescent="0.35">
      <c r="D6903" s="1">
        <v>35607</v>
      </c>
      <c r="E6903">
        <v>1.0760000000000001</v>
      </c>
    </row>
    <row r="6904" spans="4:5" x14ac:dyDescent="0.35">
      <c r="D6904" s="1">
        <v>35606</v>
      </c>
      <c r="E6904">
        <v>1.0761000000000001</v>
      </c>
    </row>
    <row r="6905" spans="4:5" x14ac:dyDescent="0.35">
      <c r="D6905" s="1">
        <v>35605</v>
      </c>
      <c r="E6905">
        <v>1.0762</v>
      </c>
    </row>
    <row r="6906" spans="4:5" x14ac:dyDescent="0.35">
      <c r="D6906" s="1">
        <v>35604</v>
      </c>
      <c r="E6906">
        <v>1.0761000000000001</v>
      </c>
    </row>
    <row r="6907" spans="4:5" x14ac:dyDescent="0.35">
      <c r="D6907" s="1">
        <v>35601</v>
      </c>
      <c r="E6907">
        <v>1.0769</v>
      </c>
    </row>
    <row r="6908" spans="4:5" x14ac:dyDescent="0.35">
      <c r="D6908" s="1">
        <v>35600</v>
      </c>
      <c r="E6908">
        <v>1.0749</v>
      </c>
    </row>
    <row r="6909" spans="4:5" x14ac:dyDescent="0.35">
      <c r="D6909" s="1">
        <v>35599</v>
      </c>
      <c r="E6909">
        <v>1.0742</v>
      </c>
    </row>
    <row r="6910" spans="4:5" x14ac:dyDescent="0.35">
      <c r="D6910" s="1">
        <v>35598</v>
      </c>
      <c r="E6910">
        <v>1.0732999999999999</v>
      </c>
    </row>
    <row r="6911" spans="4:5" x14ac:dyDescent="0.35">
      <c r="D6911" s="1">
        <v>35597</v>
      </c>
      <c r="E6911">
        <v>1.0732999999999999</v>
      </c>
    </row>
    <row r="6912" spans="4:5" x14ac:dyDescent="0.35">
      <c r="D6912" s="1">
        <v>35594</v>
      </c>
      <c r="E6912">
        <v>1.0737000000000001</v>
      </c>
    </row>
    <row r="6913" spans="4:5" x14ac:dyDescent="0.35">
      <c r="D6913" s="1">
        <v>35593</v>
      </c>
      <c r="E6913">
        <v>1.073</v>
      </c>
    </row>
    <row r="6914" spans="4:5" x14ac:dyDescent="0.35">
      <c r="D6914" s="1">
        <v>35592</v>
      </c>
      <c r="E6914">
        <v>1.0726</v>
      </c>
    </row>
    <row r="6915" spans="4:5" x14ac:dyDescent="0.35">
      <c r="D6915" s="1">
        <v>35591</v>
      </c>
      <c r="E6915">
        <v>1.0721000000000001</v>
      </c>
    </row>
    <row r="6916" spans="4:5" x14ac:dyDescent="0.35">
      <c r="D6916" s="1">
        <v>35590</v>
      </c>
      <c r="E6916">
        <v>1.0722</v>
      </c>
    </row>
    <row r="6917" spans="4:5" x14ac:dyDescent="0.35">
      <c r="D6917" s="1">
        <v>35587</v>
      </c>
      <c r="E6917">
        <v>1.0720000000000001</v>
      </c>
    </row>
    <row r="6918" spans="4:5" x14ac:dyDescent="0.35">
      <c r="D6918" s="1">
        <v>35586</v>
      </c>
      <c r="E6918">
        <v>1.0720000000000001</v>
      </c>
    </row>
    <row r="6919" spans="4:5" x14ac:dyDescent="0.35">
      <c r="D6919" s="1">
        <v>35585</v>
      </c>
      <c r="E6919">
        <v>1.0718000000000001</v>
      </c>
    </row>
    <row r="6920" spans="4:5" x14ac:dyDescent="0.35">
      <c r="D6920" s="1">
        <v>35584</v>
      </c>
      <c r="E6920">
        <v>1.0707</v>
      </c>
    </row>
    <row r="6921" spans="4:5" x14ac:dyDescent="0.35">
      <c r="D6921" s="1">
        <v>35583</v>
      </c>
      <c r="E6921">
        <v>1.0701000000000001</v>
      </c>
    </row>
    <row r="6922" spans="4:5" x14ac:dyDescent="0.35">
      <c r="D6922" s="1">
        <v>35580</v>
      </c>
      <c r="E6922">
        <v>1.0709</v>
      </c>
    </row>
    <row r="6923" spans="4:5" x14ac:dyDescent="0.35">
      <c r="D6923" s="1">
        <v>35578</v>
      </c>
      <c r="E6923">
        <v>1.0724</v>
      </c>
    </row>
    <row r="6924" spans="4:5" x14ac:dyDescent="0.35">
      <c r="D6924" s="1">
        <v>35577</v>
      </c>
      <c r="E6924">
        <v>1.0720000000000001</v>
      </c>
    </row>
    <row r="6925" spans="4:5" x14ac:dyDescent="0.35">
      <c r="D6925" s="1">
        <v>35576</v>
      </c>
      <c r="E6925">
        <v>1.0712999999999999</v>
      </c>
    </row>
    <row r="6926" spans="4:5" x14ac:dyDescent="0.35">
      <c r="D6926" s="1">
        <v>35573</v>
      </c>
      <c r="E6926">
        <v>1.0701000000000001</v>
      </c>
    </row>
    <row r="6927" spans="4:5" x14ac:dyDescent="0.35">
      <c r="D6927" s="1">
        <v>35572</v>
      </c>
      <c r="E6927">
        <v>1.069</v>
      </c>
    </row>
    <row r="6928" spans="4:5" x14ac:dyDescent="0.35">
      <c r="D6928" s="1">
        <v>35571</v>
      </c>
      <c r="E6928">
        <v>1.0681</v>
      </c>
    </row>
    <row r="6929" spans="4:5" x14ac:dyDescent="0.35">
      <c r="D6929" s="1">
        <v>35570</v>
      </c>
      <c r="E6929">
        <v>1.0677000000000001</v>
      </c>
    </row>
    <row r="6930" spans="4:5" x14ac:dyDescent="0.35">
      <c r="D6930" s="1">
        <v>35569</v>
      </c>
      <c r="E6930">
        <v>1.0671999999999999</v>
      </c>
    </row>
    <row r="6931" spans="4:5" x14ac:dyDescent="0.35">
      <c r="D6931" s="1">
        <v>35566</v>
      </c>
      <c r="E6931">
        <v>1.0669</v>
      </c>
    </row>
    <row r="6932" spans="4:5" x14ac:dyDescent="0.35">
      <c r="D6932" s="1">
        <v>35565</v>
      </c>
      <c r="E6932">
        <v>1.0669999999999999</v>
      </c>
    </row>
    <row r="6933" spans="4:5" x14ac:dyDescent="0.35">
      <c r="D6933" s="1">
        <v>35564</v>
      </c>
      <c r="E6933">
        <v>1.0674999999999999</v>
      </c>
    </row>
    <row r="6934" spans="4:5" x14ac:dyDescent="0.35">
      <c r="D6934" s="1">
        <v>35563</v>
      </c>
      <c r="E6934">
        <v>1.0671999999999999</v>
      </c>
    </row>
    <row r="6935" spans="4:5" x14ac:dyDescent="0.35">
      <c r="D6935" s="1">
        <v>35562</v>
      </c>
      <c r="E6935">
        <v>1.0665</v>
      </c>
    </row>
    <row r="6936" spans="4:5" x14ac:dyDescent="0.35">
      <c r="D6936" s="1">
        <v>35559</v>
      </c>
      <c r="E6936">
        <v>1.0651999999999999</v>
      </c>
    </row>
    <row r="6937" spans="4:5" x14ac:dyDescent="0.35">
      <c r="D6937" s="1">
        <v>35558</v>
      </c>
      <c r="E6937">
        <v>1.0643</v>
      </c>
    </row>
    <row r="6938" spans="4:5" x14ac:dyDescent="0.35">
      <c r="D6938" s="1">
        <v>35557</v>
      </c>
      <c r="E6938">
        <v>1.0645</v>
      </c>
    </row>
    <row r="6939" spans="4:5" x14ac:dyDescent="0.35">
      <c r="D6939" s="1">
        <v>35556</v>
      </c>
      <c r="E6939">
        <v>1.0642</v>
      </c>
    </row>
    <row r="6940" spans="4:5" x14ac:dyDescent="0.35">
      <c r="D6940" s="1">
        <v>35555</v>
      </c>
      <c r="E6940">
        <v>1.0639000000000001</v>
      </c>
    </row>
    <row r="6941" spans="4:5" x14ac:dyDescent="0.35">
      <c r="D6941" s="1">
        <v>35552</v>
      </c>
      <c r="E6941">
        <v>1.0634999999999999</v>
      </c>
    </row>
    <row r="6942" spans="4:5" x14ac:dyDescent="0.35">
      <c r="D6942" s="1">
        <v>35550</v>
      </c>
      <c r="E6942">
        <v>1.0629999999999999</v>
      </c>
    </row>
    <row r="6943" spans="4:5" x14ac:dyDescent="0.35">
      <c r="D6943" s="1">
        <v>35549</v>
      </c>
      <c r="E6943">
        <v>1.0625</v>
      </c>
    </row>
    <row r="6944" spans="4:5" x14ac:dyDescent="0.35">
      <c r="D6944" s="1">
        <v>35548</v>
      </c>
      <c r="E6944">
        <v>1.0624</v>
      </c>
    </row>
    <row r="6945" spans="4:5" x14ac:dyDescent="0.35">
      <c r="D6945" s="1">
        <v>35545</v>
      </c>
      <c r="E6945">
        <v>1.0624</v>
      </c>
    </row>
    <row r="6946" spans="4:5" x14ac:dyDescent="0.35">
      <c r="D6946" s="1">
        <v>35544</v>
      </c>
      <c r="E6946">
        <v>1.0623</v>
      </c>
    </row>
    <row r="6947" spans="4:5" x14ac:dyDescent="0.35">
      <c r="D6947" s="1">
        <v>35543</v>
      </c>
      <c r="E6947">
        <v>1.0625</v>
      </c>
    </row>
    <row r="6948" spans="4:5" x14ac:dyDescent="0.35">
      <c r="D6948" s="1">
        <v>35542</v>
      </c>
      <c r="E6948">
        <v>1.0621</v>
      </c>
    </row>
    <row r="6949" spans="4:5" x14ac:dyDescent="0.35">
      <c r="D6949" s="1">
        <v>35538</v>
      </c>
      <c r="E6949">
        <v>1.0609999999999999</v>
      </c>
    </row>
    <row r="6950" spans="4:5" x14ac:dyDescent="0.35">
      <c r="D6950" s="1">
        <v>35537</v>
      </c>
      <c r="E6950">
        <v>1.0605</v>
      </c>
    </row>
    <row r="6951" spans="4:5" x14ac:dyDescent="0.35">
      <c r="D6951" s="1">
        <v>35536</v>
      </c>
      <c r="E6951">
        <v>1.0603</v>
      </c>
    </row>
    <row r="6952" spans="4:5" x14ac:dyDescent="0.35">
      <c r="D6952" s="1">
        <v>35535</v>
      </c>
      <c r="E6952">
        <v>1.0598000000000001</v>
      </c>
    </row>
    <row r="6953" spans="4:5" x14ac:dyDescent="0.35">
      <c r="D6953" s="1">
        <v>35534</v>
      </c>
      <c r="E6953">
        <v>1.0591999999999999</v>
      </c>
    </row>
    <row r="6954" spans="4:5" x14ac:dyDescent="0.35">
      <c r="D6954" s="1">
        <v>35531</v>
      </c>
      <c r="E6954">
        <v>1.0587</v>
      </c>
    </row>
    <row r="6955" spans="4:5" x14ac:dyDescent="0.35">
      <c r="D6955" s="1">
        <v>35530</v>
      </c>
      <c r="E6955">
        <v>1.0581</v>
      </c>
    </row>
    <row r="6956" spans="4:5" x14ac:dyDescent="0.35">
      <c r="D6956" s="1">
        <v>35529</v>
      </c>
      <c r="E6956">
        <v>1.0582</v>
      </c>
    </row>
    <row r="6957" spans="4:5" x14ac:dyDescent="0.35">
      <c r="D6957" s="1">
        <v>35528</v>
      </c>
      <c r="E6957">
        <v>1.0580000000000001</v>
      </c>
    </row>
    <row r="6958" spans="4:5" x14ac:dyDescent="0.35">
      <c r="D6958" s="1">
        <v>35527</v>
      </c>
      <c r="E6958">
        <v>1.0582</v>
      </c>
    </row>
    <row r="6959" spans="4:5" x14ac:dyDescent="0.35">
      <c r="D6959" s="1">
        <v>35524</v>
      </c>
      <c r="E6959">
        <v>1.0577000000000001</v>
      </c>
    </row>
    <row r="6960" spans="4:5" x14ac:dyDescent="0.35">
      <c r="D6960" s="1">
        <v>35523</v>
      </c>
      <c r="E6960">
        <v>1.0576000000000001</v>
      </c>
    </row>
    <row r="6961" spans="4:5" x14ac:dyDescent="0.35">
      <c r="D6961" s="1">
        <v>35522</v>
      </c>
      <c r="E6961">
        <v>1.0589999999999999</v>
      </c>
    </row>
    <row r="6962" spans="4:5" x14ac:dyDescent="0.35">
      <c r="D6962" s="1">
        <v>35521</v>
      </c>
      <c r="E6962">
        <v>1.0586</v>
      </c>
    </row>
    <row r="6963" spans="4:5" x14ac:dyDescent="0.35">
      <c r="D6963" s="1">
        <v>35520</v>
      </c>
      <c r="E6963">
        <v>1.0585</v>
      </c>
    </row>
    <row r="6964" spans="4:5" x14ac:dyDescent="0.35">
      <c r="D6964" s="1">
        <v>35515</v>
      </c>
      <c r="E6964">
        <v>1.0601</v>
      </c>
    </row>
    <row r="6965" spans="4:5" x14ac:dyDescent="0.35">
      <c r="D6965" s="1">
        <v>35514</v>
      </c>
      <c r="E6965">
        <v>1.0604</v>
      </c>
    </row>
    <row r="6966" spans="4:5" x14ac:dyDescent="0.35">
      <c r="D6966" s="1">
        <v>35513</v>
      </c>
      <c r="E6966">
        <v>1.0607</v>
      </c>
    </row>
    <row r="6967" spans="4:5" x14ac:dyDescent="0.35">
      <c r="D6967" s="1">
        <v>35510</v>
      </c>
      <c r="E6967">
        <v>1.0603</v>
      </c>
    </row>
    <row r="6968" spans="4:5" x14ac:dyDescent="0.35">
      <c r="D6968" s="1">
        <v>35509</v>
      </c>
      <c r="E6968">
        <v>1.0593999999999999</v>
      </c>
    </row>
    <row r="6969" spans="4:5" x14ac:dyDescent="0.35">
      <c r="D6969" s="1">
        <v>35508</v>
      </c>
      <c r="E6969">
        <v>1.0597000000000001</v>
      </c>
    </row>
    <row r="6970" spans="4:5" x14ac:dyDescent="0.35">
      <c r="D6970" s="1">
        <v>35507</v>
      </c>
      <c r="E6970">
        <v>1.0581</v>
      </c>
    </row>
    <row r="6971" spans="4:5" x14ac:dyDescent="0.35">
      <c r="D6971" s="1">
        <v>35506</v>
      </c>
      <c r="E6971">
        <v>1.0573999999999999</v>
      </c>
    </row>
    <row r="6972" spans="4:5" x14ac:dyDescent="0.35">
      <c r="D6972" s="1">
        <v>35503</v>
      </c>
      <c r="E6972">
        <v>1.0546</v>
      </c>
    </row>
    <row r="6973" spans="4:5" x14ac:dyDescent="0.35">
      <c r="D6973" s="1">
        <v>35502</v>
      </c>
      <c r="E6973">
        <v>1.0548999999999999</v>
      </c>
    </row>
    <row r="6974" spans="4:5" x14ac:dyDescent="0.35">
      <c r="D6974" s="1">
        <v>35501</v>
      </c>
      <c r="E6974">
        <v>1.0536000000000001</v>
      </c>
    </row>
    <row r="6975" spans="4:5" x14ac:dyDescent="0.35">
      <c r="D6975" s="1">
        <v>35500</v>
      </c>
      <c r="E6975">
        <v>1.0530999999999999</v>
      </c>
    </row>
    <row r="6976" spans="4:5" x14ac:dyDescent="0.35">
      <c r="D6976" s="1">
        <v>35499</v>
      </c>
      <c r="E6976">
        <v>1.0524</v>
      </c>
    </row>
    <row r="6977" spans="4:5" x14ac:dyDescent="0.35">
      <c r="D6977" s="1">
        <v>35496</v>
      </c>
      <c r="E6977">
        <v>1.0524</v>
      </c>
    </row>
    <row r="6978" spans="4:5" x14ac:dyDescent="0.35">
      <c r="D6978" s="1">
        <v>35495</v>
      </c>
      <c r="E6978">
        <v>1.0522</v>
      </c>
    </row>
    <row r="6979" spans="4:5" x14ac:dyDescent="0.35">
      <c r="D6979" s="1">
        <v>35494</v>
      </c>
      <c r="E6979">
        <v>1.0518000000000001</v>
      </c>
    </row>
    <row r="6980" spans="4:5" x14ac:dyDescent="0.35">
      <c r="D6980" s="1">
        <v>35493</v>
      </c>
      <c r="E6980">
        <v>1.0508999999999999</v>
      </c>
    </row>
    <row r="6981" spans="4:5" x14ac:dyDescent="0.35">
      <c r="D6981" s="1">
        <v>35492</v>
      </c>
      <c r="E6981">
        <v>1.0507</v>
      </c>
    </row>
    <row r="6982" spans="4:5" x14ac:dyDescent="0.35">
      <c r="D6982" s="1">
        <v>35489</v>
      </c>
      <c r="E6982">
        <v>1.0507</v>
      </c>
    </row>
    <row r="6983" spans="4:5" x14ac:dyDescent="0.35">
      <c r="D6983" s="1">
        <v>35488</v>
      </c>
      <c r="E6983">
        <v>1.0507</v>
      </c>
    </row>
    <row r="6984" spans="4:5" x14ac:dyDescent="0.35">
      <c r="D6984" s="1">
        <v>35487</v>
      </c>
      <c r="E6984">
        <v>1.0508999999999999</v>
      </c>
    </row>
    <row r="6985" spans="4:5" x14ac:dyDescent="0.35">
      <c r="D6985" s="1">
        <v>35486</v>
      </c>
      <c r="E6985">
        <v>1.0503</v>
      </c>
    </row>
    <row r="6986" spans="4:5" x14ac:dyDescent="0.35">
      <c r="D6986" s="1">
        <v>35485</v>
      </c>
      <c r="E6986">
        <v>1.0499000000000001</v>
      </c>
    </row>
    <row r="6987" spans="4:5" x14ac:dyDescent="0.35">
      <c r="D6987" s="1">
        <v>35482</v>
      </c>
      <c r="E6987">
        <v>1.05</v>
      </c>
    </row>
    <row r="6988" spans="4:5" x14ac:dyDescent="0.35">
      <c r="D6988" s="1">
        <v>35481</v>
      </c>
      <c r="E6988">
        <v>1.0497000000000001</v>
      </c>
    </row>
    <row r="6989" spans="4:5" x14ac:dyDescent="0.35">
      <c r="D6989" s="1">
        <v>35480</v>
      </c>
      <c r="E6989">
        <v>1.0496000000000001</v>
      </c>
    </row>
    <row r="6990" spans="4:5" x14ac:dyDescent="0.35">
      <c r="D6990" s="1">
        <v>35479</v>
      </c>
      <c r="E6990">
        <v>1.0487</v>
      </c>
    </row>
    <row r="6991" spans="4:5" x14ac:dyDescent="0.35">
      <c r="D6991" s="1">
        <v>35478</v>
      </c>
      <c r="E6991">
        <v>1.0483</v>
      </c>
    </row>
    <row r="6992" spans="4:5" x14ac:dyDescent="0.35">
      <c r="D6992" s="1">
        <v>35475</v>
      </c>
      <c r="E6992">
        <v>1.0487</v>
      </c>
    </row>
    <row r="6993" spans="4:5" x14ac:dyDescent="0.35">
      <c r="D6993" s="1">
        <v>35474</v>
      </c>
      <c r="E6993">
        <v>1.0479000000000001</v>
      </c>
    </row>
    <row r="6994" spans="4:5" x14ac:dyDescent="0.35">
      <c r="D6994" s="1">
        <v>35473</v>
      </c>
      <c r="E6994">
        <v>1.0468</v>
      </c>
    </row>
    <row r="6995" spans="4:5" x14ac:dyDescent="0.35">
      <c r="D6995" s="1">
        <v>35468</v>
      </c>
      <c r="E6995">
        <v>1.0471999999999999</v>
      </c>
    </row>
    <row r="6996" spans="4:5" x14ac:dyDescent="0.35">
      <c r="D6996" s="1">
        <v>35467</v>
      </c>
      <c r="E6996">
        <v>1.0464</v>
      </c>
    </row>
    <row r="6997" spans="4:5" x14ac:dyDescent="0.35">
      <c r="D6997" s="1">
        <v>35466</v>
      </c>
      <c r="E6997">
        <v>1.0462</v>
      </c>
    </row>
    <row r="6998" spans="4:5" x14ac:dyDescent="0.35">
      <c r="D6998" s="1">
        <v>35465</v>
      </c>
      <c r="E6998">
        <v>1.0455000000000001</v>
      </c>
    </row>
    <row r="6999" spans="4:5" x14ac:dyDescent="0.35">
      <c r="D6999" s="1">
        <v>35464</v>
      </c>
      <c r="E6999">
        <v>1.0448999999999999</v>
      </c>
    </row>
    <row r="7000" spans="4:5" x14ac:dyDescent="0.35">
      <c r="D7000" s="1">
        <v>35461</v>
      </c>
      <c r="E7000">
        <v>1.0452999999999999</v>
      </c>
    </row>
    <row r="7001" spans="4:5" x14ac:dyDescent="0.35">
      <c r="D7001" s="1">
        <v>35460</v>
      </c>
      <c r="E7001">
        <v>1.0448999999999999</v>
      </c>
    </row>
    <row r="7002" spans="4:5" x14ac:dyDescent="0.35">
      <c r="D7002" s="1">
        <v>35459</v>
      </c>
      <c r="E7002">
        <v>1.0448</v>
      </c>
    </row>
    <row r="7003" spans="4:5" x14ac:dyDescent="0.35">
      <c r="D7003" s="1">
        <v>35458</v>
      </c>
      <c r="E7003">
        <v>1.0441</v>
      </c>
    </row>
    <row r="7004" spans="4:5" x14ac:dyDescent="0.35">
      <c r="D7004" s="1">
        <v>35457</v>
      </c>
      <c r="E7004">
        <v>1.0432999999999999</v>
      </c>
    </row>
    <row r="7005" spans="4:5" x14ac:dyDescent="0.35">
      <c r="D7005" s="1">
        <v>35454</v>
      </c>
      <c r="E7005">
        <v>1.0432999999999999</v>
      </c>
    </row>
    <row r="7006" spans="4:5" x14ac:dyDescent="0.35">
      <c r="D7006" s="1">
        <v>35453</v>
      </c>
      <c r="E7006">
        <v>1.0429999999999999</v>
      </c>
    </row>
    <row r="7007" spans="4:5" x14ac:dyDescent="0.35">
      <c r="D7007" s="1">
        <v>35452</v>
      </c>
      <c r="E7007">
        <v>1.0427999999999999</v>
      </c>
    </row>
    <row r="7008" spans="4:5" x14ac:dyDescent="0.35">
      <c r="D7008" s="1">
        <v>35451</v>
      </c>
      <c r="E7008">
        <v>1.0427</v>
      </c>
    </row>
    <row r="7009" spans="4:5" x14ac:dyDescent="0.35">
      <c r="D7009" s="1">
        <v>35450</v>
      </c>
      <c r="E7009">
        <v>1.0424</v>
      </c>
    </row>
    <row r="7010" spans="4:5" x14ac:dyDescent="0.35">
      <c r="D7010" s="1">
        <v>35447</v>
      </c>
      <c r="E7010">
        <v>1.0430999999999999</v>
      </c>
    </row>
    <row r="7011" spans="4:5" x14ac:dyDescent="0.35">
      <c r="D7011" s="1">
        <v>35446</v>
      </c>
      <c r="E7011">
        <v>1.0427999999999999</v>
      </c>
    </row>
    <row r="7012" spans="4:5" x14ac:dyDescent="0.35">
      <c r="D7012" s="1">
        <v>35445</v>
      </c>
      <c r="E7012">
        <v>1.0418000000000001</v>
      </c>
    </row>
    <row r="7013" spans="4:5" x14ac:dyDescent="0.35">
      <c r="D7013" s="1">
        <v>35444</v>
      </c>
      <c r="E7013">
        <v>1.0414000000000001</v>
      </c>
    </row>
    <row r="7014" spans="4:5" x14ac:dyDescent="0.35">
      <c r="D7014" s="1">
        <v>35443</v>
      </c>
      <c r="E7014">
        <v>1.0411999999999999</v>
      </c>
    </row>
    <row r="7015" spans="4:5" x14ac:dyDescent="0.35">
      <c r="D7015" s="1">
        <v>35440</v>
      </c>
      <c r="E7015">
        <v>1.0406</v>
      </c>
    </row>
    <row r="7016" spans="4:5" x14ac:dyDescent="0.35">
      <c r="D7016" s="1">
        <v>35439</v>
      </c>
      <c r="E7016">
        <v>1.0407</v>
      </c>
    </row>
    <row r="7017" spans="4:5" x14ac:dyDescent="0.35">
      <c r="D7017" s="1">
        <v>35438</v>
      </c>
      <c r="E7017">
        <v>1.0402</v>
      </c>
    </row>
    <row r="7018" spans="4:5" x14ac:dyDescent="0.35">
      <c r="D7018" s="1">
        <v>35437</v>
      </c>
      <c r="E7018">
        <v>1.0397000000000001</v>
      </c>
    </row>
    <row r="7019" spans="4:5" x14ac:dyDescent="0.35">
      <c r="D7019" s="1">
        <v>35436</v>
      </c>
      <c r="E7019">
        <v>1.0397000000000001</v>
      </c>
    </row>
    <row r="7020" spans="4:5" x14ac:dyDescent="0.35">
      <c r="D7020" s="1">
        <v>35433</v>
      </c>
      <c r="E7020">
        <v>1.0389999999999999</v>
      </c>
    </row>
    <row r="7021" spans="4:5" x14ac:dyDescent="0.35">
      <c r="D7021" s="1">
        <v>35432</v>
      </c>
      <c r="E7021">
        <v>1.0387</v>
      </c>
    </row>
    <row r="7022" spans="4:5" x14ac:dyDescent="0.35">
      <c r="D7022" s="1">
        <v>35430</v>
      </c>
      <c r="E7022">
        <v>1.0386</v>
      </c>
    </row>
    <row r="7023" spans="4:5" x14ac:dyDescent="0.35">
      <c r="D7023" s="1">
        <v>35429</v>
      </c>
      <c r="E7023">
        <v>1.0386</v>
      </c>
    </row>
    <row r="7024" spans="4:5" x14ac:dyDescent="0.35">
      <c r="D7024" s="1">
        <v>35426</v>
      </c>
      <c r="E7024">
        <v>1.0391999999999999</v>
      </c>
    </row>
    <row r="7025" spans="4:5" x14ac:dyDescent="0.35">
      <c r="D7025" s="1">
        <v>35425</v>
      </c>
      <c r="E7025">
        <v>1.0381</v>
      </c>
    </row>
    <row r="7026" spans="4:5" x14ac:dyDescent="0.35">
      <c r="D7026" s="1">
        <v>35423</v>
      </c>
      <c r="E7026">
        <v>1.0382</v>
      </c>
    </row>
    <row r="7027" spans="4:5" x14ac:dyDescent="0.35">
      <c r="D7027" s="1">
        <v>35422</v>
      </c>
      <c r="E7027">
        <v>1.038</v>
      </c>
    </row>
    <row r="7028" spans="4:5" x14ac:dyDescent="0.35">
      <c r="D7028" s="1">
        <v>35419</v>
      </c>
      <c r="E7028">
        <v>1.0379</v>
      </c>
    </row>
    <row r="7029" spans="4:5" x14ac:dyDescent="0.35">
      <c r="D7029" s="1">
        <v>35418</v>
      </c>
      <c r="E7029">
        <v>1.0376000000000001</v>
      </c>
    </row>
    <row r="7030" spans="4:5" x14ac:dyDescent="0.35">
      <c r="D7030" s="1">
        <v>35417</v>
      </c>
      <c r="E7030">
        <v>1.0375000000000001</v>
      </c>
    </row>
    <row r="7031" spans="4:5" x14ac:dyDescent="0.35">
      <c r="D7031" s="1">
        <v>35416</v>
      </c>
      <c r="E7031">
        <v>1.0399</v>
      </c>
    </row>
    <row r="7032" spans="4:5" x14ac:dyDescent="0.35">
      <c r="D7032" s="1">
        <v>35415</v>
      </c>
      <c r="E7032">
        <v>1.0381</v>
      </c>
    </row>
    <row r="7033" spans="4:5" x14ac:dyDescent="0.35">
      <c r="D7033" s="1">
        <v>35412</v>
      </c>
      <c r="E7033">
        <v>1.0373000000000001</v>
      </c>
    </row>
    <row r="7034" spans="4:5" x14ac:dyDescent="0.35">
      <c r="D7034" s="1">
        <v>35411</v>
      </c>
      <c r="E7034">
        <v>1.0367999999999999</v>
      </c>
    </row>
    <row r="7035" spans="4:5" x14ac:dyDescent="0.35">
      <c r="D7035" s="1">
        <v>35410</v>
      </c>
      <c r="E7035">
        <v>1.0361</v>
      </c>
    </row>
    <row r="7036" spans="4:5" x14ac:dyDescent="0.35">
      <c r="D7036" s="1">
        <v>35409</v>
      </c>
      <c r="E7036">
        <v>1.0350999999999999</v>
      </c>
    </row>
    <row r="7037" spans="4:5" x14ac:dyDescent="0.35">
      <c r="D7037" s="1">
        <v>35408</v>
      </c>
      <c r="E7037">
        <v>1.0342</v>
      </c>
    </row>
    <row r="7038" spans="4:5" x14ac:dyDescent="0.35">
      <c r="D7038" s="1">
        <v>35405</v>
      </c>
      <c r="E7038">
        <v>1.0343</v>
      </c>
    </row>
    <row r="7039" spans="4:5" x14ac:dyDescent="0.35">
      <c r="D7039" s="1">
        <v>35404</v>
      </c>
      <c r="E7039">
        <v>1.0338000000000001</v>
      </c>
    </row>
    <row r="7040" spans="4:5" x14ac:dyDescent="0.35">
      <c r="D7040" s="1">
        <v>35403</v>
      </c>
      <c r="E7040">
        <v>1.0329999999999999</v>
      </c>
    </row>
    <row r="7041" spans="4:5" x14ac:dyDescent="0.35">
      <c r="D7041" s="1">
        <v>35402</v>
      </c>
      <c r="E7041">
        <v>1.0323</v>
      </c>
    </row>
    <row r="7042" spans="4:5" x14ac:dyDescent="0.35">
      <c r="D7042" s="1">
        <v>35401</v>
      </c>
      <c r="E7042">
        <v>1.0323</v>
      </c>
    </row>
    <row r="7043" spans="4:5" x14ac:dyDescent="0.35">
      <c r="D7043" s="1">
        <v>35398</v>
      </c>
      <c r="E7043">
        <v>1.0324</v>
      </c>
    </row>
    <row r="7044" spans="4:5" x14ac:dyDescent="0.35">
      <c r="D7044" s="1">
        <v>35397</v>
      </c>
      <c r="E7044">
        <v>1.032</v>
      </c>
    </row>
    <row r="7045" spans="4:5" x14ac:dyDescent="0.35">
      <c r="D7045" s="1">
        <v>35396</v>
      </c>
      <c r="E7045">
        <v>1.0316000000000001</v>
      </c>
    </row>
    <row r="7046" spans="4:5" x14ac:dyDescent="0.35">
      <c r="D7046" s="1">
        <v>35395</v>
      </c>
      <c r="E7046">
        <v>1.0311999999999999</v>
      </c>
    </row>
    <row r="7047" spans="4:5" x14ac:dyDescent="0.35">
      <c r="D7047" s="1">
        <v>35394</v>
      </c>
      <c r="E7047">
        <v>1.0303</v>
      </c>
    </row>
    <row r="7048" spans="4:5" x14ac:dyDescent="0.35">
      <c r="D7048" s="1">
        <v>35391</v>
      </c>
      <c r="E7048">
        <v>1.0303</v>
      </c>
    </row>
    <row r="7049" spans="4:5" x14ac:dyDescent="0.35">
      <c r="D7049" s="1">
        <v>35390</v>
      </c>
      <c r="E7049">
        <v>1.0303</v>
      </c>
    </row>
    <row r="7050" spans="4:5" x14ac:dyDescent="0.35">
      <c r="D7050" s="1">
        <v>35389</v>
      </c>
      <c r="E7050">
        <v>1.03</v>
      </c>
    </row>
    <row r="7051" spans="4:5" x14ac:dyDescent="0.35">
      <c r="D7051" s="1">
        <v>35388</v>
      </c>
      <c r="E7051">
        <v>1.0295000000000001</v>
      </c>
    </row>
    <row r="7052" spans="4:5" x14ac:dyDescent="0.35">
      <c r="D7052" s="1">
        <v>35387</v>
      </c>
      <c r="E7052">
        <v>1.0296000000000001</v>
      </c>
    </row>
    <row r="7053" spans="4:5" x14ac:dyDescent="0.35">
      <c r="D7053" s="1">
        <v>35383</v>
      </c>
      <c r="E7053">
        <v>1.0297000000000001</v>
      </c>
    </row>
    <row r="7054" spans="4:5" x14ac:dyDescent="0.35">
      <c r="D7054" s="1">
        <v>35382</v>
      </c>
      <c r="E7054">
        <v>1.0301</v>
      </c>
    </row>
    <row r="7055" spans="4:5" x14ac:dyDescent="0.35">
      <c r="D7055" s="1">
        <v>35381</v>
      </c>
      <c r="E7055">
        <v>1.0303</v>
      </c>
    </row>
    <row r="7056" spans="4:5" x14ac:dyDescent="0.35">
      <c r="D7056" s="1">
        <v>35380</v>
      </c>
      <c r="E7056">
        <v>1.0288999999999999</v>
      </c>
    </row>
    <row r="7057" spans="4:5" x14ac:dyDescent="0.35">
      <c r="D7057" s="1">
        <v>35377</v>
      </c>
      <c r="E7057">
        <v>1.0286999999999999</v>
      </c>
    </row>
    <row r="7058" spans="4:5" x14ac:dyDescent="0.35">
      <c r="D7058" s="1">
        <v>35376</v>
      </c>
      <c r="E7058">
        <v>1.028</v>
      </c>
    </row>
    <row r="7059" spans="4:5" x14ac:dyDescent="0.35">
      <c r="D7059" s="1">
        <v>35375</v>
      </c>
      <c r="E7059">
        <v>1.0271999999999999</v>
      </c>
    </row>
    <row r="7060" spans="4:5" x14ac:dyDescent="0.35">
      <c r="D7060" s="1">
        <v>35374</v>
      </c>
      <c r="E7060">
        <v>1.0271999999999999</v>
      </c>
    </row>
    <row r="7061" spans="4:5" x14ac:dyDescent="0.35">
      <c r="D7061" s="1">
        <v>35373</v>
      </c>
      <c r="E7061">
        <v>1.0271999999999999</v>
      </c>
    </row>
    <row r="7062" spans="4:5" x14ac:dyDescent="0.35">
      <c r="D7062" s="1">
        <v>35370</v>
      </c>
      <c r="E7062">
        <v>1.0271999999999999</v>
      </c>
    </row>
    <row r="7063" spans="4:5" x14ac:dyDescent="0.35">
      <c r="D7063" s="1">
        <v>35369</v>
      </c>
      <c r="E7063">
        <v>1.0267999999999999</v>
      </c>
    </row>
    <row r="7064" spans="4:5" x14ac:dyDescent="0.35">
      <c r="D7064" s="1">
        <v>35368</v>
      </c>
      <c r="E7064">
        <v>1.0266999999999999</v>
      </c>
    </row>
    <row r="7065" spans="4:5" x14ac:dyDescent="0.35">
      <c r="D7065" s="1">
        <v>35367</v>
      </c>
      <c r="E7065">
        <v>1.0277000000000001</v>
      </c>
    </row>
    <row r="7066" spans="4:5" x14ac:dyDescent="0.35">
      <c r="D7066" s="1">
        <v>35366</v>
      </c>
      <c r="E7066">
        <v>1.0270999999999999</v>
      </c>
    </row>
    <row r="7067" spans="4:5" x14ac:dyDescent="0.35">
      <c r="D7067" s="1">
        <v>35363</v>
      </c>
      <c r="E7067">
        <v>1.0264</v>
      </c>
    </row>
    <row r="7068" spans="4:5" x14ac:dyDescent="0.35">
      <c r="D7068" s="1">
        <v>35362</v>
      </c>
      <c r="E7068">
        <v>1.0256000000000001</v>
      </c>
    </row>
    <row r="7069" spans="4:5" x14ac:dyDescent="0.35">
      <c r="D7069" s="1">
        <v>35361</v>
      </c>
      <c r="E7069">
        <v>1.0262</v>
      </c>
    </row>
    <row r="7070" spans="4:5" x14ac:dyDescent="0.35">
      <c r="D7070" s="1">
        <v>35360</v>
      </c>
      <c r="E7070">
        <v>1.0255000000000001</v>
      </c>
    </row>
    <row r="7071" spans="4:5" x14ac:dyDescent="0.35">
      <c r="D7071" s="1">
        <v>35359</v>
      </c>
      <c r="E7071">
        <v>1.0246</v>
      </c>
    </row>
    <row r="7072" spans="4:5" x14ac:dyDescent="0.35">
      <c r="D7072" s="1">
        <v>35356</v>
      </c>
      <c r="E7072">
        <v>1.0244</v>
      </c>
    </row>
    <row r="7073" spans="4:5" x14ac:dyDescent="0.35">
      <c r="D7073" s="1">
        <v>35355</v>
      </c>
      <c r="E7073">
        <v>1.0242</v>
      </c>
    </row>
    <row r="7074" spans="4:5" x14ac:dyDescent="0.35">
      <c r="D7074" s="1">
        <v>35354</v>
      </c>
      <c r="E7074">
        <v>1.0245</v>
      </c>
    </row>
    <row r="7075" spans="4:5" x14ac:dyDescent="0.35">
      <c r="D7075" s="1">
        <v>35353</v>
      </c>
      <c r="E7075">
        <v>1.0243</v>
      </c>
    </row>
    <row r="7076" spans="4:5" x14ac:dyDescent="0.35">
      <c r="D7076" s="1">
        <v>35352</v>
      </c>
      <c r="E7076">
        <v>1.0239</v>
      </c>
    </row>
    <row r="7077" spans="4:5" x14ac:dyDescent="0.35">
      <c r="D7077" s="1">
        <v>35349</v>
      </c>
      <c r="E7077">
        <v>1.0246</v>
      </c>
    </row>
    <row r="7078" spans="4:5" x14ac:dyDescent="0.35">
      <c r="D7078" s="1">
        <v>35348</v>
      </c>
      <c r="E7078">
        <v>1.0239</v>
      </c>
    </row>
    <row r="7079" spans="4:5" x14ac:dyDescent="0.35">
      <c r="D7079" s="1">
        <v>35347</v>
      </c>
      <c r="E7079">
        <v>1.0225</v>
      </c>
    </row>
    <row r="7080" spans="4:5" x14ac:dyDescent="0.35">
      <c r="D7080" s="1">
        <v>35346</v>
      </c>
      <c r="E7080">
        <v>1.0217000000000001</v>
      </c>
    </row>
    <row r="7081" spans="4:5" x14ac:dyDescent="0.35">
      <c r="D7081" s="1">
        <v>35345</v>
      </c>
      <c r="E7081">
        <v>1.0217000000000001</v>
      </c>
    </row>
    <row r="7082" spans="4:5" x14ac:dyDescent="0.35">
      <c r="D7082" s="1">
        <v>35342</v>
      </c>
      <c r="E7082">
        <v>1.0212000000000001</v>
      </c>
    </row>
    <row r="7083" spans="4:5" x14ac:dyDescent="0.35">
      <c r="D7083" s="1">
        <v>35340</v>
      </c>
      <c r="E7083">
        <v>1.0206999999999999</v>
      </c>
    </row>
    <row r="7084" spans="4:5" x14ac:dyDescent="0.35">
      <c r="D7084" s="1">
        <v>35339</v>
      </c>
      <c r="E7084">
        <v>1.0206999999999999</v>
      </c>
    </row>
    <row r="7085" spans="4:5" x14ac:dyDescent="0.35">
      <c r="D7085" s="1">
        <v>35338</v>
      </c>
      <c r="E7085">
        <v>1.0206999999999999</v>
      </c>
    </row>
    <row r="7086" spans="4:5" x14ac:dyDescent="0.35">
      <c r="D7086" s="1">
        <v>35335</v>
      </c>
      <c r="E7086">
        <v>1.0202</v>
      </c>
    </row>
    <row r="7087" spans="4:5" x14ac:dyDescent="0.35">
      <c r="D7087" s="1">
        <v>35334</v>
      </c>
      <c r="E7087">
        <v>1.0197000000000001</v>
      </c>
    </row>
    <row r="7088" spans="4:5" x14ac:dyDescent="0.35">
      <c r="D7088" s="1">
        <v>35333</v>
      </c>
      <c r="E7088">
        <v>1.0197000000000001</v>
      </c>
    </row>
    <row r="7089" spans="4:5" x14ac:dyDescent="0.35">
      <c r="D7089" s="1">
        <v>35332</v>
      </c>
      <c r="E7089">
        <v>1.0194000000000001</v>
      </c>
    </row>
    <row r="7090" spans="4:5" x14ac:dyDescent="0.35">
      <c r="D7090" s="1">
        <v>35331</v>
      </c>
      <c r="E7090">
        <v>1.0194000000000001</v>
      </c>
    </row>
    <row r="7091" spans="4:5" x14ac:dyDescent="0.35">
      <c r="D7091" s="1">
        <v>35328</v>
      </c>
      <c r="E7091">
        <v>1.0190999999999999</v>
      </c>
    </row>
    <row r="7092" spans="4:5" x14ac:dyDescent="0.35">
      <c r="D7092" s="1">
        <v>35327</v>
      </c>
      <c r="E7092">
        <v>1.0187999999999999</v>
      </c>
    </row>
    <row r="7093" spans="4:5" x14ac:dyDescent="0.35">
      <c r="D7093" s="1">
        <v>35326</v>
      </c>
      <c r="E7093">
        <v>1.0187999999999999</v>
      </c>
    </row>
    <row r="7094" spans="4:5" x14ac:dyDescent="0.35">
      <c r="D7094" s="1">
        <v>35325</v>
      </c>
      <c r="E7094">
        <v>1.0186999999999999</v>
      </c>
    </row>
    <row r="7095" spans="4:5" x14ac:dyDescent="0.35">
      <c r="D7095" s="1">
        <v>35324</v>
      </c>
      <c r="E7095">
        <v>1.0184</v>
      </c>
    </row>
    <row r="7096" spans="4:5" x14ac:dyDescent="0.35">
      <c r="D7096" s="1">
        <v>35321</v>
      </c>
      <c r="E7096">
        <v>1.0192000000000001</v>
      </c>
    </row>
    <row r="7097" spans="4:5" x14ac:dyDescent="0.35">
      <c r="D7097" s="1">
        <v>35320</v>
      </c>
      <c r="E7097">
        <v>1.0188999999999999</v>
      </c>
    </row>
    <row r="7098" spans="4:5" x14ac:dyDescent="0.35">
      <c r="D7098" s="1">
        <v>35319</v>
      </c>
      <c r="E7098">
        <v>1.018</v>
      </c>
    </row>
    <row r="7099" spans="4:5" x14ac:dyDescent="0.35">
      <c r="D7099" s="1">
        <v>35318</v>
      </c>
      <c r="E7099">
        <v>1.0194000000000001</v>
      </c>
    </row>
    <row r="7100" spans="4:5" x14ac:dyDescent="0.35">
      <c r="D7100" s="1">
        <v>35317</v>
      </c>
      <c r="E7100">
        <v>1.0182</v>
      </c>
    </row>
    <row r="7101" spans="4:5" x14ac:dyDescent="0.35">
      <c r="D7101" s="1">
        <v>35314</v>
      </c>
      <c r="E7101">
        <v>1.0170999999999999</v>
      </c>
    </row>
    <row r="7102" spans="4:5" x14ac:dyDescent="0.35">
      <c r="D7102" s="1">
        <v>35313</v>
      </c>
      <c r="E7102">
        <v>1.0165999999999999</v>
      </c>
    </row>
    <row r="7103" spans="4:5" x14ac:dyDescent="0.35">
      <c r="D7103" s="1">
        <v>35312</v>
      </c>
      <c r="E7103">
        <v>1.0164</v>
      </c>
    </row>
    <row r="7104" spans="4:5" x14ac:dyDescent="0.35">
      <c r="D7104" s="1">
        <v>35311</v>
      </c>
      <c r="E7104">
        <v>1.0159</v>
      </c>
    </row>
    <row r="7105" spans="4:5" x14ac:dyDescent="0.35">
      <c r="D7105" s="1">
        <v>35310</v>
      </c>
      <c r="E7105">
        <v>1.0157</v>
      </c>
    </row>
    <row r="7106" spans="4:5" x14ac:dyDescent="0.35">
      <c r="D7106" s="1">
        <v>35307</v>
      </c>
      <c r="E7106">
        <v>1.0161</v>
      </c>
    </row>
    <row r="7107" spans="4:5" x14ac:dyDescent="0.35">
      <c r="D7107" s="1">
        <v>35306</v>
      </c>
      <c r="E7107">
        <v>1.0159</v>
      </c>
    </row>
    <row r="7108" spans="4:5" x14ac:dyDescent="0.35">
      <c r="D7108" s="1">
        <v>35305</v>
      </c>
      <c r="E7108">
        <v>1.0153000000000001</v>
      </c>
    </row>
    <row r="7109" spans="4:5" x14ac:dyDescent="0.35">
      <c r="D7109" s="1">
        <v>35304</v>
      </c>
      <c r="E7109">
        <v>1.0150999999999999</v>
      </c>
    </row>
    <row r="7110" spans="4:5" x14ac:dyDescent="0.35">
      <c r="D7110" s="1">
        <v>35303</v>
      </c>
      <c r="E7110">
        <v>1.0146999999999999</v>
      </c>
    </row>
    <row r="7111" spans="4:5" x14ac:dyDescent="0.35">
      <c r="D7111" s="1">
        <v>35300</v>
      </c>
      <c r="E7111">
        <v>1.0145</v>
      </c>
    </row>
    <row r="7112" spans="4:5" x14ac:dyDescent="0.35">
      <c r="D7112" s="1">
        <v>35299</v>
      </c>
      <c r="E7112">
        <v>1.014</v>
      </c>
    </row>
    <row r="7113" spans="4:5" x14ac:dyDescent="0.35">
      <c r="D7113" s="1">
        <v>35298</v>
      </c>
      <c r="E7113">
        <v>1.0139</v>
      </c>
    </row>
    <row r="7114" spans="4:5" x14ac:dyDescent="0.35">
      <c r="D7114" s="1">
        <v>35297</v>
      </c>
      <c r="E7114">
        <v>1.0136000000000001</v>
      </c>
    </row>
    <row r="7115" spans="4:5" x14ac:dyDescent="0.35">
      <c r="D7115" s="1">
        <v>35296</v>
      </c>
      <c r="E7115">
        <v>1.0127999999999999</v>
      </c>
    </row>
    <row r="7116" spans="4:5" x14ac:dyDescent="0.35">
      <c r="D7116" s="1">
        <v>35293</v>
      </c>
      <c r="E7116">
        <v>1.0126999999999999</v>
      </c>
    </row>
    <row r="7117" spans="4:5" x14ac:dyDescent="0.35">
      <c r="D7117" s="1">
        <v>35292</v>
      </c>
      <c r="E7117">
        <v>1.0122</v>
      </c>
    </row>
    <row r="7118" spans="4:5" x14ac:dyDescent="0.35">
      <c r="D7118" s="1">
        <v>35291</v>
      </c>
      <c r="E7118">
        <v>1.0121</v>
      </c>
    </row>
    <row r="7119" spans="4:5" x14ac:dyDescent="0.35">
      <c r="D7119" s="1">
        <v>35290</v>
      </c>
      <c r="E7119">
        <v>1.0118</v>
      </c>
    </row>
    <row r="7120" spans="4:5" x14ac:dyDescent="0.35">
      <c r="D7120" s="1">
        <v>35289</v>
      </c>
      <c r="E7120">
        <v>1.0114000000000001</v>
      </c>
    </row>
    <row r="7121" spans="4:5" x14ac:dyDescent="0.35">
      <c r="D7121" s="1">
        <v>35286</v>
      </c>
      <c r="E7121">
        <v>1.0111000000000001</v>
      </c>
    </row>
    <row r="7122" spans="4:5" x14ac:dyDescent="0.35">
      <c r="D7122" s="1">
        <v>35285</v>
      </c>
      <c r="E7122">
        <v>1.0106999999999999</v>
      </c>
    </row>
    <row r="7123" spans="4:5" x14ac:dyDescent="0.35">
      <c r="D7123" s="1">
        <v>35284</v>
      </c>
      <c r="E7123">
        <v>1.0107999999999999</v>
      </c>
    </row>
    <row r="7124" spans="4:5" x14ac:dyDescent="0.35">
      <c r="D7124" s="1">
        <v>35283</v>
      </c>
      <c r="E7124">
        <v>1.0099</v>
      </c>
    </row>
    <row r="7125" spans="4:5" x14ac:dyDescent="0.35">
      <c r="D7125" s="1">
        <v>35282</v>
      </c>
      <c r="E7125">
        <v>1.0093000000000001</v>
      </c>
    </row>
    <row r="7126" spans="4:5" x14ac:dyDescent="0.35">
      <c r="D7126" s="1">
        <v>35279</v>
      </c>
      <c r="E7126">
        <v>1.0096000000000001</v>
      </c>
    </row>
    <row r="7127" spans="4:5" x14ac:dyDescent="0.35">
      <c r="D7127" s="1">
        <v>35278</v>
      </c>
      <c r="E7127">
        <v>1.01</v>
      </c>
    </row>
    <row r="7128" spans="4:5" x14ac:dyDescent="0.35">
      <c r="D7128" s="1">
        <v>35277</v>
      </c>
      <c r="E7128">
        <v>1.0104</v>
      </c>
    </row>
    <row r="7129" spans="4:5" x14ac:dyDescent="0.35">
      <c r="D7129" s="1">
        <v>35276</v>
      </c>
      <c r="E7129">
        <v>1.0099</v>
      </c>
    </row>
    <row r="7130" spans="4:5" x14ac:dyDescent="0.35">
      <c r="D7130" s="1">
        <v>35275</v>
      </c>
      <c r="E7130">
        <v>1.0091000000000001</v>
      </c>
    </row>
    <row r="7131" spans="4:5" x14ac:dyDescent="0.35">
      <c r="D7131" s="1">
        <v>35272</v>
      </c>
      <c r="E7131">
        <v>1.0084</v>
      </c>
    </row>
    <row r="7132" spans="4:5" x14ac:dyDescent="0.35">
      <c r="D7132" s="1">
        <v>35271</v>
      </c>
      <c r="E7132">
        <v>1.0079</v>
      </c>
    </row>
    <row r="7133" spans="4:5" x14ac:dyDescent="0.35">
      <c r="D7133" s="1">
        <v>35270</v>
      </c>
      <c r="E7133">
        <v>1.0078</v>
      </c>
    </row>
    <row r="7134" spans="4:5" x14ac:dyDescent="0.35">
      <c r="D7134" s="1">
        <v>35269</v>
      </c>
      <c r="E7134">
        <v>1.0069999999999999</v>
      </c>
    </row>
    <row r="7135" spans="4:5" x14ac:dyDescent="0.35">
      <c r="D7135" s="1">
        <v>35268</v>
      </c>
      <c r="E7135">
        <v>1.0068999999999999</v>
      </c>
    </row>
    <row r="7136" spans="4:5" x14ac:dyDescent="0.35">
      <c r="D7136" s="1">
        <v>35265</v>
      </c>
      <c r="E7136">
        <v>1.0066999999999999</v>
      </c>
    </row>
    <row r="7137" spans="4:5" x14ac:dyDescent="0.35">
      <c r="D7137" s="1">
        <v>35264</v>
      </c>
      <c r="E7137">
        <v>1.0063</v>
      </c>
    </row>
    <row r="7138" spans="4:5" x14ac:dyDescent="0.35">
      <c r="D7138" s="1">
        <v>35263</v>
      </c>
      <c r="E7138">
        <v>1.0058</v>
      </c>
    </row>
    <row r="7139" spans="4:5" x14ac:dyDescent="0.35">
      <c r="D7139" s="1">
        <v>35262</v>
      </c>
      <c r="E7139">
        <v>1.0057</v>
      </c>
    </row>
    <row r="7140" spans="4:5" x14ac:dyDescent="0.35">
      <c r="D7140" s="1">
        <v>35261</v>
      </c>
      <c r="E7140">
        <v>1.0054000000000001</v>
      </c>
    </row>
    <row r="7141" spans="4:5" x14ac:dyDescent="0.35">
      <c r="D7141" s="1">
        <v>35258</v>
      </c>
      <c r="E7141">
        <v>1.0047999999999999</v>
      </c>
    </row>
    <row r="7142" spans="4:5" x14ac:dyDescent="0.35">
      <c r="D7142" s="1">
        <v>35257</v>
      </c>
      <c r="E7142">
        <v>1.0047999999999999</v>
      </c>
    </row>
    <row r="7143" spans="4:5" x14ac:dyDescent="0.35">
      <c r="D7143" s="1">
        <v>35256</v>
      </c>
      <c r="E7143">
        <v>1.0048999999999999</v>
      </c>
    </row>
    <row r="7144" spans="4:5" x14ac:dyDescent="0.35">
      <c r="D7144" s="1">
        <v>35255</v>
      </c>
      <c r="E7144">
        <v>1.0046999999999999</v>
      </c>
    </row>
    <row r="7145" spans="4:5" x14ac:dyDescent="0.35">
      <c r="D7145" s="1">
        <v>35254</v>
      </c>
      <c r="E7145">
        <v>1.0041</v>
      </c>
    </row>
    <row r="7146" spans="4:5" x14ac:dyDescent="0.35">
      <c r="D7146" s="1">
        <v>35251</v>
      </c>
      <c r="E7146">
        <v>1.004</v>
      </c>
    </row>
    <row r="7147" spans="4:5" x14ac:dyDescent="0.35">
      <c r="D7147" s="1">
        <v>35250</v>
      </c>
      <c r="E7147">
        <v>1.0041</v>
      </c>
    </row>
    <row r="7148" spans="4:5" x14ac:dyDescent="0.35">
      <c r="D7148" s="1">
        <v>35249</v>
      </c>
      <c r="E7148">
        <v>1.0043</v>
      </c>
    </row>
    <row r="7149" spans="4:5" x14ac:dyDescent="0.35">
      <c r="D7149" s="1">
        <v>35248</v>
      </c>
      <c r="E7149">
        <v>1.0044</v>
      </c>
    </row>
    <row r="7150" spans="4:5" x14ac:dyDescent="0.35">
      <c r="D7150" s="1">
        <v>35247</v>
      </c>
      <c r="E7150">
        <v>1.0037</v>
      </c>
    </row>
    <row r="7151" spans="4:5" x14ac:dyDescent="0.35">
      <c r="D7151" s="1">
        <v>35244</v>
      </c>
      <c r="E7151">
        <v>1.0036</v>
      </c>
    </row>
    <row r="7152" spans="4:5" x14ac:dyDescent="0.35">
      <c r="D7152" s="1">
        <v>35243</v>
      </c>
      <c r="E7152">
        <v>1.0027999999999999</v>
      </c>
    </row>
    <row r="7153" spans="4:5" x14ac:dyDescent="0.35">
      <c r="D7153" s="1">
        <v>35242</v>
      </c>
      <c r="E7153">
        <v>1.0031000000000001</v>
      </c>
    </row>
    <row r="7154" spans="4:5" x14ac:dyDescent="0.35">
      <c r="D7154" s="1">
        <v>35241</v>
      </c>
      <c r="E7154">
        <v>1.0021</v>
      </c>
    </row>
    <row r="7155" spans="4:5" x14ac:dyDescent="0.35">
      <c r="D7155" s="1">
        <v>35240</v>
      </c>
      <c r="E7155">
        <v>1.0022</v>
      </c>
    </row>
    <row r="7156" spans="4:5" x14ac:dyDescent="0.35">
      <c r="D7156" s="1">
        <v>35237</v>
      </c>
      <c r="E7156">
        <v>1.0022</v>
      </c>
    </row>
    <row r="7157" spans="4:5" x14ac:dyDescent="0.35">
      <c r="D7157" s="1">
        <v>35236</v>
      </c>
      <c r="E7157">
        <v>1.0017</v>
      </c>
    </row>
    <row r="7158" spans="4:5" x14ac:dyDescent="0.35">
      <c r="D7158" s="1">
        <v>35235</v>
      </c>
      <c r="E7158">
        <v>1.0012000000000001</v>
      </c>
    </row>
    <row r="7159" spans="4:5" x14ac:dyDescent="0.35">
      <c r="D7159" s="1">
        <v>35234</v>
      </c>
      <c r="E7159">
        <v>1.0007999999999999</v>
      </c>
    </row>
    <row r="7160" spans="4:5" x14ac:dyDescent="0.35">
      <c r="D7160" s="1">
        <v>35233</v>
      </c>
      <c r="E7160">
        <v>1.0007999999999999</v>
      </c>
    </row>
    <row r="7161" spans="4:5" x14ac:dyDescent="0.35">
      <c r="D7161" s="1">
        <v>35230</v>
      </c>
      <c r="E7161">
        <v>1.0006999999999999</v>
      </c>
    </row>
    <row r="7162" spans="4:5" x14ac:dyDescent="0.35">
      <c r="D7162" s="1">
        <v>35229</v>
      </c>
      <c r="E7162">
        <v>0.99970000000000003</v>
      </c>
    </row>
    <row r="7163" spans="4:5" x14ac:dyDescent="0.35">
      <c r="D7163" s="1">
        <v>35228</v>
      </c>
      <c r="E7163">
        <v>0.99990000000000001</v>
      </c>
    </row>
    <row r="7164" spans="4:5" x14ac:dyDescent="0.35">
      <c r="D7164" s="1">
        <v>35227</v>
      </c>
      <c r="E7164">
        <v>0.99880000000000002</v>
      </c>
    </row>
    <row r="7165" spans="4:5" x14ac:dyDescent="0.35">
      <c r="D7165" s="1">
        <v>35226</v>
      </c>
      <c r="E7165">
        <v>0.999</v>
      </c>
    </row>
    <row r="7166" spans="4:5" x14ac:dyDescent="0.35">
      <c r="D7166" s="1">
        <v>35223</v>
      </c>
      <c r="E7166">
        <v>0.99809999999999999</v>
      </c>
    </row>
    <row r="7167" spans="4:5" x14ac:dyDescent="0.35">
      <c r="D7167" s="1">
        <v>35221</v>
      </c>
      <c r="E7167">
        <v>0.99790000000000001</v>
      </c>
    </row>
    <row r="7168" spans="4:5" x14ac:dyDescent="0.35">
      <c r="D7168" s="1">
        <v>35220</v>
      </c>
      <c r="E7168">
        <v>0.99770000000000003</v>
      </c>
    </row>
    <row r="7169" spans="4:5" x14ac:dyDescent="0.35">
      <c r="D7169" s="1">
        <v>35219</v>
      </c>
      <c r="E7169">
        <v>0.99780000000000002</v>
      </c>
    </row>
    <row r="7170" spans="4:5" x14ac:dyDescent="0.35">
      <c r="D7170" s="1">
        <v>35216</v>
      </c>
      <c r="E7170">
        <v>0.99760000000000004</v>
      </c>
    </row>
    <row r="7171" spans="4:5" x14ac:dyDescent="0.35">
      <c r="D7171" s="1">
        <v>35215</v>
      </c>
      <c r="E7171">
        <v>0.99629999999999996</v>
      </c>
    </row>
    <row r="7172" spans="4:5" x14ac:dyDescent="0.35">
      <c r="D7172" s="1">
        <v>35214</v>
      </c>
      <c r="E7172">
        <v>0.99590000000000001</v>
      </c>
    </row>
    <row r="7173" spans="4:5" x14ac:dyDescent="0.35">
      <c r="D7173" s="1">
        <v>35213</v>
      </c>
      <c r="E7173">
        <v>0.99570000000000003</v>
      </c>
    </row>
    <row r="7174" spans="4:5" x14ac:dyDescent="0.35">
      <c r="D7174" s="1">
        <v>35212</v>
      </c>
      <c r="E7174">
        <v>0.99580000000000002</v>
      </c>
    </row>
    <row r="7175" spans="4:5" x14ac:dyDescent="0.35">
      <c r="D7175" s="1">
        <v>35209</v>
      </c>
      <c r="E7175">
        <v>0.996</v>
      </c>
    </row>
    <row r="7176" spans="4:5" x14ac:dyDescent="0.35">
      <c r="D7176" s="1">
        <v>35208</v>
      </c>
      <c r="E7176">
        <v>0.99539999999999995</v>
      </c>
    </row>
    <row r="7177" spans="4:5" x14ac:dyDescent="0.35">
      <c r="D7177" s="1">
        <v>35207</v>
      </c>
      <c r="E7177">
        <v>0.995</v>
      </c>
    </row>
    <row r="7178" spans="4:5" x14ac:dyDescent="0.35">
      <c r="D7178" s="1">
        <v>35206</v>
      </c>
      <c r="E7178">
        <v>0.99480000000000002</v>
      </c>
    </row>
    <row r="7179" spans="4:5" x14ac:dyDescent="0.35">
      <c r="D7179" s="1">
        <v>35205</v>
      </c>
      <c r="E7179">
        <v>0.99480000000000002</v>
      </c>
    </row>
    <row r="7180" spans="4:5" x14ac:dyDescent="0.35">
      <c r="D7180" s="1">
        <v>35202</v>
      </c>
      <c r="E7180">
        <v>0.995</v>
      </c>
    </row>
    <row r="7181" spans="4:5" x14ac:dyDescent="0.35">
      <c r="D7181" s="1">
        <v>35201</v>
      </c>
      <c r="E7181">
        <v>0.99570000000000003</v>
      </c>
    </row>
    <row r="7182" spans="4:5" x14ac:dyDescent="0.35">
      <c r="D7182" s="1">
        <v>35200</v>
      </c>
      <c r="E7182">
        <v>0.995</v>
      </c>
    </row>
    <row r="7183" spans="4:5" x14ac:dyDescent="0.35">
      <c r="D7183" s="1">
        <v>35199</v>
      </c>
      <c r="E7183">
        <v>0.99519999999999997</v>
      </c>
    </row>
    <row r="7184" spans="4:5" x14ac:dyDescent="0.35">
      <c r="D7184" s="1">
        <v>35198</v>
      </c>
      <c r="E7184">
        <v>0.99429999999999996</v>
      </c>
    </row>
    <row r="7185" spans="4:5" x14ac:dyDescent="0.35">
      <c r="D7185" s="1">
        <v>35195</v>
      </c>
      <c r="E7185">
        <v>0.99380000000000002</v>
      </c>
    </row>
    <row r="7186" spans="4:5" x14ac:dyDescent="0.35">
      <c r="D7186" s="1">
        <v>35194</v>
      </c>
      <c r="E7186">
        <v>0.99309999999999998</v>
      </c>
    </row>
    <row r="7187" spans="4:5" x14ac:dyDescent="0.35">
      <c r="D7187" s="1">
        <v>35193</v>
      </c>
      <c r="E7187">
        <v>0.99199999999999999</v>
      </c>
    </row>
    <row r="7188" spans="4:5" x14ac:dyDescent="0.35">
      <c r="D7188" s="1">
        <v>35192</v>
      </c>
      <c r="E7188">
        <v>0.9919</v>
      </c>
    </row>
    <row r="7189" spans="4:5" x14ac:dyDescent="0.35">
      <c r="D7189" s="1">
        <v>35191</v>
      </c>
      <c r="E7189">
        <v>0.99180000000000001</v>
      </c>
    </row>
    <row r="7190" spans="4:5" x14ac:dyDescent="0.35">
      <c r="D7190" s="1">
        <v>35188</v>
      </c>
      <c r="E7190">
        <v>0.99180000000000001</v>
      </c>
    </row>
    <row r="7191" spans="4:5" x14ac:dyDescent="0.35">
      <c r="D7191" s="1">
        <v>35187</v>
      </c>
      <c r="E7191">
        <v>0.99170000000000003</v>
      </c>
    </row>
    <row r="7192" spans="4:5" x14ac:dyDescent="0.35">
      <c r="D7192" s="1">
        <v>35185</v>
      </c>
      <c r="E7192">
        <v>0.99170000000000003</v>
      </c>
    </row>
    <row r="7193" spans="4:5" x14ac:dyDescent="0.35">
      <c r="D7193" s="1">
        <v>35184</v>
      </c>
      <c r="E7193">
        <v>0.99180000000000001</v>
      </c>
    </row>
    <row r="7194" spans="4:5" x14ac:dyDescent="0.35">
      <c r="D7194" s="1">
        <v>35181</v>
      </c>
      <c r="E7194">
        <v>0.99139999999999995</v>
      </c>
    </row>
    <row r="7195" spans="4:5" x14ac:dyDescent="0.35">
      <c r="D7195" s="1">
        <v>35180</v>
      </c>
      <c r="E7195">
        <v>0.9909</v>
      </c>
    </row>
    <row r="7196" spans="4:5" x14ac:dyDescent="0.35">
      <c r="D7196" s="1">
        <v>35179</v>
      </c>
      <c r="E7196">
        <v>0.99080000000000001</v>
      </c>
    </row>
    <row r="7197" spans="4:5" x14ac:dyDescent="0.35">
      <c r="D7197" s="1">
        <v>35178</v>
      </c>
      <c r="E7197">
        <v>0.99070000000000003</v>
      </c>
    </row>
    <row r="7198" spans="4:5" x14ac:dyDescent="0.35">
      <c r="D7198" s="1">
        <v>35177</v>
      </c>
      <c r="E7198">
        <v>0.99080000000000001</v>
      </c>
    </row>
    <row r="7199" spans="4:5" x14ac:dyDescent="0.35">
      <c r="D7199" s="1">
        <v>35174</v>
      </c>
      <c r="E7199">
        <v>0.99070000000000003</v>
      </c>
    </row>
    <row r="7200" spans="4:5" x14ac:dyDescent="0.35">
      <c r="D7200" s="1">
        <v>35173</v>
      </c>
      <c r="E7200">
        <v>0.98880000000000001</v>
      </c>
    </row>
    <row r="7201" spans="4:5" x14ac:dyDescent="0.35">
      <c r="D7201" s="1">
        <v>35172</v>
      </c>
      <c r="E7201">
        <v>0.98919999999999997</v>
      </c>
    </row>
    <row r="7202" spans="4:5" x14ac:dyDescent="0.35">
      <c r="D7202" s="1">
        <v>35171</v>
      </c>
      <c r="E7202">
        <v>0.98950000000000005</v>
      </c>
    </row>
    <row r="7203" spans="4:5" x14ac:dyDescent="0.35">
      <c r="D7203" s="1">
        <v>35170</v>
      </c>
      <c r="E7203">
        <v>0.98909999999999998</v>
      </c>
    </row>
    <row r="7204" spans="4:5" x14ac:dyDescent="0.35">
      <c r="D7204" s="1">
        <v>35167</v>
      </c>
      <c r="E7204">
        <v>0.98970000000000002</v>
      </c>
    </row>
    <row r="7205" spans="4:5" x14ac:dyDescent="0.35">
      <c r="D7205" s="1">
        <v>35166</v>
      </c>
      <c r="E7205">
        <v>0.99</v>
      </c>
    </row>
    <row r="7206" spans="4:5" x14ac:dyDescent="0.35">
      <c r="D7206" s="1">
        <v>35165</v>
      </c>
      <c r="E7206">
        <v>0.98880000000000001</v>
      </c>
    </row>
    <row r="7207" spans="4:5" x14ac:dyDescent="0.35">
      <c r="D7207" s="1">
        <v>35164</v>
      </c>
      <c r="E7207">
        <v>0.98780000000000001</v>
      </c>
    </row>
    <row r="7208" spans="4:5" x14ac:dyDescent="0.35">
      <c r="D7208" s="1">
        <v>35163</v>
      </c>
      <c r="E7208">
        <v>0.98670000000000002</v>
      </c>
    </row>
    <row r="7209" spans="4:5" x14ac:dyDescent="0.35">
      <c r="D7209" s="1">
        <v>35158</v>
      </c>
      <c r="E7209">
        <v>0.98660000000000003</v>
      </c>
    </row>
    <row r="7210" spans="4:5" x14ac:dyDescent="0.35">
      <c r="D7210" s="1">
        <v>35157</v>
      </c>
      <c r="E7210">
        <v>0.98670000000000002</v>
      </c>
    </row>
    <row r="7211" spans="4:5" x14ac:dyDescent="0.35">
      <c r="D7211" s="1">
        <v>35156</v>
      </c>
      <c r="E7211">
        <v>0.98729999999999996</v>
      </c>
    </row>
    <row r="7212" spans="4:5" x14ac:dyDescent="0.35">
      <c r="D7212" s="1">
        <v>35153</v>
      </c>
      <c r="E7212">
        <v>0.98719999999999997</v>
      </c>
    </row>
    <row r="7213" spans="4:5" x14ac:dyDescent="0.35">
      <c r="D7213" s="1">
        <v>35152</v>
      </c>
      <c r="E7213">
        <v>0.98729999999999996</v>
      </c>
    </row>
    <row r="7214" spans="4:5" x14ac:dyDescent="0.35">
      <c r="D7214" s="1">
        <v>35151</v>
      </c>
      <c r="E7214">
        <v>0.98750000000000004</v>
      </c>
    </row>
    <row r="7215" spans="4:5" x14ac:dyDescent="0.35">
      <c r="D7215" s="1">
        <v>35150</v>
      </c>
      <c r="E7215">
        <v>0.98729999999999996</v>
      </c>
    </row>
    <row r="7216" spans="4:5" x14ac:dyDescent="0.35">
      <c r="D7216" s="1">
        <v>35149</v>
      </c>
      <c r="E7216">
        <v>0.98709999999999998</v>
      </c>
    </row>
    <row r="7217" spans="4:5" x14ac:dyDescent="0.35">
      <c r="D7217" s="1">
        <v>35146</v>
      </c>
      <c r="E7217">
        <v>0.98670000000000002</v>
      </c>
    </row>
    <row r="7218" spans="4:5" x14ac:dyDescent="0.35">
      <c r="D7218" s="1">
        <v>35145</v>
      </c>
      <c r="E7218">
        <v>0.98660000000000003</v>
      </c>
    </row>
    <row r="7219" spans="4:5" x14ac:dyDescent="0.35">
      <c r="D7219" s="1">
        <v>35144</v>
      </c>
      <c r="E7219">
        <v>0.98750000000000004</v>
      </c>
    </row>
    <row r="7220" spans="4:5" x14ac:dyDescent="0.35">
      <c r="D7220" s="1">
        <v>35143</v>
      </c>
      <c r="E7220">
        <v>0.98599999999999999</v>
      </c>
    </row>
    <row r="7221" spans="4:5" x14ac:dyDescent="0.35">
      <c r="D7221" s="1">
        <v>35142</v>
      </c>
      <c r="E7221">
        <v>0.98580000000000001</v>
      </c>
    </row>
    <row r="7222" spans="4:5" x14ac:dyDescent="0.35">
      <c r="D7222" s="1">
        <v>35139</v>
      </c>
      <c r="E7222">
        <v>0.98599999999999999</v>
      </c>
    </row>
    <row r="7223" spans="4:5" x14ac:dyDescent="0.35">
      <c r="D7223" s="1">
        <v>35138</v>
      </c>
      <c r="E7223">
        <v>0.98609999999999998</v>
      </c>
    </row>
    <row r="7224" spans="4:5" x14ac:dyDescent="0.35">
      <c r="D7224" s="1">
        <v>35137</v>
      </c>
      <c r="E7224">
        <v>0.98460000000000003</v>
      </c>
    </row>
    <row r="7225" spans="4:5" x14ac:dyDescent="0.35">
      <c r="D7225" s="1">
        <v>35136</v>
      </c>
      <c r="E7225">
        <v>0.98340000000000005</v>
      </c>
    </row>
    <row r="7226" spans="4:5" x14ac:dyDescent="0.35">
      <c r="D7226" s="1">
        <v>35135</v>
      </c>
      <c r="E7226">
        <v>0.98350000000000004</v>
      </c>
    </row>
    <row r="7227" spans="4:5" x14ac:dyDescent="0.35">
      <c r="D7227" s="1">
        <v>35132</v>
      </c>
      <c r="E7227">
        <v>0.98350000000000004</v>
      </c>
    </row>
    <row r="7228" spans="4:5" x14ac:dyDescent="0.35">
      <c r="D7228" s="1">
        <v>35131</v>
      </c>
      <c r="E7228">
        <v>0.98370000000000002</v>
      </c>
    </row>
    <row r="7229" spans="4:5" x14ac:dyDescent="0.35">
      <c r="D7229" s="1">
        <v>35130</v>
      </c>
      <c r="E7229">
        <v>0.9829</v>
      </c>
    </row>
    <row r="7230" spans="4:5" x14ac:dyDescent="0.35">
      <c r="D7230" s="1">
        <v>35129</v>
      </c>
      <c r="E7230">
        <v>0.9829</v>
      </c>
    </row>
    <row r="7231" spans="4:5" x14ac:dyDescent="0.35">
      <c r="D7231" s="1">
        <v>35128</v>
      </c>
      <c r="E7231">
        <v>0.9829</v>
      </c>
    </row>
    <row r="7232" spans="4:5" x14ac:dyDescent="0.35">
      <c r="D7232" s="1">
        <v>35125</v>
      </c>
      <c r="E7232">
        <v>0.98319999999999996</v>
      </c>
    </row>
    <row r="7233" spans="4:5" x14ac:dyDescent="0.35">
      <c r="D7233" s="1">
        <v>35124</v>
      </c>
      <c r="E7233">
        <v>0.98319999999999996</v>
      </c>
    </row>
    <row r="7234" spans="4:5" x14ac:dyDescent="0.35">
      <c r="D7234" s="1">
        <v>35123</v>
      </c>
      <c r="E7234">
        <v>0.98280000000000001</v>
      </c>
    </row>
    <row r="7235" spans="4:5" x14ac:dyDescent="0.35">
      <c r="D7235" s="1">
        <v>35122</v>
      </c>
      <c r="E7235">
        <v>0.98299999999999998</v>
      </c>
    </row>
    <row r="7236" spans="4:5" x14ac:dyDescent="0.35">
      <c r="D7236" s="1">
        <v>35121</v>
      </c>
      <c r="E7236">
        <v>0.98260000000000003</v>
      </c>
    </row>
    <row r="7237" spans="4:5" x14ac:dyDescent="0.35">
      <c r="D7237" s="1">
        <v>35118</v>
      </c>
      <c r="E7237">
        <v>0.98119999999999996</v>
      </c>
    </row>
    <row r="7238" spans="4:5" x14ac:dyDescent="0.35">
      <c r="D7238" s="1">
        <v>35117</v>
      </c>
      <c r="E7238">
        <v>0.98140000000000005</v>
      </c>
    </row>
    <row r="7239" spans="4:5" x14ac:dyDescent="0.35">
      <c r="D7239" s="1">
        <v>35116</v>
      </c>
      <c r="E7239">
        <v>0.98129999999999995</v>
      </c>
    </row>
    <row r="7240" spans="4:5" x14ac:dyDescent="0.35">
      <c r="D7240" s="1">
        <v>35111</v>
      </c>
      <c r="E7240">
        <v>0.98219999999999996</v>
      </c>
    </row>
    <row r="7241" spans="4:5" x14ac:dyDescent="0.35">
      <c r="D7241" s="1">
        <v>35110</v>
      </c>
      <c r="E7241">
        <v>0.98240000000000005</v>
      </c>
    </row>
    <row r="7242" spans="4:5" x14ac:dyDescent="0.35">
      <c r="D7242" s="1">
        <v>35109</v>
      </c>
      <c r="E7242">
        <v>0.98029999999999995</v>
      </c>
    </row>
    <row r="7243" spans="4:5" x14ac:dyDescent="0.35">
      <c r="D7243" s="1">
        <v>35108</v>
      </c>
      <c r="E7243">
        <v>0.97960000000000003</v>
      </c>
    </row>
    <row r="7244" spans="4:5" x14ac:dyDescent="0.35">
      <c r="D7244" s="1">
        <v>35107</v>
      </c>
      <c r="E7244">
        <v>0.97770000000000001</v>
      </c>
    </row>
    <row r="7245" spans="4:5" x14ac:dyDescent="0.35">
      <c r="D7245" s="1">
        <v>35104</v>
      </c>
      <c r="E7245">
        <v>0.9778</v>
      </c>
    </row>
    <row r="7246" spans="4:5" x14ac:dyDescent="0.35">
      <c r="D7246" s="1">
        <v>35103</v>
      </c>
      <c r="E7246">
        <v>0.97770000000000001</v>
      </c>
    </row>
    <row r="7247" spans="4:5" x14ac:dyDescent="0.35">
      <c r="D7247" s="1">
        <v>35102</v>
      </c>
      <c r="E7247">
        <v>0.9778</v>
      </c>
    </row>
    <row r="7248" spans="4:5" x14ac:dyDescent="0.35">
      <c r="D7248" s="1">
        <v>35101</v>
      </c>
      <c r="E7248">
        <v>0.97760000000000002</v>
      </c>
    </row>
    <row r="7249" spans="4:5" x14ac:dyDescent="0.35">
      <c r="D7249" s="1">
        <v>35100</v>
      </c>
      <c r="E7249">
        <v>0.97770000000000001</v>
      </c>
    </row>
    <row r="7250" spans="4:5" x14ac:dyDescent="0.35">
      <c r="D7250" s="1">
        <v>35097</v>
      </c>
      <c r="E7250">
        <v>0.97760000000000002</v>
      </c>
    </row>
    <row r="7251" spans="4:5" x14ac:dyDescent="0.35">
      <c r="D7251" s="1">
        <v>35096</v>
      </c>
      <c r="E7251">
        <v>0.97760000000000002</v>
      </c>
    </row>
    <row r="7252" spans="4:5" x14ac:dyDescent="0.35">
      <c r="D7252" s="1">
        <v>35095</v>
      </c>
      <c r="E7252">
        <v>0.97760000000000002</v>
      </c>
    </row>
    <row r="7253" spans="4:5" x14ac:dyDescent="0.35">
      <c r="D7253" s="1">
        <v>35094</v>
      </c>
      <c r="E7253">
        <v>0.97770000000000001</v>
      </c>
    </row>
    <row r="7254" spans="4:5" x14ac:dyDescent="0.35">
      <c r="D7254" s="1">
        <v>35093</v>
      </c>
      <c r="E7254">
        <v>0.9778</v>
      </c>
    </row>
    <row r="7255" spans="4:5" x14ac:dyDescent="0.35">
      <c r="D7255" s="1">
        <v>35090</v>
      </c>
      <c r="E7255">
        <v>0.97740000000000005</v>
      </c>
    </row>
    <row r="7256" spans="4:5" x14ac:dyDescent="0.35">
      <c r="D7256" s="1">
        <v>35089</v>
      </c>
      <c r="E7256">
        <v>0.9758</v>
      </c>
    </row>
    <row r="7257" spans="4:5" x14ac:dyDescent="0.35">
      <c r="D7257" s="1">
        <v>35088</v>
      </c>
      <c r="E7257">
        <v>0.97589999999999999</v>
      </c>
    </row>
    <row r="7258" spans="4:5" x14ac:dyDescent="0.35">
      <c r="D7258" s="1">
        <v>35087</v>
      </c>
      <c r="E7258">
        <v>0.97560000000000002</v>
      </c>
    </row>
    <row r="7259" spans="4:5" x14ac:dyDescent="0.35">
      <c r="D7259" s="1">
        <v>35086</v>
      </c>
      <c r="E7259">
        <v>0.97360000000000002</v>
      </c>
    </row>
    <row r="7260" spans="4:5" x14ac:dyDescent="0.35">
      <c r="D7260" s="1">
        <v>35083</v>
      </c>
      <c r="E7260">
        <v>0.97219999999999995</v>
      </c>
    </row>
    <row r="7261" spans="4:5" x14ac:dyDescent="0.35">
      <c r="D7261" s="1">
        <v>35082</v>
      </c>
      <c r="E7261">
        <v>0.97189999999999999</v>
      </c>
    </row>
    <row r="7262" spans="4:5" x14ac:dyDescent="0.35">
      <c r="D7262" s="1">
        <v>35081</v>
      </c>
      <c r="E7262">
        <v>0.97170000000000001</v>
      </c>
    </row>
    <row r="7263" spans="4:5" x14ac:dyDescent="0.35">
      <c r="D7263" s="1">
        <v>35080</v>
      </c>
      <c r="E7263">
        <v>0.97160000000000002</v>
      </c>
    </row>
    <row r="7264" spans="4:5" x14ac:dyDescent="0.35">
      <c r="D7264" s="1">
        <v>35079</v>
      </c>
      <c r="E7264">
        <v>0.97170000000000001</v>
      </c>
    </row>
    <row r="7265" spans="4:5" x14ac:dyDescent="0.35">
      <c r="D7265" s="1">
        <v>35076</v>
      </c>
      <c r="E7265">
        <v>0.97240000000000004</v>
      </c>
    </row>
    <row r="7266" spans="4:5" x14ac:dyDescent="0.35">
      <c r="D7266" s="1">
        <v>35075</v>
      </c>
      <c r="E7266">
        <v>0.97199999999999998</v>
      </c>
    </row>
    <row r="7267" spans="4:5" x14ac:dyDescent="0.35">
      <c r="D7267" s="1">
        <v>35074</v>
      </c>
      <c r="E7267">
        <v>0.97160000000000002</v>
      </c>
    </row>
    <row r="7268" spans="4:5" x14ac:dyDescent="0.35">
      <c r="D7268" s="1">
        <v>35073</v>
      </c>
      <c r="E7268">
        <v>0.97160000000000002</v>
      </c>
    </row>
    <row r="7269" spans="4:5" x14ac:dyDescent="0.35">
      <c r="D7269" s="1">
        <v>35072</v>
      </c>
      <c r="E7269">
        <v>0.97160000000000002</v>
      </c>
    </row>
    <row r="7270" spans="4:5" x14ac:dyDescent="0.35">
      <c r="D7270" s="1">
        <v>35069</v>
      </c>
      <c r="E7270">
        <v>0.97170000000000001</v>
      </c>
    </row>
    <row r="7271" spans="4:5" x14ac:dyDescent="0.35">
      <c r="D7271" s="1">
        <v>35068</v>
      </c>
      <c r="E7271">
        <v>0.9718</v>
      </c>
    </row>
    <row r="7272" spans="4:5" x14ac:dyDescent="0.35">
      <c r="D7272" s="1">
        <v>35067</v>
      </c>
      <c r="E7272">
        <v>0.97170000000000001</v>
      </c>
    </row>
    <row r="7273" spans="4:5" x14ac:dyDescent="0.35">
      <c r="D7273" s="1">
        <v>35066</v>
      </c>
      <c r="E7273">
        <v>0.97160000000000002</v>
      </c>
    </row>
    <row r="7274" spans="4:5" x14ac:dyDescent="0.35">
      <c r="D7274" s="1">
        <v>35062</v>
      </c>
      <c r="E7274">
        <v>0.97150000000000003</v>
      </c>
    </row>
    <row r="7275" spans="4:5" x14ac:dyDescent="0.35">
      <c r="D7275" s="1">
        <v>35061</v>
      </c>
      <c r="E7275">
        <v>0.97160000000000002</v>
      </c>
    </row>
    <row r="7276" spans="4:5" x14ac:dyDescent="0.35">
      <c r="D7276" s="1">
        <v>35060</v>
      </c>
      <c r="E7276">
        <v>0.96989999999999998</v>
      </c>
    </row>
    <row r="7277" spans="4:5" x14ac:dyDescent="0.35">
      <c r="D7277" s="1">
        <v>35059</v>
      </c>
      <c r="E7277">
        <v>0.96919999999999995</v>
      </c>
    </row>
    <row r="7278" spans="4:5" x14ac:dyDescent="0.35">
      <c r="D7278" s="1">
        <v>35055</v>
      </c>
      <c r="E7278">
        <v>0.96919999999999995</v>
      </c>
    </row>
    <row r="7279" spans="4:5" x14ac:dyDescent="0.35">
      <c r="D7279" s="1">
        <v>35054</v>
      </c>
      <c r="E7279">
        <v>0.96840000000000004</v>
      </c>
    </row>
    <row r="7280" spans="4:5" x14ac:dyDescent="0.35">
      <c r="D7280" s="1">
        <v>35053</v>
      </c>
      <c r="E7280">
        <v>0.9677</v>
      </c>
    </row>
    <row r="7281" spans="4:5" x14ac:dyDescent="0.35">
      <c r="D7281" s="1">
        <v>35052</v>
      </c>
      <c r="E7281">
        <v>0.96660000000000001</v>
      </c>
    </row>
    <row r="7282" spans="4:5" x14ac:dyDescent="0.35">
      <c r="D7282" s="1">
        <v>35051</v>
      </c>
      <c r="E7282">
        <v>0.96709999999999996</v>
      </c>
    </row>
    <row r="7283" spans="4:5" x14ac:dyDescent="0.35">
      <c r="D7283" s="1">
        <v>35048</v>
      </c>
      <c r="E7283">
        <v>0.9667</v>
      </c>
    </row>
    <row r="7284" spans="4:5" x14ac:dyDescent="0.35">
      <c r="D7284" s="1">
        <v>35047</v>
      </c>
      <c r="E7284">
        <v>0.96630000000000005</v>
      </c>
    </row>
    <row r="7285" spans="4:5" x14ac:dyDescent="0.35">
      <c r="D7285" s="1">
        <v>35046</v>
      </c>
      <c r="E7285">
        <v>0.96609999999999996</v>
      </c>
    </row>
    <row r="7286" spans="4:5" x14ac:dyDescent="0.35">
      <c r="D7286" s="1">
        <v>35045</v>
      </c>
      <c r="E7286">
        <v>0.96579999999999999</v>
      </c>
    </row>
    <row r="7287" spans="4:5" x14ac:dyDescent="0.35">
      <c r="D7287" s="1">
        <v>35044</v>
      </c>
      <c r="E7287">
        <v>0.9657</v>
      </c>
    </row>
    <row r="7288" spans="4:5" x14ac:dyDescent="0.35">
      <c r="D7288" s="1">
        <v>35041</v>
      </c>
      <c r="E7288">
        <v>0.9657</v>
      </c>
    </row>
    <row r="7289" spans="4:5" x14ac:dyDescent="0.35">
      <c r="D7289" s="1">
        <v>35040</v>
      </c>
      <c r="E7289">
        <v>0.96560000000000001</v>
      </c>
    </row>
    <row r="7290" spans="4:5" x14ac:dyDescent="0.35">
      <c r="D7290" s="1">
        <v>35039</v>
      </c>
      <c r="E7290">
        <v>0.9657</v>
      </c>
    </row>
    <row r="7291" spans="4:5" x14ac:dyDescent="0.35">
      <c r="D7291" s="1">
        <v>35038</v>
      </c>
      <c r="E7291">
        <v>0.9657</v>
      </c>
    </row>
    <row r="7292" spans="4:5" x14ac:dyDescent="0.35">
      <c r="D7292" s="1">
        <v>35037</v>
      </c>
      <c r="E7292">
        <v>0.96560000000000001</v>
      </c>
    </row>
    <row r="7293" spans="4:5" x14ac:dyDescent="0.35">
      <c r="D7293" s="1">
        <v>35034</v>
      </c>
      <c r="E7293">
        <v>0.96560000000000001</v>
      </c>
    </row>
    <row r="7294" spans="4:5" x14ac:dyDescent="0.35">
      <c r="D7294" s="1">
        <v>35033</v>
      </c>
      <c r="E7294">
        <v>0.96560000000000001</v>
      </c>
    </row>
    <row r="7295" spans="4:5" x14ac:dyDescent="0.35">
      <c r="D7295" s="1">
        <v>35032</v>
      </c>
      <c r="E7295">
        <v>0.9637</v>
      </c>
    </row>
    <row r="7296" spans="4:5" x14ac:dyDescent="0.35">
      <c r="D7296" s="1">
        <v>35031</v>
      </c>
      <c r="E7296">
        <v>0.96379999999999999</v>
      </c>
    </row>
    <row r="7297" spans="4:5" x14ac:dyDescent="0.35">
      <c r="D7297" s="1">
        <v>35030</v>
      </c>
      <c r="E7297">
        <v>0.96389999999999998</v>
      </c>
    </row>
    <row r="7298" spans="4:5" x14ac:dyDescent="0.35">
      <c r="D7298" s="1">
        <v>35027</v>
      </c>
      <c r="E7298">
        <v>0.96450000000000002</v>
      </c>
    </row>
    <row r="7299" spans="4:5" x14ac:dyDescent="0.35">
      <c r="D7299" s="1">
        <v>35026</v>
      </c>
      <c r="E7299">
        <v>0.9637</v>
      </c>
    </row>
    <row r="7300" spans="4:5" x14ac:dyDescent="0.35">
      <c r="D7300" s="1">
        <v>35025</v>
      </c>
      <c r="E7300">
        <v>0.96379999999999999</v>
      </c>
    </row>
    <row r="7301" spans="4:5" x14ac:dyDescent="0.35">
      <c r="D7301" s="1">
        <v>35024</v>
      </c>
      <c r="E7301">
        <v>0.96289999999999998</v>
      </c>
    </row>
    <row r="7302" spans="4:5" x14ac:dyDescent="0.35">
      <c r="D7302" s="1">
        <v>35023</v>
      </c>
      <c r="E7302">
        <v>0.96160000000000001</v>
      </c>
    </row>
    <row r="7303" spans="4:5" x14ac:dyDescent="0.35">
      <c r="D7303" s="1">
        <v>35020</v>
      </c>
      <c r="E7303">
        <v>0.96140000000000003</v>
      </c>
    </row>
    <row r="7304" spans="4:5" x14ac:dyDescent="0.35">
      <c r="D7304" s="1">
        <v>35019</v>
      </c>
      <c r="E7304">
        <v>0.96179999999999999</v>
      </c>
    </row>
    <row r="7305" spans="4:5" x14ac:dyDescent="0.35">
      <c r="D7305" s="1">
        <v>35017</v>
      </c>
      <c r="E7305">
        <v>0.96179999999999999</v>
      </c>
    </row>
    <row r="7306" spans="4:5" x14ac:dyDescent="0.35">
      <c r="D7306" s="1">
        <v>35016</v>
      </c>
      <c r="E7306">
        <v>0.96099999999999997</v>
      </c>
    </row>
    <row r="7307" spans="4:5" x14ac:dyDescent="0.35">
      <c r="D7307" s="1">
        <v>35013</v>
      </c>
      <c r="E7307">
        <v>0.9607</v>
      </c>
    </row>
    <row r="7308" spans="4:5" x14ac:dyDescent="0.35">
      <c r="D7308" s="1">
        <v>35012</v>
      </c>
      <c r="E7308">
        <v>0.9607</v>
      </c>
    </row>
    <row r="7309" spans="4:5" x14ac:dyDescent="0.35">
      <c r="D7309" s="1">
        <v>35011</v>
      </c>
      <c r="E7309">
        <v>0.96079999999999999</v>
      </c>
    </row>
    <row r="7310" spans="4:5" x14ac:dyDescent="0.35">
      <c r="D7310" s="1">
        <v>35010</v>
      </c>
      <c r="E7310">
        <v>0.96079999999999999</v>
      </c>
    </row>
    <row r="7311" spans="4:5" x14ac:dyDescent="0.35">
      <c r="D7311" s="1">
        <v>35009</v>
      </c>
      <c r="E7311">
        <v>0.96130000000000004</v>
      </c>
    </row>
    <row r="7312" spans="4:5" x14ac:dyDescent="0.35">
      <c r="D7312" s="1">
        <v>35006</v>
      </c>
      <c r="E7312">
        <v>0.9617</v>
      </c>
    </row>
    <row r="7313" spans="4:5" x14ac:dyDescent="0.35">
      <c r="D7313" s="1">
        <v>35004</v>
      </c>
      <c r="E7313">
        <v>0.96199999999999997</v>
      </c>
    </row>
    <row r="7314" spans="4:5" x14ac:dyDescent="0.35">
      <c r="D7314" s="1">
        <v>35003</v>
      </c>
      <c r="E7314">
        <v>0.96089999999999998</v>
      </c>
    </row>
    <row r="7315" spans="4:5" x14ac:dyDescent="0.35">
      <c r="D7315" s="1">
        <v>35002</v>
      </c>
      <c r="E7315">
        <v>0.9607</v>
      </c>
    </row>
    <row r="7316" spans="4:5" x14ac:dyDescent="0.35">
      <c r="D7316" s="1">
        <v>34999</v>
      </c>
      <c r="E7316">
        <v>0.96120000000000005</v>
      </c>
    </row>
    <row r="7317" spans="4:5" x14ac:dyDescent="0.35">
      <c r="D7317" s="1">
        <v>34998</v>
      </c>
      <c r="E7317">
        <v>0.96099999999999997</v>
      </c>
    </row>
    <row r="7318" spans="4:5" x14ac:dyDescent="0.35">
      <c r="D7318" s="1">
        <v>34997</v>
      </c>
      <c r="E7318">
        <v>0.9607</v>
      </c>
    </row>
    <row r="7319" spans="4:5" x14ac:dyDescent="0.35">
      <c r="D7319" s="1">
        <v>34996</v>
      </c>
      <c r="E7319">
        <v>0.9607</v>
      </c>
    </row>
    <row r="7320" spans="4:5" x14ac:dyDescent="0.35">
      <c r="D7320" s="1">
        <v>34995</v>
      </c>
      <c r="E7320">
        <v>0.96050000000000002</v>
      </c>
    </row>
    <row r="7321" spans="4:5" x14ac:dyDescent="0.35">
      <c r="D7321" s="1">
        <v>34992</v>
      </c>
      <c r="E7321">
        <v>0.96030000000000004</v>
      </c>
    </row>
    <row r="7322" spans="4:5" x14ac:dyDescent="0.35">
      <c r="D7322" s="1">
        <v>34991</v>
      </c>
      <c r="E7322">
        <v>0.95830000000000004</v>
      </c>
    </row>
    <row r="7323" spans="4:5" x14ac:dyDescent="0.35">
      <c r="D7323" s="1">
        <v>34990</v>
      </c>
      <c r="E7323">
        <v>0.95799999999999996</v>
      </c>
    </row>
    <row r="7324" spans="4:5" x14ac:dyDescent="0.35">
      <c r="D7324" s="1">
        <v>34989</v>
      </c>
      <c r="E7324">
        <v>0.95750000000000002</v>
      </c>
    </row>
    <row r="7325" spans="4:5" x14ac:dyDescent="0.35">
      <c r="D7325" s="1">
        <v>34988</v>
      </c>
      <c r="E7325">
        <v>0.95750000000000002</v>
      </c>
    </row>
    <row r="7326" spans="4:5" x14ac:dyDescent="0.35">
      <c r="D7326" s="1">
        <v>34985</v>
      </c>
      <c r="E7326">
        <v>0.95750000000000002</v>
      </c>
    </row>
    <row r="7327" spans="4:5" x14ac:dyDescent="0.35">
      <c r="D7327" s="1">
        <v>34983</v>
      </c>
      <c r="E7327">
        <v>0.95750000000000002</v>
      </c>
    </row>
    <row r="7328" spans="4:5" x14ac:dyDescent="0.35">
      <c r="D7328" s="1">
        <v>34982</v>
      </c>
      <c r="E7328">
        <v>0.95750000000000002</v>
      </c>
    </row>
    <row r="7329" spans="4:5" x14ac:dyDescent="0.35">
      <c r="D7329" s="1">
        <v>34981</v>
      </c>
      <c r="E7329">
        <v>0.95750000000000002</v>
      </c>
    </row>
    <row r="7330" spans="4:5" x14ac:dyDescent="0.35">
      <c r="D7330" s="1">
        <v>34978</v>
      </c>
      <c r="E7330">
        <v>0.95799999999999996</v>
      </c>
    </row>
    <row r="7331" spans="4:5" x14ac:dyDescent="0.35">
      <c r="D7331" s="1">
        <v>34977</v>
      </c>
      <c r="E7331">
        <v>0.95750000000000002</v>
      </c>
    </row>
    <row r="7332" spans="4:5" x14ac:dyDescent="0.35">
      <c r="D7332" s="1">
        <v>34976</v>
      </c>
      <c r="E7332">
        <v>0.95750000000000002</v>
      </c>
    </row>
    <row r="7333" spans="4:5" x14ac:dyDescent="0.35">
      <c r="D7333" s="1">
        <v>34975</v>
      </c>
      <c r="E7333">
        <v>0.95750000000000002</v>
      </c>
    </row>
    <row r="7334" spans="4:5" x14ac:dyDescent="0.35">
      <c r="D7334" s="1">
        <v>34974</v>
      </c>
      <c r="E7334">
        <v>0.95450000000000002</v>
      </c>
    </row>
    <row r="7335" spans="4:5" x14ac:dyDescent="0.35">
      <c r="D7335" s="1">
        <v>34971</v>
      </c>
      <c r="E7335">
        <v>0.95199999999999996</v>
      </c>
    </row>
    <row r="7336" spans="4:5" x14ac:dyDescent="0.35">
      <c r="D7336" s="1">
        <v>34970</v>
      </c>
      <c r="E7336">
        <v>0.95399999999999996</v>
      </c>
    </row>
    <row r="7337" spans="4:5" x14ac:dyDescent="0.35">
      <c r="D7337" s="1">
        <v>34969</v>
      </c>
      <c r="E7337">
        <v>0.95399999999999996</v>
      </c>
    </row>
    <row r="7338" spans="4:5" x14ac:dyDescent="0.35">
      <c r="D7338" s="1">
        <v>34968</v>
      </c>
      <c r="E7338">
        <v>0.95299999999999996</v>
      </c>
    </row>
    <row r="7339" spans="4:5" x14ac:dyDescent="0.35">
      <c r="D7339" s="1">
        <v>34967</v>
      </c>
      <c r="E7339">
        <v>0.95199999999999996</v>
      </c>
    </row>
    <row r="7340" spans="4:5" x14ac:dyDescent="0.35">
      <c r="D7340" s="1">
        <v>34964</v>
      </c>
      <c r="E7340">
        <v>0.95199999999999996</v>
      </c>
    </row>
    <row r="7341" spans="4:5" x14ac:dyDescent="0.35">
      <c r="D7341" s="1">
        <v>34963</v>
      </c>
      <c r="E7341">
        <v>0.95199999999999996</v>
      </c>
    </row>
    <row r="7342" spans="4:5" x14ac:dyDescent="0.35">
      <c r="D7342" s="1">
        <v>34962</v>
      </c>
      <c r="E7342">
        <v>0.95199999999999996</v>
      </c>
    </row>
    <row r="7343" spans="4:5" x14ac:dyDescent="0.35">
      <c r="D7343" s="1">
        <v>34961</v>
      </c>
      <c r="E7343">
        <v>0.95099999999999996</v>
      </c>
    </row>
    <row r="7344" spans="4:5" x14ac:dyDescent="0.35">
      <c r="D7344" s="1">
        <v>34960</v>
      </c>
      <c r="E7344">
        <v>0.95099999999999996</v>
      </c>
    </row>
    <row r="7345" spans="4:5" x14ac:dyDescent="0.35">
      <c r="D7345" s="1">
        <v>34957</v>
      </c>
      <c r="E7345">
        <v>0.95099999999999996</v>
      </c>
    </row>
    <row r="7346" spans="4:5" x14ac:dyDescent="0.35">
      <c r="D7346" s="1">
        <v>34956</v>
      </c>
      <c r="E7346">
        <v>0.95099999999999996</v>
      </c>
    </row>
    <row r="7347" spans="4:5" x14ac:dyDescent="0.35">
      <c r="D7347" s="1">
        <v>34955</v>
      </c>
      <c r="E7347">
        <v>0.95099999999999996</v>
      </c>
    </row>
    <row r="7348" spans="4:5" x14ac:dyDescent="0.35">
      <c r="D7348" s="1">
        <v>34954</v>
      </c>
      <c r="E7348">
        <v>0.95</v>
      </c>
    </row>
    <row r="7349" spans="4:5" x14ac:dyDescent="0.35">
      <c r="D7349" s="1">
        <v>34953</v>
      </c>
      <c r="E7349">
        <v>0.95</v>
      </c>
    </row>
    <row r="7350" spans="4:5" x14ac:dyDescent="0.35">
      <c r="D7350" s="1">
        <v>34950</v>
      </c>
      <c r="E7350">
        <v>0.94899999999999995</v>
      </c>
    </row>
    <row r="7351" spans="4:5" x14ac:dyDescent="0.35">
      <c r="D7351" s="1">
        <v>34948</v>
      </c>
      <c r="E7351">
        <v>0.94699999999999995</v>
      </c>
    </row>
    <row r="7352" spans="4:5" x14ac:dyDescent="0.35">
      <c r="D7352" s="1">
        <v>34947</v>
      </c>
      <c r="E7352">
        <v>0.94699999999999995</v>
      </c>
    </row>
    <row r="7353" spans="4:5" x14ac:dyDescent="0.35">
      <c r="D7353" s="1">
        <v>34946</v>
      </c>
      <c r="E7353">
        <v>0.94699999999999995</v>
      </c>
    </row>
    <row r="7354" spans="4:5" x14ac:dyDescent="0.35">
      <c r="D7354" s="1">
        <v>34943</v>
      </c>
      <c r="E7354">
        <v>0.94899999999999995</v>
      </c>
    </row>
    <row r="7355" spans="4:5" x14ac:dyDescent="0.35">
      <c r="D7355" s="1">
        <v>34942</v>
      </c>
      <c r="E7355">
        <v>0.94899999999999995</v>
      </c>
    </row>
    <row r="7356" spans="4:5" x14ac:dyDescent="0.35">
      <c r="D7356" s="1">
        <v>34941</v>
      </c>
      <c r="E7356">
        <v>0.94899999999999995</v>
      </c>
    </row>
    <row r="7357" spans="4:5" x14ac:dyDescent="0.35">
      <c r="D7357" s="1">
        <v>34940</v>
      </c>
      <c r="E7357">
        <v>0.94899999999999995</v>
      </c>
    </row>
    <row r="7358" spans="4:5" x14ac:dyDescent="0.35">
      <c r="D7358" s="1">
        <v>34939</v>
      </c>
      <c r="E7358">
        <v>0.94699999999999995</v>
      </c>
    </row>
    <row r="7359" spans="4:5" x14ac:dyDescent="0.35">
      <c r="D7359" s="1">
        <v>34936</v>
      </c>
      <c r="E7359">
        <v>0.94599999999999995</v>
      </c>
    </row>
    <row r="7360" spans="4:5" x14ac:dyDescent="0.35">
      <c r="D7360" s="1">
        <v>34935</v>
      </c>
      <c r="E7360">
        <v>0.94499999999999995</v>
      </c>
    </row>
    <row r="7361" spans="4:5" x14ac:dyDescent="0.35">
      <c r="D7361" s="1">
        <v>34934</v>
      </c>
      <c r="E7361">
        <v>0.94499999999999995</v>
      </c>
    </row>
    <row r="7362" spans="4:5" x14ac:dyDescent="0.35">
      <c r="D7362" s="1">
        <v>34933</v>
      </c>
      <c r="E7362">
        <v>0.94199999999999995</v>
      </c>
    </row>
    <row r="7363" spans="4:5" x14ac:dyDescent="0.35">
      <c r="D7363" s="1">
        <v>34932</v>
      </c>
      <c r="E7363">
        <v>0.94</v>
      </c>
    </row>
    <row r="7364" spans="4:5" x14ac:dyDescent="0.35">
      <c r="D7364" s="1">
        <v>34929</v>
      </c>
      <c r="E7364">
        <v>0.94099999999999995</v>
      </c>
    </row>
    <row r="7365" spans="4:5" x14ac:dyDescent="0.35">
      <c r="D7365" s="1">
        <v>34928</v>
      </c>
      <c r="E7365">
        <v>0.94</v>
      </c>
    </row>
    <row r="7366" spans="4:5" x14ac:dyDescent="0.35">
      <c r="D7366" s="1">
        <v>34927</v>
      </c>
      <c r="E7366">
        <v>0.94</v>
      </c>
    </row>
    <row r="7367" spans="4:5" x14ac:dyDescent="0.35">
      <c r="D7367" s="1">
        <v>34926</v>
      </c>
      <c r="E7367">
        <v>0.94</v>
      </c>
    </row>
    <row r="7368" spans="4:5" x14ac:dyDescent="0.35">
      <c r="D7368" s="1">
        <v>34925</v>
      </c>
      <c r="E7368">
        <v>0.93899999999999995</v>
      </c>
    </row>
    <row r="7369" spans="4:5" x14ac:dyDescent="0.35">
      <c r="D7369" s="1">
        <v>34922</v>
      </c>
      <c r="E7369">
        <v>0.93500000000000005</v>
      </c>
    </row>
    <row r="7370" spans="4:5" x14ac:dyDescent="0.35">
      <c r="D7370" s="1">
        <v>34921</v>
      </c>
      <c r="E7370">
        <v>0.93400000000000005</v>
      </c>
    </row>
    <row r="7371" spans="4:5" x14ac:dyDescent="0.35">
      <c r="D7371" s="1">
        <v>34920</v>
      </c>
      <c r="E7371">
        <v>0.93400000000000005</v>
      </c>
    </row>
    <row r="7372" spans="4:5" x14ac:dyDescent="0.35">
      <c r="D7372" s="1">
        <v>34919</v>
      </c>
      <c r="E7372">
        <v>0.93400000000000005</v>
      </c>
    </row>
    <row r="7373" spans="4:5" x14ac:dyDescent="0.35">
      <c r="D7373" s="1">
        <v>34918</v>
      </c>
      <c r="E7373">
        <v>0.93400000000000005</v>
      </c>
    </row>
    <row r="7374" spans="4:5" x14ac:dyDescent="0.35">
      <c r="D7374" s="1">
        <v>34915</v>
      </c>
      <c r="E7374">
        <v>0.93400000000000005</v>
      </c>
    </row>
    <row r="7375" spans="4:5" x14ac:dyDescent="0.35">
      <c r="D7375" s="1">
        <v>34914</v>
      </c>
      <c r="E7375">
        <v>0.93400000000000005</v>
      </c>
    </row>
    <row r="7376" spans="4:5" x14ac:dyDescent="0.35">
      <c r="D7376" s="1">
        <v>34913</v>
      </c>
      <c r="E7376">
        <v>0.93400000000000005</v>
      </c>
    </row>
    <row r="7377" spans="4:5" x14ac:dyDescent="0.35">
      <c r="D7377" s="1">
        <v>34912</v>
      </c>
      <c r="E7377">
        <v>0.93400000000000005</v>
      </c>
    </row>
    <row r="7378" spans="4:5" x14ac:dyDescent="0.35">
      <c r="D7378" s="1">
        <v>34911</v>
      </c>
      <c r="E7378">
        <v>0.93400000000000005</v>
      </c>
    </row>
    <row r="7379" spans="4:5" x14ac:dyDescent="0.35">
      <c r="D7379" s="1">
        <v>34908</v>
      </c>
      <c r="E7379">
        <v>0.93500000000000005</v>
      </c>
    </row>
    <row r="7380" spans="4:5" x14ac:dyDescent="0.35">
      <c r="D7380" s="1">
        <v>34907</v>
      </c>
      <c r="E7380">
        <v>0.93500000000000005</v>
      </c>
    </row>
    <row r="7381" spans="4:5" x14ac:dyDescent="0.35">
      <c r="D7381" s="1">
        <v>34906</v>
      </c>
      <c r="E7381">
        <v>0.93400000000000005</v>
      </c>
    </row>
    <row r="7382" spans="4:5" x14ac:dyDescent="0.35">
      <c r="D7382" s="1">
        <v>34905</v>
      </c>
      <c r="E7382">
        <v>0.93400000000000005</v>
      </c>
    </row>
    <row r="7383" spans="4:5" x14ac:dyDescent="0.35">
      <c r="D7383" s="1">
        <v>34904</v>
      </c>
      <c r="E7383">
        <v>0.93200000000000005</v>
      </c>
    </row>
    <row r="7384" spans="4:5" x14ac:dyDescent="0.35">
      <c r="D7384" s="1">
        <v>34901</v>
      </c>
      <c r="E7384">
        <v>0.93200000000000005</v>
      </c>
    </row>
    <row r="7385" spans="4:5" x14ac:dyDescent="0.35">
      <c r="D7385" s="1">
        <v>34900</v>
      </c>
      <c r="E7385">
        <v>0.92700000000000005</v>
      </c>
    </row>
    <row r="7386" spans="4:5" x14ac:dyDescent="0.35">
      <c r="D7386" s="1">
        <v>34899</v>
      </c>
      <c r="E7386">
        <v>0.92700000000000005</v>
      </c>
    </row>
    <row r="7387" spans="4:5" x14ac:dyDescent="0.35">
      <c r="D7387" s="1">
        <v>34898</v>
      </c>
      <c r="E7387">
        <v>0.92700000000000005</v>
      </c>
    </row>
    <row r="7388" spans="4:5" x14ac:dyDescent="0.35">
      <c r="D7388" s="1">
        <v>34897</v>
      </c>
      <c r="E7388">
        <v>0.92600000000000005</v>
      </c>
    </row>
    <row r="7389" spans="4:5" x14ac:dyDescent="0.35">
      <c r="D7389" s="1">
        <v>34894</v>
      </c>
      <c r="E7389">
        <v>0.92400000000000004</v>
      </c>
    </row>
    <row r="7390" spans="4:5" x14ac:dyDescent="0.35">
      <c r="D7390" s="1">
        <v>34893</v>
      </c>
      <c r="E7390">
        <v>0.92400000000000004</v>
      </c>
    </row>
    <row r="7391" spans="4:5" x14ac:dyDescent="0.35">
      <c r="D7391" s="1">
        <v>34892</v>
      </c>
      <c r="E7391">
        <v>0.92300000000000004</v>
      </c>
    </row>
    <row r="7392" spans="4:5" x14ac:dyDescent="0.35">
      <c r="D7392" s="1">
        <v>34891</v>
      </c>
      <c r="E7392">
        <v>0.92300000000000004</v>
      </c>
    </row>
    <row r="7393" spans="4:5" x14ac:dyDescent="0.35">
      <c r="D7393" s="1">
        <v>34890</v>
      </c>
      <c r="E7393">
        <v>0.92300000000000004</v>
      </c>
    </row>
    <row r="7394" spans="4:5" x14ac:dyDescent="0.35">
      <c r="D7394" s="1">
        <v>34887</v>
      </c>
      <c r="E7394">
        <v>0.92300000000000004</v>
      </c>
    </row>
    <row r="7395" spans="4:5" x14ac:dyDescent="0.35">
      <c r="D7395" s="1">
        <v>34886</v>
      </c>
      <c r="E7395">
        <v>0.92300000000000004</v>
      </c>
    </row>
    <row r="7396" spans="4:5" x14ac:dyDescent="0.35">
      <c r="D7396" s="1">
        <v>34885</v>
      </c>
      <c r="E7396">
        <v>0.92</v>
      </c>
    </row>
    <row r="7397" spans="4:5" x14ac:dyDescent="0.35">
      <c r="D7397" s="1">
        <v>34884</v>
      </c>
      <c r="E7397">
        <v>0.91800000000000004</v>
      </c>
    </row>
    <row r="7398" spans="4:5" x14ac:dyDescent="0.35">
      <c r="D7398" s="1">
        <v>34883</v>
      </c>
      <c r="E7398">
        <v>0.91800000000000004</v>
      </c>
    </row>
    <row r="7399" spans="4:5" x14ac:dyDescent="0.35">
      <c r="D7399" s="1">
        <v>34880</v>
      </c>
      <c r="E7399">
        <v>0.92</v>
      </c>
    </row>
    <row r="7400" spans="4:5" x14ac:dyDescent="0.35">
      <c r="D7400" s="1">
        <v>34879</v>
      </c>
      <c r="E7400">
        <v>0.91800000000000004</v>
      </c>
    </row>
    <row r="7401" spans="4:5" x14ac:dyDescent="0.35">
      <c r="D7401" s="1">
        <v>34878</v>
      </c>
      <c r="E7401">
        <v>0.91800000000000004</v>
      </c>
    </row>
    <row r="7402" spans="4:5" x14ac:dyDescent="0.35">
      <c r="D7402" s="1">
        <v>34877</v>
      </c>
      <c r="E7402">
        <v>0.91800000000000004</v>
      </c>
    </row>
    <row r="7403" spans="4:5" x14ac:dyDescent="0.35">
      <c r="D7403" s="1">
        <v>34876</v>
      </c>
      <c r="E7403">
        <v>0.91700000000000004</v>
      </c>
    </row>
    <row r="7404" spans="4:5" x14ac:dyDescent="0.35">
      <c r="D7404" s="1">
        <v>34873</v>
      </c>
      <c r="E7404">
        <v>0.91800000000000004</v>
      </c>
    </row>
    <row r="7405" spans="4:5" x14ac:dyDescent="0.35">
      <c r="D7405" s="1">
        <v>34872</v>
      </c>
      <c r="E7405">
        <v>0.91800000000000004</v>
      </c>
    </row>
    <row r="7406" spans="4:5" x14ac:dyDescent="0.35">
      <c r="D7406" s="1">
        <v>34871</v>
      </c>
      <c r="E7406">
        <v>0.91700000000000004</v>
      </c>
    </row>
    <row r="7407" spans="4:5" x14ac:dyDescent="0.35">
      <c r="D7407" s="1">
        <v>34870</v>
      </c>
      <c r="E7407">
        <v>0.91200000000000003</v>
      </c>
    </row>
    <row r="7408" spans="4:5" x14ac:dyDescent="0.35">
      <c r="D7408" s="1">
        <v>34869</v>
      </c>
      <c r="E7408">
        <v>0.91</v>
      </c>
    </row>
    <row r="7409" spans="4:5" x14ac:dyDescent="0.35">
      <c r="D7409" s="1">
        <v>34866</v>
      </c>
      <c r="E7409">
        <v>0.90700000000000003</v>
      </c>
    </row>
    <row r="7410" spans="4:5" x14ac:dyDescent="0.35">
      <c r="D7410" s="1">
        <v>34864</v>
      </c>
      <c r="E7410">
        <v>0.90500000000000003</v>
      </c>
    </row>
    <row r="7411" spans="4:5" x14ac:dyDescent="0.35">
      <c r="D7411" s="1">
        <v>34863</v>
      </c>
      <c r="E7411">
        <v>0.91300000000000003</v>
      </c>
    </row>
    <row r="7412" spans="4:5" x14ac:dyDescent="0.35">
      <c r="D7412" s="1">
        <v>34862</v>
      </c>
      <c r="E7412">
        <v>0.91600000000000004</v>
      </c>
    </row>
    <row r="7413" spans="4:5" x14ac:dyDescent="0.35">
      <c r="D7413" s="1">
        <v>34859</v>
      </c>
      <c r="E7413">
        <v>0.91100000000000003</v>
      </c>
    </row>
    <row r="7414" spans="4:5" x14ac:dyDescent="0.35">
      <c r="D7414" s="1">
        <v>34858</v>
      </c>
      <c r="E7414">
        <v>0.91</v>
      </c>
    </row>
    <row r="7415" spans="4:5" x14ac:dyDescent="0.35">
      <c r="D7415" s="1">
        <v>34857</v>
      </c>
      <c r="E7415">
        <v>0.90900000000000003</v>
      </c>
    </row>
    <row r="7416" spans="4:5" x14ac:dyDescent="0.35">
      <c r="D7416" s="1">
        <v>34856</v>
      </c>
      <c r="E7416">
        <v>0.90400000000000003</v>
      </c>
    </row>
    <row r="7417" spans="4:5" x14ac:dyDescent="0.35">
      <c r="D7417" s="1">
        <v>34855</v>
      </c>
      <c r="E7417">
        <v>0.90300000000000002</v>
      </c>
    </row>
    <row r="7418" spans="4:5" x14ac:dyDescent="0.35">
      <c r="D7418" s="1">
        <v>34852</v>
      </c>
      <c r="E7418">
        <v>0.90300000000000002</v>
      </c>
    </row>
    <row r="7419" spans="4:5" x14ac:dyDescent="0.35">
      <c r="D7419" s="1">
        <v>34851</v>
      </c>
      <c r="E7419">
        <v>0.90600000000000003</v>
      </c>
    </row>
    <row r="7420" spans="4:5" x14ac:dyDescent="0.35">
      <c r="D7420" s="1">
        <v>34850</v>
      </c>
      <c r="E7420">
        <v>0.90400000000000003</v>
      </c>
    </row>
    <row r="7421" spans="4:5" x14ac:dyDescent="0.35">
      <c r="D7421" s="1">
        <v>34849</v>
      </c>
      <c r="E7421">
        <v>0.90400000000000003</v>
      </c>
    </row>
    <row r="7422" spans="4:5" x14ac:dyDescent="0.35">
      <c r="D7422" s="1">
        <v>34848</v>
      </c>
      <c r="E7422">
        <v>0.90400000000000003</v>
      </c>
    </row>
    <row r="7423" spans="4:5" x14ac:dyDescent="0.35">
      <c r="D7423" s="1">
        <v>34845</v>
      </c>
      <c r="E7423">
        <v>0.89500000000000002</v>
      </c>
    </row>
    <row r="7424" spans="4:5" x14ac:dyDescent="0.35">
      <c r="D7424" s="1">
        <v>34844</v>
      </c>
      <c r="E7424">
        <v>0.89100000000000001</v>
      </c>
    </row>
    <row r="7425" spans="4:5" x14ac:dyDescent="0.35">
      <c r="D7425" s="1">
        <v>34843</v>
      </c>
      <c r="E7425">
        <v>0.88800000000000001</v>
      </c>
    </row>
    <row r="7426" spans="4:5" x14ac:dyDescent="0.35">
      <c r="D7426" s="1">
        <v>34842</v>
      </c>
      <c r="E7426">
        <v>0.88800000000000001</v>
      </c>
    </row>
    <row r="7427" spans="4:5" x14ac:dyDescent="0.35">
      <c r="D7427" s="1">
        <v>34841</v>
      </c>
      <c r="E7427">
        <v>0.88800000000000001</v>
      </c>
    </row>
    <row r="7428" spans="4:5" x14ac:dyDescent="0.35">
      <c r="D7428" s="1">
        <v>34838</v>
      </c>
      <c r="E7428">
        <v>0.88900000000000001</v>
      </c>
    </row>
    <row r="7429" spans="4:5" x14ac:dyDescent="0.35">
      <c r="D7429" s="1">
        <v>34837</v>
      </c>
      <c r="E7429">
        <v>0.88800000000000001</v>
      </c>
    </row>
    <row r="7430" spans="4:5" x14ac:dyDescent="0.35">
      <c r="D7430" s="1">
        <v>34836</v>
      </c>
      <c r="E7430">
        <v>0.88900000000000001</v>
      </c>
    </row>
    <row r="7431" spans="4:5" x14ac:dyDescent="0.35">
      <c r="D7431" s="1">
        <v>34835</v>
      </c>
      <c r="E7431">
        <v>0.88900000000000001</v>
      </c>
    </row>
    <row r="7432" spans="4:5" x14ac:dyDescent="0.35">
      <c r="D7432" s="1">
        <v>34834</v>
      </c>
      <c r="E7432">
        <v>0.88900000000000001</v>
      </c>
    </row>
    <row r="7433" spans="4:5" x14ac:dyDescent="0.35">
      <c r="D7433" s="1">
        <v>34831</v>
      </c>
      <c r="E7433">
        <v>0.89500000000000002</v>
      </c>
    </row>
    <row r="7434" spans="4:5" x14ac:dyDescent="0.35">
      <c r="D7434" s="1">
        <v>34830</v>
      </c>
      <c r="E7434">
        <v>0.89400000000000002</v>
      </c>
    </row>
    <row r="7435" spans="4:5" x14ac:dyDescent="0.35">
      <c r="D7435" s="1">
        <v>34829</v>
      </c>
      <c r="E7435">
        <v>0.89200000000000002</v>
      </c>
    </row>
    <row r="7436" spans="4:5" x14ac:dyDescent="0.35">
      <c r="D7436" s="1">
        <v>34828</v>
      </c>
      <c r="E7436">
        <v>0.89500000000000002</v>
      </c>
    </row>
    <row r="7437" spans="4:5" x14ac:dyDescent="0.35">
      <c r="D7437" s="1">
        <v>34827</v>
      </c>
      <c r="E7437">
        <v>0.89700000000000002</v>
      </c>
    </row>
    <row r="7438" spans="4:5" x14ac:dyDescent="0.35">
      <c r="D7438" s="1">
        <v>34824</v>
      </c>
      <c r="E7438">
        <v>0.9</v>
      </c>
    </row>
    <row r="7439" spans="4:5" x14ac:dyDescent="0.35">
      <c r="D7439" s="1">
        <v>34823</v>
      </c>
      <c r="E7439">
        <v>0.90300000000000002</v>
      </c>
    </row>
    <row r="7440" spans="4:5" x14ac:dyDescent="0.35">
      <c r="D7440" s="1">
        <v>34822</v>
      </c>
      <c r="E7440">
        <v>0.90400000000000003</v>
      </c>
    </row>
    <row r="7441" spans="4:5" x14ac:dyDescent="0.35">
      <c r="D7441" s="1">
        <v>34821</v>
      </c>
      <c r="E7441">
        <v>0.91200000000000003</v>
      </c>
    </row>
    <row r="7442" spans="4:5" x14ac:dyDescent="0.35">
      <c r="D7442" s="1">
        <v>34817</v>
      </c>
      <c r="E7442">
        <v>0.91100000000000003</v>
      </c>
    </row>
    <row r="7443" spans="4:5" x14ac:dyDescent="0.35">
      <c r="D7443" s="1">
        <v>34816</v>
      </c>
      <c r="E7443">
        <v>0.91700000000000004</v>
      </c>
    </row>
    <row r="7444" spans="4:5" x14ac:dyDescent="0.35">
      <c r="D7444" s="1">
        <v>34815</v>
      </c>
      <c r="E7444">
        <v>0.91500000000000004</v>
      </c>
    </row>
    <row r="7445" spans="4:5" x14ac:dyDescent="0.35">
      <c r="D7445" s="1">
        <v>34814</v>
      </c>
      <c r="E7445">
        <v>0.91900000000000004</v>
      </c>
    </row>
    <row r="7446" spans="4:5" x14ac:dyDescent="0.35">
      <c r="D7446" s="1">
        <v>34813</v>
      </c>
      <c r="E7446">
        <v>0.91100000000000003</v>
      </c>
    </row>
    <row r="7447" spans="4:5" x14ac:dyDescent="0.35">
      <c r="D7447" s="1">
        <v>34809</v>
      </c>
      <c r="E7447">
        <v>0.91600000000000004</v>
      </c>
    </row>
    <row r="7448" spans="4:5" x14ac:dyDescent="0.35">
      <c r="D7448" s="1">
        <v>34808</v>
      </c>
      <c r="E7448">
        <v>0.91200000000000003</v>
      </c>
    </row>
    <row r="7449" spans="4:5" x14ac:dyDescent="0.35">
      <c r="D7449" s="1">
        <v>34807</v>
      </c>
      <c r="E7449">
        <v>0.90300000000000002</v>
      </c>
    </row>
    <row r="7450" spans="4:5" x14ac:dyDescent="0.35">
      <c r="D7450" s="1">
        <v>34806</v>
      </c>
      <c r="E7450">
        <v>0.90300000000000002</v>
      </c>
    </row>
    <row r="7451" spans="4:5" x14ac:dyDescent="0.35">
      <c r="D7451" s="1">
        <v>34801</v>
      </c>
      <c r="E7451">
        <v>0.90600000000000003</v>
      </c>
    </row>
    <row r="7452" spans="4:5" x14ac:dyDescent="0.35">
      <c r="D7452" s="1">
        <v>34800</v>
      </c>
      <c r="E7452">
        <v>0.89900000000000002</v>
      </c>
    </row>
    <row r="7453" spans="4:5" x14ac:dyDescent="0.35">
      <c r="D7453" s="1">
        <v>34799</v>
      </c>
      <c r="E7453">
        <v>0.89500000000000002</v>
      </c>
    </row>
    <row r="7454" spans="4:5" x14ac:dyDescent="0.35">
      <c r="D7454" s="1">
        <v>34796</v>
      </c>
      <c r="E7454">
        <v>0.89800000000000002</v>
      </c>
    </row>
    <row r="7455" spans="4:5" x14ac:dyDescent="0.35">
      <c r="D7455" s="1">
        <v>34795</v>
      </c>
      <c r="E7455">
        <v>0.89200000000000002</v>
      </c>
    </row>
    <row r="7456" spans="4:5" x14ac:dyDescent="0.35">
      <c r="D7456" s="1">
        <v>34794</v>
      </c>
      <c r="E7456">
        <v>0.89800000000000002</v>
      </c>
    </row>
    <row r="7457" spans="4:5" x14ac:dyDescent="0.35">
      <c r="D7457" s="1">
        <v>34793</v>
      </c>
      <c r="E7457">
        <v>0.89900000000000002</v>
      </c>
    </row>
    <row r="7458" spans="4:5" x14ac:dyDescent="0.35">
      <c r="D7458" s="1">
        <v>34792</v>
      </c>
      <c r="E7458">
        <v>0.9</v>
      </c>
    </row>
    <row r="7459" spans="4:5" x14ac:dyDescent="0.35">
      <c r="D7459" s="1">
        <v>34789</v>
      </c>
      <c r="E7459">
        <v>0.89400000000000002</v>
      </c>
    </row>
    <row r="7460" spans="4:5" x14ac:dyDescent="0.35">
      <c r="D7460" s="1">
        <v>34788</v>
      </c>
      <c r="E7460">
        <v>0.90100000000000002</v>
      </c>
    </row>
    <row r="7461" spans="4:5" x14ac:dyDescent="0.35">
      <c r="D7461" s="1">
        <v>34787</v>
      </c>
      <c r="E7461">
        <v>0.90500000000000003</v>
      </c>
    </row>
    <row r="7462" spans="4:5" x14ac:dyDescent="0.35">
      <c r="D7462" s="1">
        <v>34786</v>
      </c>
      <c r="E7462">
        <v>0.90900000000000003</v>
      </c>
    </row>
    <row r="7463" spans="4:5" x14ac:dyDescent="0.35">
      <c r="D7463" s="1">
        <v>34785</v>
      </c>
      <c r="E7463">
        <v>0.90800000000000003</v>
      </c>
    </row>
    <row r="7464" spans="4:5" x14ac:dyDescent="0.35">
      <c r="D7464" s="1">
        <v>34782</v>
      </c>
      <c r="E7464">
        <v>0.90700000000000003</v>
      </c>
    </row>
    <row r="7465" spans="4:5" x14ac:dyDescent="0.35">
      <c r="D7465" s="1">
        <v>34781</v>
      </c>
      <c r="E7465">
        <v>0.91200000000000003</v>
      </c>
    </row>
    <row r="7466" spans="4:5" x14ac:dyDescent="0.35">
      <c r="D7466" s="1">
        <v>34780</v>
      </c>
      <c r="E7466">
        <v>0.9</v>
      </c>
    </row>
    <row r="7467" spans="4:5" x14ac:dyDescent="0.35">
      <c r="D7467" s="1">
        <v>34779</v>
      </c>
      <c r="E7467">
        <v>0.89900000000000002</v>
      </c>
    </row>
    <row r="7468" spans="4:5" x14ac:dyDescent="0.35">
      <c r="D7468" s="1">
        <v>34778</v>
      </c>
      <c r="E7468">
        <v>0.9</v>
      </c>
    </row>
    <row r="7469" spans="4:5" x14ac:dyDescent="0.35">
      <c r="D7469" s="1">
        <v>34775</v>
      </c>
      <c r="E7469">
        <v>0.88800000000000001</v>
      </c>
    </row>
    <row r="7470" spans="4:5" x14ac:dyDescent="0.35">
      <c r="D7470" s="1">
        <v>34774</v>
      </c>
      <c r="E7470">
        <v>0.89300000000000002</v>
      </c>
    </row>
    <row r="7471" spans="4:5" x14ac:dyDescent="0.35">
      <c r="D7471" s="1">
        <v>34773</v>
      </c>
      <c r="E7471">
        <v>0.88200000000000001</v>
      </c>
    </row>
    <row r="7472" spans="4:5" x14ac:dyDescent="0.35">
      <c r="D7472" s="1">
        <v>34772</v>
      </c>
      <c r="E7472">
        <v>0.88</v>
      </c>
    </row>
    <row r="7473" spans="4:5" x14ac:dyDescent="0.35">
      <c r="D7473" s="1">
        <v>34771</v>
      </c>
      <c r="E7473">
        <v>0.87949999999999995</v>
      </c>
    </row>
    <row r="7474" spans="4:5" x14ac:dyDescent="0.35">
      <c r="D7474" s="1">
        <v>34768</v>
      </c>
      <c r="E7474">
        <v>0.878</v>
      </c>
    </row>
    <row r="7475" spans="4:5" x14ac:dyDescent="0.35">
      <c r="D7475" s="1">
        <v>34767</v>
      </c>
      <c r="E7475">
        <v>0.88600000000000001</v>
      </c>
    </row>
    <row r="7476" spans="4:5" x14ac:dyDescent="0.35">
      <c r="D7476" s="1">
        <v>34766</v>
      </c>
      <c r="E7476">
        <v>0.88400000000000001</v>
      </c>
    </row>
    <row r="7477" spans="4:5" x14ac:dyDescent="0.35">
      <c r="D7477" s="1">
        <v>34765</v>
      </c>
      <c r="E7477">
        <v>0.88400000000000001</v>
      </c>
    </row>
    <row r="7478" spans="4:5" x14ac:dyDescent="0.35">
      <c r="D7478" s="1">
        <v>34764</v>
      </c>
      <c r="E7478">
        <v>0.86599999999999999</v>
      </c>
    </row>
    <row r="7479" spans="4:5" x14ac:dyDescent="0.35">
      <c r="D7479" s="1">
        <v>34761</v>
      </c>
      <c r="E7479">
        <v>0.85599999999999998</v>
      </c>
    </row>
    <row r="7480" spans="4:5" x14ac:dyDescent="0.35">
      <c r="D7480" s="1">
        <v>34760</v>
      </c>
      <c r="E7480">
        <v>0.85099999999999998</v>
      </c>
    </row>
    <row r="7481" spans="4:5" x14ac:dyDescent="0.35">
      <c r="D7481" s="1">
        <v>34759</v>
      </c>
      <c r="E7481">
        <v>0.84799999999999998</v>
      </c>
    </row>
    <row r="7482" spans="4:5" x14ac:dyDescent="0.35">
      <c r="D7482" s="1">
        <v>34754</v>
      </c>
      <c r="E7482">
        <v>0.84950000000000003</v>
      </c>
    </row>
    <row r="7483" spans="4:5" x14ac:dyDescent="0.35">
      <c r="D7483" s="1">
        <v>34753</v>
      </c>
      <c r="E7483">
        <v>0.84299999999999997</v>
      </c>
    </row>
    <row r="7484" spans="4:5" x14ac:dyDescent="0.35">
      <c r="D7484" s="1">
        <v>34752</v>
      </c>
      <c r="E7484">
        <v>0.84599999999999997</v>
      </c>
    </row>
    <row r="7485" spans="4:5" x14ac:dyDescent="0.35">
      <c r="D7485" s="1">
        <v>34751</v>
      </c>
      <c r="E7485">
        <v>0.84099999999999997</v>
      </c>
    </row>
    <row r="7486" spans="4:5" x14ac:dyDescent="0.35">
      <c r="D7486" s="1">
        <v>34750</v>
      </c>
      <c r="E7486">
        <v>0.84</v>
      </c>
    </row>
    <row r="7487" spans="4:5" x14ac:dyDescent="0.35">
      <c r="D7487" s="1">
        <v>34747</v>
      </c>
      <c r="E7487">
        <v>0.84799999999999998</v>
      </c>
    </row>
    <row r="7488" spans="4:5" x14ac:dyDescent="0.35">
      <c r="D7488" s="1">
        <v>34746</v>
      </c>
      <c r="E7488">
        <v>0.84299999999999997</v>
      </c>
    </row>
    <row r="7489" spans="4:5" x14ac:dyDescent="0.35">
      <c r="D7489" s="1">
        <v>34745</v>
      </c>
      <c r="E7489">
        <v>0.83499999999999996</v>
      </c>
    </row>
    <row r="7490" spans="4:5" x14ac:dyDescent="0.35">
      <c r="D7490" s="1">
        <v>34744</v>
      </c>
      <c r="E7490">
        <v>0.83299999999999996</v>
      </c>
    </row>
    <row r="7491" spans="4:5" x14ac:dyDescent="0.35">
      <c r="D7491" s="1">
        <v>34743</v>
      </c>
      <c r="E7491">
        <v>0.83199999999999996</v>
      </c>
    </row>
    <row r="7492" spans="4:5" x14ac:dyDescent="0.35">
      <c r="D7492" s="1">
        <v>34740</v>
      </c>
      <c r="E7492">
        <v>0.83299999999999996</v>
      </c>
    </row>
    <row r="7493" spans="4:5" x14ac:dyDescent="0.35">
      <c r="D7493" s="1">
        <v>34739</v>
      </c>
      <c r="E7493">
        <v>0.83199999999999996</v>
      </c>
    </row>
    <row r="7494" spans="4:5" x14ac:dyDescent="0.35">
      <c r="D7494" s="1">
        <v>34738</v>
      </c>
      <c r="E7494">
        <v>0.83399999999999996</v>
      </c>
    </row>
    <row r="7495" spans="4:5" x14ac:dyDescent="0.35">
      <c r="D7495" s="1">
        <v>34737</v>
      </c>
      <c r="E7495">
        <v>0.83499999999999996</v>
      </c>
    </row>
    <row r="7496" spans="4:5" x14ac:dyDescent="0.35">
      <c r="D7496" s="1">
        <v>34736</v>
      </c>
      <c r="E7496">
        <v>0.83599999999999997</v>
      </c>
    </row>
    <row r="7497" spans="4:5" x14ac:dyDescent="0.35">
      <c r="D7497" s="1">
        <v>34733</v>
      </c>
      <c r="E7497">
        <v>0.83799999999999997</v>
      </c>
    </row>
    <row r="7498" spans="4:5" x14ac:dyDescent="0.35">
      <c r="D7498" s="1">
        <v>34732</v>
      </c>
      <c r="E7498">
        <v>0.83799999999999997</v>
      </c>
    </row>
    <row r="7499" spans="4:5" x14ac:dyDescent="0.35">
      <c r="D7499" s="1">
        <v>34731</v>
      </c>
      <c r="E7499">
        <v>0.84099999999999997</v>
      </c>
    </row>
    <row r="7500" spans="4:5" x14ac:dyDescent="0.35">
      <c r="D7500" s="1">
        <v>34730</v>
      </c>
      <c r="E7500">
        <v>0.84</v>
      </c>
    </row>
    <row r="7501" spans="4:5" x14ac:dyDescent="0.35">
      <c r="D7501" s="1">
        <v>34729</v>
      </c>
      <c r="E7501">
        <v>0.84499999999999997</v>
      </c>
    </row>
    <row r="7502" spans="4:5" x14ac:dyDescent="0.35">
      <c r="D7502" s="1">
        <v>34726</v>
      </c>
      <c r="E7502">
        <v>0.84299999999999997</v>
      </c>
    </row>
    <row r="7503" spans="4:5" x14ac:dyDescent="0.35">
      <c r="D7503" s="1">
        <v>34725</v>
      </c>
      <c r="E7503">
        <v>0.84399999999999997</v>
      </c>
    </row>
    <row r="7504" spans="4:5" x14ac:dyDescent="0.35">
      <c r="D7504" s="1">
        <v>34724</v>
      </c>
      <c r="E7504">
        <v>0.85099999999999998</v>
      </c>
    </row>
    <row r="7505" spans="4:5" x14ac:dyDescent="0.35">
      <c r="D7505" s="1">
        <v>34723</v>
      </c>
      <c r="E7505">
        <v>0.85199999999999998</v>
      </c>
    </row>
    <row r="7506" spans="4:5" x14ac:dyDescent="0.35">
      <c r="D7506" s="1">
        <v>34722</v>
      </c>
      <c r="E7506">
        <v>0.85</v>
      </c>
    </row>
    <row r="7507" spans="4:5" x14ac:dyDescent="0.35">
      <c r="D7507" s="1">
        <v>34719</v>
      </c>
      <c r="E7507">
        <v>0.84599999999999997</v>
      </c>
    </row>
    <row r="7508" spans="4:5" x14ac:dyDescent="0.35">
      <c r="D7508" s="1">
        <v>34718</v>
      </c>
      <c r="E7508">
        <v>0.84599999999999997</v>
      </c>
    </row>
    <row r="7509" spans="4:5" x14ac:dyDescent="0.35">
      <c r="D7509" s="1">
        <v>34717</v>
      </c>
      <c r="E7509">
        <v>0.84399999999999997</v>
      </c>
    </row>
    <row r="7510" spans="4:5" x14ac:dyDescent="0.35">
      <c r="D7510" s="1">
        <v>34716</v>
      </c>
      <c r="E7510">
        <v>0.84399999999999997</v>
      </c>
    </row>
    <row r="7511" spans="4:5" x14ac:dyDescent="0.35">
      <c r="D7511" s="1">
        <v>34715</v>
      </c>
      <c r="E7511">
        <v>0.84799999999999998</v>
      </c>
    </row>
    <row r="7512" spans="4:5" x14ac:dyDescent="0.35">
      <c r="D7512" s="1">
        <v>34712</v>
      </c>
      <c r="E7512">
        <v>0.84499999999999997</v>
      </c>
    </row>
    <row r="7513" spans="4:5" x14ac:dyDescent="0.35">
      <c r="D7513" s="1">
        <v>34711</v>
      </c>
      <c r="E7513">
        <v>0.84399999999999997</v>
      </c>
    </row>
    <row r="7514" spans="4:5" x14ac:dyDescent="0.35">
      <c r="D7514" s="1">
        <v>34710</v>
      </c>
      <c r="E7514">
        <v>0.84899999999999998</v>
      </c>
    </row>
    <row r="7515" spans="4:5" x14ac:dyDescent="0.35">
      <c r="D7515" s="1">
        <v>34709</v>
      </c>
      <c r="E7515">
        <v>0.84599999999999997</v>
      </c>
    </row>
    <row r="7516" spans="4:5" x14ac:dyDescent="0.35">
      <c r="D7516" s="1">
        <v>34708</v>
      </c>
      <c r="E7516">
        <v>0.84399999999999997</v>
      </c>
    </row>
    <row r="7517" spans="4:5" x14ac:dyDescent="0.35">
      <c r="D7517" s="1">
        <v>34705</v>
      </c>
      <c r="E7517">
        <v>0.83899999999999997</v>
      </c>
    </row>
    <row r="7518" spans="4:5" x14ac:dyDescent="0.35">
      <c r="D7518" s="1">
        <v>34704</v>
      </c>
      <c r="E7518">
        <v>0.84199999999999997</v>
      </c>
    </row>
    <row r="7519" spans="4:5" x14ac:dyDescent="0.35">
      <c r="D7519" s="1">
        <v>34703</v>
      </c>
      <c r="E7519">
        <v>0.84399999999999997</v>
      </c>
    </row>
    <row r="7520" spans="4:5" x14ac:dyDescent="0.35">
      <c r="D7520" s="1">
        <v>34702</v>
      </c>
      <c r="E7520">
        <v>0.84399999999999997</v>
      </c>
    </row>
    <row r="7521" spans="4:5" x14ac:dyDescent="0.35">
      <c r="D7521" s="1">
        <v>34701</v>
      </c>
      <c r="E7521">
        <v>0.84299999999999997</v>
      </c>
    </row>
    <row r="7522" spans="4:5" x14ac:dyDescent="0.35">
      <c r="D7522" s="1">
        <v>34698</v>
      </c>
      <c r="E7522">
        <v>0.84399999999999997</v>
      </c>
    </row>
    <row r="7523" spans="4:5" x14ac:dyDescent="0.35">
      <c r="D7523" s="1">
        <v>34697</v>
      </c>
      <c r="E7523">
        <v>0.84599999999999997</v>
      </c>
    </row>
    <row r="7524" spans="4:5" x14ac:dyDescent="0.35">
      <c r="D7524" s="1">
        <v>34696</v>
      </c>
      <c r="E7524">
        <v>0.85399999999999998</v>
      </c>
    </row>
    <row r="7525" spans="4:5" x14ac:dyDescent="0.35">
      <c r="D7525" s="1">
        <v>34695</v>
      </c>
      <c r="E7525">
        <v>0.85</v>
      </c>
    </row>
    <row r="7526" spans="4:5" x14ac:dyDescent="0.35">
      <c r="D7526" s="1">
        <v>34694</v>
      </c>
      <c r="E7526">
        <v>0.84799999999999998</v>
      </c>
    </row>
    <row r="7527" spans="4:5" x14ac:dyDescent="0.35">
      <c r="D7527" s="1">
        <v>34691</v>
      </c>
      <c r="E7527">
        <v>0.85299999999999998</v>
      </c>
    </row>
    <row r="7528" spans="4:5" x14ac:dyDescent="0.35">
      <c r="D7528" s="1">
        <v>34690</v>
      </c>
      <c r="E7528">
        <v>0.85799999999999998</v>
      </c>
    </row>
    <row r="7529" spans="4:5" x14ac:dyDescent="0.35">
      <c r="D7529" s="1">
        <v>34689</v>
      </c>
      <c r="E7529">
        <v>0.85099999999999998</v>
      </c>
    </row>
    <row r="7530" spans="4:5" x14ac:dyDescent="0.35">
      <c r="D7530" s="1">
        <v>34688</v>
      </c>
      <c r="E7530">
        <v>0.84799999999999998</v>
      </c>
    </row>
    <row r="7531" spans="4:5" x14ac:dyDescent="0.35">
      <c r="D7531" s="1">
        <v>34687</v>
      </c>
      <c r="E7531">
        <v>0.84599999999999997</v>
      </c>
    </row>
    <row r="7532" spans="4:5" x14ac:dyDescent="0.35">
      <c r="D7532" s="1">
        <v>34684</v>
      </c>
      <c r="E7532">
        <v>0.84699999999999998</v>
      </c>
    </row>
    <row r="7533" spans="4:5" x14ac:dyDescent="0.35">
      <c r="D7533" s="1">
        <v>34683</v>
      </c>
      <c r="E7533">
        <v>0.84899999999999998</v>
      </c>
    </row>
    <row r="7534" spans="4:5" x14ac:dyDescent="0.35">
      <c r="D7534" s="1">
        <v>34682</v>
      </c>
      <c r="E7534">
        <v>0.84499999999999997</v>
      </c>
    </row>
    <row r="7535" spans="4:5" x14ac:dyDescent="0.35">
      <c r="D7535" s="1">
        <v>34681</v>
      </c>
      <c r="E7535">
        <v>0.84099999999999997</v>
      </c>
    </row>
    <row r="7536" spans="4:5" x14ac:dyDescent="0.35">
      <c r="D7536" s="1">
        <v>34680</v>
      </c>
      <c r="E7536">
        <v>0.84199999999999997</v>
      </c>
    </row>
    <row r="7537" spans="4:5" x14ac:dyDescent="0.35">
      <c r="D7537" s="1">
        <v>34677</v>
      </c>
      <c r="E7537">
        <v>0.84599999999999997</v>
      </c>
    </row>
    <row r="7538" spans="4:5" x14ac:dyDescent="0.35">
      <c r="D7538" s="1">
        <v>34676</v>
      </c>
      <c r="E7538">
        <v>0.84499999999999997</v>
      </c>
    </row>
    <row r="7539" spans="4:5" x14ac:dyDescent="0.35">
      <c r="D7539" s="1">
        <v>34675</v>
      </c>
      <c r="E7539">
        <v>0.84499999999999997</v>
      </c>
    </row>
    <row r="7540" spans="4:5" x14ac:dyDescent="0.35">
      <c r="D7540" s="1">
        <v>34674</v>
      </c>
      <c r="E7540">
        <v>0.84399999999999997</v>
      </c>
    </row>
    <row r="7541" spans="4:5" x14ac:dyDescent="0.35">
      <c r="D7541" s="1">
        <v>34673</v>
      </c>
      <c r="E7541">
        <v>0.85599999999999998</v>
      </c>
    </row>
    <row r="7542" spans="4:5" x14ac:dyDescent="0.35">
      <c r="D7542" s="1">
        <v>34670</v>
      </c>
      <c r="E7542">
        <v>0.85499999999999998</v>
      </c>
    </row>
    <row r="7543" spans="4:5" x14ac:dyDescent="0.35">
      <c r="D7543" s="1">
        <v>34669</v>
      </c>
      <c r="E7543">
        <v>0.84599999999999997</v>
      </c>
    </row>
    <row r="7544" spans="4:5" x14ac:dyDescent="0.35">
      <c r="D7544" s="1">
        <v>34668</v>
      </c>
      <c r="E7544">
        <v>0.84299999999999997</v>
      </c>
    </row>
    <row r="7545" spans="4:5" x14ac:dyDescent="0.35">
      <c r="D7545" s="1">
        <v>34667</v>
      </c>
      <c r="E7545">
        <v>0.85099999999999998</v>
      </c>
    </row>
    <row r="7546" spans="4:5" x14ac:dyDescent="0.35">
      <c r="D7546" s="1">
        <v>34666</v>
      </c>
      <c r="E7546">
        <v>0.85499999999999998</v>
      </c>
    </row>
    <row r="7547" spans="4:5" x14ac:dyDescent="0.35">
      <c r="D7547" s="1">
        <v>34663</v>
      </c>
      <c r="E7547">
        <v>0.85699999999999998</v>
      </c>
    </row>
    <row r="7548" spans="4:5" x14ac:dyDescent="0.35">
      <c r="D7548" s="1">
        <v>34662</v>
      </c>
      <c r="E7548">
        <v>0.85199999999999998</v>
      </c>
    </row>
    <row r="7549" spans="4:5" x14ac:dyDescent="0.35">
      <c r="D7549" s="1">
        <v>34661</v>
      </c>
      <c r="E7549">
        <v>0.84099999999999997</v>
      </c>
    </row>
    <row r="7550" spans="4:5" x14ac:dyDescent="0.35">
      <c r="D7550" s="1">
        <v>34660</v>
      </c>
      <c r="E7550">
        <v>0.83399999999999996</v>
      </c>
    </row>
    <row r="7551" spans="4:5" x14ac:dyDescent="0.35">
      <c r="D7551" s="1">
        <v>34659</v>
      </c>
      <c r="E7551">
        <v>0.83299999999999996</v>
      </c>
    </row>
    <row r="7552" spans="4:5" x14ac:dyDescent="0.35">
      <c r="D7552" s="1">
        <v>34656</v>
      </c>
      <c r="E7552">
        <v>0.83399999999999996</v>
      </c>
    </row>
    <row r="7553" spans="4:5" x14ac:dyDescent="0.35">
      <c r="D7553" s="1">
        <v>34655</v>
      </c>
      <c r="E7553">
        <v>0.83099999999999996</v>
      </c>
    </row>
    <row r="7554" spans="4:5" x14ac:dyDescent="0.35">
      <c r="D7554" s="1">
        <v>34654</v>
      </c>
      <c r="E7554">
        <v>0.83099999999999996</v>
      </c>
    </row>
    <row r="7555" spans="4:5" x14ac:dyDescent="0.35">
      <c r="D7555" s="1">
        <v>34652</v>
      </c>
      <c r="E7555">
        <v>0.83599999999999997</v>
      </c>
    </row>
    <row r="7556" spans="4:5" x14ac:dyDescent="0.35">
      <c r="D7556" s="1">
        <v>34649</v>
      </c>
      <c r="E7556">
        <v>0.83599999999999997</v>
      </c>
    </row>
    <row r="7557" spans="4:5" x14ac:dyDescent="0.35">
      <c r="D7557" s="1">
        <v>34648</v>
      </c>
      <c r="E7557">
        <v>0.83199999999999996</v>
      </c>
    </row>
    <row r="7558" spans="4:5" x14ac:dyDescent="0.35">
      <c r="D7558" s="1">
        <v>34647</v>
      </c>
      <c r="E7558">
        <v>0.82899999999999996</v>
      </c>
    </row>
    <row r="7559" spans="4:5" x14ac:dyDescent="0.35">
      <c r="D7559" s="1">
        <v>34646</v>
      </c>
      <c r="E7559">
        <v>0.83199999999999996</v>
      </c>
    </row>
    <row r="7560" spans="4:5" x14ac:dyDescent="0.35">
      <c r="D7560" s="1">
        <v>34645</v>
      </c>
      <c r="E7560">
        <v>0.83799999999999997</v>
      </c>
    </row>
    <row r="7561" spans="4:5" x14ac:dyDescent="0.35">
      <c r="D7561" s="1">
        <v>34642</v>
      </c>
      <c r="E7561">
        <v>0.84299999999999997</v>
      </c>
    </row>
    <row r="7562" spans="4:5" x14ac:dyDescent="0.35">
      <c r="D7562" s="1">
        <v>34641</v>
      </c>
      <c r="E7562">
        <v>0.84399999999999997</v>
      </c>
    </row>
    <row r="7563" spans="4:5" x14ac:dyDescent="0.35">
      <c r="D7563" s="1">
        <v>34639</v>
      </c>
      <c r="E7563">
        <v>0.84299999999999997</v>
      </c>
    </row>
    <row r="7564" spans="4:5" x14ac:dyDescent="0.35">
      <c r="D7564" s="1">
        <v>34638</v>
      </c>
      <c r="E7564">
        <v>0.84399999999999997</v>
      </c>
    </row>
    <row r="7565" spans="4:5" x14ac:dyDescent="0.35">
      <c r="D7565" s="1">
        <v>34635</v>
      </c>
      <c r="E7565">
        <v>0.84799999999999998</v>
      </c>
    </row>
    <row r="7566" spans="4:5" x14ac:dyDescent="0.35">
      <c r="D7566" s="1">
        <v>34634</v>
      </c>
      <c r="E7566">
        <v>0.85</v>
      </c>
    </row>
    <row r="7567" spans="4:5" x14ac:dyDescent="0.35">
      <c r="D7567" s="1">
        <v>34633</v>
      </c>
      <c r="E7567">
        <v>0.85399999999999998</v>
      </c>
    </row>
    <row r="7568" spans="4:5" x14ac:dyDescent="0.35">
      <c r="D7568" s="1">
        <v>34632</v>
      </c>
      <c r="E7568">
        <v>0.85199999999999998</v>
      </c>
    </row>
    <row r="7569" spans="4:5" x14ac:dyDescent="0.35">
      <c r="D7569" s="1">
        <v>34631</v>
      </c>
      <c r="E7569">
        <v>0.85099999999999998</v>
      </c>
    </row>
    <row r="7570" spans="4:5" x14ac:dyDescent="0.35">
      <c r="D7570" s="1">
        <v>34628</v>
      </c>
      <c r="E7570">
        <v>0.85099999999999998</v>
      </c>
    </row>
    <row r="7571" spans="4:5" x14ac:dyDescent="0.35">
      <c r="D7571" s="1">
        <v>34627</v>
      </c>
      <c r="E7571">
        <v>0.85399999999999998</v>
      </c>
    </row>
    <row r="7572" spans="4:5" x14ac:dyDescent="0.35">
      <c r="D7572" s="1">
        <v>34626</v>
      </c>
      <c r="E7572">
        <v>0.85099999999999998</v>
      </c>
    </row>
    <row r="7573" spans="4:5" x14ac:dyDescent="0.35">
      <c r="D7573" s="1">
        <v>34625</v>
      </c>
      <c r="E7573">
        <v>0.84499999999999997</v>
      </c>
    </row>
    <row r="7574" spans="4:5" x14ac:dyDescent="0.35">
      <c r="D7574" s="1">
        <v>34624</v>
      </c>
      <c r="E7574">
        <v>0.82699999999999996</v>
      </c>
    </row>
    <row r="7575" spans="4:5" x14ac:dyDescent="0.35">
      <c r="D7575" s="1">
        <v>34621</v>
      </c>
      <c r="E7575">
        <v>0.82699999999999996</v>
      </c>
    </row>
    <row r="7576" spans="4:5" x14ac:dyDescent="0.35">
      <c r="D7576" s="1">
        <v>34620</v>
      </c>
      <c r="E7576">
        <v>0.83399999999999996</v>
      </c>
    </row>
    <row r="7577" spans="4:5" x14ac:dyDescent="0.35">
      <c r="D7577" s="1">
        <v>34618</v>
      </c>
      <c r="E7577">
        <v>0.83299999999999996</v>
      </c>
    </row>
    <row r="7578" spans="4:5" x14ac:dyDescent="0.35">
      <c r="D7578" s="1">
        <v>34617</v>
      </c>
      <c r="E7578">
        <v>0.83699999999999997</v>
      </c>
    </row>
    <row r="7579" spans="4:5" x14ac:dyDescent="0.35">
      <c r="D7579" s="1">
        <v>34614</v>
      </c>
      <c r="E7579">
        <v>0.84199999999999997</v>
      </c>
    </row>
    <row r="7580" spans="4:5" x14ac:dyDescent="0.35">
      <c r="D7580" s="1">
        <v>34613</v>
      </c>
      <c r="E7580">
        <v>0.84399999999999997</v>
      </c>
    </row>
    <row r="7581" spans="4:5" x14ac:dyDescent="0.35">
      <c r="D7581" s="1">
        <v>34612</v>
      </c>
      <c r="E7581">
        <v>0.84499999999999997</v>
      </c>
    </row>
    <row r="7582" spans="4:5" x14ac:dyDescent="0.35">
      <c r="D7582" s="1">
        <v>34611</v>
      </c>
      <c r="E7582">
        <v>0.84699999999999998</v>
      </c>
    </row>
    <row r="7583" spans="4:5" x14ac:dyDescent="0.35">
      <c r="D7583" s="1">
        <v>34607</v>
      </c>
      <c r="E7583">
        <v>0.85099999999999998</v>
      </c>
    </row>
    <row r="7584" spans="4:5" x14ac:dyDescent="0.35">
      <c r="D7584" s="1">
        <v>34606</v>
      </c>
      <c r="E7584">
        <v>0.85899999999999999</v>
      </c>
    </row>
    <row r="7585" spans="4:5" x14ac:dyDescent="0.35">
      <c r="D7585" s="1">
        <v>34605</v>
      </c>
      <c r="E7585">
        <v>0.86199999999999999</v>
      </c>
    </row>
    <row r="7586" spans="4:5" x14ac:dyDescent="0.35">
      <c r="D7586" s="1">
        <v>34604</v>
      </c>
      <c r="E7586">
        <v>0.86599999999999999</v>
      </c>
    </row>
    <row r="7587" spans="4:5" x14ac:dyDescent="0.35">
      <c r="D7587" s="1">
        <v>34603</v>
      </c>
      <c r="E7587">
        <v>0.86</v>
      </c>
    </row>
    <row r="7588" spans="4:5" x14ac:dyDescent="0.35">
      <c r="D7588" s="1">
        <v>34600</v>
      </c>
      <c r="E7588">
        <v>0.85499999999999998</v>
      </c>
    </row>
    <row r="7589" spans="4:5" x14ac:dyDescent="0.35">
      <c r="D7589" s="1">
        <v>34599</v>
      </c>
      <c r="E7589">
        <v>0.85299999999999998</v>
      </c>
    </row>
    <row r="7590" spans="4:5" x14ac:dyDescent="0.35">
      <c r="D7590" s="1">
        <v>34598</v>
      </c>
      <c r="E7590">
        <v>0.85499999999999998</v>
      </c>
    </row>
    <row r="7591" spans="4:5" x14ac:dyDescent="0.35">
      <c r="D7591" s="1">
        <v>34597</v>
      </c>
      <c r="E7591">
        <v>0.85199999999999998</v>
      </c>
    </row>
    <row r="7592" spans="4:5" x14ac:dyDescent="0.35">
      <c r="D7592" s="1">
        <v>34596</v>
      </c>
      <c r="E7592">
        <v>0.85199999999999998</v>
      </c>
    </row>
    <row r="7593" spans="4:5" x14ac:dyDescent="0.35">
      <c r="D7593" s="1">
        <v>34593</v>
      </c>
      <c r="E7593">
        <v>0.85499999999999998</v>
      </c>
    </row>
    <row r="7594" spans="4:5" x14ac:dyDescent="0.35">
      <c r="D7594" s="1">
        <v>34592</v>
      </c>
      <c r="E7594">
        <v>0.85499999999999998</v>
      </c>
    </row>
    <row r="7595" spans="4:5" x14ac:dyDescent="0.35">
      <c r="D7595" s="1">
        <v>34591</v>
      </c>
      <c r="E7595">
        <v>0.85299999999999998</v>
      </c>
    </row>
    <row r="7596" spans="4:5" x14ac:dyDescent="0.35">
      <c r="D7596" s="1">
        <v>34590</v>
      </c>
      <c r="E7596">
        <v>0.85799999999999998</v>
      </c>
    </row>
    <row r="7597" spans="4:5" x14ac:dyDescent="0.35">
      <c r="D7597" s="1">
        <v>34589</v>
      </c>
      <c r="E7597">
        <v>0.85099999999999998</v>
      </c>
    </row>
    <row r="7598" spans="4:5" x14ac:dyDescent="0.35">
      <c r="D7598" s="1">
        <v>34586</v>
      </c>
      <c r="E7598">
        <v>0.87</v>
      </c>
    </row>
    <row r="7599" spans="4:5" x14ac:dyDescent="0.35">
      <c r="D7599" s="1">
        <v>34585</v>
      </c>
      <c r="E7599">
        <v>0.879</v>
      </c>
    </row>
    <row r="7600" spans="4:5" x14ac:dyDescent="0.35">
      <c r="D7600" s="1">
        <v>34583</v>
      </c>
      <c r="E7600">
        <v>0.88400000000000001</v>
      </c>
    </row>
    <row r="7601" spans="4:5" x14ac:dyDescent="0.35">
      <c r="D7601" s="1">
        <v>34582</v>
      </c>
      <c r="E7601">
        <v>0.89</v>
      </c>
    </row>
    <row r="7602" spans="4:5" x14ac:dyDescent="0.35">
      <c r="D7602" s="1">
        <v>34579</v>
      </c>
      <c r="E7602">
        <v>0.88400000000000001</v>
      </c>
    </row>
    <row r="7603" spans="4:5" x14ac:dyDescent="0.35">
      <c r="D7603" s="1">
        <v>34578</v>
      </c>
      <c r="E7603">
        <v>0.88300000000000001</v>
      </c>
    </row>
    <row r="7604" spans="4:5" x14ac:dyDescent="0.35">
      <c r="D7604" s="1">
        <v>34577</v>
      </c>
      <c r="E7604">
        <v>0.88700000000000001</v>
      </c>
    </row>
    <row r="7605" spans="4:5" x14ac:dyDescent="0.35">
      <c r="D7605" s="1">
        <v>34576</v>
      </c>
      <c r="E7605">
        <v>0.88500000000000001</v>
      </c>
    </row>
    <row r="7606" spans="4:5" x14ac:dyDescent="0.35">
      <c r="D7606" s="1">
        <v>34575</v>
      </c>
      <c r="E7606">
        <v>0.89400000000000002</v>
      </c>
    </row>
    <row r="7607" spans="4:5" x14ac:dyDescent="0.35">
      <c r="D7607" s="1">
        <v>34572</v>
      </c>
      <c r="E7607">
        <v>0.88600000000000001</v>
      </c>
    </row>
    <row r="7608" spans="4:5" x14ac:dyDescent="0.35">
      <c r="D7608" s="1">
        <v>34571</v>
      </c>
      <c r="E7608">
        <v>0.88600000000000001</v>
      </c>
    </row>
    <row r="7609" spans="4:5" x14ac:dyDescent="0.35">
      <c r="D7609" s="1">
        <v>34570</v>
      </c>
      <c r="E7609">
        <v>0.88200000000000001</v>
      </c>
    </row>
    <row r="7610" spans="4:5" x14ac:dyDescent="0.35">
      <c r="D7610" s="1">
        <v>34569</v>
      </c>
      <c r="E7610">
        <v>0.88500000000000001</v>
      </c>
    </row>
    <row r="7611" spans="4:5" x14ac:dyDescent="0.35">
      <c r="D7611" s="1">
        <v>34568</v>
      </c>
      <c r="E7611">
        <v>0.88500000000000001</v>
      </c>
    </row>
    <row r="7612" spans="4:5" x14ac:dyDescent="0.35">
      <c r="D7612" s="1">
        <v>34565</v>
      </c>
      <c r="E7612">
        <v>0.89200000000000002</v>
      </c>
    </row>
    <row r="7613" spans="4:5" x14ac:dyDescent="0.35">
      <c r="D7613" s="1">
        <v>34564</v>
      </c>
      <c r="E7613">
        <v>0.89500000000000002</v>
      </c>
    </row>
    <row r="7614" spans="4:5" x14ac:dyDescent="0.35">
      <c r="D7614" s="1">
        <v>34563</v>
      </c>
      <c r="E7614">
        <v>0.89900000000000002</v>
      </c>
    </row>
    <row r="7615" spans="4:5" x14ac:dyDescent="0.35">
      <c r="D7615" s="1">
        <v>34562</v>
      </c>
      <c r="E7615">
        <v>0.89400000000000002</v>
      </c>
    </row>
    <row r="7616" spans="4:5" x14ac:dyDescent="0.35">
      <c r="D7616" s="1">
        <v>34561</v>
      </c>
      <c r="E7616">
        <v>0.89900000000000002</v>
      </c>
    </row>
    <row r="7617" spans="4:5" x14ac:dyDescent="0.35">
      <c r="D7617" s="1">
        <v>34558</v>
      </c>
      <c r="E7617">
        <v>0.90400000000000003</v>
      </c>
    </row>
    <row r="7618" spans="4:5" x14ac:dyDescent="0.35">
      <c r="D7618" s="1">
        <v>34557</v>
      </c>
      <c r="E7618">
        <v>0.89200000000000002</v>
      </c>
    </row>
    <row r="7619" spans="4:5" x14ac:dyDescent="0.35">
      <c r="D7619" s="1">
        <v>34556</v>
      </c>
      <c r="E7619">
        <v>0.89</v>
      </c>
    </row>
    <row r="7620" spans="4:5" x14ac:dyDescent="0.35">
      <c r="D7620" s="1">
        <v>34555</v>
      </c>
      <c r="E7620">
        <v>0.88900000000000001</v>
      </c>
    </row>
    <row r="7621" spans="4:5" x14ac:dyDescent="0.35">
      <c r="D7621" s="1">
        <v>34554</v>
      </c>
      <c r="E7621">
        <v>0.90400000000000003</v>
      </c>
    </row>
    <row r="7622" spans="4:5" x14ac:dyDescent="0.35">
      <c r="D7622" s="1">
        <v>34551</v>
      </c>
      <c r="E7622">
        <v>0.91</v>
      </c>
    </row>
    <row r="7623" spans="4:5" x14ac:dyDescent="0.35">
      <c r="D7623" s="1">
        <v>34550</v>
      </c>
      <c r="E7623">
        <v>0.90800000000000003</v>
      </c>
    </row>
    <row r="7624" spans="4:5" x14ac:dyDescent="0.35">
      <c r="D7624" s="1">
        <v>34549</v>
      </c>
      <c r="E7624">
        <v>0.90800000000000003</v>
      </c>
    </row>
    <row r="7625" spans="4:5" x14ac:dyDescent="0.35">
      <c r="D7625" s="1">
        <v>34548</v>
      </c>
      <c r="E7625">
        <v>0.91800000000000004</v>
      </c>
    </row>
    <row r="7626" spans="4:5" x14ac:dyDescent="0.35">
      <c r="D7626" s="1">
        <v>34547</v>
      </c>
      <c r="E7626">
        <v>0.93</v>
      </c>
    </row>
    <row r="7627" spans="4:5" x14ac:dyDescent="0.35">
      <c r="D7627" s="1">
        <v>34544</v>
      </c>
      <c r="E7627">
        <v>0.93799999999999994</v>
      </c>
    </row>
    <row r="7628" spans="4:5" x14ac:dyDescent="0.35">
      <c r="D7628" s="1">
        <v>34543</v>
      </c>
      <c r="E7628">
        <v>0.93799999999999994</v>
      </c>
    </row>
    <row r="7629" spans="4:5" x14ac:dyDescent="0.35">
      <c r="D7629" s="1">
        <v>34542</v>
      </c>
      <c r="E7629">
        <v>0.93400000000000005</v>
      </c>
    </row>
    <row r="7630" spans="4:5" x14ac:dyDescent="0.35">
      <c r="D7630" s="1">
        <v>34541</v>
      </c>
      <c r="E7630">
        <v>0.93200000000000005</v>
      </c>
    </row>
    <row r="7631" spans="4:5" x14ac:dyDescent="0.35">
      <c r="D7631" s="1">
        <v>34540</v>
      </c>
      <c r="E7631">
        <v>0.93400000000000005</v>
      </c>
    </row>
    <row r="7632" spans="4:5" x14ac:dyDescent="0.35">
      <c r="D7632" s="1">
        <v>34537</v>
      </c>
      <c r="E7632">
        <v>0.93400000000000005</v>
      </c>
    </row>
    <row r="7633" spans="4:5" x14ac:dyDescent="0.35">
      <c r="D7633" s="1">
        <v>34536</v>
      </c>
      <c r="E7633">
        <v>0.93</v>
      </c>
    </row>
    <row r="7634" spans="4:5" x14ac:dyDescent="0.35">
      <c r="D7634" s="1">
        <v>34535</v>
      </c>
      <c r="E7634">
        <v>0.92800000000000005</v>
      </c>
    </row>
    <row r="7635" spans="4:5" x14ac:dyDescent="0.35">
      <c r="D7635" s="1">
        <v>34534</v>
      </c>
      <c r="E7635">
        <v>0.93</v>
      </c>
    </row>
    <row r="7636" spans="4:5" x14ac:dyDescent="0.35">
      <c r="D7636" s="1">
        <v>34533</v>
      </c>
      <c r="E7636">
        <v>0.93</v>
      </c>
    </row>
    <row r="7637" spans="4:5" x14ac:dyDescent="0.35">
      <c r="D7637" s="1">
        <v>34530</v>
      </c>
      <c r="E7637">
        <v>0.93</v>
      </c>
    </row>
    <row r="7638" spans="4:5" x14ac:dyDescent="0.35">
      <c r="D7638" s="1">
        <v>34529</v>
      </c>
      <c r="E7638">
        <v>0.92</v>
      </c>
    </row>
    <row r="7639" spans="4:5" x14ac:dyDescent="0.35">
      <c r="D7639" s="1">
        <v>34528</v>
      </c>
      <c r="E7639">
        <v>0.91500000000000004</v>
      </c>
    </row>
    <row r="7640" spans="4:5" x14ac:dyDescent="0.35">
      <c r="D7640" s="1">
        <v>34527</v>
      </c>
      <c r="E7640">
        <v>0.91500000000000004</v>
      </c>
    </row>
    <row r="7641" spans="4:5" x14ac:dyDescent="0.35">
      <c r="D7641" s="1">
        <v>34526</v>
      </c>
      <c r="E7641">
        <v>0.92</v>
      </c>
    </row>
    <row r="7642" spans="4:5" x14ac:dyDescent="0.35">
      <c r="D7642" s="1">
        <v>34523</v>
      </c>
      <c r="E7642">
        <v>0.91500000000000004</v>
      </c>
    </row>
    <row r="7643" spans="4:5" x14ac:dyDescent="0.35">
      <c r="D7643" s="1">
        <v>34522</v>
      </c>
      <c r="E7643">
        <v>0.90500000000000003</v>
      </c>
    </row>
    <row r="7644" spans="4:5" x14ac:dyDescent="0.35">
      <c r="D7644" s="1">
        <v>34521</v>
      </c>
      <c r="E7644">
        <v>0.91</v>
      </c>
    </row>
    <row r="7645" spans="4:5" x14ac:dyDescent="0.35">
      <c r="D7645" s="1">
        <v>34520</v>
      </c>
      <c r="E7645">
        <v>0.92700000000000005</v>
      </c>
    </row>
    <row r="7646" spans="4:5" x14ac:dyDescent="0.35">
      <c r="D7646" s="1">
        <v>34519</v>
      </c>
      <c r="E7646">
        <v>0.93500000000000005</v>
      </c>
    </row>
    <row r="7647" spans="4:5" x14ac:dyDescent="0.35">
      <c r="D7647" s="1">
        <v>34516</v>
      </c>
      <c r="E7647">
        <v>0.9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E13B-D950-474D-BF16-C3557C3E1551}">
  <dimension ref="A1:A408"/>
  <sheetViews>
    <sheetView topLeftCell="A370" workbookViewId="0">
      <selection activeCell="A4" sqref="A4"/>
    </sheetView>
  </sheetViews>
  <sheetFormatPr defaultRowHeight="14.5" x14ac:dyDescent="0.35"/>
  <cols>
    <col min="1" max="1" width="12.26953125" bestFit="1" customWidth="1"/>
  </cols>
  <sheetData>
    <row r="1" spans="1:1" x14ac:dyDescent="0.35">
      <c r="A1" t="s">
        <v>14</v>
      </c>
    </row>
    <row r="2" spans="1:1" x14ac:dyDescent="0.35">
      <c r="A2" s="7">
        <v>44197</v>
      </c>
    </row>
    <row r="3" spans="1:1" x14ac:dyDescent="0.35">
      <c r="A3" s="7">
        <v>44242</v>
      </c>
    </row>
    <row r="4" spans="1:1" x14ac:dyDescent="0.35">
      <c r="A4" s="7">
        <v>44243</v>
      </c>
    </row>
    <row r="5" spans="1:1" x14ac:dyDescent="0.35">
      <c r="A5" s="7">
        <v>44288</v>
      </c>
    </row>
    <row r="6" spans="1:1" x14ac:dyDescent="0.35">
      <c r="A6" s="7">
        <v>44307</v>
      </c>
    </row>
    <row r="7" spans="1:1" x14ac:dyDescent="0.35">
      <c r="A7" s="7">
        <v>44317</v>
      </c>
    </row>
    <row r="8" spans="1:1" x14ac:dyDescent="0.35">
      <c r="A8" s="7">
        <v>44350</v>
      </c>
    </row>
    <row r="9" spans="1:1" x14ac:dyDescent="0.35">
      <c r="A9" s="7">
        <v>44446</v>
      </c>
    </row>
    <row r="10" spans="1:1" x14ac:dyDescent="0.35">
      <c r="A10" s="7">
        <v>44481</v>
      </c>
    </row>
    <row r="11" spans="1:1" x14ac:dyDescent="0.35">
      <c r="A11" s="7">
        <v>44502</v>
      </c>
    </row>
    <row r="12" spans="1:1" x14ac:dyDescent="0.35">
      <c r="A12" s="7">
        <v>44515</v>
      </c>
    </row>
    <row r="13" spans="1:1" x14ac:dyDescent="0.35">
      <c r="A13" s="7">
        <v>44555</v>
      </c>
    </row>
    <row r="14" spans="1:1" x14ac:dyDescent="0.35">
      <c r="A14" s="7">
        <v>44562</v>
      </c>
    </row>
    <row r="15" spans="1:1" x14ac:dyDescent="0.35">
      <c r="A15" s="7">
        <v>44620</v>
      </c>
    </row>
    <row r="16" spans="1:1" x14ac:dyDescent="0.35">
      <c r="A16" s="7">
        <v>44621</v>
      </c>
    </row>
    <row r="17" spans="1:1" x14ac:dyDescent="0.35">
      <c r="A17" s="7">
        <v>44666</v>
      </c>
    </row>
    <row r="18" spans="1:1" x14ac:dyDescent="0.35">
      <c r="A18" s="7">
        <v>44672</v>
      </c>
    </row>
    <row r="19" spans="1:1" x14ac:dyDescent="0.35">
      <c r="A19" s="7">
        <v>44682</v>
      </c>
    </row>
    <row r="20" spans="1:1" x14ac:dyDescent="0.35">
      <c r="A20" s="7">
        <v>44728</v>
      </c>
    </row>
    <row r="21" spans="1:1" x14ac:dyDescent="0.35">
      <c r="A21" s="7">
        <v>44811</v>
      </c>
    </row>
    <row r="22" spans="1:1" x14ac:dyDescent="0.35">
      <c r="A22" s="7">
        <v>44846</v>
      </c>
    </row>
    <row r="23" spans="1:1" x14ac:dyDescent="0.35">
      <c r="A23" s="7">
        <v>44867</v>
      </c>
    </row>
    <row r="24" spans="1:1" x14ac:dyDescent="0.35">
      <c r="A24" s="7">
        <v>44880</v>
      </c>
    </row>
    <row r="25" spans="1:1" x14ac:dyDescent="0.35">
      <c r="A25" s="7">
        <v>44920</v>
      </c>
    </row>
    <row r="26" spans="1:1" x14ac:dyDescent="0.35">
      <c r="A26" s="7">
        <v>44927</v>
      </c>
    </row>
    <row r="27" spans="1:1" x14ac:dyDescent="0.35">
      <c r="A27" s="7">
        <v>44977</v>
      </c>
    </row>
    <row r="28" spans="1:1" x14ac:dyDescent="0.35">
      <c r="A28" s="7">
        <v>44978</v>
      </c>
    </row>
    <row r="29" spans="1:1" x14ac:dyDescent="0.35">
      <c r="A29" s="7">
        <v>45023</v>
      </c>
    </row>
    <row r="30" spans="1:1" x14ac:dyDescent="0.35">
      <c r="A30" s="7">
        <v>45037</v>
      </c>
    </row>
    <row r="31" spans="1:1" x14ac:dyDescent="0.35">
      <c r="A31" s="7">
        <v>45047</v>
      </c>
    </row>
    <row r="32" spans="1:1" x14ac:dyDescent="0.35">
      <c r="A32" s="7">
        <v>45085</v>
      </c>
    </row>
    <row r="33" spans="1:1" x14ac:dyDescent="0.35">
      <c r="A33" s="7">
        <v>45176</v>
      </c>
    </row>
    <row r="34" spans="1:1" x14ac:dyDescent="0.35">
      <c r="A34" s="7">
        <v>45211</v>
      </c>
    </row>
    <row r="35" spans="1:1" x14ac:dyDescent="0.35">
      <c r="A35" s="7">
        <v>45232</v>
      </c>
    </row>
    <row r="36" spans="1:1" x14ac:dyDescent="0.35">
      <c r="A36" s="7">
        <v>45245</v>
      </c>
    </row>
    <row r="37" spans="1:1" x14ac:dyDescent="0.35">
      <c r="A37" s="7">
        <v>45285</v>
      </c>
    </row>
    <row r="38" spans="1:1" x14ac:dyDescent="0.35">
      <c r="A38" s="7">
        <v>45292</v>
      </c>
    </row>
    <row r="39" spans="1:1" x14ac:dyDescent="0.35">
      <c r="A39" s="7">
        <v>45334</v>
      </c>
    </row>
    <row r="40" spans="1:1" x14ac:dyDescent="0.35">
      <c r="A40" s="7">
        <v>45335</v>
      </c>
    </row>
    <row r="41" spans="1:1" x14ac:dyDescent="0.35">
      <c r="A41" s="7">
        <v>45380</v>
      </c>
    </row>
    <row r="42" spans="1:1" x14ac:dyDescent="0.35">
      <c r="A42" s="7">
        <v>45403</v>
      </c>
    </row>
    <row r="43" spans="1:1" x14ac:dyDescent="0.35">
      <c r="A43" s="7">
        <v>45413</v>
      </c>
    </row>
    <row r="44" spans="1:1" x14ac:dyDescent="0.35">
      <c r="A44" s="7">
        <v>45442</v>
      </c>
    </row>
    <row r="45" spans="1:1" x14ac:dyDescent="0.35">
      <c r="A45" s="7">
        <v>45542</v>
      </c>
    </row>
    <row r="46" spans="1:1" x14ac:dyDescent="0.35">
      <c r="A46" s="7">
        <v>45577</v>
      </c>
    </row>
    <row r="47" spans="1:1" x14ac:dyDescent="0.35">
      <c r="A47" s="7">
        <v>45598</v>
      </c>
    </row>
    <row r="48" spans="1:1" x14ac:dyDescent="0.35">
      <c r="A48" s="7">
        <v>45611</v>
      </c>
    </row>
    <row r="49" spans="1:1" x14ac:dyDescent="0.35">
      <c r="A49" s="7">
        <v>45651</v>
      </c>
    </row>
    <row r="50" spans="1:1" x14ac:dyDescent="0.35">
      <c r="A50" s="7">
        <v>45658</v>
      </c>
    </row>
    <row r="51" spans="1:1" x14ac:dyDescent="0.35">
      <c r="A51" s="7">
        <v>45719</v>
      </c>
    </row>
    <row r="52" spans="1:1" x14ac:dyDescent="0.35">
      <c r="A52" s="7">
        <v>45720</v>
      </c>
    </row>
    <row r="53" spans="1:1" x14ac:dyDescent="0.35">
      <c r="A53" s="7">
        <v>45765</v>
      </c>
    </row>
    <row r="54" spans="1:1" x14ac:dyDescent="0.35">
      <c r="A54" s="7">
        <v>45768</v>
      </c>
    </row>
    <row r="55" spans="1:1" x14ac:dyDescent="0.35">
      <c r="A55" s="7">
        <v>45778</v>
      </c>
    </row>
    <row r="56" spans="1:1" x14ac:dyDescent="0.35">
      <c r="A56" s="7">
        <v>45827</v>
      </c>
    </row>
    <row r="57" spans="1:1" x14ac:dyDescent="0.35">
      <c r="A57" s="7">
        <v>45907</v>
      </c>
    </row>
    <row r="58" spans="1:1" x14ac:dyDescent="0.35">
      <c r="A58" s="7">
        <v>45942</v>
      </c>
    </row>
    <row r="59" spans="1:1" x14ac:dyDescent="0.35">
      <c r="A59" s="7">
        <v>45963</v>
      </c>
    </row>
    <row r="60" spans="1:1" x14ac:dyDescent="0.35">
      <c r="A60" s="7">
        <v>45976</v>
      </c>
    </row>
    <row r="61" spans="1:1" x14ac:dyDescent="0.35">
      <c r="A61" s="7">
        <v>46016</v>
      </c>
    </row>
    <row r="62" spans="1:1" x14ac:dyDescent="0.35">
      <c r="A62" s="7">
        <v>46023</v>
      </c>
    </row>
    <row r="63" spans="1:1" x14ac:dyDescent="0.35">
      <c r="A63" s="7">
        <v>46069</v>
      </c>
    </row>
    <row r="64" spans="1:1" x14ac:dyDescent="0.35">
      <c r="A64" s="7">
        <v>46070</v>
      </c>
    </row>
    <row r="65" spans="1:1" x14ac:dyDescent="0.35">
      <c r="A65" s="7">
        <v>46115</v>
      </c>
    </row>
    <row r="66" spans="1:1" x14ac:dyDescent="0.35">
      <c r="A66" s="7">
        <v>46133</v>
      </c>
    </row>
    <row r="67" spans="1:1" x14ac:dyDescent="0.35">
      <c r="A67" s="7">
        <v>46143</v>
      </c>
    </row>
    <row r="68" spans="1:1" x14ac:dyDescent="0.35">
      <c r="A68" s="7">
        <v>46177</v>
      </c>
    </row>
    <row r="69" spans="1:1" x14ac:dyDescent="0.35">
      <c r="A69" s="7">
        <v>46272</v>
      </c>
    </row>
    <row r="70" spans="1:1" x14ac:dyDescent="0.35">
      <c r="A70" s="7">
        <v>46307</v>
      </c>
    </row>
    <row r="71" spans="1:1" x14ac:dyDescent="0.35">
      <c r="A71" s="7">
        <v>46328</v>
      </c>
    </row>
    <row r="72" spans="1:1" x14ac:dyDescent="0.35">
      <c r="A72" s="7">
        <v>46341</v>
      </c>
    </row>
    <row r="73" spans="1:1" x14ac:dyDescent="0.35">
      <c r="A73" s="7">
        <v>46381</v>
      </c>
    </row>
    <row r="74" spans="1:1" x14ac:dyDescent="0.35">
      <c r="A74" s="7">
        <v>46388</v>
      </c>
    </row>
    <row r="75" spans="1:1" x14ac:dyDescent="0.35">
      <c r="A75" s="7">
        <v>46426</v>
      </c>
    </row>
    <row r="76" spans="1:1" x14ac:dyDescent="0.35">
      <c r="A76" s="7">
        <v>46427</v>
      </c>
    </row>
    <row r="77" spans="1:1" x14ac:dyDescent="0.35">
      <c r="A77" s="7">
        <v>46472</v>
      </c>
    </row>
    <row r="78" spans="1:1" x14ac:dyDescent="0.35">
      <c r="A78" s="7">
        <v>46498</v>
      </c>
    </row>
    <row r="79" spans="1:1" x14ac:dyDescent="0.35">
      <c r="A79" s="7">
        <v>46508</v>
      </c>
    </row>
    <row r="80" spans="1:1" x14ac:dyDescent="0.35">
      <c r="A80" s="7">
        <v>46534</v>
      </c>
    </row>
    <row r="81" spans="1:1" x14ac:dyDescent="0.35">
      <c r="A81" s="7">
        <v>46637</v>
      </c>
    </row>
    <row r="82" spans="1:1" x14ac:dyDescent="0.35">
      <c r="A82" s="7">
        <v>46672</v>
      </c>
    </row>
    <row r="83" spans="1:1" x14ac:dyDescent="0.35">
      <c r="A83" s="7">
        <v>46693</v>
      </c>
    </row>
    <row r="84" spans="1:1" x14ac:dyDescent="0.35">
      <c r="A84" s="7">
        <v>46706</v>
      </c>
    </row>
    <row r="85" spans="1:1" x14ac:dyDescent="0.35">
      <c r="A85" s="7">
        <v>46746</v>
      </c>
    </row>
    <row r="86" spans="1:1" x14ac:dyDescent="0.35">
      <c r="A86" s="7">
        <v>46753</v>
      </c>
    </row>
    <row r="87" spans="1:1" x14ac:dyDescent="0.35">
      <c r="A87" s="7">
        <v>46811</v>
      </c>
    </row>
    <row r="88" spans="1:1" x14ac:dyDescent="0.35">
      <c r="A88" s="7">
        <v>46812</v>
      </c>
    </row>
    <row r="89" spans="1:1" x14ac:dyDescent="0.35">
      <c r="A89" s="7">
        <v>46857</v>
      </c>
    </row>
    <row r="90" spans="1:1" x14ac:dyDescent="0.35">
      <c r="A90" s="7">
        <v>46864</v>
      </c>
    </row>
    <row r="91" spans="1:1" x14ac:dyDescent="0.35">
      <c r="A91" s="7">
        <v>46874</v>
      </c>
    </row>
    <row r="92" spans="1:1" x14ac:dyDescent="0.35">
      <c r="A92" s="7">
        <v>46919</v>
      </c>
    </row>
    <row r="93" spans="1:1" x14ac:dyDescent="0.35">
      <c r="A93" s="7">
        <v>47003</v>
      </c>
    </row>
    <row r="94" spans="1:1" x14ac:dyDescent="0.35">
      <c r="A94" s="7">
        <v>47038</v>
      </c>
    </row>
    <row r="95" spans="1:1" x14ac:dyDescent="0.35">
      <c r="A95" s="7">
        <v>47059</v>
      </c>
    </row>
    <row r="96" spans="1:1" x14ac:dyDescent="0.35">
      <c r="A96" s="7">
        <v>47072</v>
      </c>
    </row>
    <row r="97" spans="1:1" x14ac:dyDescent="0.35">
      <c r="A97" s="7">
        <v>47112</v>
      </c>
    </row>
    <row r="98" spans="1:1" x14ac:dyDescent="0.35">
      <c r="A98" s="7">
        <v>47119</v>
      </c>
    </row>
    <row r="99" spans="1:1" x14ac:dyDescent="0.35">
      <c r="A99" s="7">
        <v>47161</v>
      </c>
    </row>
    <row r="100" spans="1:1" x14ac:dyDescent="0.35">
      <c r="A100" s="7">
        <v>47162</v>
      </c>
    </row>
    <row r="101" spans="1:1" x14ac:dyDescent="0.35">
      <c r="A101" s="7">
        <v>47207</v>
      </c>
    </row>
    <row r="102" spans="1:1" x14ac:dyDescent="0.35">
      <c r="A102" s="7">
        <v>47229</v>
      </c>
    </row>
    <row r="103" spans="1:1" x14ac:dyDescent="0.35">
      <c r="A103" s="7">
        <v>47239</v>
      </c>
    </row>
    <row r="104" spans="1:1" x14ac:dyDescent="0.35">
      <c r="A104" s="7">
        <v>47269</v>
      </c>
    </row>
    <row r="105" spans="1:1" x14ac:dyDescent="0.35">
      <c r="A105" s="7">
        <v>47368</v>
      </c>
    </row>
    <row r="106" spans="1:1" x14ac:dyDescent="0.35">
      <c r="A106" s="7">
        <v>47403</v>
      </c>
    </row>
    <row r="107" spans="1:1" x14ac:dyDescent="0.35">
      <c r="A107" s="7">
        <v>47424</v>
      </c>
    </row>
    <row r="108" spans="1:1" x14ac:dyDescent="0.35">
      <c r="A108" s="7">
        <v>47437</v>
      </c>
    </row>
    <row r="109" spans="1:1" x14ac:dyDescent="0.35">
      <c r="A109" s="7">
        <v>47477</v>
      </c>
    </row>
    <row r="110" spans="1:1" x14ac:dyDescent="0.35">
      <c r="A110" s="7">
        <v>10959</v>
      </c>
    </row>
    <row r="111" spans="1:1" x14ac:dyDescent="0.35">
      <c r="A111" s="7">
        <v>11021</v>
      </c>
    </row>
    <row r="112" spans="1:1" x14ac:dyDescent="0.35">
      <c r="A112" s="7">
        <v>11022</v>
      </c>
    </row>
    <row r="113" spans="1:1" x14ac:dyDescent="0.35">
      <c r="A113" s="7">
        <v>11067</v>
      </c>
    </row>
    <row r="114" spans="1:1" x14ac:dyDescent="0.35">
      <c r="A114" s="7">
        <v>11069</v>
      </c>
    </row>
    <row r="115" spans="1:1" x14ac:dyDescent="0.35">
      <c r="A115" s="7">
        <v>11079</v>
      </c>
    </row>
    <row r="116" spans="1:1" x14ac:dyDescent="0.35">
      <c r="A116" s="7">
        <v>11129</v>
      </c>
    </row>
    <row r="117" spans="1:1" x14ac:dyDescent="0.35">
      <c r="A117" s="7">
        <v>11208</v>
      </c>
    </row>
    <row r="118" spans="1:1" x14ac:dyDescent="0.35">
      <c r="A118" s="7">
        <v>11243</v>
      </c>
    </row>
    <row r="119" spans="1:1" x14ac:dyDescent="0.35">
      <c r="A119" s="7">
        <v>11264</v>
      </c>
    </row>
    <row r="120" spans="1:1" x14ac:dyDescent="0.35">
      <c r="A120" s="7">
        <v>11277</v>
      </c>
    </row>
    <row r="121" spans="1:1" x14ac:dyDescent="0.35">
      <c r="A121" s="7">
        <v>11317</v>
      </c>
    </row>
    <row r="122" spans="1:1" x14ac:dyDescent="0.35">
      <c r="A122" s="7">
        <v>11324</v>
      </c>
    </row>
    <row r="123" spans="1:1" x14ac:dyDescent="0.35">
      <c r="A123" s="7">
        <v>11378</v>
      </c>
    </row>
    <row r="124" spans="1:1" x14ac:dyDescent="0.35">
      <c r="A124" s="7">
        <v>11379</v>
      </c>
    </row>
    <row r="125" spans="1:1" x14ac:dyDescent="0.35">
      <c r="A125" s="7">
        <v>11424</v>
      </c>
    </row>
    <row r="126" spans="1:1" x14ac:dyDescent="0.35">
      <c r="A126" s="7">
        <v>11434</v>
      </c>
    </row>
    <row r="127" spans="1:1" x14ac:dyDescent="0.35">
      <c r="A127" s="7">
        <v>11444</v>
      </c>
    </row>
    <row r="128" spans="1:1" x14ac:dyDescent="0.35">
      <c r="A128" s="7">
        <v>11486</v>
      </c>
    </row>
    <row r="129" spans="1:1" x14ac:dyDescent="0.35">
      <c r="A129" s="7">
        <v>11573</v>
      </c>
    </row>
    <row r="130" spans="1:1" x14ac:dyDescent="0.35">
      <c r="A130" s="7">
        <v>11608</v>
      </c>
    </row>
    <row r="131" spans="1:1" x14ac:dyDescent="0.35">
      <c r="A131" s="7">
        <v>11629</v>
      </c>
    </row>
    <row r="132" spans="1:1" x14ac:dyDescent="0.35">
      <c r="A132" s="7">
        <v>11642</v>
      </c>
    </row>
    <row r="133" spans="1:1" x14ac:dyDescent="0.35">
      <c r="A133" s="7">
        <v>11682</v>
      </c>
    </row>
    <row r="134" spans="1:1" x14ac:dyDescent="0.35">
      <c r="A134" s="7">
        <v>11689</v>
      </c>
    </row>
    <row r="135" spans="1:1" x14ac:dyDescent="0.35">
      <c r="A135" s="7">
        <v>11728</v>
      </c>
    </row>
    <row r="136" spans="1:1" x14ac:dyDescent="0.35">
      <c r="A136" s="7">
        <v>11729</v>
      </c>
    </row>
    <row r="137" spans="1:1" x14ac:dyDescent="0.35">
      <c r="A137" s="7">
        <v>11774</v>
      </c>
    </row>
    <row r="138" spans="1:1" x14ac:dyDescent="0.35">
      <c r="A138" s="7">
        <v>11800</v>
      </c>
    </row>
    <row r="139" spans="1:1" x14ac:dyDescent="0.35">
      <c r="A139" s="7">
        <v>11836</v>
      </c>
    </row>
    <row r="140" spans="1:1" x14ac:dyDescent="0.35">
      <c r="A140" s="7">
        <v>11939</v>
      </c>
    </row>
    <row r="141" spans="1:1" x14ac:dyDescent="0.35">
      <c r="A141" s="7">
        <v>11974</v>
      </c>
    </row>
    <row r="142" spans="1:1" x14ac:dyDescent="0.35">
      <c r="A142" s="7">
        <v>11995</v>
      </c>
    </row>
    <row r="143" spans="1:1" x14ac:dyDescent="0.35">
      <c r="A143" s="7">
        <v>12008</v>
      </c>
    </row>
    <row r="144" spans="1:1" x14ac:dyDescent="0.35">
      <c r="A144" s="7">
        <v>12113</v>
      </c>
    </row>
    <row r="145" spans="1:1" x14ac:dyDescent="0.35">
      <c r="A145" s="7">
        <v>12114</v>
      </c>
    </row>
    <row r="146" spans="1:1" x14ac:dyDescent="0.35">
      <c r="A146" s="7">
        <v>12159</v>
      </c>
    </row>
    <row r="147" spans="1:1" x14ac:dyDescent="0.35">
      <c r="A147" s="7">
        <v>12165</v>
      </c>
    </row>
    <row r="148" spans="1:1" x14ac:dyDescent="0.35">
      <c r="A148" s="7">
        <v>12221</v>
      </c>
    </row>
    <row r="149" spans="1:1" x14ac:dyDescent="0.35">
      <c r="A149" s="7">
        <v>12304</v>
      </c>
    </row>
    <row r="150" spans="1:1" x14ac:dyDescent="0.35">
      <c r="A150" s="7">
        <v>12339</v>
      </c>
    </row>
    <row r="151" spans="1:1" x14ac:dyDescent="0.35">
      <c r="A151" s="7">
        <v>12360</v>
      </c>
    </row>
    <row r="152" spans="1:1" x14ac:dyDescent="0.35">
      <c r="A152" s="7">
        <v>12373</v>
      </c>
    </row>
    <row r="153" spans="1:1" x14ac:dyDescent="0.35">
      <c r="A153" s="7">
        <v>12470</v>
      </c>
    </row>
    <row r="154" spans="1:1" x14ac:dyDescent="0.35">
      <c r="A154" s="7">
        <v>12471</v>
      </c>
    </row>
    <row r="155" spans="1:1" x14ac:dyDescent="0.35">
      <c r="A155" s="7">
        <v>12516</v>
      </c>
    </row>
    <row r="156" spans="1:1" x14ac:dyDescent="0.35">
      <c r="A156" s="7">
        <v>12530</v>
      </c>
    </row>
    <row r="157" spans="1:1" x14ac:dyDescent="0.35">
      <c r="A157" s="7">
        <v>12540</v>
      </c>
    </row>
    <row r="158" spans="1:1" x14ac:dyDescent="0.35">
      <c r="A158" s="7">
        <v>12578</v>
      </c>
    </row>
    <row r="159" spans="1:1" x14ac:dyDescent="0.35">
      <c r="A159" s="7">
        <v>12669</v>
      </c>
    </row>
    <row r="160" spans="1:1" x14ac:dyDescent="0.35">
      <c r="A160" s="7">
        <v>12704</v>
      </c>
    </row>
    <row r="161" spans="1:1" x14ac:dyDescent="0.35">
      <c r="A161" s="7">
        <v>12725</v>
      </c>
    </row>
    <row r="162" spans="1:1" x14ac:dyDescent="0.35">
      <c r="A162" s="7">
        <v>12738</v>
      </c>
    </row>
    <row r="163" spans="1:1" x14ac:dyDescent="0.35">
      <c r="A163" s="7">
        <v>12778</v>
      </c>
    </row>
    <row r="164" spans="1:1" x14ac:dyDescent="0.35">
      <c r="A164" s="7">
        <v>12785</v>
      </c>
    </row>
    <row r="165" spans="1:1" x14ac:dyDescent="0.35">
      <c r="A165" s="7">
        <v>12820</v>
      </c>
    </row>
    <row r="166" spans="1:1" x14ac:dyDescent="0.35">
      <c r="A166" s="7">
        <v>12821</v>
      </c>
    </row>
    <row r="167" spans="1:1" x14ac:dyDescent="0.35">
      <c r="A167" s="7">
        <v>12866</v>
      </c>
    </row>
    <row r="168" spans="1:1" x14ac:dyDescent="0.35">
      <c r="A168" s="7">
        <v>12905</v>
      </c>
    </row>
    <row r="169" spans="1:1" x14ac:dyDescent="0.35">
      <c r="A169" s="7">
        <v>12928</v>
      </c>
    </row>
    <row r="170" spans="1:1" x14ac:dyDescent="0.35">
      <c r="A170" s="7">
        <v>13034</v>
      </c>
    </row>
    <row r="171" spans="1:1" x14ac:dyDescent="0.35">
      <c r="A171" s="7">
        <v>13069</v>
      </c>
    </row>
    <row r="172" spans="1:1" x14ac:dyDescent="0.35">
      <c r="A172" s="7">
        <v>13090</v>
      </c>
    </row>
    <row r="173" spans="1:1" x14ac:dyDescent="0.35">
      <c r="A173" s="7">
        <v>13103</v>
      </c>
    </row>
    <row r="174" spans="1:1" x14ac:dyDescent="0.35">
      <c r="A174" s="7">
        <v>13143</v>
      </c>
    </row>
    <row r="175" spans="1:1" x14ac:dyDescent="0.35">
      <c r="A175" s="7">
        <v>13150</v>
      </c>
    </row>
    <row r="176" spans="1:1" x14ac:dyDescent="0.35">
      <c r="A176" s="7">
        <v>13205</v>
      </c>
    </row>
    <row r="177" spans="1:1" x14ac:dyDescent="0.35">
      <c r="A177" s="7">
        <v>13206</v>
      </c>
    </row>
    <row r="178" spans="1:1" x14ac:dyDescent="0.35">
      <c r="A178" s="7">
        <v>13251</v>
      </c>
    </row>
    <row r="179" spans="1:1" x14ac:dyDescent="0.35">
      <c r="A179" s="7">
        <v>13261</v>
      </c>
    </row>
    <row r="180" spans="1:1" x14ac:dyDescent="0.35">
      <c r="A180" s="7">
        <v>13271</v>
      </c>
    </row>
    <row r="181" spans="1:1" x14ac:dyDescent="0.35">
      <c r="A181" s="7">
        <v>13313</v>
      </c>
    </row>
    <row r="182" spans="1:1" x14ac:dyDescent="0.35">
      <c r="A182" s="7">
        <v>13509</v>
      </c>
    </row>
    <row r="183" spans="1:1" x14ac:dyDescent="0.35">
      <c r="A183" s="7">
        <v>13516</v>
      </c>
    </row>
    <row r="184" spans="1:1" x14ac:dyDescent="0.35">
      <c r="A184" s="7">
        <v>13562</v>
      </c>
    </row>
    <row r="185" spans="1:1" x14ac:dyDescent="0.35">
      <c r="A185" s="7">
        <v>13563</v>
      </c>
    </row>
    <row r="186" spans="1:1" x14ac:dyDescent="0.35">
      <c r="A186" s="7">
        <v>13608</v>
      </c>
    </row>
    <row r="187" spans="1:1" x14ac:dyDescent="0.35">
      <c r="A187" s="7">
        <v>13626</v>
      </c>
    </row>
    <row r="188" spans="1:1" x14ac:dyDescent="0.35">
      <c r="A188" s="7">
        <v>13636</v>
      </c>
    </row>
    <row r="189" spans="1:1" x14ac:dyDescent="0.35">
      <c r="A189" s="7">
        <v>13670</v>
      </c>
    </row>
    <row r="190" spans="1:1" x14ac:dyDescent="0.35">
      <c r="A190" s="7">
        <v>13765</v>
      </c>
    </row>
    <row r="191" spans="1:1" x14ac:dyDescent="0.35">
      <c r="A191" s="7">
        <v>13800</v>
      </c>
    </row>
    <row r="192" spans="1:1" x14ac:dyDescent="0.35">
      <c r="A192" s="7">
        <v>13821</v>
      </c>
    </row>
    <row r="193" spans="1:1" x14ac:dyDescent="0.35">
      <c r="A193" s="7">
        <v>13874</v>
      </c>
    </row>
    <row r="194" spans="1:1" x14ac:dyDescent="0.35">
      <c r="A194" s="7">
        <v>13881</v>
      </c>
    </row>
    <row r="195" spans="1:1" x14ac:dyDescent="0.35">
      <c r="A195" s="7">
        <v>13947</v>
      </c>
    </row>
    <row r="196" spans="1:1" x14ac:dyDescent="0.35">
      <c r="A196" s="7">
        <v>13948</v>
      </c>
    </row>
    <row r="197" spans="1:1" x14ac:dyDescent="0.35">
      <c r="A197" s="7">
        <v>13991</v>
      </c>
    </row>
    <row r="198" spans="1:1" x14ac:dyDescent="0.35">
      <c r="A198" s="7">
        <v>13993</v>
      </c>
    </row>
    <row r="199" spans="1:1" x14ac:dyDescent="0.35">
      <c r="A199" s="7">
        <v>14055</v>
      </c>
    </row>
    <row r="200" spans="1:1" x14ac:dyDescent="0.35">
      <c r="A200" s="7">
        <v>14130</v>
      </c>
    </row>
    <row r="201" spans="1:1" x14ac:dyDescent="0.35">
      <c r="A201" s="7">
        <v>14165</v>
      </c>
    </row>
    <row r="202" spans="1:1" x14ac:dyDescent="0.35">
      <c r="A202" s="7">
        <v>14186</v>
      </c>
    </row>
    <row r="203" spans="1:1" x14ac:dyDescent="0.35">
      <c r="A203" s="7">
        <v>14199</v>
      </c>
    </row>
    <row r="204" spans="1:1" x14ac:dyDescent="0.35">
      <c r="A204" s="7">
        <v>14297</v>
      </c>
    </row>
    <row r="205" spans="1:1" x14ac:dyDescent="0.35">
      <c r="A205" s="7">
        <v>14298</v>
      </c>
    </row>
    <row r="206" spans="1:1" x14ac:dyDescent="0.35">
      <c r="A206" s="7">
        <v>14343</v>
      </c>
    </row>
    <row r="207" spans="1:1" x14ac:dyDescent="0.35">
      <c r="A207" s="7">
        <v>14356</v>
      </c>
    </row>
    <row r="208" spans="1:1" x14ac:dyDescent="0.35">
      <c r="A208" s="7">
        <v>14405</v>
      </c>
    </row>
    <row r="209" spans="1:1" x14ac:dyDescent="0.35">
      <c r="A209" s="7">
        <v>14495</v>
      </c>
    </row>
    <row r="210" spans="1:1" x14ac:dyDescent="0.35">
      <c r="A210" s="7">
        <v>14530</v>
      </c>
    </row>
    <row r="211" spans="1:1" x14ac:dyDescent="0.35">
      <c r="A211" s="7">
        <v>14551</v>
      </c>
    </row>
    <row r="212" spans="1:1" x14ac:dyDescent="0.35">
      <c r="A212" s="7">
        <v>14564</v>
      </c>
    </row>
    <row r="213" spans="1:1" x14ac:dyDescent="0.35">
      <c r="A213" s="7">
        <v>14654</v>
      </c>
    </row>
    <row r="214" spans="1:1" x14ac:dyDescent="0.35">
      <c r="A214" s="7">
        <v>14655</v>
      </c>
    </row>
    <row r="215" spans="1:1" x14ac:dyDescent="0.35">
      <c r="A215" s="7">
        <v>14700</v>
      </c>
    </row>
    <row r="216" spans="1:1" x14ac:dyDescent="0.35">
      <c r="A216" s="7">
        <v>14732</v>
      </c>
    </row>
    <row r="217" spans="1:1" x14ac:dyDescent="0.35">
      <c r="A217" s="7">
        <v>14762</v>
      </c>
    </row>
    <row r="218" spans="1:1" x14ac:dyDescent="0.35">
      <c r="A218" s="7">
        <v>14861</v>
      </c>
    </row>
    <row r="219" spans="1:1" x14ac:dyDescent="0.35">
      <c r="A219" s="7">
        <v>14896</v>
      </c>
    </row>
    <row r="220" spans="1:1" x14ac:dyDescent="0.35">
      <c r="A220" s="7">
        <v>14917</v>
      </c>
    </row>
    <row r="221" spans="1:1" x14ac:dyDescent="0.35">
      <c r="A221" s="7">
        <v>14930</v>
      </c>
    </row>
    <row r="222" spans="1:1" x14ac:dyDescent="0.35">
      <c r="A222" s="7">
        <v>14970</v>
      </c>
    </row>
    <row r="223" spans="1:1" x14ac:dyDescent="0.35">
      <c r="A223" s="7">
        <v>14977</v>
      </c>
    </row>
    <row r="224" spans="1:1" x14ac:dyDescent="0.35">
      <c r="A224" s="7">
        <v>15039</v>
      </c>
    </row>
    <row r="225" spans="1:1" x14ac:dyDescent="0.35">
      <c r="A225" s="7">
        <v>15040</v>
      </c>
    </row>
    <row r="226" spans="1:1" x14ac:dyDescent="0.35">
      <c r="A226" s="7">
        <v>15085</v>
      </c>
    </row>
    <row r="227" spans="1:1" x14ac:dyDescent="0.35">
      <c r="A227" s="7">
        <v>15097</v>
      </c>
    </row>
    <row r="228" spans="1:1" x14ac:dyDescent="0.35">
      <c r="A228" s="7">
        <v>15147</v>
      </c>
    </row>
    <row r="229" spans="1:1" x14ac:dyDescent="0.35">
      <c r="A229" s="7">
        <v>15295</v>
      </c>
    </row>
    <row r="230" spans="1:1" x14ac:dyDescent="0.35">
      <c r="A230" s="7">
        <v>15335</v>
      </c>
    </row>
    <row r="231" spans="1:1" x14ac:dyDescent="0.35">
      <c r="A231" s="7">
        <v>15342</v>
      </c>
    </row>
    <row r="232" spans="1:1" x14ac:dyDescent="0.35">
      <c r="A232" s="7">
        <v>15389</v>
      </c>
    </row>
    <row r="233" spans="1:1" x14ac:dyDescent="0.35">
      <c r="A233" s="7">
        <v>15390</v>
      </c>
    </row>
    <row r="234" spans="1:1" x14ac:dyDescent="0.35">
      <c r="A234" s="7">
        <v>15435</v>
      </c>
    </row>
    <row r="235" spans="1:1" x14ac:dyDescent="0.35">
      <c r="A235" s="7">
        <v>15452</v>
      </c>
    </row>
    <row r="236" spans="1:1" x14ac:dyDescent="0.35">
      <c r="A236" s="7">
        <v>15462</v>
      </c>
    </row>
    <row r="237" spans="1:1" x14ac:dyDescent="0.35">
      <c r="A237" s="7">
        <v>15497</v>
      </c>
    </row>
    <row r="238" spans="1:1" x14ac:dyDescent="0.35">
      <c r="A238" s="7">
        <v>15700</v>
      </c>
    </row>
    <row r="239" spans="1:1" x14ac:dyDescent="0.35">
      <c r="A239" s="7">
        <v>15707</v>
      </c>
    </row>
    <row r="240" spans="1:1" x14ac:dyDescent="0.35">
      <c r="A240" s="7">
        <v>15746</v>
      </c>
    </row>
    <row r="241" spans="1:1" x14ac:dyDescent="0.35">
      <c r="A241" s="7">
        <v>15747</v>
      </c>
    </row>
    <row r="242" spans="1:1" x14ac:dyDescent="0.35">
      <c r="A242" s="7">
        <v>15792</v>
      </c>
    </row>
    <row r="243" spans="1:1" x14ac:dyDescent="0.35">
      <c r="A243" s="7">
        <v>15817</v>
      </c>
    </row>
    <row r="244" spans="1:1" x14ac:dyDescent="0.35">
      <c r="A244" s="7">
        <v>15827</v>
      </c>
    </row>
    <row r="245" spans="1:1" x14ac:dyDescent="0.35">
      <c r="A245" s="7">
        <v>15854</v>
      </c>
    </row>
    <row r="246" spans="1:1" x14ac:dyDescent="0.35">
      <c r="A246" s="7">
        <v>15956</v>
      </c>
    </row>
    <row r="247" spans="1:1" x14ac:dyDescent="0.35">
      <c r="A247" s="7">
        <v>15991</v>
      </c>
    </row>
    <row r="248" spans="1:1" x14ac:dyDescent="0.35">
      <c r="A248" s="7">
        <v>16012</v>
      </c>
    </row>
    <row r="249" spans="1:1" x14ac:dyDescent="0.35">
      <c r="A249" s="7">
        <v>16065</v>
      </c>
    </row>
    <row r="250" spans="1:1" x14ac:dyDescent="0.35">
      <c r="A250" s="7">
        <v>16072</v>
      </c>
    </row>
    <row r="251" spans="1:1" x14ac:dyDescent="0.35">
      <c r="A251" s="7">
        <v>16131</v>
      </c>
    </row>
    <row r="252" spans="1:1" x14ac:dyDescent="0.35">
      <c r="A252" s="7">
        <v>16132</v>
      </c>
    </row>
    <row r="253" spans="1:1" x14ac:dyDescent="0.35">
      <c r="A253" s="7">
        <v>16177</v>
      </c>
    </row>
    <row r="254" spans="1:1" x14ac:dyDescent="0.35">
      <c r="A254" s="7">
        <v>16183</v>
      </c>
    </row>
    <row r="255" spans="1:1" x14ac:dyDescent="0.35">
      <c r="A255" s="7">
        <v>16239</v>
      </c>
    </row>
    <row r="256" spans="1:1" x14ac:dyDescent="0.35">
      <c r="A256" s="7">
        <v>16322</v>
      </c>
    </row>
    <row r="257" spans="1:1" x14ac:dyDescent="0.35">
      <c r="A257" s="7">
        <v>16357</v>
      </c>
    </row>
    <row r="258" spans="1:1" x14ac:dyDescent="0.35">
      <c r="A258" s="7">
        <v>16378</v>
      </c>
    </row>
    <row r="259" spans="1:1" x14ac:dyDescent="0.35">
      <c r="A259" s="7">
        <v>16391</v>
      </c>
    </row>
    <row r="260" spans="1:1" x14ac:dyDescent="0.35">
      <c r="A260" s="7">
        <v>16488</v>
      </c>
    </row>
    <row r="261" spans="1:1" x14ac:dyDescent="0.35">
      <c r="A261" s="7">
        <v>16489</v>
      </c>
    </row>
    <row r="262" spans="1:1" x14ac:dyDescent="0.35">
      <c r="A262" s="7">
        <v>16534</v>
      </c>
    </row>
    <row r="263" spans="1:1" x14ac:dyDescent="0.35">
      <c r="A263" s="7">
        <v>16548</v>
      </c>
    </row>
    <row r="264" spans="1:1" x14ac:dyDescent="0.35">
      <c r="A264" s="7">
        <v>16558</v>
      </c>
    </row>
    <row r="265" spans="1:1" x14ac:dyDescent="0.35">
      <c r="A265" s="7">
        <v>16596</v>
      </c>
    </row>
    <row r="266" spans="1:1" x14ac:dyDescent="0.35">
      <c r="A266" s="7">
        <v>16687</v>
      </c>
    </row>
    <row r="267" spans="1:1" x14ac:dyDescent="0.35">
      <c r="A267" s="7">
        <v>16722</v>
      </c>
    </row>
    <row r="268" spans="1:1" x14ac:dyDescent="0.35">
      <c r="A268" s="7">
        <v>16743</v>
      </c>
    </row>
    <row r="269" spans="1:1" x14ac:dyDescent="0.35">
      <c r="A269" s="7">
        <v>16756</v>
      </c>
    </row>
    <row r="270" spans="1:1" x14ac:dyDescent="0.35">
      <c r="A270" s="7">
        <v>16796</v>
      </c>
    </row>
    <row r="271" spans="1:1" x14ac:dyDescent="0.35">
      <c r="A271" s="7">
        <v>16803</v>
      </c>
    </row>
    <row r="272" spans="1:1" x14ac:dyDescent="0.35">
      <c r="A272" s="7">
        <v>16838</v>
      </c>
    </row>
    <row r="273" spans="1:1" x14ac:dyDescent="0.35">
      <c r="A273" s="7">
        <v>16839</v>
      </c>
    </row>
    <row r="274" spans="1:1" x14ac:dyDescent="0.35">
      <c r="A274" s="7">
        <v>16884</v>
      </c>
    </row>
    <row r="275" spans="1:1" x14ac:dyDescent="0.35">
      <c r="A275" s="7">
        <v>16923</v>
      </c>
    </row>
    <row r="276" spans="1:1" x14ac:dyDescent="0.35">
      <c r="A276" s="7">
        <v>16946</v>
      </c>
    </row>
    <row r="277" spans="1:1" x14ac:dyDescent="0.35">
      <c r="A277" s="7">
        <v>17052</v>
      </c>
    </row>
    <row r="278" spans="1:1" x14ac:dyDescent="0.35">
      <c r="A278" s="7">
        <v>17087</v>
      </c>
    </row>
    <row r="279" spans="1:1" x14ac:dyDescent="0.35">
      <c r="A279" s="7">
        <v>17108</v>
      </c>
    </row>
    <row r="280" spans="1:1" x14ac:dyDescent="0.35">
      <c r="A280" s="7">
        <v>17121</v>
      </c>
    </row>
    <row r="281" spans="1:1" x14ac:dyDescent="0.35">
      <c r="A281" s="7">
        <v>17161</v>
      </c>
    </row>
    <row r="282" spans="1:1" x14ac:dyDescent="0.35">
      <c r="A282" s="7">
        <v>17168</v>
      </c>
    </row>
    <row r="283" spans="1:1" x14ac:dyDescent="0.35">
      <c r="A283" s="7">
        <v>17223</v>
      </c>
    </row>
    <row r="284" spans="1:1" x14ac:dyDescent="0.35">
      <c r="A284" s="7">
        <v>17224</v>
      </c>
    </row>
    <row r="285" spans="1:1" x14ac:dyDescent="0.35">
      <c r="A285" s="7">
        <v>17269</v>
      </c>
    </row>
    <row r="286" spans="1:1" x14ac:dyDescent="0.35">
      <c r="A286" s="7">
        <v>17288</v>
      </c>
    </row>
    <row r="287" spans="1:1" x14ac:dyDescent="0.35">
      <c r="A287" s="7">
        <v>17331</v>
      </c>
    </row>
    <row r="288" spans="1:1" x14ac:dyDescent="0.35">
      <c r="A288" s="7">
        <v>17486</v>
      </c>
    </row>
    <row r="289" spans="1:1" x14ac:dyDescent="0.35">
      <c r="A289" s="7">
        <v>17526</v>
      </c>
    </row>
    <row r="290" spans="1:1" x14ac:dyDescent="0.35">
      <c r="A290" s="7">
        <v>17533</v>
      </c>
    </row>
    <row r="291" spans="1:1" x14ac:dyDescent="0.35">
      <c r="A291" s="7">
        <v>17580</v>
      </c>
    </row>
    <row r="292" spans="1:1" x14ac:dyDescent="0.35">
      <c r="A292" s="7">
        <v>17581</v>
      </c>
    </row>
    <row r="293" spans="1:1" x14ac:dyDescent="0.35">
      <c r="A293" s="7">
        <v>17626</v>
      </c>
    </row>
    <row r="294" spans="1:1" x14ac:dyDescent="0.35">
      <c r="A294" s="7">
        <v>17644</v>
      </c>
    </row>
    <row r="295" spans="1:1" x14ac:dyDescent="0.35">
      <c r="A295" s="7">
        <v>17654</v>
      </c>
    </row>
    <row r="296" spans="1:1" x14ac:dyDescent="0.35">
      <c r="A296" s="7">
        <v>17688</v>
      </c>
    </row>
    <row r="297" spans="1:1" x14ac:dyDescent="0.35">
      <c r="A297" s="7">
        <v>17783</v>
      </c>
    </row>
    <row r="298" spans="1:1" x14ac:dyDescent="0.35">
      <c r="A298" s="7">
        <v>17818</v>
      </c>
    </row>
    <row r="299" spans="1:1" x14ac:dyDescent="0.35">
      <c r="A299" s="7">
        <v>17839</v>
      </c>
    </row>
    <row r="300" spans="1:1" x14ac:dyDescent="0.35">
      <c r="A300" s="7">
        <v>17892</v>
      </c>
    </row>
    <row r="301" spans="1:1" x14ac:dyDescent="0.35">
      <c r="A301" s="7">
        <v>17899</v>
      </c>
    </row>
    <row r="302" spans="1:1" x14ac:dyDescent="0.35">
      <c r="A302" s="7">
        <v>17958</v>
      </c>
    </row>
    <row r="303" spans="1:1" x14ac:dyDescent="0.35">
      <c r="A303" s="7">
        <v>17959</v>
      </c>
    </row>
    <row r="304" spans="1:1" x14ac:dyDescent="0.35">
      <c r="A304" s="7">
        <v>18004</v>
      </c>
    </row>
    <row r="305" spans="1:1" x14ac:dyDescent="0.35">
      <c r="A305" s="7">
        <v>18009</v>
      </c>
    </row>
    <row r="306" spans="1:1" x14ac:dyDescent="0.35">
      <c r="A306" s="7">
        <v>18066</v>
      </c>
    </row>
    <row r="307" spans="1:1" x14ac:dyDescent="0.35">
      <c r="A307" s="7">
        <v>18148</v>
      </c>
    </row>
    <row r="308" spans="1:1" x14ac:dyDescent="0.35">
      <c r="A308" s="7">
        <v>18183</v>
      </c>
    </row>
    <row r="309" spans="1:1" x14ac:dyDescent="0.35">
      <c r="A309" s="7">
        <v>18204</v>
      </c>
    </row>
    <row r="310" spans="1:1" x14ac:dyDescent="0.35">
      <c r="A310" s="7">
        <v>18217</v>
      </c>
    </row>
    <row r="311" spans="1:1" x14ac:dyDescent="0.35">
      <c r="A311" s="7">
        <v>18315</v>
      </c>
    </row>
    <row r="312" spans="1:1" x14ac:dyDescent="0.35">
      <c r="A312" s="7">
        <v>18316</v>
      </c>
    </row>
    <row r="313" spans="1:1" x14ac:dyDescent="0.35">
      <c r="A313" s="7">
        <v>18361</v>
      </c>
    </row>
    <row r="314" spans="1:1" x14ac:dyDescent="0.35">
      <c r="A314" s="7">
        <v>18374</v>
      </c>
    </row>
    <row r="315" spans="1:1" x14ac:dyDescent="0.35">
      <c r="A315" s="7">
        <v>18423</v>
      </c>
    </row>
    <row r="316" spans="1:1" x14ac:dyDescent="0.35">
      <c r="A316" s="7">
        <v>18513</v>
      </c>
    </row>
    <row r="317" spans="1:1" x14ac:dyDescent="0.35">
      <c r="A317" s="7">
        <v>18548</v>
      </c>
    </row>
    <row r="318" spans="1:1" x14ac:dyDescent="0.35">
      <c r="A318" s="7">
        <v>18569</v>
      </c>
    </row>
    <row r="319" spans="1:1" x14ac:dyDescent="0.35">
      <c r="A319" s="7">
        <v>18582</v>
      </c>
    </row>
    <row r="320" spans="1:1" x14ac:dyDescent="0.35">
      <c r="A320" s="7">
        <v>18672</v>
      </c>
    </row>
    <row r="321" spans="1:1" x14ac:dyDescent="0.35">
      <c r="A321" s="7">
        <v>18673</v>
      </c>
    </row>
    <row r="322" spans="1:1" x14ac:dyDescent="0.35">
      <c r="A322" s="7">
        <v>18718</v>
      </c>
    </row>
    <row r="323" spans="1:1" x14ac:dyDescent="0.35">
      <c r="A323" s="7">
        <v>18739</v>
      </c>
    </row>
    <row r="324" spans="1:1" x14ac:dyDescent="0.35">
      <c r="A324" s="7">
        <v>18749</v>
      </c>
    </row>
    <row r="325" spans="1:1" x14ac:dyDescent="0.35">
      <c r="A325" s="7">
        <v>18780</v>
      </c>
    </row>
    <row r="326" spans="1:1" x14ac:dyDescent="0.35">
      <c r="A326" s="7">
        <v>18878</v>
      </c>
    </row>
    <row r="327" spans="1:1" x14ac:dyDescent="0.35">
      <c r="A327" s="7">
        <v>18913</v>
      </c>
    </row>
    <row r="328" spans="1:1" x14ac:dyDescent="0.35">
      <c r="A328" s="7">
        <v>18934</v>
      </c>
    </row>
    <row r="329" spans="1:1" x14ac:dyDescent="0.35">
      <c r="A329" s="7">
        <v>18947</v>
      </c>
    </row>
    <row r="330" spans="1:1" x14ac:dyDescent="0.35">
      <c r="A330" s="7">
        <v>18987</v>
      </c>
    </row>
    <row r="331" spans="1:1" x14ac:dyDescent="0.35">
      <c r="A331" s="7">
        <v>18994</v>
      </c>
    </row>
    <row r="332" spans="1:1" x14ac:dyDescent="0.35">
      <c r="A332" s="7">
        <v>19057</v>
      </c>
    </row>
    <row r="333" spans="1:1" x14ac:dyDescent="0.35">
      <c r="A333" s="7">
        <v>19058</v>
      </c>
    </row>
    <row r="334" spans="1:1" x14ac:dyDescent="0.35">
      <c r="A334" s="7">
        <v>19103</v>
      </c>
    </row>
    <row r="335" spans="1:1" x14ac:dyDescent="0.35">
      <c r="A335" s="7">
        <v>19115</v>
      </c>
    </row>
    <row r="336" spans="1:1" x14ac:dyDescent="0.35">
      <c r="A336" s="7">
        <v>19165</v>
      </c>
    </row>
    <row r="337" spans="1:1" x14ac:dyDescent="0.35">
      <c r="A337" s="7">
        <v>19313</v>
      </c>
    </row>
    <row r="338" spans="1:1" x14ac:dyDescent="0.35">
      <c r="A338" s="7">
        <v>19353</v>
      </c>
    </row>
    <row r="339" spans="1:1" x14ac:dyDescent="0.35">
      <c r="A339" s="7">
        <v>19360</v>
      </c>
    </row>
    <row r="340" spans="1:1" x14ac:dyDescent="0.35">
      <c r="A340" s="7">
        <v>19407</v>
      </c>
    </row>
    <row r="341" spans="1:1" x14ac:dyDescent="0.35">
      <c r="A341" s="7">
        <v>19408</v>
      </c>
    </row>
    <row r="342" spans="1:1" x14ac:dyDescent="0.35">
      <c r="A342" s="7">
        <v>19453</v>
      </c>
    </row>
    <row r="343" spans="1:1" x14ac:dyDescent="0.35">
      <c r="A343" s="7">
        <v>19470</v>
      </c>
    </row>
    <row r="344" spans="1:1" x14ac:dyDescent="0.35">
      <c r="A344" s="7">
        <v>19480</v>
      </c>
    </row>
    <row r="345" spans="1:1" x14ac:dyDescent="0.35">
      <c r="A345" s="7">
        <v>19515</v>
      </c>
    </row>
    <row r="346" spans="1:1" x14ac:dyDescent="0.35">
      <c r="A346" s="7">
        <v>19718</v>
      </c>
    </row>
    <row r="347" spans="1:1" x14ac:dyDescent="0.35">
      <c r="A347" s="7">
        <v>19725</v>
      </c>
    </row>
    <row r="348" spans="1:1" x14ac:dyDescent="0.35">
      <c r="A348" s="7">
        <v>19764</v>
      </c>
    </row>
    <row r="349" spans="1:1" x14ac:dyDescent="0.35">
      <c r="A349" s="7">
        <v>19765</v>
      </c>
    </row>
    <row r="350" spans="1:1" x14ac:dyDescent="0.35">
      <c r="A350" s="7">
        <v>19810</v>
      </c>
    </row>
    <row r="351" spans="1:1" x14ac:dyDescent="0.35">
      <c r="A351" s="7">
        <v>19835</v>
      </c>
    </row>
    <row r="352" spans="1:1" x14ac:dyDescent="0.35">
      <c r="A352" s="7">
        <v>19845</v>
      </c>
    </row>
    <row r="353" spans="1:1" x14ac:dyDescent="0.35">
      <c r="A353" s="7">
        <v>19872</v>
      </c>
    </row>
    <row r="354" spans="1:1" x14ac:dyDescent="0.35">
      <c r="A354" s="7">
        <v>19974</v>
      </c>
    </row>
    <row r="355" spans="1:1" x14ac:dyDescent="0.35">
      <c r="A355" s="7">
        <v>20009</v>
      </c>
    </row>
    <row r="356" spans="1:1" x14ac:dyDescent="0.35">
      <c r="A356" s="7">
        <v>20030</v>
      </c>
    </row>
    <row r="357" spans="1:1" x14ac:dyDescent="0.35">
      <c r="A357" s="7">
        <v>20083</v>
      </c>
    </row>
    <row r="358" spans="1:1" x14ac:dyDescent="0.35">
      <c r="A358" s="7">
        <v>20090</v>
      </c>
    </row>
    <row r="359" spans="1:1" x14ac:dyDescent="0.35">
      <c r="A359" s="7">
        <v>20149</v>
      </c>
    </row>
    <row r="360" spans="1:1" x14ac:dyDescent="0.35">
      <c r="A360" s="7">
        <v>20150</v>
      </c>
    </row>
    <row r="361" spans="1:1" x14ac:dyDescent="0.35">
      <c r="A361" s="7">
        <v>20195</v>
      </c>
    </row>
    <row r="362" spans="1:1" x14ac:dyDescent="0.35">
      <c r="A362" s="7">
        <v>20200</v>
      </c>
    </row>
    <row r="363" spans="1:1" x14ac:dyDescent="0.35">
      <c r="A363" s="7">
        <v>20257</v>
      </c>
    </row>
    <row r="364" spans="1:1" x14ac:dyDescent="0.35">
      <c r="A364" s="7">
        <v>20339</v>
      </c>
    </row>
    <row r="365" spans="1:1" x14ac:dyDescent="0.35">
      <c r="A365" s="7">
        <v>20374</v>
      </c>
    </row>
    <row r="366" spans="1:1" x14ac:dyDescent="0.35">
      <c r="A366" s="7">
        <v>20395</v>
      </c>
    </row>
    <row r="367" spans="1:1" x14ac:dyDescent="0.35">
      <c r="A367" s="7">
        <v>20408</v>
      </c>
    </row>
    <row r="368" spans="1:1" x14ac:dyDescent="0.35">
      <c r="A368" s="7">
        <v>20499</v>
      </c>
    </row>
    <row r="369" spans="1:1" x14ac:dyDescent="0.35">
      <c r="A369" s="7">
        <v>20500</v>
      </c>
    </row>
    <row r="370" spans="1:1" x14ac:dyDescent="0.35">
      <c r="A370" s="7">
        <v>20545</v>
      </c>
    </row>
    <row r="371" spans="1:1" x14ac:dyDescent="0.35">
      <c r="A371" s="7">
        <v>20566</v>
      </c>
    </row>
    <row r="372" spans="1:1" x14ac:dyDescent="0.35">
      <c r="A372" s="7">
        <v>20576</v>
      </c>
    </row>
    <row r="373" spans="1:1" x14ac:dyDescent="0.35">
      <c r="A373" s="7">
        <v>20607</v>
      </c>
    </row>
    <row r="374" spans="1:1" x14ac:dyDescent="0.35">
      <c r="A374" s="7">
        <v>20705</v>
      </c>
    </row>
    <row r="375" spans="1:1" x14ac:dyDescent="0.35">
      <c r="A375" s="7">
        <v>20740</v>
      </c>
    </row>
    <row r="376" spans="1:1" x14ac:dyDescent="0.35">
      <c r="A376" s="7">
        <v>20761</v>
      </c>
    </row>
    <row r="377" spans="1:1" x14ac:dyDescent="0.35">
      <c r="A377" s="7">
        <v>20774</v>
      </c>
    </row>
    <row r="378" spans="1:1" x14ac:dyDescent="0.35">
      <c r="A378" s="7">
        <v>20814</v>
      </c>
    </row>
    <row r="379" spans="1:1" x14ac:dyDescent="0.35">
      <c r="A379" s="7">
        <v>20821</v>
      </c>
    </row>
    <row r="380" spans="1:1" x14ac:dyDescent="0.35">
      <c r="A380" s="7">
        <v>20884</v>
      </c>
    </row>
    <row r="381" spans="1:1" x14ac:dyDescent="0.35">
      <c r="A381" s="7">
        <v>20885</v>
      </c>
    </row>
    <row r="382" spans="1:1" x14ac:dyDescent="0.35">
      <c r="A382" s="7">
        <v>20930</v>
      </c>
    </row>
    <row r="383" spans="1:1" x14ac:dyDescent="0.35">
      <c r="A383" s="7">
        <v>20941</v>
      </c>
    </row>
    <row r="384" spans="1:1" x14ac:dyDescent="0.35">
      <c r="A384" s="7">
        <v>20992</v>
      </c>
    </row>
    <row r="385" spans="1:1" x14ac:dyDescent="0.35">
      <c r="A385" s="7">
        <v>21070</v>
      </c>
    </row>
    <row r="386" spans="1:1" x14ac:dyDescent="0.35">
      <c r="A386" s="7">
        <v>21105</v>
      </c>
    </row>
    <row r="387" spans="1:1" x14ac:dyDescent="0.35">
      <c r="A387" s="7">
        <v>21126</v>
      </c>
    </row>
    <row r="388" spans="1:1" x14ac:dyDescent="0.35">
      <c r="A388" s="7">
        <v>21139</v>
      </c>
    </row>
    <row r="389" spans="1:1" x14ac:dyDescent="0.35">
      <c r="A389" s="7">
        <v>21179</v>
      </c>
    </row>
    <row r="390" spans="1:1" x14ac:dyDescent="0.35">
      <c r="A390" s="7">
        <v>21186</v>
      </c>
    </row>
    <row r="391" spans="1:1" x14ac:dyDescent="0.35">
      <c r="A391" s="7">
        <v>21241</v>
      </c>
    </row>
    <row r="392" spans="1:1" x14ac:dyDescent="0.35">
      <c r="A392" s="7">
        <v>21242</v>
      </c>
    </row>
    <row r="393" spans="1:1" x14ac:dyDescent="0.35">
      <c r="A393" s="7">
        <v>21287</v>
      </c>
    </row>
    <row r="394" spans="1:1" x14ac:dyDescent="0.35">
      <c r="A394" s="7">
        <v>21306</v>
      </c>
    </row>
    <row r="395" spans="1:1" x14ac:dyDescent="0.35">
      <c r="A395" s="7">
        <v>21349</v>
      </c>
    </row>
    <row r="396" spans="1:1" x14ac:dyDescent="0.35">
      <c r="A396" s="7">
        <v>21504</v>
      </c>
    </row>
    <row r="397" spans="1:1" x14ac:dyDescent="0.35">
      <c r="A397" s="7">
        <v>21544</v>
      </c>
    </row>
    <row r="398" spans="1:1" x14ac:dyDescent="0.35">
      <c r="A398" s="7">
        <v>21551</v>
      </c>
    </row>
    <row r="399" spans="1:1" x14ac:dyDescent="0.35">
      <c r="A399" s="7">
        <v>21591</v>
      </c>
    </row>
    <row r="400" spans="1:1" x14ac:dyDescent="0.35">
      <c r="A400" s="7">
        <v>21592</v>
      </c>
    </row>
    <row r="401" spans="1:1" x14ac:dyDescent="0.35">
      <c r="A401" s="7">
        <v>21637</v>
      </c>
    </row>
    <row r="402" spans="1:1" x14ac:dyDescent="0.35">
      <c r="A402" s="7">
        <v>21661</v>
      </c>
    </row>
    <row r="403" spans="1:1" x14ac:dyDescent="0.35">
      <c r="A403" s="7">
        <v>21671</v>
      </c>
    </row>
    <row r="404" spans="1:1" x14ac:dyDescent="0.35">
      <c r="A404" s="7">
        <v>21699</v>
      </c>
    </row>
    <row r="405" spans="1:1" x14ac:dyDescent="0.35">
      <c r="A405" s="7">
        <v>21909</v>
      </c>
    </row>
    <row r="406" spans="1:1" x14ac:dyDescent="0.35">
      <c r="A406" s="7">
        <v>21916</v>
      </c>
    </row>
    <row r="407" spans="1:1" x14ac:dyDescent="0.35">
      <c r="A407" s="7">
        <v>21976</v>
      </c>
    </row>
    <row r="408" spans="1:1" x14ac:dyDescent="0.35">
      <c r="A408" s="7">
        <v>21977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FERIADO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Araújo Fontes</dc:creator>
  <cp:lastModifiedBy>Araújo Fontes</cp:lastModifiedBy>
  <dcterms:created xsi:type="dcterms:W3CDTF">2024-12-13T17:18:39Z</dcterms:created>
  <dcterms:modified xsi:type="dcterms:W3CDTF">2025-01-02T22:14:12Z</dcterms:modified>
</cp:coreProperties>
</file>