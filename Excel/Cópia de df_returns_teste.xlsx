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0.1-Risco\Risco2\"/>
    </mc:Choice>
  </mc:AlternateContent>
  <xr:revisionPtr revIDLastSave="0" documentId="8_{89DBF80E-F200-49F3-B37B-36BF716D52E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J7" i="1" l="1"/>
  <c r="I7" i="1"/>
  <c r="H7" i="1"/>
  <c r="G7" i="1"/>
  <c r="G13" i="1"/>
  <c r="G14" i="1" s="1"/>
  <c r="P9" i="1" l="1"/>
  <c r="G3" i="1" l="1"/>
  <c r="L13" i="1"/>
  <c r="L14" i="1" s="1"/>
  <c r="K13" i="1"/>
  <c r="K14" i="1" s="1"/>
  <c r="J13" i="1"/>
  <c r="J14" i="1" s="1"/>
  <c r="I13" i="1"/>
  <c r="I14" i="1" s="1"/>
  <c r="H13" i="1"/>
  <c r="H14" i="1" s="1"/>
  <c r="J10" i="1"/>
  <c r="I10" i="1"/>
  <c r="H10" i="1"/>
  <c r="G10" i="1"/>
  <c r="N6" i="1" s="1"/>
  <c r="J3" i="1"/>
  <c r="J6" i="1" s="1"/>
  <c r="Q14" i="1" s="1"/>
  <c r="I3" i="1"/>
  <c r="I6" i="1" s="1"/>
  <c r="P14" i="1" s="1"/>
  <c r="H3" i="1"/>
  <c r="H6" i="1" s="1"/>
  <c r="R14" i="1" l="1"/>
  <c r="N8" i="1"/>
  <c r="O14" i="1"/>
  <c r="O9" i="1"/>
  <c r="H16" i="1"/>
  <c r="I16" i="1" s="1"/>
  <c r="G6" i="1"/>
  <c r="N9" i="1" l="1"/>
  <c r="N14" i="1"/>
  <c r="N11" i="1" l="1"/>
  <c r="N10" i="1"/>
  <c r="O10" i="1" s="1"/>
  <c r="P16" i="1"/>
  <c r="P17" i="1" s="1"/>
  <c r="O16" i="1"/>
</calcChain>
</file>

<file path=xl/sharedStrings.xml><?xml version="1.0" encoding="utf-8"?>
<sst xmlns="http://schemas.openxmlformats.org/spreadsheetml/2006/main" count="280" uniqueCount="272">
  <si>
    <t>Date</t>
  </si>
  <si>
    <t>DI_25_Return_Log</t>
  </si>
  <si>
    <t>DI_26_Return_Log</t>
  </si>
  <si>
    <t>DI_30_Return_Log</t>
  </si>
  <si>
    <t>DI_35_Return_Log</t>
  </si>
  <si>
    <t>2023-08-25</t>
  </si>
  <si>
    <t>2023-08-29</t>
  </si>
  <si>
    <t>2023-08-30</t>
  </si>
  <si>
    <t>2023-08-31</t>
  </si>
  <si>
    <t>2023-09-01</t>
  </si>
  <si>
    <t>2023-09-05</t>
  </si>
  <si>
    <t>2023-09-06</t>
  </si>
  <si>
    <t>2023-09-12</t>
  </si>
  <si>
    <t>2023-09-13</t>
  </si>
  <si>
    <t>2023-09-14</t>
  </si>
  <si>
    <t>2023-09-15</t>
  </si>
  <si>
    <t>2023-09-19</t>
  </si>
  <si>
    <t>2023-09-20</t>
  </si>
  <si>
    <t>2023-09-21</t>
  </si>
  <si>
    <t>2023-09-22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</si>
  <si>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</si>
  <si>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</si>
  <si>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</si>
  <si>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</si>
  <si>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</si>
  <si>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</si>
  <si>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</si>
  <si>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</si>
  <si>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2023-10-10</t>
  </si>
  <si>
    <t>2023-10-11</t>
  </si>
  <si>
    <t>2023-10-17</t>
  </si>
  <si>
    <t>2023-10-18</t>
  </si>
  <si>
    <t>2023-10-19</t>
  </si>
  <si>
    <t>2023-10-20</t>
  </si>
  <si>
    <t>2023-10-24</t>
  </si>
  <si>
    <t>2023-10-25</t>
  </si>
  <si>
    <t>2023-10-26</t>
  </si>
  <si>
    <t>2023-10-27</t>
  </si>
  <si>
    <t>2023-10-31</t>
  </si>
  <si>
    <t>2023-11-01</t>
  </si>
  <si>
    <t>2023-11-07</t>
  </si>
  <si>
    <t>2023-11-08</t>
  </si>
  <si>
    <t>2023-11-09</t>
  </si>
  <si>
    <t>2023-11-10</t>
  </si>
  <si>
    <t>2023-11-14</t>
  </si>
  <si>
    <t>2023-11-17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</si>
  <si>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</si>
  <si>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</si>
  <si>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</si>
  <si>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</si>
  <si>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</si>
  <si>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</si>
  <si>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</si>
  <si>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</si>
  <si>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2023-12-05</t>
  </si>
  <si>
    <t>2023-12-06</t>
  </si>
  <si>
    <t>2023-12-07</t>
  </si>
  <si>
    <t>2023-12-08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</si>
  <si>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</si>
  <si>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</si>
  <si>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</si>
  <si>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</si>
  <si>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</si>
  <si>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</si>
  <si>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</si>
  <si>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</si>
  <si>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2023-12-27</t>
  </si>
  <si>
    <t>2023-12-28</t>
  </si>
  <si>
    <t>2024-01-03</t>
  </si>
  <si>
    <t>2024-01-04</t>
  </si>
  <si>
    <t>2024-01-05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</si>
  <si>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</si>
  <si>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</si>
  <si>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</si>
  <si>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</si>
  <si>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</si>
  <si>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</si>
  <si>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</si>
  <si>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</si>
  <si>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</si>
  <si>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</si>
  <si>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</si>
  <si>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2024-01-26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</si>
  <si>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</si>
  <si>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</si>
  <si>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</si>
  <si>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</si>
  <si>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</si>
  <si>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</si>
  <si>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</si>
  <si>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</si>
  <si>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2024-02-15</t>
  </si>
  <si>
    <t>2024-02-16</t>
  </si>
  <si>
    <t>2024-02-20</t>
  </si>
  <si>
    <t>2024-02-21</t>
  </si>
  <si>
    <t>2024-02-22</t>
  </si>
  <si>
    <t>2024-02-23</t>
  </si>
  <si>
    <t>2024-02-27</t>
  </si>
  <si>
    <t>2024-02-28</t>
  </si>
  <si>
    <t>2024-02-29</t>
  </si>
  <si>
    <t>2024-03-01</t>
  </si>
  <si>
    <t>2024-03-05</t>
  </si>
  <si>
    <t>2024-03-06</t>
  </si>
  <si>
    <t>2024-03-07</t>
  </si>
  <si>
    <t>2024-03-08</t>
  </si>
  <si>
    <t>2024-03-12</t>
  </si>
  <si>
    <t>2024-03-13</t>
  </si>
  <si>
    <t>2024-03-14</t>
  </si>
  <si>
    <t>2024-03-15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</si>
  <si>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</si>
  <si>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</si>
  <si>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</si>
  <si>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</si>
  <si>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</si>
  <si>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</si>
  <si>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</si>
  <si>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</si>
  <si>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</si>
  <si>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</si>
  <si>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</si>
  <si>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2024-04-09</t>
  </si>
  <si>
    <t>2024-04-10</t>
  </si>
  <si>
    <t>2024-04-11</t>
  </si>
  <si>
    <t>2024-04-12</t>
  </si>
  <si>
    <t>2024-04-16</t>
  </si>
  <si>
    <t>2024-04-17</t>
  </si>
  <si>
    <t>2024-04-18</t>
  </si>
  <si>
    <t>2024-04-19</t>
  </si>
  <si>
    <t>2024-04-23</t>
  </si>
  <si>
    <t>2024-04-24</t>
  </si>
  <si>
    <t>2024-04-25</t>
  </si>
  <si>
    <t>2024-04-26</t>
  </si>
  <si>
    <t>2024-04-30</t>
  </si>
  <si>
    <t>2024-05-03</t>
  </si>
  <si>
    <t>2024-05-07</t>
  </si>
  <si>
    <t>2024-05-08</t>
  </si>
  <si>
    <t>2024-05-09</t>
  </si>
  <si>
    <t>2024-05-10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</si>
  <si>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</si>
  <si>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</si>
  <si>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</si>
  <si>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</si>
  <si>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</si>
  <si>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</si>
  <si>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</si>
  <si>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</si>
  <si>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2024-05-28</t>
  </si>
  <si>
    <t>2024-05-29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</si>
  <si>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</si>
  <si>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</si>
  <si>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</si>
  <si>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</si>
  <si>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</si>
  <si>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</si>
  <si>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</si>
  <si>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</si>
  <si>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</si>
  <si>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</si>
  <si>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</si>
  <si>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</si>
  <si>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</si>
  <si>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</si>
  <si>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</si>
  <si>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</si>
  <si>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</si>
  <si>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</si>
  <si>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</si>
  <si>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</si>
  <si>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</si>
  <si>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</si>
  <si>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</si>
  <si>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</si>
  <si>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2024-07-16</t>
  </si>
  <si>
    <t>2024-07-17</t>
  </si>
  <si>
    <t>2024-07-18</t>
  </si>
  <si>
    <t>2024-07-19</t>
  </si>
  <si>
    <t>2024-07-23</t>
  </si>
  <si>
    <t>2024-07-24</t>
  </si>
  <si>
    <t>2024-07-25</t>
  </si>
  <si>
    <t>2024-07-26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</si>
  <si>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</si>
  <si>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</si>
  <si>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</si>
  <si>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</si>
  <si>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</si>
  <si>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</si>
  <si>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</si>
  <si>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</si>
  <si>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2024-08-13</t>
  </si>
  <si>
    <t>2024-08-14</t>
  </si>
  <si>
    <t>2024-08-15</t>
  </si>
  <si>
    <t>2024-08-16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</si>
  <si>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</si>
  <si>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</si>
  <si>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</si>
  <si>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</si>
  <si>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</si>
  <si>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</si>
  <si>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</si>
  <si>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</si>
  <si>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</si>
  <si>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</si>
  <si>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</si>
  <si>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</si>
  <si>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</si>
  <si>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</si>
  <si>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</si>
  <si>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</si>
  <si>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</si>
  <si>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</si>
  <si>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</si>
  <si>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</si>
  <si>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</si>
  <si>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</si>
  <si>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</si>
  <si>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</si>
  <si>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</si>
  <si>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</si>
  <si>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</si>
  <si>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</si>
  <si>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</si>
  <si>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</si>
  <si>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</si>
  <si>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</si>
  <si>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</si>
  <si>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</si>
  <si>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</si>
  <si>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</si>
  <si>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2024-10-22</t>
  </si>
  <si>
    <t>2024-10-23</t>
  </si>
  <si>
    <t>2024-10-24</t>
  </si>
  <si>
    <t>2024-10-25</t>
  </si>
  <si>
    <t>2024-10-29</t>
  </si>
  <si>
    <t>2024-10-30</t>
  </si>
  <si>
    <t>2024-10-31</t>
  </si>
  <si>
    <t>2024-11-01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</si>
  <si>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</si>
  <si>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</si>
  <si>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</si>
  <si>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</si>
  <si>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</si>
  <si>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</si>
  <si>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</si>
  <si>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2024-11-19</t>
  </si>
  <si>
    <t>2024-11-22</t>
  </si>
  <si>
    <t>2024-11-26</t>
  </si>
  <si>
    <t>2024-11-27</t>
  </si>
  <si>
    <t>2024-11-28</t>
  </si>
  <si>
    <t>2024-11-29</t>
  </si>
  <si>
    <t>2024-12-03</t>
  </si>
  <si>
    <t>2024-12-04</t>
  </si>
  <si>
    <t>2024-12-05</t>
  </si>
  <si>
    <t>2024-12-06</t>
  </si>
  <si>
    <t>2024-12-10</t>
  </si>
  <si>
    <t>2024-12-11</t>
  </si>
  <si>
    <t>2024-12-12</t>
  </si>
  <si>
    <t>2024-12-13</t>
  </si>
  <si>
    <t>vol</t>
  </si>
  <si>
    <t>retorno</t>
  </si>
  <si>
    <t>peso</t>
  </si>
  <si>
    <t>DI25</t>
  </si>
  <si>
    <t>DI26</t>
  </si>
  <si>
    <t>DI30</t>
  </si>
  <si>
    <t>DI35</t>
  </si>
  <si>
    <t>AxB</t>
  </si>
  <si>
    <t>CxD</t>
  </si>
  <si>
    <t>BxD</t>
  </si>
  <si>
    <t>AxC</t>
  </si>
  <si>
    <t>BxC</t>
  </si>
  <si>
    <t>AxD</t>
  </si>
  <si>
    <t>Retorno Medio</t>
  </si>
  <si>
    <t>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</si>
</sst>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%"/>
    <numFmt numFmtId="166" formatCode="0.0000%"/>
    <numFmt numFmtId="167" formatCode="0.0%"/>
    <numFmt numFmtId="169" formatCode="0.000000%"/>
    <numFmt numFmtId="170" formatCode="0.0000000%"/>
    <numFmt numFmtId="178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/>
    <xf numFmtId="165" fontId="0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9" fontId="0" fillId="0" borderId="0" xfId="1" applyFont="1"/>
    <xf numFmtId="167" fontId="0" fillId="0" borderId="0" xfId="1" applyNumberFormat="1" applyFont="1"/>
    <xf numFmtId="169" fontId="0" fillId="0" borderId="0" xfId="1" applyNumberFormat="1" applyFont="1"/>
    <xf numFmtId="170" fontId="0" fillId="0" borderId="0" xfId="1" applyNumberFormat="1" applyFont="1"/>
    <xf numFmtId="178" fontId="0" fillId="0" borderId="0" xfId="0" applyNumberFormat="1"/>
    <xf numFmtId="0" fontId="0" fillId="2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7"/>
  <sheetViews>
    <sheetView tabSelected="1" topLeftCell="C1" workbookViewId="0">
      <selection activeCell="M13" sqref="M13"/>
    </sheetView>
  </sheetViews>
  <sheetFormatPr defaultRowHeight="15" x14ac:dyDescent="0.25"/>
  <cols>
    <col min="1" max="1" width="10.42578125" bestFit="1" customWidth="1"/>
    <col min="2" max="3" width="17" bestFit="1" customWidth="1"/>
    <col min="7" max="7" width="14.140625" bestFit="1" customWidth="1"/>
    <col min="8" max="10" width="12" bestFit="1" customWidth="1"/>
    <col min="14" max="14" width="24.7109375" bestFit="1" customWidth="1"/>
    <col min="15" max="16" width="12" bestFit="1" customWidth="1"/>
    <col min="18" max="18" width="1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260</v>
      </c>
      <c r="H1" t="s">
        <v>261</v>
      </c>
      <c r="I1" t="s">
        <v>262</v>
      </c>
      <c r="J1" t="s">
        <v>263</v>
      </c>
    </row>
    <row r="2" spans="1:18" x14ac:dyDescent="0.25">
      <c r="A2" s="1" t="s">
        <v>5</v>
      </c>
      <c r="B2">
        <v>-1.0813487842962E-3</v>
      </c>
      <c r="C2">
        <v>-2.2248302608490001E-3</v>
      </c>
      <c r="D2">
        <v>-2.3760753501761E-3</v>
      </c>
      <c r="E2">
        <v>-4.2438126935899004E-3</v>
      </c>
      <c r="G2" s="2" t="s">
        <v>257</v>
      </c>
      <c r="H2" s="2" t="s">
        <v>257</v>
      </c>
      <c r="I2" s="2" t="s">
        <v>257</v>
      </c>
      <c r="J2" s="2" t="s">
        <v>257</v>
      </c>
    </row>
    <row r="3" spans="1:18" x14ac:dyDescent="0.25">
      <c r="A3" s="1" t="s">
        <v>6</v>
      </c>
      <c r="B3">
        <v>1.0869169329503999E-3</v>
      </c>
      <c r="C3">
        <v>2.2928083765366E-3</v>
      </c>
      <c r="D3">
        <v>6.8846654678716996E-3</v>
      </c>
      <c r="E3">
        <v>1.22908710474069E-2</v>
      </c>
      <c r="G3" s="3">
        <f>_xlfn.STDEV.S(B2:B253)*SQRT(252)</f>
        <v>7.8577723334946718E-3</v>
      </c>
      <c r="H3" s="3">
        <f>_xlfn.STDEV.S(C2:C253)*SQRT(252)</f>
        <v>2.6607940481997362E-2</v>
      </c>
      <c r="I3" s="3">
        <f>_xlfn.STDEV.S(D2:D253)*SQRT(252)</f>
        <v>9.4736186089688867E-2</v>
      </c>
      <c r="J3" s="3">
        <f>_xlfn.STDEV.S(E2:E253)*SQRT(252)</f>
        <v>0.17274333706720132</v>
      </c>
      <c r="K3" s="2"/>
      <c r="L3" s="2" t="s">
        <v>259</v>
      </c>
    </row>
    <row r="4" spans="1:18" x14ac:dyDescent="0.25">
      <c r="A4" s="1" t="s">
        <v>7</v>
      </c>
      <c r="B4">
        <v>7.331643196555E-4</v>
      </c>
      <c r="C4">
        <v>4.6260141930880001E-4</v>
      </c>
      <c r="D4">
        <v>-2.3212975829843001E-3</v>
      </c>
      <c r="E4">
        <v>-4.6562286240877E-3</v>
      </c>
      <c r="G4" s="8">
        <v>0.25</v>
      </c>
      <c r="H4" s="8">
        <v>0.25</v>
      </c>
      <c r="I4" s="8">
        <v>0.25</v>
      </c>
      <c r="J4" s="8">
        <v>0.25</v>
      </c>
      <c r="K4" s="3"/>
      <c r="L4" s="3">
        <v>0.25</v>
      </c>
      <c r="M4" s="7"/>
      <c r="P4" s="4"/>
      <c r="Q4" s="4"/>
    </row>
    <row r="5" spans="1:18" x14ac:dyDescent="0.25">
      <c r="A5" s="1" t="s">
        <v>8</v>
      </c>
      <c r="B5">
        <v>-6.6473574863250002E-4</v>
      </c>
      <c r="C5">
        <v>-3.1353631415450001E-3</v>
      </c>
      <c r="D5">
        <v>-1.14410596302277E-2</v>
      </c>
      <c r="E5">
        <v>-1.90322549427289E-2</v>
      </c>
      <c r="N5" t="s">
        <v>270</v>
      </c>
    </row>
    <row r="6" spans="1:18" x14ac:dyDescent="0.25">
      <c r="A6" s="1" t="s">
        <v>9</v>
      </c>
      <c r="B6">
        <v>-2.3820648113100001E-4</v>
      </c>
      <c r="C6">
        <v>-5.8737079343689999E-4</v>
      </c>
      <c r="D6">
        <v>2.2251838089117001E-3</v>
      </c>
      <c r="E6">
        <v>3.8657000871062E-3</v>
      </c>
      <c r="G6" s="12">
        <f>G3^2</f>
        <v>6.1744586045034302E-5</v>
      </c>
      <c r="H6">
        <f>H3^2</f>
        <v>7.0798249669351402E-4</v>
      </c>
      <c r="I6">
        <f>I3^2</f>
        <v>8.974944954820159E-3</v>
      </c>
      <c r="J6">
        <f>J3^2</f>
        <v>2.9840260501112732E-2</v>
      </c>
      <c r="N6" s="4">
        <f>AVERAGE(G10:J10)</f>
        <v>0.53128238493876845</v>
      </c>
      <c r="P6" s="5"/>
      <c r="Q6" s="6"/>
    </row>
    <row r="7" spans="1:18" x14ac:dyDescent="0.25">
      <c r="A7" s="1" t="s">
        <v>10</v>
      </c>
      <c r="B7">
        <v>-1.479538809316E-4</v>
      </c>
      <c r="C7">
        <v>-1.7789649758514999E-3</v>
      </c>
      <c r="D7">
        <v>-8.4553430937671994E-3</v>
      </c>
      <c r="E7">
        <v>-1.5541463293032199E-2</v>
      </c>
      <c r="G7">
        <f>G4^2</f>
        <v>6.25E-2</v>
      </c>
      <c r="H7">
        <f>H4^2</f>
        <v>6.25E-2</v>
      </c>
      <c r="I7">
        <f>I4^2</f>
        <v>6.25E-2</v>
      </c>
      <c r="J7">
        <f>J4^2</f>
        <v>6.25E-2</v>
      </c>
    </row>
    <row r="8" spans="1:18" x14ac:dyDescent="0.25">
      <c r="A8" s="1" t="s">
        <v>11</v>
      </c>
      <c r="B8">
        <v>8.7632179807019999E-4</v>
      </c>
      <c r="C8">
        <v>9.5578902999279998E-4</v>
      </c>
      <c r="D8">
        <v>-1.4985406159464E-3</v>
      </c>
      <c r="E8">
        <v>-4.6159262396371003E-3</v>
      </c>
      <c r="M8" t="s">
        <v>271</v>
      </c>
      <c r="N8" s="8">
        <f>G8+H8+I8+J8+4*L4*4*G13*H13*I13*J13*K13*L13</f>
        <v>9.511598983461521E-32</v>
      </c>
    </row>
    <row r="9" spans="1:18" x14ac:dyDescent="0.25">
      <c r="A9" s="1" t="s">
        <v>12</v>
      </c>
      <c r="B9">
        <v>1.1852826007297001E-3</v>
      </c>
      <c r="C9">
        <v>2.5787200604630001E-3</v>
      </c>
      <c r="D9">
        <v>4.9255599330492996E-3</v>
      </c>
      <c r="E9">
        <v>7.2897218106613999E-3</v>
      </c>
      <c r="G9" s="2" t="s">
        <v>258</v>
      </c>
      <c r="H9" s="2" t="s">
        <v>258</v>
      </c>
      <c r="I9" s="2" t="s">
        <v>258</v>
      </c>
      <c r="J9" s="2" t="s">
        <v>258</v>
      </c>
      <c r="M9" t="s">
        <v>271</v>
      </c>
      <c r="N9">
        <f>G6*G7</f>
        <v>3.8590366278146439E-6</v>
      </c>
      <c r="O9">
        <f>H6*H7</f>
        <v>4.4248906043344626E-5</v>
      </c>
      <c r="P9">
        <f>2*G4*H4*G13</f>
        <v>8.6936067862175286E-8</v>
      </c>
    </row>
    <row r="10" spans="1:18" x14ac:dyDescent="0.25">
      <c r="A10" s="1" t="s">
        <v>13</v>
      </c>
      <c r="B10">
        <v>9.2225489313399998E-4</v>
      </c>
      <c r="C10">
        <v>1.4658797621632E-3</v>
      </c>
      <c r="D10">
        <v>2.8938783698231E-3</v>
      </c>
      <c r="E10">
        <v>3.1510407040664999E-3</v>
      </c>
      <c r="G10" s="3">
        <f>AVERAGE(B2:B253*252)</f>
        <v>0.23240823306976799</v>
      </c>
      <c r="H10" s="3">
        <f>AVERAGE(C2:C253*252)</f>
        <v>0.3694017000651264</v>
      </c>
      <c r="I10" s="3">
        <f>AVERAGE(D2:D253*252)</f>
        <v>0.72925734919542118</v>
      </c>
      <c r="J10" s="3">
        <f>AVERAGE(E2:E253*252)</f>
        <v>0.794062257424758</v>
      </c>
      <c r="N10" s="7">
        <f>SUM(N9:P9)</f>
        <v>4.8194878739021449E-5</v>
      </c>
      <c r="O10" s="5">
        <f>SQRT(N10)</f>
        <v>6.942253145702874E-3</v>
      </c>
    </row>
    <row r="11" spans="1:18" x14ac:dyDescent="0.25">
      <c r="A11" s="1" t="s">
        <v>14</v>
      </c>
      <c r="B11">
        <v>8.7064222876781557E-5</v>
      </c>
      <c r="C11">
        <v>-3.8836532186319751E-5</v>
      </c>
      <c r="D11">
        <v>1.315328797663E-4</v>
      </c>
      <c r="E11">
        <v>4.2638309495709998E-4</v>
      </c>
      <c r="N11" s="12">
        <f>N9+O9</f>
        <v>4.810794267115927E-5</v>
      </c>
    </row>
    <row r="12" spans="1:18" x14ac:dyDescent="0.25">
      <c r="A12" s="1" t="s">
        <v>15</v>
      </c>
      <c r="B12">
        <v>8.8988623891772902E-5</v>
      </c>
      <c r="C12">
        <v>-7.8639073698219997E-4</v>
      </c>
      <c r="D12">
        <v>-3.9190774479020002E-3</v>
      </c>
      <c r="E12">
        <v>-7.6372025128882996E-3</v>
      </c>
      <c r="G12" t="s">
        <v>264</v>
      </c>
      <c r="H12" t="s">
        <v>265</v>
      </c>
      <c r="I12" t="s">
        <v>266</v>
      </c>
      <c r="J12" t="s">
        <v>267</v>
      </c>
      <c r="K12" t="s">
        <v>268</v>
      </c>
      <c r="L12" t="s">
        <v>269</v>
      </c>
    </row>
    <row r="13" spans="1:18" x14ac:dyDescent="0.25">
      <c r="A13" s="1" t="s">
        <v>16</v>
      </c>
      <c r="B13">
        <v>-2.7917959559150001E-4</v>
      </c>
      <c r="C13">
        <v>-1.5242233792652001E-3</v>
      </c>
      <c r="D13">
        <v>-4.3564145382125998E-3</v>
      </c>
      <c r="E13">
        <v>-9.1331065443070007E-3</v>
      </c>
      <c r="G13" s="10">
        <f>_xlfn.COVARIANCE.S(B2:$B$253,C2:C253)</f>
        <v>6.9548854289740229E-7</v>
      </c>
      <c r="H13" s="7">
        <f>_xlfn.COVARIANCE.S(D2:D253,$E$2:E253)</f>
        <v>6.3998741026639091E-5</v>
      </c>
      <c r="I13" s="7">
        <f>_xlfn.COVARIANCE.S(C2:C253,E2:E253)</f>
        <v>1.3937825052715765E-5</v>
      </c>
      <c r="J13" s="7">
        <f>_xlfn.COVARIANCE.S(B2:B253,D2:D253)</f>
        <v>1.6858851742795912E-6</v>
      </c>
      <c r="K13" s="7">
        <f>_xlfn.COVARIANCE.S(C2:C253,D2:D253)</f>
        <v>8.3230588814371217E-6</v>
      </c>
      <c r="L13" s="7">
        <f>_xlfn.COVARIANCE.S(B2:B253,E2:E253)</f>
        <v>2.7316569741814942E-6</v>
      </c>
    </row>
    <row r="14" spans="1:18" x14ac:dyDescent="0.25">
      <c r="A14" s="1" t="s">
        <v>17</v>
      </c>
      <c r="B14">
        <v>4.4219715896490002E-4</v>
      </c>
      <c r="C14">
        <v>9.4311062361360004E-4</v>
      </c>
      <c r="D14">
        <v>3.6733575584124E-3</v>
      </c>
      <c r="E14">
        <v>5.6632708029675004E-3</v>
      </c>
      <c r="G14">
        <f>G13*$G$4*$G$4*2</f>
        <v>8.6936067862175286E-8</v>
      </c>
      <c r="H14">
        <f t="shared" ref="H14:L14" si="0">H13*$G$4*$G$4*2</f>
        <v>7.9998426283298864E-6</v>
      </c>
      <c r="I14">
        <f t="shared" si="0"/>
        <v>1.7422281315894707E-6</v>
      </c>
      <c r="J14">
        <f t="shared" si="0"/>
        <v>2.107356467849489E-7</v>
      </c>
      <c r="K14">
        <f t="shared" si="0"/>
        <v>1.0403823601796402E-6</v>
      </c>
      <c r="L14">
        <f t="shared" si="0"/>
        <v>3.4145712177268677E-7</v>
      </c>
      <c r="N14">
        <f>G6*G7</f>
        <v>3.8590366278146439E-6</v>
      </c>
      <c r="O14">
        <f>H6*H7</f>
        <v>4.4248906043344626E-5</v>
      </c>
      <c r="P14">
        <f>I6*I7</f>
        <v>5.6093405967625994E-4</v>
      </c>
      <c r="Q14">
        <f>J6*J7</f>
        <v>1.8650162813195457E-3</v>
      </c>
      <c r="R14">
        <f>SUM(G14:L14)</f>
        <v>1.1421581956518805E-5</v>
      </c>
    </row>
    <row r="15" spans="1:18" x14ac:dyDescent="0.25">
      <c r="A15" s="1" t="s">
        <v>18</v>
      </c>
      <c r="B15">
        <v>-3.7640056417080002E-4</v>
      </c>
      <c r="C15">
        <v>-1.7616011902898E-3</v>
      </c>
      <c r="D15">
        <v>-7.1497826186148004E-3</v>
      </c>
      <c r="E15">
        <v>-1.12315431263285E-2</v>
      </c>
    </row>
    <row r="16" spans="1:18" x14ac:dyDescent="0.25">
      <c r="A16" s="1" t="s">
        <v>19</v>
      </c>
      <c r="B16">
        <v>6.8532262173140002E-4</v>
      </c>
      <c r="C16">
        <v>7.3763250285600001E-4</v>
      </c>
      <c r="D16">
        <v>3.0258318760841989E-5</v>
      </c>
      <c r="E16">
        <v>-1.2729264566824E-3</v>
      </c>
      <c r="G16" t="s">
        <v>271</v>
      </c>
      <c r="H16" s="11">
        <f>G3^2*G10^2+H3^2*H10^2+2*0.5*0.5*G13</f>
        <v>1.0029239450545309E-4</v>
      </c>
      <c r="I16" s="9">
        <f>SQRT(H16)</f>
        <v>1.0014609054049644E-2</v>
      </c>
      <c r="O16">
        <f>SUM(N14:Q14)</f>
        <v>2.4740582836669648E-3</v>
      </c>
      <c r="P16">
        <f>SUM(N14:R14)</f>
        <v>2.4854798656234836E-3</v>
      </c>
    </row>
    <row r="17" spans="1:16" x14ac:dyDescent="0.25">
      <c r="A17" s="1" t="s">
        <v>20</v>
      </c>
      <c r="B17">
        <v>-1.0493290098751E-3</v>
      </c>
      <c r="C17">
        <v>-3.2966573827564998E-3</v>
      </c>
      <c r="D17">
        <v>-8.5570328649109996E-3</v>
      </c>
      <c r="E17">
        <v>-1.58851377759315E-2</v>
      </c>
      <c r="P17" s="13">
        <f>SQRT(P16)</f>
        <v>4.985458720743241E-2</v>
      </c>
    </row>
    <row r="18" spans="1:16" x14ac:dyDescent="0.25">
      <c r="A18" s="1" t="s">
        <v>21</v>
      </c>
      <c r="B18">
        <v>-1.7647721421057E-3</v>
      </c>
      <c r="C18">
        <v>-5.2147810133088002E-3</v>
      </c>
      <c r="D18">
        <v>-8.6992397532950991E-3</v>
      </c>
      <c r="E18">
        <v>-1.3951439925444399E-2</v>
      </c>
    </row>
    <row r="19" spans="1:16" x14ac:dyDescent="0.25">
      <c r="A19" s="1" t="s">
        <v>22</v>
      </c>
      <c r="B19">
        <v>-4.1456076036259999E-4</v>
      </c>
      <c r="C19">
        <v>9.9681143255810002E-4</v>
      </c>
      <c r="D19">
        <v>5.3893893387989998E-3</v>
      </c>
      <c r="E19">
        <v>9.6439016801932002E-3</v>
      </c>
    </row>
    <row r="20" spans="1:16" x14ac:dyDescent="0.25">
      <c r="A20" s="1" t="s">
        <v>23</v>
      </c>
      <c r="B20">
        <v>1.9572576555716001E-3</v>
      </c>
      <c r="C20">
        <v>4.1871259587893004E-3</v>
      </c>
      <c r="D20">
        <v>8.8389986294349996E-3</v>
      </c>
      <c r="E20">
        <v>1.5146832624503099E-2</v>
      </c>
    </row>
    <row r="21" spans="1:16" x14ac:dyDescent="0.25">
      <c r="A21" s="1" t="s">
        <v>24</v>
      </c>
      <c r="B21">
        <v>-9.6096707134960002E-4</v>
      </c>
      <c r="C21">
        <v>-3.9585376174194001E-3</v>
      </c>
      <c r="D21">
        <v>-1.1931603465523201E-2</v>
      </c>
      <c r="E21">
        <v>-2.24890608726666E-2</v>
      </c>
    </row>
    <row r="22" spans="1:16" x14ac:dyDescent="0.25">
      <c r="A22" s="1" t="s">
        <v>25</v>
      </c>
      <c r="B22">
        <v>2.1468575062569E-3</v>
      </c>
      <c r="C22">
        <v>4.0262906157044996E-3</v>
      </c>
      <c r="D22">
        <v>8.7565594394191006E-3</v>
      </c>
      <c r="E22">
        <v>1.42093347793963E-2</v>
      </c>
    </row>
    <row r="23" spans="1:16" x14ac:dyDescent="0.25">
      <c r="A23" s="1" t="s">
        <v>26</v>
      </c>
      <c r="B23">
        <v>3.6875308304500001E-4</v>
      </c>
      <c r="C23">
        <v>1.6697013464389999E-4</v>
      </c>
      <c r="D23">
        <v>-2.5518936902722E-3</v>
      </c>
      <c r="E23">
        <v>-4.8299578626459002E-3</v>
      </c>
    </row>
    <row r="24" spans="1:16" x14ac:dyDescent="0.25">
      <c r="A24" s="1" t="s">
        <v>27</v>
      </c>
      <c r="B24">
        <v>6.5732162798240001E-4</v>
      </c>
      <c r="C24">
        <v>9.1217698328540004E-4</v>
      </c>
      <c r="D24">
        <v>3.5419785299113E-3</v>
      </c>
      <c r="E24">
        <v>6.4315643790432003E-3</v>
      </c>
    </row>
    <row r="25" spans="1:16" x14ac:dyDescent="0.25">
      <c r="A25" s="1" t="s">
        <v>28</v>
      </c>
      <c r="B25">
        <v>1.3791586462696E-3</v>
      </c>
      <c r="C25">
        <v>2.6321867352760001E-3</v>
      </c>
      <c r="D25">
        <v>6.9178312292979003E-3</v>
      </c>
      <c r="E25">
        <v>1.0224064455201499E-2</v>
      </c>
    </row>
    <row r="26" spans="1:16" x14ac:dyDescent="0.25">
      <c r="A26" s="1" t="s">
        <v>29</v>
      </c>
      <c r="B26">
        <v>-1.0679023502883E-3</v>
      </c>
      <c r="C26">
        <v>-1.7277723464069999E-3</v>
      </c>
      <c r="D26">
        <v>-1.5655953347110999E-3</v>
      </c>
      <c r="E26">
        <v>-2.6510876946175001E-3</v>
      </c>
    </row>
    <row r="27" spans="1:16" x14ac:dyDescent="0.25">
      <c r="A27" s="1" t="s">
        <v>30</v>
      </c>
      <c r="B27">
        <v>-9.4758662579130001E-4</v>
      </c>
      <c r="C27">
        <v>-3.5595946764722E-3</v>
      </c>
      <c r="D27">
        <v>-8.7391066591441992E-3</v>
      </c>
      <c r="E27">
        <v>-1.2004309199093101E-2</v>
      </c>
    </row>
    <row r="28" spans="1:16" x14ac:dyDescent="0.25">
      <c r="A28" s="1" t="s">
        <v>31</v>
      </c>
      <c r="B28">
        <v>3.6763366806938299E-5</v>
      </c>
      <c r="C28">
        <v>-9.3966588194730003E-4</v>
      </c>
      <c r="D28">
        <v>1.6506709387906001E-3</v>
      </c>
      <c r="E28">
        <v>7.3153498026074003E-3</v>
      </c>
    </row>
    <row r="29" spans="1:16" x14ac:dyDescent="0.25">
      <c r="A29" s="1" t="s">
        <v>32</v>
      </c>
      <c r="B29">
        <v>-6.8306618318460005E-4</v>
      </c>
      <c r="C29">
        <v>-3.4074638986174E-3</v>
      </c>
      <c r="D29">
        <v>-1.03067522337382E-2</v>
      </c>
      <c r="E29">
        <v>-1.5962563091366799E-2</v>
      </c>
    </row>
    <row r="30" spans="1:16" x14ac:dyDescent="0.25">
      <c r="A30" s="1" t="s">
        <v>33</v>
      </c>
      <c r="B30">
        <v>1.9362968004380001E-3</v>
      </c>
      <c r="C30">
        <v>4.1738682985896997E-3</v>
      </c>
      <c r="D30">
        <v>6.2216875634412997E-3</v>
      </c>
      <c r="E30">
        <v>8.1031354915832004E-3</v>
      </c>
    </row>
    <row r="31" spans="1:16" x14ac:dyDescent="0.25">
      <c r="A31" s="1" t="s">
        <v>34</v>
      </c>
      <c r="B31">
        <v>1.5488704568114001E-3</v>
      </c>
      <c r="C31">
        <v>3.3903030821216002E-3</v>
      </c>
      <c r="D31">
        <v>7.7580017892034999E-3</v>
      </c>
      <c r="E31">
        <v>1.38675131105352E-2</v>
      </c>
    </row>
    <row r="32" spans="1:16" x14ac:dyDescent="0.25">
      <c r="A32" s="1" t="s">
        <v>35</v>
      </c>
      <c r="B32">
        <v>5.2932349883549998E-4</v>
      </c>
      <c r="C32">
        <v>7.8204712224639998E-4</v>
      </c>
      <c r="D32">
        <v>5.4392200806730004E-4</v>
      </c>
      <c r="E32">
        <v>4.4367196684580001E-4</v>
      </c>
    </row>
    <row r="33" spans="1:5" x14ac:dyDescent="0.25">
      <c r="A33" s="1" t="s">
        <v>36</v>
      </c>
      <c r="B33">
        <v>1.8148271848711999E-3</v>
      </c>
      <c r="C33">
        <v>4.8749513758077996E-3</v>
      </c>
      <c r="D33">
        <v>1.4804427327619401E-2</v>
      </c>
      <c r="E33">
        <v>2.41236778013155E-2</v>
      </c>
    </row>
    <row r="34" spans="1:5" x14ac:dyDescent="0.25">
      <c r="A34" s="1" t="s">
        <v>37</v>
      </c>
      <c r="B34">
        <v>-1.5633242841691999E-3</v>
      </c>
      <c r="C34">
        <v>-3.8839107959482999E-3</v>
      </c>
      <c r="D34">
        <v>-9.4281258979264006E-3</v>
      </c>
      <c r="E34">
        <v>-1.52847954447187E-2</v>
      </c>
    </row>
    <row r="35" spans="1:5" x14ac:dyDescent="0.25">
      <c r="A35" s="1" t="s">
        <v>38</v>
      </c>
      <c r="B35">
        <v>8.7031395323700002E-4</v>
      </c>
      <c r="C35">
        <v>2.510159872204415E-5</v>
      </c>
      <c r="D35">
        <v>3.8380463044289999E-4</v>
      </c>
      <c r="E35">
        <v>4.5148775915580999E-3</v>
      </c>
    </row>
    <row r="36" spans="1:5" x14ac:dyDescent="0.25">
      <c r="A36" s="1" t="s">
        <v>39</v>
      </c>
      <c r="B36">
        <v>1.7263960853708001E-3</v>
      </c>
      <c r="C36">
        <v>4.5095537999354004E-3</v>
      </c>
      <c r="D36">
        <v>1.1295971105016799E-2</v>
      </c>
      <c r="E36">
        <v>1.8015603691192601E-2</v>
      </c>
    </row>
    <row r="37" spans="1:5" x14ac:dyDescent="0.25">
      <c r="A37" s="1" t="s">
        <v>40</v>
      </c>
      <c r="B37">
        <v>1.0737558168167E-3</v>
      </c>
      <c r="C37">
        <v>2.5419940607329002E-3</v>
      </c>
      <c r="D37">
        <v>1.07969026237471E-2</v>
      </c>
      <c r="E37">
        <v>1.81249971568016E-2</v>
      </c>
    </row>
    <row r="38" spans="1:5" x14ac:dyDescent="0.25">
      <c r="A38" s="1" t="s">
        <v>41</v>
      </c>
      <c r="B38">
        <v>5.1052173098609999E-4</v>
      </c>
      <c r="C38">
        <v>9.2425097433889998E-4</v>
      </c>
      <c r="D38">
        <v>3.9351117720212003E-3</v>
      </c>
      <c r="E38">
        <v>8.0889767816965993E-3</v>
      </c>
    </row>
    <row r="39" spans="1:5" x14ac:dyDescent="0.25">
      <c r="A39" s="1" t="s">
        <v>42</v>
      </c>
      <c r="B39">
        <v>2.1074763532339999E-4</v>
      </c>
      <c r="C39">
        <v>1.166562979089366E-5</v>
      </c>
      <c r="D39">
        <v>-1.4996588895349E-3</v>
      </c>
      <c r="E39">
        <v>-3.6475932142208999E-3</v>
      </c>
    </row>
    <row r="40" spans="1:5" x14ac:dyDescent="0.25">
      <c r="A40" s="1" t="s">
        <v>43</v>
      </c>
      <c r="B40">
        <v>1.1475362918308999E-3</v>
      </c>
      <c r="C40">
        <v>2.3926707939715E-3</v>
      </c>
      <c r="D40">
        <v>6.5085502821176002E-3</v>
      </c>
      <c r="E40">
        <v>1.2162349385364001E-2</v>
      </c>
    </row>
    <row r="41" spans="1:5" x14ac:dyDescent="0.25">
      <c r="A41" s="1" t="s">
        <v>44</v>
      </c>
      <c r="B41">
        <v>2.2545519387247E-3</v>
      </c>
      <c r="C41">
        <v>4.6429629118061996E-3</v>
      </c>
      <c r="D41">
        <v>1.0343045342041101E-2</v>
      </c>
      <c r="E41">
        <v>1.6341774811455202E-2</v>
      </c>
    </row>
    <row r="42" spans="1:5" x14ac:dyDescent="0.25">
      <c r="A42" s="1" t="s">
        <v>45</v>
      </c>
      <c r="B42">
        <v>1.1587270377351E-3</v>
      </c>
      <c r="C42">
        <v>2.2359065389822999E-3</v>
      </c>
      <c r="D42">
        <v>4.0294794678150999E-3</v>
      </c>
      <c r="E42">
        <v>7.1881626575381E-3</v>
      </c>
    </row>
    <row r="43" spans="1:5" x14ac:dyDescent="0.25">
      <c r="A43" s="1" t="s">
        <v>46</v>
      </c>
      <c r="B43">
        <v>-4.9226368703170003E-4</v>
      </c>
      <c r="C43">
        <v>-1.8016446643909999E-3</v>
      </c>
      <c r="D43">
        <v>-4.7926422569220997E-3</v>
      </c>
      <c r="E43">
        <v>-8.5313072909466003E-3</v>
      </c>
    </row>
    <row r="44" spans="1:5" x14ac:dyDescent="0.25">
      <c r="A44" s="1" t="s">
        <v>47</v>
      </c>
      <c r="B44">
        <v>1.0821687940201E-3</v>
      </c>
      <c r="C44">
        <v>1.9975605135719001E-3</v>
      </c>
      <c r="D44">
        <v>4.8436715676645004E-3</v>
      </c>
      <c r="E44">
        <v>7.7760374222442998E-3</v>
      </c>
    </row>
    <row r="45" spans="1:5" x14ac:dyDescent="0.25">
      <c r="A45" s="1" t="s">
        <v>48</v>
      </c>
      <c r="B45">
        <v>4.3633712549360002E-4</v>
      </c>
      <c r="C45">
        <v>4.2461870603229999E-4</v>
      </c>
      <c r="D45">
        <v>-5.7549234414780003E-4</v>
      </c>
      <c r="E45">
        <v>-2.2650633041386E-3</v>
      </c>
    </row>
    <row r="46" spans="1:5" x14ac:dyDescent="0.25">
      <c r="A46" s="1" t="s">
        <v>49</v>
      </c>
      <c r="B46">
        <v>9.2532942505989995E-4</v>
      </c>
      <c r="C46">
        <v>1.3787056118174999E-3</v>
      </c>
      <c r="D46">
        <v>8.1912886626059895E-5</v>
      </c>
      <c r="E46">
        <v>-1.7656272441412999E-3</v>
      </c>
    </row>
    <row r="47" spans="1:5" x14ac:dyDescent="0.25">
      <c r="A47" s="1" t="s">
        <v>50</v>
      </c>
      <c r="B47">
        <v>2.5395729818890003E-4</v>
      </c>
      <c r="C47">
        <v>2.2886462512750001E-4</v>
      </c>
      <c r="D47">
        <v>4.3953539451100001E-3</v>
      </c>
      <c r="E47">
        <v>8.5648788959060002E-3</v>
      </c>
    </row>
    <row r="48" spans="1:5" x14ac:dyDescent="0.25">
      <c r="A48" s="1" t="s">
        <v>51</v>
      </c>
      <c r="B48">
        <v>4.0321143179270001E-4</v>
      </c>
      <c r="C48">
        <v>1.3503476556508999E-3</v>
      </c>
      <c r="D48">
        <v>4.1740440607749996E-3</v>
      </c>
      <c r="E48">
        <v>9.6590408959562005E-3</v>
      </c>
    </row>
    <row r="49" spans="1:7" x14ac:dyDescent="0.25">
      <c r="A49" s="1" t="s">
        <v>52</v>
      </c>
      <c r="B49">
        <v>1.4277635527217001E-3</v>
      </c>
      <c r="C49">
        <v>1.8407105232119999E-3</v>
      </c>
      <c r="D49">
        <v>6.1935944965679996E-4</v>
      </c>
      <c r="E49">
        <v>-2.7714148944813E-3</v>
      </c>
    </row>
    <row r="50" spans="1:7" x14ac:dyDescent="0.25">
      <c r="A50" s="1" t="s">
        <v>53</v>
      </c>
      <c r="B50">
        <v>7.3340915404140005E-4</v>
      </c>
      <c r="C50">
        <v>1.3053815756767001E-3</v>
      </c>
      <c r="D50">
        <v>1.8204955019479E-3</v>
      </c>
      <c r="E50">
        <v>8.0821081459920001E-4</v>
      </c>
    </row>
    <row r="51" spans="1:7" x14ac:dyDescent="0.25">
      <c r="A51" s="1" t="s">
        <v>54</v>
      </c>
      <c r="B51">
        <v>-4.8261791538368207E-5</v>
      </c>
      <c r="C51">
        <v>-2.8139120631399999E-4</v>
      </c>
      <c r="D51">
        <v>8.9541195299820003E-4</v>
      </c>
      <c r="E51">
        <v>2.2999844813787001E-3</v>
      </c>
    </row>
    <row r="52" spans="1:7" x14ac:dyDescent="0.25">
      <c r="A52" s="1" t="s">
        <v>55</v>
      </c>
      <c r="B52">
        <v>9.1624267353729999E-4</v>
      </c>
      <c r="C52">
        <v>1.6979994907778001E-3</v>
      </c>
      <c r="D52">
        <v>5.9048127719565999E-3</v>
      </c>
      <c r="E52">
        <v>1.49993526155681E-2</v>
      </c>
    </row>
    <row r="53" spans="1:7" x14ac:dyDescent="0.25">
      <c r="A53" s="1" t="s">
        <v>56</v>
      </c>
      <c r="B53">
        <v>5.7379408742620004E-4</v>
      </c>
      <c r="C53">
        <v>1.1107743442944E-3</v>
      </c>
      <c r="D53">
        <v>1.2891047222339999E-4</v>
      </c>
      <c r="E53">
        <v>-3.5590381470456001E-3</v>
      </c>
    </row>
    <row r="54" spans="1:7" x14ac:dyDescent="0.25">
      <c r="A54" s="1" t="s">
        <v>57</v>
      </c>
      <c r="B54">
        <v>1.33246382668003E-5</v>
      </c>
      <c r="C54">
        <v>-8.9974670650140001E-4</v>
      </c>
      <c r="D54">
        <v>-1.5027191992642E-3</v>
      </c>
      <c r="E54">
        <v>-1.8695046500843001E-3</v>
      </c>
    </row>
    <row r="55" spans="1:7" x14ac:dyDescent="0.25">
      <c r="A55" s="1" t="s">
        <v>58</v>
      </c>
      <c r="B55">
        <v>9.5440486685240003E-4</v>
      </c>
      <c r="C55">
        <v>1.7609111658137E-3</v>
      </c>
      <c r="D55">
        <v>4.3690806979677001E-3</v>
      </c>
      <c r="E55">
        <v>5.9613815986302001E-3</v>
      </c>
    </row>
    <row r="56" spans="1:7" x14ac:dyDescent="0.25">
      <c r="A56" s="1" t="s">
        <v>59</v>
      </c>
      <c r="B56">
        <v>1.2558082775601001E-3</v>
      </c>
      <c r="C56">
        <v>3.3074566279258999E-3</v>
      </c>
      <c r="D56">
        <v>7.7375105423967E-3</v>
      </c>
      <c r="E56">
        <v>1.5082231961608E-2</v>
      </c>
    </row>
    <row r="57" spans="1:7" x14ac:dyDescent="0.25">
      <c r="A57" s="1" t="s">
        <v>60</v>
      </c>
      <c r="B57">
        <v>8.9798512749519996E-4</v>
      </c>
      <c r="C57">
        <v>7.2337659852189998E-4</v>
      </c>
      <c r="D57">
        <v>4.6358758345506996E-3</v>
      </c>
      <c r="E57">
        <v>7.1511496926508003E-3</v>
      </c>
      <c r="F57" s="5">
        <v>7.1413795982155784E-4</v>
      </c>
      <c r="G57" s="5">
        <v>1.3555865210230864E-3</v>
      </c>
    </row>
    <row r="58" spans="1:7" x14ac:dyDescent="0.25">
      <c r="A58" s="1" t="s">
        <v>61</v>
      </c>
      <c r="B58">
        <v>7.1413795982150005E-4</v>
      </c>
      <c r="C58">
        <v>1.3555865210229999E-3</v>
      </c>
      <c r="D58">
        <v>4.0893496980252998E-3</v>
      </c>
      <c r="E58">
        <v>6.9516979036095003E-3</v>
      </c>
      <c r="F58" s="5">
        <v>5.4162175427528833E-4</v>
      </c>
      <c r="G58" s="5">
        <v>5.5231728681256185E-4</v>
      </c>
    </row>
    <row r="59" spans="1:7" x14ac:dyDescent="0.25">
      <c r="A59" s="1" t="s">
        <v>62</v>
      </c>
      <c r="B59">
        <v>4.0870200018789998E-4</v>
      </c>
      <c r="C59">
        <v>1.1456737718894001E-3</v>
      </c>
      <c r="D59">
        <v>4.6277998549563003E-3</v>
      </c>
      <c r="E59">
        <v>7.8413943888644005E-3</v>
      </c>
      <c r="F59" s="5">
        <v>4.0870200018799311E-4</v>
      </c>
      <c r="G59" s="5">
        <v>1.1456737718894407E-3</v>
      </c>
    </row>
    <row r="60" spans="1:7" x14ac:dyDescent="0.25">
      <c r="A60" s="1" t="s">
        <v>63</v>
      </c>
      <c r="B60">
        <v>4.2730154977790001E-4</v>
      </c>
      <c r="C60">
        <v>7.3510647531079996E-4</v>
      </c>
      <c r="D60">
        <v>4.2992071585895002E-3</v>
      </c>
      <c r="E60">
        <v>9.6279317766336005E-3</v>
      </c>
      <c r="F60" s="5">
        <v>4.273015497779688E-4</v>
      </c>
      <c r="G60" s="5">
        <v>7.3510647531088366E-4</v>
      </c>
    </row>
    <row r="61" spans="1:7" x14ac:dyDescent="0.25">
      <c r="A61" s="1" t="s">
        <v>64</v>
      </c>
      <c r="B61">
        <v>3.0551353939630002E-4</v>
      </c>
      <c r="C61">
        <v>1.9718172335079999E-4</v>
      </c>
      <c r="D61">
        <v>-2.11585923201E-4</v>
      </c>
      <c r="E61">
        <v>1.9834516314995998E-3</v>
      </c>
      <c r="F61" s="5">
        <v>3.0551353939633423E-4</v>
      </c>
      <c r="G61" s="5">
        <v>1.971817233508716E-4</v>
      </c>
    </row>
    <row r="62" spans="1:7" x14ac:dyDescent="0.25">
      <c r="A62" s="1" t="s">
        <v>65</v>
      </c>
      <c r="B62">
        <v>5.293504999745E-4</v>
      </c>
      <c r="C62">
        <v>3.6390715783819999E-4</v>
      </c>
      <c r="D62">
        <v>2.5025089989471E-3</v>
      </c>
      <c r="E62">
        <v>4.9599969855340003E-3</v>
      </c>
      <c r="F62" s="5">
        <v>5.2935049997451572E-4</v>
      </c>
      <c r="G62" s="5">
        <v>3.6390715783821571E-4</v>
      </c>
    </row>
    <row r="63" spans="1:7" x14ac:dyDescent="0.25">
      <c r="A63" s="1" t="s">
        <v>66</v>
      </c>
      <c r="B63">
        <v>7.0253243506139995E-4</v>
      </c>
      <c r="C63">
        <v>1.2278960297173E-3</v>
      </c>
      <c r="D63">
        <v>3.1493370905709001E-3</v>
      </c>
      <c r="E63">
        <v>5.5532030589800002E-3</v>
      </c>
      <c r="F63" s="5">
        <v>5.2818851757472209E-4</v>
      </c>
      <c r="G63" s="5">
        <v>7.8793129758353633E-4</v>
      </c>
    </row>
    <row r="64" spans="1:7" x14ac:dyDescent="0.25">
      <c r="A64" s="1" t="s">
        <v>67</v>
      </c>
      <c r="B64">
        <v>9.2862646463636643E-5</v>
      </c>
      <c r="C64">
        <v>-6.1177577694339997E-4</v>
      </c>
      <c r="D64">
        <v>-4.0613440048018002E-3</v>
      </c>
      <c r="E64">
        <v>-9.2357552068573004E-3</v>
      </c>
      <c r="F64" s="5">
        <v>7.025324350614894E-4</v>
      </c>
      <c r="G64" s="5">
        <v>1.2278960297173775E-3</v>
      </c>
    </row>
    <row r="65" spans="1:7" x14ac:dyDescent="0.25">
      <c r="A65" s="1" t="s">
        <v>68</v>
      </c>
      <c r="B65">
        <v>4.4344544292369999E-4</v>
      </c>
      <c r="C65">
        <v>1.826312405612E-4</v>
      </c>
      <c r="D65">
        <v>-1.5043243434577E-3</v>
      </c>
      <c r="E65">
        <v>-5.9431674933940999E-3</v>
      </c>
      <c r="F65" s="5">
        <v>9.286264646363663E-5</v>
      </c>
      <c r="G65" s="5">
        <v>-6.117757769434866E-4</v>
      </c>
    </row>
    <row r="66" spans="1:7" x14ac:dyDescent="0.25">
      <c r="A66" s="1" t="s">
        <v>69</v>
      </c>
      <c r="B66">
        <v>2.8012005957220001E-4</v>
      </c>
      <c r="C66">
        <v>-2.5357666167709998E-4</v>
      </c>
      <c r="D66">
        <v>-3.0660826700427001E-3</v>
      </c>
      <c r="E66">
        <v>-9.889524156401E-3</v>
      </c>
      <c r="F66" s="5">
        <v>5.8506764386680665E-4</v>
      </c>
      <c r="G66" s="5">
        <v>-1.1422357678414586E-4</v>
      </c>
    </row>
    <row r="67" spans="1:7" x14ac:dyDescent="0.25">
      <c r="A67" s="1" t="s">
        <v>70</v>
      </c>
      <c r="B67">
        <v>2.8982955310479999E-4</v>
      </c>
      <c r="C67">
        <v>5.6646102713330004E-4</v>
      </c>
      <c r="D67">
        <v>-4.7229183268910003E-4</v>
      </c>
      <c r="E67">
        <v>-3.9473111063263004E-3</v>
      </c>
      <c r="F67" s="5">
        <v>4.4344544292375908E-4</v>
      </c>
      <c r="G67" s="5">
        <v>1.8263124056120292E-4</v>
      </c>
    </row>
    <row r="68" spans="1:7" x14ac:dyDescent="0.25">
      <c r="A68" s="1" t="s">
        <v>71</v>
      </c>
      <c r="B68">
        <v>5.9373517053868493E-5</v>
      </c>
      <c r="C68">
        <v>-8.2557040487290004E-4</v>
      </c>
      <c r="D68">
        <v>-1.1681294521451E-3</v>
      </c>
      <c r="E68">
        <v>-2.0636222348388998E-3</v>
      </c>
      <c r="F68" s="5">
        <v>2.8012005957224207E-4</v>
      </c>
      <c r="G68" s="5">
        <v>-2.5357666167716151E-4</v>
      </c>
    </row>
    <row r="69" spans="1:7" x14ac:dyDescent="0.25">
      <c r="A69" s="1" t="s">
        <v>72</v>
      </c>
      <c r="B69">
        <v>1.3313779358010001E-4</v>
      </c>
      <c r="C69">
        <v>-8.0861716401335712E-5</v>
      </c>
      <c r="D69">
        <v>1.1998031839163001E-3</v>
      </c>
      <c r="E69">
        <v>2.8689811569504002E-3</v>
      </c>
      <c r="F69" s="5">
        <v>2.8982955310484325E-4</v>
      </c>
      <c r="G69" s="5">
        <v>5.6646102713338103E-4</v>
      </c>
    </row>
    <row r="70" spans="1:7" x14ac:dyDescent="0.25">
      <c r="A70" s="1" t="s">
        <v>73</v>
      </c>
      <c r="B70">
        <v>5.3413197956289995E-4</v>
      </c>
      <c r="C70">
        <v>1.1990188484589999E-3</v>
      </c>
      <c r="D70">
        <v>2.0587987178149999E-3</v>
      </c>
      <c r="E70">
        <v>4.2487408077600004E-3</v>
      </c>
      <c r="F70" s="5">
        <v>2.0079656703158173E-4</v>
      </c>
      <c r="G70" s="5">
        <v>-3.5880955669422314E-4</v>
      </c>
    </row>
    <row r="71" spans="1:7" x14ac:dyDescent="0.25">
      <c r="A71" s="1" t="s">
        <v>74</v>
      </c>
      <c r="B71">
        <v>8.4194225862879995E-4</v>
      </c>
      <c r="C71">
        <v>2.1491008225005001E-3</v>
      </c>
      <c r="D71">
        <v>4.5290807315502002E-3</v>
      </c>
      <c r="E71">
        <v>7.8968893578248E-3</v>
      </c>
      <c r="F71" s="5">
        <v>5.9373517053868493E-5</v>
      </c>
      <c r="G71" s="5">
        <v>-8.255704048729871E-4</v>
      </c>
    </row>
    <row r="72" spans="1:7" x14ac:dyDescent="0.25">
      <c r="A72" s="1" t="s">
        <v>75</v>
      </c>
      <c r="B72">
        <v>-2.4142544723900001E-4</v>
      </c>
      <c r="C72">
        <v>-2.5712640172093999E-3</v>
      </c>
      <c r="D72">
        <v>-1.02302315000159E-2</v>
      </c>
      <c r="E72">
        <v>-1.8711250913375499E-2</v>
      </c>
      <c r="F72" s="5">
        <v>1.3313779358014517E-4</v>
      </c>
      <c r="G72" s="5">
        <v>-8.0861716401335712E-5</v>
      </c>
    </row>
    <row r="73" spans="1:7" x14ac:dyDescent="0.25">
      <c r="A73" s="1" t="s">
        <v>76</v>
      </c>
      <c r="B73">
        <v>4.6140106648939999E-4</v>
      </c>
      <c r="C73">
        <v>4.7796230173E-4</v>
      </c>
      <c r="D73">
        <v>-1.7455224834827001E-3</v>
      </c>
      <c r="E73">
        <v>-4.7093137717772E-3</v>
      </c>
      <c r="F73" s="5">
        <v>5.3413197956290179E-4</v>
      </c>
      <c r="G73" s="5">
        <v>1.199018848459029E-3</v>
      </c>
    </row>
    <row r="74" spans="1:7" x14ac:dyDescent="0.25">
      <c r="A74" s="1" t="s">
        <v>77</v>
      </c>
      <c r="B74">
        <v>6.2576069909230005E-4</v>
      </c>
      <c r="C74">
        <v>9.2308522501309998E-4</v>
      </c>
      <c r="D74">
        <v>1.360360131347E-3</v>
      </c>
      <c r="E74">
        <v>1.4888091300503E-3</v>
      </c>
      <c r="F74" s="5">
        <v>8.4194225862886142E-4</v>
      </c>
      <c r="G74" s="5">
        <v>2.1491008225005544E-3</v>
      </c>
    </row>
    <row r="75" spans="1:7" x14ac:dyDescent="0.25">
      <c r="A75" s="1" t="s">
        <v>78</v>
      </c>
      <c r="B75">
        <v>1.5676266493550001E-4</v>
      </c>
      <c r="C75">
        <v>2.094661177021E-4</v>
      </c>
      <c r="D75">
        <v>2.8030748633351998E-3</v>
      </c>
      <c r="E75">
        <v>5.3217360421655997E-3</v>
      </c>
      <c r="F75" s="5">
        <v>5.1287920009655797E-4</v>
      </c>
      <c r="G75" s="5">
        <v>7.6068281931176149E-4</v>
      </c>
    </row>
    <row r="76" spans="1:7" x14ac:dyDescent="0.25">
      <c r="A76" s="1" t="s">
        <v>79</v>
      </c>
      <c r="B76">
        <v>4.3281491135989999E-4</v>
      </c>
      <c r="C76">
        <v>1.0800264075342999E-3</v>
      </c>
      <c r="D76">
        <v>2.5336242472857999E-3</v>
      </c>
      <c r="E76">
        <v>5.6127323365927004E-3</v>
      </c>
      <c r="F76" s="5">
        <v>-2.4142544723904867E-4</v>
      </c>
      <c r="G76" s="5">
        <v>-2.5712640172094094E-3</v>
      </c>
    </row>
    <row r="77" spans="1:7" x14ac:dyDescent="0.25">
      <c r="A77" s="1" t="s">
        <v>80</v>
      </c>
      <c r="B77">
        <v>5.3495526649270002E-4</v>
      </c>
      <c r="C77">
        <v>5.8223117947780003E-4</v>
      </c>
      <c r="D77">
        <v>1.3572946200989E-3</v>
      </c>
      <c r="E77">
        <v>3.5484027280488998E-3</v>
      </c>
      <c r="F77" s="5">
        <v>4.6140106648941809E-4</v>
      </c>
      <c r="G77" s="5">
        <v>4.7796230173004532E-4</v>
      </c>
    </row>
    <row r="78" spans="1:7" x14ac:dyDescent="0.25">
      <c r="A78" s="1" t="s">
        <v>81</v>
      </c>
      <c r="B78">
        <v>7.2934169235989998E-4</v>
      </c>
      <c r="C78">
        <v>1.9051610282061E-3</v>
      </c>
      <c r="D78">
        <v>4.1839583183581001E-3</v>
      </c>
      <c r="E78">
        <v>4.6277803382108003E-3</v>
      </c>
      <c r="F78" s="5">
        <v>6.257606990923715E-4</v>
      </c>
      <c r="G78" s="5">
        <v>9.2308522501317511E-4</v>
      </c>
    </row>
    <row r="79" spans="1:7" x14ac:dyDescent="0.25">
      <c r="A79" s="1" t="s">
        <v>82</v>
      </c>
      <c r="B79">
        <v>9.3859849453780005E-4</v>
      </c>
      <c r="C79">
        <v>1.3888756679481999E-3</v>
      </c>
      <c r="D79">
        <v>2.6337161153850001E-3</v>
      </c>
      <c r="E79">
        <v>6.3943494960521999E-3</v>
      </c>
      <c r="F79" s="5">
        <v>1.5676266493551755E-4</v>
      </c>
      <c r="G79" s="5">
        <v>2.0946611770210509E-4</v>
      </c>
    </row>
    <row r="80" spans="1:7" x14ac:dyDescent="0.25">
      <c r="A80" s="1" t="s">
        <v>83</v>
      </c>
      <c r="B80">
        <v>2.343834143289E-4</v>
      </c>
      <c r="C80">
        <v>-3.359883052237E-4</v>
      </c>
      <c r="D80">
        <v>-1.5219929256486001E-3</v>
      </c>
      <c r="E80">
        <v>2.0745318675819999E-4</v>
      </c>
      <c r="F80" s="5">
        <v>6.7533315704665473E-4</v>
      </c>
      <c r="G80" s="5">
        <v>-4.8210171359943423E-4</v>
      </c>
    </row>
    <row r="81" spans="1:7" x14ac:dyDescent="0.25">
      <c r="A81" s="1" t="s">
        <v>84</v>
      </c>
      <c r="B81">
        <v>6.5425712956829998E-4</v>
      </c>
      <c r="C81">
        <v>1.5056896084159001E-3</v>
      </c>
      <c r="D81">
        <v>6.3562461572454999E-3</v>
      </c>
      <c r="E81">
        <v>8.0557902464971996E-3</v>
      </c>
      <c r="F81" s="5">
        <v>4.3281491135994834E-4</v>
      </c>
      <c r="G81" s="5">
        <v>1.0800264075343474E-3</v>
      </c>
    </row>
    <row r="82" spans="1:7" x14ac:dyDescent="0.25">
      <c r="A82" s="1" t="s">
        <v>85</v>
      </c>
      <c r="B82">
        <v>5.5185008098969997E-4</v>
      </c>
      <c r="C82">
        <v>7.6719775493110001E-4</v>
      </c>
      <c r="D82">
        <v>2.6269511162160001E-3</v>
      </c>
      <c r="E82">
        <v>5.8962230717472999E-3</v>
      </c>
      <c r="F82" s="5">
        <v>5.3495526649276442E-4</v>
      </c>
      <c r="G82" s="5">
        <v>5.8223117947785055E-4</v>
      </c>
    </row>
    <row r="83" spans="1:7" x14ac:dyDescent="0.25">
      <c r="A83" s="1" t="s">
        <v>86</v>
      </c>
      <c r="B83">
        <v>1.079829799197671E-5</v>
      </c>
      <c r="C83">
        <v>-1.1881421744645E-3</v>
      </c>
      <c r="D83">
        <v>-6.0426211394086996E-3</v>
      </c>
      <c r="E83">
        <v>-1.1662621703045601E-2</v>
      </c>
      <c r="F83" s="5">
        <v>7.2934169235991571E-4</v>
      </c>
      <c r="G83" s="5">
        <v>1.9051610282061746E-3</v>
      </c>
    </row>
    <row r="84" spans="1:7" x14ac:dyDescent="0.25">
      <c r="A84" s="1" t="s">
        <v>87</v>
      </c>
      <c r="B84">
        <v>6.90266738159E-4</v>
      </c>
      <c r="C84">
        <v>1.5144236990343E-3</v>
      </c>
      <c r="D84">
        <v>4.2164891288087002E-3</v>
      </c>
      <c r="E84">
        <v>8.6316675131307002E-3</v>
      </c>
      <c r="F84" s="5">
        <v>9.3859849453789123E-4</v>
      </c>
      <c r="G84" s="5">
        <v>1.3888756679482708E-3</v>
      </c>
    </row>
    <row r="85" spans="1:7" x14ac:dyDescent="0.25">
      <c r="A85" s="1" t="s">
        <v>88</v>
      </c>
      <c r="B85">
        <v>2.8608176468550002E-4</v>
      </c>
      <c r="C85">
        <v>1.4077950025789999E-4</v>
      </c>
      <c r="D85">
        <v>-1.375715128371E-4</v>
      </c>
      <c r="E85">
        <v>-1.1655964381255999E-3</v>
      </c>
      <c r="F85" s="5">
        <v>1.9925817906588913E-4</v>
      </c>
      <c r="G85" s="5">
        <v>-3.5677435989018652E-4</v>
      </c>
    </row>
    <row r="86" spans="1:7" x14ac:dyDescent="0.25">
      <c r="A86" s="1" t="s">
        <v>89</v>
      </c>
      <c r="B86">
        <v>9.80333208729947E-6</v>
      </c>
      <c r="C86">
        <v>-1.1374117151692E-3</v>
      </c>
      <c r="D86">
        <v>-3.8460745853843002E-3</v>
      </c>
      <c r="E86">
        <v>-8.4053774260443997E-3</v>
      </c>
      <c r="F86" s="5">
        <v>2.3438341432898595E-4</v>
      </c>
      <c r="G86" s="5">
        <v>-3.3598830522379823E-4</v>
      </c>
    </row>
    <row r="87" spans="1:7" x14ac:dyDescent="0.25">
      <c r="A87" s="1" t="s">
        <v>90</v>
      </c>
      <c r="B87">
        <v>3.8639258249769997E-4</v>
      </c>
      <c r="C87">
        <v>5.5938611428929996E-4</v>
      </c>
      <c r="D87">
        <v>-3.4497862255060001E-4</v>
      </c>
      <c r="E87">
        <v>-1.0612172694158999E-3</v>
      </c>
      <c r="F87" s="5">
        <v>6.5425712956839572E-4</v>
      </c>
      <c r="G87" s="5">
        <v>1.5056896084159092E-3</v>
      </c>
    </row>
    <row r="88" spans="1:7" x14ac:dyDescent="0.25">
      <c r="A88" s="1" t="s">
        <v>91</v>
      </c>
      <c r="B88">
        <v>5.72130305247E-4</v>
      </c>
      <c r="C88">
        <v>7.8362027730629995E-4</v>
      </c>
      <c r="D88">
        <v>5.5769668759069998E-4</v>
      </c>
      <c r="E88">
        <v>1.4825185169421999E-3</v>
      </c>
      <c r="F88" s="5">
        <v>5.518500809897325E-4</v>
      </c>
      <c r="G88" s="5">
        <v>7.671977549311064E-4</v>
      </c>
    </row>
    <row r="89" spans="1:7" x14ac:dyDescent="0.25">
      <c r="A89" s="1" t="s">
        <v>92</v>
      </c>
      <c r="B89">
        <v>4.9938395722535281E-5</v>
      </c>
      <c r="C89">
        <v>-9.4774765508230001E-4</v>
      </c>
      <c r="D89">
        <v>-7.6191522374370005E-4</v>
      </c>
      <c r="E89">
        <v>2.1313126134719999E-4</v>
      </c>
      <c r="F89" s="5">
        <v>1.0798297991976707E-5</v>
      </c>
      <c r="G89" s="5">
        <v>-1.1881421744645033E-3</v>
      </c>
    </row>
    <row r="90" spans="1:7" x14ac:dyDescent="0.25">
      <c r="A90" s="1" t="s">
        <v>93</v>
      </c>
      <c r="B90">
        <v>6.5665340555860004E-4</v>
      </c>
      <c r="C90">
        <v>1.4133263567148E-3</v>
      </c>
      <c r="D90">
        <v>2.9300244312893998E-3</v>
      </c>
      <c r="E90">
        <v>4.4075436955426E-3</v>
      </c>
      <c r="F90" s="5">
        <v>3.6936246245854149E-4</v>
      </c>
      <c r="G90" s="5">
        <v>-1.5448222935913789E-4</v>
      </c>
    </row>
    <row r="91" spans="1:7" x14ac:dyDescent="0.25">
      <c r="A91" s="1" t="s">
        <v>94</v>
      </c>
      <c r="B91">
        <v>3.8557338928359999E-4</v>
      </c>
      <c r="C91">
        <v>7.9656688546839995E-4</v>
      </c>
      <c r="D91">
        <v>5.5534485896040003E-4</v>
      </c>
      <c r="E91">
        <v>6.9867098220339997E-4</v>
      </c>
      <c r="F91" s="5">
        <v>6.9026673815908001E-4</v>
      </c>
      <c r="G91" s="5">
        <v>1.514423699034302E-3</v>
      </c>
    </row>
    <row r="92" spans="1:7" x14ac:dyDescent="0.25">
      <c r="A92" s="1" t="s">
        <v>95</v>
      </c>
      <c r="B92">
        <v>1.88875617713E-4</v>
      </c>
      <c r="C92">
        <v>-7.0007337613069999E-4</v>
      </c>
      <c r="D92">
        <v>-2.9199505436148E-3</v>
      </c>
      <c r="E92">
        <v>-7.7817722726295996E-3</v>
      </c>
      <c r="F92" s="5">
        <v>2.8608176468557749E-4</v>
      </c>
      <c r="G92" s="5">
        <v>1.407795002579496E-4</v>
      </c>
    </row>
    <row r="93" spans="1:7" x14ac:dyDescent="0.25">
      <c r="A93" s="1" t="s">
        <v>96</v>
      </c>
      <c r="B93">
        <v>3.5506343630109998E-4</v>
      </c>
      <c r="C93">
        <v>2.367865832633E-4</v>
      </c>
      <c r="D93">
        <v>-5.9993653759320001E-4</v>
      </c>
      <c r="E93">
        <v>-9.5459469112249996E-4</v>
      </c>
      <c r="F93" s="5">
        <v>9.80333208729947E-6</v>
      </c>
      <c r="G93" s="5">
        <v>-1.1374117151692772E-3</v>
      </c>
    </row>
    <row r="94" spans="1:7" x14ac:dyDescent="0.25">
      <c r="A94" s="1" t="s">
        <v>97</v>
      </c>
      <c r="B94">
        <v>8.2141489882189996E-4</v>
      </c>
      <c r="C94">
        <v>2.1969313599366999E-3</v>
      </c>
      <c r="D94">
        <v>3.7630393273515002E-3</v>
      </c>
      <c r="E94">
        <v>5.1785522896745997E-3</v>
      </c>
      <c r="F94" s="5">
        <v>3.8639258249778709E-4</v>
      </c>
      <c r="G94" s="5">
        <v>5.5938611428931221E-4</v>
      </c>
    </row>
    <row r="95" spans="1:7" x14ac:dyDescent="0.25">
      <c r="A95" s="1" t="s">
        <v>98</v>
      </c>
      <c r="B95">
        <v>1.8434860851120001E-4</v>
      </c>
      <c r="C95">
        <v>-2.686872822709E-4</v>
      </c>
      <c r="D95">
        <v>-5.96480244869E-4</v>
      </c>
      <c r="E95">
        <v>-2.1183838788345999E-3</v>
      </c>
      <c r="F95" s="5">
        <v>1.8432243565978012E-4</v>
      </c>
      <c r="G95" s="5">
        <v>-7.6608859818804939E-4</v>
      </c>
    </row>
    <row r="96" spans="1:7" x14ac:dyDescent="0.25">
      <c r="A96" s="1" t="s">
        <v>99</v>
      </c>
      <c r="B96">
        <v>6.7020030093789995E-4</v>
      </c>
      <c r="C96">
        <v>1.2966207002303E-3</v>
      </c>
      <c r="D96">
        <v>4.2829047053019997E-3</v>
      </c>
      <c r="E96">
        <v>8.5797681387209997E-3</v>
      </c>
      <c r="F96" s="5">
        <v>5.7213030524709281E-4</v>
      </c>
      <c r="G96" s="5">
        <v>7.8362027730639113E-4</v>
      </c>
    </row>
    <row r="97" spans="1:7" x14ac:dyDescent="0.25">
      <c r="A97" s="1" t="s">
        <v>100</v>
      </c>
      <c r="B97">
        <v>5.2225615624770002E-4</v>
      </c>
      <c r="C97">
        <v>1.1589607648989999E-3</v>
      </c>
      <c r="D97">
        <v>2.5488886678709001E-3</v>
      </c>
      <c r="E97">
        <v>5.0765726283549997E-3</v>
      </c>
      <c r="F97" s="5">
        <v>4.9938395722535281E-5</v>
      </c>
      <c r="G97" s="5">
        <v>-9.4774765508239738E-4</v>
      </c>
    </row>
    <row r="98" spans="1:7" x14ac:dyDescent="0.25">
      <c r="A98" s="1" t="s">
        <v>101</v>
      </c>
      <c r="B98">
        <v>7.3961871186380005E-4</v>
      </c>
      <c r="C98">
        <v>1.5218875572172001E-3</v>
      </c>
      <c r="D98">
        <v>3.4885279668721001E-3</v>
      </c>
      <c r="E98">
        <v>6.0464348555385001E-3</v>
      </c>
      <c r="F98" s="5">
        <v>5.5513827348504336E-4</v>
      </c>
      <c r="G98" s="5">
        <v>6.1280365308454801E-4</v>
      </c>
    </row>
    <row r="99" spans="1:7" x14ac:dyDescent="0.25">
      <c r="A99" s="1" t="s">
        <v>102</v>
      </c>
      <c r="B99">
        <v>4.0425954705260002E-4</v>
      </c>
      <c r="C99">
        <v>4.9386976758911652E-5</v>
      </c>
      <c r="D99">
        <v>-7.6995606576255889E-5</v>
      </c>
      <c r="E99">
        <v>3.0640034688070002E-4</v>
      </c>
      <c r="F99" s="5">
        <v>6.5665340555864829E-4</v>
      </c>
      <c r="G99" s="5">
        <v>1.4133263567148284E-3</v>
      </c>
    </row>
    <row r="100" spans="1:7" x14ac:dyDescent="0.25">
      <c r="A100" s="1" t="s">
        <v>103</v>
      </c>
      <c r="B100">
        <v>3.437840101647E-4</v>
      </c>
      <c r="C100">
        <v>1.172398889338E-4</v>
      </c>
      <c r="D100">
        <v>-1.3844426120419001E-3</v>
      </c>
      <c r="E100">
        <v>-3.4841451710870999E-3</v>
      </c>
      <c r="F100" s="5">
        <v>3.8557338928362026E-4</v>
      </c>
      <c r="G100" s="5">
        <v>7.96566885468425E-4</v>
      </c>
    </row>
    <row r="101" spans="1:7" x14ac:dyDescent="0.25">
      <c r="A101" s="1" t="s">
        <v>104</v>
      </c>
      <c r="B101">
        <v>2.7677915486050002E-4</v>
      </c>
      <c r="C101">
        <v>-5.4545988920540005E-4</v>
      </c>
      <c r="D101">
        <v>-5.3008088170408999E-3</v>
      </c>
      <c r="E101">
        <v>-1.0081322476862199E-2</v>
      </c>
      <c r="F101" s="5">
        <v>1.8887561771308709E-4</v>
      </c>
      <c r="G101" s="5">
        <v>-7.0007337613072721E-4</v>
      </c>
    </row>
    <row r="102" spans="1:7" x14ac:dyDescent="0.25">
      <c r="A102" s="1" t="s">
        <v>105</v>
      </c>
      <c r="B102">
        <v>5.8843092547279999E-4</v>
      </c>
      <c r="C102">
        <v>9.1328587622209999E-4</v>
      </c>
      <c r="D102">
        <v>3.4640908938149997E-4</v>
      </c>
      <c r="E102">
        <v>8.9266272488880004E-4</v>
      </c>
      <c r="F102" s="5">
        <v>3.5506343630117946E-4</v>
      </c>
      <c r="G102" s="5">
        <v>2.3678658326333176E-4</v>
      </c>
    </row>
    <row r="103" spans="1:7" x14ac:dyDescent="0.25">
      <c r="A103" s="1" t="s">
        <v>106</v>
      </c>
      <c r="B103">
        <v>3.3573631708280001E-4</v>
      </c>
      <c r="C103">
        <v>4.1597173646929999E-4</v>
      </c>
      <c r="D103">
        <v>1.0764946501552999E-3</v>
      </c>
      <c r="E103">
        <v>6.9795855236699995E-4</v>
      </c>
      <c r="F103" s="5">
        <v>2.1503981603119901E-4</v>
      </c>
      <c r="G103" s="5">
        <v>-7.7679345490204378E-4</v>
      </c>
    </row>
    <row r="104" spans="1:7" x14ac:dyDescent="0.25">
      <c r="A104" s="1" t="s">
        <v>107</v>
      </c>
      <c r="B104">
        <v>-1.5861570570988791E-5</v>
      </c>
      <c r="C104">
        <v>-1.5259580173072999E-3</v>
      </c>
      <c r="D104">
        <v>-6.1650404076831001E-3</v>
      </c>
      <c r="E104">
        <v>-1.1220433414672101E-2</v>
      </c>
      <c r="F104" s="5">
        <v>8.2141489882194192E-4</v>
      </c>
      <c r="G104" s="5">
        <v>2.1969313599367068E-3</v>
      </c>
    </row>
    <row r="105" spans="1:7" x14ac:dyDescent="0.25">
      <c r="A105" s="1" t="s">
        <v>108</v>
      </c>
      <c r="B105">
        <v>-7.0031302078174778E-5</v>
      </c>
      <c r="C105">
        <v>-1.2861334423201001E-3</v>
      </c>
      <c r="D105">
        <v>-4.7452596963920004E-3</v>
      </c>
      <c r="E105">
        <v>-9.4581088750980008E-3</v>
      </c>
      <c r="F105" s="5">
        <v>1.8434860851122012E-4</v>
      </c>
      <c r="G105" s="5">
        <v>-2.6868728227097974E-4</v>
      </c>
    </row>
    <row r="106" spans="1:7" x14ac:dyDescent="0.25">
      <c r="A106" s="1" t="s">
        <v>109</v>
      </c>
      <c r="B106">
        <v>6.3041337196529995E-4</v>
      </c>
      <c r="C106">
        <v>1.5182922984550999E-3</v>
      </c>
      <c r="D106">
        <v>3.6774791950039999E-3</v>
      </c>
      <c r="E106">
        <v>6.5048307876810997E-3</v>
      </c>
      <c r="F106" s="5">
        <v>6.7020030093796316E-4</v>
      </c>
      <c r="G106" s="5">
        <v>1.2966207002303499E-3</v>
      </c>
    </row>
    <row r="107" spans="1:7" x14ac:dyDescent="0.25">
      <c r="A107" s="1" t="s">
        <v>110</v>
      </c>
      <c r="B107">
        <v>6.7096160041470003E-4</v>
      </c>
      <c r="C107">
        <v>1.2205669324880999E-3</v>
      </c>
      <c r="D107">
        <v>4.1418578374703002E-3</v>
      </c>
      <c r="E107">
        <v>6.2135515632089E-3</v>
      </c>
      <c r="F107" s="5">
        <v>5.2225615624777765E-4</v>
      </c>
      <c r="G107" s="5">
        <v>1.1589607648990481E-3</v>
      </c>
    </row>
    <row r="108" spans="1:7" x14ac:dyDescent="0.25">
      <c r="A108" s="1" t="s">
        <v>111</v>
      </c>
      <c r="B108">
        <v>2.0351685599739999E-4</v>
      </c>
      <c r="C108">
        <v>-3.602062698755E-4</v>
      </c>
      <c r="D108">
        <v>-1.7752136882532E-3</v>
      </c>
      <c r="E108">
        <v>-3.4527776386145E-3</v>
      </c>
      <c r="F108" s="5">
        <v>4.6753501842144741E-4</v>
      </c>
      <c r="G108" s="5">
        <v>4.0231220313224648E-4</v>
      </c>
    </row>
    <row r="109" spans="1:7" x14ac:dyDescent="0.25">
      <c r="A109" s="1" t="s">
        <v>112</v>
      </c>
      <c r="B109">
        <v>5.1103362534029998E-4</v>
      </c>
      <c r="C109">
        <v>3.4057919842060003E-4</v>
      </c>
      <c r="D109">
        <v>-1.9266211241443E-3</v>
      </c>
      <c r="E109">
        <v>-6.0548146947436996E-3</v>
      </c>
      <c r="F109" s="5">
        <v>7.3961871186388635E-4</v>
      </c>
      <c r="G109" s="5">
        <v>1.5218875572172556E-3</v>
      </c>
    </row>
    <row r="110" spans="1:7" x14ac:dyDescent="0.25">
      <c r="A110" s="1" t="s">
        <v>113</v>
      </c>
      <c r="B110">
        <v>8.554521061525906E-5</v>
      </c>
      <c r="C110">
        <v>-7.7495996009970002E-4</v>
      </c>
      <c r="D110">
        <v>-2.0795073251471999E-3</v>
      </c>
      <c r="E110">
        <v>-3.1568718839807002E-3</v>
      </c>
      <c r="F110" s="5">
        <v>4.0425954705268946E-4</v>
      </c>
      <c r="G110" s="5">
        <v>4.9386976758911645E-5</v>
      </c>
    </row>
    <row r="111" spans="1:7" x14ac:dyDescent="0.25">
      <c r="A111" s="1" t="s">
        <v>114</v>
      </c>
      <c r="B111">
        <v>4.9461986277819997E-4</v>
      </c>
      <c r="C111">
        <v>2.2904138480839999E-4</v>
      </c>
      <c r="D111">
        <v>-1.2482361500480001E-3</v>
      </c>
      <c r="E111">
        <v>-2.1892790500414E-3</v>
      </c>
      <c r="F111" s="5">
        <v>3.437840101647058E-4</v>
      </c>
      <c r="G111" s="5">
        <v>1.1723988893388361E-4</v>
      </c>
    </row>
    <row r="112" spans="1:7" x14ac:dyDescent="0.25">
      <c r="A112" s="1" t="s">
        <v>115</v>
      </c>
      <c r="B112">
        <v>3.5408703416240001E-4</v>
      </c>
      <c r="C112">
        <v>3.2609844066569998E-4</v>
      </c>
      <c r="D112">
        <v>-6.7753661087000005E-4</v>
      </c>
      <c r="E112">
        <v>-9.3367793914089997E-4</v>
      </c>
      <c r="F112" s="5">
        <v>2.7677915486052133E-4</v>
      </c>
      <c r="G112" s="5">
        <v>-5.4545988920541696E-4</v>
      </c>
    </row>
    <row r="113" spans="1:7" x14ac:dyDescent="0.25">
      <c r="A113" s="1" t="s">
        <v>116</v>
      </c>
      <c r="B113">
        <v>1.8935351842540001E-4</v>
      </c>
      <c r="C113">
        <v>-2.3184947802409999E-4</v>
      </c>
      <c r="D113">
        <v>-3.6580990609953001E-3</v>
      </c>
      <c r="E113">
        <v>-5.3499162144729001E-3</v>
      </c>
      <c r="F113" s="5">
        <v>5.4555257184843464E-4</v>
      </c>
      <c r="G113" s="5">
        <v>1.1976074861288256E-3</v>
      </c>
    </row>
    <row r="114" spans="1:7" x14ac:dyDescent="0.25">
      <c r="A114" s="1" t="s">
        <v>117</v>
      </c>
      <c r="B114">
        <v>3.0781100475570002E-4</v>
      </c>
      <c r="C114">
        <v>3.1337398155849999E-4</v>
      </c>
      <c r="D114">
        <v>-1.0267211595229001E-3</v>
      </c>
      <c r="E114">
        <v>-3.3252096777369E-3</v>
      </c>
      <c r="F114" s="5">
        <v>5.8843092547286352E-4</v>
      </c>
      <c r="G114" s="5">
        <v>9.1328587622214823E-4</v>
      </c>
    </row>
    <row r="115" spans="1:7" x14ac:dyDescent="0.25">
      <c r="A115" s="1" t="s">
        <v>118</v>
      </c>
      <c r="B115">
        <v>4.3142054607870001E-4</v>
      </c>
      <c r="C115">
        <v>8.3872559731209997E-4</v>
      </c>
      <c r="D115">
        <v>3.1197622115329999E-4</v>
      </c>
      <c r="E115">
        <v>2.3173156820000001E-4</v>
      </c>
      <c r="F115" s="5">
        <v>3.3573631708288084E-4</v>
      </c>
      <c r="G115" s="5">
        <v>4.1597173646935128E-4</v>
      </c>
    </row>
    <row r="116" spans="1:7" x14ac:dyDescent="0.25">
      <c r="A116" s="1" t="s">
        <v>119</v>
      </c>
      <c r="B116">
        <v>3.7365985769067061E-5</v>
      </c>
      <c r="C116">
        <v>-1.4649806910342999E-3</v>
      </c>
      <c r="D116">
        <v>-4.7194459360920997E-3</v>
      </c>
      <c r="E116">
        <v>-9.3641863987156994E-3</v>
      </c>
      <c r="F116" s="5">
        <v>-1.5861570570988791E-5</v>
      </c>
      <c r="G116" s="5">
        <v>-1.525958017307335E-3</v>
      </c>
    </row>
    <row r="117" spans="1:7" x14ac:dyDescent="0.25">
      <c r="A117" s="1" t="s">
        <v>120</v>
      </c>
      <c r="B117">
        <v>6.2575972493810004E-4</v>
      </c>
      <c r="C117">
        <v>1.5811288186723001E-3</v>
      </c>
      <c r="D117">
        <v>3.9041439079048998E-3</v>
      </c>
      <c r="E117">
        <v>6.2762778335760001E-3</v>
      </c>
      <c r="F117" s="5">
        <v>-7.0031302078174778E-5</v>
      </c>
      <c r="G117" s="5">
        <v>-1.2861334423201671E-3</v>
      </c>
    </row>
    <row r="118" spans="1:7" x14ac:dyDescent="0.25">
      <c r="A118" s="1" t="s">
        <v>121</v>
      </c>
      <c r="B118">
        <v>-2.3800645733019999E-4</v>
      </c>
      <c r="C118">
        <v>-2.2845771512643E-3</v>
      </c>
      <c r="D118">
        <v>-8.8034317222763E-3</v>
      </c>
      <c r="E118">
        <v>-1.3472614607467501E-2</v>
      </c>
      <c r="F118" s="5">
        <v>1.9551426464000177E-4</v>
      </c>
      <c r="G118" s="5">
        <v>-3.6177503440388778E-4</v>
      </c>
    </row>
    <row r="119" spans="1:7" x14ac:dyDescent="0.25">
      <c r="A119" s="1" t="s">
        <v>122</v>
      </c>
      <c r="B119">
        <v>1.405153935317E-4</v>
      </c>
      <c r="C119">
        <v>-4.9531161429999999E-4</v>
      </c>
      <c r="D119">
        <v>-2.0326137341473002E-3</v>
      </c>
      <c r="E119">
        <v>-5.9839029953639997E-3</v>
      </c>
      <c r="F119" s="5">
        <v>6.3041337196537096E-4</v>
      </c>
      <c r="G119" s="5">
        <v>1.5182922984551045E-3</v>
      </c>
    </row>
    <row r="120" spans="1:7" x14ac:dyDescent="0.25">
      <c r="A120" s="1" t="s">
        <v>123</v>
      </c>
      <c r="B120">
        <v>4.5326889191289998E-4</v>
      </c>
      <c r="C120">
        <v>-3.6918642321291053E-5</v>
      </c>
      <c r="D120">
        <v>-1.1599418137209E-3</v>
      </c>
      <c r="E120">
        <v>-2.6288999602819998E-3</v>
      </c>
      <c r="F120" s="5">
        <v>6.70961600414782E-4</v>
      </c>
      <c r="G120" s="5">
        <v>1.2205669324881771E-3</v>
      </c>
    </row>
    <row r="121" spans="1:7" x14ac:dyDescent="0.25">
      <c r="A121" s="1" t="s">
        <v>124</v>
      </c>
      <c r="B121">
        <v>-5.15895989223E-4</v>
      </c>
      <c r="C121">
        <v>-3.4624893250157999E-3</v>
      </c>
      <c r="D121">
        <v>-1.36515611480779E-2</v>
      </c>
      <c r="E121">
        <v>-2.1662738451341701E-2</v>
      </c>
      <c r="F121" s="5">
        <v>2.0351685599746634E-4</v>
      </c>
      <c r="G121" s="5">
        <v>-3.6020626987556153E-4</v>
      </c>
    </row>
    <row r="122" spans="1:7" x14ac:dyDescent="0.25">
      <c r="A122" s="1" t="s">
        <v>125</v>
      </c>
      <c r="B122">
        <v>-5.6961800004860005E-4</v>
      </c>
      <c r="C122">
        <v>-1.3634781970778E-3</v>
      </c>
      <c r="D122">
        <v>8.1082051292357994E-3</v>
      </c>
      <c r="E122">
        <v>1.93969455730417E-2</v>
      </c>
      <c r="F122" s="5">
        <v>5.1103362534038173E-4</v>
      </c>
      <c r="G122" s="5">
        <v>3.4057919842068606E-4</v>
      </c>
    </row>
    <row r="123" spans="1:7" x14ac:dyDescent="0.25">
      <c r="A123" s="1" t="s">
        <v>126</v>
      </c>
      <c r="B123">
        <v>4.1941114346709998E-4</v>
      </c>
      <c r="C123">
        <v>9.1546215432360004E-4</v>
      </c>
      <c r="D123">
        <v>5.0071843494916999E-3</v>
      </c>
      <c r="E123">
        <v>1.2165704823609401E-2</v>
      </c>
      <c r="F123" s="5">
        <v>5.8750050800705691E-4</v>
      </c>
      <c r="G123" s="5">
        <v>1.1013577473227309E-3</v>
      </c>
    </row>
    <row r="124" spans="1:7" x14ac:dyDescent="0.25">
      <c r="A124" s="1" t="s">
        <v>127</v>
      </c>
      <c r="B124">
        <v>8.6070131820450003E-4</v>
      </c>
      <c r="C124">
        <v>3.3657982067524001E-3</v>
      </c>
      <c r="D124">
        <v>7.4952774703109003E-3</v>
      </c>
      <c r="E124">
        <v>8.4481365097530004E-3</v>
      </c>
      <c r="F124" s="5">
        <v>8.554521061525906E-5</v>
      </c>
      <c r="G124" s="5">
        <v>-7.7495996009971499E-4</v>
      </c>
    </row>
    <row r="125" spans="1:7" x14ac:dyDescent="0.25">
      <c r="A125" s="1" t="s">
        <v>128</v>
      </c>
      <c r="B125">
        <v>3.8900937626149999E-4</v>
      </c>
      <c r="C125">
        <v>2.268044471926E-4</v>
      </c>
      <c r="D125">
        <v>5.3003970829379997E-4</v>
      </c>
      <c r="E125">
        <v>2.4365136546289001E-3</v>
      </c>
      <c r="F125" s="5">
        <v>4.946198627782789E-4</v>
      </c>
      <c r="G125" s="5">
        <v>2.2904138480841585E-4</v>
      </c>
    </row>
    <row r="126" spans="1:7" x14ac:dyDescent="0.25">
      <c r="A126" s="1" t="s">
        <v>129</v>
      </c>
      <c r="B126">
        <v>1.0568758214470001E-4</v>
      </c>
      <c r="C126">
        <v>-1.3968372999658999E-3</v>
      </c>
      <c r="D126">
        <v>-5.3513988245043999E-3</v>
      </c>
      <c r="E126">
        <v>-9.4723998022153994E-3</v>
      </c>
      <c r="F126" s="5">
        <v>3.5408703416242853E-4</v>
      </c>
      <c r="G126" s="5">
        <v>3.2609844066572308E-4</v>
      </c>
    </row>
    <row r="127" spans="1:7" x14ac:dyDescent="0.25">
      <c r="A127" s="1" t="s">
        <v>130</v>
      </c>
      <c r="B127">
        <v>4.7187066224409999E-4</v>
      </c>
      <c r="C127">
        <v>4.462609704257E-4</v>
      </c>
      <c r="D127">
        <v>-3.6172628645324998E-3</v>
      </c>
      <c r="E127">
        <v>-8.1242897573489993E-3</v>
      </c>
      <c r="F127" s="5">
        <v>3.058139336859757E-4</v>
      </c>
      <c r="G127" s="5">
        <v>-2.0249934351445733E-4</v>
      </c>
    </row>
    <row r="128" spans="1:7" x14ac:dyDescent="0.25">
      <c r="A128" s="1" t="s">
        <v>131</v>
      </c>
      <c r="B128">
        <v>1.2430535749933999E-3</v>
      </c>
      <c r="C128">
        <v>3.0858681418672999E-3</v>
      </c>
      <c r="D128">
        <v>4.8868569453824999E-3</v>
      </c>
      <c r="E128">
        <v>5.0044531176109E-3</v>
      </c>
      <c r="F128" s="5">
        <v>1.8935351842547772E-4</v>
      </c>
      <c r="G128" s="5">
        <v>-2.3184947802411558E-4</v>
      </c>
    </row>
    <row r="129" spans="1:7" x14ac:dyDescent="0.25">
      <c r="A129" s="1" t="s">
        <v>132</v>
      </c>
      <c r="B129">
        <v>-5.7018691301040001E-4</v>
      </c>
      <c r="C129">
        <v>-3.2528551765646E-3</v>
      </c>
      <c r="D129">
        <v>-1.0175308760364999E-2</v>
      </c>
      <c r="E129">
        <v>-1.7035943906682598E-2</v>
      </c>
      <c r="F129" s="5">
        <v>3.0781100475575065E-4</v>
      </c>
      <c r="G129" s="5">
        <v>3.1337398155855051E-4</v>
      </c>
    </row>
    <row r="130" spans="1:7" x14ac:dyDescent="0.25">
      <c r="A130" s="1" t="s">
        <v>133</v>
      </c>
      <c r="B130">
        <v>7.2035981184910005E-4</v>
      </c>
      <c r="C130">
        <v>2.0738856350365998E-3</v>
      </c>
      <c r="D130">
        <v>6.9475520068474003E-3</v>
      </c>
      <c r="E130">
        <v>1.2511984961879699E-2</v>
      </c>
      <c r="F130" s="5">
        <v>4.3142054607872582E-4</v>
      </c>
      <c r="G130" s="5">
        <v>8.3872559731217186E-4</v>
      </c>
    </row>
    <row r="131" spans="1:7" x14ac:dyDescent="0.25">
      <c r="A131" s="1" t="s">
        <v>134</v>
      </c>
      <c r="B131">
        <v>4.3429056982850002E-4</v>
      </c>
      <c r="C131">
        <v>6.8012882369189996E-4</v>
      </c>
      <c r="D131">
        <v>2.6477744326812002E-3</v>
      </c>
      <c r="E131">
        <v>4.3300726573791996E-3</v>
      </c>
      <c r="F131" s="5">
        <v>3.7365985769067061E-5</v>
      </c>
      <c r="G131" s="5">
        <v>-1.4649806910343158E-3</v>
      </c>
    </row>
    <row r="132" spans="1:7" x14ac:dyDescent="0.25">
      <c r="A132" s="1" t="s">
        <v>135</v>
      </c>
      <c r="B132">
        <v>3.3207141525399999E-4</v>
      </c>
      <c r="C132">
        <v>-4.1774198683239999E-4</v>
      </c>
      <c r="D132">
        <v>-4.3125584962063999E-3</v>
      </c>
      <c r="E132">
        <v>-8.4009979517354998E-3</v>
      </c>
      <c r="F132" s="5">
        <v>5.4701560669742795E-4</v>
      </c>
      <c r="G132" s="5">
        <v>3.0129904559889645E-4</v>
      </c>
    </row>
    <row r="133" spans="1:7" x14ac:dyDescent="0.25">
      <c r="A133" s="1" t="s">
        <v>136</v>
      </c>
      <c r="B133">
        <v>1.070412685625E-4</v>
      </c>
      <c r="C133">
        <v>9.5664403212832125E-5</v>
      </c>
      <c r="D133">
        <v>-7.2696297471426998E-3</v>
      </c>
      <c r="E133">
        <v>-1.5780930277888801E-2</v>
      </c>
      <c r="F133" s="5">
        <v>6.2575972493810199E-4</v>
      </c>
      <c r="G133" s="5">
        <v>1.581128818672322E-3</v>
      </c>
    </row>
    <row r="134" spans="1:7" x14ac:dyDescent="0.25">
      <c r="A134" s="1" t="s">
        <v>137</v>
      </c>
      <c r="B134">
        <v>1.6363158539699999E-4</v>
      </c>
      <c r="C134">
        <v>-7.0914850523240002E-4</v>
      </c>
      <c r="D134">
        <v>-3.6841531540438999E-3</v>
      </c>
      <c r="E134">
        <v>-5.8086450704493003E-3</v>
      </c>
      <c r="F134" s="5">
        <v>-2.3800645733025529E-4</v>
      </c>
      <c r="G134" s="5">
        <v>-2.2845771512643625E-3</v>
      </c>
    </row>
    <row r="135" spans="1:7" x14ac:dyDescent="0.25">
      <c r="A135" s="1" t="s">
        <v>138</v>
      </c>
      <c r="B135">
        <v>3.0214837739340003E-4</v>
      </c>
      <c r="C135">
        <v>7.1115770216930005E-4</v>
      </c>
      <c r="D135">
        <v>6.0569120596426999E-3</v>
      </c>
      <c r="E135">
        <v>1.31290362190818E-2</v>
      </c>
      <c r="F135" s="5">
        <v>1.4051539353172567E-4</v>
      </c>
      <c r="G135" s="5">
        <v>-4.953116143000658E-4</v>
      </c>
    </row>
    <row r="136" spans="1:7" x14ac:dyDescent="0.25">
      <c r="A136" s="1" t="s">
        <v>139</v>
      </c>
      <c r="B136">
        <v>2.8587018642130003E-4</v>
      </c>
      <c r="C136">
        <v>2.9467312220700002E-4</v>
      </c>
      <c r="D136">
        <v>3.3435746874184999E-3</v>
      </c>
      <c r="E136">
        <v>6.1214298215480998E-3</v>
      </c>
      <c r="F136" s="5">
        <v>4.532688919129543E-4</v>
      </c>
      <c r="G136" s="5">
        <v>-3.6918642321291053E-5</v>
      </c>
    </row>
    <row r="137" spans="1:7" x14ac:dyDescent="0.25">
      <c r="A137" s="1" t="s">
        <v>140</v>
      </c>
      <c r="B137">
        <v>3.7361690179579999E-4</v>
      </c>
      <c r="C137">
        <v>5.3181904460749998E-4</v>
      </c>
      <c r="D137">
        <v>-1.6749893071253E-3</v>
      </c>
      <c r="E137">
        <v>-3.35112280356E-3</v>
      </c>
      <c r="F137" s="5">
        <v>-1.8377057164369374E-4</v>
      </c>
      <c r="G137" s="5">
        <v>-2.1731448117162724E-3</v>
      </c>
    </row>
    <row r="138" spans="1:7" x14ac:dyDescent="0.25">
      <c r="A138" s="1" t="s">
        <v>141</v>
      </c>
      <c r="B138">
        <v>3.2229079636380002E-4</v>
      </c>
      <c r="C138">
        <v>-1.0024648646092E-3</v>
      </c>
      <c r="D138">
        <v>-5.3259239820373002E-3</v>
      </c>
      <c r="E138">
        <v>-9.2109073126800996E-3</v>
      </c>
      <c r="F138" s="5">
        <v>-5.1589598922307655E-4</v>
      </c>
      <c r="G138" s="5">
        <v>-3.4624893250158506E-3</v>
      </c>
    </row>
    <row r="139" spans="1:7" x14ac:dyDescent="0.25">
      <c r="A139" s="1" t="s">
        <v>142</v>
      </c>
      <c r="B139">
        <v>4.9903257637919996E-4</v>
      </c>
      <c r="C139">
        <v>1.0191664412709E-3</v>
      </c>
      <c r="D139">
        <v>3.1366881850453999E-3</v>
      </c>
      <c r="E139">
        <v>5.1660945970069998E-3</v>
      </c>
      <c r="F139" s="5">
        <v>-5.6961800004864092E-4</v>
      </c>
      <c r="G139" s="5">
        <v>-1.3634781970778664E-3</v>
      </c>
    </row>
    <row r="140" spans="1:7" x14ac:dyDescent="0.25">
      <c r="A140" s="1" t="s">
        <v>143</v>
      </c>
      <c r="B140">
        <v>1.4981006631499999E-4</v>
      </c>
      <c r="C140">
        <v>-1.4407915805284999E-3</v>
      </c>
      <c r="D140">
        <v>-6.6512042029861001E-3</v>
      </c>
      <c r="E140">
        <v>-1.23029876830508E-2</v>
      </c>
      <c r="F140" s="5">
        <v>4.1941114346710263E-4</v>
      </c>
      <c r="G140" s="5">
        <v>9.1546215432361771E-4</v>
      </c>
    </row>
    <row r="141" spans="1:7" x14ac:dyDescent="0.25">
      <c r="A141" s="1" t="s">
        <v>144</v>
      </c>
      <c r="B141">
        <v>4.4270695239879997E-4</v>
      </c>
      <c r="C141">
        <v>7.5615547935989997E-4</v>
      </c>
      <c r="D141">
        <v>5.7777760085472004E-3</v>
      </c>
      <c r="E141">
        <v>8.8423245865428008E-3</v>
      </c>
      <c r="F141" s="5">
        <v>8.6070131820452779E-4</v>
      </c>
      <c r="G141" s="5">
        <v>3.3657982067524348E-3</v>
      </c>
    </row>
    <row r="142" spans="1:7" x14ac:dyDescent="0.25">
      <c r="A142" s="1" t="s">
        <v>145</v>
      </c>
      <c r="B142">
        <v>3.3692115901470002E-4</v>
      </c>
      <c r="C142">
        <v>-8.1611549973600005E-4</v>
      </c>
      <c r="D142">
        <v>-1.0579690849658E-3</v>
      </c>
      <c r="E142">
        <v>-1.632987282921E-3</v>
      </c>
      <c r="F142" s="5">
        <v>7.4105731314016673E-4</v>
      </c>
      <c r="G142" s="5">
        <v>1.1987465173827995E-3</v>
      </c>
    </row>
    <row r="143" spans="1:7" x14ac:dyDescent="0.25">
      <c r="A143" s="1" t="s">
        <v>146</v>
      </c>
      <c r="B143">
        <v>4.0794431504910002E-4</v>
      </c>
      <c r="C143">
        <v>9.9774691240000005E-4</v>
      </c>
      <c r="D143">
        <v>-1.357099246826E-3</v>
      </c>
      <c r="E143">
        <v>-5.2166417099945997E-3</v>
      </c>
      <c r="F143" s="5">
        <v>3.890093762615646E-4</v>
      </c>
      <c r="G143" s="5">
        <v>2.2680444719261149E-4</v>
      </c>
    </row>
    <row r="144" spans="1:7" x14ac:dyDescent="0.25">
      <c r="A144" s="1" t="s">
        <v>147</v>
      </c>
      <c r="B144">
        <v>6.0386668912968961E-5</v>
      </c>
      <c r="C144">
        <v>-2.3838365642518998E-3</v>
      </c>
      <c r="D144">
        <v>-1.03997557990656E-2</v>
      </c>
      <c r="E144">
        <v>-1.9044134770397701E-2</v>
      </c>
      <c r="F144" s="5">
        <v>1.0568758214477808E-4</v>
      </c>
      <c r="G144" s="5">
        <v>-1.3968372999659524E-3</v>
      </c>
    </row>
    <row r="145" spans="1:7" x14ac:dyDescent="0.25">
      <c r="A145" s="1" t="s">
        <v>148</v>
      </c>
      <c r="B145">
        <v>3.285054510407E-4</v>
      </c>
      <c r="C145">
        <v>-1.800383407635E-4</v>
      </c>
      <c r="D145">
        <v>-1.0465861555386E-3</v>
      </c>
      <c r="E145">
        <v>-2.8455928967730999E-3</v>
      </c>
      <c r="F145" s="5">
        <v>4.7187066224412731E-4</v>
      </c>
      <c r="G145" s="5">
        <v>4.4626097042571686E-4</v>
      </c>
    </row>
    <row r="146" spans="1:7" x14ac:dyDescent="0.25">
      <c r="A146" s="1" t="s">
        <v>149</v>
      </c>
      <c r="B146">
        <v>8.6481069443236034E-5</v>
      </c>
      <c r="C146">
        <v>-7.4781798618029998E-4</v>
      </c>
      <c r="D146">
        <v>8.8848170340120002E-4</v>
      </c>
      <c r="E146">
        <v>3.4551729156817E-3</v>
      </c>
      <c r="F146" s="5">
        <v>1.2430535749934602E-3</v>
      </c>
      <c r="G146" s="5">
        <v>3.0858681418673558E-3</v>
      </c>
    </row>
    <row r="147" spans="1:7" x14ac:dyDescent="0.25">
      <c r="A147" s="1" t="s">
        <v>150</v>
      </c>
      <c r="B147">
        <v>4.9987509461300005E-4</v>
      </c>
      <c r="C147">
        <v>1.4940181124937001E-3</v>
      </c>
      <c r="D147">
        <v>4.1574402066268997E-3</v>
      </c>
      <c r="E147">
        <v>6.5565242072984E-3</v>
      </c>
      <c r="F147" s="5">
        <v>6.020397724698747E-4</v>
      </c>
      <c r="G147" s="5">
        <v>1.0950511157961278E-3</v>
      </c>
    </row>
    <row r="148" spans="1:7" x14ac:dyDescent="0.25">
      <c r="A148" s="1" t="s">
        <v>151</v>
      </c>
      <c r="B148">
        <v>-5.4290273107990001E-4</v>
      </c>
      <c r="C148">
        <v>-6.1715949553048004E-3</v>
      </c>
      <c r="D148">
        <v>-2.1306126467601001E-2</v>
      </c>
      <c r="E148">
        <v>-3.1560708787477798E-2</v>
      </c>
      <c r="F148" s="5">
        <v>-5.701869130104063E-4</v>
      </c>
      <c r="G148" s="5">
        <v>-3.2528551765646169E-3</v>
      </c>
    </row>
    <row r="149" spans="1:7" x14ac:dyDescent="0.25">
      <c r="A149" s="1" t="s">
        <v>152</v>
      </c>
      <c r="B149">
        <v>6.5393472019599995E-4</v>
      </c>
      <c r="C149">
        <v>2.0595084675485002E-3</v>
      </c>
      <c r="D149">
        <v>3.8542025629959998E-3</v>
      </c>
      <c r="E149">
        <v>2.2329981007862998E-3</v>
      </c>
      <c r="F149" s="5">
        <v>1.0563413990248133E-3</v>
      </c>
      <c r="G149" s="5">
        <v>3.4612835852019215E-3</v>
      </c>
    </row>
    <row r="150" spans="1:7" x14ac:dyDescent="0.25">
      <c r="A150" s="1" t="s">
        <v>153</v>
      </c>
      <c r="B150">
        <v>-4.7232533608422339E-5</v>
      </c>
      <c r="C150">
        <v>-1.4199945047396001E-3</v>
      </c>
      <c r="D150">
        <v>-1.2156224509711299E-2</v>
      </c>
      <c r="E150">
        <v>-2.18314632688907E-2</v>
      </c>
      <c r="F150" s="5">
        <v>7.2035981184913334E-4</v>
      </c>
      <c r="G150" s="5">
        <v>2.0738856350366419E-3</v>
      </c>
    </row>
    <row r="151" spans="1:7" x14ac:dyDescent="0.25">
      <c r="A151" s="1" t="s">
        <v>154</v>
      </c>
      <c r="B151">
        <v>6.7195349523159996E-4</v>
      </c>
      <c r="C151">
        <v>1.5047805670009001E-3</v>
      </c>
      <c r="D151">
        <v>4.0469222825276997E-3</v>
      </c>
      <c r="E151">
        <v>5.6023704397865004E-3</v>
      </c>
      <c r="F151" s="5">
        <v>-4.5987615255218041E-5</v>
      </c>
      <c r="G151" s="5">
        <v>-1.3768812912347645E-3</v>
      </c>
    </row>
    <row r="152" spans="1:7" x14ac:dyDescent="0.25">
      <c r="A152" s="1" t="s">
        <v>155</v>
      </c>
      <c r="B152">
        <v>4.7243676297000002E-4</v>
      </c>
      <c r="C152">
        <v>1.1501599466093001E-3</v>
      </c>
      <c r="D152">
        <v>7.2412368025857998E-3</v>
      </c>
      <c r="E152">
        <v>1.4023533856019701E-2</v>
      </c>
      <c r="F152" s="5">
        <v>4.3429056982856291E-4</v>
      </c>
      <c r="G152" s="5">
        <v>6.8012882369194972E-4</v>
      </c>
    </row>
    <row r="153" spans="1:7" x14ac:dyDescent="0.25">
      <c r="A153" s="1" t="s">
        <v>156</v>
      </c>
      <c r="B153">
        <v>5.6675473324489995E-4</v>
      </c>
      <c r="C153">
        <v>3.9630813180509998E-4</v>
      </c>
      <c r="D153">
        <v>-1.5122959830714999E-3</v>
      </c>
      <c r="E153">
        <v>-1.6049309136267999E-3</v>
      </c>
      <c r="F153" s="5">
        <v>3.3207141525401479E-4</v>
      </c>
      <c r="G153" s="5">
        <v>-4.1774198683240703E-4</v>
      </c>
    </row>
    <row r="154" spans="1:7" x14ac:dyDescent="0.25">
      <c r="A154" s="1" t="s">
        <v>157</v>
      </c>
      <c r="B154">
        <v>1.8613422677939999E-4</v>
      </c>
      <c r="C154">
        <v>-4.6312241162309997E-4</v>
      </c>
      <c r="D154">
        <v>-8.7112309554190004E-4</v>
      </c>
      <c r="E154">
        <v>-1.1358302599910001E-3</v>
      </c>
      <c r="F154" s="5">
        <v>1.0704126856259855E-4</v>
      </c>
      <c r="G154" s="5">
        <v>9.5664403212832125E-5</v>
      </c>
    </row>
    <row r="155" spans="1:7" x14ac:dyDescent="0.25">
      <c r="A155" s="1" t="s">
        <v>158</v>
      </c>
      <c r="B155">
        <v>8.5243458997519999E-4</v>
      </c>
      <c r="C155">
        <v>2.2252509080530002E-3</v>
      </c>
      <c r="D155">
        <v>1.3139087565602521E-5</v>
      </c>
      <c r="E155">
        <v>-1.7883885010937001E-3</v>
      </c>
      <c r="F155" s="5">
        <v>1.6363158539707627E-4</v>
      </c>
      <c r="G155" s="5">
        <v>-7.0914850523243298E-4</v>
      </c>
    </row>
    <row r="156" spans="1:7" x14ac:dyDescent="0.25">
      <c r="A156" s="1" t="s">
        <v>159</v>
      </c>
      <c r="B156">
        <v>4.8288927075610001E-4</v>
      </c>
      <c r="C156">
        <v>1.3196498646037E-3</v>
      </c>
      <c r="D156">
        <v>5.6486153298395004E-3</v>
      </c>
      <c r="E156">
        <v>1.1386140859190701E-2</v>
      </c>
      <c r="F156" s="5">
        <v>3.3059267830500699E-4</v>
      </c>
      <c r="G156" s="5">
        <v>1.6028086718637886E-4</v>
      </c>
    </row>
    <row r="157" spans="1:7" x14ac:dyDescent="0.25">
      <c r="A157" s="1" t="s">
        <v>160</v>
      </c>
      <c r="B157">
        <v>3.5034182414590002E-4</v>
      </c>
      <c r="C157">
        <v>-2.2673820238420921E-5</v>
      </c>
      <c r="D157">
        <v>-4.1063790995471998E-3</v>
      </c>
      <c r="E157">
        <v>-8.6155099994548005E-3</v>
      </c>
      <c r="F157" s="5">
        <v>3.0214837739345375E-4</v>
      </c>
      <c r="G157" s="5">
        <v>7.1115770216932119E-4</v>
      </c>
    </row>
    <row r="158" spans="1:7" x14ac:dyDescent="0.25">
      <c r="A158" s="1" t="s">
        <v>161</v>
      </c>
      <c r="B158">
        <v>1.285263225312E-4</v>
      </c>
      <c r="C158">
        <v>-1.5411444928996E-3</v>
      </c>
      <c r="D158">
        <v>-5.4642757580214002E-3</v>
      </c>
      <c r="E158">
        <v>-1.05595794917153E-2</v>
      </c>
      <c r="F158" s="5">
        <v>2.858701864213621E-4</v>
      </c>
      <c r="G158" s="5">
        <v>2.9467312220707347E-4</v>
      </c>
    </row>
    <row r="159" spans="1:7" x14ac:dyDescent="0.25">
      <c r="A159" s="1" t="s">
        <v>162</v>
      </c>
      <c r="B159">
        <v>4.0044493244710002E-4</v>
      </c>
      <c r="C159">
        <v>-1.5003216894339999E-4</v>
      </c>
      <c r="D159">
        <v>-2.3757910798562001E-3</v>
      </c>
      <c r="E159">
        <v>-5.6025932866579E-3</v>
      </c>
      <c r="F159" s="5">
        <v>3.7361690179584509E-4</v>
      </c>
      <c r="G159" s="5">
        <v>5.3181904460750703E-4</v>
      </c>
    </row>
    <row r="160" spans="1:7" x14ac:dyDescent="0.25">
      <c r="A160" s="1" t="s">
        <v>163</v>
      </c>
      <c r="B160">
        <v>-1.121379297709E-4</v>
      </c>
      <c r="C160">
        <v>-2.8399082853331E-3</v>
      </c>
      <c r="D160">
        <v>-7.8262305366130006E-3</v>
      </c>
      <c r="E160">
        <v>-1.23875418180202E-2</v>
      </c>
      <c r="F160" s="5">
        <v>3.2229079636381482E-4</v>
      </c>
      <c r="G160" s="5">
        <v>-1.0024648646092911E-3</v>
      </c>
    </row>
    <row r="161" spans="1:7" x14ac:dyDescent="0.25">
      <c r="A161" s="1" t="s">
        <v>164</v>
      </c>
      <c r="B161">
        <v>6.510991439653E-4</v>
      </c>
      <c r="C161">
        <v>1.3458096066254E-3</v>
      </c>
      <c r="D161">
        <v>7.0800291965349995E-4</v>
      </c>
      <c r="E161">
        <v>-1.6748773388306E-3</v>
      </c>
      <c r="F161" s="5">
        <v>3.2878283296478521E-4</v>
      </c>
      <c r="G161" s="5">
        <v>-2.0089676940512907E-4</v>
      </c>
    </row>
    <row r="162" spans="1:7" x14ac:dyDescent="0.25">
      <c r="A162" s="1" t="s">
        <v>165</v>
      </c>
      <c r="B162">
        <v>8.1140998880729995E-4</v>
      </c>
      <c r="C162">
        <v>2.8106329266040998E-3</v>
      </c>
      <c r="D162">
        <v>8.1924769890974001E-3</v>
      </c>
      <c r="E162">
        <v>1.5988515662907501E-2</v>
      </c>
      <c r="F162" s="5">
        <v>4.9903257637925601E-4</v>
      </c>
      <c r="G162" s="5">
        <v>1.0191664412709603E-3</v>
      </c>
    </row>
    <row r="163" spans="1:7" x14ac:dyDescent="0.25">
      <c r="A163" s="1" t="s">
        <v>166</v>
      </c>
      <c r="B163">
        <v>7.2398488381060001E-4</v>
      </c>
      <c r="C163">
        <v>3.5834678659811001E-3</v>
      </c>
      <c r="D163">
        <v>9.9444013995991006E-3</v>
      </c>
      <c r="E163">
        <v>1.3578841376716499E-2</v>
      </c>
      <c r="F163" s="5">
        <v>1.498100663150906E-4</v>
      </c>
      <c r="G163" s="5">
        <v>-1.4407915805285448E-3</v>
      </c>
    </row>
    <row r="164" spans="1:7" x14ac:dyDescent="0.25">
      <c r="A164" s="1" t="s">
        <v>167</v>
      </c>
      <c r="B164">
        <v>5.261672090212E-4</v>
      </c>
      <c r="C164">
        <v>1.1102933490504999E-3</v>
      </c>
      <c r="D164">
        <v>3.7128500086293999E-3</v>
      </c>
      <c r="E164">
        <v>9.2056485762620002E-3</v>
      </c>
      <c r="F164" s="5">
        <v>4.4270695239889755E-4</v>
      </c>
      <c r="G164" s="5">
        <v>7.5615547935997196E-4</v>
      </c>
    </row>
    <row r="165" spans="1:7" x14ac:dyDescent="0.25">
      <c r="A165" s="1" t="s">
        <v>168</v>
      </c>
      <c r="B165">
        <v>5.0992666733399997E-4</v>
      </c>
      <c r="C165">
        <v>1.3463912608050999E-3</v>
      </c>
      <c r="D165">
        <v>4.1454789266184002E-3</v>
      </c>
      <c r="E165">
        <v>5.9436389912126001E-3</v>
      </c>
      <c r="F165" s="5">
        <v>3.3692115901477363E-4</v>
      </c>
      <c r="G165" s="5">
        <v>-8.1611549973609329E-4</v>
      </c>
    </row>
    <row r="166" spans="1:7" x14ac:dyDescent="0.25">
      <c r="A166" s="1" t="s">
        <v>169</v>
      </c>
      <c r="B166">
        <v>5.7821152193039997E-4</v>
      </c>
      <c r="C166">
        <v>1.9298932535347999E-3</v>
      </c>
      <c r="D166">
        <v>9.7881945628081994E-3</v>
      </c>
      <c r="E166">
        <v>1.5917164947664399E-2</v>
      </c>
      <c r="F166" s="5">
        <v>5.5215218882425548E-4</v>
      </c>
      <c r="G166" s="5">
        <v>2.221900734535519E-3</v>
      </c>
    </row>
    <row r="167" spans="1:7" x14ac:dyDescent="0.25">
      <c r="A167" s="1" t="s">
        <v>170</v>
      </c>
      <c r="B167">
        <v>3.2775318872799999E-4</v>
      </c>
      <c r="C167">
        <v>4.4328603493939999E-4</v>
      </c>
      <c r="D167">
        <v>2.7273461114764E-3</v>
      </c>
      <c r="E167">
        <v>5.7558315373975998E-3</v>
      </c>
      <c r="F167" s="5">
        <v>4.0794431504911942E-4</v>
      </c>
      <c r="G167" s="5">
        <v>9.977469124000406E-4</v>
      </c>
    </row>
    <row r="168" spans="1:7" x14ac:dyDescent="0.25">
      <c r="A168" s="1" t="s">
        <v>171</v>
      </c>
      <c r="B168">
        <v>2.254712781544E-4</v>
      </c>
      <c r="C168">
        <v>-2.6099387174719998E-4</v>
      </c>
      <c r="D168">
        <v>-1.3611002767078E-3</v>
      </c>
      <c r="E168">
        <v>-3.6642373787316002E-3</v>
      </c>
      <c r="F168" s="5">
        <v>6.0386668912968961E-5</v>
      </c>
      <c r="G168" s="5">
        <v>-2.3838365642519111E-3</v>
      </c>
    </row>
    <row r="169" spans="1:7" x14ac:dyDescent="0.25">
      <c r="A169" s="1" t="s">
        <v>172</v>
      </c>
      <c r="B169">
        <v>4.6287980100360001E-4</v>
      </c>
      <c r="C169">
        <v>1.4773174238226E-3</v>
      </c>
      <c r="D169">
        <v>1.8992960929682999E-3</v>
      </c>
      <c r="E169">
        <v>2.4910639366988001E-3</v>
      </c>
      <c r="F169" s="5">
        <v>5.9316617250454494E-4</v>
      </c>
      <c r="G169" s="5">
        <v>1.5032670245522623E-3</v>
      </c>
    </row>
    <row r="170" spans="1:7" x14ac:dyDescent="0.25">
      <c r="A170" s="1" t="s">
        <v>173</v>
      </c>
      <c r="B170">
        <v>2.5603826774809999E-4</v>
      </c>
      <c r="C170">
        <v>-7.155530941495E-4</v>
      </c>
      <c r="D170">
        <v>-1.9319729458818001E-3</v>
      </c>
      <c r="E170">
        <v>-5.1361605957830998E-3</v>
      </c>
      <c r="F170" s="5">
        <v>3.8164278539873071E-4</v>
      </c>
      <c r="G170" s="5">
        <v>1.7685883449515172E-4</v>
      </c>
    </row>
    <row r="171" spans="1:7" x14ac:dyDescent="0.25">
      <c r="A171" s="1" t="s">
        <v>174</v>
      </c>
      <c r="B171">
        <v>7.5551775557636879E-5</v>
      </c>
      <c r="C171">
        <v>-2.4530379944043001E-3</v>
      </c>
      <c r="D171">
        <v>-8.6031496389375999E-3</v>
      </c>
      <c r="E171">
        <v>-1.46913914081819E-2</v>
      </c>
      <c r="F171" s="5">
        <v>3.2850545104076901E-4</v>
      </c>
      <c r="G171" s="5">
        <v>-1.8003834076352968E-4</v>
      </c>
    </row>
    <row r="172" spans="1:7" x14ac:dyDescent="0.25">
      <c r="A172" s="1" t="s">
        <v>175</v>
      </c>
      <c r="B172">
        <v>4.233406036327E-4</v>
      </c>
      <c r="C172">
        <v>-6.8258438651661431E-5</v>
      </c>
      <c r="D172">
        <v>-1.4805799387171E-3</v>
      </c>
      <c r="E172">
        <v>-4.0002262253687002E-3</v>
      </c>
      <c r="F172" s="5">
        <v>8.6481069443236034E-5</v>
      </c>
      <c r="G172" s="5">
        <v>-7.478179861803054E-4</v>
      </c>
    </row>
    <row r="173" spans="1:7" x14ac:dyDescent="0.25">
      <c r="A173" s="1" t="s">
        <v>176</v>
      </c>
      <c r="B173">
        <v>3.289816822043E-4</v>
      </c>
      <c r="C173">
        <v>-1.0793494875368001E-3</v>
      </c>
      <c r="D173">
        <v>-7.2650511521091003E-3</v>
      </c>
      <c r="E173">
        <v>-1.3081877672173401E-2</v>
      </c>
      <c r="F173" s="5">
        <v>4.9987509461301436E-4</v>
      </c>
      <c r="G173" s="5">
        <v>1.4940181124937142E-3</v>
      </c>
    </row>
    <row r="174" spans="1:7" x14ac:dyDescent="0.25">
      <c r="A174" s="1" t="s">
        <v>177</v>
      </c>
      <c r="B174">
        <v>3.9049253721079997E-4</v>
      </c>
      <c r="C174">
        <v>-6.1655814237459997E-4</v>
      </c>
      <c r="D174">
        <v>-8.9244599563600003E-4</v>
      </c>
      <c r="E174">
        <v>-1.4900224486237999E-3</v>
      </c>
      <c r="F174" s="5">
        <v>-5.4290273107990934E-4</v>
      </c>
      <c r="G174" s="5">
        <v>-6.1715949553048264E-3</v>
      </c>
    </row>
    <row r="175" spans="1:7" x14ac:dyDescent="0.25">
      <c r="A175" s="1" t="s">
        <v>178</v>
      </c>
      <c r="B175">
        <v>1.2867335625371689E-5</v>
      </c>
      <c r="C175">
        <v>-1.7318854277038999E-3</v>
      </c>
      <c r="D175">
        <v>-4.4957212510143996E-3</v>
      </c>
      <c r="E175">
        <v>-6.3899034619313002E-3</v>
      </c>
      <c r="F175" s="5">
        <v>1.1667902265894288E-4</v>
      </c>
      <c r="G175" s="5">
        <v>5.5253995779509324E-4</v>
      </c>
    </row>
    <row r="176" spans="1:7" x14ac:dyDescent="0.25">
      <c r="A176" s="1" t="s">
        <v>179</v>
      </c>
      <c r="B176">
        <v>4.6530967700000002E-4</v>
      </c>
      <c r="C176">
        <v>1.2768363409393E-3</v>
      </c>
      <c r="D176">
        <v>7.2358404211208998E-3</v>
      </c>
      <c r="E176">
        <v>1.20180532893532E-2</v>
      </c>
      <c r="F176" s="5">
        <v>6.5393472019602912E-4</v>
      </c>
      <c r="G176" s="5">
        <v>2.0595084675485756E-3</v>
      </c>
    </row>
    <row r="177" spans="1:7" x14ac:dyDescent="0.25">
      <c r="A177" s="1" t="s">
        <v>180</v>
      </c>
      <c r="B177">
        <v>4.5868526563650001E-4</v>
      </c>
      <c r="C177">
        <v>1.0410296143389E-3</v>
      </c>
      <c r="D177">
        <v>3.8653873254546E-3</v>
      </c>
      <c r="E177">
        <v>7.6671938869335996E-3</v>
      </c>
      <c r="F177" s="5">
        <v>-4.7232533608422339E-5</v>
      </c>
      <c r="G177" s="5">
        <v>-1.419994504739612E-3</v>
      </c>
    </row>
    <row r="178" spans="1:7" x14ac:dyDescent="0.25">
      <c r="A178" s="1" t="s">
        <v>181</v>
      </c>
      <c r="B178">
        <v>3.9248423491119999E-4</v>
      </c>
      <c r="C178">
        <v>1.1400693678871999E-3</v>
      </c>
      <c r="D178">
        <v>6.2159112733797999E-3</v>
      </c>
      <c r="E178">
        <v>1.1646360980061299E-2</v>
      </c>
      <c r="F178" s="5">
        <v>6.7195349523166035E-4</v>
      </c>
      <c r="G178" s="5">
        <v>1.5047805670009519E-3</v>
      </c>
    </row>
    <row r="179" spans="1:7" x14ac:dyDescent="0.25">
      <c r="A179" s="1" t="s">
        <v>182</v>
      </c>
      <c r="B179">
        <v>5.29578174089E-4</v>
      </c>
      <c r="C179">
        <v>1.0983483330946999E-3</v>
      </c>
      <c r="D179">
        <v>-2.9089270665311E-3</v>
      </c>
      <c r="E179">
        <v>-7.4155627306610001E-3</v>
      </c>
      <c r="F179" s="5">
        <v>4.7243676297000745E-4</v>
      </c>
      <c r="G179" s="5">
        <v>1.1501599466093753E-3</v>
      </c>
    </row>
    <row r="180" spans="1:7" x14ac:dyDescent="0.25">
      <c r="A180" s="1" t="s">
        <v>183</v>
      </c>
      <c r="B180">
        <v>8.7001620025E-4</v>
      </c>
      <c r="C180">
        <v>4.1724360238390001E-3</v>
      </c>
      <c r="D180">
        <v>1.3651713569178599E-2</v>
      </c>
      <c r="E180">
        <v>2.0156687261209501E-2</v>
      </c>
      <c r="F180" s="5">
        <v>1.5242300512576789E-4</v>
      </c>
      <c r="G180" s="5">
        <v>-8.2029483766783858E-4</v>
      </c>
    </row>
    <row r="181" spans="1:7" x14ac:dyDescent="0.25">
      <c r="A181" s="1" t="s">
        <v>184</v>
      </c>
      <c r="B181">
        <v>-1.813788167522202E-5</v>
      </c>
      <c r="C181">
        <v>-3.6753484868548001E-3</v>
      </c>
      <c r="D181">
        <v>-3.828321157233E-3</v>
      </c>
      <c r="E181">
        <v>-5.7564533666172998E-3</v>
      </c>
      <c r="F181" s="5">
        <v>5.6675473324496978E-4</v>
      </c>
      <c r="G181" s="5">
        <v>3.9630813180510915E-4</v>
      </c>
    </row>
    <row r="182" spans="1:7" x14ac:dyDescent="0.25">
      <c r="A182" s="1" t="s">
        <v>185</v>
      </c>
      <c r="B182">
        <v>4.6543485336020003E-4</v>
      </c>
      <c r="C182">
        <v>8.9976772662999998E-4</v>
      </c>
      <c r="D182">
        <v>1.3076887201111001E-3</v>
      </c>
      <c r="E182">
        <v>3.8659659604073E-3</v>
      </c>
      <c r="F182" s="5">
        <v>1.8613422677942195E-4</v>
      </c>
      <c r="G182" s="5">
        <v>-4.6312241162315776E-4</v>
      </c>
    </row>
    <row r="183" spans="1:7" x14ac:dyDescent="0.25">
      <c r="A183" s="1" t="s">
        <v>186</v>
      </c>
      <c r="B183">
        <v>3.8825244646879998E-4</v>
      </c>
      <c r="C183">
        <v>-2.7076626142739999E-4</v>
      </c>
      <c r="D183">
        <v>5.4008511479680004E-4</v>
      </c>
      <c r="E183">
        <v>1.4601941188953E-3</v>
      </c>
      <c r="F183" s="5">
        <v>8.5243458997528478E-4</v>
      </c>
      <c r="G183" s="5">
        <v>2.2252509080530839E-3</v>
      </c>
    </row>
    <row r="184" spans="1:7" x14ac:dyDescent="0.25">
      <c r="A184" s="1" t="s">
        <v>187</v>
      </c>
      <c r="B184">
        <v>1.9859946308019999E-4</v>
      </c>
      <c r="C184">
        <v>8.2256208767549999E-4</v>
      </c>
      <c r="D184">
        <v>1.0504779854385899E-2</v>
      </c>
      <c r="E184">
        <v>2.1999692732336599E-2</v>
      </c>
      <c r="F184" s="5">
        <v>4.828892707561469E-4</v>
      </c>
      <c r="G184" s="5">
        <v>1.3196498646037167E-3</v>
      </c>
    </row>
    <row r="185" spans="1:7" x14ac:dyDescent="0.25">
      <c r="A185" s="1" t="s">
        <v>188</v>
      </c>
      <c r="B185">
        <v>3.909919542622E-4</v>
      </c>
      <c r="C185">
        <v>1.8662339601845E-3</v>
      </c>
      <c r="D185">
        <v>9.0631098397501997E-3</v>
      </c>
      <c r="E185">
        <v>1.4607367515096E-2</v>
      </c>
      <c r="F185" s="5">
        <v>6.4036062435299951E-4</v>
      </c>
      <c r="G185" s="5">
        <v>1.3018161077385003E-3</v>
      </c>
    </row>
    <row r="186" spans="1:7" x14ac:dyDescent="0.25">
      <c r="A186" s="1" t="s">
        <v>189</v>
      </c>
      <c r="B186">
        <v>4.0165604333510001E-4</v>
      </c>
      <c r="C186">
        <v>6.9044821752959999E-4</v>
      </c>
      <c r="D186">
        <v>1.3883783146695001E-3</v>
      </c>
      <c r="E186">
        <v>3.7643187695541999E-3</v>
      </c>
      <c r="F186" s="5">
        <v>3.5034182414591639E-4</v>
      </c>
      <c r="G186" s="5">
        <v>-2.2673820238420917E-5</v>
      </c>
    </row>
    <row r="187" spans="1:7" x14ac:dyDescent="0.25">
      <c r="A187" s="1" t="s">
        <v>190</v>
      </c>
      <c r="B187">
        <v>2.5374764080630003E-4</v>
      </c>
      <c r="C187">
        <v>-1.2312429501724E-3</v>
      </c>
      <c r="D187">
        <v>-5.9383387773743997E-3</v>
      </c>
      <c r="E187">
        <v>-9.1138304994531003E-3</v>
      </c>
      <c r="F187" s="5">
        <v>1.2852632253126736E-4</v>
      </c>
      <c r="G187" s="5">
        <v>-1.5411444928996498E-3</v>
      </c>
    </row>
    <row r="188" spans="1:7" x14ac:dyDescent="0.25">
      <c r="A188" s="1" t="s">
        <v>191</v>
      </c>
      <c r="B188">
        <v>2.6730132956770002E-4</v>
      </c>
      <c r="C188">
        <v>-9.2393342991189996E-4</v>
      </c>
      <c r="D188">
        <v>2.2508368689219001E-3</v>
      </c>
      <c r="E188">
        <v>4.1324025211388997E-3</v>
      </c>
      <c r="F188" s="5">
        <v>4.0044493244712777E-4</v>
      </c>
      <c r="G188" s="5">
        <v>-1.5003216894343352E-4</v>
      </c>
    </row>
    <row r="189" spans="1:7" x14ac:dyDescent="0.25">
      <c r="A189" s="1" t="s">
        <v>192</v>
      </c>
      <c r="B189">
        <v>5.4830394905890003E-4</v>
      </c>
      <c r="C189">
        <v>6.6710131976750004E-4</v>
      </c>
      <c r="D189">
        <v>-4.8274791411115998E-3</v>
      </c>
      <c r="E189">
        <v>-1.00294114537568E-2</v>
      </c>
      <c r="F189" s="5">
        <v>-1.1213792977094006E-4</v>
      </c>
      <c r="G189" s="5">
        <v>-2.8399082853331685E-3</v>
      </c>
    </row>
    <row r="190" spans="1:7" x14ac:dyDescent="0.25">
      <c r="A190" s="1" t="s">
        <v>193</v>
      </c>
      <c r="B190">
        <v>5.6502643692189997E-4</v>
      </c>
      <c r="C190">
        <v>1.5229186491491999E-3</v>
      </c>
      <c r="D190">
        <v>5.7536661118109999E-4</v>
      </c>
      <c r="E190">
        <v>1.2618590784307E-3</v>
      </c>
      <c r="F190" s="5">
        <v>-8.0738663956001248E-5</v>
      </c>
      <c r="G190" s="5">
        <v>-2.5723916208721439E-3</v>
      </c>
    </row>
    <row r="191" spans="1:7" x14ac:dyDescent="0.25">
      <c r="A191" s="1" t="s">
        <v>194</v>
      </c>
      <c r="B191">
        <v>5.9681870736087528E-5</v>
      </c>
      <c r="C191">
        <v>-1.6568143135045001E-3</v>
      </c>
      <c r="D191">
        <v>-1.0001254051452E-2</v>
      </c>
      <c r="E191">
        <v>-2.0066308432413901E-2</v>
      </c>
      <c r="F191" s="5">
        <v>6.5109914396538013E-4</v>
      </c>
      <c r="G191" s="5">
        <v>1.3458096066254154E-3</v>
      </c>
    </row>
    <row r="192" spans="1:7" x14ac:dyDescent="0.25">
      <c r="A192" s="1" t="s">
        <v>195</v>
      </c>
      <c r="B192">
        <v>5.1207972254520002E-4</v>
      </c>
      <c r="C192">
        <v>2.0785281541127998E-3</v>
      </c>
      <c r="D192">
        <v>6.6739471609253004E-3</v>
      </c>
      <c r="E192">
        <v>1.15066252073462E-2</v>
      </c>
      <c r="F192" s="5">
        <v>8.1140998880735774E-4</v>
      </c>
      <c r="G192" s="5">
        <v>2.8106329266041987E-3</v>
      </c>
    </row>
    <row r="193" spans="1:7" x14ac:dyDescent="0.25">
      <c r="A193" s="1" t="s">
        <v>196</v>
      </c>
      <c r="B193">
        <v>2.6315344869909998E-4</v>
      </c>
      <c r="C193">
        <v>-1.0108918424885001E-3</v>
      </c>
      <c r="D193">
        <v>-2.8942927621715001E-3</v>
      </c>
      <c r="E193">
        <v>-4.4541049180318003E-3</v>
      </c>
      <c r="F193" s="5">
        <v>7.2398488381060673E-4</v>
      </c>
      <c r="G193" s="5">
        <v>3.5834678659811565E-3</v>
      </c>
    </row>
    <row r="194" spans="1:7" x14ac:dyDescent="0.25">
      <c r="A194" s="1" t="s">
        <v>197</v>
      </c>
      <c r="B194">
        <v>2.2618611232839999E-4</v>
      </c>
      <c r="C194">
        <v>-1.506766905734E-3</v>
      </c>
      <c r="D194">
        <v>-5.4971670998402002E-3</v>
      </c>
      <c r="E194">
        <v>-9.2368451197009007E-3</v>
      </c>
      <c r="F194" s="5">
        <v>5.2616720902129096E-4</v>
      </c>
      <c r="G194" s="5">
        <v>1.1102933490505739E-3</v>
      </c>
    </row>
    <row r="195" spans="1:7" x14ac:dyDescent="0.25">
      <c r="A195" s="1" t="s">
        <v>198</v>
      </c>
      <c r="B195">
        <v>2.6727317835450001E-4</v>
      </c>
      <c r="C195">
        <v>-8.4500522561749996E-4</v>
      </c>
      <c r="D195">
        <v>-5.5290026950116002E-3</v>
      </c>
      <c r="E195">
        <v>-1.0139484813508799E-2</v>
      </c>
      <c r="F195" s="5">
        <v>3.9959271923473074E-4</v>
      </c>
      <c r="G195" s="5">
        <v>2.4836234011831753E-4</v>
      </c>
    </row>
    <row r="196" spans="1:7" x14ac:dyDescent="0.25">
      <c r="A196" s="1" t="s">
        <v>199</v>
      </c>
      <c r="B196">
        <v>3.8922674337160001E-4</v>
      </c>
      <c r="C196">
        <v>1.25444573245974E-5</v>
      </c>
      <c r="D196">
        <v>-1.0804312007755199E-2</v>
      </c>
      <c r="E196">
        <v>-2.14060227303914E-2</v>
      </c>
      <c r="F196" s="5">
        <v>5.0992666733404128E-4</v>
      </c>
      <c r="G196" s="5">
        <v>1.3463912608051303E-3</v>
      </c>
    </row>
    <row r="197" spans="1:7" x14ac:dyDescent="0.25">
      <c r="A197" s="1" t="s">
        <v>200</v>
      </c>
      <c r="B197">
        <v>4.4055677730620003E-4</v>
      </c>
      <c r="C197">
        <v>1.485429121892E-4</v>
      </c>
      <c r="D197">
        <v>3.1425008483650999E-3</v>
      </c>
      <c r="E197">
        <v>5.0330410952925996E-3</v>
      </c>
      <c r="F197" s="5">
        <v>5.7821152193043661E-4</v>
      </c>
      <c r="G197" s="5">
        <v>1.9298932535348791E-3</v>
      </c>
    </row>
    <row r="198" spans="1:7" x14ac:dyDescent="0.25">
      <c r="A198" s="1" t="s">
        <v>201</v>
      </c>
      <c r="B198">
        <v>5.3666628483289998E-4</v>
      </c>
      <c r="C198">
        <v>1.9870046706310001E-3</v>
      </c>
      <c r="D198">
        <v>8.1850813880062004E-3</v>
      </c>
      <c r="E198">
        <v>1.5849645651030201E-2</v>
      </c>
      <c r="F198" s="5">
        <v>3.2775318872807783E-4</v>
      </c>
      <c r="G198" s="5">
        <v>4.4328603493942503E-4</v>
      </c>
    </row>
    <row r="199" spans="1:7" x14ac:dyDescent="0.25">
      <c r="A199" s="1" t="s">
        <v>202</v>
      </c>
      <c r="B199">
        <v>4.8148188144710001E-4</v>
      </c>
      <c r="C199">
        <v>1.5416815787322E-3</v>
      </c>
      <c r="D199">
        <v>5.1642122227491E-3</v>
      </c>
      <c r="E199">
        <v>9.4349040635191995E-3</v>
      </c>
      <c r="F199" s="5">
        <v>2.2547127815449847E-4</v>
      </c>
      <c r="G199" s="5">
        <v>-2.6099387174721944E-4</v>
      </c>
    </row>
    <row r="200" spans="1:7" x14ac:dyDescent="0.25">
      <c r="A200" s="1" t="s">
        <v>203</v>
      </c>
      <c r="B200">
        <v>4.2544694276500002E-4</v>
      </c>
      <c r="C200">
        <v>-8.0430156723150165E-5</v>
      </c>
      <c r="D200">
        <v>3.0385670987718E-3</v>
      </c>
      <c r="E200">
        <v>5.8556281039942003E-3</v>
      </c>
      <c r="F200" s="5">
        <v>3.8640395594536958E-4</v>
      </c>
      <c r="G200" s="5">
        <v>-3.1003333194296024E-4</v>
      </c>
    </row>
    <row r="201" spans="1:7" x14ac:dyDescent="0.25">
      <c r="A201" s="1" t="s">
        <v>204</v>
      </c>
      <c r="B201">
        <v>4.4204012977520002E-4</v>
      </c>
      <c r="C201">
        <v>4.2933974951999998E-4</v>
      </c>
      <c r="D201">
        <v>-1.3002779190680999E-3</v>
      </c>
      <c r="E201">
        <v>-1.6703301680612E-3</v>
      </c>
      <c r="F201" s="5">
        <v>4.628798010036469E-4</v>
      </c>
      <c r="G201" s="5">
        <v>1.4773174238226809E-3</v>
      </c>
    </row>
    <row r="202" spans="1:7" x14ac:dyDescent="0.25">
      <c r="A202" s="1" t="s">
        <v>205</v>
      </c>
      <c r="B202">
        <v>3.7795456829009999E-4</v>
      </c>
      <c r="C202">
        <v>2.0748862848219999E-4</v>
      </c>
      <c r="D202">
        <v>1.8084426073777999E-3</v>
      </c>
      <c r="E202">
        <v>2.1817577581428999E-3</v>
      </c>
      <c r="F202" s="5">
        <v>2.5603826774810905E-4</v>
      </c>
      <c r="G202" s="5">
        <v>-7.1555309414957611E-4</v>
      </c>
    </row>
    <row r="203" spans="1:7" x14ac:dyDescent="0.25">
      <c r="A203" s="1" t="s">
        <v>206</v>
      </c>
      <c r="B203">
        <v>3.1899768741760001E-4</v>
      </c>
      <c r="C203">
        <v>-3.614558973812E-4</v>
      </c>
      <c r="D203">
        <v>-7.8282328088083997E-3</v>
      </c>
      <c r="E203">
        <v>-1.5954118679924401E-2</v>
      </c>
      <c r="F203" s="5">
        <v>7.5551775557636879E-5</v>
      </c>
      <c r="G203" s="5">
        <v>-2.453037994404347E-3</v>
      </c>
    </row>
    <row r="204" spans="1:7" x14ac:dyDescent="0.25">
      <c r="A204" s="1" t="s">
        <v>207</v>
      </c>
      <c r="B204">
        <v>4.2070253196750001E-4</v>
      </c>
      <c r="C204">
        <v>8.5039898941860004E-4</v>
      </c>
      <c r="D204">
        <v>2.9830722985269998E-3</v>
      </c>
      <c r="E204">
        <v>5.3861363013989003E-3</v>
      </c>
      <c r="F204" s="5">
        <v>4.2334060363275296E-4</v>
      </c>
      <c r="G204" s="5">
        <v>-6.8258438651661431E-5</v>
      </c>
    </row>
    <row r="205" spans="1:7" x14ac:dyDescent="0.25">
      <c r="A205" s="1" t="s">
        <v>208</v>
      </c>
      <c r="B205">
        <v>4.0726184185010001E-4</v>
      </c>
      <c r="C205">
        <v>6.3965836546729996E-4</v>
      </c>
      <c r="D205">
        <v>-1.985637804433E-3</v>
      </c>
      <c r="E205">
        <v>-6.2220468343016002E-3</v>
      </c>
      <c r="F205" s="5">
        <v>4.8440608165834268E-4</v>
      </c>
      <c r="G205" s="5">
        <v>1.0294698777020997E-3</v>
      </c>
    </row>
    <row r="206" spans="1:7" x14ac:dyDescent="0.25">
      <c r="A206" s="1" t="s">
        <v>209</v>
      </c>
      <c r="B206">
        <v>4.717875224139E-4</v>
      </c>
      <c r="C206">
        <v>9.835844020864E-4</v>
      </c>
      <c r="D206">
        <v>2.5571564758877E-3</v>
      </c>
      <c r="E206">
        <v>4.0097822191989003E-3</v>
      </c>
      <c r="F206" s="5">
        <v>3.2898168220435144E-4</v>
      </c>
      <c r="G206" s="5">
        <v>-1.0793494875368484E-3</v>
      </c>
    </row>
    <row r="207" spans="1:7" x14ac:dyDescent="0.25">
      <c r="A207" s="1" t="s">
        <v>210</v>
      </c>
      <c r="B207">
        <v>2.9229560294979998E-4</v>
      </c>
      <c r="C207">
        <v>-2.7084899198158E-3</v>
      </c>
      <c r="D207">
        <v>-5.4863754672726996E-3</v>
      </c>
      <c r="E207">
        <v>-8.6765306817158001E-3</v>
      </c>
      <c r="F207" s="5">
        <v>3.9049253721084128E-4</v>
      </c>
      <c r="G207" s="5">
        <v>-6.165581423746519E-4</v>
      </c>
    </row>
    <row r="208" spans="1:7" x14ac:dyDescent="0.25">
      <c r="A208" s="1" t="s">
        <v>211</v>
      </c>
      <c r="B208">
        <v>2.8829814510970001E-4</v>
      </c>
      <c r="C208">
        <v>-1.2014346659015001E-3</v>
      </c>
      <c r="D208">
        <v>-1.23668567431691E-2</v>
      </c>
      <c r="E208">
        <v>-2.5316283951110099E-2</v>
      </c>
      <c r="F208" s="5">
        <v>1.2867335625371688E-5</v>
      </c>
      <c r="G208" s="5">
        <v>-1.7318854277039942E-3</v>
      </c>
    </row>
    <row r="209" spans="1:7" x14ac:dyDescent="0.25">
      <c r="A209" s="1" t="s">
        <v>212</v>
      </c>
      <c r="B209">
        <v>4.4188386869140002E-4</v>
      </c>
      <c r="C209">
        <v>2.4291598031393E-3</v>
      </c>
      <c r="D209">
        <v>1.31581149555988E-2</v>
      </c>
      <c r="E209">
        <v>2.65383934408027E-2</v>
      </c>
      <c r="F209" s="5">
        <v>4.6530967700007038E-4</v>
      </c>
      <c r="G209" s="5">
        <v>1.276836340939308E-3</v>
      </c>
    </row>
    <row r="210" spans="1:7" x14ac:dyDescent="0.25">
      <c r="A210" s="1" t="s">
        <v>213</v>
      </c>
      <c r="B210">
        <v>4.7469181916339999E-4</v>
      </c>
      <c r="C210">
        <v>7.8106827708E-4</v>
      </c>
      <c r="D210">
        <v>2.3211244841837E-3</v>
      </c>
      <c r="E210">
        <v>6.6416749191887002E-3</v>
      </c>
      <c r="F210" s="5">
        <v>5.2675493372942434E-4</v>
      </c>
      <c r="G210" s="5">
        <v>1.5706921044130641E-5</v>
      </c>
    </row>
    <row r="211" spans="1:7" x14ac:dyDescent="0.25">
      <c r="A211" s="1" t="s">
        <v>214</v>
      </c>
      <c r="B211">
        <v>4.0674347726969999E-4</v>
      </c>
      <c r="C211">
        <v>-8.4154040485310004E-4</v>
      </c>
      <c r="D211">
        <v>-2.0497889862681E-3</v>
      </c>
      <c r="E211">
        <v>-1.7273248651567001E-3</v>
      </c>
      <c r="F211" s="5">
        <v>4.5868526563656924E-4</v>
      </c>
      <c r="G211" s="5">
        <v>1.0410296143389048E-3</v>
      </c>
    </row>
    <row r="212" spans="1:7" x14ac:dyDescent="0.25">
      <c r="A212" s="1" t="s">
        <v>215</v>
      </c>
      <c r="B212">
        <v>4.1171450077059999E-4</v>
      </c>
      <c r="C212">
        <v>-3.6152153077490001E-4</v>
      </c>
      <c r="D212">
        <v>-2.4158047987607001E-3</v>
      </c>
      <c r="E212">
        <v>-4.5419945153323E-3</v>
      </c>
      <c r="F212" s="5">
        <v>3.9248423491126906E-4</v>
      </c>
      <c r="G212" s="5">
        <v>1.1400693678872312E-3</v>
      </c>
    </row>
    <row r="213" spans="1:7" x14ac:dyDescent="0.25">
      <c r="A213" s="1" t="s">
        <v>216</v>
      </c>
      <c r="B213">
        <v>4.0769077214919999E-4</v>
      </c>
      <c r="C213">
        <v>1.1400925830134E-3</v>
      </c>
      <c r="D213">
        <v>2.5036255562814998E-3</v>
      </c>
      <c r="E213">
        <v>2.3654535702910999E-3</v>
      </c>
      <c r="F213" s="5">
        <v>5.2957817408904987E-4</v>
      </c>
      <c r="G213" s="5">
        <v>1.0983483330947374E-3</v>
      </c>
    </row>
    <row r="214" spans="1:7" x14ac:dyDescent="0.25">
      <c r="A214" s="1" t="s">
        <v>217</v>
      </c>
      <c r="B214">
        <v>4.2784006946359999E-4</v>
      </c>
      <c r="C214">
        <v>7.9190020559700004E-4</v>
      </c>
      <c r="D214">
        <v>2.5012278864771E-3</v>
      </c>
      <c r="E214">
        <v>5.9932912861404997E-3</v>
      </c>
      <c r="F214" s="5">
        <v>8.7001620025001539E-4</v>
      </c>
      <c r="G214" s="5">
        <v>4.1724360238390157E-3</v>
      </c>
    </row>
    <row r="215" spans="1:7" x14ac:dyDescent="0.25">
      <c r="A215" s="1" t="s">
        <v>218</v>
      </c>
      <c r="B215">
        <v>3.4232493125020003E-4</v>
      </c>
      <c r="C215">
        <v>-5.1265099112763357E-5</v>
      </c>
      <c r="D215">
        <v>-1.5252823089301E-3</v>
      </c>
      <c r="E215">
        <v>-2.5351955613097002E-3</v>
      </c>
      <c r="F215" s="5">
        <v>3.2006726064425157E-4</v>
      </c>
      <c r="G215" s="5">
        <v>1.0716581654984169E-3</v>
      </c>
    </row>
    <row r="216" spans="1:7" x14ac:dyDescent="0.25">
      <c r="A216" s="1" t="s">
        <v>219</v>
      </c>
      <c r="B216">
        <v>3.5338370905849999E-4</v>
      </c>
      <c r="C216">
        <v>-7.6397656850179998E-4</v>
      </c>
      <c r="D216">
        <v>-1.2444700647192999E-3</v>
      </c>
      <c r="E216">
        <v>-6.2880003473500003E-4</v>
      </c>
      <c r="F216" s="5">
        <v>-1.8137881675222024E-5</v>
      </c>
      <c r="G216" s="5">
        <v>-3.6753484868548409E-3</v>
      </c>
    </row>
    <row r="217" spans="1:7" x14ac:dyDescent="0.25">
      <c r="A217" s="1" t="s">
        <v>220</v>
      </c>
      <c r="B217">
        <v>4.214626722858E-4</v>
      </c>
      <c r="C217">
        <v>8.2292518067670001E-4</v>
      </c>
      <c r="D217">
        <v>3.4177380852045002E-3</v>
      </c>
      <c r="E217">
        <v>6.9830856663288003E-3</v>
      </c>
      <c r="F217" s="5">
        <v>4.6543485336024225E-4</v>
      </c>
      <c r="G217" s="5">
        <v>8.99767726630084E-4</v>
      </c>
    </row>
    <row r="218" spans="1:7" x14ac:dyDescent="0.25">
      <c r="A218" s="1" t="s">
        <v>221</v>
      </c>
      <c r="B218">
        <v>3.703879774419E-4</v>
      </c>
      <c r="C218">
        <v>-1.7651819164188E-3</v>
      </c>
      <c r="D218">
        <v>-1.2073728466448301E-2</v>
      </c>
      <c r="E218">
        <v>-2.2091039166793901E-2</v>
      </c>
      <c r="F218" s="5">
        <v>3.8825244646889138E-4</v>
      </c>
      <c r="G218" s="5">
        <v>-2.7076626142746776E-4</v>
      </c>
    </row>
    <row r="219" spans="1:7" x14ac:dyDescent="0.25">
      <c r="A219" s="1" t="s">
        <v>222</v>
      </c>
      <c r="B219">
        <v>4.0004106406639999E-4</v>
      </c>
      <c r="C219">
        <v>-4.4470147257829999E-4</v>
      </c>
      <c r="D219">
        <v>-2.1043633118826999E-3</v>
      </c>
      <c r="E219">
        <v>-2.5202227047327998E-3</v>
      </c>
      <c r="F219" s="5">
        <v>1.9859946308025685E-4</v>
      </c>
      <c r="G219" s="5">
        <v>8.2256208767553967E-4</v>
      </c>
    </row>
    <row r="220" spans="1:7" x14ac:dyDescent="0.25">
      <c r="A220" s="1" t="s">
        <v>223</v>
      </c>
      <c r="B220">
        <v>3.6334881496670002E-4</v>
      </c>
      <c r="C220">
        <v>-2.759576351445E-4</v>
      </c>
      <c r="D220">
        <v>-7.9725058610320004E-3</v>
      </c>
      <c r="E220">
        <v>-1.8130135629473701E-2</v>
      </c>
      <c r="F220" s="5">
        <v>3.9770518389449841E-4</v>
      </c>
      <c r="G220" s="5">
        <v>3.7091619227538788E-4</v>
      </c>
    </row>
    <row r="221" spans="1:7" x14ac:dyDescent="0.25">
      <c r="A221" s="1" t="s">
        <v>224</v>
      </c>
      <c r="B221">
        <v>3.9045754183419999E-4</v>
      </c>
      <c r="C221">
        <v>-1.7605057649500001E-4</v>
      </c>
      <c r="D221">
        <v>-4.0676373763279001E-3</v>
      </c>
      <c r="E221">
        <v>-8.5567651201362005E-3</v>
      </c>
      <c r="F221" s="5">
        <v>3.9099195426228886E-4</v>
      </c>
      <c r="G221" s="5">
        <v>1.8662339601845737E-3</v>
      </c>
    </row>
    <row r="222" spans="1:7" x14ac:dyDescent="0.25">
      <c r="A222" s="1" t="s">
        <v>225</v>
      </c>
      <c r="B222">
        <v>3.8785215652129999E-4</v>
      </c>
      <c r="C222">
        <v>1.176398537472E-4</v>
      </c>
      <c r="D222">
        <v>-4.6971447977126003E-3</v>
      </c>
      <c r="E222">
        <v>-1.0792678237699501E-2</v>
      </c>
      <c r="F222" s="5">
        <v>4.0165604333518127E-4</v>
      </c>
      <c r="G222" s="5">
        <v>6.9044821752968423E-4</v>
      </c>
    </row>
    <row r="223" spans="1:7" x14ac:dyDescent="0.25">
      <c r="A223" s="1" t="s">
        <v>226</v>
      </c>
      <c r="B223">
        <v>3.8719094377199999E-4</v>
      </c>
      <c r="C223">
        <v>-6.1300297071688496E-5</v>
      </c>
      <c r="D223">
        <v>-3.0398005645120999E-3</v>
      </c>
      <c r="E223">
        <v>-8.7935642283023998E-3</v>
      </c>
      <c r="F223" s="5">
        <v>2.5374764080639522E-4</v>
      </c>
      <c r="G223" s="5">
        <v>-1.2312429501724488E-3</v>
      </c>
    </row>
    <row r="224" spans="1:7" x14ac:dyDescent="0.25">
      <c r="A224" s="1" t="s">
        <v>227</v>
      </c>
      <c r="B224">
        <v>4.117559600756E-4</v>
      </c>
      <c r="C224">
        <v>1.6576766222539999E-4</v>
      </c>
      <c r="D224">
        <v>-1.9824872172246998E-3</v>
      </c>
      <c r="E224">
        <v>-2.7590338267026999E-3</v>
      </c>
      <c r="F224" s="5">
        <v>2.6730132956778393E-4</v>
      </c>
      <c r="G224" s="5">
        <v>-9.2393342991192891E-4</v>
      </c>
    </row>
    <row r="225" spans="1:7" x14ac:dyDescent="0.25">
      <c r="A225" s="1" t="s">
        <v>228</v>
      </c>
      <c r="B225">
        <v>4.0233937102749999E-4</v>
      </c>
      <c r="C225">
        <v>1.037838317484E-4</v>
      </c>
      <c r="D225">
        <v>1.3023677703336001E-3</v>
      </c>
      <c r="E225">
        <v>3.6201572375035998E-3</v>
      </c>
      <c r="F225" s="5">
        <v>3.9131005335202627E-4</v>
      </c>
      <c r="G225" s="5">
        <v>1.6431076717660132E-3</v>
      </c>
    </row>
    <row r="226" spans="1:7" x14ac:dyDescent="0.25">
      <c r="A226" s="1" t="s">
        <v>229</v>
      </c>
      <c r="B226">
        <v>3.8973308878270001E-4</v>
      </c>
      <c r="C226">
        <v>-9.3401037941336836E-6</v>
      </c>
      <c r="D226">
        <v>-3.4808146992138002E-3</v>
      </c>
      <c r="E226">
        <v>-6.3508186426511999E-3</v>
      </c>
      <c r="F226" s="5">
        <v>5.4830394905891098E-4</v>
      </c>
      <c r="G226" s="5">
        <v>6.6710131976756954E-4</v>
      </c>
    </row>
    <row r="227" spans="1:7" x14ac:dyDescent="0.25">
      <c r="A227" s="1" t="s">
        <v>230</v>
      </c>
      <c r="B227">
        <v>4.2883691775299999E-4</v>
      </c>
      <c r="C227">
        <v>2.1031252939254998E-3</v>
      </c>
      <c r="D227">
        <v>1.14580933654402E-2</v>
      </c>
      <c r="E227">
        <v>2.12268243223598E-2</v>
      </c>
      <c r="F227" s="5">
        <v>5.6502643692198453E-4</v>
      </c>
      <c r="G227" s="5">
        <v>1.5229186491492023E-3</v>
      </c>
    </row>
    <row r="228" spans="1:7" x14ac:dyDescent="0.25">
      <c r="A228" s="1" t="s">
        <v>231</v>
      </c>
      <c r="B228">
        <v>3.9318532966020001E-4</v>
      </c>
      <c r="C228">
        <v>-3.8693415247959998E-4</v>
      </c>
      <c r="D228">
        <v>-2.7117422638332001E-3</v>
      </c>
      <c r="E228">
        <v>-4.5636116575698002E-3</v>
      </c>
      <c r="F228" s="5">
        <v>5.9681870736087535E-5</v>
      </c>
      <c r="G228" s="5">
        <v>-1.6568143135045228E-3</v>
      </c>
    </row>
    <row r="229" spans="1:7" x14ac:dyDescent="0.25">
      <c r="A229" s="1" t="s">
        <v>232</v>
      </c>
      <c r="B229">
        <v>4.1079309770990002E-4</v>
      </c>
      <c r="C229">
        <v>-3.4294365807247382E-5</v>
      </c>
      <c r="D229">
        <v>-4.2436418233864001E-3</v>
      </c>
      <c r="E229">
        <v>-8.2273538006677992E-3</v>
      </c>
      <c r="F229" s="5">
        <v>5.1207972254527017E-4</v>
      </c>
      <c r="G229" s="5">
        <v>2.0785281541128311E-3</v>
      </c>
    </row>
    <row r="230" spans="1:7" x14ac:dyDescent="0.25">
      <c r="A230" s="1" t="s">
        <v>233</v>
      </c>
      <c r="B230">
        <v>4.0981005394180001E-4</v>
      </c>
      <c r="C230">
        <v>4.2445381549440002E-4</v>
      </c>
      <c r="D230">
        <v>2.4339000766829999E-3</v>
      </c>
      <c r="E230">
        <v>7.1092984933536999E-3</v>
      </c>
      <c r="F230" s="5">
        <v>3.7909171221740627E-4</v>
      </c>
      <c r="G230" s="5">
        <v>1.1354708886046746E-3</v>
      </c>
    </row>
    <row r="231" spans="1:7" x14ac:dyDescent="0.25">
      <c r="A231" s="1" t="s">
        <v>234</v>
      </c>
      <c r="B231">
        <v>4.0323168038019998E-4</v>
      </c>
      <c r="C231">
        <v>6.4072386865151343E-5</v>
      </c>
      <c r="D231">
        <v>-2.1473939441917001E-3</v>
      </c>
      <c r="E231">
        <v>-3.4698188945840001E-3</v>
      </c>
      <c r="F231" s="5">
        <v>2.6315344869910415E-4</v>
      </c>
      <c r="G231" s="5">
        <v>-1.0108918424885094E-3</v>
      </c>
    </row>
    <row r="232" spans="1:7" x14ac:dyDescent="0.25">
      <c r="A232" s="1" t="s">
        <v>235</v>
      </c>
      <c r="B232">
        <v>3.5709370060239999E-4</v>
      </c>
      <c r="C232">
        <v>-2.4462894948860999E-3</v>
      </c>
      <c r="D232">
        <v>-1.35343214553863E-2</v>
      </c>
      <c r="E232">
        <v>-2.58239148751442E-2</v>
      </c>
      <c r="F232" s="5">
        <v>2.2618611232846456E-4</v>
      </c>
      <c r="G232" s="5">
        <v>-1.5067669057340562E-3</v>
      </c>
    </row>
    <row r="233" spans="1:7" x14ac:dyDescent="0.25">
      <c r="A233" s="1" t="s">
        <v>236</v>
      </c>
      <c r="B233">
        <v>3.9990522352340003E-4</v>
      </c>
      <c r="C233">
        <v>8.7848195791200001E-4</v>
      </c>
      <c r="D233">
        <v>2.6553730956859999E-3</v>
      </c>
      <c r="E233">
        <v>5.3083666758870999E-3</v>
      </c>
      <c r="F233" s="5">
        <v>2.6727317835457601E-4</v>
      </c>
      <c r="G233" s="5">
        <v>-8.4500522561753899E-4</v>
      </c>
    </row>
    <row r="234" spans="1:7" x14ac:dyDescent="0.25">
      <c r="A234" s="1" t="s">
        <v>237</v>
      </c>
      <c r="B234">
        <v>4.1051412592659999E-4</v>
      </c>
      <c r="C234">
        <v>-5.1600457284220003E-4</v>
      </c>
      <c r="D234">
        <v>1.8844644420454E-3</v>
      </c>
      <c r="E234">
        <v>5.3964446731573999E-3</v>
      </c>
      <c r="F234" s="5">
        <v>3.8922674337161161E-4</v>
      </c>
      <c r="G234" s="5">
        <v>1.2544457324597398E-5</v>
      </c>
    </row>
    <row r="235" spans="1:7" x14ac:dyDescent="0.25">
      <c r="A235" s="1" t="s">
        <v>238</v>
      </c>
      <c r="B235">
        <v>3.8566874925390001E-4</v>
      </c>
      <c r="C235">
        <v>-1.9479226283249999E-4</v>
      </c>
      <c r="D235">
        <v>4.4124134839408002E-3</v>
      </c>
      <c r="E235">
        <v>1.1393938928274E-2</v>
      </c>
      <c r="F235" s="5">
        <v>4.1682362880191562E-4</v>
      </c>
      <c r="G235" s="5">
        <v>2.7062969200797654E-5</v>
      </c>
    </row>
    <row r="236" spans="1:7" x14ac:dyDescent="0.25">
      <c r="A236" s="1" t="s">
        <v>239</v>
      </c>
      <c r="B236">
        <v>4.1049201084070001E-4</v>
      </c>
      <c r="C236">
        <v>-2.9041900995950001E-4</v>
      </c>
      <c r="D236">
        <v>-1.6866407892862001E-3</v>
      </c>
      <c r="E236">
        <v>-2.0376338701345999E-3</v>
      </c>
      <c r="F236" s="5">
        <v>4.4055677730623174E-4</v>
      </c>
      <c r="G236" s="5">
        <v>1.4854291218927479E-4</v>
      </c>
    </row>
    <row r="237" spans="1:7" x14ac:dyDescent="0.25">
      <c r="A237" s="1" t="s">
        <v>240</v>
      </c>
      <c r="B237">
        <v>4.2881623386170002E-4</v>
      </c>
      <c r="C237">
        <v>2.6044611667789999E-4</v>
      </c>
      <c r="D237">
        <v>-5.1432751229821003E-3</v>
      </c>
      <c r="E237">
        <v>-1.25755012815028E-2</v>
      </c>
      <c r="F237" s="5">
        <v>5.3666628483295495E-4</v>
      </c>
      <c r="G237" s="5">
        <v>1.9870046706310244E-3</v>
      </c>
    </row>
    <row r="238" spans="1:7" x14ac:dyDescent="0.25">
      <c r="A238" s="1" t="s">
        <v>241</v>
      </c>
      <c r="B238">
        <v>4.1626378156570001E-4</v>
      </c>
      <c r="C238">
        <v>-9.6278934295294304E-5</v>
      </c>
      <c r="D238">
        <v>-2.2086919897569999E-3</v>
      </c>
      <c r="E238">
        <v>-5.2354007999286002E-3</v>
      </c>
      <c r="F238" s="5">
        <v>4.8148188144715492E-4</v>
      </c>
      <c r="G238" s="5">
        <v>1.5416815787322551E-3</v>
      </c>
    </row>
    <row r="239" spans="1:7" x14ac:dyDescent="0.25">
      <c r="A239" s="1" t="s">
        <v>242</v>
      </c>
      <c r="B239">
        <v>4.3260899370190002E-4</v>
      </c>
      <c r="C239">
        <v>1.0784384430273001E-3</v>
      </c>
      <c r="D239">
        <v>1.6123301902356999E-3</v>
      </c>
      <c r="E239">
        <v>1.5482972666123001E-3</v>
      </c>
      <c r="F239" s="5">
        <v>4.2544694276506199E-4</v>
      </c>
      <c r="G239" s="5">
        <v>-8.0430156723150165E-5</v>
      </c>
    </row>
    <row r="240" spans="1:7" x14ac:dyDescent="0.25">
      <c r="A240" s="1" t="s">
        <v>243</v>
      </c>
      <c r="B240">
        <v>4.1655254610509999E-4</v>
      </c>
      <c r="C240">
        <v>1.5889343843433E-3</v>
      </c>
      <c r="D240">
        <v>3.7633766764689999E-3</v>
      </c>
      <c r="E240">
        <v>4.7560109812282998E-3</v>
      </c>
      <c r="F240" s="5">
        <v>3.7702456773517197E-4</v>
      </c>
      <c r="G240" s="5">
        <v>1.1098034831801629E-4</v>
      </c>
    </row>
    <row r="241" spans="1:7" x14ac:dyDescent="0.25">
      <c r="A241" s="1" t="s">
        <v>244</v>
      </c>
      <c r="B241">
        <v>4.135749167631E-4</v>
      </c>
      <c r="C241">
        <v>-4.6589119888281252E-5</v>
      </c>
      <c r="D241">
        <v>-2.2883350009249002E-3</v>
      </c>
      <c r="E241">
        <v>-4.5102454701386003E-3</v>
      </c>
      <c r="F241" s="5">
        <v>4.4204012977529185E-4</v>
      </c>
      <c r="G241" s="5">
        <v>4.2933974952000004E-4</v>
      </c>
    </row>
    <row r="242" spans="1:7" x14ac:dyDescent="0.25">
      <c r="A242" s="1" t="s">
        <v>245</v>
      </c>
      <c r="B242">
        <v>4.3132792135819998E-4</v>
      </c>
      <c r="C242">
        <v>4.0697529597699997E-4</v>
      </c>
      <c r="D242">
        <v>1.5595445504279E-3</v>
      </c>
      <c r="E242">
        <v>3.2356993997836002E-3</v>
      </c>
      <c r="F242" s="5">
        <v>3.7795456829019491E-4</v>
      </c>
      <c r="G242" s="5">
        <v>2.0748862848227632E-4</v>
      </c>
    </row>
    <row r="243" spans="1:7" x14ac:dyDescent="0.25">
      <c r="A243" s="1" t="s">
        <v>246</v>
      </c>
      <c r="B243">
        <v>3.827412353679E-4</v>
      </c>
      <c r="C243">
        <v>-2.1033032219886002E-3</v>
      </c>
      <c r="D243">
        <v>-1.7765626064434398E-2</v>
      </c>
      <c r="E243">
        <v>-3.5160049028097801E-2</v>
      </c>
      <c r="F243" s="5">
        <v>3.1899768741767862E-4</v>
      </c>
      <c r="G243" s="5">
        <v>-3.6145589738120651E-4</v>
      </c>
    </row>
    <row r="244" spans="1:7" x14ac:dyDescent="0.25">
      <c r="A244" s="1" t="s">
        <v>247</v>
      </c>
      <c r="B244">
        <v>3.9754404182500001E-4</v>
      </c>
      <c r="C244">
        <v>-2.2701339078891E-3</v>
      </c>
      <c r="D244">
        <v>-1.27908057619844E-2</v>
      </c>
      <c r="E244">
        <v>-2.6873277576615499E-2</v>
      </c>
      <c r="F244" s="5">
        <v>4.2070253196759797E-4</v>
      </c>
      <c r="G244" s="5">
        <v>8.5039898941864634E-4</v>
      </c>
    </row>
    <row r="245" spans="1:7" x14ac:dyDescent="0.25">
      <c r="A245" s="1" t="s">
        <v>248</v>
      </c>
      <c r="B245">
        <v>3.9365025885020001E-4</v>
      </c>
      <c r="C245">
        <v>-6.2207654699580005E-4</v>
      </c>
      <c r="D245">
        <v>6.8719378700230003E-4</v>
      </c>
      <c r="E245">
        <v>3.5930827502641E-3</v>
      </c>
      <c r="F245" s="5">
        <v>4.1774194230729611E-4</v>
      </c>
      <c r="G245" s="5">
        <v>2.3484816284351852E-4</v>
      </c>
    </row>
    <row r="246" spans="1:7" x14ac:dyDescent="0.25">
      <c r="A246" s="1" t="s">
        <v>249</v>
      </c>
      <c r="B246">
        <v>4.1057172815210001E-4</v>
      </c>
      <c r="C246">
        <v>-1.0280811230563001E-3</v>
      </c>
      <c r="D246">
        <v>-1.2175302585888999E-2</v>
      </c>
      <c r="E246">
        <v>-2.4202586170778501E-2</v>
      </c>
      <c r="F246" s="5">
        <v>4.0726184185016344E-4</v>
      </c>
      <c r="G246" s="5">
        <v>6.3965836546736393E-4</v>
      </c>
    </row>
    <row r="247" spans="1:7" x14ac:dyDescent="0.25">
      <c r="A247" s="1" t="s">
        <v>250</v>
      </c>
      <c r="B247">
        <v>3.9366360466090001E-4</v>
      </c>
      <c r="C247">
        <v>-1.2907431148720001E-4</v>
      </c>
      <c r="D247">
        <v>2.5074990147464999E-3</v>
      </c>
      <c r="E247">
        <v>3.5037073039988001E-3</v>
      </c>
      <c r="F247" s="5">
        <v>4.7178752241398418E-4</v>
      </c>
      <c r="G247" s="5">
        <v>9.8358440208642407E-4</v>
      </c>
    </row>
    <row r="248" spans="1:7" x14ac:dyDescent="0.25">
      <c r="A248" s="1" t="s">
        <v>251</v>
      </c>
      <c r="B248">
        <v>4.349375715388E-4</v>
      </c>
      <c r="C248">
        <v>-1.5202941723569999E-4</v>
      </c>
      <c r="D248">
        <v>1.2701362744397E-3</v>
      </c>
      <c r="E248">
        <v>5.7045846497975998E-3</v>
      </c>
      <c r="F248" s="5">
        <v>2.9229560294985566E-4</v>
      </c>
      <c r="G248" s="5">
        <v>-2.7084899198158425E-3</v>
      </c>
    </row>
    <row r="249" spans="1:7" x14ac:dyDescent="0.25">
      <c r="A249" s="1" t="s">
        <v>252</v>
      </c>
      <c r="B249">
        <v>3.9394216432790002E-4</v>
      </c>
      <c r="C249">
        <v>-1.5377292262036999E-3</v>
      </c>
      <c r="D249">
        <v>-1.3650817097151101E-2</v>
      </c>
      <c r="E249">
        <v>-2.3862143382452201E-2</v>
      </c>
      <c r="F249" s="5">
        <v>2.8829814510970402E-4</v>
      </c>
      <c r="G249" s="5">
        <v>-1.20143466590152E-3</v>
      </c>
    </row>
    <row r="250" spans="1:7" x14ac:dyDescent="0.25">
      <c r="A250" s="1" t="s">
        <v>253</v>
      </c>
      <c r="B250">
        <v>4.3299498976290002E-4</v>
      </c>
      <c r="C250">
        <v>2.0847295195665998E-3</v>
      </c>
      <c r="D250">
        <v>1.7734732126258999E-2</v>
      </c>
      <c r="E250">
        <v>3.7319706594238201E-2</v>
      </c>
      <c r="F250" s="5">
        <v>4.1510627156938552E-4</v>
      </c>
      <c r="G250" s="5">
        <v>-6.6737964443387774E-4</v>
      </c>
    </row>
    <row r="251" spans="1:7" x14ac:dyDescent="0.25">
      <c r="A251" s="1" t="s">
        <v>254</v>
      </c>
      <c r="B251">
        <v>4.2395200596499999E-4</v>
      </c>
      <c r="C251">
        <v>1.6318093124641001E-3</v>
      </c>
      <c r="D251">
        <v>8.4346748951356996E-3</v>
      </c>
      <c r="E251">
        <v>1.3795999452540101E-2</v>
      </c>
      <c r="F251" s="5">
        <v>4.4188386869142192E-4</v>
      </c>
      <c r="G251" s="5">
        <v>2.4291598031393282E-3</v>
      </c>
    </row>
    <row r="252" spans="1:7" x14ac:dyDescent="0.25">
      <c r="A252" s="1" t="s">
        <v>255</v>
      </c>
      <c r="B252">
        <v>3.842399298111E-4</v>
      </c>
      <c r="C252">
        <v>-3.1185942673638001E-3</v>
      </c>
      <c r="D252">
        <v>-2.4244950533324002E-3</v>
      </c>
      <c r="E252">
        <v>-2.1396687542717002E-3</v>
      </c>
      <c r="F252" s="5">
        <v>4.7469181916346114E-4</v>
      </c>
      <c r="G252" s="5">
        <v>7.8106827708002353E-4</v>
      </c>
    </row>
    <row r="253" spans="1:7" x14ac:dyDescent="0.25">
      <c r="A253" s="1" t="s">
        <v>256</v>
      </c>
      <c r="B253">
        <v>4.5508148026029998E-4</v>
      </c>
      <c r="C253">
        <v>-1.6115822910853E-3</v>
      </c>
      <c r="D253">
        <v>-1.86187293220509E-2</v>
      </c>
      <c r="E253">
        <v>-3.41007537625371E-2</v>
      </c>
      <c r="F253" s="5">
        <v>4.0674347726973718E-4</v>
      </c>
      <c r="G253" s="5">
        <v>-8.4154040485313105E-4</v>
      </c>
    </row>
    <row r="254" spans="1:7" x14ac:dyDescent="0.25">
      <c r="F254" s="5">
        <v>4.1171450077063642E-4</v>
      </c>
      <c r="G254" s="5">
        <v>-3.6152153077490044E-4</v>
      </c>
    </row>
    <row r="255" spans="1:7" x14ac:dyDescent="0.25">
      <c r="F255" s="5">
        <v>3.8659219873364629E-4</v>
      </c>
      <c r="G255" s="5">
        <v>-9.9134780177026393E-5</v>
      </c>
    </row>
    <row r="256" spans="1:7" x14ac:dyDescent="0.25">
      <c r="F256" s="5">
        <v>4.0769077214927924E-4</v>
      </c>
      <c r="G256" s="5">
        <v>1.14009258301343E-3</v>
      </c>
    </row>
    <row r="257" spans="6:7" x14ac:dyDescent="0.25">
      <c r="F257" s="5">
        <v>4.2784006946361403E-4</v>
      </c>
      <c r="G257" s="5">
        <v>7.9190020559700047E-4</v>
      </c>
    </row>
    <row r="258" spans="6:7" x14ac:dyDescent="0.25">
      <c r="F258" s="5">
        <v>3.4232493125022306E-4</v>
      </c>
      <c r="G258" s="5">
        <v>-5.1265099112763357E-5</v>
      </c>
    </row>
    <row r="259" spans="6:7" x14ac:dyDescent="0.25">
      <c r="F259" s="5">
        <v>3.5338370905851657E-4</v>
      </c>
      <c r="G259" s="5">
        <v>-7.6397656850184963E-4</v>
      </c>
    </row>
    <row r="260" spans="6:7" x14ac:dyDescent="0.25">
      <c r="F260" s="5">
        <v>3.743725433879968E-4</v>
      </c>
      <c r="G260" s="5">
        <v>1.0454403668193229E-3</v>
      </c>
    </row>
    <row r="261" spans="6:7" x14ac:dyDescent="0.25">
      <c r="F261" s="5">
        <v>4.2146267228582087E-4</v>
      </c>
      <c r="G261" s="5">
        <v>8.2292518067676648E-4</v>
      </c>
    </row>
    <row r="262" spans="6:7" x14ac:dyDescent="0.25">
      <c r="F262" s="5">
        <v>3.7038797744192814E-4</v>
      </c>
      <c r="G262" s="5">
        <v>-1.7651819164188781E-3</v>
      </c>
    </row>
    <row r="263" spans="6:7" x14ac:dyDescent="0.25">
      <c r="F263" s="5">
        <v>4.0004106406645176E-4</v>
      </c>
      <c r="G263" s="5">
        <v>-4.4470147257837583E-4</v>
      </c>
    </row>
    <row r="264" spans="6:7" x14ac:dyDescent="0.25">
      <c r="F264" s="5">
        <v>3.6334881496672653E-4</v>
      </c>
      <c r="G264" s="5">
        <v>-2.7595763514458971E-4</v>
      </c>
    </row>
    <row r="265" spans="6:7" x14ac:dyDescent="0.25">
      <c r="F265" s="5">
        <v>4.4627776241498631E-4</v>
      </c>
      <c r="G265" s="5">
        <v>1.6591065670111226E-3</v>
      </c>
    </row>
    <row r="266" spans="6:7" x14ac:dyDescent="0.25">
      <c r="F266" s="5">
        <v>3.9045754183422249E-4</v>
      </c>
      <c r="G266" s="5">
        <v>-1.7605057649504896E-4</v>
      </c>
    </row>
    <row r="267" spans="6:7" x14ac:dyDescent="0.25">
      <c r="F267" s="5">
        <v>3.8785215652133664E-4</v>
      </c>
      <c r="G267" s="5">
        <v>1.1763985374722458E-4</v>
      </c>
    </row>
    <row r="268" spans="6:7" x14ac:dyDescent="0.25">
      <c r="F268" s="5">
        <v>3.8719094377207773E-4</v>
      </c>
      <c r="G268" s="5">
        <v>-6.1300297071688496E-5</v>
      </c>
    </row>
    <row r="269" spans="6:7" x14ac:dyDescent="0.25">
      <c r="F269" s="5">
        <v>4.1175596007564114E-4</v>
      </c>
      <c r="G269" s="5">
        <v>1.6576766222547263E-4</v>
      </c>
    </row>
    <row r="270" spans="6:7" x14ac:dyDescent="0.25">
      <c r="F270" s="5">
        <v>4.0158217584290414E-4</v>
      </c>
      <c r="G270" s="5">
        <v>9.20226388003464E-4</v>
      </c>
    </row>
    <row r="271" spans="6:7" x14ac:dyDescent="0.25">
      <c r="F271" s="5">
        <v>4.0233937102755751E-4</v>
      </c>
      <c r="G271" s="5">
        <v>1.0378383174848682E-4</v>
      </c>
    </row>
    <row r="272" spans="6:7" x14ac:dyDescent="0.25">
      <c r="F272" s="5">
        <v>3.8973308878276089E-4</v>
      </c>
      <c r="G272" s="5">
        <v>-9.3401037941336836E-6</v>
      </c>
    </row>
    <row r="273" spans="6:7" x14ac:dyDescent="0.25">
      <c r="F273" s="5">
        <v>4.2883691775305501E-4</v>
      </c>
      <c r="G273" s="5">
        <v>2.1031252939255076E-3</v>
      </c>
    </row>
    <row r="274" spans="6:7" x14ac:dyDescent="0.25">
      <c r="F274" s="5">
        <v>3.9318532966022235E-4</v>
      </c>
      <c r="G274" s="5">
        <v>-3.8693415247960275E-4</v>
      </c>
    </row>
    <row r="275" spans="6:7" x14ac:dyDescent="0.25">
      <c r="F275" s="5">
        <v>4.1024847305399305E-4</v>
      </c>
      <c r="G275" s="5">
        <v>2.8624440460744911E-4</v>
      </c>
    </row>
    <row r="276" spans="6:7" x14ac:dyDescent="0.25">
      <c r="F276" s="5">
        <v>4.1079309770995602E-4</v>
      </c>
      <c r="G276" s="5">
        <v>-3.4294365807247375E-5</v>
      </c>
    </row>
    <row r="277" spans="6:7" x14ac:dyDescent="0.25">
      <c r="F277" s="5">
        <v>4.0981005394188572E-4</v>
      </c>
      <c r="G277" s="5">
        <v>4.2445381549446209E-4</v>
      </c>
    </row>
    <row r="278" spans="6:7" x14ac:dyDescent="0.25">
      <c r="F278" s="5">
        <v>4.0323168038028048E-4</v>
      </c>
      <c r="G278" s="5">
        <v>6.4072386865151343E-5</v>
      </c>
    </row>
    <row r="279" spans="6:7" x14ac:dyDescent="0.25">
      <c r="F279" s="5">
        <v>3.5709370060246873E-4</v>
      </c>
      <c r="G279" s="5">
        <v>-2.4462894948861585E-3</v>
      </c>
    </row>
    <row r="280" spans="6:7" x14ac:dyDescent="0.25">
      <c r="F280" s="5">
        <v>4.3281785024179694E-4</v>
      </c>
      <c r="G280" s="5">
        <v>2.5116229977109675E-3</v>
      </c>
    </row>
    <row r="281" spans="6:7" x14ac:dyDescent="0.25">
      <c r="F281" s="5">
        <v>3.9990522352343309E-4</v>
      </c>
      <c r="G281" s="5">
        <v>8.7848195791205075E-4</v>
      </c>
    </row>
    <row r="282" spans="6:7" x14ac:dyDescent="0.25">
      <c r="F282" s="5">
        <v>4.1051412592668033E-4</v>
      </c>
      <c r="G282" s="5">
        <v>-5.1600457284227397E-4</v>
      </c>
    </row>
    <row r="283" spans="6:7" x14ac:dyDescent="0.25">
      <c r="F283" s="5">
        <v>3.8566874925399243E-4</v>
      </c>
      <c r="G283" s="5">
        <v>-1.9479226283255363E-4</v>
      </c>
    </row>
    <row r="284" spans="6:7" x14ac:dyDescent="0.25">
      <c r="F284" s="5">
        <v>4.1049201084079981E-4</v>
      </c>
      <c r="G284" s="5">
        <v>-2.9041900995953362E-4</v>
      </c>
    </row>
    <row r="285" spans="6:7" x14ac:dyDescent="0.25">
      <c r="F285" s="5">
        <v>4.1387498704350086E-4</v>
      </c>
      <c r="G285" s="5">
        <v>-1.6416718238269415E-4</v>
      </c>
    </row>
    <row r="286" spans="6:7" x14ac:dyDescent="0.25">
      <c r="F286" s="5">
        <v>4.2881623386170078E-4</v>
      </c>
      <c r="G286" s="5">
        <v>2.6044611667796439E-4</v>
      </c>
    </row>
    <row r="287" spans="6:7" x14ac:dyDescent="0.25">
      <c r="F287" s="5">
        <v>4.1626378156578816E-4</v>
      </c>
      <c r="G287" s="5">
        <v>-9.6278934295294304E-5</v>
      </c>
    </row>
    <row r="288" spans="6:7" x14ac:dyDescent="0.25">
      <c r="F288" s="5">
        <v>4.3260899370195976E-4</v>
      </c>
      <c r="G288" s="5">
        <v>1.0784384430273209E-3</v>
      </c>
    </row>
    <row r="289" spans="6:7" x14ac:dyDescent="0.25">
      <c r="F289" s="5">
        <v>4.0446402381941258E-4</v>
      </c>
      <c r="G289" s="5">
        <v>-9.121129196703791E-4</v>
      </c>
    </row>
    <row r="290" spans="6:7" x14ac:dyDescent="0.25">
      <c r="F290" s="5">
        <v>4.1655254610513496E-4</v>
      </c>
      <c r="G290" s="5">
        <v>1.5889343843433637E-3</v>
      </c>
    </row>
    <row r="291" spans="6:7" x14ac:dyDescent="0.25">
      <c r="F291" s="5">
        <v>4.1739123998321107E-4</v>
      </c>
      <c r="G291" s="5">
        <v>7.2777249509476587E-4</v>
      </c>
    </row>
    <row r="292" spans="6:7" x14ac:dyDescent="0.25">
      <c r="F292" s="5">
        <v>4.135749167631187E-4</v>
      </c>
      <c r="G292" s="5">
        <v>-4.6589119888281252E-5</v>
      </c>
    </row>
    <row r="293" spans="6:7" x14ac:dyDescent="0.25">
      <c r="F293" s="5">
        <v>4.1299942298768442E-4</v>
      </c>
      <c r="G293" s="5">
        <v>2.2053325305133471E-4</v>
      </c>
    </row>
    <row r="294" spans="6:7" x14ac:dyDescent="0.25">
      <c r="F294" s="5">
        <v>4.3132792135822654E-4</v>
      </c>
      <c r="G294" s="5">
        <v>4.0697529597703245E-4</v>
      </c>
    </row>
    <row r="295" spans="6:7" x14ac:dyDescent="0.25">
      <c r="F295" s="5">
        <v>3.8274123536790288E-4</v>
      </c>
      <c r="G295" s="5">
        <v>-2.1033032219886496E-3</v>
      </c>
    </row>
    <row r="296" spans="6:7" x14ac:dyDescent="0.25">
      <c r="F296" s="5">
        <v>3.9754404182509E-4</v>
      </c>
      <c r="G296" s="5">
        <v>-2.2701339078891971E-3</v>
      </c>
    </row>
    <row r="297" spans="6:7" x14ac:dyDescent="0.25">
      <c r="F297" s="5">
        <v>3.936502588502919E-4</v>
      </c>
      <c r="G297" s="5">
        <v>-6.2207654699583919E-4</v>
      </c>
    </row>
    <row r="298" spans="6:7" x14ac:dyDescent="0.25">
      <c r="F298" s="5">
        <v>4.4375631763606303E-4</v>
      </c>
      <c r="G298" s="5">
        <v>1.1934605866117272E-3</v>
      </c>
    </row>
    <row r="299" spans="6:7" x14ac:dyDescent="0.25">
      <c r="F299" s="5">
        <v>4.105717281521526E-4</v>
      </c>
      <c r="G299" s="5">
        <v>-1.0280811230563857E-3</v>
      </c>
    </row>
    <row r="300" spans="6:7" x14ac:dyDescent="0.25">
      <c r="F300" s="5">
        <v>3.9366360466095118E-4</v>
      </c>
      <c r="G300" s="5">
        <v>-1.2907431148721408E-4</v>
      </c>
    </row>
    <row r="301" spans="6:7" x14ac:dyDescent="0.25">
      <c r="F301" s="5">
        <v>4.3493757153884862E-4</v>
      </c>
      <c r="G301" s="5">
        <v>-1.520294172357851E-4</v>
      </c>
    </row>
    <row r="302" spans="6:7" x14ac:dyDescent="0.25">
      <c r="F302" s="5">
        <v>3.9394216432798171E-4</v>
      </c>
      <c r="G302" s="5">
        <v>-1.5377292262037073E-3</v>
      </c>
    </row>
    <row r="303" spans="6:7" x14ac:dyDescent="0.25">
      <c r="F303" s="5">
        <v>3.9791649436582286E-4</v>
      </c>
      <c r="G303" s="5">
        <v>-7.5738995827707544E-4</v>
      </c>
    </row>
    <row r="304" spans="6:7" x14ac:dyDescent="0.25">
      <c r="F304" s="5">
        <v>4.3299498976294545E-4</v>
      </c>
      <c r="G304" s="5">
        <v>2.0847295195666146E-3</v>
      </c>
    </row>
    <row r="305" spans="6:7" x14ac:dyDescent="0.25">
      <c r="F305" s="5">
        <v>4.2395200596506547E-4</v>
      </c>
      <c r="G305" s="5">
        <v>1.6318093124641931E-3</v>
      </c>
    </row>
    <row r="306" spans="6:7" x14ac:dyDescent="0.25">
      <c r="F306" s="5">
        <v>3.8423992981119904E-4</v>
      </c>
      <c r="G306" s="5">
        <v>-3.1185942673638105E-3</v>
      </c>
    </row>
    <row r="307" spans="6:7" x14ac:dyDescent="0.25">
      <c r="F307" s="5">
        <v>4.550814802603009E-4</v>
      </c>
      <c r="G307" s="5">
        <v>-1.6115822910853469E-3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2024-12-23T16:31:03Z</dcterms:created>
  <dcterms:modified xsi:type="dcterms:W3CDTF">2024-12-23T21:30:49Z</dcterms:modified>
</cp:coreProperties>
</file>