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Emanuel\"/>
    </mc:Choice>
  </mc:AlternateContent>
  <xr:revisionPtr revIDLastSave="0" documentId="8_{ED667084-BCCB-46F4-80A6-7972CFADA7A6}" xr6:coauthVersionLast="47" xr6:coauthVersionMax="47" xr10:uidLastSave="{00000000-0000-0000-0000-000000000000}"/>
  <bookViews>
    <workbookView xWindow="-38520" yWindow="-120" windowWidth="38640" windowHeight="15720" xr2:uid="{8A16F95F-13EF-4185-90F7-4C97FB837B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H6" i="1"/>
  <c r="E9" i="1"/>
  <c r="E8" i="1"/>
  <c r="E7" i="1"/>
  <c r="E6" i="1"/>
  <c r="E5" i="1"/>
  <c r="E4" i="1"/>
  <c r="E3" i="1"/>
  <c r="E2" i="1"/>
  <c r="E10" i="1" s="1"/>
  <c r="K2" i="1" l="1"/>
  <c r="K3" i="1"/>
  <c r="M3" i="1" s="1"/>
  <c r="N3" i="1" s="1"/>
  <c r="M2" i="1" l="1"/>
  <c r="N2" i="1" s="1"/>
  <c r="K4" i="1"/>
  <c r="M4" i="1" l="1"/>
  <c r="N4" i="1" s="1"/>
  <c r="K14" i="1" l="1"/>
  <c r="L14" i="1" s="1"/>
  <c r="M14" i="1" s="1"/>
  <c r="N14" i="1" s="1"/>
  <c r="K8" i="1"/>
  <c r="L8" i="1" s="1"/>
  <c r="M8" i="1" s="1"/>
  <c r="K12" i="1"/>
  <c r="L12" i="1" s="1"/>
  <c r="M12" i="1" s="1"/>
  <c r="K11" i="1"/>
  <c r="L11" i="1" s="1"/>
  <c r="M11" i="1" s="1"/>
  <c r="K10" i="1"/>
  <c r="L10" i="1" s="1"/>
  <c r="M10" i="1" s="1"/>
  <c r="K9" i="1"/>
  <c r="L9" i="1" s="1"/>
  <c r="M9" i="1" s="1"/>
  <c r="K15" i="1"/>
  <c r="L15" i="1" s="1"/>
  <c r="M15" i="1" s="1"/>
  <c r="K13" i="1"/>
  <c r="L13" i="1" s="1"/>
  <c r="M13" i="1" s="1"/>
  <c r="N13" i="1" l="1"/>
  <c r="N15" i="1"/>
  <c r="N10" i="1"/>
  <c r="N11" i="1"/>
  <c r="N12" i="1"/>
  <c r="N8" i="1"/>
  <c r="N9" i="1"/>
</calcChain>
</file>

<file path=xl/sharedStrings.xml><?xml version="1.0" encoding="utf-8"?>
<sst xmlns="http://schemas.openxmlformats.org/spreadsheetml/2006/main" count="54" uniqueCount="29">
  <si>
    <t>Fundos/Carteiras Adm</t>
  </si>
  <si>
    <t>PL</t>
  </si>
  <si>
    <t>GLOBAL BONDS</t>
  </si>
  <si>
    <t>HORIZONTE</t>
  </si>
  <si>
    <t>JERA2026</t>
  </si>
  <si>
    <t>REAL FIM</t>
  </si>
  <si>
    <t>BH FIRF INFRA</t>
  </si>
  <si>
    <t>BORDEAUX INFRA</t>
  </si>
  <si>
    <t>TOPAZIO INFRA</t>
  </si>
  <si>
    <t>MANACA INFRA FIRF</t>
  </si>
  <si>
    <t>Peso ajustado</t>
  </si>
  <si>
    <t>PL Ajustado</t>
  </si>
  <si>
    <t>BTG</t>
  </si>
  <si>
    <t>SANTANDER</t>
  </si>
  <si>
    <t>Adm</t>
  </si>
  <si>
    <t xml:space="preserve">Ativos </t>
  </si>
  <si>
    <t>T10, WDO</t>
  </si>
  <si>
    <t>T10, WDO, DI, DAP</t>
  </si>
  <si>
    <t>WDOF25</t>
  </si>
  <si>
    <t>VaR 95%</t>
  </si>
  <si>
    <t>TOTAL</t>
  </si>
  <si>
    <t>Ctts</t>
  </si>
  <si>
    <t>1bp</t>
  </si>
  <si>
    <t>1bp (R$)</t>
  </si>
  <si>
    <t>ADM</t>
  </si>
  <si>
    <t>Fundos</t>
  </si>
  <si>
    <t>Financeiro</t>
  </si>
  <si>
    <t>Stress</t>
  </si>
  <si>
    <t>Stress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</si>
</sst>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43" formatCode="_-* #,##0.00_-;\-* #,##0.00_-;_-* &quot;-&quot;??_-;_-@_-"/>
    <numFmt numFmtId="173" formatCode="0.000%"/>
    <numFmt numFmtId="174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6" fontId="0" fillId="0" borderId="0" xfId="0" applyNumberFormat="1"/>
    <xf numFmtId="43" fontId="0" fillId="0" borderId="0" xfId="1" applyFont="1"/>
    <xf numFmtId="43" fontId="0" fillId="0" borderId="0" xfId="0" applyNumberFormat="1"/>
    <xf numFmtId="1" fontId="0" fillId="0" borderId="0" xfId="0" applyNumberFormat="1"/>
    <xf numFmtId="173" fontId="0" fillId="0" borderId="0" xfId="2" applyNumberFormat="1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174" fontId="2" fillId="0" borderId="0" xfId="2" applyNumberFormat="1" applyFont="1" applyAlignment="1">
      <alignment horizontal="center" vertical="center"/>
    </xf>
    <xf numFmtId="43" fontId="2" fillId="0" borderId="0" xfId="0" applyNumberFormat="1" applyFont="1"/>
    <xf numFmtId="1" fontId="2" fillId="0" borderId="0" xfId="0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30D5-F911-4A33-9B28-4E3F96C88341}">
  <dimension ref="A1:N15"/>
  <sheetViews>
    <sheetView showGridLines="0" tabSelected="1" workbookViewId="0">
      <selection activeCell="E5" sqref="E5"/>
    </sheetView>
  </sheetViews>
  <sheetFormatPr defaultRowHeight="14.5" x14ac:dyDescent="0.35"/>
  <cols>
    <col min="1" max="1" width="11.26953125" customWidth="1"/>
    <col min="2" max="2" width="20" bestFit="1" customWidth="1"/>
    <col min="3" max="3" width="13.54296875" bestFit="1" customWidth="1"/>
    <col min="4" max="4" width="12.81640625" bestFit="1" customWidth="1"/>
    <col min="5" max="5" width="13.54296875" bestFit="1" customWidth="1"/>
    <col min="6" max="6" width="16.6328125" bestFit="1" customWidth="1"/>
    <col min="7" max="7" width="8.1796875" bestFit="1" customWidth="1"/>
    <col min="8" max="8" width="10.08984375" bestFit="1" customWidth="1"/>
    <col min="9" max="9" width="11.26953125" customWidth="1"/>
    <col min="10" max="10" width="18.6328125" bestFit="1" customWidth="1"/>
    <col min="11" max="11" width="14.81640625" bestFit="1" customWidth="1"/>
    <col min="12" max="12" width="12.6328125" bestFit="1" customWidth="1"/>
    <col min="13" max="13" width="10.1796875" bestFit="1" customWidth="1"/>
    <col min="14" max="14" width="7.90625" bestFit="1" customWidth="1"/>
    <col min="15" max="15" width="11.81640625" bestFit="1" customWidth="1"/>
  </cols>
  <sheetData>
    <row r="1" spans="1:14" x14ac:dyDescent="0.35">
      <c r="A1" t="s">
        <v>14</v>
      </c>
      <c r="B1" t="s">
        <v>0</v>
      </c>
      <c r="C1" t="s">
        <v>1</v>
      </c>
      <c r="D1" t="s">
        <v>10</v>
      </c>
      <c r="E1" t="s">
        <v>11</v>
      </c>
      <c r="F1" t="s">
        <v>15</v>
      </c>
      <c r="J1" s="7" t="s">
        <v>24</v>
      </c>
      <c r="K1" s="7" t="s">
        <v>1</v>
      </c>
      <c r="L1" s="7" t="s">
        <v>22</v>
      </c>
      <c r="M1" s="7" t="s">
        <v>23</v>
      </c>
      <c r="N1" s="7" t="s">
        <v>21</v>
      </c>
    </row>
    <row r="2" spans="1:14" x14ac:dyDescent="0.35">
      <c r="A2" t="s">
        <v>13</v>
      </c>
      <c r="B2" t="s">
        <v>2</v>
      </c>
      <c r="C2" s="1">
        <v>29732189</v>
      </c>
      <c r="D2">
        <v>2</v>
      </c>
      <c r="E2" s="1">
        <f t="shared" ref="E2:E9" si="0">D2*C2</f>
        <v>59464378</v>
      </c>
      <c r="F2" t="s">
        <v>16</v>
      </c>
      <c r="J2" s="7" t="s">
        <v>12</v>
      </c>
      <c r="K2" s="2">
        <f ca="1">SUMIF($A$2:$E$9,J2,$E$2:$E$9)</f>
        <v>354566568</v>
      </c>
      <c r="L2" s="8">
        <v>1E-4</v>
      </c>
      <c r="M2" s="3">
        <f ca="1">K2*L2</f>
        <v>35456.656800000004</v>
      </c>
      <c r="N2" s="4">
        <f ca="1">M2/$H$6</f>
        <v>52.951996415770616</v>
      </c>
    </row>
    <row r="3" spans="1:14" x14ac:dyDescent="0.35">
      <c r="A3" t="s">
        <v>12</v>
      </c>
      <c r="B3" t="s">
        <v>3</v>
      </c>
      <c r="C3" s="1">
        <v>240734938</v>
      </c>
      <c r="D3">
        <v>0.5</v>
      </c>
      <c r="E3" s="1">
        <f t="shared" si="0"/>
        <v>120367469</v>
      </c>
      <c r="F3" t="s">
        <v>17</v>
      </c>
      <c r="J3" s="7" t="s">
        <v>13</v>
      </c>
      <c r="K3" s="2">
        <f ca="1">SUMIF($A$2:$E$9,J3,$E$2:$E$9)</f>
        <v>286827923</v>
      </c>
      <c r="L3" s="8">
        <v>1E-4</v>
      </c>
      <c r="M3" s="3">
        <f ca="1">K3*L3</f>
        <v>28682.792300000001</v>
      </c>
      <c r="N3" s="4">
        <f ca="1">M3/$H$6</f>
        <v>42.835711320191159</v>
      </c>
    </row>
    <row r="4" spans="1:14" x14ac:dyDescent="0.35">
      <c r="A4" t="s">
        <v>13</v>
      </c>
      <c r="B4" t="s">
        <v>4</v>
      </c>
      <c r="C4" s="1">
        <v>190972893</v>
      </c>
      <c r="D4">
        <v>1</v>
      </c>
      <c r="E4" s="1">
        <f t="shared" si="0"/>
        <v>190972893</v>
      </c>
      <c r="F4" t="s">
        <v>17</v>
      </c>
      <c r="J4" s="7" t="s">
        <v>20</v>
      </c>
      <c r="K4" s="9">
        <f ca="1">SUM(K2:K3)</f>
        <v>641394491</v>
      </c>
      <c r="L4" s="7" t="s">
        <v>20</v>
      </c>
      <c r="M4" s="9">
        <f ca="1">SUM(M2:M3)</f>
        <v>64139.449100000005</v>
      </c>
      <c r="N4" s="10">
        <f ca="1">M4/$H$6</f>
        <v>95.787707735961774</v>
      </c>
    </row>
    <row r="5" spans="1:14" x14ac:dyDescent="0.35">
      <c r="A5" t="s">
        <v>13</v>
      </c>
      <c r="B5" t="s">
        <v>5</v>
      </c>
      <c r="C5" s="1">
        <v>36390652</v>
      </c>
      <c r="D5">
        <v>1</v>
      </c>
      <c r="E5" s="1">
        <f t="shared" si="0"/>
        <v>36390652</v>
      </c>
      <c r="F5" t="s">
        <v>17</v>
      </c>
      <c r="G5" t="s">
        <v>18</v>
      </c>
      <c r="H5" s="2">
        <v>62000</v>
      </c>
      <c r="I5" s="2"/>
    </row>
    <row r="6" spans="1:14" x14ac:dyDescent="0.35">
      <c r="A6" t="s">
        <v>12</v>
      </c>
      <c r="B6" t="s">
        <v>6</v>
      </c>
      <c r="C6" s="1">
        <v>117671280</v>
      </c>
      <c r="D6">
        <v>1</v>
      </c>
      <c r="E6" s="1">
        <f t="shared" si="0"/>
        <v>117671280</v>
      </c>
      <c r="F6" t="s">
        <v>17</v>
      </c>
      <c r="G6" t="s">
        <v>19</v>
      </c>
      <c r="H6" s="3">
        <f>H5*0.0108</f>
        <v>669.6</v>
      </c>
      <c r="I6" s="3"/>
    </row>
    <row r="7" spans="1:14" x14ac:dyDescent="0.35">
      <c r="A7" t="s">
        <v>12</v>
      </c>
      <c r="B7" t="s">
        <v>7</v>
      </c>
      <c r="C7" s="1">
        <v>45384263</v>
      </c>
      <c r="D7">
        <v>1</v>
      </c>
      <c r="E7" s="1">
        <f t="shared" si="0"/>
        <v>45384263</v>
      </c>
      <c r="F7" t="s">
        <v>17</v>
      </c>
      <c r="J7" s="6" t="s">
        <v>25</v>
      </c>
      <c r="K7" s="6" t="s">
        <v>21</v>
      </c>
      <c r="L7" s="6" t="s">
        <v>26</v>
      </c>
      <c r="M7" s="6" t="s">
        <v>27</v>
      </c>
      <c r="N7" s="6" t="s">
        <v>28</v>
      </c>
    </row>
    <row r="8" spans="1:14" x14ac:dyDescent="0.35">
      <c r="A8" t="s">
        <v>12</v>
      </c>
      <c r="B8" t="s">
        <v>8</v>
      </c>
      <c r="C8" s="1">
        <v>30745454</v>
      </c>
      <c r="D8">
        <v>1</v>
      </c>
      <c r="E8" s="1">
        <f t="shared" si="0"/>
        <v>30745454</v>
      </c>
      <c r="F8" t="s">
        <v>17</v>
      </c>
      <c r="J8" s="6" t="s">
        <v>2</v>
      </c>
      <c r="K8" s="4">
        <f ca="1">E2/$E$10*$N$4</f>
        <v>8.8805821385902046</v>
      </c>
      <c r="L8" s="3">
        <f ca="1">$H$5*K8</f>
        <v>550596.0925925927</v>
      </c>
      <c r="M8" s="3">
        <f ca="1">L8*-0.025</f>
        <v>-13764.902314814819</v>
      </c>
      <c r="N8" s="5">
        <f ca="1">M8/C2</f>
        <v>-4.6296296296296309E-4</v>
      </c>
    </row>
    <row r="9" spans="1:14" x14ac:dyDescent="0.35">
      <c r="A9" t="s">
        <v>12</v>
      </c>
      <c r="B9" t="s">
        <v>9</v>
      </c>
      <c r="C9" s="1">
        <v>40398102</v>
      </c>
      <c r="D9">
        <v>1</v>
      </c>
      <c r="E9" s="1">
        <f t="shared" si="0"/>
        <v>40398102</v>
      </c>
      <c r="F9" t="s">
        <v>17</v>
      </c>
      <c r="H9" s="3"/>
      <c r="J9" s="6" t="s">
        <v>3</v>
      </c>
      <c r="K9" s="4">
        <f ca="1">E3/$E$10*$N$4</f>
        <v>17.976025836320193</v>
      </c>
      <c r="L9" s="3">
        <f ca="1">$H$5*K9</f>
        <v>1114513.6018518519</v>
      </c>
      <c r="M9" s="3">
        <f t="shared" ref="M9:M15" ca="1" si="1">L9*-0.025</f>
        <v>-27862.8400462963</v>
      </c>
      <c r="N9" s="5">
        <f ca="1">M9/C3</f>
        <v>-1.1574074074074076E-4</v>
      </c>
    </row>
    <row r="10" spans="1:14" x14ac:dyDescent="0.35">
      <c r="C10" s="1">
        <f>SUM(C2:C9)</f>
        <v>732029771</v>
      </c>
      <c r="E10" s="1">
        <f>SUM(E2:E9)</f>
        <v>641394491</v>
      </c>
      <c r="J10" s="6" t="s">
        <v>4</v>
      </c>
      <c r="K10" s="4">
        <f ca="1">E4/$E$10*$N$4</f>
        <v>28.520443996415775</v>
      </c>
      <c r="L10" s="3">
        <f ca="1">$H$5*K10</f>
        <v>1768267.527777778</v>
      </c>
      <c r="M10" s="3">
        <f t="shared" ca="1" si="1"/>
        <v>-44206.688194444454</v>
      </c>
      <c r="N10" s="5">
        <f ca="1">M10/C4</f>
        <v>-2.3148148148148154E-4</v>
      </c>
    </row>
    <row r="11" spans="1:14" x14ac:dyDescent="0.35">
      <c r="J11" s="6" t="s">
        <v>5</v>
      </c>
      <c r="K11" s="4">
        <f ca="1">E5/$E$10*$N$4</f>
        <v>5.4346851851851854</v>
      </c>
      <c r="L11" s="3">
        <f ca="1">$H$5*K11</f>
        <v>336950.48148148152</v>
      </c>
      <c r="M11" s="3">
        <f t="shared" ca="1" si="1"/>
        <v>-8423.7620370370387</v>
      </c>
      <c r="N11" s="5">
        <f ca="1">M11/C5</f>
        <v>-2.3148148148148152E-4</v>
      </c>
    </row>
    <row r="12" spans="1:14" x14ac:dyDescent="0.35">
      <c r="J12" s="6" t="s">
        <v>6</v>
      </c>
      <c r="K12" s="4">
        <f ca="1">E6/$E$10*$N$4</f>
        <v>17.573369175627242</v>
      </c>
      <c r="L12" s="3">
        <f ca="1">$H$5*K12</f>
        <v>1089548.888888889</v>
      </c>
      <c r="M12" s="3">
        <f t="shared" ca="1" si="1"/>
        <v>-27238.722222222226</v>
      </c>
      <c r="N12" s="5">
        <f ca="1">M12/C6</f>
        <v>-2.3148148148148152E-4</v>
      </c>
    </row>
    <row r="13" spans="1:14" x14ac:dyDescent="0.35">
      <c r="J13" s="6" t="s">
        <v>7</v>
      </c>
      <c r="K13" s="4">
        <f ca="1">E7/$E$10*$N$4</f>
        <v>6.7778170549581844</v>
      </c>
      <c r="L13" s="3">
        <f ca="1">$H$5*K13</f>
        <v>420224.65740740742</v>
      </c>
      <c r="M13" s="3">
        <f t="shared" ca="1" si="1"/>
        <v>-10505.616435185186</v>
      </c>
      <c r="N13" s="5">
        <f ca="1">M13/C7</f>
        <v>-2.3148148148148149E-4</v>
      </c>
    </row>
    <row r="14" spans="1:14" x14ac:dyDescent="0.35">
      <c r="J14" s="6" t="s">
        <v>8</v>
      </c>
      <c r="K14" s="4">
        <f ca="1">E8/$E$10*$N$4</f>
        <v>4.5916149940262843</v>
      </c>
      <c r="L14" s="3">
        <f ca="1">$H$5*K14</f>
        <v>284680.12962962961</v>
      </c>
      <c r="M14" s="3">
        <f t="shared" ca="1" si="1"/>
        <v>-7117.0032407407407</v>
      </c>
      <c r="N14" s="5">
        <f ca="1">M14/C8</f>
        <v>-2.3148148148148149E-4</v>
      </c>
    </row>
    <row r="15" spans="1:14" x14ac:dyDescent="0.35">
      <c r="J15" s="6" t="s">
        <v>9</v>
      </c>
      <c r="K15" s="4">
        <f ca="1">E9/$E$10*$N$4</f>
        <v>6.0331693548387104</v>
      </c>
      <c r="L15" s="3">
        <f ca="1">$H$5*K15</f>
        <v>374056.50000000006</v>
      </c>
      <c r="M15" s="3">
        <f t="shared" ca="1" si="1"/>
        <v>-9351.4125000000022</v>
      </c>
      <c r="N15" s="5">
        <f ca="1">M15/C9</f>
        <v>-2.3148148148148154E-4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Araújo Fontes</dc:creator>
  <cp:lastModifiedBy>Araújo Fontes</cp:lastModifiedBy>
  <dcterms:created xsi:type="dcterms:W3CDTF">2024-12-23T18:16:11Z</dcterms:created>
  <dcterms:modified xsi:type="dcterms:W3CDTF">2024-12-23T20:13:15Z</dcterms:modified>
</cp:coreProperties>
</file>