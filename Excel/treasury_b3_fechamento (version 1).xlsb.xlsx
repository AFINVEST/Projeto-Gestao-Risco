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Z:\Asset Management\Equipe\Emanuel\0.1-Risco\ProjetoRisco\DashRisco\"/>
    </mc:Choice>
  </mc:AlternateContent>
  <xr:revisionPtr revIDLastSave="0" documentId="13_ncr:1_{AE630B73-5602-442A-9200-1C4F06FBB45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Planilha1" sheetId="2" r:id="rId2"/>
    <sheet name="Planilha3" sheetId="4" r:id="rId3"/>
    <sheet name="Planilha2" sheetId="3" r:id="rId4"/>
  </sheets>
  <calcPr calcId="181029"/>
</workbook>
</file>

<file path=xl/calcChain.xml><?xml version="1.0" encoding="utf-8"?>
<calcChain xmlns="http://schemas.openxmlformats.org/spreadsheetml/2006/main">
  <c r="L14" i="4" l="1"/>
  <c r="B6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D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Y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X14" i="2"/>
  <c r="X13" i="2"/>
  <c r="K14" i="2"/>
  <c r="J14" i="2"/>
  <c r="I14" i="2"/>
  <c r="H14" i="2"/>
  <c r="G14" i="2"/>
  <c r="F14" i="2"/>
  <c r="E14" i="2"/>
  <c r="W14" i="2"/>
  <c r="V14" i="2"/>
  <c r="U14" i="2"/>
  <c r="T14" i="2"/>
  <c r="S14" i="2"/>
  <c r="R14" i="2"/>
  <c r="Q14" i="2"/>
  <c r="P14" i="2"/>
  <c r="O14" i="2"/>
  <c r="N14" i="2"/>
  <c r="M14" i="2"/>
  <c r="L14" i="2"/>
  <c r="D14" i="2"/>
  <c r="D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M24" i="2"/>
  <c r="L24" i="2"/>
  <c r="E29" i="2"/>
  <c r="Z4" i="2" l="1"/>
  <c r="W2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Z5" i="2" l="1"/>
  <c r="K23" i="2"/>
  <c r="L23" i="2" s="1"/>
</calcChain>
</file>

<file path=xl/sharedStrings.xml><?xml version="1.0" encoding="utf-8"?>
<sst xmlns="http://schemas.openxmlformats.org/spreadsheetml/2006/main" count="1750" uniqueCount="1667">
  <si>
    <t>Assets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</si>
  <si>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</si>
  <si>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</si>
  <si>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</si>
  <si>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</si>
  <si>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</si>
  <si>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</si>
  <si>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</si>
  <si>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</si>
  <si>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</si>
  <si>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</si>
  <si>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</si>
  <si>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</si>
  <si>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</si>
  <si>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</si>
  <si>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</si>
  <si>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</si>
  <si>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</si>
  <si>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</si>
  <si>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</si>
  <si>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</si>
  <si>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</si>
  <si>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DAP25</t>
  </si>
  <si>
    <t>DAP26</t>
  </si>
  <si>
    <t>DAP27</t>
  </si>
  <si>
    <t>DAP28</t>
  </si>
  <si>
    <t>DAP29</t>
  </si>
  <si>
    <t>DAP30</t>
  </si>
  <si>
    <t>DAP32</t>
  </si>
  <si>
    <t>DAP33</t>
  </si>
  <si>
    <t>DAP35</t>
  </si>
  <si>
    <t>DAP40</t>
  </si>
  <si>
    <t>DAP45</t>
  </si>
  <si>
    <t>DAP50</t>
  </si>
  <si>
    <t>DAP55</t>
  </si>
  <si>
    <t>DAP60</t>
  </si>
  <si>
    <t>DI_26</t>
  </si>
  <si>
    <t>DI_27</t>
  </si>
  <si>
    <t>DI_28</t>
  </si>
  <si>
    <t>DI_29</t>
  </si>
  <si>
    <t>DI_30</t>
  </si>
  <si>
    <t>DI_31</t>
  </si>
  <si>
    <t>DI_32</t>
  </si>
  <si>
    <t>DI_33</t>
  </si>
  <si>
    <t>DI_34</t>
  </si>
  <si>
    <t>DI_35</t>
  </si>
  <si>
    <t>DI_36</t>
  </si>
  <si>
    <t>DI_37</t>
  </si>
  <si>
    <t>DI_38</t>
  </si>
  <si>
    <t>DI_39</t>
  </si>
  <si>
    <t>DI_40</t>
  </si>
  <si>
    <t>TREASURY</t>
  </si>
  <si>
    <t>WDO1</t>
  </si>
  <si>
    <t>QTD</t>
  </si>
  <si>
    <t>201 FI RF Cred Priv</t>
  </si>
  <si>
    <t>203 FI RF Cred Priv</t>
  </si>
  <si>
    <t>4um FI RF Cred Priv LP</t>
  </si>
  <si>
    <t>8023227.17</t>
  </si>
  <si>
    <t>Ab Deb Incent Fun Incent FI Inv Infra RF</t>
  </si>
  <si>
    <t>Absolute Atenas Prev FI RF Cred Priv</t>
  </si>
  <si>
    <t>21587095.09</t>
  </si>
  <si>
    <t>8082344.47</t>
  </si>
  <si>
    <t>10092964.82</t>
  </si>
  <si>
    <t>3411785.8</t>
  </si>
  <si>
    <t>Absolute D Prev Itau Mas FI RF Cred Priv</t>
  </si>
  <si>
    <t>-529936.29</t>
  </si>
  <si>
    <t>51406.86</t>
  </si>
  <si>
    <t>9095.62</t>
  </si>
  <si>
    <t>-590438.77</t>
  </si>
  <si>
    <t>Absolute Hiker FIF Fundo Incentivado em Investimen</t>
  </si>
  <si>
    <t>323735.01</t>
  </si>
  <si>
    <t>970169.2</t>
  </si>
  <si>
    <t>-263621.83</t>
  </si>
  <si>
    <t>Absolute Hiker RF Infra Seleção FIF Incentivado em</t>
  </si>
  <si>
    <t>706290.51</t>
  </si>
  <si>
    <t>238891.77</t>
  </si>
  <si>
    <t>948410.06</t>
  </si>
  <si>
    <t>-481011.32</t>
  </si>
  <si>
    <t>Absolute Master FI Infra RF Cred Priv</t>
  </si>
  <si>
    <t>-647645.29</t>
  </si>
  <si>
    <t>-863193.29</t>
  </si>
  <si>
    <t>Af Debentures Inc - FI em Infra RF</t>
  </si>
  <si>
    <t>Af Global Bonds FI RF Cred Priv Ie</t>
  </si>
  <si>
    <t>Af Invest FI RF Cred Priv Geraes</t>
  </si>
  <si>
    <t>-4135665.87</t>
  </si>
  <si>
    <t>-2390902.21</t>
  </si>
  <si>
    <t>-452747.7</t>
  </si>
  <si>
    <t>-1292015.96</t>
  </si>
  <si>
    <t>Af Invest Geraes 30 FI RF Cred Priv</t>
  </si>
  <si>
    <t>352421.58</t>
  </si>
  <si>
    <t>86403.07</t>
  </si>
  <si>
    <t>-136933.49</t>
  </si>
  <si>
    <t>Alba Cash Enhanced FI RF Cred Priv</t>
  </si>
  <si>
    <t>2524284.56</t>
  </si>
  <si>
    <t>119284.56</t>
  </si>
  <si>
    <t>Alcyone Classe de Investimento Incentivado em Inf</t>
  </si>
  <si>
    <t>Alfa Gem Master FI Inc Infr RF Créd Priv</t>
  </si>
  <si>
    <t>Alfa Sirius - FI RF - Cred Priv</t>
  </si>
  <si>
    <t>-355264.63</t>
  </si>
  <si>
    <t>-1242244.16</t>
  </si>
  <si>
    <t>-1209057.15</t>
  </si>
  <si>
    <t>Amw Bancos FI RF LP Cred Priv</t>
  </si>
  <si>
    <t>1064253.27</t>
  </si>
  <si>
    <t>74408.27</t>
  </si>
  <si>
    <t>Angá High Yield FI RF Créd Priv</t>
  </si>
  <si>
    <t>Apeiron Classe de Investimento Incentivado em Infr</t>
  </si>
  <si>
    <t>Arak Classe de Investimento Incentivado em Infra</t>
  </si>
  <si>
    <t>Ararinha FI RF LP Cred Priv</t>
  </si>
  <si>
    <t>Artemis FI RF Cred Priv</t>
  </si>
  <si>
    <t>1090488.73</t>
  </si>
  <si>
    <t>481690.77</t>
  </si>
  <si>
    <t>643318.64</t>
  </si>
  <si>
    <t>-34520.68</t>
  </si>
  <si>
    <t>ARX Denali Icatu Prev FI RF Cred Priv</t>
  </si>
  <si>
    <t>ARX Denali Prev FI RF Créd Priv</t>
  </si>
  <si>
    <t>1210634.2</t>
  </si>
  <si>
    <t>1927500.62</t>
  </si>
  <si>
    <t>-6605211.26</t>
  </si>
  <si>
    <t>ARX Elbrus Mst II Fundo Inc Inv Infr RF</t>
  </si>
  <si>
    <t>ARX Elbrus Pro Mst F Inc Inv Infra RF</t>
  </si>
  <si>
    <t>ARX Fuji Master FI RF Cred Priv</t>
  </si>
  <si>
    <t>ARX Hedge Master Fundo Inc Inv Infr RF</t>
  </si>
  <si>
    <t>ARX Prev S FI RF Cred Priv</t>
  </si>
  <si>
    <t>Asa Alm FIF RF Cred Priv - Resp Limitada</t>
  </si>
  <si>
    <t>Asa High Grade D30 Ci RF Cred Priv - Resp Limitada</t>
  </si>
  <si>
    <t>Astor Asa Branca FI RF Cred Priv</t>
  </si>
  <si>
    <t>Atena Prev Fife FI RF Cred Priv</t>
  </si>
  <si>
    <t>-1111388.48</t>
  </si>
  <si>
    <t>70601.35</t>
  </si>
  <si>
    <t>-1181989.83</t>
  </si>
  <si>
    <t>Atena Tapyr Master FI RF Cred Priv LP</t>
  </si>
  <si>
    <t>Atena Yield Master FI RF Cred Priv</t>
  </si>
  <si>
    <t>Atlântico Sul Infra Classe de Investimento Incent</t>
  </si>
  <si>
    <t>Augme FI RF Cred Priv Ie</t>
  </si>
  <si>
    <t>Augme High Grade FI RF Cred Priv</t>
  </si>
  <si>
    <t>Augme Institucional FI RF Cred Priv</t>
  </si>
  <si>
    <t>Austen FIF - Fundo Incentivado em Investimento Deb</t>
  </si>
  <si>
    <t>Austro Profit FI RF Cred Priv</t>
  </si>
  <si>
    <t>Az Quest I M Fife C FI RF Prev Cred Priv</t>
  </si>
  <si>
    <t>4689082.91</t>
  </si>
  <si>
    <t>914442.03</t>
  </si>
  <si>
    <t>3057355.43</t>
  </si>
  <si>
    <t>Az Quest Luce Master FI RF Cred Priv LP</t>
  </si>
  <si>
    <t>-6763260.89</t>
  </si>
  <si>
    <t>-8770290.07</t>
  </si>
  <si>
    <t>-12823541.74</t>
  </si>
  <si>
    <t>Az Quest Luce P M II Fife RF Cred Priv</t>
  </si>
  <si>
    <t>-5203072.31</t>
  </si>
  <si>
    <t>131374.59</t>
  </si>
  <si>
    <t>-565335.18</t>
  </si>
  <si>
    <t>-4769111.72</t>
  </si>
  <si>
    <t>Az Quest Valore FI RF Cred Priv</t>
  </si>
  <si>
    <t>9733933.37</t>
  </si>
  <si>
    <t>-6314159.73</t>
  </si>
  <si>
    <t>7341132.57</t>
  </si>
  <si>
    <t>8706960.53</t>
  </si>
  <si>
    <t>Banestes Selection FI RF Cred Priv</t>
  </si>
  <si>
    <t>14984.95</t>
  </si>
  <si>
    <t>-15.05</t>
  </si>
  <si>
    <t>Banrisul Flex Cred Priv FI RF LP</t>
  </si>
  <si>
    <t>-159324.09</t>
  </si>
  <si>
    <t>-39505.67</t>
  </si>
  <si>
    <t>-98776.08</t>
  </si>
  <si>
    <t>BB Besc RF Pratico Cred Priv FI</t>
  </si>
  <si>
    <t>BB Espelho Jgp Equilíbrio FI em</t>
  </si>
  <si>
    <t>53381376.46</t>
  </si>
  <si>
    <t>26158867.18</t>
  </si>
  <si>
    <t>8686407.26</t>
  </si>
  <si>
    <t>18536102.02</t>
  </si>
  <si>
    <t>BB Espelho Jgp Institucional Equilíbrio 30 Fundo D</t>
  </si>
  <si>
    <t>17219079.13</t>
  </si>
  <si>
    <t>16799659.13</t>
  </si>
  <si>
    <t>BB Espelho RF Occam Crédito Corporativo 30</t>
  </si>
  <si>
    <t>-698625.91</t>
  </si>
  <si>
    <t>18226.95</t>
  </si>
  <si>
    <t>-32579.91</t>
  </si>
  <si>
    <t>-684272.95</t>
  </si>
  <si>
    <t>BB Espelho Sulamérica Crédito Asg Fundo de Investi</t>
  </si>
  <si>
    <t>-1272053.05</t>
  </si>
  <si>
    <t>-1221787.25</t>
  </si>
  <si>
    <t>-50265.8</t>
  </si>
  <si>
    <t>BB PREV RF Inflação Cred Priv</t>
  </si>
  <si>
    <t>BB RF Debêntures Incentivadas CDI Fundo de</t>
  </si>
  <si>
    <t>-2462827.78</t>
  </si>
  <si>
    <t>-861745.65</t>
  </si>
  <si>
    <t>BB RF Debêntures Incentivadas CDI Private</t>
  </si>
  <si>
    <t>-498655958.6</t>
  </si>
  <si>
    <t>-19761811.23</t>
  </si>
  <si>
    <t>BB RF LP Brasil Hedge Cred Priv Ie FI</t>
  </si>
  <si>
    <t>4952.19</t>
  </si>
  <si>
    <t>-723.24</t>
  </si>
  <si>
    <t>-721.91</t>
  </si>
  <si>
    <t>BB RF LP Global Cred Priv Ie FI</t>
  </si>
  <si>
    <t>-2555711.61</t>
  </si>
  <si>
    <t>-619219.35</t>
  </si>
  <si>
    <t>-434735.53</t>
  </si>
  <si>
    <t>BB RF LP Global Hedge Cred Priv Ie FI</t>
  </si>
  <si>
    <t>-146565.02</t>
  </si>
  <si>
    <t>-28078.58</t>
  </si>
  <si>
    <t>-298271.49</t>
  </si>
  <si>
    <t>BB Top Cred Priv FI RF LP</t>
  </si>
  <si>
    <t>-85322770.31</t>
  </si>
  <si>
    <t>BB Top RF Brasil Cred Priv Ie LP FI</t>
  </si>
  <si>
    <t>-1771177.3</t>
  </si>
  <si>
    <t>-36319.29</t>
  </si>
  <si>
    <t>416.41</t>
  </si>
  <si>
    <t>-1735274.42</t>
  </si>
  <si>
    <t>BB Top RF Créd Priv Alto Rendim FI</t>
  </si>
  <si>
    <t>-110722415.2</t>
  </si>
  <si>
    <t>-103535620.19</t>
  </si>
  <si>
    <t>-8800172.09</t>
  </si>
  <si>
    <t>1613377.08</t>
  </si>
  <si>
    <t>BB Top RF Cred Priv Ie LP FI</t>
  </si>
  <si>
    <t>BB Top RF Debêntures Incentivadas CDI Fund</t>
  </si>
  <si>
    <t>-2220720.68</t>
  </si>
  <si>
    <t>-73489.99</t>
  </si>
  <si>
    <t>-2073633.85</t>
  </si>
  <si>
    <t>-73596.84</t>
  </si>
  <si>
    <t>BB Top RF FI Incentivado Infraestrutura</t>
  </si>
  <si>
    <t>-829538.21</t>
  </si>
  <si>
    <t>147816.93</t>
  </si>
  <si>
    <t>-163018.94</t>
  </si>
  <si>
    <t>-814336.2</t>
  </si>
  <si>
    <t>BNP Paribas Match Fife Ci RF Cred Priv - Resp Limi</t>
  </si>
  <si>
    <t>438428.22</t>
  </si>
  <si>
    <t>288842.08</t>
  </si>
  <si>
    <t>-16614.63</t>
  </si>
  <si>
    <t>BNP Paribas Rubi Fcfi RF Cred Priv Ágora</t>
  </si>
  <si>
    <t>-32723.6</t>
  </si>
  <si>
    <t>-529632.46</t>
  </si>
  <si>
    <t>519086.01</t>
  </si>
  <si>
    <t>BNP Paribas Sis Bra Ans FI RF Cred Priv</t>
  </si>
  <si>
    <t>Bnpp Master Crédito Plus RF Cred Priv LP</t>
  </si>
  <si>
    <t>515654.37</t>
  </si>
  <si>
    <t>-1768241.64</t>
  </si>
  <si>
    <t>Bocaina Infra Master III FI Inc Infra RF</t>
  </si>
  <si>
    <t>Bocom BBM Cash Enhanced FI RF Cred Priv</t>
  </si>
  <si>
    <t>Bocom BBM Cash FI RF Cred Priv Ref DI</t>
  </si>
  <si>
    <t>1820685.86</t>
  </si>
  <si>
    <t>3817577.08</t>
  </si>
  <si>
    <t>-10582101.04</t>
  </si>
  <si>
    <t>Bocom BBM Infra IPCA Classe de Cotas de Investimen</t>
  </si>
  <si>
    <t>Bocom BBM Infra IPCA Master Classe de Investimento</t>
  </si>
  <si>
    <t>Bra IPCA Clos Fund Cre I FI RF Cred Priv</t>
  </si>
  <si>
    <t>Brad FI Financeiro RF Créd Priv</t>
  </si>
  <si>
    <t>Brad FI RF Cred Priv Dedicado Ans</t>
  </si>
  <si>
    <t>Brad FI RF Cred Priv Ie Yield Explorer</t>
  </si>
  <si>
    <t>-147309.74</t>
  </si>
  <si>
    <t>-11475.78</t>
  </si>
  <si>
    <t>-125918.18</t>
  </si>
  <si>
    <t>-9915.78</t>
  </si>
  <si>
    <t>Brad FI RF Cred Priv Vr</t>
  </si>
  <si>
    <t>5036744.62</t>
  </si>
  <si>
    <t>-7624793.14</t>
  </si>
  <si>
    <t>2919278.03</t>
  </si>
  <si>
    <t>9742259.73</t>
  </si>
  <si>
    <t>Brad H FI RF Cred Priv Health Care Plus</t>
  </si>
  <si>
    <t>Bradesco Classe de Investimento RF Cred Priv Ratt</t>
  </si>
  <si>
    <t>Bradesco Cresol FI RF Cred Priv</t>
  </si>
  <si>
    <t>Bradesco Debêntures Incentivadas CDI II Classe de</t>
  </si>
  <si>
    <t>7579671.29</t>
  </si>
  <si>
    <t>6302731.03</t>
  </si>
  <si>
    <t>-10490343.52</t>
  </si>
  <si>
    <t>Bradesco Debêntures Incentivadas Inflação II Class</t>
  </si>
  <si>
    <t>-1882969.13</t>
  </si>
  <si>
    <t>-2486215.13</t>
  </si>
  <si>
    <t>Bradesco Feeder Tna FI RF Cred Priv</t>
  </si>
  <si>
    <t>Bradesco FI RF Cred Priv East</t>
  </si>
  <si>
    <t>Bradesco FI RF Cred Priv Virada</t>
  </si>
  <si>
    <t>-7050910.25</t>
  </si>
  <si>
    <t>-7356833.67</t>
  </si>
  <si>
    <t>-70731.96</t>
  </si>
  <si>
    <t>Bradesco FI RF Gestão Cred Priv</t>
  </si>
  <si>
    <t>Bradesco H FI RF Cred Priv LP Ativo</t>
  </si>
  <si>
    <t>Bradesco Hub Ultra FI RF Cred Priv Fife</t>
  </si>
  <si>
    <t>205067.85</t>
  </si>
  <si>
    <t>6077451.34</t>
  </si>
  <si>
    <t>-486676.19</t>
  </si>
  <si>
    <t>Bradesco LF Macae FI RF Cred Priv</t>
  </si>
  <si>
    <t>-25062.46</t>
  </si>
  <si>
    <t>Bradesco Portfólio Debêntures Incentivadas CDI Cla</t>
  </si>
  <si>
    <t>-2527331.67</t>
  </si>
  <si>
    <t>Bradesco Ultra II Classe de Cotas de Investimento</t>
  </si>
  <si>
    <t>Brain Corporativo 30 Classe de Investimento RF Cre</t>
  </si>
  <si>
    <t>Bram Deb Inc CDI Fdo Inc de Inv Infra RF</t>
  </si>
  <si>
    <t>-230003.22</t>
  </si>
  <si>
    <t>-9152293.48</t>
  </si>
  <si>
    <t>Bram Deb Inc CDI II FI Incent I Infra RF</t>
  </si>
  <si>
    <t>-15921582.24</t>
  </si>
  <si>
    <t>Bram Debêntures Incentivadas CDI 2402 Classe de In</t>
  </si>
  <si>
    <t>Bram Debêntures Incentivadas CDI 2405 FIF Renda FI</t>
  </si>
  <si>
    <t>Bram FI RF Cred Priv</t>
  </si>
  <si>
    <t>-4057547.7</t>
  </si>
  <si>
    <t>30776267.18</t>
  </si>
  <si>
    <t>-22184075.48</t>
  </si>
  <si>
    <t>Bram FI RF Cred Priv Capital</t>
  </si>
  <si>
    <t>-3414153.46</t>
  </si>
  <si>
    <t>-156015.86</t>
  </si>
  <si>
    <t>-451237.6</t>
  </si>
  <si>
    <t>Bram FI RF Cred Priv Capital II</t>
  </si>
  <si>
    <t>25608587.27</t>
  </si>
  <si>
    <t>28073151.38</t>
  </si>
  <si>
    <t>-31017057.65</t>
  </si>
  <si>
    <t>Bram FI RF Cred Priv Credit High Yield</t>
  </si>
  <si>
    <t>Bram FI RF Cred Priv Crédito Inflação</t>
  </si>
  <si>
    <t>-55127.14</t>
  </si>
  <si>
    <t>-3020928.85</t>
  </si>
  <si>
    <t>-90855.39</t>
  </si>
  <si>
    <t>Bram FI RF Cred Priv High Yield 2</t>
  </si>
  <si>
    <t>Bram FI RF Cred Priv High Yield 3</t>
  </si>
  <si>
    <t>Bram FI RF Cred Priv Is Sustentabilidade</t>
  </si>
  <si>
    <t>-712717.98</t>
  </si>
  <si>
    <t>26198.2</t>
  </si>
  <si>
    <t>-234830.25</t>
  </si>
  <si>
    <t>-504085.93</t>
  </si>
  <si>
    <t>Bram FI RF Cred Priv Livre</t>
  </si>
  <si>
    <t>-19955488.4</t>
  </si>
  <si>
    <t>-15085720.03</t>
  </si>
  <si>
    <t>-16527744.96</t>
  </si>
  <si>
    <t>11657976.59</t>
  </si>
  <si>
    <t>Bram FI RF Cred Priv Ultra</t>
  </si>
  <si>
    <t>-533341.55</t>
  </si>
  <si>
    <t>-577265.68</t>
  </si>
  <si>
    <t>43924.13</t>
  </si>
  <si>
    <t>Bram Institucional FI RF Cred Priv</t>
  </si>
  <si>
    <t>Bram IQ FI RF Cred Priv</t>
  </si>
  <si>
    <t>Brasil Asset Fund II FI RF - Cred Priv</t>
  </si>
  <si>
    <t>Brasil Corporate FI RF Cred Priv LP</t>
  </si>
  <si>
    <t>Brasil Pl Foz Iguaçu FI RF Cred Priv LP</t>
  </si>
  <si>
    <t>Brasil Plural Cred Priv Triple A FI RF</t>
  </si>
  <si>
    <t>Brasil Plural M Tfo F I I I RF Cred Priv</t>
  </si>
  <si>
    <t>Brasil Plural Master Prev Cred Priv Firf</t>
  </si>
  <si>
    <t>-120208.99</t>
  </si>
  <si>
    <t>229897.62</t>
  </si>
  <si>
    <t>-1333390.88</t>
  </si>
  <si>
    <t>Brasilprev Top Tp FI RF Cred Priv</t>
  </si>
  <si>
    <t>-400715796.97</t>
  </si>
  <si>
    <t>-292778162.95</t>
  </si>
  <si>
    <t>-47623397.13</t>
  </si>
  <si>
    <t>-60314236.89</t>
  </si>
  <si>
    <t>Brave Previdência Fife FI RF Cred Priv</t>
  </si>
  <si>
    <t>3437599.58</t>
  </si>
  <si>
    <t>597677.31</t>
  </si>
  <si>
    <t>1724279.62</t>
  </si>
  <si>
    <t>1115642.65</t>
  </si>
  <si>
    <t>Brp Debêntures Incentivadas FIF Infra RF Cred Priv</t>
  </si>
  <si>
    <t>Bt P Cred Corp Esg FI RF Is Cred Priv LP</t>
  </si>
  <si>
    <t>BTG Infra Ma II FI Inc Inf RF Cred Priv</t>
  </si>
  <si>
    <t>BTG Infra Master III FI Inc em Infra RF Cred Priv</t>
  </si>
  <si>
    <t>BTG P Cre Corp Prev IPCA FI RF Cred Priv</t>
  </si>
  <si>
    <t>62999.58</t>
  </si>
  <si>
    <t>-91391.48</t>
  </si>
  <si>
    <t>BTG Pac Consórcio FI RF Ref DI Cred Priv</t>
  </si>
  <si>
    <t>BTG Pac Cred Cor Fife RF Cred Priv FI Pr</t>
  </si>
  <si>
    <t>47214.6</t>
  </si>
  <si>
    <t>23607.3</t>
  </si>
  <si>
    <t>BTG Pac Cred Cor Mas III FI RF Cred Priv</t>
  </si>
  <si>
    <t>3606057.65</t>
  </si>
  <si>
    <t>-2338900.43</t>
  </si>
  <si>
    <t>266455.26</t>
  </si>
  <si>
    <t>BTG Pac Deb In M FI In de In em Infra RF</t>
  </si>
  <si>
    <t>2268339.32</t>
  </si>
  <si>
    <t>1406445.02</t>
  </si>
  <si>
    <t>1809779.89</t>
  </si>
  <si>
    <t>-947885.59</t>
  </si>
  <si>
    <t>BTG Pac Mult Cdb FI RF Ref DI Cred Priv</t>
  </si>
  <si>
    <t>-102748.58</t>
  </si>
  <si>
    <t>BTG Pact Ans RF FI RF Cred Priv</t>
  </si>
  <si>
    <t>BTG Pact Cred Corp Ip FI RF Cred Priv LP</t>
  </si>
  <si>
    <t>-31328.22</t>
  </si>
  <si>
    <t>BTG Pact D I In M FI In de Inv em Inf RF</t>
  </si>
  <si>
    <t>-213615.43</t>
  </si>
  <si>
    <t>99957.73</t>
  </si>
  <si>
    <t>153845.64</t>
  </si>
  <si>
    <t>-467418.8</t>
  </si>
  <si>
    <t>BTG Pact Hed FI Inc Infra RF Cred Priv</t>
  </si>
  <si>
    <t>-1034086.14</t>
  </si>
  <si>
    <t>-3763846.03</t>
  </si>
  <si>
    <t>-2603931.5</t>
  </si>
  <si>
    <t>BTG Pactual Cdb Plus Ans FI RF Cred Priv</t>
  </si>
  <si>
    <t>BTG Pactual Crédito Corporativo II Previdência Fun</t>
  </si>
  <si>
    <t>11979228.7</t>
  </si>
  <si>
    <t>-6414418.39</t>
  </si>
  <si>
    <t>7382518.48</t>
  </si>
  <si>
    <t>11011128.61</t>
  </si>
  <si>
    <t>BTG Pactual Hedge FI RF Cred Priv</t>
  </si>
  <si>
    <t>BTG Pactual Hedge II FI RF Cred Priv</t>
  </si>
  <si>
    <t>BTG Pactual Int Z FI RF</t>
  </si>
  <si>
    <t>1626366.57</t>
  </si>
  <si>
    <t>BTG Pactual Yield Prev FI RF Cred Priv</t>
  </si>
  <si>
    <t>-8584695.69</t>
  </si>
  <si>
    <t>125869.91</t>
  </si>
  <si>
    <t>-120307.78</t>
  </si>
  <si>
    <t>-8590257.82</t>
  </si>
  <si>
    <t>Buffett Deb In FI Inc Infra RF Cred Priv</t>
  </si>
  <si>
    <t>Butia Deb FI In de In em Infra RF LP</t>
  </si>
  <si>
    <t>-15535.17</t>
  </si>
  <si>
    <t>217.13</t>
  </si>
  <si>
    <t>-15852.3</t>
  </si>
  <si>
    <t>Butia Plus Cred Priv FI RF</t>
  </si>
  <si>
    <t>Butia Top Cred Priv FI RF Master</t>
  </si>
  <si>
    <t>-4484457.92</t>
  </si>
  <si>
    <t>-2107457.92</t>
  </si>
  <si>
    <t>Butiá Top Prev Fife FI RF Cred Priv</t>
  </si>
  <si>
    <t>BV Crédito Ativo RF Cred Priv LP FI</t>
  </si>
  <si>
    <t>BV Plus RF Fundo Incentivado de Investimento Finan</t>
  </si>
  <si>
    <t>2146197.67</t>
  </si>
  <si>
    <t>BV RF Cred Priv FI</t>
  </si>
  <si>
    <t>-20505357.88</t>
  </si>
  <si>
    <t>-628701.54</t>
  </si>
  <si>
    <t>-19876656.34</t>
  </si>
  <si>
    <t>Bws Seleção Cred FI RF Cred Priv</t>
  </si>
  <si>
    <t>Caixa Esmeralda Corporativo FIF em Cotas de Renda</t>
  </si>
  <si>
    <t>-10322802.72</t>
  </si>
  <si>
    <t>-11558273.21</t>
  </si>
  <si>
    <t>2904053.95</t>
  </si>
  <si>
    <t>-1668583.46</t>
  </si>
  <si>
    <t>Caixa FI Brasil IPCA Xvi RF Cred Priv</t>
  </si>
  <si>
    <t>Caixa FI Diamante Corp RF Créd Priv LP</t>
  </si>
  <si>
    <t>-29180731.99</t>
  </si>
  <si>
    <t>-12255911.57</t>
  </si>
  <si>
    <t>29537853.05</t>
  </si>
  <si>
    <t>Caixa FI Fgbp RF Cred Priv LP</t>
  </si>
  <si>
    <t>-155815.68</t>
  </si>
  <si>
    <t>Caixa FI Fidelidade II RF Cred Priv LP</t>
  </si>
  <si>
    <t>-20299377.64</t>
  </si>
  <si>
    <t>-20239287.03</t>
  </si>
  <si>
    <t>-35206.59</t>
  </si>
  <si>
    <t>-24884.02</t>
  </si>
  <si>
    <t>Caixa FI Master RF Cred Priv LP</t>
  </si>
  <si>
    <t>3600621.03</t>
  </si>
  <si>
    <t>-13957746.44</t>
  </si>
  <si>
    <t>63498421.89</t>
  </si>
  <si>
    <t>Caixa FI Qualificado RF Cred Priv LP</t>
  </si>
  <si>
    <t>-2046520.24</t>
  </si>
  <si>
    <t>-51372.27</t>
  </si>
  <si>
    <t>-98409.53</t>
  </si>
  <si>
    <t>-1896738.44</t>
  </si>
  <si>
    <t>Caixa FI Xvi RF Cred Priv LP</t>
  </si>
  <si>
    <t>33269356.11</t>
  </si>
  <si>
    <t>-3729200.97</t>
  </si>
  <si>
    <t>422557.08</t>
  </si>
  <si>
    <t>Caixa Master II FIF em RF Ref DI Créd Priv</t>
  </si>
  <si>
    <t>Caixa Unique Private Cic de Classe de FIF RF Créd</t>
  </si>
  <si>
    <t>-903520.87</t>
  </si>
  <si>
    <t>Cap Prev I30 A Xp S FI RF Cred Priv Fife</t>
  </si>
  <si>
    <t>Capitânia Cart Cri IPCA FI RF Cred Priv</t>
  </si>
  <si>
    <t>Capitania Cash FI RF Cred Priv</t>
  </si>
  <si>
    <t>Capitânia Credprevidência Máster FI RF Cred Priv</t>
  </si>
  <si>
    <t>Capitânia Governance Cred Priv FI RF</t>
  </si>
  <si>
    <t>Capitânia Inf 90 FI Inv Inf RF Cred Priv</t>
  </si>
  <si>
    <t>Capitânia Infra Master V FI Inc Infra RF Cred Priv</t>
  </si>
  <si>
    <t>Capitania Infra Renda 90 Fundo Incentivado de Inve</t>
  </si>
  <si>
    <t>1875613.78</t>
  </si>
  <si>
    <t>1147159.09</t>
  </si>
  <si>
    <t>465544.48</t>
  </si>
  <si>
    <t>262910.21</t>
  </si>
  <si>
    <t>Capitania Mult Recebiveis FI RF Cred Priv</t>
  </si>
  <si>
    <t>Capitânia P A Xp S Fife FI RF Cred Priv</t>
  </si>
  <si>
    <t>-19156403.01</t>
  </si>
  <si>
    <t>-7587445.69</t>
  </si>
  <si>
    <t>-6653826.32</t>
  </si>
  <si>
    <t>Capitania Premium Mst FI RF Cred Priv LP</t>
  </si>
  <si>
    <t>Carteira Corporativa 97 FIF RF Créd Priv Resp Limi</t>
  </si>
  <si>
    <t>-2801860.68</t>
  </si>
  <si>
    <t>-2745356.64</t>
  </si>
  <si>
    <t>-56504.04</t>
  </si>
  <si>
    <t>Cartor Insignia FI - RF - Cred Priv - LP</t>
  </si>
  <si>
    <t>13208.95</t>
  </si>
  <si>
    <t>Cashplan FI RF Cred Priv</t>
  </si>
  <si>
    <t>-2658045.99</t>
  </si>
  <si>
    <t>-178359.7</t>
  </si>
  <si>
    <t>6267919.8</t>
  </si>
  <si>
    <t>Cast Iron Debent Incent Infrae Ci RF Cred Priv</t>
  </si>
  <si>
    <t>Cic de Investimento RF Ref DI Cred Priv Coral K</t>
  </si>
  <si>
    <t>-1819866.36</t>
  </si>
  <si>
    <t>Cl Única do BTG Pactual Crédito Corporativo AAA FI</t>
  </si>
  <si>
    <t>Cl Única do Citrino Debentures FI Inc de Inv em In</t>
  </si>
  <si>
    <t>Cl Unica Drys Inc Master FI Inc de Inv em Infra RF</t>
  </si>
  <si>
    <t>Cl Unica M8 Capital Prev Fife FI RF Cred Priv Resp</t>
  </si>
  <si>
    <t>303296.61</t>
  </si>
  <si>
    <t>121359.38</t>
  </si>
  <si>
    <t>140639.56</t>
  </si>
  <si>
    <t>41297.67</t>
  </si>
  <si>
    <t>Claritas FI RF Créd Priv LP</t>
  </si>
  <si>
    <t>1116089.46</t>
  </si>
  <si>
    <t>79401.74</t>
  </si>
  <si>
    <t>13667.6</t>
  </si>
  <si>
    <t>1023020.12</t>
  </si>
  <si>
    <t>Classe I FIF Cash D30 RF Cred Priv Resp Limitada</t>
  </si>
  <si>
    <t>Classe Única de Cotas do Absolute Creta P Fundo de</t>
  </si>
  <si>
    <t>513909.53</t>
  </si>
  <si>
    <t>1127777.13</t>
  </si>
  <si>
    <t>244851.38</t>
  </si>
  <si>
    <t>Classe Única de Cotas do Absolute Hidra CDI A Fund</t>
  </si>
  <si>
    <t>Classe Única de Cotas do Absolute Hidra Tot Return</t>
  </si>
  <si>
    <t>Classe Única de Cotas do Altera Crédito Fundo de I</t>
  </si>
  <si>
    <t>-441459.88</t>
  </si>
  <si>
    <t>Classe Única de Cotas do Amb Isento Fundo Incentiv</t>
  </si>
  <si>
    <t>Classe Única de Cotas do Apalache Fundo Incentivad</t>
  </si>
  <si>
    <t>Classe Única de Cotas do Atena Vp Yield D30 Fundo</t>
  </si>
  <si>
    <t>Classe Única de Cotas do Black Swan Fundo Incentiv</t>
  </si>
  <si>
    <t>Classe Única de Cotas do Bocaina Infra 60 Instituc</t>
  </si>
  <si>
    <t>Classe Única de Cotas do Bocaina Infra 60 Instituc.1</t>
  </si>
  <si>
    <t>Classe Única de Cotas do Bocaina Infra 60 IPCA Fun</t>
  </si>
  <si>
    <t>Classe Única de Cotas do Bocaina Infra 60 IPCA Mas</t>
  </si>
  <si>
    <t>Classe Única de Cotas do Bocaina Infra Master IV -</t>
  </si>
  <si>
    <t>Classe Única de Cotas do Bocaina Infra Master V -</t>
  </si>
  <si>
    <t>Classe Única de Cotas do Brave 45 Fundo de Investi</t>
  </si>
  <si>
    <t>Classe Única de Cotas do BTG Pactual Debêntures In</t>
  </si>
  <si>
    <t>Classe Única de Cotas do BTG Pactual Dívida Infra</t>
  </si>
  <si>
    <t>Classe Única de Cotas do BTG Pactual Empresarial L</t>
  </si>
  <si>
    <t>Classe Única de Cotas do BTG Pactual Total Renda F</t>
  </si>
  <si>
    <t>-1062239.58</t>
  </si>
  <si>
    <t>-387171.51</t>
  </si>
  <si>
    <t>-182803.3</t>
  </si>
  <si>
    <t>-492264.77</t>
  </si>
  <si>
    <t>Classe Única de Cotas do BTG Patrimonial Fundo de</t>
  </si>
  <si>
    <t>Classe Única de Cotas do Capitânia Infra Master VI</t>
  </si>
  <si>
    <t>Classe Única de Cotas do Chinook Fundo Incentivado</t>
  </si>
  <si>
    <t>Classe Única de Cotas do Clave Mult Credit Fundo</t>
  </si>
  <si>
    <t>Classe Única de Cotas do Clave Mult Credit Master</t>
  </si>
  <si>
    <t>Classe Única de Cotas do Convexa Alocação Fundo de</t>
  </si>
  <si>
    <t>-252570.65</t>
  </si>
  <si>
    <t>Classe Única de Cotas do Drys Fundo de Investiment</t>
  </si>
  <si>
    <t>Classe Única de Cotas do Eagle Eye Fundo Incentiva</t>
  </si>
  <si>
    <t>Classe Única de Cotas do Eagle J3 Fundo Incentivad</t>
  </si>
  <si>
    <t>Classe Única de Cotas do Echos Debêntures Incentiv</t>
  </si>
  <si>
    <t>Classe Única de Cotas do FI Private Fundo de Inves</t>
  </si>
  <si>
    <t>-11446.85</t>
  </si>
  <si>
    <t>Classe Única de Cotas do G5 FI</t>
  </si>
  <si>
    <t>Classe Única de Cotas do G5 Milano Fundo Incentiva</t>
  </si>
  <si>
    <t>Classe Única de Cotas do Galapagos Nazca Debênture</t>
  </si>
  <si>
    <t>172781.98</t>
  </si>
  <si>
    <t>Classe Única de Cotas do Journey Capital 10a Fundo</t>
  </si>
  <si>
    <t>Classe Única de Cotas do Journey Capital 20a Fundo</t>
  </si>
  <si>
    <t>-48377987.59</t>
  </si>
  <si>
    <t>-48627987.59</t>
  </si>
  <si>
    <t>Classe Única de Cotas do Lmpar Fundo Incentivado D</t>
  </si>
  <si>
    <t>Classe Única de Cotas do Luni Fundo Incentivado de</t>
  </si>
  <si>
    <t>Classe Única de Cotas do Mag Cash 10 Fundo de Inve</t>
  </si>
  <si>
    <t>4937211.75</t>
  </si>
  <si>
    <t>4091129.61</t>
  </si>
  <si>
    <t>603819.06</t>
  </si>
  <si>
    <t>242263.08</t>
  </si>
  <si>
    <t>Classe Única de Cotas do Mercado Pago Nikos Segura</t>
  </si>
  <si>
    <t>-3950938.53</t>
  </si>
  <si>
    <t>-1196257.35</t>
  </si>
  <si>
    <t>-1384429.17</t>
  </si>
  <si>
    <t>-1370252.01</t>
  </si>
  <si>
    <t>Classe Única de Cotas do Mra Infra Fundo Incentiva</t>
  </si>
  <si>
    <t>Classe Única de Cotas do Murano Fundo Incentivado</t>
  </si>
  <si>
    <t>Classe Única de Cotas do Nikos Debêntures Incentiv</t>
  </si>
  <si>
    <t>-29693.88</t>
  </si>
  <si>
    <t>Classe Única de Cotas do Nikos DI Plus Referenciad</t>
  </si>
  <si>
    <t>-2511014.81</t>
  </si>
  <si>
    <t>-140089.05</t>
  </si>
  <si>
    <t>-454993.16</t>
  </si>
  <si>
    <t>-1915932.6</t>
  </si>
  <si>
    <t>Classe Única de Cotas do Opi Fife Previdência Fund</t>
  </si>
  <si>
    <t>Classe Única de Cotas do Persevera Yield Fundo de</t>
  </si>
  <si>
    <t>1091007.91</t>
  </si>
  <si>
    <t>-530210.5</t>
  </si>
  <si>
    <t>1521789.97</t>
  </si>
  <si>
    <t>99428.44</t>
  </si>
  <si>
    <t>Classe Única de Cotas do Principal Claritas Debênt</t>
  </si>
  <si>
    <t>Classe Única de Cotas do Ps Debêntures Incentivada</t>
  </si>
  <si>
    <t>-331665.59</t>
  </si>
  <si>
    <t>66515.02</t>
  </si>
  <si>
    <t>14754.4</t>
  </si>
  <si>
    <t>Classe Única de Cotas do Ps Hbsa Fundo de Investim</t>
  </si>
  <si>
    <t>Classe Única de Cotas do Ps Master Fundo Incentiva</t>
  </si>
  <si>
    <t>-2321955.09</t>
  </si>
  <si>
    <t>-803910.94</t>
  </si>
  <si>
    <t>-1067143.53</t>
  </si>
  <si>
    <t>Classe Única de Cotas do Psl 1 Fundo Incentivado D</t>
  </si>
  <si>
    <t>Classe Única de Cotas do Psl 2 Fundo Incentivado D</t>
  </si>
  <si>
    <t>Classe Única de Cotas do Psl FI</t>
  </si>
  <si>
    <t>-39224441.25</t>
  </si>
  <si>
    <t>4566097.08</t>
  </si>
  <si>
    <t>31878278.61</t>
  </si>
  <si>
    <t>Classe Única de Cotas do Pso FI</t>
  </si>
  <si>
    <t>-2197458.4</t>
  </si>
  <si>
    <t>-2120458.4</t>
  </si>
  <si>
    <t>Classe Única de Cotas do Root Capital Ipê Fundo In</t>
  </si>
  <si>
    <t>Classe Única de Cotas do Rubik Debentures Incentiv</t>
  </si>
  <si>
    <t>Classe Única de Cotas do S24 Fundo Incentivado de</t>
  </si>
  <si>
    <t>Classe Única de Cotas do São Pedro Fundo Incentiva</t>
  </si>
  <si>
    <t>Classe Única de Cotas do Seed Debentures Fundo de</t>
  </si>
  <si>
    <t>Classe Única de Cotas do Seven Investors Fundo de</t>
  </si>
  <si>
    <t>-130517.17</t>
  </si>
  <si>
    <t>Classe Única de Cotas do Solutions Debêntures Ince</t>
  </si>
  <si>
    <t>Classe Única de Cotas do Somma Verona Debêntures F</t>
  </si>
  <si>
    <t>99509.21</t>
  </si>
  <si>
    <t>Classe Única de Cotas do Sparta Infra Fundo de Inv</t>
  </si>
  <si>
    <t>Classe Única de Cotas do Sparta Infra Master I Fun</t>
  </si>
  <si>
    <t>Classe Única de Cotas do Sparta Infra Master III F</t>
  </si>
  <si>
    <t>Classe Única de Cotas do Sparta Infra Master V Fun</t>
  </si>
  <si>
    <t>Classe Única de Cotas do Sparta Infra Master VI Fu</t>
  </si>
  <si>
    <t>Classe Única de Cotas do Sparta Vp Fundo de Invest</t>
  </si>
  <si>
    <t>Classe Única de Cotas do Sten Debêntures Incentiva</t>
  </si>
  <si>
    <t>Classe Única de Cotas do Strix D1 Fundo de Investi</t>
  </si>
  <si>
    <t>Classe Única de Cotas do Strix Infra Fundo de Inve</t>
  </si>
  <si>
    <t>Classe Única de Cotas do Strix Yield Fundo de Inve</t>
  </si>
  <si>
    <t>Classe Única de Cotas do Strix Yield Master Fundo</t>
  </si>
  <si>
    <t>Classe Única de Cotas do Tenax Rfa Previdência FIF</t>
  </si>
  <si>
    <t>Classe Única de Cotas do Trigono Debentures Incent</t>
  </si>
  <si>
    <t>Classe Única de Cotas do Trígono Fundo de Investim</t>
  </si>
  <si>
    <t>30947.48</t>
  </si>
  <si>
    <t>-1030053.59</t>
  </si>
  <si>
    <t>1151.11</t>
  </si>
  <si>
    <t>Classe Única de Cotas do Trigono Polaris BB Debent</t>
  </si>
  <si>
    <t>Classe Única de Cotas do Trigono Polaris Debenture</t>
  </si>
  <si>
    <t>Classe Única de Cotas do Trígono Sirius Fundo de I</t>
  </si>
  <si>
    <t>-998653.46</t>
  </si>
  <si>
    <t>-999952.52</t>
  </si>
  <si>
    <t>1299.06</t>
  </si>
  <si>
    <t>Classe Única de Cotas do Upon Capital Debêntures I</t>
  </si>
  <si>
    <t>Classe Única de Cotas do Vêneto Corporate Fundo de</t>
  </si>
  <si>
    <t>2997.74</t>
  </si>
  <si>
    <t>23635.28</t>
  </si>
  <si>
    <t>Classe Única de Cotas do Vinci Crédito Fundo de In</t>
  </si>
  <si>
    <t>Classe Única de Cotas do Vinci Crédito Infra Maste</t>
  </si>
  <si>
    <t>Classe Única de Cotas do Vinland Crédito Instituci</t>
  </si>
  <si>
    <t>Classe Única de Cotas do Vinland Crédito Master In</t>
  </si>
  <si>
    <t>Classe Única de Cotas do Virtus Fundo Incentivado</t>
  </si>
  <si>
    <t>-303430.45</t>
  </si>
  <si>
    <t>-56860.21</t>
  </si>
  <si>
    <t>-505965.67</t>
  </si>
  <si>
    <t>Classe Única de Investimento do BTG Pactual Dívida</t>
  </si>
  <si>
    <t>Classe Única FI RF Cred Priv Resp Limitada LP - Cl</t>
  </si>
  <si>
    <t>Classe Única Quartzo Titan FI RF Cred Priv LP Resp</t>
  </si>
  <si>
    <t>-1596312.01</t>
  </si>
  <si>
    <t>-84519.61</t>
  </si>
  <si>
    <t>-1506759.25</t>
  </si>
  <si>
    <t>-5033.15</t>
  </si>
  <si>
    <t>Compass Credit Selection FI RF Cred Priv LP</t>
  </si>
  <si>
    <t>Compass High Grade Icatu Previdência Fife Fundo de</t>
  </si>
  <si>
    <t>Compass Yield 30 FI RF Cred Priv LP</t>
  </si>
  <si>
    <t>-3550845.41</t>
  </si>
  <si>
    <t>-5588188.29</t>
  </si>
  <si>
    <t>1156999.75</t>
  </si>
  <si>
    <t>880343.13</t>
  </si>
  <si>
    <t>Concessões Brasil 2 FIF RF Cred Priv Resp Limitada</t>
  </si>
  <si>
    <t>-5864227.31</t>
  </si>
  <si>
    <t>8875579.89</t>
  </si>
  <si>
    <t>12311206.75</t>
  </si>
  <si>
    <t>Concordia Extra FI RF Cred Priv</t>
  </si>
  <si>
    <t>Core Crédito N Fife FIF RF Cred Priv LP - Resp Lim</t>
  </si>
  <si>
    <t>-981048.18</t>
  </si>
  <si>
    <t>-665328.04</t>
  </si>
  <si>
    <t>Core II Crédito FIF RF Cred Priv LP - Res</t>
  </si>
  <si>
    <t>1628957.85</t>
  </si>
  <si>
    <t>1831746.51</t>
  </si>
  <si>
    <t>-202788.66</t>
  </si>
  <si>
    <t>Corporate FI RF Cred Priv</t>
  </si>
  <si>
    <t>Crasso Ci RF Infra Incentivado Cred Priv</t>
  </si>
  <si>
    <t>CS Ev M Po Cred Priv CDI FI Inc Infra RF</t>
  </si>
  <si>
    <t>863608.31</t>
  </si>
  <si>
    <t>1519525.72</t>
  </si>
  <si>
    <t>-2346973.74</t>
  </si>
  <si>
    <t>CS Ev Port Inf Cred Priv Fcfi Inc Inf RF</t>
  </si>
  <si>
    <t>-708868.41</t>
  </si>
  <si>
    <t>CS Evol M Port Cred Priv FI Inc Inf RF</t>
  </si>
  <si>
    <t>-709386.37</t>
  </si>
  <si>
    <t>CSHG Jgp Deb Incentivadas IPCA Cic Infra RF Cred P</t>
  </si>
  <si>
    <t>CSHG Spx Seahawk Debentures Incentivadas Cic FI In</t>
  </si>
  <si>
    <t>Daycoval Ans FI RF Cred Priv</t>
  </si>
  <si>
    <t>Daycoval Classic 90 FI em RF Cred Priv L</t>
  </si>
  <si>
    <t>1040565.12</t>
  </si>
  <si>
    <t>-169434.88</t>
  </si>
  <si>
    <t>Devant Audax FI RF LP Cred Priv</t>
  </si>
  <si>
    <t>-625262.96</t>
  </si>
  <si>
    <t>Devant Magna FI RF Créd Priv LP</t>
  </si>
  <si>
    <t>-82666.01</t>
  </si>
  <si>
    <t>Devant Solidus Cash FI RF Créd Priv</t>
  </si>
  <si>
    <t>-272515.63</t>
  </si>
  <si>
    <t>-184234.04</t>
  </si>
  <si>
    <t>-28710.57</t>
  </si>
  <si>
    <t>-59571.02</t>
  </si>
  <si>
    <t>Diamond 2 FIF Cic RF Cred Priv - Resp Limitada</t>
  </si>
  <si>
    <t>-192289261.01</t>
  </si>
  <si>
    <t>-291507.64</t>
  </si>
  <si>
    <t>Digital Strategy RF Cred Priv</t>
  </si>
  <si>
    <t>Dlm Ans FI RF Cred Priv LP</t>
  </si>
  <si>
    <t>Empiricus RF Ativo FI RF Cred Priv LP</t>
  </si>
  <si>
    <t>Epl Deb Incentiv FI Incetiv Infra RF</t>
  </si>
  <si>
    <t>Eqi Master Termo FI RF Cred Priv</t>
  </si>
  <si>
    <t>Equitas Shelter Master FI RF Cred Priv LP</t>
  </si>
  <si>
    <t>2358756.25</t>
  </si>
  <si>
    <t>-23399.12</t>
  </si>
  <si>
    <t>2173195.37</t>
  </si>
  <si>
    <t>Estapart FIF Cic RF Créd Priv Resp Limitada</t>
  </si>
  <si>
    <t>8369946.82</t>
  </si>
  <si>
    <t>722530.67</t>
  </si>
  <si>
    <t>3518700.86</t>
  </si>
  <si>
    <t>4128715.29</t>
  </si>
  <si>
    <t>Fator Debentures Inc Infra RF Cred Priv</t>
  </si>
  <si>
    <t>Fcopel FI RF Cred Priv</t>
  </si>
  <si>
    <t>Fcopel FI RF Créd Priv III</t>
  </si>
  <si>
    <t>FI RF Cred Priv Infraestr Incentivado</t>
  </si>
  <si>
    <t>FI RF Cred Priv Value Prev Cma II</t>
  </si>
  <si>
    <t>-13752776.83</t>
  </si>
  <si>
    <t>-13766431.25</t>
  </si>
  <si>
    <t>13654.42</t>
  </si>
  <si>
    <t>FI RF Cred Priv Value Prev Cma III</t>
  </si>
  <si>
    <t>-2328088.51</t>
  </si>
  <si>
    <t>-1328088.51</t>
  </si>
  <si>
    <t>FI RF Cred Priv Value Prev Sc III</t>
  </si>
  <si>
    <t>23287876.3</t>
  </si>
  <si>
    <t>15623442.21</t>
  </si>
  <si>
    <t>7664434.09</t>
  </si>
  <si>
    <t>FI Security RF Referen DI LP Cred Priv</t>
  </si>
  <si>
    <t>FI Sita RF Cred Priv LP</t>
  </si>
  <si>
    <t>Fibra Fundo Invest Premium RF Cred Priv</t>
  </si>
  <si>
    <t>Ford II Pre FI RF Cred Priv Ie</t>
  </si>
  <si>
    <t>Ford III Pre FI RF Cred Priv Ie</t>
  </si>
  <si>
    <t>Ford Pre FI RF Cred Priv Ie</t>
  </si>
  <si>
    <t>Ford Usd FI RF Cred Priv Ie</t>
  </si>
  <si>
    <t>Frm FI RF Cred Priv</t>
  </si>
  <si>
    <t>Fyto Cash Bank FI Financeiro RF</t>
  </si>
  <si>
    <t>-2092510.37</t>
  </si>
  <si>
    <t>-2397518.49</t>
  </si>
  <si>
    <t>207232.36</t>
  </si>
  <si>
    <t>97775.76</t>
  </si>
  <si>
    <t>G5 Alloc FI Inc Infra CDI RF Cred Priv</t>
  </si>
  <si>
    <t>-682213.79</t>
  </si>
  <si>
    <t>G5 Allocation Inflacao FI RF Cred Priv</t>
  </si>
  <si>
    <t>-548012.43</t>
  </si>
  <si>
    <t>G5 Allocation Prefixado FI RF Cred Priv</t>
  </si>
  <si>
    <t>-285669.42</t>
  </si>
  <si>
    <t>G5 CC FI RF Cred Priv</t>
  </si>
  <si>
    <t>G5 Crpr III FI RF Cred Priv</t>
  </si>
  <si>
    <t>G5 F Delta II FI RF Cred Priv</t>
  </si>
  <si>
    <t>G5 FI In em Infra RF Cred Priv</t>
  </si>
  <si>
    <t>-1372162.38</t>
  </si>
  <si>
    <t>-3658162.38</t>
  </si>
  <si>
    <t>G6 FI RF Cred Priv</t>
  </si>
  <si>
    <t>-939700.7</t>
  </si>
  <si>
    <t>-41579.34</t>
  </si>
  <si>
    <t>-300054.88</t>
  </si>
  <si>
    <t>-598066.48</t>
  </si>
  <si>
    <t>Galapagos Iguana FI Financeiro RF</t>
  </si>
  <si>
    <t>433450.69</t>
  </si>
  <si>
    <t>-173283.3</t>
  </si>
  <si>
    <t>Gauss Estratégia FI RF Cred Priv</t>
  </si>
  <si>
    <t>-127080.43</t>
  </si>
  <si>
    <t>-2004.87</t>
  </si>
  <si>
    <t>-15035.56</t>
  </si>
  <si>
    <t>Geneve RF FI Inc Infra</t>
  </si>
  <si>
    <t>Ghia Extremo Sul FI RF Cred Priv</t>
  </si>
  <si>
    <t>Ica Va Ve Es FI RF Cred Priv Ie</t>
  </si>
  <si>
    <t>Ica Van Cred Priv Li FI RF LP</t>
  </si>
  <si>
    <t>-171201.33</t>
  </si>
  <si>
    <t>-795381.57</t>
  </si>
  <si>
    <t>1203861.61</t>
  </si>
  <si>
    <t>Icatu Seg Fund Incent Invest Infraest RF</t>
  </si>
  <si>
    <t>Icatu Van Abs Plus FI RF Cred Priv Fife</t>
  </si>
  <si>
    <t>Icatu Vang FI Invest em Infra RF LP</t>
  </si>
  <si>
    <t>422080.42</t>
  </si>
  <si>
    <t>-521058.58</t>
  </si>
  <si>
    <t>Icatu Vang FI RF Inflação Cred Priv LP</t>
  </si>
  <si>
    <t>-39317.82</t>
  </si>
  <si>
    <t>-31938.56</t>
  </si>
  <si>
    <t>-7379.26</t>
  </si>
  <si>
    <t>Icatu Vang Tfo F Incent Invest Infr RF</t>
  </si>
  <si>
    <t>Icatu Vanguarda Absoluto Inflação Fife FIF RF Cred</t>
  </si>
  <si>
    <t>Icatu Vanguarda Brasilprev Absoluto Plus Fife Clas</t>
  </si>
  <si>
    <t>-160816.91</t>
  </si>
  <si>
    <t>-16033.86</t>
  </si>
  <si>
    <t>Icatu Vanguarda Créd Priv FI RF LP</t>
  </si>
  <si>
    <t>-184063.44</t>
  </si>
  <si>
    <t>-1037541.38</t>
  </si>
  <si>
    <t>Icatu Vanguarda Cred Priv Inst FI RF</t>
  </si>
  <si>
    <t>Icatu Vanguarda Pvt Classe de Investimento Incent</t>
  </si>
  <si>
    <t>Icatu Vanguarda Veículo Especial Dc Cred Priv Clas</t>
  </si>
  <si>
    <t>Icatu Vanguarda Wm Cred Priv FI RF</t>
  </si>
  <si>
    <t>28056.75</t>
  </si>
  <si>
    <t>-55140.34</t>
  </si>
  <si>
    <t>-10632.7</t>
  </si>
  <si>
    <t>Icatu Vanguarda XI FI RF Cred Priv</t>
  </si>
  <si>
    <t>Impacto Horizonte FI RF Cred Priv</t>
  </si>
  <si>
    <t>Infra Fdo Incent Inv em Infraest RF</t>
  </si>
  <si>
    <t>-247881.26</t>
  </si>
  <si>
    <t>-184298.03</t>
  </si>
  <si>
    <t>Infra Juro Real Kinea FIF Fundo Incentivado em Inv</t>
  </si>
  <si>
    <t>Infra Mst FI Inc Inv Infra RF Cred Priv</t>
  </si>
  <si>
    <t>Infra Plus RF FI Incent Infra Cred Priv</t>
  </si>
  <si>
    <t>Infraestrutura CDI RF Cred Priv</t>
  </si>
  <si>
    <t>-562717.18</t>
  </si>
  <si>
    <t>Integral Cash FI RF Ref DI Cred Priv</t>
  </si>
  <si>
    <t>Integral FI RF Cred Priv</t>
  </si>
  <si>
    <t>-6922196.33</t>
  </si>
  <si>
    <t>48486.26</t>
  </si>
  <si>
    <t>73243.51</t>
  </si>
  <si>
    <t>Inter Conservador FI RF Cred Priv</t>
  </si>
  <si>
    <t>-4710370.66</t>
  </si>
  <si>
    <t>-947808.63</t>
  </si>
  <si>
    <t>-174428.9</t>
  </si>
  <si>
    <t>-3588133.13</t>
  </si>
  <si>
    <t>Inter Corporate FI RF Cred Priv</t>
  </si>
  <si>
    <t>2675947.47</t>
  </si>
  <si>
    <t>1408081.62</t>
  </si>
  <si>
    <t>-1530230.52</t>
  </si>
  <si>
    <t>Inter Hedge F Inc Inv Infr RF Cred Priv</t>
  </si>
  <si>
    <t>-1056589.42</t>
  </si>
  <si>
    <t>3295564.36</t>
  </si>
  <si>
    <t>1807527.13</t>
  </si>
  <si>
    <t>Inter Instituições Finan FI RF Cred Priv</t>
  </si>
  <si>
    <t>15671533.76</t>
  </si>
  <si>
    <t>2981821.99</t>
  </si>
  <si>
    <t>4243841.9</t>
  </si>
  <si>
    <t>8445869.87</t>
  </si>
  <si>
    <t>Inter Premium FI RF Cred Priv LP</t>
  </si>
  <si>
    <t>-6585073.68</t>
  </si>
  <si>
    <t>-352449.51</t>
  </si>
  <si>
    <t>-6098401.18</t>
  </si>
  <si>
    <t>-134222.99</t>
  </si>
  <si>
    <t>Investcoop Alf Sparta FI RF Cred Priv LP</t>
  </si>
  <si>
    <t>Iridium A Master Prev FI RF Cred Priv</t>
  </si>
  <si>
    <t>-334877.28</t>
  </si>
  <si>
    <t>-170581.97</t>
  </si>
  <si>
    <t>-106298.95</t>
  </si>
  <si>
    <t>-57996.36</t>
  </si>
  <si>
    <t>Iridium Apollo FI RF Créd Priv LP</t>
  </si>
  <si>
    <t>-12060696.39</t>
  </si>
  <si>
    <t>-5542504.42</t>
  </si>
  <si>
    <t>-6280727.62</t>
  </si>
  <si>
    <t>-237464.35</t>
  </si>
  <si>
    <t>Iridium Pioneer Debêntures Incentivadas Fundo Ince</t>
  </si>
  <si>
    <t>-198607.02</t>
  </si>
  <si>
    <t>-217107.02</t>
  </si>
  <si>
    <t>Iridium Titan Master FIF RF Cred Priv - Resp Limit</t>
  </si>
  <si>
    <t>Itabaiana FI RF Cred Priv</t>
  </si>
  <si>
    <t>Itajuí Infra Kinea FIF Fundo Incentivado em Invest</t>
  </si>
  <si>
    <t>Itaú Action Deb Incentivadas FIF Incentivado em In</t>
  </si>
  <si>
    <t>119247.55</t>
  </si>
  <si>
    <t>-312075.49</t>
  </si>
  <si>
    <t>-64010.54</t>
  </si>
  <si>
    <t>Itaú Action Deb Incentivadas FIF Incentivado em In.1</t>
  </si>
  <si>
    <t>119205.98</t>
  </si>
  <si>
    <t>18938.21</t>
  </si>
  <si>
    <t>Itaú Action Debêntures Incentivadas Dist FI em Cot</t>
  </si>
  <si>
    <t>279.33</t>
  </si>
  <si>
    <t>-323726.46</t>
  </si>
  <si>
    <t>-52840.87</t>
  </si>
  <si>
    <t>Itaú Active Fix 5 RF Cred Priv FIF Cic - Resp Limi</t>
  </si>
  <si>
    <t>-51227473.49</t>
  </si>
  <si>
    <t>-32339314.8</t>
  </si>
  <si>
    <t>-8451256.14</t>
  </si>
  <si>
    <t>-10436902.55</t>
  </si>
  <si>
    <t>Itaú Artax Infra Fundo Incentivado de Investimento</t>
  </si>
  <si>
    <t>2635140.21</t>
  </si>
  <si>
    <t>992880.21</t>
  </si>
  <si>
    <t>Itaú Artax Infra Fundo Incentivado de Investimento.1</t>
  </si>
  <si>
    <t>Itaú BBA RF Cred Priv Active Fix 5 FIF Cic - Resp</t>
  </si>
  <si>
    <t>233552.58</t>
  </si>
  <si>
    <t>-220447.42</t>
  </si>
  <si>
    <t>Itaú Cavaco FIF RF Cred Priv Resp Limitada</t>
  </si>
  <si>
    <t>5492152.85</t>
  </si>
  <si>
    <t>-10160452.39</t>
  </si>
  <si>
    <t>17542813.48</t>
  </si>
  <si>
    <t>-1890208.24</t>
  </si>
  <si>
    <t>Itaú Consult Deb Inc IPCA FIF Incentivado Cic RF C</t>
  </si>
  <si>
    <t>Itaú Consult Deb Incentivadas CDI FIF Incentivado</t>
  </si>
  <si>
    <t>Itaú Consult Deb Incentivadas CDI Fundo Inc de Inv</t>
  </si>
  <si>
    <t>Itaú Consult Deb Incentivadas IPCA FIF Incentivado</t>
  </si>
  <si>
    <t>Itaú Crédito Bancário Empresas FIF Cic RF Cred Pri</t>
  </si>
  <si>
    <t>34366665.51</t>
  </si>
  <si>
    <t>20033020.79</t>
  </si>
  <si>
    <t>2499371.98</t>
  </si>
  <si>
    <t>11834272.74</t>
  </si>
  <si>
    <t>Itaú Crédito Bancário RF Cred Priv FIF Cic Resp Li</t>
  </si>
  <si>
    <t>209856307.2</t>
  </si>
  <si>
    <t>102210732.81</t>
  </si>
  <si>
    <t>107645574.39</t>
  </si>
  <si>
    <t>Itaú Crédito Bancário RF Créd Priv FIF Resp Limita</t>
  </si>
  <si>
    <t>307348465.8</t>
  </si>
  <si>
    <t>102210507.8</t>
  </si>
  <si>
    <t>107645547.47</t>
  </si>
  <si>
    <t>97492410.53</t>
  </si>
  <si>
    <t>Itaú Deb Inc CDI V FIF Incentivado Infra RF Cred P</t>
  </si>
  <si>
    <t>-713231.34</t>
  </si>
  <si>
    <t>-1751936.5</t>
  </si>
  <si>
    <t>Itaú Deb Incentivadas CDI FIF Incentivado em Infra</t>
  </si>
  <si>
    <t>-14135423.89</t>
  </si>
  <si>
    <t>-1868877.11</t>
  </si>
  <si>
    <t>-6798736.98</t>
  </si>
  <si>
    <t>-5467809.8</t>
  </si>
  <si>
    <t>Itaú Deb Incentivadas CDI IV FIF Incentivado em In</t>
  </si>
  <si>
    <t>Itaú Deb Incentivadas FIF Incentivado em Infra RF</t>
  </si>
  <si>
    <t>18824.26</t>
  </si>
  <si>
    <t>-6251.39</t>
  </si>
  <si>
    <t>Itaú Deb Incentivadas III FIF Incentivado em Infra</t>
  </si>
  <si>
    <t>Itaú Deb Incentivadas Ima-B FIF Infra Cic RF Cred</t>
  </si>
  <si>
    <t>-4658873.19</t>
  </si>
  <si>
    <t>-189589.45</t>
  </si>
  <si>
    <t>-2222078.58</t>
  </si>
  <si>
    <t>-2247205.16</t>
  </si>
  <si>
    <t>Itaú Deb Incentivadas Pré FIF Incentivado Infra RF</t>
  </si>
  <si>
    <t>Itaú Deb Incentivadas Pré II Target 2027 FIF Incen</t>
  </si>
  <si>
    <t>Itau Deb Incentivadas Pre Target 2028 FIF Infra Ci</t>
  </si>
  <si>
    <t>Itaú Deb Incentivadas Pré Target 2028 II FIF Incen</t>
  </si>
  <si>
    <t>Itaú Deb Incentivadas Pré Target 2028 III FIF Ince</t>
  </si>
  <si>
    <t>Itaú Deb Incentivadas Pré Target 2028 IV FIF Incen</t>
  </si>
  <si>
    <t>Itaú Debêntures Incentivadas CDI Fundo Incentivado</t>
  </si>
  <si>
    <t>-1939079.11</t>
  </si>
  <si>
    <t>-8850989.18</t>
  </si>
  <si>
    <t>-5418055.85</t>
  </si>
  <si>
    <t>Itaú Debêntures Incentivadas CDI II Fundo Inc de I</t>
  </si>
  <si>
    <t>Itaú Debêntures Incentivadas CDI III Fundo Inc de</t>
  </si>
  <si>
    <t>132598.27</t>
  </si>
  <si>
    <t>Itaú Debêntures Incentivadas CDI VI FIF Incentivad</t>
  </si>
  <si>
    <t>22030376.23</t>
  </si>
  <si>
    <t>5232925.7</t>
  </si>
  <si>
    <t>16797450.53</t>
  </si>
  <si>
    <t>Itaú Debêntures Incentivadas II FIF Incentivado em</t>
  </si>
  <si>
    <t>-191337.64</t>
  </si>
  <si>
    <t>-2264108.7</t>
  </si>
  <si>
    <t>Itaú Debêntures Incentivadas Pré III Target 2027 F</t>
  </si>
  <si>
    <t>Itaú Debêntures Incentivadas Pré Target 2028 FIF I</t>
  </si>
  <si>
    <t>Itaú Empresa RF Mix Cred Priv FIF Cic Resp Limitad</t>
  </si>
  <si>
    <t>225108.6</t>
  </si>
  <si>
    <t>4629497.92</t>
  </si>
  <si>
    <t>-40119412.8</t>
  </si>
  <si>
    <t>Itaú Empresas Active Fix 5 RF Cred Priv FIF Cic -</t>
  </si>
  <si>
    <t>-1001916.77</t>
  </si>
  <si>
    <t>Itaú FIF Cic de FIF Incentivados em Infra RF Cred</t>
  </si>
  <si>
    <t>Itaú FIF Incentivado Infra RF Cred Priv - Resp Lim</t>
  </si>
  <si>
    <t>Itau FIF RF Cred Priv - Resp Limitada</t>
  </si>
  <si>
    <t>Itau Fiif Infra Ifri CDI RF Cred Priv - Resp Limit</t>
  </si>
  <si>
    <t>Itaú Flexprev Active Fix FIF RF Cred Priv - Resp L</t>
  </si>
  <si>
    <t>38258191.89</t>
  </si>
  <si>
    <t>7425924.2</t>
  </si>
  <si>
    <t>30832267.69</t>
  </si>
  <si>
    <t>Itaú Flexprev Ativo FIF RF Cred Priv - Resp Limita</t>
  </si>
  <si>
    <t>-8224647.38</t>
  </si>
  <si>
    <t>-6811660.41</t>
  </si>
  <si>
    <t>-1412986.97</t>
  </si>
  <si>
    <t>Itaú Flexprev High Yield FIF RF Cred Priv - Resp L</t>
  </si>
  <si>
    <t>-34371461.62</t>
  </si>
  <si>
    <t>-17786890.99</t>
  </si>
  <si>
    <t>-16584570.63</t>
  </si>
  <si>
    <t>Itaú Flexprev Plus FIF RF Cred Priv - Resp Limitad</t>
  </si>
  <si>
    <t>-1720.26</t>
  </si>
  <si>
    <t>Itaú Flexprev Private FIF RF Cred Priv - Resp Limi</t>
  </si>
  <si>
    <t>674011.15</t>
  </si>
  <si>
    <t>-5323471.89</t>
  </si>
  <si>
    <t>Itaú Fundo Incentivado de Investimento Financeiro</t>
  </si>
  <si>
    <t>Itaú High Grade RF Cred Priv FI Financeiro Resp Li</t>
  </si>
  <si>
    <t>-514804694.16</t>
  </si>
  <si>
    <t>-352668124.97</t>
  </si>
  <si>
    <t>-162136569.19</t>
  </si>
  <si>
    <t>Itaú High Grade RF Cred Priv FIF Cic Resp Limitada</t>
  </si>
  <si>
    <t>-154789478.09</t>
  </si>
  <si>
    <t>Itaú High Yield Prev Distribuidores Bp FIF RF Cred</t>
  </si>
  <si>
    <t>-7004164.43</t>
  </si>
  <si>
    <t>9059695.61</t>
  </si>
  <si>
    <t>768456.42</t>
  </si>
  <si>
    <t>Itaú High Yield RF Cred Priv LP FIF Cic Resp Limit</t>
  </si>
  <si>
    <t>Itaú Inst Precis IPCA Cred Priv RF LP FI</t>
  </si>
  <si>
    <t>177399.55</t>
  </si>
  <si>
    <t>28988.5</t>
  </si>
  <si>
    <t>148411.05</t>
  </si>
  <si>
    <t>Itaú Institucional Precision Cred Priv RF LP FIF R</t>
  </si>
  <si>
    <t>Itaú Institucional RF Active Fix Cred Priv Master</t>
  </si>
  <si>
    <t>Itaú Janeiro Infra FIF Incentivado Infra RF Créd P</t>
  </si>
  <si>
    <t>2887811.54</t>
  </si>
  <si>
    <t>337011.54</t>
  </si>
  <si>
    <t>Itaú Janeiro Infra Fiif em Infra Cic RF Cred Priv</t>
  </si>
  <si>
    <t>2887818.58</t>
  </si>
  <si>
    <t>337018.58</t>
  </si>
  <si>
    <t>Itaú Kinea Deb Incentivadas FIF Incentivado em Inf</t>
  </si>
  <si>
    <t>220402.07</t>
  </si>
  <si>
    <t>Itaú Legend Infra FIF Cic Infra RF Cred Priv LP Re</t>
  </si>
  <si>
    <t>Itaú Legend Infra FIF Inc em Infra RF Créd Priv LP</t>
  </si>
  <si>
    <t>Itaú Lumina Plus Deb Incentivadas FIF Incentivadas</t>
  </si>
  <si>
    <t>377433.77</t>
  </si>
  <si>
    <t>8759.78</t>
  </si>
  <si>
    <t>243673.99</t>
  </si>
  <si>
    <t>Itaú Lumina Plus Debêntures Incentivadas Fundo Inc</t>
  </si>
  <si>
    <t>377433.78</t>
  </si>
  <si>
    <t>Itaú Pirineus Distribuidores FIF - Cic FI Incentiv</t>
  </si>
  <si>
    <t>Itaú Pirineus II Distribuidores FIF - Cic de Fundo</t>
  </si>
  <si>
    <t>Itaú Pirineus II FIF Infra Incentivado Cic RF Cred</t>
  </si>
  <si>
    <t>-298194.76</t>
  </si>
  <si>
    <t>Itaú Private Deb Incentivadas Pré FIF Incentivado</t>
  </si>
  <si>
    <t>Itaú Private Deb Incentivadas Pré II Target 2027 F</t>
  </si>
  <si>
    <t>Itaú Private Deb Incentivadas Pré III Target 2027</t>
  </si>
  <si>
    <t>Itaú Private RF Cred Priv Active Fix FIF Cic - Res</t>
  </si>
  <si>
    <t>Itaú Pvt Deb Incentivadas CDI FIF Incentivado Infr</t>
  </si>
  <si>
    <t>-5494489.44</t>
  </si>
  <si>
    <t>Itaú Pvt Deb Incentivadas CDI FIF Infra RF Cred Pr</t>
  </si>
  <si>
    <t>-5505985.36</t>
  </si>
  <si>
    <t>-5948.23</t>
  </si>
  <si>
    <t>2352.65</t>
  </si>
  <si>
    <t>-5502389.78</t>
  </si>
  <si>
    <t>Itaú Pvt Deb Incentivadas Ima-B FIF Incentivado em</t>
  </si>
  <si>
    <t>Itaú Pvt Deb Incentivadas Pós Fixado Fiif Cic em I</t>
  </si>
  <si>
    <t>Itaú Pvt Debêntures Incentivadas FIF em Infra RF C</t>
  </si>
  <si>
    <t>15941.34</t>
  </si>
  <si>
    <t>10874.37</t>
  </si>
  <si>
    <t>5066.97</t>
  </si>
  <si>
    <t>Itaú Pvt Pj Deb Incentivadas FIF Inc Infra RF Cred</t>
  </si>
  <si>
    <t>Itaú Pvt Pj Deb Incentivadas Imab FIF Cic Incentiv</t>
  </si>
  <si>
    <t>Itaú Pvt Pj Deb Incentivadas Pós Fixado Fiif Cic e</t>
  </si>
  <si>
    <t>Itaú RF Cred Priv Diferenciado FI</t>
  </si>
  <si>
    <t>-6737999.15</t>
  </si>
  <si>
    <t>-13303576.49</t>
  </si>
  <si>
    <t>-123241412.43</t>
  </si>
  <si>
    <t>Itaú RF Cred Priv Master Active Fix FIF Resp Limit</t>
  </si>
  <si>
    <t>-6567260.99</t>
  </si>
  <si>
    <t>6565825.83</t>
  </si>
  <si>
    <t>-13133086.82</t>
  </si>
  <si>
    <t>Itaú RF Diferenciado Cred Priv FIF Cic Resp Limita</t>
  </si>
  <si>
    <t>-113031442.28</t>
  </si>
  <si>
    <t>-5076396.4</t>
  </si>
  <si>
    <t>-24345511.86</t>
  </si>
  <si>
    <t>-83609534.02</t>
  </si>
  <si>
    <t>Itaú RF Mix Cred Priv FIF Cic Resp Limitada</t>
  </si>
  <si>
    <t>-964188.29</t>
  </si>
  <si>
    <t>-695982.01</t>
  </si>
  <si>
    <t>-478627.42</t>
  </si>
  <si>
    <t>Itaú Saúde RF Cred Priv FIF Cic Resp Limitada</t>
  </si>
  <si>
    <t>Itaú Uniclass RF Mix Cred Priv FIF Cic Resp Limita</t>
  </si>
  <si>
    <t>-519694.79</t>
  </si>
  <si>
    <t>-520385.11</t>
  </si>
  <si>
    <t>11582.72</t>
  </si>
  <si>
    <t>-10892.4</t>
  </si>
  <si>
    <t>Itaú Vértice Ativo Cred Priv RF LP FIF Responsabil</t>
  </si>
  <si>
    <t>Itaú Vértice RF Cred Priv Active Fix 5 FIF Cic Res</t>
  </si>
  <si>
    <t>Jbf Aloc Infr Fund Inc de Inv em Inf RF</t>
  </si>
  <si>
    <t>Jgp Corporate III FIF RF Cred Priv - Resp Limitada</t>
  </si>
  <si>
    <t>Jgp Corporate Master FI RF Cred Priv LP</t>
  </si>
  <si>
    <t>457153.27</t>
  </si>
  <si>
    <t>154210.47</t>
  </si>
  <si>
    <t>125394.45</t>
  </si>
  <si>
    <t>177548.35</t>
  </si>
  <si>
    <t>Jgp Cr Pr IPCA Master FI RF Cred Priv LP</t>
  </si>
  <si>
    <t>389094.18</t>
  </si>
  <si>
    <t>-38047.93</t>
  </si>
  <si>
    <t>584232.11</t>
  </si>
  <si>
    <t>Jgp Cred Esg Institucional Master FI RF Cred Priv</t>
  </si>
  <si>
    <t>Jgp Cred Infra Master I F I Inv Infra RF</t>
  </si>
  <si>
    <t>Jgp Debêntures Incentivadas Juros Reais 60 FIF RF</t>
  </si>
  <si>
    <t>291300.69</t>
  </si>
  <si>
    <t>113151.69</t>
  </si>
  <si>
    <t>Jgp Equilíbrio 30 FIF Is RF Cred Priv LP - Resp Li</t>
  </si>
  <si>
    <t>16702626.57</t>
  </si>
  <si>
    <t>325842.4</t>
  </si>
  <si>
    <t>16295789.17</t>
  </si>
  <si>
    <t>Jgp Equilíbrio FIF Is RF Cred Priv LP - Resp Limit</t>
  </si>
  <si>
    <t>25399173.49</t>
  </si>
  <si>
    <t>8485358.72</t>
  </si>
  <si>
    <t>18023868.19</t>
  </si>
  <si>
    <t>Journey Ca e J R M FI In de In em Inf RF</t>
  </si>
  <si>
    <t>88135.48</t>
  </si>
  <si>
    <t>-20620.67</t>
  </si>
  <si>
    <t>100004.54</t>
  </si>
  <si>
    <t>8751.61</t>
  </si>
  <si>
    <t>Journey Cap End Deb Inc FI RF Cred Priv</t>
  </si>
  <si>
    <t>-57671.9</t>
  </si>
  <si>
    <t>82454.94</t>
  </si>
  <si>
    <t>180827.66</t>
  </si>
  <si>
    <t>Journey Cap Vitreo Rdvt11 FI Inc Infr RF</t>
  </si>
  <si>
    <t>-1925.68</t>
  </si>
  <si>
    <t>Jspi Debe Inc FI Inc Infra RF Cred Priv</t>
  </si>
  <si>
    <t>Kilima Bancos FI em RF Cred Priv</t>
  </si>
  <si>
    <t>3094002.99</t>
  </si>
  <si>
    <t>2077912.18</t>
  </si>
  <si>
    <t>59565.72</t>
  </si>
  <si>
    <t>Kilima Moto FI RF Cred Priv</t>
  </si>
  <si>
    <t>-1140213.8</t>
  </si>
  <si>
    <t>-1526612.35</t>
  </si>
  <si>
    <t>-1435429.87</t>
  </si>
  <si>
    <t>Kinea Andes Prev RF Cred Priv FI</t>
  </si>
  <si>
    <t>-9992871.45</t>
  </si>
  <si>
    <t>-3182987.1</t>
  </si>
  <si>
    <t>-4633027.64</t>
  </si>
  <si>
    <t>-2176856.71</t>
  </si>
  <si>
    <t>Kinea Créd Priv IX RF FIF RF - Resp Limitada</t>
  </si>
  <si>
    <t>Kinea Cred Priv Prev III RF FI</t>
  </si>
  <si>
    <t>Kinea Cred Priv V RF FI</t>
  </si>
  <si>
    <t>Kinea Cred Priv VII RF FI</t>
  </si>
  <si>
    <t>Kinea Crédito Int Brl RF Cred Priv Ie FI</t>
  </si>
  <si>
    <t>-54990440.24</t>
  </si>
  <si>
    <t>-38590.33</t>
  </si>
  <si>
    <t>Kinea Incentivado RF Cred Priv LP FIF - Fundo Ince</t>
  </si>
  <si>
    <t>Kinea Inf VIII FI In D Inf RF Cred Priv</t>
  </si>
  <si>
    <t>Kinea Infra Pvt FIF - FI Incentivado Debêntures In</t>
  </si>
  <si>
    <t>Kinea Institucional FIF RF Cred Priv Resp Limitada</t>
  </si>
  <si>
    <t>-10453915.42</t>
  </si>
  <si>
    <t>Kinea Oportunidade FI RF Cred Priv</t>
  </si>
  <si>
    <t>1727639.21</t>
  </si>
  <si>
    <t>1108036.71</t>
  </si>
  <si>
    <t>435127.55</t>
  </si>
  <si>
    <t>184474.95</t>
  </si>
  <si>
    <t>Kinea RF Cred Priv FI</t>
  </si>
  <si>
    <t>937732.06</t>
  </si>
  <si>
    <t>-850810.93</t>
  </si>
  <si>
    <t>-3820442.3</t>
  </si>
  <si>
    <t>Kinea Vc FIF Fundo Incentivado em Investimento em</t>
  </si>
  <si>
    <t>Kinea VIII FIF RF Créd Priv Resp Limitada</t>
  </si>
  <si>
    <t>-4571190.55</t>
  </si>
  <si>
    <t>-1162925.87</t>
  </si>
  <si>
    <t>-2072682.13</t>
  </si>
  <si>
    <t>-1335582.55</t>
  </si>
  <si>
    <t>Legacy Capital Compound Advisory FIF Cic de Fundo</t>
  </si>
  <si>
    <t>108863.14</t>
  </si>
  <si>
    <t>85587.96</t>
  </si>
  <si>
    <t>-46800.08</t>
  </si>
  <si>
    <t>Legacy Capital Compound FIF - Fundo Incentivado em</t>
  </si>
  <si>
    <t>Legacy Capital Fundo Incentivado de Investimento e</t>
  </si>
  <si>
    <t>4399842.67</t>
  </si>
  <si>
    <t>1158443.56</t>
  </si>
  <si>
    <t>597003.33</t>
  </si>
  <si>
    <t>2644395.78</t>
  </si>
  <si>
    <t>Legacy Capital Prev Fife FI RF Cred Priv</t>
  </si>
  <si>
    <t>1276059.89</t>
  </si>
  <si>
    <t>Legacy Capital Tfo FIF - Fundo Incentivado em Inve</t>
  </si>
  <si>
    <t>Lgcy FI RF Cred Priv</t>
  </si>
  <si>
    <t>Lgcy FIF RF Cred Priv Resp Limitada</t>
  </si>
  <si>
    <t>M8 Capital Plus FI RF Cred Priv LP</t>
  </si>
  <si>
    <t>258851.2</t>
  </si>
  <si>
    <t>431587.6</t>
  </si>
  <si>
    <t>Mag FIF RF Investimento em Infraestrutura Cred Pri</t>
  </si>
  <si>
    <t>Mag High Grade FI RF Cred Priv LP</t>
  </si>
  <si>
    <t>-685827.69</t>
  </si>
  <si>
    <t>-449898.23</t>
  </si>
  <si>
    <t>-232642.41</t>
  </si>
  <si>
    <t>-3287.05</t>
  </si>
  <si>
    <t>Mag High Grade Plus 30 FI RF Cred Priv LP</t>
  </si>
  <si>
    <t>-70474.95</t>
  </si>
  <si>
    <t>Mag Top Cred Priv RF FI LP</t>
  </si>
  <si>
    <t>-265038.06</t>
  </si>
  <si>
    <t>-43418.35</t>
  </si>
  <si>
    <t>-216711.87</t>
  </si>
  <si>
    <t>-4907.84</t>
  </si>
  <si>
    <t>Mam Berlim FI RF LP Cred Priv</t>
  </si>
  <si>
    <t>-146330.49</t>
  </si>
  <si>
    <t>105374.37</t>
  </si>
  <si>
    <t>Mam Munique FI RF LP Cred Priv Ie</t>
  </si>
  <si>
    <t>Mam Tokyo FI RF LP Cred Priv</t>
  </si>
  <si>
    <t>Manager Absolute Hidra CDI Investimento em Infraes</t>
  </si>
  <si>
    <t>-77984.83</t>
  </si>
  <si>
    <t>Manager Az Quest Luce S II FIF Cic RF Cred Priv LP</t>
  </si>
  <si>
    <t>-1745995.37</t>
  </si>
  <si>
    <t>-411271.12</t>
  </si>
  <si>
    <t>-795547.77</t>
  </si>
  <si>
    <t>-539176.48</t>
  </si>
  <si>
    <t>Manager Spx Seahawk Incentivado FIF Cic RF em Infr</t>
  </si>
  <si>
    <t>Mapfre Firf II Cred Priv</t>
  </si>
  <si>
    <t>40660629.74</t>
  </si>
  <si>
    <t>-14051764.91</t>
  </si>
  <si>
    <t>Minascoop FI RF Cred Priv</t>
  </si>
  <si>
    <t>Mira Conv FIF RF Cred Priv - Resp Limitada</t>
  </si>
  <si>
    <t>11004303.75</t>
  </si>
  <si>
    <t>4004303.75</t>
  </si>
  <si>
    <t>Mira Trad FI RF Cred Priv</t>
  </si>
  <si>
    <t>-215012.14</t>
  </si>
  <si>
    <t>-130312.14</t>
  </si>
  <si>
    <t>Mobilitysolutions FI RF Cred Priv</t>
  </si>
  <si>
    <t>Monte Alegre FI RF Cred Priv Infra Inc</t>
  </si>
  <si>
    <t>More Premium Cred Corp RF Cred Priv LP</t>
  </si>
  <si>
    <t>-212214.33</t>
  </si>
  <si>
    <t>-249224.61</t>
  </si>
  <si>
    <t>19586.29</t>
  </si>
  <si>
    <t>17423.99</t>
  </si>
  <si>
    <t>Mult Energia Kinea FIF Fundo Incentivado em Inves</t>
  </si>
  <si>
    <t>Navi High Income FI em Infraest</t>
  </si>
  <si>
    <t>Nebraska Itaú Deb Incentivadas FIF Incentivado Inf</t>
  </si>
  <si>
    <t>Nest RF II FI RF Cred Priv</t>
  </si>
  <si>
    <t>New Leaf I FI RF Cred Priv</t>
  </si>
  <si>
    <t>11908841.13</t>
  </si>
  <si>
    <t>-15479980.99</t>
  </si>
  <si>
    <t>8191456.77</t>
  </si>
  <si>
    <t>19197365.35</t>
  </si>
  <si>
    <t>Nu Infra FI In e Infra RF Cred Priv Ma I</t>
  </si>
  <si>
    <t>Oby Liquidez FI RF Ref DI LP</t>
  </si>
  <si>
    <t>Occam Ativo 30 FIF RF Invest em Infra Cred Priv -</t>
  </si>
  <si>
    <t>Occam Cr Co 30 Master FI RF Cred Priv LP</t>
  </si>
  <si>
    <t>Occam Cred Corp Inst 30 FI RF Cred Priv LP</t>
  </si>
  <si>
    <t>Occam Liquidez Master FI RF Cred Priv</t>
  </si>
  <si>
    <t>Omega FI Inc Infra RF Cred Priv</t>
  </si>
  <si>
    <t>462704.12</t>
  </si>
  <si>
    <t>246109.12</t>
  </si>
  <si>
    <t>Panamby RF High Grade D5 FI Cred Priv LP</t>
  </si>
  <si>
    <t>3202882.58</t>
  </si>
  <si>
    <t>1782057.46</t>
  </si>
  <si>
    <t>961436.12</t>
  </si>
  <si>
    <t>Pégasus Kinea Fundo Incentivado em Investimento em</t>
  </si>
  <si>
    <t>Perolas Classe de Investimento Incentivado em Infr</t>
  </si>
  <si>
    <t>Petbra Pré FI RF Cred Priv Ie</t>
  </si>
  <si>
    <t>Petbra Pre II FI RF Cred Priv Ie</t>
  </si>
  <si>
    <t>Pienza FIF RF Cred Priv Resp Limitada</t>
  </si>
  <si>
    <t>-14968183.42</t>
  </si>
  <si>
    <t>Plural Cred C FI RF Cred Priv LP</t>
  </si>
  <si>
    <t>155421.19</t>
  </si>
  <si>
    <t>147061.62</t>
  </si>
  <si>
    <t>11682.92</t>
  </si>
  <si>
    <t>-3323.35</t>
  </si>
  <si>
    <t>Plural Esg Is Cred Priv FI RF LP</t>
  </si>
  <si>
    <t>-1877.11</t>
  </si>
  <si>
    <t>692.76</t>
  </si>
  <si>
    <t>-2841.23</t>
  </si>
  <si>
    <t>271.36</t>
  </si>
  <si>
    <t>Plural High Grade FI RF - Cred Priv</t>
  </si>
  <si>
    <t>-3796190.13</t>
  </si>
  <si>
    <t>-483230.67</t>
  </si>
  <si>
    <t>-1990504.07</t>
  </si>
  <si>
    <t>-1322455.39</t>
  </si>
  <si>
    <t>Plural High Yield Cred Priv FI RF LP</t>
  </si>
  <si>
    <t>-21930.86</t>
  </si>
  <si>
    <t>Plural Master Prev Firf Cred Priv</t>
  </si>
  <si>
    <t>-498205.8</t>
  </si>
  <si>
    <t>-768289.37</t>
  </si>
  <si>
    <t>92767.95</t>
  </si>
  <si>
    <t>177315.62</t>
  </si>
  <si>
    <t>Pmx Pre FI RF Cred Priv Ie</t>
  </si>
  <si>
    <t>Polo Crédito Cor Adv FI RF Créd Priv LP</t>
  </si>
  <si>
    <t>6955429.01</t>
  </si>
  <si>
    <t>2522412.35</t>
  </si>
  <si>
    <t>2554534.73</t>
  </si>
  <si>
    <t>1878481.93</t>
  </si>
  <si>
    <t>Porto Baobá Master Fundo Incentivado de Investime</t>
  </si>
  <si>
    <t>Porto Ipê II FIF da Classe de Investimento em Cota</t>
  </si>
  <si>
    <t>Porto RF Selection Previdência Fundo de In</t>
  </si>
  <si>
    <t>153274.96</t>
  </si>
  <si>
    <t>262397.22</t>
  </si>
  <si>
    <t>280914.1</t>
  </si>
  <si>
    <t>Porto San Giorgio Classe de Investimento Incentiv</t>
  </si>
  <si>
    <t>Porto Seguro Empresarial RF FIF Cred Priv Resp Lim</t>
  </si>
  <si>
    <t>-4954929.33</t>
  </si>
  <si>
    <t>-8090028.11</t>
  </si>
  <si>
    <t>Porto Seguro FI RF Ref DI Cred Priv</t>
  </si>
  <si>
    <t>93200163.03</t>
  </si>
  <si>
    <t>-10082868.79</t>
  </si>
  <si>
    <t>Porto Seguro Master PREV FIF RF Cred Pri</t>
  </si>
  <si>
    <t>392608.46</t>
  </si>
  <si>
    <t>-411881.54</t>
  </si>
  <si>
    <t>80408.85</t>
  </si>
  <si>
    <t>724081.15</t>
  </si>
  <si>
    <t>Porto Seguro RF Master FI Créd Priv LP</t>
  </si>
  <si>
    <t>Prestige Strategie FI RF Cred Priv</t>
  </si>
  <si>
    <t>1285942.6</t>
  </si>
  <si>
    <t>3095119.59</t>
  </si>
  <si>
    <t>3624454.34</t>
  </si>
  <si>
    <t>Ps Cas VI I FI In Inv Infra RF Cred Priv</t>
  </si>
  <si>
    <t>Ps Cash VII Inc FI In Infra RF Cred Priv</t>
  </si>
  <si>
    <t>-39231787.77</t>
  </si>
  <si>
    <t>4596198.73</t>
  </si>
  <si>
    <t>31838176.99</t>
  </si>
  <si>
    <t>Qi Cash FI RF Ref DI Cred Priv</t>
  </si>
  <si>
    <t>-42570800.5</t>
  </si>
  <si>
    <t>-7624331.73</t>
  </si>
  <si>
    <t>-44966585.99</t>
  </si>
  <si>
    <t>10020117.22</t>
  </si>
  <si>
    <t>Qlz FI RF LP Cred Priv Responsabilidade Limitada</t>
  </si>
  <si>
    <t>Quantitas FIF RF Fiji Créd Priv LP Resp Limitada</t>
  </si>
  <si>
    <t>Quasar F Inc Inv Infra RF Cred Priv</t>
  </si>
  <si>
    <t>Quatá Clo Plus FI RF Cred Priv</t>
  </si>
  <si>
    <t>Quata Rwm Plus FI RF Cred Priv</t>
  </si>
  <si>
    <t>Rafter FI RF Cred Priv</t>
  </si>
  <si>
    <t>1330605.2</t>
  </si>
  <si>
    <t>-8027.3</t>
  </si>
  <si>
    <t>1198632.5</t>
  </si>
  <si>
    <t>Rb Capital Mst Fundo Inc Invest Infra RF</t>
  </si>
  <si>
    <t>Rb Capital Vitória Fundo Inc Inv Infra R</t>
  </si>
  <si>
    <t>Rb Cred Ince Infla FI Infra RF Cred Priv</t>
  </si>
  <si>
    <t>Rbr Infra Master I Fund Inc Infra RF</t>
  </si>
  <si>
    <t>Rdbs FI RF Cred Priv</t>
  </si>
  <si>
    <t>Report FIF Cic RF Cred Priv Resp Limitada</t>
  </si>
  <si>
    <t>27713242.53</t>
  </si>
  <si>
    <t>-1002653.03</t>
  </si>
  <si>
    <t>-1508522.98</t>
  </si>
  <si>
    <t>Reserva Exes FI RF Cred Priv</t>
  </si>
  <si>
    <t>RF Portfolio Incentivado FI Infra Créd Priv</t>
  </si>
  <si>
    <t>Rft Lim Fundo Incent Invest Infra RF</t>
  </si>
  <si>
    <t>Rft Nilo FI RF Cred Priv</t>
  </si>
  <si>
    <t>Rft Volga FI Incent em Infraestrutura RF</t>
  </si>
  <si>
    <t>Riff Cic Ci Incent Infra RF Resp Limitada</t>
  </si>
  <si>
    <t>Riff Master Ci Incent Infra RF Resp Limitada</t>
  </si>
  <si>
    <t>Rio BR Esg Is M (II) FI Inf RF Cred Priv</t>
  </si>
  <si>
    <t>Rio Bravo Cred Priv FI RF</t>
  </si>
  <si>
    <t>-51325.72</t>
  </si>
  <si>
    <t>-35204.92</t>
  </si>
  <si>
    <t>4111.64</t>
  </si>
  <si>
    <t>Rio Debêntures Classe de Investimento Incentivado</t>
  </si>
  <si>
    <t>Riza Évora Debêntures Incentivadas Juros Ativos Fu</t>
  </si>
  <si>
    <t>-2700085.32</t>
  </si>
  <si>
    <t>21756.55</t>
  </si>
  <si>
    <t>-46048.86</t>
  </si>
  <si>
    <t>-2675793.01</t>
  </si>
  <si>
    <t>Riza Lotus FI RF Ref DI Cred Priv</t>
  </si>
  <si>
    <t>34160264.25</t>
  </si>
  <si>
    <t>8364895.23</t>
  </si>
  <si>
    <t>9303990.94</t>
  </si>
  <si>
    <t>16491378.08</t>
  </si>
  <si>
    <t>Riza Lotus Plus M FI RF Ref DI Cred Priv</t>
  </si>
  <si>
    <t>4935874.93</t>
  </si>
  <si>
    <t>-397032.57</t>
  </si>
  <si>
    <t>5332907.5</t>
  </si>
  <si>
    <t>Riza Lotus Previdencia FI RF Cred Priv</t>
  </si>
  <si>
    <t>9946800.36</t>
  </si>
  <si>
    <t>1522999.18</t>
  </si>
  <si>
    <t>5572795.47</t>
  </si>
  <si>
    <t>2851005.71</t>
  </si>
  <si>
    <t>Root Capital Cred HG Ins FI RF Cred Priv</t>
  </si>
  <si>
    <t>Root Capital Cred HG P FI RF Cred Priv</t>
  </si>
  <si>
    <t>1075645.29</t>
  </si>
  <si>
    <t>960529.41</t>
  </si>
  <si>
    <t>1317098.3</t>
  </si>
  <si>
    <t>Root Capital HG Brasilprev FI RF Cred Priv</t>
  </si>
  <si>
    <t>-168857.76</t>
  </si>
  <si>
    <t>Root Capital Hy Prev FI RF Cred Priv</t>
  </si>
  <si>
    <t>135598.04</t>
  </si>
  <si>
    <t>49293.26</t>
  </si>
  <si>
    <t>86132.78</t>
  </si>
  <si>
    <t>Rt Endeavour FIF RF Cred Priv Resp Limitada</t>
  </si>
  <si>
    <t>Rt Fidelity Ldi FIF RF Cred Priv - Resp Limitada</t>
  </si>
  <si>
    <t>Rt Independence Ldi FIF RF Cred Priv - Resp Limita</t>
  </si>
  <si>
    <t>Rwm Loans Firf Cred Priv</t>
  </si>
  <si>
    <t>S Cap Mkt Infra M II RF FI Incent Infra</t>
  </si>
  <si>
    <t>-11974.01</t>
  </si>
  <si>
    <t>S Deb Inc Créd Priv Mii FI Inc Inf RF</t>
  </si>
  <si>
    <t>S Debênt Plus RF FI Incent Invest Infra</t>
  </si>
  <si>
    <t>-350050.79</t>
  </si>
  <si>
    <t>S Infra Sel II RF FI Incent Invest Infra</t>
  </si>
  <si>
    <t>S Infra Select RF FI Incent Invest Infra</t>
  </si>
  <si>
    <t>Sabá Classe de Investimento Incentivado Infra RF</t>
  </si>
  <si>
    <t>Safra Capital Market Infra Master RF FI Incent Inv</t>
  </si>
  <si>
    <t>-204947.72</t>
  </si>
  <si>
    <t>-102473.86</t>
  </si>
  <si>
    <t>Safra Credit Strategy Classe de Investimento Renda</t>
  </si>
  <si>
    <t>Safra Grand Vitesse FI RF Cred Priv</t>
  </si>
  <si>
    <t>2142706.77</t>
  </si>
  <si>
    <t>2031276.99</t>
  </si>
  <si>
    <t>1488683.42</t>
  </si>
  <si>
    <t>-1377253.64</t>
  </si>
  <si>
    <t>Safra High Yield FIF Cic RF Cred Priv Resp Limitad</t>
  </si>
  <si>
    <t>Safra High Yield Master FIF Classe de Investimento</t>
  </si>
  <si>
    <t>Safra Horizon FI RF Cred Priv</t>
  </si>
  <si>
    <t>Safra Infra CDI Exclusive FI Financeiro Investimen</t>
  </si>
  <si>
    <t>-2610099.92</t>
  </si>
  <si>
    <t>Safra Infra CDI FI Financeiro Investimento em Infr</t>
  </si>
  <si>
    <t>547863.14</t>
  </si>
  <si>
    <t>1000182.59</t>
  </si>
  <si>
    <t>186361.72</t>
  </si>
  <si>
    <t>Safra Infra CDI Master Classe de Investimento RF I</t>
  </si>
  <si>
    <t>639695.06</t>
  </si>
  <si>
    <t>-2362192.89</t>
  </si>
  <si>
    <t>Safra Infra CDI Master II Investimento em Infraest</t>
  </si>
  <si>
    <t>-33289742.28</t>
  </si>
  <si>
    <t>-12864374.6</t>
  </si>
  <si>
    <t>-10214426.93</t>
  </si>
  <si>
    <t>-10210940.75</t>
  </si>
  <si>
    <t>Safra Infra Juros Reais Exclusive Cic RF em Infra</t>
  </si>
  <si>
    <t>Safra Infra Juros Reais Master FI Financeiro Inves</t>
  </si>
  <si>
    <t>-162265.19</t>
  </si>
  <si>
    <t>-151555.88</t>
  </si>
  <si>
    <t>-12703.96</t>
  </si>
  <si>
    <t>1994.65</t>
  </si>
  <si>
    <t>Safra Polaris - FI RF - Cred Priv</t>
  </si>
  <si>
    <t>San FI Incen de Infra CDI 2 RF Cred Priv</t>
  </si>
  <si>
    <t>-1913264.13</t>
  </si>
  <si>
    <t>91135.87</t>
  </si>
  <si>
    <t>Sant Icatu Master Lark Cred Priv Fie RF</t>
  </si>
  <si>
    <t>-896.77</t>
  </si>
  <si>
    <t>503.23</t>
  </si>
  <si>
    <t>Sant Ince Invest Infr Infla RF Cred Priv</t>
  </si>
  <si>
    <t>-1058501.01</t>
  </si>
  <si>
    <t>383598.99</t>
  </si>
  <si>
    <t>Sant Incent Inves Infra CDI RF Cred Priv</t>
  </si>
  <si>
    <t>-560727.45</t>
  </si>
  <si>
    <t>16372.55</t>
  </si>
  <si>
    <t>Sant Prev Pb Alocação RF Créd Priv FI</t>
  </si>
  <si>
    <t>Sant Prev RF Créd Priv Crescimento FI</t>
  </si>
  <si>
    <t>1213518.16</t>
  </si>
  <si>
    <t>398488.83</t>
  </si>
  <si>
    <t>57126.87</t>
  </si>
  <si>
    <t>757902.46</t>
  </si>
  <si>
    <t>Sant Prev RF Cred Priv Dinamico FI</t>
  </si>
  <si>
    <t>-13754337.92</t>
  </si>
  <si>
    <t>-2381026.22</t>
  </si>
  <si>
    <t>-1559834.25</t>
  </si>
  <si>
    <t>-9813477.45</t>
  </si>
  <si>
    <t>Sant RF Créd Priv Crescimento Inst FI LP</t>
  </si>
  <si>
    <t>-3517790.88</t>
  </si>
  <si>
    <t>-1246977.74</t>
  </si>
  <si>
    <t>-446909.13</t>
  </si>
  <si>
    <t>-1823904.01</t>
  </si>
  <si>
    <t>Santander Bancos RF Cred Priv FI</t>
  </si>
  <si>
    <t>20980785.45</t>
  </si>
  <si>
    <t>19985.45</t>
  </si>
  <si>
    <t>Santander Crescimento Institucional Advanced Renda</t>
  </si>
  <si>
    <t>Santander Crescimento Institucional Master Renda F</t>
  </si>
  <si>
    <t>Santander Crescimento Mega RF Cred Priv</t>
  </si>
  <si>
    <t>-3292876.71</t>
  </si>
  <si>
    <t>-1119339.49</t>
  </si>
  <si>
    <t>143259.49</t>
  </si>
  <si>
    <t>-2316796.71</t>
  </si>
  <si>
    <t>Santander FI Ans II RF Cred Priv</t>
  </si>
  <si>
    <t>Santander FI Ans RF Créd Priv</t>
  </si>
  <si>
    <t>Santander FI Prev Annuity RF Cred Priv</t>
  </si>
  <si>
    <t>-309004.43</t>
  </si>
  <si>
    <t>-44068.12</t>
  </si>
  <si>
    <t>-12905.75</t>
  </si>
  <si>
    <t>-252030.56</t>
  </si>
  <si>
    <t>Santander FI RF Cred Priv LP</t>
  </si>
  <si>
    <t>-4833551.14</t>
  </si>
  <si>
    <t>-14856.97</t>
  </si>
  <si>
    <t>-3822370.3</t>
  </si>
  <si>
    <t>-996323.87</t>
  </si>
  <si>
    <t>Santander Investimento em Infraestrutura CDI 3 Ren</t>
  </si>
  <si>
    <t>-1803203.14</t>
  </si>
  <si>
    <t>Santander Investimento em Infraestrutura CDI 3 RF</t>
  </si>
  <si>
    <t>-1711120.38</t>
  </si>
  <si>
    <t>171079.62</t>
  </si>
  <si>
    <t>Santander Investimento em Infraestrutura Multiestr</t>
  </si>
  <si>
    <t>-142423.58</t>
  </si>
  <si>
    <t>38784.04</t>
  </si>
  <si>
    <t>Santander Investimento em Infraestrutura Multiestr.1</t>
  </si>
  <si>
    <t>354597.41</t>
  </si>
  <si>
    <t>475113.37</t>
  </si>
  <si>
    <t>Santander Multiestrategia RF Cred Priv LP - Cic F</t>
  </si>
  <si>
    <t>-174434.94</t>
  </si>
  <si>
    <t>-88165.93</t>
  </si>
  <si>
    <t>-24157.13</t>
  </si>
  <si>
    <t>-62111.88</t>
  </si>
  <si>
    <t>Santander Multiestratégia RF Cred Priv LP FIF Resp</t>
  </si>
  <si>
    <t>-173639.38</t>
  </si>
  <si>
    <t>-23725.1</t>
  </si>
  <si>
    <t>-61514.28</t>
  </si>
  <si>
    <t>Santander Pb Alocação RF Créd Priv FI</t>
  </si>
  <si>
    <t>Santander Pb Icaro III Investimento em Infraestrut</t>
  </si>
  <si>
    <t>Santander Pb Welfare Investimento em Infraestrutur</t>
  </si>
  <si>
    <t>Santander Prev Mult RF Cred Priv FI LP</t>
  </si>
  <si>
    <t>-17929030.08</t>
  </si>
  <si>
    <t>-9489001.04</t>
  </si>
  <si>
    <t>-18250886.87</t>
  </si>
  <si>
    <t>Santander Prev RF Ref DI Crédito</t>
  </si>
  <si>
    <t>119305348.19</t>
  </si>
  <si>
    <t>47157258.43</t>
  </si>
  <si>
    <t>43928400.98</t>
  </si>
  <si>
    <t>28219688.78</t>
  </si>
  <si>
    <t>Santander RF Créd Priv Dinâmico FI</t>
  </si>
  <si>
    <t>-147221.47</t>
  </si>
  <si>
    <t>213.35</t>
  </si>
  <si>
    <t>234565.18</t>
  </si>
  <si>
    <t>Sbprev I Master RF Cred Priv FI</t>
  </si>
  <si>
    <t>1412.81</t>
  </si>
  <si>
    <t>2130422.08</t>
  </si>
  <si>
    <t>-139312.98</t>
  </si>
  <si>
    <t>Sbprev I RF Cred Priv FI</t>
  </si>
  <si>
    <t>903.19</t>
  </si>
  <si>
    <t>1581.97</t>
  </si>
  <si>
    <t>-678.78</t>
  </si>
  <si>
    <t>Schroder Alternative Securitised Income Brl FIF -</t>
  </si>
  <si>
    <t>Schroder Alternative Securitised Income Brl FIF RF</t>
  </si>
  <si>
    <t>Schroder Global Fixed Income Selection RF Cred Pri</t>
  </si>
  <si>
    <t>Schroder High Grade Advisory FI RF Créd Priv</t>
  </si>
  <si>
    <t>-1169359.42</t>
  </si>
  <si>
    <t>-1138910.23</t>
  </si>
  <si>
    <t>-2609232.21</t>
  </si>
  <si>
    <t>Schroder High Grade Master FI Financeiro RF Cred P</t>
  </si>
  <si>
    <t>Schroder High Grade Vintage A FIF Classe de Invest</t>
  </si>
  <si>
    <t>-4158129.69</t>
  </si>
  <si>
    <t>-3798682.27</t>
  </si>
  <si>
    <t>127322.74</t>
  </si>
  <si>
    <t>-486770.16</t>
  </si>
  <si>
    <t>Schroder Prem 30 Adv FI RF Cred Priv LP</t>
  </si>
  <si>
    <t>-383560.94</t>
  </si>
  <si>
    <t>Schroder Premium Mst FI RF Cred Priv LP</t>
  </si>
  <si>
    <t>Schroder Top Credit Master FI RF PREV Cr</t>
  </si>
  <si>
    <t>-441506.73</t>
  </si>
  <si>
    <t>-359551.11</t>
  </si>
  <si>
    <t>-81955.62</t>
  </si>
  <si>
    <t>Sec - Classe Única FI RF Cred Priv Resp Limitada</t>
  </si>
  <si>
    <t>Serigy Debêntures Classe de Investimento Incentiva</t>
  </si>
  <si>
    <t>Sicoob Liquidez Master Firf Cred. Priv.</t>
  </si>
  <si>
    <t>79337302.32</t>
  </si>
  <si>
    <t>-336003841.99</t>
  </si>
  <si>
    <t>189033075.06</t>
  </si>
  <si>
    <t>226308069.25</t>
  </si>
  <si>
    <t>Sicredi Ans FI RF Cred Priv LP</t>
  </si>
  <si>
    <t>Sicredi Fapi RF</t>
  </si>
  <si>
    <t>-2635.92</t>
  </si>
  <si>
    <t>-290.19</t>
  </si>
  <si>
    <t>-22829.73</t>
  </si>
  <si>
    <t>Silver Lake III Debentures Incent Ci RF Infra Ince</t>
  </si>
  <si>
    <t>Skiathos II Classe de Investimento Incentivado em</t>
  </si>
  <si>
    <t>Solis Antares Prev Cred Priv FI RF</t>
  </si>
  <si>
    <t>-312394.01</t>
  </si>
  <si>
    <t>267682.96</t>
  </si>
  <si>
    <t>Solis Cap Antares Inst FI RF Cred Priv</t>
  </si>
  <si>
    <t>Solis Vega FI RF Cred Priv</t>
  </si>
  <si>
    <t>-45355.8</t>
  </si>
  <si>
    <t>Somma Ans FI RF Cred Priv</t>
  </si>
  <si>
    <t>-15598.72</t>
  </si>
  <si>
    <t>-3477.22</t>
  </si>
  <si>
    <t>-12121.5</t>
  </si>
  <si>
    <t>Somma Firneze FI RF Cred Priv</t>
  </si>
  <si>
    <t>-162650.86</t>
  </si>
  <si>
    <t>Somma Milano Firf Cred Priv</t>
  </si>
  <si>
    <t>Somma Torino FI RF Cred Priv LP</t>
  </si>
  <si>
    <t>-200729.62</t>
  </si>
  <si>
    <t>-198995.15</t>
  </si>
  <si>
    <t>5026.4</t>
  </si>
  <si>
    <t>-6760.87</t>
  </si>
  <si>
    <t>Sparta Ans FI RF Cred Priv LP</t>
  </si>
  <si>
    <t>Sparta Debêntures Incentivadas Estratégico Fundo D</t>
  </si>
  <si>
    <t>280670.01</t>
  </si>
  <si>
    <t>166250.96</t>
  </si>
  <si>
    <t>-641955.65</t>
  </si>
  <si>
    <t>Sparta Estratégico Master Fundo Incentivado de Inv</t>
  </si>
  <si>
    <t>Sparta Infl Master Fundo Inc Inv Infr RF</t>
  </si>
  <si>
    <t>Sparta Max Master FIF RF Cred Priv LP - Resp Limit</t>
  </si>
  <si>
    <t>Sparta Mst A Fundo Inc Invest Infra RF</t>
  </si>
  <si>
    <t>Sparta Opportunity FIF RF Cred Priv LP - Resp Limi</t>
  </si>
  <si>
    <t>Sparta Prev B Master FI RF Cred Priv</t>
  </si>
  <si>
    <t>222451.05</t>
  </si>
  <si>
    <t>4682836.61</t>
  </si>
  <si>
    <t>Sparta Prev BB Fife FIF RF Cred Priv - Resp Limita</t>
  </si>
  <si>
    <t>-161136.06</t>
  </si>
  <si>
    <t>-152776.06</t>
  </si>
  <si>
    <t>Sparta Prev Fife D45 FI RF Cred Priv</t>
  </si>
  <si>
    <t>Sparta Prev Fife FI RF Cred Priv</t>
  </si>
  <si>
    <t>Sparta Prev Infla Master FI RF Cred Priv</t>
  </si>
  <si>
    <t>Sparta Prev Master FI RF Cred Priv</t>
  </si>
  <si>
    <t>Sparta Top Infl Mst FI RF Cred Priv LP</t>
  </si>
  <si>
    <t>Sparta Top Master Cred Priv FIF RF LP - Resp Limit</t>
  </si>
  <si>
    <t>Sparta Top Plus Master FIF RF Cred Priv LP - Resp</t>
  </si>
  <si>
    <t>Speciale Tatic Juro Real FI RF Cred Priv</t>
  </si>
  <si>
    <t>-3485205.21</t>
  </si>
  <si>
    <t>-337356.97</t>
  </si>
  <si>
    <t>-1791848.24</t>
  </si>
  <si>
    <t>Spx Seahawk Deb Inc Adv FIF Cic - Inc Infra RF Cre</t>
  </si>
  <si>
    <t>Spx Seahawk Debêntures Incentivadas FI Financeiro</t>
  </si>
  <si>
    <t>Spx Seahawk Debêntures Incentivadas FIF Cic - Inve</t>
  </si>
  <si>
    <t>Spx Seahawk Master FI RF Cred Priv LP</t>
  </si>
  <si>
    <t>1236149.08</t>
  </si>
  <si>
    <t>8248679.26</t>
  </si>
  <si>
    <t>Spx Seahwk Seleção Fundo Incentivado de Investimen</t>
  </si>
  <si>
    <t>Strix Kinea FIF - Fundo Incentivado em Investiment</t>
  </si>
  <si>
    <t>Studio FI RF Cred Priv LP</t>
  </si>
  <si>
    <t>-1102700.35</t>
  </si>
  <si>
    <t>-240662.33</t>
  </si>
  <si>
    <t>-315419.66</t>
  </si>
  <si>
    <t>-546618.36</t>
  </si>
  <si>
    <t>Sul America Classe A FI RF Cred Priv</t>
  </si>
  <si>
    <t>Sul America Excellence FI RF Cred Priv</t>
  </si>
  <si>
    <t>-23917044.22</t>
  </si>
  <si>
    <t>-8104404.38</t>
  </si>
  <si>
    <t>-9301525.4</t>
  </si>
  <si>
    <t>Sula Cred Asg BB FI Financeiro RF Cred Priv Invest</t>
  </si>
  <si>
    <t>-1218611.31</t>
  </si>
  <si>
    <t>-1170111.31</t>
  </si>
  <si>
    <t>Sulamérica Créd Ativo FI RF Créd Priv LP</t>
  </si>
  <si>
    <t>-1554322.41</t>
  </si>
  <si>
    <t>1739401.6</t>
  </si>
  <si>
    <t>1258401.98</t>
  </si>
  <si>
    <t>Sulamerica Cred Esg Firf Cred Priv LP Is</t>
  </si>
  <si>
    <t>-3513163.35</t>
  </si>
  <si>
    <t>-147155.73</t>
  </si>
  <si>
    <t>-4026372.27</t>
  </si>
  <si>
    <t>660364.65</t>
  </si>
  <si>
    <t>Sulamérica Créd Infla FI RF Cred Priv LP</t>
  </si>
  <si>
    <t>Sulamérica Crédito Institucional Esg FIF RF Cred P</t>
  </si>
  <si>
    <t>Sulamérica Excellence Master FI RF Cred Priv</t>
  </si>
  <si>
    <t>Sulamérica Excellence Plus FIF RF Cred Priv LP Res</t>
  </si>
  <si>
    <t>1594040.3</t>
  </si>
  <si>
    <t>1823238.78</t>
  </si>
  <si>
    <t>443684.4</t>
  </si>
  <si>
    <t>-672882.88</t>
  </si>
  <si>
    <t>Sulamerica FI RF Ans Cred Priv</t>
  </si>
  <si>
    <t>Sulamérica Fife Prev Crédito Esg FIF RF Cred Priv</t>
  </si>
  <si>
    <t>35741872.9</t>
  </si>
  <si>
    <t>-1106535.59</t>
  </si>
  <si>
    <t>31882778.23</t>
  </si>
  <si>
    <t>4965630.26</t>
  </si>
  <si>
    <t>Sulamérica Prev Crédito Esg Fife Alocação FIF RF C</t>
  </si>
  <si>
    <t>Svn FI RF Cred Priv</t>
  </si>
  <si>
    <t>-8113252.27</t>
  </si>
  <si>
    <t>-3009115.97</t>
  </si>
  <si>
    <t>-3803301.21</t>
  </si>
  <si>
    <t>-1300835.09</t>
  </si>
  <si>
    <t>Tactical Allo Seg Unimed FI RF Cred Priv</t>
  </si>
  <si>
    <t>Tagus Top FI RF Créd Priv II</t>
  </si>
  <si>
    <t>-699731.4</t>
  </si>
  <si>
    <t>-137808.39</t>
  </si>
  <si>
    <t>-457982.93</t>
  </si>
  <si>
    <t>-103940.08</t>
  </si>
  <si>
    <t>Tanzanita 1 FIF RF Cred Priv Resp Limitada</t>
  </si>
  <si>
    <t>Tao Infra FI RF Cred Priv Infra Incent</t>
  </si>
  <si>
    <t>Tenax Infra Seleção Fundo Inc de Inv Financeiro de</t>
  </si>
  <si>
    <t>-248168.56</t>
  </si>
  <si>
    <t>-248268.56</t>
  </si>
  <si>
    <t>Tenax Rfa Incentivado FIF - Cic de Fundo Incentiva</t>
  </si>
  <si>
    <t>888647.02</t>
  </si>
  <si>
    <t>517647.02</t>
  </si>
  <si>
    <t>Tenax Rfa Master FIF Fundo Incentivado em Investim</t>
  </si>
  <si>
    <t>189836.51</t>
  </si>
  <si>
    <t>-181163.49</t>
  </si>
  <si>
    <t>Tenerife FIF RF Cred Priv Resp Limitada</t>
  </si>
  <si>
    <t>-7857481.78</t>
  </si>
  <si>
    <t>2632516.55</t>
  </si>
  <si>
    <t>6539508.09</t>
  </si>
  <si>
    <t>Tfo Itaú Deb Incentivadas CDI V FIF Incentivado em</t>
  </si>
  <si>
    <t>Titanium High Yield FI RF Cred Priv</t>
  </si>
  <si>
    <t>Tivio Banks Classe de Investimento RF Cred Priv -</t>
  </si>
  <si>
    <t>-606022.14</t>
  </si>
  <si>
    <t>446292.36</t>
  </si>
  <si>
    <t>2214886.84</t>
  </si>
  <si>
    <t>Tivio Institucional Classe de Investimento RF Cred</t>
  </si>
  <si>
    <t>-12862722.79</t>
  </si>
  <si>
    <t>-6836579.18</t>
  </si>
  <si>
    <t>-6026143.61</t>
  </si>
  <si>
    <t>Top Renda Mista Corp RF Cred Priv LP FIF Cic Resp</t>
  </si>
  <si>
    <t>Top RF Mix Créd Priv LP FIF Cic Resp Limit</t>
  </si>
  <si>
    <t>Top RF Mix Cred Priv LP FIF Resp Limitada</t>
  </si>
  <si>
    <t>Triunfo FIF RF Cred Priv - Resp Limitada</t>
  </si>
  <si>
    <t>UBS Consenso Juro Real FI RF Cred Priv</t>
  </si>
  <si>
    <t>UBS Consenso Pós Fixado FI RF Cred Priv</t>
  </si>
  <si>
    <t>-12957012.72</t>
  </si>
  <si>
    <t>-14060155.9</t>
  </si>
  <si>
    <t>1636658.95</t>
  </si>
  <si>
    <t>-533515.77</t>
  </si>
  <si>
    <t>Unimed Investc Ans III FI RF Cred Priv</t>
  </si>
  <si>
    <t>-1333464.82</t>
  </si>
  <si>
    <t>Unimed Investcoop Ans II FI RF Cred Priv</t>
  </si>
  <si>
    <t>Unimed Investcoop Ans V FI RF Cred Priv</t>
  </si>
  <si>
    <t>80575.07</t>
  </si>
  <si>
    <t>Unimed Investcoop Bancos FI RF</t>
  </si>
  <si>
    <t>V8 Gti Master FI RF Cred Priv</t>
  </si>
  <si>
    <t>V8 Mopar Ci RF Cred Priv - Resp Limitada</t>
  </si>
  <si>
    <t>V8 Vanquish Termo Prev FI RF Cred Priv</t>
  </si>
  <si>
    <t>3922826.26</t>
  </si>
  <si>
    <t>1693962.66</t>
  </si>
  <si>
    <t>1242529.31</t>
  </si>
  <si>
    <t>986334.29</t>
  </si>
  <si>
    <t>Valora Absolute FIF RF Créd Priv LP - Responsabili</t>
  </si>
  <si>
    <t>119710.33</t>
  </si>
  <si>
    <t>650012.79</t>
  </si>
  <si>
    <t>966927.43</t>
  </si>
  <si>
    <t>Valora Master Fife Previ FI RF Cred Priv</t>
  </si>
  <si>
    <t>Valora Prev Fife FI RF Cred Priv</t>
  </si>
  <si>
    <t>2183456.61</t>
  </si>
  <si>
    <t>-495127.69</t>
  </si>
  <si>
    <t>-942378.35</t>
  </si>
  <si>
    <t>Valora Prev Master FI RF Cred Priv</t>
  </si>
  <si>
    <t>Vanquish Health FI RF Cred Priv LP</t>
  </si>
  <si>
    <t>Vc Icatu Vanguarda Credit Plus Classe de Cotas de</t>
  </si>
  <si>
    <t>Ventus Ci RF Infra Incent Cred Priv</t>
  </si>
  <si>
    <t>Veritas Premium Inst FI RF Cred Priv LP</t>
  </si>
  <si>
    <t>Victorem FI RF Cred Priv</t>
  </si>
  <si>
    <t>Vinci Cred Dinamico Inst FI RF Cred Priv</t>
  </si>
  <si>
    <t>Vinci Cred Inf In FI Inc de I e Infra RF</t>
  </si>
  <si>
    <t>Vinci Crédito Dinâmico FI RF Cred Priv</t>
  </si>
  <si>
    <t>Vinci FI RF Imobiliario - Cred Priv II</t>
  </si>
  <si>
    <t>Vinland FI Incentivado Deb Infra RF Cred Priv Ativ</t>
  </si>
  <si>
    <t>5380778.97</t>
  </si>
  <si>
    <t>2631574.72</t>
  </si>
  <si>
    <t>Vinland FIF FI Deb Infra IPCA RF Cred Priv LP Resp</t>
  </si>
  <si>
    <t>WDO1 - Ajustado</t>
  </si>
  <si>
    <t>Datas</t>
  </si>
  <si>
    <t>PC</t>
  </si>
  <si>
    <t>RENDIMENTO DIÁRIO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</si>
</sst>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3" fontId="0" fillId="0" borderId="0" xfId="1" applyFont="1"/>
    <xf numFmtId="43" fontId="0" fillId="0" borderId="0" xfId="0" applyNumberFormat="1"/>
    <xf numFmtId="1" fontId="3" fillId="0" borderId="0" xfId="0" applyNumberFormat="1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workbookViewId="0">
      <selection activeCell="B36" sqref="B36"/>
    </sheetView>
  </sheetViews>
  <sheetFormatPr defaultRowHeight="15" x14ac:dyDescent="0.25"/>
  <sheetData>
    <row r="1" spans="1:2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 t="s">
        <v>22</v>
      </c>
      <c r="C2">
        <v>98420.08</v>
      </c>
      <c r="D2">
        <v>98537.44</v>
      </c>
      <c r="E2">
        <v>98566.96</v>
      </c>
      <c r="F2">
        <v>98606</v>
      </c>
      <c r="G2">
        <v>98589.62</v>
      </c>
      <c r="H2">
        <v>98605.9</v>
      </c>
      <c r="I2">
        <v>98600.13</v>
      </c>
      <c r="J2">
        <v>98688.39</v>
      </c>
      <c r="K2">
        <v>98728.79</v>
      </c>
      <c r="L2">
        <v>98701.51</v>
      </c>
      <c r="M2">
        <v>98711.42</v>
      </c>
      <c r="N2">
        <v>98733.37</v>
      </c>
      <c r="O2">
        <v>98761.04</v>
      </c>
      <c r="P2">
        <v>98762.34</v>
      </c>
      <c r="Q2">
        <v>98812.66</v>
      </c>
      <c r="R2">
        <v>98898.98</v>
      </c>
      <c r="S2">
        <v>99079.3</v>
      </c>
      <c r="T2">
        <v>99088.91</v>
      </c>
      <c r="U2">
        <v>99104.08</v>
      </c>
      <c r="V2">
        <v>99167.94</v>
      </c>
      <c r="W2">
        <v>99195.66</v>
      </c>
    </row>
    <row r="3" spans="1:23" x14ac:dyDescent="0.25">
      <c r="A3" s="1">
        <v>1</v>
      </c>
      <c r="B3" t="s">
        <v>23</v>
      </c>
      <c r="C3">
        <v>88536.62</v>
      </c>
      <c r="D3">
        <v>88708.86</v>
      </c>
      <c r="E3">
        <v>88894.14</v>
      </c>
      <c r="F3">
        <v>88906.74</v>
      </c>
      <c r="G3">
        <v>88985.51</v>
      </c>
      <c r="H3">
        <v>88839.95</v>
      </c>
      <c r="I3">
        <v>88774.27</v>
      </c>
      <c r="J3">
        <v>88813.71</v>
      </c>
      <c r="K3">
        <v>88813.96</v>
      </c>
      <c r="L3">
        <v>88814.33</v>
      </c>
      <c r="M3">
        <v>88827.83</v>
      </c>
      <c r="N3">
        <v>88880.25</v>
      </c>
      <c r="O3">
        <v>88842.11</v>
      </c>
      <c r="P3">
        <v>88714.33</v>
      </c>
      <c r="Q3">
        <v>88754.11</v>
      </c>
      <c r="R3">
        <v>88717.13</v>
      </c>
      <c r="S3">
        <v>88897.44</v>
      </c>
      <c r="T3">
        <v>88885.95</v>
      </c>
      <c r="U3">
        <v>88900.08</v>
      </c>
      <c r="V3">
        <v>88888.93</v>
      </c>
      <c r="W3">
        <v>89309.48</v>
      </c>
    </row>
    <row r="4" spans="1:23" x14ac:dyDescent="0.25">
      <c r="A4" s="1">
        <v>2</v>
      </c>
      <c r="B4" t="s">
        <v>24</v>
      </c>
      <c r="C4">
        <v>83678.7</v>
      </c>
      <c r="D4">
        <v>83886.14</v>
      </c>
      <c r="E4">
        <v>84166.83</v>
      </c>
      <c r="F4">
        <v>84173.14</v>
      </c>
      <c r="G4">
        <v>84216.02</v>
      </c>
      <c r="H4">
        <v>84167.76</v>
      </c>
      <c r="I4">
        <v>84065.34</v>
      </c>
      <c r="J4">
        <v>84090.240000000005</v>
      </c>
      <c r="K4">
        <v>84187.56</v>
      </c>
      <c r="L4">
        <v>84302.89</v>
      </c>
      <c r="M4">
        <v>84345.68</v>
      </c>
      <c r="N4">
        <v>84388.43</v>
      </c>
      <c r="O4">
        <v>84413.08</v>
      </c>
      <c r="P4">
        <v>84221.86</v>
      </c>
      <c r="Q4">
        <v>84210.99</v>
      </c>
      <c r="R4">
        <v>84200.25</v>
      </c>
      <c r="S4">
        <v>84422.13</v>
      </c>
      <c r="T4">
        <v>84393.3</v>
      </c>
      <c r="U4">
        <v>84453.92</v>
      </c>
      <c r="V4">
        <v>84407.48</v>
      </c>
      <c r="W4">
        <v>85103.32</v>
      </c>
    </row>
    <row r="5" spans="1:23" x14ac:dyDescent="0.25">
      <c r="A5" s="1">
        <v>3</v>
      </c>
      <c r="B5" t="s">
        <v>25</v>
      </c>
      <c r="C5">
        <v>75982.66</v>
      </c>
      <c r="D5">
        <v>76132.39</v>
      </c>
      <c r="E5">
        <v>76434.84</v>
      </c>
      <c r="F5">
        <v>76381.23</v>
      </c>
      <c r="G5">
        <v>76429.399999999994</v>
      </c>
      <c r="H5">
        <v>76426.78</v>
      </c>
      <c r="I5">
        <v>76322.91</v>
      </c>
      <c r="J5">
        <v>76244.759999999995</v>
      </c>
      <c r="K5">
        <v>76368.7</v>
      </c>
      <c r="L5">
        <v>76593.88</v>
      </c>
      <c r="M5">
        <v>76566.03</v>
      </c>
      <c r="N5">
        <v>76513.09</v>
      </c>
      <c r="O5">
        <v>76510.75</v>
      </c>
      <c r="P5">
        <v>76332.539999999994</v>
      </c>
      <c r="Q5">
        <v>76355.600000000006</v>
      </c>
      <c r="R5">
        <v>76253.53</v>
      </c>
      <c r="S5">
        <v>76476.899999999994</v>
      </c>
      <c r="T5">
        <v>76424.83</v>
      </c>
      <c r="U5">
        <v>76547.98</v>
      </c>
      <c r="V5">
        <v>76508.490000000005</v>
      </c>
      <c r="W5">
        <v>77437.19</v>
      </c>
    </row>
    <row r="6" spans="1:23" x14ac:dyDescent="0.25">
      <c r="A6" s="1">
        <v>4</v>
      </c>
      <c r="B6" t="s">
        <v>26</v>
      </c>
      <c r="C6">
        <v>72298.679999999993</v>
      </c>
      <c r="D6">
        <v>72349.2</v>
      </c>
      <c r="E6">
        <v>72574.179999999993</v>
      </c>
      <c r="F6">
        <v>72334.210000000006</v>
      </c>
      <c r="G6">
        <v>72471.679999999993</v>
      </c>
      <c r="H6">
        <v>72435.19</v>
      </c>
      <c r="I6">
        <v>72283.27</v>
      </c>
      <c r="J6">
        <v>72160.86</v>
      </c>
      <c r="K6">
        <v>72384.210000000006</v>
      </c>
      <c r="L6">
        <v>72636.960000000006</v>
      </c>
      <c r="M6">
        <v>72600.59</v>
      </c>
      <c r="N6">
        <v>72477.850000000006</v>
      </c>
      <c r="O6">
        <v>72441.89</v>
      </c>
      <c r="P6">
        <v>72205.36</v>
      </c>
      <c r="Q6">
        <v>72341.710000000006</v>
      </c>
      <c r="R6">
        <v>72220.42</v>
      </c>
      <c r="S6">
        <v>72327.990000000005</v>
      </c>
      <c r="T6">
        <v>72349.789999999994</v>
      </c>
      <c r="U6">
        <v>72457.350000000006</v>
      </c>
      <c r="V6">
        <v>72479.11</v>
      </c>
      <c r="W6">
        <v>73436.7</v>
      </c>
    </row>
    <row r="7" spans="1:23" x14ac:dyDescent="0.25">
      <c r="A7" s="1">
        <v>5</v>
      </c>
      <c r="B7" t="s">
        <v>27</v>
      </c>
      <c r="C7">
        <v>66333.67</v>
      </c>
      <c r="D7">
        <v>66353.05</v>
      </c>
      <c r="E7">
        <v>66578.789999999994</v>
      </c>
      <c r="F7">
        <v>66357.52</v>
      </c>
      <c r="G7">
        <v>66308.42</v>
      </c>
      <c r="H7">
        <v>66293.649999999994</v>
      </c>
      <c r="I7">
        <v>66108.37</v>
      </c>
      <c r="J7">
        <v>65890.080000000002</v>
      </c>
      <c r="K7">
        <v>66113.47</v>
      </c>
      <c r="L7">
        <v>66303.31</v>
      </c>
      <c r="M7">
        <v>66220.66</v>
      </c>
      <c r="N7">
        <v>66002.64</v>
      </c>
      <c r="O7">
        <v>65988.47</v>
      </c>
      <c r="P7">
        <v>65670.98</v>
      </c>
      <c r="Q7">
        <v>65825.399999999994</v>
      </c>
      <c r="R7">
        <v>65710.67</v>
      </c>
      <c r="S7">
        <v>65797.710000000006</v>
      </c>
      <c r="T7">
        <v>65817.55</v>
      </c>
      <c r="U7">
        <v>65904.600000000006</v>
      </c>
      <c r="V7">
        <v>65823.66</v>
      </c>
      <c r="W7">
        <v>66910.070000000007</v>
      </c>
    </row>
    <row r="8" spans="1:23" x14ac:dyDescent="0.25">
      <c r="A8" s="1">
        <v>6</v>
      </c>
      <c r="B8" t="s">
        <v>28</v>
      </c>
      <c r="C8">
        <v>57412.89</v>
      </c>
      <c r="D8">
        <v>57107.32</v>
      </c>
      <c r="E8">
        <v>57486.7</v>
      </c>
      <c r="F8">
        <v>57181.02</v>
      </c>
      <c r="G8">
        <v>57117.54</v>
      </c>
      <c r="H8">
        <v>57174.43</v>
      </c>
      <c r="I8">
        <v>56911.25</v>
      </c>
      <c r="J8">
        <v>56729.120000000003</v>
      </c>
      <c r="K8">
        <v>56984.85</v>
      </c>
      <c r="L8">
        <v>57241.62</v>
      </c>
      <c r="M8">
        <v>57058.48</v>
      </c>
      <c r="N8">
        <v>56836.49</v>
      </c>
      <c r="O8">
        <v>56655.28</v>
      </c>
      <c r="P8">
        <v>56317.66</v>
      </c>
      <c r="Q8">
        <v>56334.71</v>
      </c>
      <c r="R8">
        <v>56234.19</v>
      </c>
      <c r="S8">
        <v>56329.63</v>
      </c>
      <c r="T8">
        <v>56346.71</v>
      </c>
      <c r="U8">
        <v>56383.39</v>
      </c>
      <c r="V8">
        <v>56341.73</v>
      </c>
      <c r="W8">
        <v>57426.81</v>
      </c>
    </row>
    <row r="9" spans="1:23" x14ac:dyDescent="0.25">
      <c r="A9" s="1">
        <v>7</v>
      </c>
      <c r="B9" t="s">
        <v>29</v>
      </c>
      <c r="C9">
        <v>54417.48</v>
      </c>
      <c r="D9">
        <v>54181.57</v>
      </c>
      <c r="E9">
        <v>54617.59</v>
      </c>
      <c r="F9">
        <v>54506.96</v>
      </c>
      <c r="G9">
        <v>54522.76</v>
      </c>
      <c r="H9">
        <v>54664.93</v>
      </c>
      <c r="I9">
        <v>54428.38</v>
      </c>
      <c r="J9">
        <v>54276.75</v>
      </c>
      <c r="K9">
        <v>54460.07</v>
      </c>
      <c r="L9">
        <v>54686</v>
      </c>
      <c r="M9">
        <v>54408.02</v>
      </c>
      <c r="N9">
        <v>54007.32</v>
      </c>
      <c r="O9">
        <v>53899.03</v>
      </c>
      <c r="P9">
        <v>53585.3</v>
      </c>
      <c r="Q9">
        <v>53560.31</v>
      </c>
      <c r="R9">
        <v>53494.400000000001</v>
      </c>
      <c r="S9">
        <v>53633.47</v>
      </c>
      <c r="T9">
        <v>53608.51</v>
      </c>
      <c r="U9">
        <v>53727.199999999997</v>
      </c>
      <c r="V9">
        <v>53640.68</v>
      </c>
      <c r="W9">
        <v>54818.25</v>
      </c>
    </row>
    <row r="10" spans="1:23" x14ac:dyDescent="0.25">
      <c r="A10" s="1">
        <v>8</v>
      </c>
      <c r="B10" t="s">
        <v>30</v>
      </c>
      <c r="C10">
        <v>47304.65</v>
      </c>
      <c r="D10">
        <v>47182.63</v>
      </c>
      <c r="E10">
        <v>47468.03</v>
      </c>
      <c r="F10">
        <v>47164.85</v>
      </c>
      <c r="G10">
        <v>47359.26</v>
      </c>
      <c r="H10">
        <v>47372.93</v>
      </c>
      <c r="I10">
        <v>47296.15</v>
      </c>
      <c r="J10">
        <v>47129.52</v>
      </c>
      <c r="K10">
        <v>47323.51</v>
      </c>
      <c r="L10">
        <v>47382.39</v>
      </c>
      <c r="M10">
        <v>47170.64</v>
      </c>
      <c r="N10">
        <v>46781.56</v>
      </c>
      <c r="O10">
        <v>46617.53</v>
      </c>
      <c r="P10">
        <v>46190.11</v>
      </c>
      <c r="Q10">
        <v>46335.79</v>
      </c>
      <c r="R10">
        <v>46130.080000000002</v>
      </c>
      <c r="S10">
        <v>46363.42</v>
      </c>
      <c r="T10">
        <v>46267.35</v>
      </c>
      <c r="U10">
        <v>46347.08</v>
      </c>
      <c r="V10">
        <v>46426.9</v>
      </c>
      <c r="W10">
        <v>47352.9</v>
      </c>
    </row>
    <row r="11" spans="1:23" x14ac:dyDescent="0.25">
      <c r="A11" s="1">
        <v>9</v>
      </c>
      <c r="B11" t="s">
        <v>31</v>
      </c>
      <c r="C11">
        <v>33461.410000000003</v>
      </c>
      <c r="D11">
        <v>33475.620000000003</v>
      </c>
      <c r="E11">
        <v>33767.22</v>
      </c>
      <c r="F11">
        <v>33504.04</v>
      </c>
      <c r="G11">
        <v>33878.97</v>
      </c>
      <c r="H11">
        <v>33814.9</v>
      </c>
      <c r="I11">
        <v>33343.71</v>
      </c>
      <c r="J11">
        <v>33151.4</v>
      </c>
      <c r="K11">
        <v>33208.67</v>
      </c>
      <c r="L11">
        <v>33376.65</v>
      </c>
      <c r="M11">
        <v>33203.46</v>
      </c>
      <c r="N11">
        <v>32874.550000000003</v>
      </c>
      <c r="O11">
        <v>32704.37</v>
      </c>
      <c r="P11">
        <v>32362.400000000001</v>
      </c>
      <c r="Q11">
        <v>32325.22</v>
      </c>
      <c r="R11">
        <v>32399.759999999998</v>
      </c>
      <c r="S11">
        <v>32671.26</v>
      </c>
      <c r="T11">
        <v>32488.49</v>
      </c>
      <c r="U11">
        <v>32549.3</v>
      </c>
      <c r="V11">
        <v>32441.9</v>
      </c>
      <c r="W11">
        <v>33374.129999999997</v>
      </c>
    </row>
    <row r="12" spans="1:23" x14ac:dyDescent="0.25">
      <c r="A12" s="1">
        <v>10</v>
      </c>
      <c r="B12" t="s">
        <v>32</v>
      </c>
      <c r="C12">
        <v>23630.53</v>
      </c>
      <c r="D12">
        <v>23641.67</v>
      </c>
      <c r="E12">
        <v>23840.78</v>
      </c>
      <c r="F12">
        <v>23933.040000000001</v>
      </c>
      <c r="G12">
        <v>23768.95</v>
      </c>
      <c r="H12">
        <v>23766.7</v>
      </c>
      <c r="I12">
        <v>23471.01</v>
      </c>
      <c r="J12">
        <v>23236.04</v>
      </c>
      <c r="K12">
        <v>23409.39</v>
      </c>
      <c r="L12">
        <v>23664.03</v>
      </c>
      <c r="M12">
        <v>23449.18</v>
      </c>
      <c r="N12">
        <v>23149.31</v>
      </c>
      <c r="O12">
        <v>22939.57</v>
      </c>
      <c r="P12">
        <v>22676.53</v>
      </c>
      <c r="Q12">
        <v>22772.67</v>
      </c>
      <c r="R12">
        <v>22634.51</v>
      </c>
      <c r="S12">
        <v>22747.5</v>
      </c>
      <c r="T12">
        <v>22737.07</v>
      </c>
      <c r="U12">
        <v>22709.62</v>
      </c>
      <c r="V12">
        <v>22639.759999999998</v>
      </c>
      <c r="W12">
        <v>23222.35</v>
      </c>
    </row>
    <row r="13" spans="1:23" x14ac:dyDescent="0.25">
      <c r="A13" s="1">
        <v>11</v>
      </c>
      <c r="B13" t="s">
        <v>33</v>
      </c>
      <c r="C13">
        <v>15974.11</v>
      </c>
      <c r="D13">
        <v>16027.96</v>
      </c>
      <c r="E13">
        <v>16238.97</v>
      </c>
      <c r="F13">
        <v>16382.75</v>
      </c>
      <c r="G13">
        <v>16240.48</v>
      </c>
      <c r="H13">
        <v>16279.75</v>
      </c>
      <c r="I13">
        <v>16115.57</v>
      </c>
      <c r="J13">
        <v>15926.77</v>
      </c>
      <c r="K13">
        <v>16117.13</v>
      </c>
      <c r="L13">
        <v>16348.44</v>
      </c>
      <c r="M13">
        <v>16156.86</v>
      </c>
      <c r="N13">
        <v>16062.37</v>
      </c>
      <c r="O13">
        <v>15930.77</v>
      </c>
      <c r="P13">
        <v>15526.56</v>
      </c>
      <c r="Q13">
        <v>15571.47</v>
      </c>
      <c r="R13">
        <v>15444.2</v>
      </c>
      <c r="S13">
        <v>15507.14</v>
      </c>
      <c r="T13">
        <v>15497.03</v>
      </c>
      <c r="U13">
        <v>15483.27</v>
      </c>
      <c r="V13">
        <v>15393.11</v>
      </c>
      <c r="W13">
        <v>15884.65</v>
      </c>
    </row>
    <row r="14" spans="1:23" x14ac:dyDescent="0.25">
      <c r="A14" s="1">
        <v>12</v>
      </c>
      <c r="B14" t="s">
        <v>34</v>
      </c>
      <c r="C14">
        <v>11422.13</v>
      </c>
      <c r="D14">
        <v>11473.62</v>
      </c>
      <c r="E14">
        <v>11622.86</v>
      </c>
      <c r="F14">
        <v>11807.21</v>
      </c>
      <c r="G14">
        <v>11655.61</v>
      </c>
      <c r="H14">
        <v>11649.08</v>
      </c>
      <c r="I14">
        <v>11512.56</v>
      </c>
      <c r="J14">
        <v>11387.3</v>
      </c>
      <c r="K14">
        <v>11519.11</v>
      </c>
      <c r="L14">
        <v>11734.52</v>
      </c>
      <c r="M14">
        <v>11593.78</v>
      </c>
      <c r="N14">
        <v>11327.06</v>
      </c>
      <c r="O14">
        <v>11178.92</v>
      </c>
      <c r="P14">
        <v>11017.39</v>
      </c>
      <c r="Q14">
        <v>11063.87</v>
      </c>
      <c r="R14">
        <v>10946.92</v>
      </c>
      <c r="S14">
        <v>10971.58</v>
      </c>
      <c r="T14">
        <v>10971.71</v>
      </c>
      <c r="U14">
        <v>10965.7</v>
      </c>
      <c r="V14">
        <v>10941.31</v>
      </c>
      <c r="W14">
        <v>11362.7</v>
      </c>
    </row>
    <row r="15" spans="1:23" x14ac:dyDescent="0.25">
      <c r="A15" s="1">
        <v>13</v>
      </c>
      <c r="B15" t="s">
        <v>35</v>
      </c>
      <c r="C15">
        <v>7847.2</v>
      </c>
      <c r="D15">
        <v>7906.55</v>
      </c>
      <c r="E15">
        <v>8037.55</v>
      </c>
      <c r="F15">
        <v>8205.85</v>
      </c>
      <c r="G15">
        <v>8047.39</v>
      </c>
      <c r="H15">
        <v>8025.83</v>
      </c>
      <c r="I15">
        <v>7889.17</v>
      </c>
      <c r="J15">
        <v>7788.18</v>
      </c>
      <c r="K15">
        <v>7885.87</v>
      </c>
      <c r="L15">
        <v>8090.69</v>
      </c>
      <c r="M15">
        <v>7955.57</v>
      </c>
      <c r="N15">
        <v>7743.43</v>
      </c>
      <c r="O15">
        <v>7619.35</v>
      </c>
      <c r="P15">
        <v>7492.41</v>
      </c>
      <c r="Q15">
        <v>7524.2</v>
      </c>
      <c r="R15">
        <v>7430.59</v>
      </c>
      <c r="S15">
        <v>7464.56</v>
      </c>
      <c r="T15">
        <v>7466.73</v>
      </c>
      <c r="U15">
        <v>7446.87</v>
      </c>
      <c r="V15">
        <v>7422.2</v>
      </c>
      <c r="W15">
        <v>7760.91</v>
      </c>
    </row>
    <row r="16" spans="1:23" x14ac:dyDescent="0.25">
      <c r="A16" s="1">
        <v>14</v>
      </c>
      <c r="B16" t="s">
        <v>36</v>
      </c>
      <c r="C16">
        <v>86812.34</v>
      </c>
      <c r="D16">
        <v>86950.54</v>
      </c>
      <c r="E16">
        <v>87057.54</v>
      </c>
      <c r="F16">
        <v>87081.12</v>
      </c>
      <c r="G16">
        <v>87160.83</v>
      </c>
      <c r="H16">
        <v>87241.86</v>
      </c>
      <c r="I16">
        <v>87195.29</v>
      </c>
      <c r="J16">
        <v>87335.38</v>
      </c>
      <c r="K16">
        <v>87416.06</v>
      </c>
      <c r="L16">
        <v>87518.61</v>
      </c>
      <c r="M16">
        <v>87508.82</v>
      </c>
      <c r="N16">
        <v>87515.57</v>
      </c>
      <c r="O16">
        <v>87587.23</v>
      </c>
      <c r="P16">
        <v>87624.76</v>
      </c>
      <c r="Q16">
        <v>87699.87</v>
      </c>
      <c r="R16">
        <v>87660.72</v>
      </c>
      <c r="S16">
        <v>87637.39</v>
      </c>
      <c r="T16">
        <v>87675.04</v>
      </c>
      <c r="U16">
        <v>87734.74</v>
      </c>
      <c r="V16">
        <v>87735.9</v>
      </c>
      <c r="W16">
        <v>88030.03</v>
      </c>
    </row>
    <row r="17" spans="1:23" x14ac:dyDescent="0.25">
      <c r="A17" s="1">
        <v>15</v>
      </c>
      <c r="B17" t="s">
        <v>37</v>
      </c>
      <c r="C17">
        <v>74824.27</v>
      </c>
      <c r="D17">
        <v>75135.350000000006</v>
      </c>
      <c r="E17">
        <v>75344.87</v>
      </c>
      <c r="F17">
        <v>75317.94</v>
      </c>
      <c r="G17">
        <v>75386.58</v>
      </c>
      <c r="H17">
        <v>75577.62</v>
      </c>
      <c r="I17">
        <v>75444.09</v>
      </c>
      <c r="J17">
        <v>75673.289999999994</v>
      </c>
      <c r="K17">
        <v>75821.48</v>
      </c>
      <c r="L17">
        <v>76108.95</v>
      </c>
      <c r="M17">
        <v>75941.34</v>
      </c>
      <c r="N17">
        <v>75912.13</v>
      </c>
      <c r="O17">
        <v>76071.37</v>
      </c>
      <c r="P17">
        <v>76076.820000000007</v>
      </c>
      <c r="Q17">
        <v>76159.070000000007</v>
      </c>
      <c r="R17">
        <v>75991.5</v>
      </c>
      <c r="S17">
        <v>75925.41</v>
      </c>
      <c r="T17">
        <v>76012.820000000007</v>
      </c>
      <c r="U17">
        <v>76124.19</v>
      </c>
      <c r="V17">
        <v>76054.87</v>
      </c>
      <c r="W17">
        <v>76674.14</v>
      </c>
    </row>
    <row r="18" spans="1:23" x14ac:dyDescent="0.25">
      <c r="A18" s="1">
        <v>16</v>
      </c>
      <c r="B18" t="s">
        <v>38</v>
      </c>
      <c r="C18">
        <v>64753.440000000002</v>
      </c>
      <c r="D18">
        <v>65159.49</v>
      </c>
      <c r="E18">
        <v>65510.26</v>
      </c>
      <c r="F18">
        <v>65440.86</v>
      </c>
      <c r="G18">
        <v>65418.97</v>
      </c>
      <c r="H18">
        <v>65705.64</v>
      </c>
      <c r="I18">
        <v>65422.71</v>
      </c>
      <c r="J18">
        <v>65634.63</v>
      </c>
      <c r="K18">
        <v>65865.490000000005</v>
      </c>
      <c r="L18">
        <v>66349.81</v>
      </c>
      <c r="M18">
        <v>66059.28</v>
      </c>
      <c r="N18">
        <v>65957.960000000006</v>
      </c>
      <c r="O18">
        <v>66231.08</v>
      </c>
      <c r="P18">
        <v>66220.7</v>
      </c>
      <c r="Q18">
        <v>66338.64</v>
      </c>
      <c r="R18">
        <v>66081.13</v>
      </c>
      <c r="S18">
        <v>66049.61</v>
      </c>
      <c r="T18">
        <v>66204.05</v>
      </c>
      <c r="U18">
        <v>66301.55</v>
      </c>
      <c r="V18">
        <v>66188.100000000006</v>
      </c>
      <c r="W18">
        <v>66956.88</v>
      </c>
    </row>
    <row r="19" spans="1:23" x14ac:dyDescent="0.25">
      <c r="A19" s="1">
        <v>17</v>
      </c>
      <c r="B19" t="s">
        <v>39</v>
      </c>
      <c r="C19">
        <v>56356.33</v>
      </c>
      <c r="D19">
        <v>56818.25</v>
      </c>
      <c r="E19">
        <v>57270.12</v>
      </c>
      <c r="F19">
        <v>57148.76</v>
      </c>
      <c r="G19">
        <v>57028.06</v>
      </c>
      <c r="H19">
        <v>57342.55</v>
      </c>
      <c r="I19">
        <v>56928.6</v>
      </c>
      <c r="J19">
        <v>57083.62</v>
      </c>
      <c r="K19">
        <v>57372.05</v>
      </c>
      <c r="L19">
        <v>58047.73</v>
      </c>
      <c r="M19">
        <v>57656.34</v>
      </c>
      <c r="N19">
        <v>57452.87</v>
      </c>
      <c r="O19">
        <v>57828.83</v>
      </c>
      <c r="P19">
        <v>57780.160000000003</v>
      </c>
      <c r="Q19">
        <v>57908.74</v>
      </c>
      <c r="R19">
        <v>57616.98</v>
      </c>
      <c r="S19">
        <v>57592.59</v>
      </c>
      <c r="T19">
        <v>57810.67</v>
      </c>
      <c r="U19">
        <v>57895.82</v>
      </c>
      <c r="V19">
        <v>57753.94</v>
      </c>
      <c r="W19">
        <v>58522.03</v>
      </c>
    </row>
    <row r="20" spans="1:23" x14ac:dyDescent="0.25">
      <c r="A20" s="1">
        <v>18</v>
      </c>
      <c r="B20" t="s">
        <v>40</v>
      </c>
      <c r="C20">
        <v>49138.87</v>
      </c>
      <c r="D20">
        <v>49646.42</v>
      </c>
      <c r="E20">
        <v>50148.6</v>
      </c>
      <c r="F20">
        <v>50006.23</v>
      </c>
      <c r="G20">
        <v>49781.279999999999</v>
      </c>
      <c r="H20">
        <v>50064.04</v>
      </c>
      <c r="I20">
        <v>49564.77</v>
      </c>
      <c r="J20">
        <v>49654.3</v>
      </c>
      <c r="K20">
        <v>49991.23</v>
      </c>
      <c r="L20">
        <v>50750.32</v>
      </c>
      <c r="M20">
        <v>50287.21</v>
      </c>
      <c r="N20">
        <v>49970.51</v>
      </c>
      <c r="O20">
        <v>50358.09</v>
      </c>
      <c r="P20">
        <v>50304.44</v>
      </c>
      <c r="Q20">
        <v>50487.08</v>
      </c>
      <c r="R20">
        <v>50116.73</v>
      </c>
      <c r="S20">
        <v>50119.23</v>
      </c>
      <c r="T20">
        <v>50386.43</v>
      </c>
      <c r="U20">
        <v>50453.02</v>
      </c>
      <c r="V20">
        <v>50275.94</v>
      </c>
      <c r="W20">
        <v>51039.24</v>
      </c>
    </row>
    <row r="21" spans="1:23" x14ac:dyDescent="0.25">
      <c r="A21" s="1">
        <v>19</v>
      </c>
      <c r="B21" t="s">
        <v>41</v>
      </c>
      <c r="C21">
        <v>42922.79</v>
      </c>
      <c r="D21">
        <v>43406.74</v>
      </c>
      <c r="E21">
        <v>43964.63</v>
      </c>
      <c r="F21">
        <v>43752.62</v>
      </c>
      <c r="G21">
        <v>43501.71</v>
      </c>
      <c r="H21">
        <v>43728.6</v>
      </c>
      <c r="I21">
        <v>43179.16</v>
      </c>
      <c r="J21">
        <v>43205.64</v>
      </c>
      <c r="K21">
        <v>43576.12</v>
      </c>
      <c r="L21">
        <v>44361.94</v>
      </c>
      <c r="M21">
        <v>43811.31</v>
      </c>
      <c r="N21">
        <v>43420.81</v>
      </c>
      <c r="O21">
        <v>43814.78</v>
      </c>
      <c r="P21">
        <v>43746.879999999997</v>
      </c>
      <c r="Q21">
        <v>43969.31</v>
      </c>
      <c r="R21">
        <v>43585.07</v>
      </c>
      <c r="S21">
        <v>43571.51</v>
      </c>
      <c r="T21">
        <v>43859.93</v>
      </c>
      <c r="U21">
        <v>43904.51</v>
      </c>
      <c r="V21">
        <v>43729.5</v>
      </c>
      <c r="W21">
        <v>44466.58</v>
      </c>
    </row>
    <row r="22" spans="1:23" x14ac:dyDescent="0.25">
      <c r="A22" s="1">
        <v>20</v>
      </c>
      <c r="B22" t="s">
        <v>42</v>
      </c>
      <c r="C22">
        <v>37548.07</v>
      </c>
      <c r="D22">
        <v>38009.879999999997</v>
      </c>
      <c r="E22">
        <v>38570.949999999997</v>
      </c>
      <c r="F22">
        <v>38361.410000000003</v>
      </c>
      <c r="G22">
        <v>38056.800000000003</v>
      </c>
      <c r="H22">
        <v>38229.839999999997</v>
      </c>
      <c r="I22">
        <v>37676.43</v>
      </c>
      <c r="J22">
        <v>37643.08</v>
      </c>
      <c r="K22">
        <v>38014.83</v>
      </c>
      <c r="L22">
        <v>38792.97</v>
      </c>
      <c r="M22">
        <v>38199.22</v>
      </c>
      <c r="N22">
        <v>37759.160000000003</v>
      </c>
      <c r="O22">
        <v>38101.49</v>
      </c>
      <c r="P22">
        <v>38051.730000000003</v>
      </c>
      <c r="Q22">
        <v>38313.58</v>
      </c>
      <c r="R22">
        <v>37882.26</v>
      </c>
      <c r="S22">
        <v>37878.47</v>
      </c>
      <c r="T22">
        <v>38175.199999999997</v>
      </c>
      <c r="U22">
        <v>38200.949999999997</v>
      </c>
      <c r="V22">
        <v>38035.14</v>
      </c>
      <c r="W22">
        <v>38722.44</v>
      </c>
    </row>
    <row r="23" spans="1:23" x14ac:dyDescent="0.25">
      <c r="A23" s="1">
        <v>21</v>
      </c>
      <c r="B23" t="s">
        <v>43</v>
      </c>
      <c r="C23">
        <v>32856.11</v>
      </c>
      <c r="D23">
        <v>33364.85</v>
      </c>
      <c r="E23">
        <v>33907.769999999997</v>
      </c>
      <c r="F23">
        <v>33680.1</v>
      </c>
      <c r="G23">
        <v>33348.15</v>
      </c>
      <c r="H23">
        <v>33484.300000000003</v>
      </c>
      <c r="I23">
        <v>32920.29</v>
      </c>
      <c r="J23">
        <v>32884.160000000003</v>
      </c>
      <c r="K23">
        <v>33262.720000000001</v>
      </c>
      <c r="L23">
        <v>34012.65</v>
      </c>
      <c r="M23">
        <v>33425.870000000003</v>
      </c>
      <c r="N23">
        <v>32932.54</v>
      </c>
      <c r="O23">
        <v>33271.96</v>
      </c>
      <c r="P23">
        <v>33210.31</v>
      </c>
      <c r="Q23">
        <v>33480.959999999999</v>
      </c>
      <c r="R23">
        <v>33012.79</v>
      </c>
      <c r="S23">
        <v>33040.25</v>
      </c>
      <c r="T23">
        <v>33322.75</v>
      </c>
      <c r="U23">
        <v>33341.18</v>
      </c>
      <c r="V23">
        <v>33186.29</v>
      </c>
      <c r="W23">
        <v>33799.61</v>
      </c>
    </row>
    <row r="24" spans="1:23" x14ac:dyDescent="0.25">
      <c r="A24" s="1">
        <v>22</v>
      </c>
      <c r="B24" t="s">
        <v>44</v>
      </c>
      <c r="C24">
        <v>28891.53</v>
      </c>
      <c r="D24">
        <v>29402.98</v>
      </c>
      <c r="E24">
        <v>29945.06</v>
      </c>
      <c r="F24">
        <v>29702.5</v>
      </c>
      <c r="G24">
        <v>29368.400000000001</v>
      </c>
      <c r="H24">
        <v>29471.48</v>
      </c>
      <c r="I24">
        <v>28908.35</v>
      </c>
      <c r="J24">
        <v>28850.28</v>
      </c>
      <c r="K24">
        <v>29208.99</v>
      </c>
      <c r="L24">
        <v>29961.55</v>
      </c>
      <c r="M24">
        <v>29350.19</v>
      </c>
      <c r="N24">
        <v>28831.35</v>
      </c>
      <c r="O24">
        <v>29114.55</v>
      </c>
      <c r="P24">
        <v>29065.18</v>
      </c>
      <c r="Q24">
        <v>29316.45</v>
      </c>
      <c r="R24">
        <v>28846.19</v>
      </c>
      <c r="S24">
        <v>28875.58</v>
      </c>
      <c r="T24">
        <v>29160.85</v>
      </c>
      <c r="U24">
        <v>29154.36</v>
      </c>
      <c r="V24">
        <v>29028.81</v>
      </c>
      <c r="W24">
        <v>29577.08</v>
      </c>
    </row>
    <row r="25" spans="1:23" x14ac:dyDescent="0.25">
      <c r="A25" s="1">
        <v>23</v>
      </c>
      <c r="B25" t="s">
        <v>45</v>
      </c>
      <c r="C25">
        <v>25365.1</v>
      </c>
      <c r="D25">
        <v>25882.86</v>
      </c>
      <c r="E25">
        <v>26437.040000000001</v>
      </c>
      <c r="F25">
        <v>26179.43</v>
      </c>
      <c r="G25">
        <v>25828.5</v>
      </c>
      <c r="H25">
        <v>25900.69</v>
      </c>
      <c r="I25">
        <v>25349.94</v>
      </c>
      <c r="J25">
        <v>25278.69</v>
      </c>
      <c r="K25">
        <v>25641.95</v>
      </c>
      <c r="L25">
        <v>26336.55</v>
      </c>
      <c r="M25">
        <v>25734.23</v>
      </c>
      <c r="N25">
        <v>25180.07</v>
      </c>
      <c r="O25">
        <v>25470.9</v>
      </c>
      <c r="P25">
        <v>25390.75</v>
      </c>
      <c r="Q25">
        <v>25659.599999999999</v>
      </c>
      <c r="R25">
        <v>25192.53</v>
      </c>
      <c r="S25">
        <v>25191.34</v>
      </c>
      <c r="T25">
        <v>25490.46</v>
      </c>
      <c r="U25">
        <v>25465.08</v>
      </c>
      <c r="V25">
        <v>25330.84</v>
      </c>
      <c r="W25">
        <v>25825.8</v>
      </c>
    </row>
    <row r="26" spans="1:23" x14ac:dyDescent="0.25">
      <c r="A26" s="1">
        <v>24</v>
      </c>
      <c r="B26" t="s">
        <v>46</v>
      </c>
      <c r="C26">
        <v>22304.03</v>
      </c>
      <c r="D26">
        <v>22804.15</v>
      </c>
      <c r="E26">
        <v>23340.63</v>
      </c>
      <c r="F26">
        <v>23089.19</v>
      </c>
      <c r="G26">
        <v>22747.56</v>
      </c>
      <c r="H26">
        <v>22816.23</v>
      </c>
      <c r="I26">
        <v>22281.63</v>
      </c>
      <c r="J26">
        <v>22211.42</v>
      </c>
      <c r="K26">
        <v>22561.64</v>
      </c>
      <c r="L26">
        <v>23233.84</v>
      </c>
      <c r="M26">
        <v>22648.41</v>
      </c>
      <c r="N26">
        <v>22110.91</v>
      </c>
      <c r="O26">
        <v>22390.87</v>
      </c>
      <c r="P26">
        <v>22312.02</v>
      </c>
      <c r="Q26">
        <v>22570.91</v>
      </c>
      <c r="R26">
        <v>22117.77</v>
      </c>
      <c r="S26">
        <v>22086.080000000002</v>
      </c>
      <c r="T26">
        <v>22373.62</v>
      </c>
      <c r="U26">
        <v>22347.81</v>
      </c>
      <c r="V26">
        <v>22216.87</v>
      </c>
      <c r="W26">
        <v>22693.94</v>
      </c>
    </row>
    <row r="27" spans="1:23" x14ac:dyDescent="0.25">
      <c r="A27" s="1">
        <v>25</v>
      </c>
      <c r="B27" t="s">
        <v>47</v>
      </c>
      <c r="C27">
        <v>19620.099999999999</v>
      </c>
      <c r="D27">
        <v>20100.29</v>
      </c>
      <c r="E27">
        <v>20616.54</v>
      </c>
      <c r="F27">
        <v>20372.87</v>
      </c>
      <c r="G27">
        <v>20042.580000000002</v>
      </c>
      <c r="H27">
        <v>20107.650000000001</v>
      </c>
      <c r="I27">
        <v>19592.23</v>
      </c>
      <c r="J27">
        <v>19523.71</v>
      </c>
      <c r="K27">
        <v>19859.36</v>
      </c>
      <c r="L27">
        <v>20505.919999999998</v>
      </c>
      <c r="M27">
        <v>19940.72</v>
      </c>
      <c r="N27">
        <v>19422.93</v>
      </c>
      <c r="O27">
        <v>19690.86</v>
      </c>
      <c r="P27">
        <v>19553.18</v>
      </c>
      <c r="Q27">
        <v>19800.23</v>
      </c>
      <c r="R27">
        <v>19365.13</v>
      </c>
      <c r="S27">
        <v>19307.830000000002</v>
      </c>
      <c r="T27">
        <v>19581.689999999999</v>
      </c>
      <c r="U27">
        <v>19555.97</v>
      </c>
      <c r="V27">
        <v>19429.740000000002</v>
      </c>
      <c r="W27">
        <v>19872.849999999999</v>
      </c>
    </row>
    <row r="28" spans="1:23" x14ac:dyDescent="0.25">
      <c r="A28" s="1">
        <v>26</v>
      </c>
      <c r="B28" t="s">
        <v>48</v>
      </c>
      <c r="C28">
        <v>17303.22</v>
      </c>
      <c r="D28">
        <v>17761.73</v>
      </c>
      <c r="E28">
        <v>18255.740000000002</v>
      </c>
      <c r="F28">
        <v>18021.189999999999</v>
      </c>
      <c r="G28">
        <v>17703.95</v>
      </c>
      <c r="H28">
        <v>17765.400000000001</v>
      </c>
      <c r="I28">
        <v>17271.580000000002</v>
      </c>
      <c r="J28">
        <v>17205.29</v>
      </c>
      <c r="K28">
        <v>17525.259999999998</v>
      </c>
      <c r="L28">
        <v>18143.64</v>
      </c>
      <c r="M28">
        <v>17601.41</v>
      </c>
      <c r="N28">
        <v>17105.73</v>
      </c>
      <c r="O28">
        <v>17360.8</v>
      </c>
      <c r="P28">
        <v>17228.419999999998</v>
      </c>
      <c r="Q28">
        <v>17463.66</v>
      </c>
      <c r="R28">
        <v>17047.23</v>
      </c>
      <c r="S28">
        <v>16965.099999999999</v>
      </c>
      <c r="T28">
        <v>17225.259999999998</v>
      </c>
      <c r="U28">
        <v>17199.900000000001</v>
      </c>
      <c r="V28">
        <v>17078.77</v>
      </c>
      <c r="W28">
        <v>17500.54</v>
      </c>
    </row>
    <row r="29" spans="1:23" x14ac:dyDescent="0.25">
      <c r="A29" s="1">
        <v>27</v>
      </c>
      <c r="B29" t="s">
        <v>49</v>
      </c>
      <c r="C29">
        <v>14926.11</v>
      </c>
      <c r="D29">
        <v>15351.61</v>
      </c>
      <c r="E29">
        <v>15811.02</v>
      </c>
      <c r="F29">
        <v>15591.94</v>
      </c>
      <c r="G29">
        <v>15296.17</v>
      </c>
      <c r="H29">
        <v>15352.75</v>
      </c>
      <c r="I29">
        <v>14893.38</v>
      </c>
      <c r="J29">
        <v>14831.31</v>
      </c>
      <c r="K29">
        <v>15127.82</v>
      </c>
      <c r="L29">
        <v>15702.54</v>
      </c>
      <c r="M29">
        <v>15197.44</v>
      </c>
      <c r="N29">
        <v>14736.72</v>
      </c>
      <c r="O29">
        <v>14972.82</v>
      </c>
      <c r="P29">
        <v>14849.4</v>
      </c>
      <c r="Q29">
        <v>15067.2</v>
      </c>
      <c r="R29">
        <v>14680.23</v>
      </c>
      <c r="S29">
        <v>14603.55</v>
      </c>
      <c r="T29">
        <v>14844.21</v>
      </c>
      <c r="U29">
        <v>14820.12</v>
      </c>
      <c r="V29">
        <v>14707.22</v>
      </c>
      <c r="W29">
        <v>15098.05</v>
      </c>
    </row>
    <row r="30" spans="1:23" x14ac:dyDescent="0.25">
      <c r="A30" s="1">
        <v>28</v>
      </c>
      <c r="B30" t="s">
        <v>50</v>
      </c>
      <c r="C30">
        <v>13025.91</v>
      </c>
      <c r="D30">
        <v>13423.72</v>
      </c>
      <c r="E30">
        <v>13854.13</v>
      </c>
      <c r="F30">
        <v>13648</v>
      </c>
      <c r="G30">
        <v>13370.24</v>
      </c>
      <c r="H30">
        <v>13422.73</v>
      </c>
      <c r="I30">
        <v>12992.27</v>
      </c>
      <c r="J30">
        <v>12933.74</v>
      </c>
      <c r="K30">
        <v>13210.55</v>
      </c>
      <c r="L30">
        <v>13748.65</v>
      </c>
      <c r="M30">
        <v>13274.7</v>
      </c>
      <c r="N30">
        <v>12843.34</v>
      </c>
      <c r="O30">
        <v>13063.5</v>
      </c>
      <c r="P30">
        <v>12947.61</v>
      </c>
      <c r="Q30">
        <v>13150.76</v>
      </c>
      <c r="R30">
        <v>12788.56</v>
      </c>
      <c r="S30">
        <v>12716.47</v>
      </c>
      <c r="T30">
        <v>12940.72</v>
      </c>
      <c r="U30">
        <v>12917.71</v>
      </c>
      <c r="V30">
        <v>12811.74</v>
      </c>
      <c r="W30">
        <v>13176.54</v>
      </c>
    </row>
    <row r="31" spans="1:23" x14ac:dyDescent="0.25">
      <c r="A31" s="1">
        <v>29</v>
      </c>
      <c r="B31" t="s">
        <v>51</v>
      </c>
      <c r="C31">
        <v>108812.5</v>
      </c>
      <c r="D31">
        <v>108640.6</v>
      </c>
      <c r="E31">
        <v>108531.2</v>
      </c>
      <c r="F31">
        <v>108171.8</v>
      </c>
      <c r="G31">
        <v>108140.6</v>
      </c>
      <c r="H31">
        <v>108218.7</v>
      </c>
      <c r="I31">
        <v>107390.6</v>
      </c>
      <c r="J31">
        <v>107234.3</v>
      </c>
      <c r="K31">
        <v>107359.3</v>
      </c>
      <c r="L31">
        <v>108328.1</v>
      </c>
      <c r="M31">
        <v>108609.3</v>
      </c>
      <c r="N31">
        <v>108546.8</v>
      </c>
      <c r="O31">
        <v>108546.8</v>
      </c>
      <c r="P31">
        <v>108734.3</v>
      </c>
      <c r="Q31">
        <v>108562.5</v>
      </c>
      <c r="R31">
        <v>108375</v>
      </c>
      <c r="S31">
        <v>108468.7</v>
      </c>
      <c r="T31">
        <v>109156.2</v>
      </c>
      <c r="U31">
        <v>109031.2</v>
      </c>
      <c r="V31">
        <v>108953.1</v>
      </c>
      <c r="W31">
        <v>109234.3</v>
      </c>
    </row>
    <row r="32" spans="1:23" x14ac:dyDescent="0.25">
      <c r="A32" s="1">
        <v>30</v>
      </c>
      <c r="B32" t="s">
        <v>52</v>
      </c>
      <c r="C32">
        <v>61923</v>
      </c>
      <c r="D32">
        <v>62130.21</v>
      </c>
      <c r="E32">
        <v>61430.28</v>
      </c>
      <c r="F32">
        <v>61309.179999999993</v>
      </c>
      <c r="G32">
        <v>61463.519999999997</v>
      </c>
      <c r="H32">
        <v>60796.23</v>
      </c>
      <c r="I32">
        <v>61235.27</v>
      </c>
      <c r="J32">
        <v>61107.7</v>
      </c>
      <c r="K32">
        <v>60707.25</v>
      </c>
      <c r="L32">
        <v>60437.67</v>
      </c>
      <c r="M32">
        <v>60815.68</v>
      </c>
      <c r="N32">
        <v>60740.69</v>
      </c>
      <c r="O32">
        <v>60563.88</v>
      </c>
      <c r="P32">
        <v>60373.75</v>
      </c>
      <c r="Q32">
        <v>59411.4</v>
      </c>
      <c r="R32">
        <v>59132.569999999992</v>
      </c>
      <c r="S32">
        <v>59106.65</v>
      </c>
      <c r="T32">
        <v>59197.84</v>
      </c>
      <c r="U32">
        <v>58691.96</v>
      </c>
      <c r="V32">
        <v>58726.11</v>
      </c>
      <c r="W32">
        <v>58682.34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5204B-B2AE-44AE-8311-5E2DA41F6DC5}">
  <dimension ref="B1:Z29"/>
  <sheetViews>
    <sheetView topLeftCell="C1" workbookViewId="0">
      <selection activeCell="B1" sqref="B1:W3"/>
    </sheetView>
  </sheetViews>
  <sheetFormatPr defaultColWidth="9.28515625" defaultRowHeight="15" x14ac:dyDescent="0.25"/>
  <cols>
    <col min="1" max="1" width="6.5703125" bestFit="1" customWidth="1"/>
    <col min="2" max="2" width="20" bestFit="1" customWidth="1"/>
    <col min="3" max="3" width="10.42578125" bestFit="1" customWidth="1"/>
    <col min="4" max="4" width="12.7109375" bestFit="1" customWidth="1"/>
    <col min="5" max="5" width="16.85546875" bestFit="1" customWidth="1"/>
    <col min="6" max="7" width="12.7109375" bestFit="1" customWidth="1"/>
    <col min="8" max="8" width="12" bestFit="1" customWidth="1"/>
    <col min="9" max="10" width="12.7109375" bestFit="1" customWidth="1"/>
    <col min="11" max="11" width="11" bestFit="1" customWidth="1"/>
    <col min="12" max="13" width="12" bestFit="1" customWidth="1"/>
    <col min="14" max="14" width="12.7109375" bestFit="1" customWidth="1"/>
    <col min="15" max="15" width="10.42578125" bestFit="1" customWidth="1"/>
    <col min="16" max="16" width="12" bestFit="1" customWidth="1"/>
    <col min="17" max="18" width="12.7109375" bestFit="1" customWidth="1"/>
    <col min="19" max="20" width="12" bestFit="1" customWidth="1"/>
    <col min="21" max="21" width="10.7109375" bestFit="1" customWidth="1"/>
    <col min="22" max="22" width="12.7109375" bestFit="1" customWidth="1"/>
    <col min="23" max="26" width="12" bestFit="1" customWidth="1"/>
  </cols>
  <sheetData>
    <row r="1" spans="2:26" x14ac:dyDescent="0.25">
      <c r="B1" t="s">
        <v>52</v>
      </c>
      <c r="C1" s="3">
        <v>61923</v>
      </c>
      <c r="D1" s="3">
        <v>62130.21</v>
      </c>
      <c r="E1" s="3">
        <v>61430.28</v>
      </c>
      <c r="F1" s="3">
        <v>61309.179999999993</v>
      </c>
      <c r="G1" s="3">
        <v>61463.519999999997</v>
      </c>
      <c r="H1" s="3">
        <v>60796.23</v>
      </c>
      <c r="I1" s="3">
        <v>61235.27</v>
      </c>
      <c r="J1" s="3">
        <v>61107.7</v>
      </c>
      <c r="K1" s="3">
        <v>60707.25</v>
      </c>
      <c r="L1" s="3">
        <v>60437.67</v>
      </c>
      <c r="M1" s="3">
        <v>60815.68</v>
      </c>
      <c r="N1" s="3">
        <v>60740.69</v>
      </c>
      <c r="O1" s="3">
        <v>60563.88</v>
      </c>
      <c r="P1" s="3">
        <v>60373.75</v>
      </c>
      <c r="Q1" s="3">
        <v>59411.4</v>
      </c>
      <c r="R1" s="3">
        <v>59132.569999999992</v>
      </c>
      <c r="S1" s="3">
        <v>59106.65</v>
      </c>
      <c r="T1" s="3">
        <v>59197.84</v>
      </c>
      <c r="U1" s="3">
        <v>58691.96</v>
      </c>
      <c r="V1" s="3">
        <v>58726.11</v>
      </c>
      <c r="W1" s="3">
        <v>58682.34</v>
      </c>
    </row>
    <row r="2" spans="2:26" x14ac:dyDescent="0.25">
      <c r="B2" t="s">
        <v>1663</v>
      </c>
      <c r="C2" s="2">
        <f>C1/10000</f>
        <v>6.1923000000000004</v>
      </c>
      <c r="D2" s="9">
        <f t="shared" ref="D2:W2" si="0">D1/10000</f>
        <v>6.2130210000000003</v>
      </c>
      <c r="E2" s="9">
        <f t="shared" si="0"/>
        <v>6.1430280000000002</v>
      </c>
      <c r="F2" s="9">
        <f t="shared" si="0"/>
        <v>6.1309179999999994</v>
      </c>
      <c r="G2" s="9">
        <f t="shared" si="0"/>
        <v>6.1463519999999994</v>
      </c>
      <c r="H2" s="9">
        <f t="shared" si="0"/>
        <v>6.0796230000000007</v>
      </c>
      <c r="I2" s="9">
        <f t="shared" si="0"/>
        <v>6.1235269999999993</v>
      </c>
      <c r="J2" s="9">
        <f t="shared" si="0"/>
        <v>6.1107699999999996</v>
      </c>
      <c r="K2" s="9">
        <f t="shared" si="0"/>
        <v>6.0707250000000004</v>
      </c>
      <c r="L2" s="9">
        <f t="shared" si="0"/>
        <v>6.0437669999999999</v>
      </c>
      <c r="M2" s="9">
        <f t="shared" si="0"/>
        <v>6.0815679999999999</v>
      </c>
      <c r="N2" s="9">
        <f t="shared" si="0"/>
        <v>6.0740690000000006</v>
      </c>
      <c r="O2" s="9">
        <f t="shared" si="0"/>
        <v>6.0563880000000001</v>
      </c>
      <c r="P2" s="9">
        <f t="shared" si="0"/>
        <v>6.0373749999999999</v>
      </c>
      <c r="Q2" s="9">
        <f t="shared" si="0"/>
        <v>5.9411399999999999</v>
      </c>
      <c r="R2" s="9">
        <f t="shared" si="0"/>
        <v>5.9132569999999989</v>
      </c>
      <c r="S2" s="9">
        <f t="shared" si="0"/>
        <v>5.9106649999999998</v>
      </c>
      <c r="T2" s="9">
        <f t="shared" si="0"/>
        <v>5.9197839999999999</v>
      </c>
      <c r="U2" s="9">
        <f t="shared" si="0"/>
        <v>5.8691959999999996</v>
      </c>
      <c r="V2" s="9">
        <f t="shared" si="0"/>
        <v>5.872611</v>
      </c>
      <c r="W2" s="9">
        <f t="shared" si="0"/>
        <v>5.8682339999999993</v>
      </c>
    </row>
    <row r="3" spans="2:26" x14ac:dyDescent="0.25">
      <c r="B3" t="s">
        <v>51</v>
      </c>
      <c r="C3">
        <v>108812.5</v>
      </c>
      <c r="D3">
        <v>108640.6</v>
      </c>
      <c r="E3">
        <v>108531.2</v>
      </c>
      <c r="F3">
        <v>108171.8</v>
      </c>
      <c r="G3">
        <v>108140.6</v>
      </c>
      <c r="H3">
        <v>108218.7</v>
      </c>
      <c r="I3">
        <v>107390.6</v>
      </c>
      <c r="J3">
        <v>107234.3</v>
      </c>
      <c r="K3">
        <v>107359.3</v>
      </c>
      <c r="L3">
        <v>108328.1</v>
      </c>
      <c r="M3">
        <v>108609.3</v>
      </c>
      <c r="N3">
        <v>108546.8</v>
      </c>
      <c r="O3">
        <v>108546.8</v>
      </c>
      <c r="P3">
        <v>108734.3</v>
      </c>
      <c r="Q3">
        <v>108562.5</v>
      </c>
      <c r="R3">
        <v>108375</v>
      </c>
      <c r="S3">
        <v>108468.7</v>
      </c>
      <c r="T3">
        <v>109156.2</v>
      </c>
      <c r="U3">
        <v>109031.2</v>
      </c>
      <c r="V3">
        <v>108953.1</v>
      </c>
      <c r="W3">
        <v>109234.3</v>
      </c>
    </row>
    <row r="4" spans="2:26" x14ac:dyDescent="0.25">
      <c r="Z4">
        <f>(W3-C6)*C5</f>
        <v>668.60000000000582</v>
      </c>
    </row>
    <row r="5" spans="2:26" x14ac:dyDescent="0.25">
      <c r="B5" t="s">
        <v>53</v>
      </c>
      <c r="C5">
        <v>2</v>
      </c>
      <c r="D5" s="3">
        <f>(D3*D2)-(C6*D2)</f>
        <v>-1611.6576473999303</v>
      </c>
      <c r="E5" s="3">
        <f t="shared" ref="E5:W5" si="1">(E3*E2)-(D3*D2)</f>
        <v>-8276.128779000137</v>
      </c>
      <c r="F5" s="3">
        <f t="shared" si="1"/>
        <v>-3517.7647611999419</v>
      </c>
      <c r="G5" s="3">
        <f t="shared" si="1"/>
        <v>1477.7573787999572</v>
      </c>
      <c r="H5" s="3">
        <f t="shared" si="1"/>
        <v>-6741.2955410998547</v>
      </c>
      <c r="I5" s="3">
        <f t="shared" si="1"/>
        <v>-319.65890390018467</v>
      </c>
      <c r="J5" s="3">
        <f t="shared" si="1"/>
        <v>-2325.0952351999003</v>
      </c>
      <c r="K5" s="3">
        <f t="shared" si="1"/>
        <v>-3535.3569184999214</v>
      </c>
      <c r="L5" s="3">
        <f t="shared" si="1"/>
        <v>2961.0094601999735</v>
      </c>
      <c r="M5" s="3">
        <f t="shared" si="1"/>
        <v>5805.0474296999164</v>
      </c>
      <c r="N5" s="3">
        <f t="shared" si="1"/>
        <v>-1194.0904531999258</v>
      </c>
      <c r="O5" s="3">
        <f t="shared" si="1"/>
        <v>-1919.2159708000254</v>
      </c>
      <c r="P5" s="3">
        <f t="shared" si="1"/>
        <v>-931.79249590006657</v>
      </c>
      <c r="Q5" s="3">
        <f t="shared" si="1"/>
        <v>-11484.733212499996</v>
      </c>
      <c r="R5" s="3">
        <f t="shared" si="1"/>
        <v>-4135.783875000081</v>
      </c>
      <c r="S5" s="3">
        <f t="shared" si="1"/>
        <v>272.92131050000899</v>
      </c>
      <c r="T5" s="3">
        <f t="shared" si="1"/>
        <v>5058.9775753000285</v>
      </c>
      <c r="U5" s="3">
        <f t="shared" si="1"/>
        <v>-6255.6433455999941</v>
      </c>
      <c r="V5" s="3">
        <f t="shared" si="1"/>
        <v>-86.309371099923737</v>
      </c>
      <c r="W5" s="3">
        <f t="shared" si="1"/>
        <v>1173.259682099917</v>
      </c>
      <c r="X5" s="3">
        <f>SUM(D5:W5)*C5</f>
        <v>-71171.107347600162</v>
      </c>
      <c r="Z5">
        <f>Z4*W2</f>
        <v>3923.5012524000335</v>
      </c>
    </row>
    <row r="6" spans="2:26" x14ac:dyDescent="0.25">
      <c r="B6" t="s">
        <v>1665</v>
      </c>
      <c r="C6">
        <v>108900</v>
      </c>
    </row>
    <row r="9" spans="2:26" x14ac:dyDescent="0.25">
      <c r="B9" t="s">
        <v>1664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  <c r="N9" t="s">
        <v>12</v>
      </c>
      <c r="O9" t="s">
        <v>13</v>
      </c>
      <c r="P9" t="s">
        <v>14</v>
      </c>
      <c r="Q9" t="s">
        <v>15</v>
      </c>
      <c r="R9" t="s">
        <v>16</v>
      </c>
      <c r="S9" t="s">
        <v>17</v>
      </c>
      <c r="T9" t="s">
        <v>18</v>
      </c>
      <c r="U9" t="s">
        <v>19</v>
      </c>
      <c r="V9" t="s">
        <v>20</v>
      </c>
      <c r="W9" t="s">
        <v>21</v>
      </c>
    </row>
    <row r="10" spans="2:26" x14ac:dyDescent="0.25">
      <c r="B10" t="s">
        <v>1666</v>
      </c>
    </row>
    <row r="12" spans="2:26" x14ac:dyDescent="0.25">
      <c r="B12" t="s">
        <v>53</v>
      </c>
      <c r="C12">
        <v>2</v>
      </c>
      <c r="D12" s="3">
        <f>(D3-C6)</f>
        <v>-259.39999999999418</v>
      </c>
      <c r="E12" s="3">
        <f>E3-D3</f>
        <v>-109.40000000000873</v>
      </c>
      <c r="F12" s="3">
        <f t="shared" ref="F12:W12" si="2">F3-E3</f>
        <v>-359.39999999999418</v>
      </c>
      <c r="G12" s="3">
        <f t="shared" si="2"/>
        <v>-31.19999999999709</v>
      </c>
      <c r="H12" s="3">
        <f t="shared" si="2"/>
        <v>78.099999999991269</v>
      </c>
      <c r="I12" s="3">
        <f t="shared" si="2"/>
        <v>-828.09999999999127</v>
      </c>
      <c r="J12" s="3">
        <f t="shared" si="2"/>
        <v>-156.30000000000291</v>
      </c>
      <c r="K12" s="3">
        <f t="shared" si="2"/>
        <v>125</v>
      </c>
      <c r="L12" s="3">
        <f t="shared" si="2"/>
        <v>968.80000000000291</v>
      </c>
      <c r="M12" s="3">
        <f t="shared" si="2"/>
        <v>281.19999999999709</v>
      </c>
      <c r="N12" s="3">
        <f t="shared" si="2"/>
        <v>-62.5</v>
      </c>
      <c r="O12" s="3">
        <f t="shared" si="2"/>
        <v>0</v>
      </c>
      <c r="P12" s="3">
        <f t="shared" si="2"/>
        <v>187.5</v>
      </c>
      <c r="Q12" s="3">
        <f t="shared" si="2"/>
        <v>-171.80000000000291</v>
      </c>
      <c r="R12" s="3">
        <f t="shared" si="2"/>
        <v>-187.5</v>
      </c>
      <c r="S12" s="3">
        <f t="shared" si="2"/>
        <v>93.69999999999709</v>
      </c>
      <c r="T12" s="3">
        <f t="shared" si="2"/>
        <v>687.5</v>
      </c>
      <c r="U12" s="3">
        <f t="shared" si="2"/>
        <v>-125</v>
      </c>
      <c r="V12" s="8">
        <f t="shared" si="2"/>
        <v>-78.099999999991269</v>
      </c>
      <c r="W12" s="3">
        <f t="shared" si="2"/>
        <v>281.19999999999709</v>
      </c>
      <c r="X12" s="3">
        <f>SUM(D12:W12)*C12</f>
        <v>668.60000000000582</v>
      </c>
    </row>
    <row r="13" spans="2:26" x14ac:dyDescent="0.25">
      <c r="B13" t="s">
        <v>1665</v>
      </c>
      <c r="C13">
        <v>108900</v>
      </c>
      <c r="D13">
        <f>D12*$W$2</f>
        <v>-1522.2198995999656</v>
      </c>
      <c r="E13">
        <f t="shared" ref="E13:W13" si="3">E12*$W$2</f>
        <v>-641.98479960005113</v>
      </c>
      <c r="F13">
        <f t="shared" si="3"/>
        <v>-2109.0432995999654</v>
      </c>
      <c r="G13">
        <f t="shared" si="3"/>
        <v>-183.08890079998289</v>
      </c>
      <c r="H13">
        <f t="shared" si="3"/>
        <v>458.30907539994871</v>
      </c>
      <c r="I13">
        <f t="shared" si="3"/>
        <v>-4859.484575399948</v>
      </c>
      <c r="J13">
        <f t="shared" si="3"/>
        <v>-917.20497420001698</v>
      </c>
      <c r="K13">
        <f t="shared" si="3"/>
        <v>733.52924999999993</v>
      </c>
      <c r="L13">
        <f t="shared" si="3"/>
        <v>5685.1450992000164</v>
      </c>
      <c r="M13">
        <f t="shared" si="3"/>
        <v>1650.1474007999827</v>
      </c>
      <c r="N13">
        <f t="shared" si="3"/>
        <v>-366.76462499999997</v>
      </c>
      <c r="O13">
        <f t="shared" si="3"/>
        <v>0</v>
      </c>
      <c r="P13">
        <f t="shared" si="3"/>
        <v>1100.2938749999998</v>
      </c>
      <c r="Q13">
        <f t="shared" si="3"/>
        <v>-1008.162601200017</v>
      </c>
      <c r="R13">
        <f t="shared" si="3"/>
        <v>-1100.2938749999998</v>
      </c>
      <c r="S13">
        <f t="shared" si="3"/>
        <v>549.85352579998289</v>
      </c>
      <c r="T13">
        <f t="shared" si="3"/>
        <v>4034.4108749999996</v>
      </c>
      <c r="U13">
        <f t="shared" si="3"/>
        <v>-733.52924999999993</v>
      </c>
      <c r="V13">
        <f t="shared" si="3"/>
        <v>-458.30907539994871</v>
      </c>
      <c r="W13">
        <f t="shared" si="3"/>
        <v>1650.1474007999827</v>
      </c>
      <c r="X13">
        <f>X12*W2</f>
        <v>3923.5012524000335</v>
      </c>
      <c r="Y13">
        <f>SUM(D13:W13)*C12</f>
        <v>3923.5012524000367</v>
      </c>
    </row>
    <row r="14" spans="2:26" x14ac:dyDescent="0.25">
      <c r="D14">
        <f t="shared" ref="D14:K14" si="4">D12*D2</f>
        <v>-1611.6576473999639</v>
      </c>
      <c r="E14">
        <f t="shared" si="4"/>
        <v>-672.04726320005364</v>
      </c>
      <c r="F14">
        <f t="shared" si="4"/>
        <v>-2203.4519291999641</v>
      </c>
      <c r="G14">
        <f t="shared" si="4"/>
        <v>-191.76618239998209</v>
      </c>
      <c r="H14">
        <f t="shared" si="4"/>
        <v>474.81855629994698</v>
      </c>
      <c r="I14">
        <f t="shared" si="4"/>
        <v>-5070.8927086999456</v>
      </c>
      <c r="J14">
        <f t="shared" si="4"/>
        <v>-955.1133510000177</v>
      </c>
      <c r="K14">
        <f t="shared" si="4"/>
        <v>758.84062500000005</v>
      </c>
      <c r="L14">
        <f t="shared" ref="L14:W14" si="5">L12*L2</f>
        <v>5855.2014696000178</v>
      </c>
      <c r="M14">
        <f t="shared" si="5"/>
        <v>1710.1369215999823</v>
      </c>
      <c r="N14">
        <f t="shared" si="5"/>
        <v>-379.62931250000003</v>
      </c>
      <c r="O14">
        <f t="shared" si="5"/>
        <v>0</v>
      </c>
      <c r="P14">
        <f t="shared" si="5"/>
        <v>1132.0078125</v>
      </c>
      <c r="Q14">
        <f t="shared" si="5"/>
        <v>-1020.6878520000173</v>
      </c>
      <c r="R14">
        <f t="shared" si="5"/>
        <v>-1108.7356874999998</v>
      </c>
      <c r="S14">
        <f t="shared" si="5"/>
        <v>553.82931049998274</v>
      </c>
      <c r="T14">
        <f t="shared" si="5"/>
        <v>4069.8514999999998</v>
      </c>
      <c r="U14">
        <f t="shared" si="5"/>
        <v>-733.64949999999999</v>
      </c>
      <c r="V14">
        <f t="shared" si="5"/>
        <v>-458.65091909994874</v>
      </c>
      <c r="W14">
        <f t="shared" si="5"/>
        <v>1650.1474007999827</v>
      </c>
      <c r="X14" s="3">
        <f>SUM(D14:W14)*C12</f>
        <v>3597.1024866000389</v>
      </c>
    </row>
    <row r="21" spans="4:13" x14ac:dyDescent="0.25">
      <c r="K21">
        <v>108812.5</v>
      </c>
    </row>
    <row r="22" spans="4:13" x14ac:dyDescent="0.25">
      <c r="K22">
        <v>108900</v>
      </c>
    </row>
    <row r="23" spans="4:13" x14ac:dyDescent="0.25">
      <c r="K23">
        <f>K22-K21</f>
        <v>87.5</v>
      </c>
      <c r="L23">
        <f>K23*2</f>
        <v>175</v>
      </c>
    </row>
    <row r="24" spans="4:13" x14ac:dyDescent="0.25">
      <c r="L24">
        <f>L23*C2</f>
        <v>1083.6525000000001</v>
      </c>
      <c r="M24">
        <f>L23*W2</f>
        <v>1026.9409499999999</v>
      </c>
    </row>
    <row r="28" spans="4:13" x14ac:dyDescent="0.25">
      <c r="E28" s="6">
        <v>5000000</v>
      </c>
    </row>
    <row r="29" spans="4:13" x14ac:dyDescent="0.25">
      <c r="D29">
        <v>1000</v>
      </c>
      <c r="E29" s="7">
        <f>D29*E28</f>
        <v>5000000000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42DE-4D7C-4394-B973-A73101AD07F9}">
  <dimension ref="A1:V14"/>
  <sheetViews>
    <sheetView tabSelected="1" workbookViewId="0">
      <selection activeCell="L14" sqref="L14"/>
    </sheetView>
  </sheetViews>
  <sheetFormatPr defaultRowHeight="15" x14ac:dyDescent="0.25"/>
  <sheetData>
    <row r="1" spans="1:22" x14ac:dyDescent="0.25">
      <c r="A1" t="s">
        <v>52</v>
      </c>
      <c r="B1" s="3">
        <v>61923</v>
      </c>
      <c r="C1" s="3">
        <v>62130.21</v>
      </c>
      <c r="D1" s="3">
        <v>61430.28</v>
      </c>
      <c r="E1" s="3">
        <v>61309.179999999993</v>
      </c>
      <c r="F1" s="3">
        <v>61463.519999999997</v>
      </c>
      <c r="G1" s="3">
        <v>60796.23</v>
      </c>
      <c r="H1" s="3">
        <v>61235.27</v>
      </c>
      <c r="I1" s="3">
        <v>61107.7</v>
      </c>
      <c r="J1" s="3">
        <v>60707.25</v>
      </c>
      <c r="K1" s="3">
        <v>60437.67</v>
      </c>
      <c r="L1" s="3">
        <v>60815.68</v>
      </c>
      <c r="M1" s="3">
        <v>60740.69</v>
      </c>
      <c r="N1" s="3">
        <v>60563.88</v>
      </c>
      <c r="O1" s="3">
        <v>60373.75</v>
      </c>
      <c r="P1" s="3">
        <v>59411.4</v>
      </c>
      <c r="Q1" s="3">
        <v>59132.569999999992</v>
      </c>
      <c r="R1" s="3">
        <v>59106.65</v>
      </c>
      <c r="S1" s="3">
        <v>59197.84</v>
      </c>
      <c r="T1" s="3">
        <v>58691.96</v>
      </c>
      <c r="U1" s="3">
        <v>58726.11</v>
      </c>
      <c r="V1" s="3">
        <v>58682.34</v>
      </c>
    </row>
    <row r="2" spans="1:22" x14ac:dyDescent="0.25">
      <c r="A2" t="s">
        <v>1663</v>
      </c>
      <c r="B2" s="2">
        <f>B1/10000</f>
        <v>6.1923000000000004</v>
      </c>
      <c r="C2" s="9">
        <f t="shared" ref="C2:V2" si="0">C1/10000</f>
        <v>6.2130210000000003</v>
      </c>
      <c r="D2" s="9">
        <f t="shared" si="0"/>
        <v>6.1430280000000002</v>
      </c>
      <c r="E2" s="9">
        <f t="shared" si="0"/>
        <v>6.1309179999999994</v>
      </c>
      <c r="F2" s="9">
        <f t="shared" si="0"/>
        <v>6.1463519999999994</v>
      </c>
      <c r="G2" s="9">
        <f t="shared" si="0"/>
        <v>6.0796230000000007</v>
      </c>
      <c r="H2" s="9">
        <f t="shared" si="0"/>
        <v>6.1235269999999993</v>
      </c>
      <c r="I2" s="9">
        <f t="shared" si="0"/>
        <v>6.1107699999999996</v>
      </c>
      <c r="J2" s="9">
        <f t="shared" si="0"/>
        <v>6.0707250000000004</v>
      </c>
      <c r="K2" s="9">
        <f t="shared" si="0"/>
        <v>6.0437669999999999</v>
      </c>
      <c r="L2" s="9">
        <f t="shared" si="0"/>
        <v>6.0815679999999999</v>
      </c>
      <c r="M2" s="9">
        <f t="shared" si="0"/>
        <v>6.0740690000000006</v>
      </c>
      <c r="N2" s="9">
        <f t="shared" si="0"/>
        <v>6.0563880000000001</v>
      </c>
      <c r="O2" s="9">
        <f t="shared" si="0"/>
        <v>6.0373749999999999</v>
      </c>
      <c r="P2" s="9">
        <f t="shared" si="0"/>
        <v>5.9411399999999999</v>
      </c>
      <c r="Q2" s="9">
        <f t="shared" si="0"/>
        <v>5.9132569999999989</v>
      </c>
      <c r="R2" s="9">
        <f t="shared" si="0"/>
        <v>5.9106649999999998</v>
      </c>
      <c r="S2" s="9">
        <f t="shared" si="0"/>
        <v>5.9197839999999999</v>
      </c>
      <c r="T2" s="9">
        <f t="shared" si="0"/>
        <v>5.8691959999999996</v>
      </c>
      <c r="U2" s="9">
        <f t="shared" si="0"/>
        <v>5.872611</v>
      </c>
      <c r="V2" s="9">
        <f t="shared" si="0"/>
        <v>5.8682339999999993</v>
      </c>
    </row>
    <row r="3" spans="1:22" x14ac:dyDescent="0.25">
      <c r="A3" t="s">
        <v>51</v>
      </c>
      <c r="B3">
        <v>108812.5</v>
      </c>
      <c r="C3">
        <v>108640.6</v>
      </c>
      <c r="D3">
        <v>108531.2</v>
      </c>
      <c r="E3">
        <v>108171.8</v>
      </c>
      <c r="F3">
        <v>108140.6</v>
      </c>
      <c r="G3">
        <v>108218.7</v>
      </c>
      <c r="H3">
        <v>107390.6</v>
      </c>
      <c r="I3">
        <v>107234.3</v>
      </c>
      <c r="J3">
        <v>107359.3</v>
      </c>
      <c r="K3">
        <v>108328.1</v>
      </c>
      <c r="L3">
        <v>108609.3</v>
      </c>
      <c r="M3">
        <v>108546.8</v>
      </c>
      <c r="N3">
        <v>108546.8</v>
      </c>
      <c r="O3">
        <v>108734.3</v>
      </c>
      <c r="P3">
        <v>108562.5</v>
      </c>
      <c r="Q3">
        <v>108375</v>
      </c>
      <c r="R3">
        <v>108468.7</v>
      </c>
      <c r="S3">
        <v>109156.2</v>
      </c>
      <c r="T3">
        <v>109031.2</v>
      </c>
      <c r="U3">
        <v>108953.1</v>
      </c>
      <c r="V3">
        <v>109234.3</v>
      </c>
    </row>
    <row r="5" spans="1:22" x14ac:dyDescent="0.25">
      <c r="A5" t="s">
        <v>1665</v>
      </c>
    </row>
    <row r="6" spans="1:22" x14ac:dyDescent="0.25">
      <c r="A6">
        <v>108900</v>
      </c>
      <c r="B6">
        <f>B3-A6</f>
        <v>-87.5</v>
      </c>
    </row>
    <row r="14" spans="1:22" x14ac:dyDescent="0.25">
      <c r="L14">
        <f>1237916000/88093</f>
        <v>14052.376465780482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EBEEE-EC14-4502-BB41-DCB531D53CB2}">
  <dimension ref="B2:F742"/>
  <sheetViews>
    <sheetView topLeftCell="A714" workbookViewId="0">
      <selection activeCell="F717" sqref="F717"/>
    </sheetView>
  </sheetViews>
  <sheetFormatPr defaultRowHeight="15" x14ac:dyDescent="0.25"/>
  <cols>
    <col min="3" max="3" width="22" bestFit="1" customWidth="1"/>
  </cols>
  <sheetData>
    <row r="2" spans="2:6" ht="30" x14ac:dyDescent="0.25">
      <c r="B2" s="4" t="s">
        <v>54</v>
      </c>
      <c r="C2" s="4">
        <v>0</v>
      </c>
      <c r="D2" s="4">
        <v>0</v>
      </c>
      <c r="E2" s="4">
        <v>0</v>
      </c>
      <c r="F2" s="4">
        <v>0</v>
      </c>
    </row>
    <row r="3" spans="2:6" ht="30" x14ac:dyDescent="0.25">
      <c r="B3" s="4" t="s">
        <v>55</v>
      </c>
      <c r="C3" s="4">
        <v>0</v>
      </c>
      <c r="D3" s="4">
        <v>0</v>
      </c>
      <c r="E3" s="4">
        <v>0</v>
      </c>
      <c r="F3" s="4">
        <v>0</v>
      </c>
    </row>
    <row r="4" spans="2:6" ht="45" x14ac:dyDescent="0.25">
      <c r="B4" s="4" t="s">
        <v>56</v>
      </c>
      <c r="C4" s="4" t="s">
        <v>57</v>
      </c>
      <c r="D4" s="4">
        <v>0</v>
      </c>
      <c r="E4" s="4" t="s">
        <v>57</v>
      </c>
      <c r="F4" s="4">
        <v>0</v>
      </c>
    </row>
    <row r="5" spans="2:6" ht="90" x14ac:dyDescent="0.25">
      <c r="B5" s="4" t="s">
        <v>58</v>
      </c>
      <c r="C5" s="4">
        <v>0</v>
      </c>
      <c r="D5" s="4">
        <v>0</v>
      </c>
      <c r="E5" s="4">
        <v>0</v>
      </c>
      <c r="F5" s="4">
        <v>0</v>
      </c>
    </row>
    <row r="6" spans="2:6" ht="75" x14ac:dyDescent="0.25">
      <c r="B6" s="4" t="s">
        <v>59</v>
      </c>
      <c r="C6" s="4" t="s">
        <v>60</v>
      </c>
      <c r="D6" s="4" t="s">
        <v>61</v>
      </c>
      <c r="E6" s="4" t="s">
        <v>62</v>
      </c>
      <c r="F6" s="4" t="s">
        <v>63</v>
      </c>
    </row>
    <row r="7" spans="2:6" ht="75" x14ac:dyDescent="0.25"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</row>
    <row r="8" spans="2:6" ht="105" x14ac:dyDescent="0.25">
      <c r="B8" s="4" t="s">
        <v>69</v>
      </c>
      <c r="C8" s="5">
        <v>1.03028237999999E+16</v>
      </c>
      <c r="D8" s="4" t="s">
        <v>70</v>
      </c>
      <c r="E8" s="4" t="s">
        <v>71</v>
      </c>
      <c r="F8" s="4" t="s">
        <v>72</v>
      </c>
    </row>
    <row r="9" spans="2:6" ht="105" x14ac:dyDescent="0.25"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</row>
    <row r="10" spans="2:6" ht="60" x14ac:dyDescent="0.25">
      <c r="B10" s="4" t="s">
        <v>78</v>
      </c>
      <c r="C10" s="4" t="s">
        <v>79</v>
      </c>
      <c r="D10" s="4">
        <v>67510</v>
      </c>
      <c r="E10" s="4">
        <v>148038</v>
      </c>
      <c r="F10" s="4" t="s">
        <v>80</v>
      </c>
    </row>
    <row r="11" spans="2:6" ht="75" x14ac:dyDescent="0.25">
      <c r="B11" s="4" t="s">
        <v>81</v>
      </c>
      <c r="C11" s="4">
        <v>0</v>
      </c>
      <c r="D11" s="4">
        <v>0</v>
      </c>
      <c r="E11" s="4">
        <v>0</v>
      </c>
      <c r="F11" s="4">
        <v>0</v>
      </c>
    </row>
    <row r="12" spans="2:6" ht="60" x14ac:dyDescent="0.25">
      <c r="B12" s="4" t="s">
        <v>82</v>
      </c>
      <c r="C12" s="4">
        <v>0</v>
      </c>
      <c r="D12" s="4">
        <v>0</v>
      </c>
      <c r="E12" s="4">
        <v>0</v>
      </c>
      <c r="F12" s="4">
        <v>0</v>
      </c>
    </row>
    <row r="13" spans="2:6" ht="60" x14ac:dyDescent="0.25">
      <c r="B13" s="4" t="s">
        <v>83</v>
      </c>
      <c r="C13" s="4" t="s">
        <v>84</v>
      </c>
      <c r="D13" s="4" t="s">
        <v>85</v>
      </c>
      <c r="E13" s="4" t="s">
        <v>86</v>
      </c>
      <c r="F13" s="4" t="s">
        <v>87</v>
      </c>
    </row>
    <row r="14" spans="2:6" ht="60" x14ac:dyDescent="0.25">
      <c r="B14" s="4" t="s">
        <v>88</v>
      </c>
      <c r="C14" s="4" t="s">
        <v>89</v>
      </c>
      <c r="D14" s="4" t="s">
        <v>90</v>
      </c>
      <c r="E14" s="4">
        <v>402952</v>
      </c>
      <c r="F14" s="4" t="s">
        <v>91</v>
      </c>
    </row>
    <row r="15" spans="2:6" ht="75" x14ac:dyDescent="0.25">
      <c r="B15" s="4" t="s">
        <v>92</v>
      </c>
      <c r="C15" s="4" t="s">
        <v>93</v>
      </c>
      <c r="D15" s="4">
        <v>0</v>
      </c>
      <c r="E15" s="4">
        <v>2405000</v>
      </c>
      <c r="F15" s="4" t="s">
        <v>94</v>
      </c>
    </row>
    <row r="16" spans="2:6" ht="120" x14ac:dyDescent="0.25">
      <c r="B16" s="4" t="s">
        <v>95</v>
      </c>
      <c r="C16" s="4">
        <v>0</v>
      </c>
      <c r="D16" s="4">
        <v>0</v>
      </c>
      <c r="E16" s="4">
        <v>0</v>
      </c>
      <c r="F16" s="4">
        <v>0</v>
      </c>
    </row>
    <row r="17" spans="2:6" ht="75" x14ac:dyDescent="0.25">
      <c r="B17" s="4" t="s">
        <v>96</v>
      </c>
      <c r="C17" s="4">
        <v>0</v>
      </c>
      <c r="D17" s="4">
        <v>0</v>
      </c>
      <c r="E17" s="4">
        <v>0</v>
      </c>
      <c r="F17" s="4">
        <v>0</v>
      </c>
    </row>
    <row r="18" spans="2:6" ht="60" x14ac:dyDescent="0.25">
      <c r="B18" s="4" t="s">
        <v>97</v>
      </c>
      <c r="C18" s="5">
        <v>-2.80656593999999E+16</v>
      </c>
      <c r="D18" s="4" t="s">
        <v>98</v>
      </c>
      <c r="E18" s="4" t="s">
        <v>99</v>
      </c>
      <c r="F18" s="4" t="s">
        <v>100</v>
      </c>
    </row>
    <row r="19" spans="2:6" ht="60" x14ac:dyDescent="0.25">
      <c r="B19" s="4" t="s">
        <v>101</v>
      </c>
      <c r="C19" s="4" t="s">
        <v>102</v>
      </c>
      <c r="D19" s="4"/>
      <c r="E19" s="4">
        <v>989845</v>
      </c>
      <c r="F19" s="4" t="s">
        <v>103</v>
      </c>
    </row>
    <row r="20" spans="2:6" ht="75" x14ac:dyDescent="0.25">
      <c r="B20" s="4" t="s">
        <v>104</v>
      </c>
      <c r="C20" s="4">
        <v>770069</v>
      </c>
      <c r="D20" s="4">
        <v>513000</v>
      </c>
      <c r="E20" s="4">
        <v>272000</v>
      </c>
      <c r="F20" s="4">
        <v>-14931</v>
      </c>
    </row>
    <row r="21" spans="2:6" ht="120" x14ac:dyDescent="0.25">
      <c r="B21" s="4" t="s">
        <v>105</v>
      </c>
      <c r="C21" s="4">
        <v>0</v>
      </c>
      <c r="D21" s="4">
        <v>0</v>
      </c>
      <c r="E21" s="4">
        <v>0</v>
      </c>
      <c r="F21" s="4">
        <v>0</v>
      </c>
    </row>
    <row r="22" spans="2:6" ht="120" x14ac:dyDescent="0.25">
      <c r="B22" s="4" t="s">
        <v>106</v>
      </c>
      <c r="C22" s="4">
        <v>0</v>
      </c>
      <c r="D22" s="4">
        <v>0</v>
      </c>
      <c r="E22" s="4">
        <v>0</v>
      </c>
      <c r="F22" s="4">
        <v>0</v>
      </c>
    </row>
    <row r="23" spans="2:6" ht="45" x14ac:dyDescent="0.25">
      <c r="B23" s="4" t="s">
        <v>107</v>
      </c>
      <c r="C23" s="4">
        <v>0</v>
      </c>
      <c r="D23" s="4">
        <v>0</v>
      </c>
      <c r="E23" s="4">
        <v>0</v>
      </c>
      <c r="F23" s="4">
        <v>0</v>
      </c>
    </row>
    <row r="24" spans="2:6" ht="45" x14ac:dyDescent="0.25">
      <c r="B24" s="4" t="s">
        <v>108</v>
      </c>
      <c r="C24" s="4" t="s">
        <v>109</v>
      </c>
      <c r="D24" s="4" t="s">
        <v>110</v>
      </c>
      <c r="E24" s="4" t="s">
        <v>111</v>
      </c>
      <c r="F24" s="4" t="s">
        <v>112</v>
      </c>
    </row>
    <row r="25" spans="2:6" ht="90" x14ac:dyDescent="0.25">
      <c r="B25" s="4" t="s">
        <v>113</v>
      </c>
      <c r="C25" s="4">
        <v>1734666</v>
      </c>
      <c r="D25" s="4">
        <v>33996</v>
      </c>
      <c r="E25" s="4">
        <v>495931</v>
      </c>
      <c r="F25" s="4">
        <v>1204739</v>
      </c>
    </row>
    <row r="26" spans="2:6" ht="75" x14ac:dyDescent="0.25">
      <c r="B26" s="4" t="s">
        <v>114</v>
      </c>
      <c r="C26" s="5">
        <v>-3.46707643999999E+16</v>
      </c>
      <c r="D26" s="4" t="s">
        <v>115</v>
      </c>
      <c r="E26" s="4" t="s">
        <v>116</v>
      </c>
      <c r="F26" s="4" t="s">
        <v>117</v>
      </c>
    </row>
    <row r="27" spans="2:6" ht="90" x14ac:dyDescent="0.25">
      <c r="B27" s="4" t="s">
        <v>118</v>
      </c>
      <c r="C27" s="4">
        <v>-5673000</v>
      </c>
      <c r="D27" s="4">
        <v>735000</v>
      </c>
      <c r="E27" s="4">
        <v>1030000</v>
      </c>
      <c r="F27" s="4">
        <v>-7438000</v>
      </c>
    </row>
    <row r="28" spans="2:6" ht="75" x14ac:dyDescent="0.25">
      <c r="B28" s="4" t="s">
        <v>119</v>
      </c>
      <c r="C28" s="4">
        <v>849000</v>
      </c>
      <c r="D28" s="4">
        <v>1035000</v>
      </c>
      <c r="E28" s="4">
        <v>60000</v>
      </c>
      <c r="F28" s="4">
        <v>-246000</v>
      </c>
    </row>
    <row r="29" spans="2:6" ht="60" x14ac:dyDescent="0.25">
      <c r="B29" s="4" t="s">
        <v>120</v>
      </c>
      <c r="C29" s="4">
        <v>65125000</v>
      </c>
      <c r="D29" s="4">
        <v>19950000</v>
      </c>
      <c r="E29" s="4">
        <v>27820000</v>
      </c>
      <c r="F29" s="4">
        <v>17355000</v>
      </c>
    </row>
    <row r="30" spans="2:6" ht="90" x14ac:dyDescent="0.25">
      <c r="B30" s="4" t="s">
        <v>121</v>
      </c>
      <c r="C30" s="4">
        <v>-3585000</v>
      </c>
      <c r="D30" s="4">
        <v>0</v>
      </c>
      <c r="E30" s="4">
        <v>0</v>
      </c>
      <c r="F30" s="4">
        <v>-3585000</v>
      </c>
    </row>
    <row r="31" spans="2:6" ht="45" x14ac:dyDescent="0.25">
      <c r="B31" s="4" t="s">
        <v>122</v>
      </c>
      <c r="C31" s="4">
        <v>8891900</v>
      </c>
      <c r="D31" s="4">
        <v>4909000</v>
      </c>
      <c r="E31" s="4">
        <v>1424200</v>
      </c>
      <c r="F31" s="4">
        <v>2558700</v>
      </c>
    </row>
    <row r="32" spans="2:6" ht="75" x14ac:dyDescent="0.25">
      <c r="B32" s="4" t="s">
        <v>123</v>
      </c>
      <c r="C32" s="4">
        <v>-2700000</v>
      </c>
      <c r="D32" s="4">
        <v>0</v>
      </c>
      <c r="E32" s="4">
        <v>0</v>
      </c>
      <c r="F32" s="4">
        <v>-2700000</v>
      </c>
    </row>
    <row r="33" spans="2:6" ht="90" x14ac:dyDescent="0.25">
      <c r="B33" s="4" t="s">
        <v>124</v>
      </c>
      <c r="C33" s="4">
        <v>0</v>
      </c>
      <c r="D33" s="4">
        <v>0</v>
      </c>
      <c r="E33" s="4">
        <v>0</v>
      </c>
      <c r="F33" s="4">
        <v>0</v>
      </c>
    </row>
    <row r="34" spans="2:6" ht="75" x14ac:dyDescent="0.25">
      <c r="B34" s="4" t="s">
        <v>125</v>
      </c>
      <c r="C34" s="4">
        <v>0</v>
      </c>
      <c r="D34" s="4">
        <v>0</v>
      </c>
      <c r="E34" s="4">
        <v>0</v>
      </c>
      <c r="F34" s="4">
        <v>0</v>
      </c>
    </row>
    <row r="35" spans="2:6" ht="60" x14ac:dyDescent="0.25">
      <c r="B35" s="4" t="s">
        <v>126</v>
      </c>
      <c r="C35" s="4" t="s">
        <v>127</v>
      </c>
      <c r="D35" s="4" t="s">
        <v>128</v>
      </c>
      <c r="E35" s="4">
        <v>0</v>
      </c>
      <c r="F35" s="4" t="s">
        <v>129</v>
      </c>
    </row>
    <row r="36" spans="2:6" ht="75" x14ac:dyDescent="0.25">
      <c r="B36" s="4" t="s">
        <v>130</v>
      </c>
      <c r="C36" s="4">
        <v>-305000</v>
      </c>
      <c r="D36" s="4">
        <v>2000</v>
      </c>
      <c r="E36" s="4">
        <v>-381000</v>
      </c>
      <c r="F36" s="4">
        <v>74000</v>
      </c>
    </row>
    <row r="37" spans="2:6" ht="75" x14ac:dyDescent="0.25">
      <c r="B37" s="4" t="s">
        <v>131</v>
      </c>
      <c r="C37" s="4">
        <v>1400000</v>
      </c>
      <c r="D37" s="4">
        <v>400000</v>
      </c>
      <c r="E37" s="4">
        <v>0</v>
      </c>
      <c r="F37" s="4">
        <v>1000000</v>
      </c>
    </row>
    <row r="38" spans="2:6" ht="105" x14ac:dyDescent="0.25">
      <c r="B38" s="4" t="s">
        <v>132</v>
      </c>
      <c r="C38" s="4">
        <v>0</v>
      </c>
      <c r="D38" s="4">
        <v>0</v>
      </c>
      <c r="E38" s="4">
        <v>0</v>
      </c>
      <c r="F38" s="4">
        <v>0</v>
      </c>
    </row>
    <row r="39" spans="2:6" ht="60" x14ac:dyDescent="0.25">
      <c r="B39" s="4" t="s">
        <v>133</v>
      </c>
      <c r="C39" s="4">
        <v>0</v>
      </c>
      <c r="D39" s="4">
        <v>0</v>
      </c>
      <c r="E39" s="4">
        <v>0</v>
      </c>
      <c r="F39" s="4">
        <v>0</v>
      </c>
    </row>
    <row r="40" spans="2:6" ht="75" x14ac:dyDescent="0.25">
      <c r="B40" s="4" t="s">
        <v>134</v>
      </c>
      <c r="C40" s="4">
        <v>-510983</v>
      </c>
      <c r="D40" s="4">
        <v>479882</v>
      </c>
      <c r="E40" s="4">
        <v>281749</v>
      </c>
      <c r="F40" s="4">
        <v>-1272614</v>
      </c>
    </row>
    <row r="41" spans="2:6" ht="75" x14ac:dyDescent="0.25">
      <c r="B41" s="4" t="s">
        <v>135</v>
      </c>
      <c r="C41" s="4">
        <v>0</v>
      </c>
      <c r="D41" s="4">
        <v>0</v>
      </c>
      <c r="E41" s="4">
        <v>0</v>
      </c>
      <c r="F41" s="4">
        <v>0</v>
      </c>
    </row>
    <row r="42" spans="2:6" ht="105" x14ac:dyDescent="0.25">
      <c r="B42" s="4" t="s">
        <v>136</v>
      </c>
      <c r="C42" s="4">
        <v>0</v>
      </c>
      <c r="D42" s="4">
        <v>0</v>
      </c>
      <c r="E42" s="4">
        <v>0</v>
      </c>
      <c r="F42" s="4">
        <v>0</v>
      </c>
    </row>
    <row r="43" spans="2:6" ht="60" x14ac:dyDescent="0.25">
      <c r="B43" s="4" t="s">
        <v>137</v>
      </c>
      <c r="C43" s="4">
        <v>0</v>
      </c>
      <c r="D43" s="4">
        <v>0</v>
      </c>
      <c r="E43" s="4">
        <v>0</v>
      </c>
      <c r="F43" s="4">
        <v>0</v>
      </c>
    </row>
    <row r="44" spans="2:6" ht="75" x14ac:dyDescent="0.25">
      <c r="B44" s="4" t="s">
        <v>138</v>
      </c>
      <c r="C44" s="5">
        <v>8660880370000000</v>
      </c>
      <c r="D44" s="4" t="s">
        <v>139</v>
      </c>
      <c r="E44" s="4" t="s">
        <v>140</v>
      </c>
      <c r="F44" s="4" t="s">
        <v>141</v>
      </c>
    </row>
    <row r="45" spans="2:6" ht="75" x14ac:dyDescent="0.25">
      <c r="B45" s="4" t="s">
        <v>142</v>
      </c>
      <c r="C45" s="5">
        <v>-2.83570927E+16</v>
      </c>
      <c r="D45" s="4" t="s">
        <v>143</v>
      </c>
      <c r="E45" s="4" t="s">
        <v>144</v>
      </c>
      <c r="F45" s="4" t="s">
        <v>145</v>
      </c>
    </row>
    <row r="46" spans="2:6" ht="60" x14ac:dyDescent="0.25">
      <c r="B46" s="4" t="s">
        <v>146</v>
      </c>
      <c r="C46" s="4" t="s">
        <v>147</v>
      </c>
      <c r="D46" s="4" t="s">
        <v>148</v>
      </c>
      <c r="E46" s="4" t="s">
        <v>149</v>
      </c>
      <c r="F46" s="4" t="s">
        <v>150</v>
      </c>
    </row>
    <row r="47" spans="2:6" ht="60" x14ac:dyDescent="0.25">
      <c r="B47" s="4" t="s">
        <v>151</v>
      </c>
      <c r="C47" s="4" t="s">
        <v>152</v>
      </c>
      <c r="D47" s="4" t="s">
        <v>153</v>
      </c>
      <c r="E47" s="4" t="s">
        <v>154</v>
      </c>
      <c r="F47" s="4" t="s">
        <v>155</v>
      </c>
    </row>
    <row r="48" spans="2:6" ht="60" x14ac:dyDescent="0.25">
      <c r="B48" s="4" t="s">
        <v>156</v>
      </c>
      <c r="C48" s="4" t="s">
        <v>157</v>
      </c>
      <c r="D48" s="4">
        <v>15000</v>
      </c>
      <c r="E48" s="4">
        <v>0</v>
      </c>
      <c r="F48" s="4" t="s">
        <v>158</v>
      </c>
    </row>
    <row r="49" spans="2:6" ht="60" x14ac:dyDescent="0.25">
      <c r="B49" s="4" t="s">
        <v>159</v>
      </c>
      <c r="C49" s="5">
        <v>-2.97605839999999E+16</v>
      </c>
      <c r="D49" s="4" t="s">
        <v>160</v>
      </c>
      <c r="E49" s="4" t="s">
        <v>161</v>
      </c>
      <c r="F49" s="4" t="s">
        <v>162</v>
      </c>
    </row>
    <row r="50" spans="2:6" ht="75" x14ac:dyDescent="0.25">
      <c r="B50" s="4" t="s">
        <v>163</v>
      </c>
      <c r="C50" s="4">
        <v>0</v>
      </c>
      <c r="D50" s="4">
        <v>0</v>
      </c>
      <c r="E50" s="4">
        <v>0</v>
      </c>
      <c r="F50" s="4">
        <v>0</v>
      </c>
    </row>
    <row r="51" spans="2:6" ht="75" x14ac:dyDescent="0.25">
      <c r="B51" s="4" t="s">
        <v>164</v>
      </c>
      <c r="C51" s="4" t="s">
        <v>165</v>
      </c>
      <c r="D51" s="4" t="s">
        <v>166</v>
      </c>
      <c r="E51" s="4" t="s">
        <v>167</v>
      </c>
      <c r="F51" s="4" t="s">
        <v>168</v>
      </c>
    </row>
    <row r="52" spans="2:6" ht="120" x14ac:dyDescent="0.25">
      <c r="B52" s="4" t="s">
        <v>169</v>
      </c>
      <c r="C52" s="4" t="s">
        <v>170</v>
      </c>
      <c r="D52" s="4">
        <v>83500</v>
      </c>
      <c r="E52" s="4">
        <v>335920</v>
      </c>
      <c r="F52" s="4" t="s">
        <v>171</v>
      </c>
    </row>
    <row r="53" spans="2:6" ht="105" x14ac:dyDescent="0.25">
      <c r="B53" s="4" t="s">
        <v>172</v>
      </c>
      <c r="C53" s="4" t="s">
        <v>173</v>
      </c>
      <c r="D53" s="4" t="s">
        <v>174</v>
      </c>
      <c r="E53" s="4" t="s">
        <v>175</v>
      </c>
      <c r="F53" s="4" t="s">
        <v>176</v>
      </c>
    </row>
    <row r="54" spans="2:6" ht="135" x14ac:dyDescent="0.25">
      <c r="B54" s="4" t="s">
        <v>177</v>
      </c>
      <c r="C54" s="4" t="s">
        <v>178</v>
      </c>
      <c r="D54" s="4" t="s">
        <v>179</v>
      </c>
      <c r="E54" s="4">
        <v>0</v>
      </c>
      <c r="F54" s="4" t="s">
        <v>180</v>
      </c>
    </row>
    <row r="55" spans="2:6" ht="60" x14ac:dyDescent="0.25">
      <c r="B55" s="4" t="s">
        <v>181</v>
      </c>
      <c r="C55" s="4">
        <v>0</v>
      </c>
      <c r="D55" s="4">
        <v>0</v>
      </c>
      <c r="E55" s="4">
        <v>0</v>
      </c>
      <c r="F55" s="4">
        <v>0</v>
      </c>
    </row>
    <row r="56" spans="2:6" ht="105" x14ac:dyDescent="0.25">
      <c r="B56" s="4" t="s">
        <v>182</v>
      </c>
      <c r="C56" s="5">
        <v>-3.32457342999999E+16</v>
      </c>
      <c r="D56" s="4">
        <v>0</v>
      </c>
      <c r="E56" s="4" t="s">
        <v>183</v>
      </c>
      <c r="F56" s="4" t="s">
        <v>184</v>
      </c>
    </row>
    <row r="57" spans="2:6" ht="90" x14ac:dyDescent="0.25">
      <c r="B57" s="4" t="s">
        <v>185</v>
      </c>
      <c r="C57" s="5">
        <v>-5.1841776983E+16</v>
      </c>
      <c r="D57" s="4">
        <v>0</v>
      </c>
      <c r="E57" s="4" t="s">
        <v>186</v>
      </c>
      <c r="F57" s="4" t="s">
        <v>187</v>
      </c>
    </row>
    <row r="58" spans="2:6" ht="75" x14ac:dyDescent="0.25">
      <c r="B58" s="4" t="s">
        <v>188</v>
      </c>
      <c r="C58" s="5">
        <v>3.50703999999999E+16</v>
      </c>
      <c r="D58" s="4" t="s">
        <v>189</v>
      </c>
      <c r="E58" s="4" t="s">
        <v>190</v>
      </c>
      <c r="F58" s="4" t="s">
        <v>191</v>
      </c>
    </row>
    <row r="59" spans="2:6" ht="60" x14ac:dyDescent="0.25">
      <c r="B59" s="4" t="s">
        <v>192</v>
      </c>
      <c r="C59" s="5">
        <v>-3.6096664899999904E+16</v>
      </c>
      <c r="D59" s="4" t="s">
        <v>193</v>
      </c>
      <c r="E59" s="4" t="s">
        <v>194</v>
      </c>
      <c r="F59" s="4" t="s">
        <v>195</v>
      </c>
    </row>
    <row r="60" spans="2:6" ht="75" x14ac:dyDescent="0.25">
      <c r="B60" s="4" t="s">
        <v>196</v>
      </c>
      <c r="C60" s="5">
        <v>-4.7291508999999904E+16</v>
      </c>
      <c r="D60" s="4" t="s">
        <v>197</v>
      </c>
      <c r="E60" s="4" t="s">
        <v>198</v>
      </c>
      <c r="F60" s="4" t="s">
        <v>199</v>
      </c>
    </row>
    <row r="61" spans="2:6" ht="45" x14ac:dyDescent="0.25">
      <c r="B61" s="4" t="s">
        <v>200</v>
      </c>
      <c r="C61" s="4" t="s">
        <v>201</v>
      </c>
      <c r="D61" s="4" t="s">
        <v>201</v>
      </c>
      <c r="E61" s="4">
        <v>0</v>
      </c>
      <c r="F61" s="4">
        <v>0</v>
      </c>
    </row>
    <row r="62" spans="2:6" ht="60" x14ac:dyDescent="0.25">
      <c r="B62" s="4" t="s">
        <v>202</v>
      </c>
      <c r="C62" s="4" t="s">
        <v>203</v>
      </c>
      <c r="D62" s="4" t="s">
        <v>204</v>
      </c>
      <c r="E62" s="4" t="s">
        <v>205</v>
      </c>
      <c r="F62" s="4" t="s">
        <v>206</v>
      </c>
    </row>
    <row r="63" spans="2:6" ht="75" x14ac:dyDescent="0.25">
      <c r="B63" s="4" t="s">
        <v>207</v>
      </c>
      <c r="C63" s="4" t="s">
        <v>208</v>
      </c>
      <c r="D63" s="4" t="s">
        <v>209</v>
      </c>
      <c r="E63" s="4" t="s">
        <v>210</v>
      </c>
      <c r="F63" s="4" t="s">
        <v>211</v>
      </c>
    </row>
    <row r="64" spans="2:6" ht="60" x14ac:dyDescent="0.25">
      <c r="B64" s="4" t="s">
        <v>212</v>
      </c>
      <c r="C64" s="4">
        <v>0</v>
      </c>
      <c r="D64" s="4">
        <v>0</v>
      </c>
      <c r="E64" s="4">
        <v>0</v>
      </c>
      <c r="F64" s="4">
        <v>0</v>
      </c>
    </row>
    <row r="65" spans="2:6" ht="105" x14ac:dyDescent="0.25">
      <c r="B65" s="4" t="s">
        <v>213</v>
      </c>
      <c r="C65" s="4" t="s">
        <v>214</v>
      </c>
      <c r="D65" s="4" t="s">
        <v>215</v>
      </c>
      <c r="E65" s="4" t="s">
        <v>216</v>
      </c>
      <c r="F65" s="4" t="s">
        <v>217</v>
      </c>
    </row>
    <row r="66" spans="2:6" ht="90" x14ac:dyDescent="0.25">
      <c r="B66" s="4" t="s">
        <v>218</v>
      </c>
      <c r="C66" s="4" t="s">
        <v>219</v>
      </c>
      <c r="D66" s="4" t="s">
        <v>220</v>
      </c>
      <c r="E66" s="4" t="s">
        <v>221</v>
      </c>
      <c r="F66" s="4" t="s">
        <v>222</v>
      </c>
    </row>
    <row r="67" spans="2:6" ht="105" x14ac:dyDescent="0.25">
      <c r="B67" s="4" t="s">
        <v>223</v>
      </c>
      <c r="C67" s="5">
        <v>7106556699999990</v>
      </c>
      <c r="D67" s="4" t="s">
        <v>224</v>
      </c>
      <c r="E67" s="4" t="s">
        <v>225</v>
      </c>
      <c r="F67" s="4" t="s">
        <v>226</v>
      </c>
    </row>
    <row r="68" spans="2:6" ht="90" x14ac:dyDescent="0.25">
      <c r="B68" s="4" t="s">
        <v>227</v>
      </c>
      <c r="C68" s="5">
        <v>-4327004999999990</v>
      </c>
      <c r="D68" s="4" t="s">
        <v>228</v>
      </c>
      <c r="E68" s="4" t="s">
        <v>229</v>
      </c>
      <c r="F68" s="4" t="s">
        <v>230</v>
      </c>
    </row>
    <row r="69" spans="2:6" ht="75" x14ac:dyDescent="0.25">
      <c r="B69" s="4" t="s">
        <v>231</v>
      </c>
      <c r="C69" s="4">
        <v>0</v>
      </c>
      <c r="D69" s="4">
        <v>0</v>
      </c>
      <c r="E69" s="4">
        <v>0</v>
      </c>
      <c r="F69" s="4">
        <v>0</v>
      </c>
    </row>
    <row r="70" spans="2:6" ht="90" x14ac:dyDescent="0.25">
      <c r="B70" s="4" t="s">
        <v>232</v>
      </c>
      <c r="C70" s="5">
        <v>2.71541273E+16</v>
      </c>
      <c r="D70" s="4" t="s">
        <v>233</v>
      </c>
      <c r="E70" s="4" t="s">
        <v>234</v>
      </c>
      <c r="F70" s="4">
        <v>3968000</v>
      </c>
    </row>
    <row r="71" spans="2:6" ht="75" x14ac:dyDescent="0.25">
      <c r="B71" s="4" t="s">
        <v>235</v>
      </c>
      <c r="C71" s="4">
        <v>0</v>
      </c>
      <c r="D71" s="4">
        <v>0</v>
      </c>
      <c r="E71" s="4">
        <v>0</v>
      </c>
      <c r="F71" s="4">
        <v>0</v>
      </c>
    </row>
    <row r="72" spans="2:6" ht="90" x14ac:dyDescent="0.25">
      <c r="B72" s="4" t="s">
        <v>236</v>
      </c>
      <c r="C72" s="4">
        <v>0</v>
      </c>
      <c r="D72" s="4">
        <v>0</v>
      </c>
      <c r="E72" s="4">
        <v>0</v>
      </c>
      <c r="F72" s="4">
        <v>0</v>
      </c>
    </row>
    <row r="73" spans="2:6" ht="90" x14ac:dyDescent="0.25">
      <c r="B73" s="4" t="s">
        <v>237</v>
      </c>
      <c r="C73" s="5">
        <v>-4943838099999990</v>
      </c>
      <c r="D73" s="4" t="s">
        <v>238</v>
      </c>
      <c r="E73" s="4" t="s">
        <v>239</v>
      </c>
      <c r="F73" s="4" t="s">
        <v>240</v>
      </c>
    </row>
    <row r="74" spans="2:6" ht="135" x14ac:dyDescent="0.25">
      <c r="B74" s="4" t="s">
        <v>241</v>
      </c>
      <c r="C74" s="4">
        <v>600000</v>
      </c>
      <c r="D74" s="4">
        <v>600000</v>
      </c>
      <c r="E74" s="4">
        <v>0</v>
      </c>
      <c r="F74" s="4">
        <v>0</v>
      </c>
    </row>
    <row r="75" spans="2:6" ht="135" x14ac:dyDescent="0.25">
      <c r="B75" s="4" t="s">
        <v>242</v>
      </c>
      <c r="C75" s="4">
        <v>600000</v>
      </c>
      <c r="D75" s="4">
        <v>600000</v>
      </c>
      <c r="E75" s="4">
        <v>0</v>
      </c>
      <c r="F75" s="4">
        <v>0</v>
      </c>
    </row>
    <row r="76" spans="2:6" ht="75" x14ac:dyDescent="0.25">
      <c r="B76" s="4" t="s">
        <v>243</v>
      </c>
      <c r="C76" s="4">
        <v>0</v>
      </c>
      <c r="D76" s="4">
        <v>0</v>
      </c>
      <c r="E76" s="4">
        <v>0</v>
      </c>
      <c r="F76" s="4">
        <v>0</v>
      </c>
    </row>
    <row r="77" spans="2:6" ht="60" x14ac:dyDescent="0.25">
      <c r="B77" s="4" t="s">
        <v>244</v>
      </c>
      <c r="C77" s="4">
        <v>0</v>
      </c>
      <c r="D77" s="4">
        <v>0</v>
      </c>
      <c r="E77" s="4">
        <v>0</v>
      </c>
      <c r="F77" s="4">
        <v>0</v>
      </c>
    </row>
    <row r="78" spans="2:6" ht="75" x14ac:dyDescent="0.25">
      <c r="B78" s="4" t="s">
        <v>245</v>
      </c>
      <c r="C78" s="4">
        <v>0</v>
      </c>
      <c r="D78" s="4">
        <v>0</v>
      </c>
      <c r="E78" s="4">
        <v>0</v>
      </c>
      <c r="F78" s="4">
        <v>0</v>
      </c>
    </row>
    <row r="79" spans="2:6" ht="75" x14ac:dyDescent="0.25">
      <c r="B79" s="4" t="s">
        <v>246</v>
      </c>
      <c r="C79" s="4" t="s">
        <v>247</v>
      </c>
      <c r="D79" s="4" t="s">
        <v>248</v>
      </c>
      <c r="E79" s="4" t="s">
        <v>249</v>
      </c>
      <c r="F79" s="4" t="s">
        <v>250</v>
      </c>
    </row>
    <row r="80" spans="2:6" ht="45" x14ac:dyDescent="0.25">
      <c r="B80" s="4" t="s">
        <v>251</v>
      </c>
      <c r="C80" s="4" t="s">
        <v>252</v>
      </c>
      <c r="D80" s="4" t="s">
        <v>253</v>
      </c>
      <c r="E80" s="4" t="s">
        <v>254</v>
      </c>
      <c r="F80" s="4" t="s">
        <v>255</v>
      </c>
    </row>
    <row r="81" spans="2:6" ht="75" x14ac:dyDescent="0.25">
      <c r="B81" s="4" t="s">
        <v>256</v>
      </c>
      <c r="C81" s="4">
        <v>0</v>
      </c>
      <c r="D81" s="4">
        <v>0</v>
      </c>
      <c r="E81" s="4">
        <v>0</v>
      </c>
      <c r="F81" s="4">
        <v>0</v>
      </c>
    </row>
    <row r="82" spans="2:6" ht="105" x14ac:dyDescent="0.25">
      <c r="B82" s="4" t="s">
        <v>257</v>
      </c>
      <c r="C82" s="4">
        <v>0</v>
      </c>
      <c r="D82" s="4">
        <v>0</v>
      </c>
      <c r="E82" s="4">
        <v>0</v>
      </c>
      <c r="F82" s="4">
        <v>0</v>
      </c>
    </row>
    <row r="83" spans="2:6" ht="60" x14ac:dyDescent="0.25">
      <c r="B83" s="4" t="s">
        <v>258</v>
      </c>
      <c r="C83" s="4">
        <v>0</v>
      </c>
      <c r="D83" s="4">
        <v>0</v>
      </c>
      <c r="E83" s="4">
        <v>0</v>
      </c>
      <c r="F83" s="4">
        <v>0</v>
      </c>
    </row>
    <row r="84" spans="2:6" ht="105" x14ac:dyDescent="0.25">
      <c r="B84" s="4" t="s">
        <v>259</v>
      </c>
      <c r="C84" s="5">
        <v>3.3920588E+16</v>
      </c>
      <c r="D84" s="4" t="s">
        <v>260</v>
      </c>
      <c r="E84" s="4" t="s">
        <v>261</v>
      </c>
      <c r="F84" s="4" t="s">
        <v>262</v>
      </c>
    </row>
    <row r="85" spans="2:6" ht="105" x14ac:dyDescent="0.25">
      <c r="B85" s="4" t="s">
        <v>263</v>
      </c>
      <c r="C85" s="4" t="s">
        <v>264</v>
      </c>
      <c r="D85" s="4">
        <v>229171</v>
      </c>
      <c r="E85" s="4">
        <v>374075</v>
      </c>
      <c r="F85" s="4" t="s">
        <v>265</v>
      </c>
    </row>
    <row r="86" spans="2:6" ht="60" x14ac:dyDescent="0.25">
      <c r="B86" s="4" t="s">
        <v>266</v>
      </c>
      <c r="C86" s="4">
        <v>0</v>
      </c>
      <c r="D86" s="4">
        <v>0</v>
      </c>
      <c r="E86" s="4">
        <v>0</v>
      </c>
      <c r="F86" s="4">
        <v>0</v>
      </c>
    </row>
    <row r="87" spans="2:6" ht="60" x14ac:dyDescent="0.25">
      <c r="B87" s="4" t="s">
        <v>267</v>
      </c>
      <c r="C87" s="4">
        <v>0</v>
      </c>
      <c r="D87" s="4">
        <v>0</v>
      </c>
      <c r="E87" s="4">
        <v>0</v>
      </c>
      <c r="F87" s="4">
        <v>0</v>
      </c>
    </row>
    <row r="88" spans="2:6" ht="60" x14ac:dyDescent="0.25">
      <c r="B88" s="4" t="s">
        <v>268</v>
      </c>
      <c r="C88" s="5">
        <v>-1.44784758799999E+16</v>
      </c>
      <c r="D88" s="4" t="s">
        <v>269</v>
      </c>
      <c r="E88" s="4" t="s">
        <v>270</v>
      </c>
      <c r="F88" s="4" t="s">
        <v>271</v>
      </c>
    </row>
    <row r="89" spans="2:6" ht="60" x14ac:dyDescent="0.25">
      <c r="B89" s="4" t="s">
        <v>272</v>
      </c>
      <c r="C89" s="4">
        <v>0</v>
      </c>
      <c r="D89" s="4">
        <v>0</v>
      </c>
      <c r="E89" s="4">
        <v>0</v>
      </c>
      <c r="F89" s="4">
        <v>0</v>
      </c>
    </row>
    <row r="90" spans="2:6" ht="60" x14ac:dyDescent="0.25">
      <c r="B90" s="4" t="s">
        <v>273</v>
      </c>
      <c r="C90" s="4">
        <v>0</v>
      </c>
      <c r="D90" s="4"/>
      <c r="E90" s="4"/>
      <c r="F90" s="4"/>
    </row>
    <row r="91" spans="2:6" ht="75" x14ac:dyDescent="0.25">
      <c r="B91" s="4" t="s">
        <v>274</v>
      </c>
      <c r="C91" s="5">
        <v>5795842999999990</v>
      </c>
      <c r="D91" s="4" t="s">
        <v>275</v>
      </c>
      <c r="E91" s="4" t="s">
        <v>276</v>
      </c>
      <c r="F91" s="4" t="s">
        <v>277</v>
      </c>
    </row>
    <row r="92" spans="2:6" ht="60" x14ac:dyDescent="0.25">
      <c r="B92" s="4" t="s">
        <v>278</v>
      </c>
      <c r="C92" s="4" t="s">
        <v>279</v>
      </c>
      <c r="D92" s="4">
        <v>0</v>
      </c>
      <c r="E92" s="4" t="s">
        <v>279</v>
      </c>
      <c r="F92" s="4">
        <v>0</v>
      </c>
    </row>
    <row r="93" spans="2:6" ht="105" x14ac:dyDescent="0.25">
      <c r="B93" s="4" t="s">
        <v>280</v>
      </c>
      <c r="C93" s="4" t="s">
        <v>281</v>
      </c>
      <c r="D93" s="4">
        <v>0</v>
      </c>
      <c r="E93" s="4">
        <v>0</v>
      </c>
      <c r="F93" s="4" t="s">
        <v>281</v>
      </c>
    </row>
    <row r="94" spans="2:6" ht="105" x14ac:dyDescent="0.25">
      <c r="B94" s="4" t="s">
        <v>282</v>
      </c>
      <c r="C94" s="4">
        <v>0</v>
      </c>
      <c r="D94" s="4">
        <v>0</v>
      </c>
      <c r="E94" s="4">
        <v>0</v>
      </c>
      <c r="F94" s="4">
        <v>0</v>
      </c>
    </row>
    <row r="95" spans="2:6" ht="120" x14ac:dyDescent="0.25">
      <c r="B95" s="4" t="s">
        <v>283</v>
      </c>
      <c r="C95" s="4">
        <v>0</v>
      </c>
      <c r="D95" s="4">
        <v>0</v>
      </c>
      <c r="E95" s="4">
        <v>0</v>
      </c>
      <c r="F95" s="4">
        <v>0</v>
      </c>
    </row>
    <row r="96" spans="2:6" ht="90" x14ac:dyDescent="0.25">
      <c r="B96" s="4" t="s">
        <v>284</v>
      </c>
      <c r="C96" s="5">
        <v>-9382296700000000</v>
      </c>
      <c r="D96" s="4" t="s">
        <v>285</v>
      </c>
      <c r="E96" s="4" t="s">
        <v>286</v>
      </c>
      <c r="F96" s="4">
        <v>0</v>
      </c>
    </row>
    <row r="97" spans="2:6" ht="75" x14ac:dyDescent="0.25">
      <c r="B97" s="4" t="s">
        <v>287</v>
      </c>
      <c r="C97" s="4" t="s">
        <v>288</v>
      </c>
      <c r="D97" s="4">
        <v>0</v>
      </c>
      <c r="E97" s="4" t="s">
        <v>288</v>
      </c>
      <c r="F97" s="4">
        <v>0</v>
      </c>
    </row>
    <row r="98" spans="2:6" ht="120" x14ac:dyDescent="0.25">
      <c r="B98" s="4" t="s">
        <v>289</v>
      </c>
      <c r="C98" s="4">
        <v>0</v>
      </c>
      <c r="D98" s="4">
        <v>0</v>
      </c>
      <c r="E98" s="4">
        <v>0</v>
      </c>
      <c r="F98" s="4">
        <v>0</v>
      </c>
    </row>
    <row r="99" spans="2:6" ht="105" x14ac:dyDescent="0.25">
      <c r="B99" s="4" t="s">
        <v>290</v>
      </c>
      <c r="C99" s="4">
        <v>0</v>
      </c>
      <c r="D99" s="4">
        <v>0</v>
      </c>
      <c r="E99" s="4">
        <v>0</v>
      </c>
      <c r="F99" s="4">
        <v>0</v>
      </c>
    </row>
    <row r="100" spans="2:6" ht="45" x14ac:dyDescent="0.25">
      <c r="B100" s="4" t="s">
        <v>291</v>
      </c>
      <c r="C100" s="5">
        <v>4534643999999990</v>
      </c>
      <c r="D100" s="4" t="s">
        <v>292</v>
      </c>
      <c r="E100" s="4" t="s">
        <v>293</v>
      </c>
      <c r="F100" s="4" t="s">
        <v>294</v>
      </c>
    </row>
    <row r="101" spans="2:6" ht="60" x14ac:dyDescent="0.25">
      <c r="B101" s="4" t="s">
        <v>295</v>
      </c>
      <c r="C101" s="4" t="s">
        <v>296</v>
      </c>
      <c r="D101" s="4">
        <v>-2806900</v>
      </c>
      <c r="E101" s="4" t="s">
        <v>297</v>
      </c>
      <c r="F101" s="4" t="s">
        <v>298</v>
      </c>
    </row>
    <row r="102" spans="2:6" ht="60" x14ac:dyDescent="0.25">
      <c r="B102" s="4" t="s">
        <v>299</v>
      </c>
      <c r="C102" s="4">
        <v>22664681</v>
      </c>
      <c r="D102" s="4" t="s">
        <v>300</v>
      </c>
      <c r="E102" s="4" t="s">
        <v>301</v>
      </c>
      <c r="F102" s="4" t="s">
        <v>302</v>
      </c>
    </row>
    <row r="103" spans="2:6" ht="90" x14ac:dyDescent="0.25">
      <c r="B103" s="4" t="s">
        <v>303</v>
      </c>
      <c r="C103" s="4">
        <v>0</v>
      </c>
      <c r="D103" s="4">
        <v>0</v>
      </c>
      <c r="E103" s="4">
        <v>0</v>
      </c>
      <c r="F103" s="4">
        <v>0</v>
      </c>
    </row>
    <row r="104" spans="2:6" ht="75" x14ac:dyDescent="0.25">
      <c r="B104" s="4" t="s">
        <v>304</v>
      </c>
      <c r="C104" s="5">
        <v>-3.16691138E+16</v>
      </c>
      <c r="D104" s="4" t="s">
        <v>305</v>
      </c>
      <c r="E104" s="4" t="s">
        <v>306</v>
      </c>
      <c r="F104" s="4" t="s">
        <v>307</v>
      </c>
    </row>
    <row r="105" spans="2:6" ht="60" x14ac:dyDescent="0.25">
      <c r="B105" s="4" t="s">
        <v>308</v>
      </c>
      <c r="C105" s="4">
        <v>1000000</v>
      </c>
      <c r="D105" s="4">
        <v>0</v>
      </c>
      <c r="E105" s="4">
        <v>1000000</v>
      </c>
      <c r="F105" s="4">
        <v>0</v>
      </c>
    </row>
    <row r="106" spans="2:6" ht="60" x14ac:dyDescent="0.25">
      <c r="B106" s="4" t="s">
        <v>309</v>
      </c>
      <c r="C106" s="4">
        <v>-445400</v>
      </c>
      <c r="D106" s="4">
        <v>-388500</v>
      </c>
      <c r="E106" s="4">
        <v>-56900</v>
      </c>
      <c r="F106" s="4">
        <v>0</v>
      </c>
    </row>
    <row r="107" spans="2:6" ht="75" x14ac:dyDescent="0.25">
      <c r="B107" s="4" t="s">
        <v>310</v>
      </c>
      <c r="C107" s="4" t="s">
        <v>311</v>
      </c>
      <c r="D107" s="4" t="s">
        <v>312</v>
      </c>
      <c r="E107" s="4" t="s">
        <v>313</v>
      </c>
      <c r="F107" s="4" t="s">
        <v>314</v>
      </c>
    </row>
    <row r="108" spans="2:6" ht="45" x14ac:dyDescent="0.25">
      <c r="B108" s="4" t="s">
        <v>315</v>
      </c>
      <c r="C108" s="4" t="s">
        <v>316</v>
      </c>
      <c r="D108" s="4" t="s">
        <v>317</v>
      </c>
      <c r="E108" s="4" t="s">
        <v>318</v>
      </c>
      <c r="F108" s="4" t="s">
        <v>319</v>
      </c>
    </row>
    <row r="109" spans="2:6" ht="45" x14ac:dyDescent="0.25">
      <c r="B109" s="4" t="s">
        <v>320</v>
      </c>
      <c r="C109" s="4" t="s">
        <v>321</v>
      </c>
      <c r="D109" s="4">
        <v>0</v>
      </c>
      <c r="E109" s="4" t="s">
        <v>322</v>
      </c>
      <c r="F109" s="4" t="s">
        <v>323</v>
      </c>
    </row>
    <row r="110" spans="2:6" ht="75" x14ac:dyDescent="0.25">
      <c r="B110" s="4" t="s">
        <v>324</v>
      </c>
      <c r="C110" s="4">
        <v>2653804</v>
      </c>
      <c r="D110" s="4">
        <v>-196</v>
      </c>
      <c r="E110" s="4">
        <v>0</v>
      </c>
      <c r="F110" s="4">
        <v>2654000</v>
      </c>
    </row>
    <row r="111" spans="2:6" ht="45" x14ac:dyDescent="0.25">
      <c r="B111" s="4" t="s">
        <v>325</v>
      </c>
      <c r="C111" s="4">
        <v>0</v>
      </c>
      <c r="D111" s="4">
        <v>0</v>
      </c>
      <c r="E111" s="4">
        <v>0</v>
      </c>
      <c r="F111" s="4">
        <v>0</v>
      </c>
    </row>
    <row r="112" spans="2:6" ht="75" x14ac:dyDescent="0.25">
      <c r="B112" s="4" t="s">
        <v>326</v>
      </c>
      <c r="C112" s="4">
        <v>0</v>
      </c>
      <c r="D112" s="4">
        <v>0</v>
      </c>
      <c r="E112" s="4">
        <v>0</v>
      </c>
      <c r="F112" s="4">
        <v>0</v>
      </c>
    </row>
    <row r="113" spans="2:6" ht="75" x14ac:dyDescent="0.25">
      <c r="B113" s="4" t="s">
        <v>327</v>
      </c>
      <c r="C113" s="4">
        <v>-1150000</v>
      </c>
      <c r="D113" s="4">
        <v>0</v>
      </c>
      <c r="E113" s="4">
        <v>0</v>
      </c>
      <c r="F113" s="4">
        <v>-1150000</v>
      </c>
    </row>
    <row r="114" spans="2:6" ht="75" x14ac:dyDescent="0.25">
      <c r="B114" s="4" t="s">
        <v>328</v>
      </c>
      <c r="C114" s="4">
        <v>0</v>
      </c>
      <c r="D114" s="4">
        <v>0</v>
      </c>
      <c r="E114" s="4">
        <v>0</v>
      </c>
      <c r="F114" s="4">
        <v>0</v>
      </c>
    </row>
    <row r="115" spans="2:6" ht="75" x14ac:dyDescent="0.25">
      <c r="B115" s="4" t="s">
        <v>329</v>
      </c>
      <c r="C115" s="4">
        <v>-138000</v>
      </c>
      <c r="D115" s="4">
        <v>0</v>
      </c>
      <c r="E115" s="4">
        <v>-138000</v>
      </c>
      <c r="F115" s="4">
        <v>0</v>
      </c>
    </row>
    <row r="116" spans="2:6" ht="75" x14ac:dyDescent="0.25">
      <c r="B116" s="4" t="s">
        <v>330</v>
      </c>
      <c r="C116" s="4">
        <v>0</v>
      </c>
      <c r="D116" s="4">
        <v>0</v>
      </c>
      <c r="E116" s="4">
        <v>0</v>
      </c>
      <c r="F116" s="4">
        <v>0</v>
      </c>
    </row>
    <row r="117" spans="2:6" ht="90" x14ac:dyDescent="0.25">
      <c r="B117" s="4" t="s">
        <v>331</v>
      </c>
      <c r="C117" s="5">
        <v>-1.22370224999999E+16</v>
      </c>
      <c r="D117" s="4" t="s">
        <v>332</v>
      </c>
      <c r="E117" s="4" t="s">
        <v>333</v>
      </c>
      <c r="F117" s="4" t="s">
        <v>334</v>
      </c>
    </row>
    <row r="118" spans="2:6" ht="60" x14ac:dyDescent="0.25">
      <c r="B118" s="4" t="s">
        <v>335</v>
      </c>
      <c r="C118" s="4" t="s">
        <v>336</v>
      </c>
      <c r="D118" s="4" t="s">
        <v>337</v>
      </c>
      <c r="E118" s="4" t="s">
        <v>338</v>
      </c>
      <c r="F118" s="4" t="s">
        <v>339</v>
      </c>
    </row>
    <row r="119" spans="2:6" ht="75" x14ac:dyDescent="0.25">
      <c r="B119" s="4" t="s">
        <v>340</v>
      </c>
      <c r="C119" s="4" t="s">
        <v>341</v>
      </c>
      <c r="D119" s="4" t="s">
        <v>342</v>
      </c>
      <c r="E119" s="4" t="s">
        <v>343</v>
      </c>
      <c r="F119" s="4" t="s">
        <v>344</v>
      </c>
    </row>
    <row r="120" spans="2:6" ht="105" x14ac:dyDescent="0.25">
      <c r="B120" s="4" t="s">
        <v>345</v>
      </c>
      <c r="C120" s="4">
        <v>0</v>
      </c>
      <c r="D120" s="4">
        <v>0</v>
      </c>
      <c r="E120" s="4">
        <v>0</v>
      </c>
      <c r="F120" s="4">
        <v>0</v>
      </c>
    </row>
    <row r="121" spans="2:6" ht="75" x14ac:dyDescent="0.25">
      <c r="B121" s="4" t="s">
        <v>346</v>
      </c>
      <c r="C121" s="4">
        <v>0</v>
      </c>
      <c r="D121" s="4">
        <v>0</v>
      </c>
      <c r="E121" s="4">
        <v>0</v>
      </c>
      <c r="F121" s="4">
        <v>0</v>
      </c>
    </row>
    <row r="122" spans="2:6" ht="60" x14ac:dyDescent="0.25">
      <c r="B122" s="4" t="s">
        <v>347</v>
      </c>
      <c r="C122" s="4">
        <v>0</v>
      </c>
      <c r="D122" s="4">
        <v>0</v>
      </c>
      <c r="E122" s="4">
        <v>0</v>
      </c>
      <c r="F122" s="4">
        <v>0</v>
      </c>
    </row>
    <row r="123" spans="2:6" ht="90" x14ac:dyDescent="0.25">
      <c r="B123" s="4" t="s">
        <v>348</v>
      </c>
      <c r="C123" s="4">
        <v>0</v>
      </c>
      <c r="D123" s="4">
        <v>0</v>
      </c>
      <c r="E123" s="4">
        <v>0</v>
      </c>
      <c r="F123" s="4">
        <v>0</v>
      </c>
    </row>
    <row r="124" spans="2:6" ht="90" x14ac:dyDescent="0.25">
      <c r="B124" s="4" t="s">
        <v>349</v>
      </c>
      <c r="C124" s="5">
        <v>-2.58918999999999E+16</v>
      </c>
      <c r="D124" s="4" t="s">
        <v>350</v>
      </c>
      <c r="E124" s="4">
        <v>2500</v>
      </c>
      <c r="F124" s="4" t="s">
        <v>351</v>
      </c>
    </row>
    <row r="125" spans="2:6" ht="75" x14ac:dyDescent="0.25">
      <c r="B125" s="4" t="s">
        <v>352</v>
      </c>
      <c r="C125" s="4">
        <v>0</v>
      </c>
      <c r="D125" s="4">
        <v>0</v>
      </c>
      <c r="E125" s="4">
        <v>0</v>
      </c>
      <c r="F125" s="4">
        <v>0</v>
      </c>
    </row>
    <row r="126" spans="2:6" ht="75" x14ac:dyDescent="0.25">
      <c r="B126" s="4" t="s">
        <v>353</v>
      </c>
      <c r="C126" s="4" t="s">
        <v>354</v>
      </c>
      <c r="D126" s="4">
        <v>0</v>
      </c>
      <c r="E126" s="4" t="s">
        <v>355</v>
      </c>
      <c r="F126" s="4" t="s">
        <v>355</v>
      </c>
    </row>
    <row r="127" spans="2:6" ht="75" x14ac:dyDescent="0.25">
      <c r="B127" s="4" t="s">
        <v>356</v>
      </c>
      <c r="C127" s="5">
        <v>1.53361247999999E+16</v>
      </c>
      <c r="D127" s="4" t="s">
        <v>357</v>
      </c>
      <c r="E127" s="4" t="s">
        <v>358</v>
      </c>
      <c r="F127" s="4" t="s">
        <v>359</v>
      </c>
    </row>
    <row r="128" spans="2:6" ht="75" x14ac:dyDescent="0.25">
      <c r="B128" s="4" t="s">
        <v>360</v>
      </c>
      <c r="C128" s="4" t="s">
        <v>361</v>
      </c>
      <c r="D128" s="4" t="s">
        <v>362</v>
      </c>
      <c r="E128" s="4" t="s">
        <v>363</v>
      </c>
      <c r="F128" s="4" t="s">
        <v>364</v>
      </c>
    </row>
    <row r="129" spans="2:6" ht="75" x14ac:dyDescent="0.25">
      <c r="B129" s="4" t="s">
        <v>365</v>
      </c>
      <c r="C129" s="4" t="s">
        <v>366</v>
      </c>
      <c r="D129" s="4" t="s">
        <v>366</v>
      </c>
      <c r="E129" s="4">
        <v>0</v>
      </c>
      <c r="F129" s="4">
        <v>0</v>
      </c>
    </row>
    <row r="130" spans="2:6" ht="60" x14ac:dyDescent="0.25">
      <c r="B130" s="4" t="s">
        <v>367</v>
      </c>
      <c r="C130" s="4">
        <v>0</v>
      </c>
      <c r="D130" s="4">
        <v>0</v>
      </c>
      <c r="E130" s="4">
        <v>0</v>
      </c>
      <c r="F130" s="4">
        <v>0</v>
      </c>
    </row>
    <row r="131" spans="2:6" ht="90" x14ac:dyDescent="0.25">
      <c r="B131" s="4" t="s">
        <v>368</v>
      </c>
      <c r="C131" s="4" t="s">
        <v>369</v>
      </c>
      <c r="D131" s="4">
        <v>0</v>
      </c>
      <c r="E131" s="4">
        <v>0</v>
      </c>
      <c r="F131" s="4" t="s">
        <v>369</v>
      </c>
    </row>
    <row r="132" spans="2:6" ht="75" x14ac:dyDescent="0.25">
      <c r="B132" s="4" t="s">
        <v>370</v>
      </c>
      <c r="C132" s="4" t="s">
        <v>371</v>
      </c>
      <c r="D132" s="4" t="s">
        <v>372</v>
      </c>
      <c r="E132" s="4" t="s">
        <v>373</v>
      </c>
      <c r="F132" s="4" t="s">
        <v>374</v>
      </c>
    </row>
    <row r="133" spans="2:6" ht="75" x14ac:dyDescent="0.25">
      <c r="B133" s="4" t="s">
        <v>375</v>
      </c>
      <c r="C133" s="5">
        <v>-7401863669999990</v>
      </c>
      <c r="D133" s="4" t="s">
        <v>376</v>
      </c>
      <c r="E133" s="4" t="s">
        <v>377</v>
      </c>
      <c r="F133" s="4" t="s">
        <v>378</v>
      </c>
    </row>
    <row r="134" spans="2:6" ht="75" x14ac:dyDescent="0.25">
      <c r="B134" s="4" t="s">
        <v>379</v>
      </c>
      <c r="C134" s="4">
        <v>0</v>
      </c>
      <c r="D134" s="4">
        <v>0</v>
      </c>
      <c r="E134" s="4">
        <v>0</v>
      </c>
      <c r="F134" s="4">
        <v>0</v>
      </c>
    </row>
    <row r="135" spans="2:6" ht="105" x14ac:dyDescent="0.25">
      <c r="B135" s="4" t="s">
        <v>380</v>
      </c>
      <c r="C135" s="4" t="s">
        <v>381</v>
      </c>
      <c r="D135" s="4" t="s">
        <v>382</v>
      </c>
      <c r="E135" s="4" t="s">
        <v>383</v>
      </c>
      <c r="F135" s="4" t="s">
        <v>384</v>
      </c>
    </row>
    <row r="136" spans="2:6" ht="75" x14ac:dyDescent="0.25">
      <c r="B136" s="4" t="s">
        <v>385</v>
      </c>
      <c r="C136" s="4">
        <v>0</v>
      </c>
      <c r="D136" s="4"/>
      <c r="E136" s="4"/>
      <c r="F136" s="4"/>
    </row>
    <row r="137" spans="2:6" ht="75" x14ac:dyDescent="0.25">
      <c r="B137" s="4" t="s">
        <v>386</v>
      </c>
      <c r="C137" s="4">
        <v>0</v>
      </c>
      <c r="D137" s="4">
        <v>0</v>
      </c>
      <c r="E137" s="4">
        <v>0</v>
      </c>
      <c r="F137" s="4">
        <v>0</v>
      </c>
    </row>
    <row r="138" spans="2:6" ht="60" x14ac:dyDescent="0.25">
      <c r="B138" s="4" t="s">
        <v>387</v>
      </c>
      <c r="C138" s="4" t="s">
        <v>388</v>
      </c>
      <c r="D138" s="4">
        <v>0</v>
      </c>
      <c r="E138" s="4" t="s">
        <v>388</v>
      </c>
      <c r="F138" s="4">
        <v>0</v>
      </c>
    </row>
    <row r="139" spans="2:6" ht="90" x14ac:dyDescent="0.25">
      <c r="B139" s="4" t="s">
        <v>389</v>
      </c>
      <c r="C139" s="4" t="s">
        <v>390</v>
      </c>
      <c r="D139" s="4" t="s">
        <v>391</v>
      </c>
      <c r="E139" s="4" t="s">
        <v>392</v>
      </c>
      <c r="F139" s="4" t="s">
        <v>393</v>
      </c>
    </row>
    <row r="140" spans="2:6" ht="75" x14ac:dyDescent="0.25">
      <c r="B140" s="4" t="s">
        <v>394</v>
      </c>
      <c r="C140" s="4">
        <v>0</v>
      </c>
      <c r="D140" s="4">
        <v>0</v>
      </c>
      <c r="E140" s="4">
        <v>0</v>
      </c>
      <c r="F140" s="4">
        <v>0</v>
      </c>
    </row>
    <row r="141" spans="2:6" ht="75" x14ac:dyDescent="0.25">
      <c r="B141" s="4" t="s">
        <v>395</v>
      </c>
      <c r="C141" s="4" t="s">
        <v>396</v>
      </c>
      <c r="D141" s="4">
        <v>100</v>
      </c>
      <c r="E141" s="4" t="s">
        <v>397</v>
      </c>
      <c r="F141" s="4" t="s">
        <v>398</v>
      </c>
    </row>
    <row r="142" spans="2:6" ht="60" x14ac:dyDescent="0.25">
      <c r="B142" s="4" t="s">
        <v>399</v>
      </c>
      <c r="C142" s="4">
        <v>1000000</v>
      </c>
      <c r="D142" s="4">
        <v>0</v>
      </c>
      <c r="E142" s="4">
        <v>0</v>
      </c>
      <c r="F142" s="4">
        <v>1000000</v>
      </c>
    </row>
    <row r="143" spans="2:6" ht="60" x14ac:dyDescent="0.25">
      <c r="B143" s="4" t="s">
        <v>400</v>
      </c>
      <c r="C143" s="4" t="s">
        <v>401</v>
      </c>
      <c r="D143" s="4">
        <v>-1728000</v>
      </c>
      <c r="E143" s="4">
        <v>-649000</v>
      </c>
      <c r="F143" s="4" t="s">
        <v>402</v>
      </c>
    </row>
    <row r="144" spans="2:6" ht="60" x14ac:dyDescent="0.25">
      <c r="B144" s="4" t="s">
        <v>403</v>
      </c>
      <c r="C144" s="4">
        <v>3190000</v>
      </c>
      <c r="D144" s="4">
        <v>690000</v>
      </c>
      <c r="E144" s="4">
        <v>0</v>
      </c>
      <c r="F144" s="4">
        <v>2500000</v>
      </c>
    </row>
    <row r="145" spans="2:6" ht="75" x14ac:dyDescent="0.25">
      <c r="B145" s="4" t="s">
        <v>404</v>
      </c>
      <c r="C145" s="4">
        <v>0</v>
      </c>
      <c r="D145" s="4">
        <v>0</v>
      </c>
      <c r="E145" s="4">
        <v>0</v>
      </c>
      <c r="F145" s="4">
        <v>0</v>
      </c>
    </row>
    <row r="146" spans="2:6" ht="105" x14ac:dyDescent="0.25">
      <c r="B146" s="4" t="s">
        <v>405</v>
      </c>
      <c r="C146" s="4" t="s">
        <v>406</v>
      </c>
      <c r="D146" s="4">
        <v>0</v>
      </c>
      <c r="E146" s="4">
        <v>0</v>
      </c>
      <c r="F146" s="4" t="s">
        <v>406</v>
      </c>
    </row>
    <row r="147" spans="2:6" ht="45" x14ac:dyDescent="0.25">
      <c r="B147" s="4" t="s">
        <v>407</v>
      </c>
      <c r="C147" s="4" t="s">
        <v>408</v>
      </c>
      <c r="D147" s="4">
        <v>0</v>
      </c>
      <c r="E147" s="4" t="s">
        <v>409</v>
      </c>
      <c r="F147" s="4" t="s">
        <v>410</v>
      </c>
    </row>
    <row r="148" spans="2:6" ht="75" x14ac:dyDescent="0.25">
      <c r="B148" s="4" t="s">
        <v>411</v>
      </c>
      <c r="C148" s="4">
        <v>0</v>
      </c>
      <c r="D148" s="4">
        <v>0</v>
      </c>
      <c r="E148" s="4">
        <v>0</v>
      </c>
      <c r="F148" s="4">
        <v>0</v>
      </c>
    </row>
    <row r="149" spans="2:6" ht="120" x14ac:dyDescent="0.25">
      <c r="B149" s="4" t="s">
        <v>412</v>
      </c>
      <c r="C149" s="4" t="s">
        <v>413</v>
      </c>
      <c r="D149" s="4" t="s">
        <v>414</v>
      </c>
      <c r="E149" s="4" t="s">
        <v>415</v>
      </c>
      <c r="F149" s="4" t="s">
        <v>416</v>
      </c>
    </row>
    <row r="150" spans="2:6" ht="75" x14ac:dyDescent="0.25">
      <c r="B150" s="4" t="s">
        <v>417</v>
      </c>
      <c r="C150" s="4">
        <v>0</v>
      </c>
      <c r="D150" s="4">
        <v>0</v>
      </c>
      <c r="E150" s="4">
        <v>0</v>
      </c>
      <c r="F150" s="4">
        <v>0</v>
      </c>
    </row>
    <row r="151" spans="2:6" ht="75" x14ac:dyDescent="0.25">
      <c r="B151" s="4" t="s">
        <v>418</v>
      </c>
      <c r="C151" s="5">
        <v>-1.18987905099999E+16</v>
      </c>
      <c r="D151" s="4" t="s">
        <v>419</v>
      </c>
      <c r="E151" s="4" t="s">
        <v>420</v>
      </c>
      <c r="F151" s="4" t="s">
        <v>421</v>
      </c>
    </row>
    <row r="152" spans="2:6" ht="60" x14ac:dyDescent="0.25">
      <c r="B152" s="4" t="s">
        <v>422</v>
      </c>
      <c r="C152" s="4" t="s">
        <v>423</v>
      </c>
      <c r="D152" s="4">
        <v>0</v>
      </c>
      <c r="E152" s="4">
        <v>0</v>
      </c>
      <c r="F152" s="4" t="s">
        <v>423</v>
      </c>
    </row>
    <row r="153" spans="2:6" ht="75" x14ac:dyDescent="0.25">
      <c r="B153" s="4" t="s">
        <v>424</v>
      </c>
      <c r="C153" s="4" t="s">
        <v>425</v>
      </c>
      <c r="D153" s="4" t="s">
        <v>426</v>
      </c>
      <c r="E153" s="4" t="s">
        <v>427</v>
      </c>
      <c r="F153" s="4" t="s">
        <v>428</v>
      </c>
    </row>
    <row r="154" spans="2:6" ht="60" x14ac:dyDescent="0.25">
      <c r="B154" s="4" t="s">
        <v>429</v>
      </c>
      <c r="C154" s="5">
        <v>5.314129648E+16</v>
      </c>
      <c r="D154" s="4" t="s">
        <v>430</v>
      </c>
      <c r="E154" s="4" t="s">
        <v>431</v>
      </c>
      <c r="F154" s="4" t="s">
        <v>432</v>
      </c>
    </row>
    <row r="155" spans="2:6" ht="75" x14ac:dyDescent="0.25">
      <c r="B155" s="4" t="s">
        <v>433</v>
      </c>
      <c r="C155" s="4" t="s">
        <v>434</v>
      </c>
      <c r="D155" s="4" t="s">
        <v>435</v>
      </c>
      <c r="E155" s="4" t="s">
        <v>436</v>
      </c>
      <c r="F155" s="4" t="s">
        <v>437</v>
      </c>
    </row>
    <row r="156" spans="2:6" ht="60" x14ac:dyDescent="0.25">
      <c r="B156" s="4" t="s">
        <v>438</v>
      </c>
      <c r="C156" s="4" t="s">
        <v>439</v>
      </c>
      <c r="D156" s="4" t="s">
        <v>440</v>
      </c>
      <c r="E156" s="4">
        <v>36576000</v>
      </c>
      <c r="F156" s="4" t="s">
        <v>441</v>
      </c>
    </row>
    <row r="157" spans="2:6" ht="75" x14ac:dyDescent="0.25">
      <c r="B157" s="4" t="s">
        <v>442</v>
      </c>
      <c r="C157" s="4">
        <v>-10295913</v>
      </c>
      <c r="D157" s="4">
        <v>-11553313</v>
      </c>
      <c r="E157" s="4">
        <v>2911000</v>
      </c>
      <c r="F157" s="4">
        <v>-1653600</v>
      </c>
    </row>
    <row r="158" spans="2:6" ht="105" x14ac:dyDescent="0.25">
      <c r="B158" s="4" t="s">
        <v>443</v>
      </c>
      <c r="C158" s="4" t="s">
        <v>444</v>
      </c>
      <c r="D158" s="4" t="s">
        <v>444</v>
      </c>
      <c r="E158" s="4">
        <v>0</v>
      </c>
      <c r="F158" s="4">
        <v>0</v>
      </c>
    </row>
    <row r="159" spans="2:6" ht="75" x14ac:dyDescent="0.25">
      <c r="B159" s="4" t="s">
        <v>445</v>
      </c>
      <c r="C159" s="4">
        <v>0</v>
      </c>
      <c r="D159" s="4">
        <v>0</v>
      </c>
      <c r="E159" s="4">
        <v>0</v>
      </c>
      <c r="F159" s="4">
        <v>0</v>
      </c>
    </row>
    <row r="160" spans="2:6" ht="75" x14ac:dyDescent="0.25">
      <c r="B160" s="4" t="s">
        <v>446</v>
      </c>
      <c r="C160" s="5">
        <v>74909295800018</v>
      </c>
      <c r="D160" s="5">
        <v>-90704199982</v>
      </c>
      <c r="E160" s="4">
        <v>0</v>
      </c>
      <c r="F160" s="4">
        <v>7500000</v>
      </c>
    </row>
    <row r="161" spans="2:6" ht="60" x14ac:dyDescent="0.25">
      <c r="B161" s="4" t="s">
        <v>447</v>
      </c>
      <c r="C161" s="4">
        <v>-3000000</v>
      </c>
      <c r="D161" s="4">
        <v>0</v>
      </c>
      <c r="E161" s="4">
        <v>-3000000</v>
      </c>
      <c r="F161" s="4">
        <v>0</v>
      </c>
    </row>
    <row r="162" spans="2:6" ht="105" x14ac:dyDescent="0.25">
      <c r="B162" s="4" t="s">
        <v>448</v>
      </c>
      <c r="C162" s="4">
        <v>-12155000</v>
      </c>
      <c r="D162" s="4">
        <v>-5510000</v>
      </c>
      <c r="E162" s="4">
        <v>-5680000</v>
      </c>
      <c r="F162" s="4">
        <v>-965000</v>
      </c>
    </row>
    <row r="163" spans="2:6" ht="75" x14ac:dyDescent="0.25">
      <c r="B163" s="4" t="s">
        <v>449</v>
      </c>
      <c r="C163" s="4">
        <v>0</v>
      </c>
      <c r="D163" s="4">
        <v>0</v>
      </c>
      <c r="E163" s="4">
        <v>0</v>
      </c>
      <c r="F163" s="4">
        <v>0</v>
      </c>
    </row>
    <row r="164" spans="2:6" ht="75" x14ac:dyDescent="0.25">
      <c r="B164" s="4" t="s">
        <v>450</v>
      </c>
      <c r="C164" s="4">
        <v>-1235000</v>
      </c>
      <c r="D164" s="4">
        <v>30000</v>
      </c>
      <c r="E164" s="4">
        <v>0</v>
      </c>
      <c r="F164" s="4">
        <v>-1265000</v>
      </c>
    </row>
    <row r="165" spans="2:6" ht="90" x14ac:dyDescent="0.25">
      <c r="B165" s="4" t="s">
        <v>451</v>
      </c>
      <c r="C165" s="4">
        <v>0</v>
      </c>
      <c r="D165" s="4">
        <v>0</v>
      </c>
      <c r="E165" s="4">
        <v>0</v>
      </c>
      <c r="F165" s="4">
        <v>0</v>
      </c>
    </row>
    <row r="166" spans="2:6" ht="105" x14ac:dyDescent="0.25">
      <c r="B166" s="4" t="s">
        <v>452</v>
      </c>
      <c r="C166" s="4" t="s">
        <v>453</v>
      </c>
      <c r="D166" s="4" t="s">
        <v>454</v>
      </c>
      <c r="E166" s="4" t="s">
        <v>455</v>
      </c>
      <c r="F166" s="4" t="s">
        <v>456</v>
      </c>
    </row>
    <row r="167" spans="2:6" ht="75" x14ac:dyDescent="0.25">
      <c r="B167" s="4" t="s">
        <v>457</v>
      </c>
      <c r="C167" s="4">
        <v>0</v>
      </c>
      <c r="D167" s="4">
        <v>0</v>
      </c>
      <c r="E167" s="4">
        <v>0</v>
      </c>
      <c r="F167" s="4">
        <v>0</v>
      </c>
    </row>
    <row r="168" spans="2:6" ht="75" x14ac:dyDescent="0.25">
      <c r="B168" s="4" t="s">
        <v>458</v>
      </c>
      <c r="C168" s="4" t="s">
        <v>459</v>
      </c>
      <c r="D168" s="4" t="s">
        <v>460</v>
      </c>
      <c r="E168" s="4">
        <v>-4915131</v>
      </c>
      <c r="F168" s="4" t="s">
        <v>461</v>
      </c>
    </row>
    <row r="169" spans="2:6" ht="90" x14ac:dyDescent="0.25">
      <c r="B169" s="4" t="s">
        <v>462</v>
      </c>
      <c r="C169" s="4">
        <v>-5305000</v>
      </c>
      <c r="D169" s="4">
        <v>-995000</v>
      </c>
      <c r="E169" s="4">
        <v>-2945000</v>
      </c>
      <c r="F169" s="4">
        <v>-1365000</v>
      </c>
    </row>
    <row r="170" spans="2:6" ht="90" x14ac:dyDescent="0.25">
      <c r="B170" s="4" t="s">
        <v>463</v>
      </c>
      <c r="C170" s="4" t="s">
        <v>464</v>
      </c>
      <c r="D170" s="4"/>
      <c r="E170" s="4" t="s">
        <v>465</v>
      </c>
      <c r="F170" s="4" t="s">
        <v>466</v>
      </c>
    </row>
    <row r="171" spans="2:6" ht="75" x14ac:dyDescent="0.25">
      <c r="B171" s="4" t="s">
        <v>467</v>
      </c>
      <c r="C171" s="4" t="s">
        <v>468</v>
      </c>
      <c r="D171" s="4">
        <v>0</v>
      </c>
      <c r="E171" s="4" t="s">
        <v>468</v>
      </c>
      <c r="F171" s="4">
        <v>0</v>
      </c>
    </row>
    <row r="172" spans="2:6" ht="45" x14ac:dyDescent="0.25">
      <c r="B172" s="4" t="s">
        <v>469</v>
      </c>
      <c r="C172" s="5">
        <v>3.43151410999999E+16</v>
      </c>
      <c r="D172" s="4" t="s">
        <v>470</v>
      </c>
      <c r="E172" s="4" t="s">
        <v>471</v>
      </c>
      <c r="F172" s="4" t="s">
        <v>472</v>
      </c>
    </row>
    <row r="173" spans="2:6" ht="90" x14ac:dyDescent="0.25">
      <c r="B173" s="4" t="s">
        <v>473</v>
      </c>
      <c r="C173" s="4">
        <v>0</v>
      </c>
      <c r="D173" s="4">
        <v>0</v>
      </c>
      <c r="E173" s="4">
        <v>0</v>
      </c>
      <c r="F173" s="4">
        <v>0</v>
      </c>
    </row>
    <row r="174" spans="2:6" ht="90" x14ac:dyDescent="0.25">
      <c r="B174" s="4" t="s">
        <v>474</v>
      </c>
      <c r="C174" s="5">
        <v>5801336399999990</v>
      </c>
      <c r="D174" s="4" t="s">
        <v>475</v>
      </c>
      <c r="E174" s="4">
        <v>2400000</v>
      </c>
      <c r="F174" s="4">
        <v>0</v>
      </c>
    </row>
    <row r="175" spans="2:6" ht="105" x14ac:dyDescent="0.25">
      <c r="B175" s="4" t="s">
        <v>476</v>
      </c>
      <c r="C175" s="4">
        <v>0</v>
      </c>
      <c r="D175" s="4"/>
      <c r="E175" s="4"/>
      <c r="F175" s="4"/>
    </row>
    <row r="176" spans="2:6" ht="105" x14ac:dyDescent="0.25">
      <c r="B176" s="4" t="s">
        <v>477</v>
      </c>
      <c r="C176" s="4">
        <v>0</v>
      </c>
      <c r="D176" s="4">
        <v>0</v>
      </c>
      <c r="E176" s="4">
        <v>0</v>
      </c>
      <c r="F176" s="4">
        <v>0</v>
      </c>
    </row>
    <row r="177" spans="2:6" ht="90" x14ac:dyDescent="0.25">
      <c r="B177" s="4" t="s">
        <v>478</v>
      </c>
      <c r="C177" s="4">
        <v>0</v>
      </c>
      <c r="D177" s="4">
        <v>0</v>
      </c>
      <c r="E177" s="4">
        <v>0</v>
      </c>
      <c r="F177" s="4">
        <v>0</v>
      </c>
    </row>
    <row r="178" spans="2:6" ht="105" x14ac:dyDescent="0.25">
      <c r="B178" s="4" t="s">
        <v>479</v>
      </c>
      <c r="C178" s="4" t="s">
        <v>480</v>
      </c>
      <c r="D178" s="4" t="s">
        <v>481</v>
      </c>
      <c r="E178" s="4" t="s">
        <v>482</v>
      </c>
      <c r="F178" s="4" t="s">
        <v>483</v>
      </c>
    </row>
    <row r="179" spans="2:6" ht="60" x14ac:dyDescent="0.25">
      <c r="B179" s="4" t="s">
        <v>484</v>
      </c>
      <c r="C179" s="4" t="s">
        <v>485</v>
      </c>
      <c r="D179" s="4" t="s">
        <v>486</v>
      </c>
      <c r="E179" s="4" t="s">
        <v>487</v>
      </c>
      <c r="F179" s="4" t="s">
        <v>488</v>
      </c>
    </row>
    <row r="180" spans="2:6" ht="90" x14ac:dyDescent="0.25">
      <c r="B180" s="4" t="s">
        <v>489</v>
      </c>
      <c r="C180" s="4">
        <v>0</v>
      </c>
      <c r="D180" s="4">
        <v>0</v>
      </c>
      <c r="E180" s="4">
        <v>0</v>
      </c>
      <c r="F180" s="4">
        <v>0</v>
      </c>
    </row>
    <row r="181" spans="2:6" ht="105" x14ac:dyDescent="0.25">
      <c r="B181" s="4" t="s">
        <v>490</v>
      </c>
      <c r="C181" s="5">
        <v>1.88653803999999E+16</v>
      </c>
      <c r="D181" s="4" t="s">
        <v>491</v>
      </c>
      <c r="E181" s="4" t="s">
        <v>492</v>
      </c>
      <c r="F181" s="4" t="s">
        <v>493</v>
      </c>
    </row>
    <row r="182" spans="2:6" ht="90" x14ac:dyDescent="0.25">
      <c r="B182" s="4" t="s">
        <v>494</v>
      </c>
      <c r="C182" s="4">
        <v>-1028860</v>
      </c>
      <c r="D182" s="4">
        <v>0</v>
      </c>
      <c r="E182" s="4">
        <v>0</v>
      </c>
      <c r="F182" s="4">
        <v>-1028860</v>
      </c>
    </row>
    <row r="183" spans="2:6" ht="90" x14ac:dyDescent="0.25">
      <c r="B183" s="4" t="s">
        <v>495</v>
      </c>
      <c r="C183" s="4">
        <v>0</v>
      </c>
      <c r="D183" s="4">
        <v>0</v>
      </c>
      <c r="E183" s="4">
        <v>0</v>
      </c>
      <c r="F183" s="4">
        <v>0</v>
      </c>
    </row>
    <row r="184" spans="2:6" ht="105" x14ac:dyDescent="0.25">
      <c r="B184" s="4" t="s">
        <v>496</v>
      </c>
      <c r="C184" s="4" t="s">
        <v>497</v>
      </c>
      <c r="D184" s="4">
        <v>0</v>
      </c>
      <c r="E184" s="4">
        <v>0</v>
      </c>
      <c r="F184" s="4" t="s">
        <v>497</v>
      </c>
    </row>
    <row r="185" spans="2:6" ht="105" x14ac:dyDescent="0.25">
      <c r="B185" s="4" t="s">
        <v>498</v>
      </c>
      <c r="C185" s="4">
        <v>0</v>
      </c>
      <c r="D185" s="4">
        <v>0</v>
      </c>
      <c r="E185" s="4">
        <v>0</v>
      </c>
      <c r="F185" s="4">
        <v>0</v>
      </c>
    </row>
    <row r="186" spans="2:6" ht="105" x14ac:dyDescent="0.25">
      <c r="B186" s="4" t="s">
        <v>499</v>
      </c>
      <c r="C186" s="4">
        <v>0</v>
      </c>
      <c r="D186" s="4">
        <v>0</v>
      </c>
      <c r="E186" s="4">
        <v>0</v>
      </c>
      <c r="F186" s="4">
        <v>0</v>
      </c>
    </row>
    <row r="187" spans="2:6" ht="90" x14ac:dyDescent="0.25">
      <c r="B187" s="4" t="s">
        <v>500</v>
      </c>
      <c r="C187" s="4">
        <v>0</v>
      </c>
      <c r="D187" s="4">
        <v>0</v>
      </c>
      <c r="E187" s="4">
        <v>0</v>
      </c>
      <c r="F187" s="4">
        <v>0</v>
      </c>
    </row>
    <row r="188" spans="2:6" ht="105" x14ac:dyDescent="0.25">
      <c r="B188" s="4" t="s">
        <v>501</v>
      </c>
      <c r="C188" s="4">
        <v>0</v>
      </c>
      <c r="D188" s="4">
        <v>0</v>
      </c>
      <c r="E188" s="4">
        <v>0</v>
      </c>
      <c r="F188" s="4">
        <v>0</v>
      </c>
    </row>
    <row r="189" spans="2:6" ht="90" x14ac:dyDescent="0.25">
      <c r="B189" s="4" t="s">
        <v>502</v>
      </c>
      <c r="C189" s="4">
        <v>0</v>
      </c>
      <c r="D189" s="4">
        <v>0</v>
      </c>
      <c r="E189" s="4">
        <v>0</v>
      </c>
      <c r="F189" s="4">
        <v>0</v>
      </c>
    </row>
    <row r="190" spans="2:6" ht="90" x14ac:dyDescent="0.25">
      <c r="B190" s="4" t="s">
        <v>503</v>
      </c>
      <c r="C190" s="4">
        <v>0</v>
      </c>
      <c r="D190" s="4">
        <v>0</v>
      </c>
      <c r="E190" s="4">
        <v>0</v>
      </c>
      <c r="F190" s="4">
        <v>0</v>
      </c>
    </row>
    <row r="191" spans="2:6" ht="90" x14ac:dyDescent="0.25">
      <c r="B191" s="4" t="s">
        <v>504</v>
      </c>
      <c r="C191" s="4">
        <v>0</v>
      </c>
      <c r="D191" s="4">
        <v>0</v>
      </c>
      <c r="E191" s="4">
        <v>0</v>
      </c>
      <c r="F191" s="4">
        <v>0</v>
      </c>
    </row>
    <row r="192" spans="2:6" ht="90" x14ac:dyDescent="0.25">
      <c r="B192" s="4" t="s">
        <v>505</v>
      </c>
      <c r="C192" s="4">
        <v>0</v>
      </c>
      <c r="D192" s="4">
        <v>0</v>
      </c>
      <c r="E192" s="4">
        <v>0</v>
      </c>
      <c r="F192" s="4">
        <v>0</v>
      </c>
    </row>
    <row r="193" spans="2:6" ht="105" x14ac:dyDescent="0.25">
      <c r="B193" s="4" t="s">
        <v>506</v>
      </c>
      <c r="C193" s="4">
        <v>0</v>
      </c>
      <c r="D193" s="4">
        <v>0</v>
      </c>
      <c r="E193" s="4">
        <v>0</v>
      </c>
      <c r="F193" s="4">
        <v>0</v>
      </c>
    </row>
    <row r="194" spans="2:6" ht="105" x14ac:dyDescent="0.25">
      <c r="B194" s="4" t="s">
        <v>507</v>
      </c>
      <c r="C194" s="4">
        <v>0</v>
      </c>
      <c r="D194" s="4">
        <v>0</v>
      </c>
      <c r="E194" s="4">
        <v>0</v>
      </c>
      <c r="F194" s="4">
        <v>0</v>
      </c>
    </row>
    <row r="195" spans="2:6" ht="105" x14ac:dyDescent="0.25">
      <c r="B195" s="4" t="s">
        <v>508</v>
      </c>
      <c r="C195" s="4">
        <v>0</v>
      </c>
      <c r="D195" s="4">
        <v>0</v>
      </c>
      <c r="E195" s="4">
        <v>0</v>
      </c>
      <c r="F195" s="4">
        <v>0</v>
      </c>
    </row>
    <row r="196" spans="2:6" ht="105" x14ac:dyDescent="0.25">
      <c r="B196" s="4" t="s">
        <v>509</v>
      </c>
      <c r="C196" s="4">
        <v>0</v>
      </c>
      <c r="D196" s="4">
        <v>0</v>
      </c>
      <c r="E196" s="4">
        <v>0</v>
      </c>
      <c r="F196" s="4">
        <v>0</v>
      </c>
    </row>
    <row r="197" spans="2:6" ht="105" x14ac:dyDescent="0.25">
      <c r="B197" s="4" t="s">
        <v>510</v>
      </c>
      <c r="C197" s="4">
        <v>0</v>
      </c>
      <c r="D197" s="4">
        <v>0</v>
      </c>
      <c r="E197" s="4">
        <v>0</v>
      </c>
      <c r="F197" s="4">
        <v>0</v>
      </c>
    </row>
    <row r="198" spans="2:6" ht="105" x14ac:dyDescent="0.25">
      <c r="B198" s="4" t="s">
        <v>511</v>
      </c>
      <c r="C198" s="4">
        <v>-404650</v>
      </c>
      <c r="D198" s="4">
        <v>-83750</v>
      </c>
      <c r="E198" s="4">
        <v>-320900</v>
      </c>
      <c r="F198" s="4">
        <v>0</v>
      </c>
    </row>
    <row r="199" spans="2:6" ht="105" x14ac:dyDescent="0.25">
      <c r="B199" s="4" t="s">
        <v>512</v>
      </c>
      <c r="C199" s="4" t="s">
        <v>513</v>
      </c>
      <c r="D199" s="4" t="s">
        <v>514</v>
      </c>
      <c r="E199" s="4" t="s">
        <v>515</v>
      </c>
      <c r="F199" s="4" t="s">
        <v>516</v>
      </c>
    </row>
    <row r="200" spans="2:6" ht="105" x14ac:dyDescent="0.25">
      <c r="B200" s="4" t="s">
        <v>517</v>
      </c>
      <c r="C200" s="4">
        <v>0</v>
      </c>
      <c r="D200" s="4">
        <v>0</v>
      </c>
      <c r="E200" s="4">
        <v>0</v>
      </c>
      <c r="F200" s="4">
        <v>0</v>
      </c>
    </row>
    <row r="201" spans="2:6" ht="105" x14ac:dyDescent="0.25">
      <c r="B201" s="4" t="s">
        <v>518</v>
      </c>
      <c r="C201" s="4">
        <v>0</v>
      </c>
      <c r="D201" s="4">
        <v>0</v>
      </c>
      <c r="E201" s="4">
        <v>0</v>
      </c>
      <c r="F201" s="4">
        <v>0</v>
      </c>
    </row>
    <row r="202" spans="2:6" ht="105" x14ac:dyDescent="0.25">
      <c r="B202" s="4" t="s">
        <v>519</v>
      </c>
      <c r="C202" s="4">
        <v>0</v>
      </c>
      <c r="D202" s="4">
        <v>0</v>
      </c>
      <c r="E202" s="4">
        <v>0</v>
      </c>
      <c r="F202" s="4">
        <v>0</v>
      </c>
    </row>
    <row r="203" spans="2:6" ht="105" x14ac:dyDescent="0.25">
      <c r="B203" s="4" t="s">
        <v>520</v>
      </c>
      <c r="C203" s="4">
        <v>0</v>
      </c>
      <c r="D203" s="4">
        <v>0</v>
      </c>
      <c r="E203" s="4">
        <v>0</v>
      </c>
      <c r="F203" s="4">
        <v>0</v>
      </c>
    </row>
    <row r="204" spans="2:6" ht="105" x14ac:dyDescent="0.25">
      <c r="B204" s="4" t="s">
        <v>521</v>
      </c>
      <c r="C204" s="4">
        <v>-75000</v>
      </c>
      <c r="D204" s="4">
        <v>-75000</v>
      </c>
      <c r="E204" s="4">
        <v>0</v>
      </c>
      <c r="F204" s="4">
        <v>0</v>
      </c>
    </row>
    <row r="205" spans="2:6" ht="105" x14ac:dyDescent="0.25">
      <c r="B205" s="4" t="s">
        <v>522</v>
      </c>
      <c r="C205" s="4" t="s">
        <v>523</v>
      </c>
      <c r="D205" s="4">
        <v>0</v>
      </c>
      <c r="E205" s="4">
        <v>0</v>
      </c>
      <c r="F205" s="4" t="s">
        <v>523</v>
      </c>
    </row>
    <row r="206" spans="2:6" ht="120" x14ac:dyDescent="0.25">
      <c r="B206" s="4" t="s">
        <v>524</v>
      </c>
      <c r="C206" s="4">
        <v>0</v>
      </c>
      <c r="D206" s="4">
        <v>0</v>
      </c>
      <c r="E206" s="4">
        <v>0</v>
      </c>
      <c r="F206" s="4">
        <v>0</v>
      </c>
    </row>
    <row r="207" spans="2:6" ht="105" x14ac:dyDescent="0.25">
      <c r="B207" s="4" t="s">
        <v>525</v>
      </c>
      <c r="C207" s="4">
        <v>0</v>
      </c>
      <c r="D207" s="4">
        <v>0</v>
      </c>
      <c r="E207" s="4">
        <v>0</v>
      </c>
      <c r="F207" s="4">
        <v>0</v>
      </c>
    </row>
    <row r="208" spans="2:6" ht="105" x14ac:dyDescent="0.25">
      <c r="B208" s="4" t="s">
        <v>526</v>
      </c>
      <c r="C208" s="4">
        <v>0</v>
      </c>
      <c r="D208" s="4">
        <v>0</v>
      </c>
      <c r="E208" s="4">
        <v>0</v>
      </c>
      <c r="F208" s="4">
        <v>0</v>
      </c>
    </row>
    <row r="209" spans="2:6" ht="105" x14ac:dyDescent="0.25">
      <c r="B209" s="4" t="s">
        <v>527</v>
      </c>
      <c r="C209" s="4">
        <v>0</v>
      </c>
      <c r="D209" s="4">
        <v>0</v>
      </c>
      <c r="E209" s="4">
        <v>0</v>
      </c>
      <c r="F209" s="4">
        <v>0</v>
      </c>
    </row>
    <row r="210" spans="2:6" ht="105" x14ac:dyDescent="0.25">
      <c r="B210" s="4" t="s">
        <v>528</v>
      </c>
      <c r="C210" s="4" t="s">
        <v>529</v>
      </c>
      <c r="D210" s="4">
        <v>0</v>
      </c>
      <c r="E210" s="4">
        <v>0</v>
      </c>
      <c r="F210" s="4" t="s">
        <v>529</v>
      </c>
    </row>
    <row r="211" spans="2:6" ht="60" x14ac:dyDescent="0.25">
      <c r="B211" s="4" t="s">
        <v>530</v>
      </c>
      <c r="C211" s="4">
        <v>0</v>
      </c>
      <c r="D211" s="4">
        <v>0</v>
      </c>
      <c r="E211" s="4">
        <v>0</v>
      </c>
      <c r="F211" s="4">
        <v>0</v>
      </c>
    </row>
    <row r="212" spans="2:6" ht="105" x14ac:dyDescent="0.25">
      <c r="B212" s="4" t="s">
        <v>531</v>
      </c>
      <c r="C212" s="4">
        <v>0</v>
      </c>
      <c r="D212" s="4">
        <v>0</v>
      </c>
      <c r="E212" s="4">
        <v>0</v>
      </c>
      <c r="F212" s="4">
        <v>0</v>
      </c>
    </row>
    <row r="213" spans="2:6" ht="105" x14ac:dyDescent="0.25">
      <c r="B213" s="4" t="s">
        <v>532</v>
      </c>
      <c r="C213" s="4" t="s">
        <v>533</v>
      </c>
      <c r="D213" s="4">
        <v>0</v>
      </c>
      <c r="E213" s="4">
        <v>0</v>
      </c>
      <c r="F213" s="4" t="s">
        <v>533</v>
      </c>
    </row>
    <row r="214" spans="2:6" ht="105" x14ac:dyDescent="0.25">
      <c r="B214" s="4" t="s">
        <v>534</v>
      </c>
      <c r="C214" s="4">
        <v>-1375404</v>
      </c>
      <c r="D214" s="4">
        <v>-1495000</v>
      </c>
      <c r="E214" s="4">
        <v>119596</v>
      </c>
      <c r="F214" s="4">
        <v>0</v>
      </c>
    </row>
    <row r="215" spans="2:6" ht="105" x14ac:dyDescent="0.25">
      <c r="B215" s="4" t="s">
        <v>535</v>
      </c>
      <c r="C215" s="4" t="s">
        <v>536</v>
      </c>
      <c r="D215" s="4" t="s">
        <v>537</v>
      </c>
      <c r="E215" s="4">
        <v>250000</v>
      </c>
      <c r="F215" s="4">
        <v>0</v>
      </c>
    </row>
    <row r="216" spans="2:6" ht="105" x14ac:dyDescent="0.25">
      <c r="B216" s="4" t="s">
        <v>538</v>
      </c>
      <c r="C216" s="4">
        <v>0</v>
      </c>
      <c r="D216" s="4">
        <v>0</v>
      </c>
      <c r="E216" s="4">
        <v>0</v>
      </c>
      <c r="F216" s="4">
        <v>0</v>
      </c>
    </row>
    <row r="217" spans="2:6" ht="105" x14ac:dyDescent="0.25">
      <c r="B217" s="4" t="s">
        <v>539</v>
      </c>
      <c r="C217" s="4">
        <v>0</v>
      </c>
      <c r="D217" s="4">
        <v>0</v>
      </c>
      <c r="E217" s="4">
        <v>0</v>
      </c>
      <c r="F217" s="4">
        <v>0</v>
      </c>
    </row>
    <row r="218" spans="2:6" ht="105" x14ac:dyDescent="0.25">
      <c r="B218" s="4" t="s">
        <v>540</v>
      </c>
      <c r="C218" s="4" t="s">
        <v>541</v>
      </c>
      <c r="D218" s="4" t="s">
        <v>542</v>
      </c>
      <c r="E218" s="4" t="s">
        <v>543</v>
      </c>
      <c r="F218" s="4" t="s">
        <v>544</v>
      </c>
    </row>
    <row r="219" spans="2:6" ht="105" x14ac:dyDescent="0.25">
      <c r="B219" s="4" t="s">
        <v>545</v>
      </c>
      <c r="C219" s="4" t="s">
        <v>546</v>
      </c>
      <c r="D219" s="4" t="s">
        <v>547</v>
      </c>
      <c r="E219" s="4" t="s">
        <v>548</v>
      </c>
      <c r="F219" s="4" t="s">
        <v>549</v>
      </c>
    </row>
    <row r="220" spans="2:6" ht="90" x14ac:dyDescent="0.25">
      <c r="B220" s="4" t="s">
        <v>550</v>
      </c>
      <c r="C220" s="4">
        <v>0</v>
      </c>
      <c r="D220" s="4">
        <v>0</v>
      </c>
      <c r="E220" s="4">
        <v>0</v>
      </c>
      <c r="F220" s="4">
        <v>0</v>
      </c>
    </row>
    <row r="221" spans="2:6" ht="105" x14ac:dyDescent="0.25">
      <c r="B221" s="4" t="s">
        <v>551</v>
      </c>
      <c r="C221" s="4">
        <v>0</v>
      </c>
      <c r="D221" s="4">
        <v>0</v>
      </c>
      <c r="E221" s="4">
        <v>0</v>
      </c>
      <c r="F221" s="4">
        <v>0</v>
      </c>
    </row>
    <row r="222" spans="2:6" ht="105" x14ac:dyDescent="0.25">
      <c r="B222" s="4" t="s">
        <v>552</v>
      </c>
      <c r="C222" s="4" t="s">
        <v>553</v>
      </c>
      <c r="D222" s="4">
        <v>0</v>
      </c>
      <c r="E222" s="4">
        <v>0</v>
      </c>
      <c r="F222" s="4" t="s">
        <v>553</v>
      </c>
    </row>
    <row r="223" spans="2:6" ht="105" x14ac:dyDescent="0.25">
      <c r="B223" s="4" t="s">
        <v>554</v>
      </c>
      <c r="C223" s="4" t="s">
        <v>555</v>
      </c>
      <c r="D223" s="4" t="s">
        <v>556</v>
      </c>
      <c r="E223" s="4" t="s">
        <v>557</v>
      </c>
      <c r="F223" s="4" t="s">
        <v>558</v>
      </c>
    </row>
    <row r="224" spans="2:6" ht="90" x14ac:dyDescent="0.25">
      <c r="B224" s="4" t="s">
        <v>559</v>
      </c>
      <c r="C224" s="4">
        <v>0</v>
      </c>
      <c r="D224" s="4">
        <v>0</v>
      </c>
      <c r="E224" s="4">
        <v>0</v>
      </c>
      <c r="F224" s="4">
        <v>0</v>
      </c>
    </row>
    <row r="225" spans="2:6" ht="105" x14ac:dyDescent="0.25">
      <c r="B225" s="4" t="s">
        <v>560</v>
      </c>
      <c r="C225" s="4" t="s">
        <v>561</v>
      </c>
      <c r="D225" s="4" t="s">
        <v>562</v>
      </c>
      <c r="E225" s="4" t="s">
        <v>563</v>
      </c>
      <c r="F225" s="4" t="s">
        <v>564</v>
      </c>
    </row>
    <row r="226" spans="2:6" ht="90" x14ac:dyDescent="0.25">
      <c r="B226" s="4" t="s">
        <v>565</v>
      </c>
      <c r="C226" s="4">
        <v>0</v>
      </c>
      <c r="D226" s="4">
        <v>0</v>
      </c>
      <c r="E226" s="4">
        <v>0</v>
      </c>
      <c r="F226" s="4">
        <v>0</v>
      </c>
    </row>
    <row r="227" spans="2:6" ht="120" x14ac:dyDescent="0.25">
      <c r="B227" s="4" t="s">
        <v>566</v>
      </c>
      <c r="C227" s="5">
        <v>-2.5039617E+16</v>
      </c>
      <c r="D227" s="4" t="s">
        <v>567</v>
      </c>
      <c r="E227" s="4" t="s">
        <v>568</v>
      </c>
      <c r="F227" s="4" t="s">
        <v>569</v>
      </c>
    </row>
    <row r="228" spans="2:6" ht="105" x14ac:dyDescent="0.25">
      <c r="B228" s="4" t="s">
        <v>570</v>
      </c>
      <c r="C228" s="4">
        <v>0</v>
      </c>
      <c r="D228" s="4">
        <v>0</v>
      </c>
      <c r="E228" s="4">
        <v>0</v>
      </c>
      <c r="F228" s="4">
        <v>0</v>
      </c>
    </row>
    <row r="229" spans="2:6" ht="105" x14ac:dyDescent="0.25">
      <c r="B229" s="4" t="s">
        <v>571</v>
      </c>
      <c r="C229" s="5">
        <v>-4.1930095599999904E+16</v>
      </c>
      <c r="D229" s="4" t="s">
        <v>572</v>
      </c>
      <c r="E229" s="4" t="s">
        <v>573</v>
      </c>
      <c r="F229" s="4" t="s">
        <v>574</v>
      </c>
    </row>
    <row r="230" spans="2:6" ht="105" x14ac:dyDescent="0.25">
      <c r="B230" s="4" t="s">
        <v>575</v>
      </c>
      <c r="C230" s="4">
        <v>0</v>
      </c>
      <c r="D230" s="4">
        <v>0</v>
      </c>
      <c r="E230" s="4">
        <v>0</v>
      </c>
      <c r="F230" s="4">
        <v>0</v>
      </c>
    </row>
    <row r="231" spans="2:6" ht="105" x14ac:dyDescent="0.25">
      <c r="B231" s="4" t="s">
        <v>576</v>
      </c>
      <c r="C231" s="4">
        <v>0</v>
      </c>
      <c r="D231" s="4">
        <v>0</v>
      </c>
      <c r="E231" s="4">
        <v>0</v>
      </c>
      <c r="F231" s="4">
        <v>0</v>
      </c>
    </row>
    <row r="232" spans="2:6" ht="60" x14ac:dyDescent="0.25">
      <c r="B232" s="4" t="s">
        <v>577</v>
      </c>
      <c r="C232" s="5">
        <v>-2.78006556E+16</v>
      </c>
      <c r="D232" s="4" t="s">
        <v>578</v>
      </c>
      <c r="E232" s="4" t="s">
        <v>579</v>
      </c>
      <c r="F232" s="4" t="s">
        <v>580</v>
      </c>
    </row>
    <row r="233" spans="2:6" ht="60" x14ac:dyDescent="0.25">
      <c r="B233" s="4" t="s">
        <v>581</v>
      </c>
      <c r="C233" s="4" t="s">
        <v>582</v>
      </c>
      <c r="D233" s="4" t="s">
        <v>583</v>
      </c>
      <c r="E233" s="4">
        <v>-9000</v>
      </c>
      <c r="F233" s="4">
        <v>-68000</v>
      </c>
    </row>
    <row r="234" spans="2:6" ht="105" x14ac:dyDescent="0.25">
      <c r="B234" s="4" t="s">
        <v>584</v>
      </c>
      <c r="C234" s="4">
        <v>0</v>
      </c>
      <c r="D234" s="4">
        <v>0</v>
      </c>
      <c r="E234" s="4">
        <v>0</v>
      </c>
      <c r="F234" s="4">
        <v>0</v>
      </c>
    </row>
    <row r="235" spans="2:6" ht="105" x14ac:dyDescent="0.25">
      <c r="B235" s="4" t="s">
        <v>585</v>
      </c>
      <c r="C235" s="4">
        <v>0</v>
      </c>
      <c r="D235" s="4">
        <v>0</v>
      </c>
      <c r="E235" s="4">
        <v>0</v>
      </c>
      <c r="F235" s="4">
        <v>0</v>
      </c>
    </row>
    <row r="236" spans="2:6" ht="105" x14ac:dyDescent="0.25">
      <c r="B236" s="4" t="s">
        <v>586</v>
      </c>
      <c r="C236" s="4">
        <v>0</v>
      </c>
      <c r="D236" s="4">
        <v>0</v>
      </c>
      <c r="E236" s="4">
        <v>0</v>
      </c>
      <c r="F236" s="4">
        <v>0</v>
      </c>
    </row>
    <row r="237" spans="2:6" ht="105" x14ac:dyDescent="0.25">
      <c r="B237" s="4" t="s">
        <v>587</v>
      </c>
      <c r="C237" s="4">
        <v>0</v>
      </c>
      <c r="D237" s="4">
        <v>0</v>
      </c>
      <c r="E237" s="4">
        <v>0</v>
      </c>
      <c r="F237" s="4">
        <v>0</v>
      </c>
    </row>
    <row r="238" spans="2:6" ht="120" x14ac:dyDescent="0.25">
      <c r="B238" s="4" t="s">
        <v>588</v>
      </c>
      <c r="C238" s="4">
        <v>0</v>
      </c>
      <c r="D238" s="4">
        <v>0</v>
      </c>
      <c r="E238" s="4">
        <v>0</v>
      </c>
      <c r="F238" s="4">
        <v>0</v>
      </c>
    </row>
    <row r="239" spans="2:6" ht="105" x14ac:dyDescent="0.25">
      <c r="B239" s="4" t="s">
        <v>589</v>
      </c>
      <c r="C239" s="4" t="s">
        <v>590</v>
      </c>
      <c r="D239" s="4">
        <v>0</v>
      </c>
      <c r="E239" s="4">
        <v>0</v>
      </c>
      <c r="F239" s="4" t="s">
        <v>590</v>
      </c>
    </row>
    <row r="240" spans="2:6" ht="105" x14ac:dyDescent="0.25">
      <c r="B240" s="4" t="s">
        <v>591</v>
      </c>
      <c r="C240" s="4">
        <v>0</v>
      </c>
      <c r="D240" s="4">
        <v>0</v>
      </c>
      <c r="E240" s="4">
        <v>0</v>
      </c>
      <c r="F240" s="4">
        <v>0</v>
      </c>
    </row>
    <row r="241" spans="2:6" ht="105" x14ac:dyDescent="0.25">
      <c r="B241" s="4" t="s">
        <v>592</v>
      </c>
      <c r="C241" s="4" t="s">
        <v>593</v>
      </c>
      <c r="D241" s="4" t="s">
        <v>593</v>
      </c>
      <c r="E241" s="4">
        <v>0</v>
      </c>
      <c r="F241" s="4">
        <v>0</v>
      </c>
    </row>
    <row r="242" spans="2:6" ht="105" x14ac:dyDescent="0.25">
      <c r="B242" s="4" t="s">
        <v>594</v>
      </c>
      <c r="C242" s="4">
        <v>0</v>
      </c>
      <c r="D242" s="4">
        <v>0</v>
      </c>
      <c r="E242" s="4">
        <v>0</v>
      </c>
      <c r="F242" s="4">
        <v>0</v>
      </c>
    </row>
    <row r="243" spans="2:6" ht="105" x14ac:dyDescent="0.25">
      <c r="B243" s="4" t="s">
        <v>595</v>
      </c>
      <c r="C243" s="4">
        <v>0</v>
      </c>
      <c r="D243" s="4">
        <v>0</v>
      </c>
      <c r="E243" s="4">
        <v>0</v>
      </c>
      <c r="F243" s="4">
        <v>0</v>
      </c>
    </row>
    <row r="244" spans="2:6" ht="105" x14ac:dyDescent="0.25">
      <c r="B244" s="4" t="s">
        <v>596</v>
      </c>
      <c r="C244" s="4">
        <v>0</v>
      </c>
      <c r="D244" s="4">
        <v>0</v>
      </c>
      <c r="E244" s="4">
        <v>0</v>
      </c>
      <c r="F244" s="4">
        <v>0</v>
      </c>
    </row>
    <row r="245" spans="2:6" ht="105" x14ac:dyDescent="0.25">
      <c r="B245" s="4" t="s">
        <v>597</v>
      </c>
      <c r="C245" s="4">
        <v>0</v>
      </c>
      <c r="D245" s="4">
        <v>0</v>
      </c>
      <c r="E245" s="4">
        <v>0</v>
      </c>
      <c r="F245" s="4">
        <v>0</v>
      </c>
    </row>
    <row r="246" spans="2:6" ht="105" x14ac:dyDescent="0.25">
      <c r="B246" s="4" t="s">
        <v>598</v>
      </c>
      <c r="C246" s="4">
        <v>0</v>
      </c>
      <c r="D246" s="4">
        <v>0</v>
      </c>
      <c r="E246" s="4">
        <v>0</v>
      </c>
      <c r="F246" s="4">
        <v>0</v>
      </c>
    </row>
    <row r="247" spans="2:6" ht="105" x14ac:dyDescent="0.25">
      <c r="B247" s="4" t="s">
        <v>599</v>
      </c>
      <c r="C247" s="4">
        <v>0</v>
      </c>
      <c r="D247" s="4">
        <v>0</v>
      </c>
      <c r="E247" s="4">
        <v>0</v>
      </c>
      <c r="F247" s="4">
        <v>0</v>
      </c>
    </row>
    <row r="248" spans="2:6" ht="105" x14ac:dyDescent="0.25">
      <c r="B248" s="4" t="s">
        <v>600</v>
      </c>
      <c r="C248" s="4">
        <v>0</v>
      </c>
      <c r="D248" s="4">
        <v>0</v>
      </c>
      <c r="E248" s="4">
        <v>0</v>
      </c>
      <c r="F248" s="4">
        <v>0</v>
      </c>
    </row>
    <row r="249" spans="2:6" ht="105" x14ac:dyDescent="0.25">
      <c r="B249" s="4" t="s">
        <v>601</v>
      </c>
      <c r="C249" s="4">
        <v>-5000</v>
      </c>
      <c r="D249" s="4">
        <v>0</v>
      </c>
      <c r="E249" s="4">
        <v>0</v>
      </c>
      <c r="F249" s="4">
        <v>-5000</v>
      </c>
    </row>
    <row r="250" spans="2:6" ht="105" x14ac:dyDescent="0.25">
      <c r="B250" s="4" t="s">
        <v>602</v>
      </c>
      <c r="C250" s="4">
        <v>0</v>
      </c>
      <c r="D250" s="4">
        <v>0</v>
      </c>
      <c r="E250" s="4">
        <v>0</v>
      </c>
      <c r="F250" s="4">
        <v>0</v>
      </c>
    </row>
    <row r="251" spans="2:6" ht="105" x14ac:dyDescent="0.25">
      <c r="B251" s="4" t="s">
        <v>603</v>
      </c>
      <c r="C251" s="4">
        <v>0</v>
      </c>
      <c r="D251" s="4">
        <v>0</v>
      </c>
      <c r="E251" s="4">
        <v>0</v>
      </c>
      <c r="F251" s="4">
        <v>0</v>
      </c>
    </row>
    <row r="252" spans="2:6" ht="105" x14ac:dyDescent="0.25">
      <c r="B252" s="4" t="s">
        <v>604</v>
      </c>
      <c r="C252" s="4">
        <v>0</v>
      </c>
      <c r="D252" s="4">
        <v>0</v>
      </c>
      <c r="E252" s="4">
        <v>0</v>
      </c>
      <c r="F252" s="4">
        <v>0</v>
      </c>
    </row>
    <row r="253" spans="2:6" ht="105" x14ac:dyDescent="0.25">
      <c r="B253" s="4" t="s">
        <v>605</v>
      </c>
      <c r="C253" s="4">
        <v>0</v>
      </c>
      <c r="D253" s="4">
        <v>0</v>
      </c>
      <c r="E253" s="4">
        <v>0</v>
      </c>
      <c r="F253" s="4">
        <v>0</v>
      </c>
    </row>
    <row r="254" spans="2:6" ht="105" x14ac:dyDescent="0.25">
      <c r="B254" s="4" t="s">
        <v>606</v>
      </c>
      <c r="C254" s="4">
        <v>-500</v>
      </c>
      <c r="D254" s="4">
        <v>-500</v>
      </c>
      <c r="E254" s="4">
        <v>0</v>
      </c>
      <c r="F254" s="4">
        <v>0</v>
      </c>
    </row>
    <row r="255" spans="2:6" ht="105" x14ac:dyDescent="0.25">
      <c r="B255" s="4" t="s">
        <v>607</v>
      </c>
      <c r="C255" s="4">
        <v>-997955</v>
      </c>
      <c r="D255" s="4" t="s">
        <v>608</v>
      </c>
      <c r="E255" s="4" t="s">
        <v>609</v>
      </c>
      <c r="F255" s="4" t="s">
        <v>610</v>
      </c>
    </row>
    <row r="256" spans="2:6" ht="105" x14ac:dyDescent="0.25">
      <c r="B256" s="4" t="s">
        <v>611</v>
      </c>
      <c r="C256" s="4">
        <v>0</v>
      </c>
      <c r="D256" s="4">
        <v>0</v>
      </c>
      <c r="E256" s="4">
        <v>0</v>
      </c>
      <c r="F256" s="4">
        <v>0</v>
      </c>
    </row>
    <row r="257" spans="2:6" ht="105" x14ac:dyDescent="0.25">
      <c r="B257" s="4" t="s">
        <v>612</v>
      </c>
      <c r="C257" s="4">
        <v>0</v>
      </c>
      <c r="D257" s="4">
        <v>0</v>
      </c>
      <c r="E257" s="4">
        <v>0</v>
      </c>
      <c r="F257" s="4">
        <v>0</v>
      </c>
    </row>
    <row r="258" spans="2:6" ht="105" x14ac:dyDescent="0.25">
      <c r="B258" s="4" t="s">
        <v>613</v>
      </c>
      <c r="C258" s="4" t="s">
        <v>614</v>
      </c>
      <c r="D258" s="4">
        <v>0</v>
      </c>
      <c r="E258" s="4" t="s">
        <v>615</v>
      </c>
      <c r="F258" s="4" t="s">
        <v>616</v>
      </c>
    </row>
    <row r="259" spans="2:6" ht="105" x14ac:dyDescent="0.25">
      <c r="B259" s="4" t="s">
        <v>617</v>
      </c>
      <c r="C259" s="4">
        <v>0</v>
      </c>
      <c r="D259" s="4">
        <v>0</v>
      </c>
      <c r="E259" s="4">
        <v>0</v>
      </c>
      <c r="F259" s="4">
        <v>0</v>
      </c>
    </row>
    <row r="260" spans="2:6" ht="105" x14ac:dyDescent="0.25">
      <c r="B260" s="4" t="s">
        <v>618</v>
      </c>
      <c r="C260" s="5">
        <v>2.66330199999999E+16</v>
      </c>
      <c r="D260" s="4">
        <v>0</v>
      </c>
      <c r="E260" s="4" t="s">
        <v>619</v>
      </c>
      <c r="F260" s="4" t="s">
        <v>620</v>
      </c>
    </row>
    <row r="261" spans="2:6" ht="105" x14ac:dyDescent="0.25">
      <c r="B261" s="4" t="s">
        <v>621</v>
      </c>
      <c r="C261" s="4">
        <v>0</v>
      </c>
      <c r="D261" s="4">
        <v>0</v>
      </c>
      <c r="E261" s="4">
        <v>0</v>
      </c>
      <c r="F261" s="4">
        <v>0</v>
      </c>
    </row>
    <row r="262" spans="2:6" ht="105" x14ac:dyDescent="0.25">
      <c r="B262" s="4" t="s">
        <v>622</v>
      </c>
      <c r="C262" s="4">
        <v>0</v>
      </c>
      <c r="D262" s="4">
        <v>0</v>
      </c>
      <c r="E262" s="4">
        <v>0</v>
      </c>
      <c r="F262" s="4">
        <v>0</v>
      </c>
    </row>
    <row r="263" spans="2:6" ht="90" x14ac:dyDescent="0.25">
      <c r="B263" s="4" t="s">
        <v>623</v>
      </c>
      <c r="C263" s="4">
        <v>0</v>
      </c>
      <c r="D263" s="4">
        <v>0</v>
      </c>
      <c r="E263" s="4">
        <v>0</v>
      </c>
      <c r="F263" s="4">
        <v>0</v>
      </c>
    </row>
    <row r="264" spans="2:6" ht="105" x14ac:dyDescent="0.25">
      <c r="B264" s="4" t="s">
        <v>624</v>
      </c>
      <c r="C264" s="4">
        <v>0</v>
      </c>
      <c r="D264" s="4">
        <v>0</v>
      </c>
      <c r="E264" s="4">
        <v>0</v>
      </c>
      <c r="F264" s="4">
        <v>0</v>
      </c>
    </row>
    <row r="265" spans="2:6" ht="105" x14ac:dyDescent="0.25">
      <c r="B265" s="4" t="s">
        <v>625</v>
      </c>
      <c r="C265" s="5">
        <v>-8662563300000000</v>
      </c>
      <c r="D265" s="4" t="s">
        <v>626</v>
      </c>
      <c r="E265" s="4" t="s">
        <v>627</v>
      </c>
      <c r="F265" s="4" t="s">
        <v>628</v>
      </c>
    </row>
    <row r="266" spans="2:6" ht="105" x14ac:dyDescent="0.25">
      <c r="B266" s="4" t="s">
        <v>629</v>
      </c>
      <c r="C266" s="4">
        <v>0</v>
      </c>
      <c r="D266" s="4">
        <v>0</v>
      </c>
      <c r="E266" s="4">
        <v>0</v>
      </c>
      <c r="F266" s="4">
        <v>0</v>
      </c>
    </row>
    <row r="267" spans="2:6" ht="90" x14ac:dyDescent="0.25">
      <c r="B267" s="4" t="s">
        <v>630</v>
      </c>
      <c r="C267" s="4">
        <v>-11699000</v>
      </c>
      <c r="D267" s="4">
        <v>-5279000</v>
      </c>
      <c r="E267" s="4">
        <v>-4336000</v>
      </c>
      <c r="F267" s="4">
        <v>-2084000</v>
      </c>
    </row>
    <row r="268" spans="2:6" ht="105" x14ac:dyDescent="0.25">
      <c r="B268" s="4" t="s">
        <v>631</v>
      </c>
      <c r="C268" s="4" t="s">
        <v>632</v>
      </c>
      <c r="D268" s="4" t="s">
        <v>633</v>
      </c>
      <c r="E268" s="4" t="s">
        <v>634</v>
      </c>
      <c r="F268" s="4" t="s">
        <v>635</v>
      </c>
    </row>
    <row r="269" spans="2:6" ht="90" x14ac:dyDescent="0.25">
      <c r="B269" s="4" t="s">
        <v>636</v>
      </c>
      <c r="C269" s="4">
        <v>-8231000</v>
      </c>
      <c r="D269" s="4">
        <v>-2100000</v>
      </c>
      <c r="E269" s="4">
        <v>-3631000</v>
      </c>
      <c r="F269" s="4">
        <v>-2500000</v>
      </c>
    </row>
    <row r="270" spans="2:6" ht="120" x14ac:dyDescent="0.25">
      <c r="B270" s="4" t="s">
        <v>637</v>
      </c>
      <c r="C270" s="4">
        <v>0</v>
      </c>
      <c r="D270" s="4">
        <v>0</v>
      </c>
      <c r="E270" s="4">
        <v>0</v>
      </c>
      <c r="F270" s="4">
        <v>0</v>
      </c>
    </row>
    <row r="271" spans="2:6" ht="75" x14ac:dyDescent="0.25">
      <c r="B271" s="4" t="s">
        <v>638</v>
      </c>
      <c r="C271" s="4" t="s">
        <v>639</v>
      </c>
      <c r="D271" s="4" t="s">
        <v>640</v>
      </c>
      <c r="E271" s="4" t="s">
        <v>641</v>
      </c>
      <c r="F271" s="4" t="s">
        <v>642</v>
      </c>
    </row>
    <row r="272" spans="2:6" ht="105" x14ac:dyDescent="0.25">
      <c r="B272" s="4" t="s">
        <v>643</v>
      </c>
      <c r="C272" s="5">
        <v>1.532255933E+16</v>
      </c>
      <c r="D272" s="4" t="s">
        <v>644</v>
      </c>
      <c r="E272" s="4" t="s">
        <v>645</v>
      </c>
      <c r="F272" s="4" t="s">
        <v>646</v>
      </c>
    </row>
    <row r="273" spans="2:6" ht="60" x14ac:dyDescent="0.25">
      <c r="B273" s="4" t="s">
        <v>647</v>
      </c>
      <c r="C273" s="4">
        <v>0</v>
      </c>
      <c r="D273" s="4"/>
      <c r="E273" s="4"/>
      <c r="F273" s="4"/>
    </row>
    <row r="274" spans="2:6" ht="105" x14ac:dyDescent="0.25">
      <c r="B274" s="4" t="s">
        <v>648</v>
      </c>
      <c r="C274" s="5">
        <v>-1.64637622E+16</v>
      </c>
      <c r="D274" s="4" t="s">
        <v>649</v>
      </c>
      <c r="E274" s="4" t="s">
        <v>650</v>
      </c>
      <c r="F274" s="4">
        <v>0</v>
      </c>
    </row>
    <row r="275" spans="2:6" ht="75" x14ac:dyDescent="0.25">
      <c r="B275" s="4" t="s">
        <v>651</v>
      </c>
      <c r="C275" s="4" t="s">
        <v>652</v>
      </c>
      <c r="D275" s="4" t="s">
        <v>653</v>
      </c>
      <c r="E275" s="4" t="s">
        <v>654</v>
      </c>
      <c r="F275" s="4">
        <v>0</v>
      </c>
    </row>
    <row r="276" spans="2:6" ht="45" x14ac:dyDescent="0.25">
      <c r="B276" s="4" t="s">
        <v>655</v>
      </c>
      <c r="C276" s="4">
        <v>0</v>
      </c>
      <c r="D276" s="4"/>
      <c r="E276" s="4"/>
      <c r="F276" s="4"/>
    </row>
    <row r="277" spans="2:6" ht="75" x14ac:dyDescent="0.25">
      <c r="B277" s="4" t="s">
        <v>656</v>
      </c>
      <c r="C277" s="4">
        <v>0</v>
      </c>
      <c r="D277" s="4">
        <v>0</v>
      </c>
      <c r="E277" s="4">
        <v>0</v>
      </c>
      <c r="F277" s="4">
        <v>0</v>
      </c>
    </row>
    <row r="278" spans="2:6" ht="75" x14ac:dyDescent="0.25">
      <c r="B278" s="4" t="s">
        <v>657</v>
      </c>
      <c r="C278" s="5">
        <v>3.61602899999998E+16</v>
      </c>
      <c r="D278" s="4" t="s">
        <v>658</v>
      </c>
      <c r="E278" s="4" t="s">
        <v>659</v>
      </c>
      <c r="F278" s="4" t="s">
        <v>660</v>
      </c>
    </row>
    <row r="279" spans="2:6" ht="75" x14ac:dyDescent="0.25">
      <c r="B279" s="4" t="s">
        <v>661</v>
      </c>
      <c r="C279" s="4" t="s">
        <v>662</v>
      </c>
      <c r="D279" s="4" t="s">
        <v>662</v>
      </c>
      <c r="E279" s="4">
        <v>0</v>
      </c>
      <c r="F279" s="4">
        <v>0</v>
      </c>
    </row>
    <row r="280" spans="2:6" ht="75" x14ac:dyDescent="0.25">
      <c r="B280" s="4" t="s">
        <v>663</v>
      </c>
      <c r="C280" s="4" t="s">
        <v>664</v>
      </c>
      <c r="D280" s="4" t="s">
        <v>664</v>
      </c>
      <c r="E280" s="4">
        <v>0</v>
      </c>
      <c r="F280" s="4">
        <v>0</v>
      </c>
    </row>
    <row r="281" spans="2:6" ht="105" x14ac:dyDescent="0.25">
      <c r="B281" s="4" t="s">
        <v>665</v>
      </c>
      <c r="C281" s="4">
        <v>0</v>
      </c>
      <c r="D281" s="4">
        <v>0</v>
      </c>
      <c r="E281" s="4">
        <v>0</v>
      </c>
      <c r="F281" s="4">
        <v>0</v>
      </c>
    </row>
    <row r="282" spans="2:6" ht="120" x14ac:dyDescent="0.25">
      <c r="B282" s="4" t="s">
        <v>666</v>
      </c>
      <c r="C282" s="4">
        <v>0</v>
      </c>
      <c r="D282" s="4">
        <v>0</v>
      </c>
      <c r="E282" s="4">
        <v>0</v>
      </c>
      <c r="F282" s="4">
        <v>0</v>
      </c>
    </row>
    <row r="283" spans="2:6" ht="45" x14ac:dyDescent="0.25">
      <c r="B283" s="4" t="s">
        <v>667</v>
      </c>
      <c r="C283" s="4">
        <v>0</v>
      </c>
      <c r="D283" s="4">
        <v>0</v>
      </c>
      <c r="E283" s="4">
        <v>0</v>
      </c>
      <c r="F283" s="4">
        <v>0</v>
      </c>
    </row>
    <row r="284" spans="2:6" ht="75" x14ac:dyDescent="0.25">
      <c r="B284" s="4" t="s">
        <v>668</v>
      </c>
      <c r="C284" s="4" t="s">
        <v>669</v>
      </c>
      <c r="D284" s="4">
        <v>1210000</v>
      </c>
      <c r="E284" s="4">
        <v>0</v>
      </c>
      <c r="F284" s="4" t="s">
        <v>670</v>
      </c>
    </row>
    <row r="285" spans="2:6" ht="60" x14ac:dyDescent="0.25">
      <c r="B285" s="4" t="s">
        <v>671</v>
      </c>
      <c r="C285" s="4" t="s">
        <v>672</v>
      </c>
      <c r="D285" s="4">
        <v>0</v>
      </c>
      <c r="E285" s="4">
        <v>0</v>
      </c>
      <c r="F285" s="4" t="s">
        <v>672</v>
      </c>
    </row>
    <row r="286" spans="2:6" ht="60" x14ac:dyDescent="0.25">
      <c r="B286" s="4" t="s">
        <v>673</v>
      </c>
      <c r="C286" s="4" t="s">
        <v>674</v>
      </c>
      <c r="D286" s="4">
        <v>0</v>
      </c>
      <c r="E286" s="4">
        <v>0</v>
      </c>
      <c r="F286" s="4" t="s">
        <v>674</v>
      </c>
    </row>
    <row r="287" spans="2:6" ht="75" x14ac:dyDescent="0.25">
      <c r="B287" s="4" t="s">
        <v>675</v>
      </c>
      <c r="C287" s="4" t="s">
        <v>676</v>
      </c>
      <c r="D287" s="4" t="s">
        <v>677</v>
      </c>
      <c r="E287" s="4" t="s">
        <v>678</v>
      </c>
      <c r="F287" s="4" t="s">
        <v>679</v>
      </c>
    </row>
    <row r="288" spans="2:6" ht="90" x14ac:dyDescent="0.25">
      <c r="B288" s="4" t="s">
        <v>680</v>
      </c>
      <c r="C288" s="5">
        <v>-1.92580768649999E+16</v>
      </c>
      <c r="D288" s="4" t="s">
        <v>681</v>
      </c>
      <c r="E288" s="4" t="s">
        <v>682</v>
      </c>
      <c r="F288" s="4">
        <v>0</v>
      </c>
    </row>
    <row r="289" spans="2:6" ht="60" x14ac:dyDescent="0.25">
      <c r="B289" s="4" t="s">
        <v>683</v>
      </c>
      <c r="C289" s="4">
        <v>0</v>
      </c>
      <c r="D289" s="4"/>
      <c r="E289" s="4"/>
      <c r="F289" s="4"/>
    </row>
    <row r="290" spans="2:6" ht="60" x14ac:dyDescent="0.25">
      <c r="B290" s="4" t="s">
        <v>684</v>
      </c>
      <c r="C290" s="4">
        <v>0</v>
      </c>
      <c r="D290" s="4">
        <v>0</v>
      </c>
      <c r="E290" s="4">
        <v>0</v>
      </c>
      <c r="F290" s="4">
        <v>0</v>
      </c>
    </row>
    <row r="291" spans="2:6" ht="75" x14ac:dyDescent="0.25">
      <c r="B291" s="4" t="s">
        <v>685</v>
      </c>
      <c r="C291" s="4">
        <v>500</v>
      </c>
      <c r="D291" s="4">
        <v>0</v>
      </c>
      <c r="E291" s="4">
        <v>500</v>
      </c>
      <c r="F291" s="4">
        <v>0</v>
      </c>
    </row>
    <row r="292" spans="2:6" ht="60" x14ac:dyDescent="0.25">
      <c r="B292" s="4" t="s">
        <v>686</v>
      </c>
      <c r="C292" s="4">
        <v>0</v>
      </c>
      <c r="D292" s="4">
        <v>0</v>
      </c>
      <c r="E292" s="4">
        <v>0</v>
      </c>
      <c r="F292" s="4">
        <v>0</v>
      </c>
    </row>
    <row r="293" spans="2:6" ht="75" x14ac:dyDescent="0.25">
      <c r="B293" s="4" t="s">
        <v>687</v>
      </c>
      <c r="C293" s="4">
        <v>0</v>
      </c>
      <c r="D293" s="4">
        <v>0</v>
      </c>
      <c r="E293" s="4">
        <v>0</v>
      </c>
      <c r="F293" s="4">
        <v>0</v>
      </c>
    </row>
    <row r="294" spans="2:6" ht="75" x14ac:dyDescent="0.25">
      <c r="B294" s="4" t="s">
        <v>688</v>
      </c>
      <c r="C294" s="4" t="s">
        <v>689</v>
      </c>
      <c r="D294" s="4" t="s">
        <v>690</v>
      </c>
      <c r="E294" s="4">
        <v>208960</v>
      </c>
      <c r="F294" s="4" t="s">
        <v>691</v>
      </c>
    </row>
    <row r="295" spans="2:6" ht="75" x14ac:dyDescent="0.25">
      <c r="B295" s="4" t="s">
        <v>692</v>
      </c>
      <c r="C295" s="4" t="s">
        <v>693</v>
      </c>
      <c r="D295" s="4" t="s">
        <v>694</v>
      </c>
      <c r="E295" s="4" t="s">
        <v>695</v>
      </c>
      <c r="F295" s="4" t="s">
        <v>696</v>
      </c>
    </row>
    <row r="296" spans="2:6" ht="75" x14ac:dyDescent="0.25">
      <c r="B296" s="4" t="s">
        <v>697</v>
      </c>
      <c r="C296" s="4">
        <v>10000</v>
      </c>
      <c r="D296" s="4">
        <v>0</v>
      </c>
      <c r="E296" s="4">
        <v>0</v>
      </c>
      <c r="F296" s="4">
        <v>10000</v>
      </c>
    </row>
    <row r="297" spans="2:6" ht="45" x14ac:dyDescent="0.25">
      <c r="B297" s="4" t="s">
        <v>698</v>
      </c>
      <c r="C297" s="4">
        <v>0</v>
      </c>
      <c r="D297" s="4">
        <v>0</v>
      </c>
      <c r="E297" s="4">
        <v>0</v>
      </c>
      <c r="F297" s="4">
        <v>0</v>
      </c>
    </row>
    <row r="298" spans="2:6" ht="45" x14ac:dyDescent="0.25">
      <c r="B298" s="4" t="s">
        <v>699</v>
      </c>
      <c r="C298" s="4">
        <v>0</v>
      </c>
      <c r="D298" s="4">
        <v>0</v>
      </c>
      <c r="E298" s="4">
        <v>0</v>
      </c>
      <c r="F298" s="4">
        <v>0</v>
      </c>
    </row>
    <row r="299" spans="2:6" ht="75" x14ac:dyDescent="0.25">
      <c r="B299" s="4" t="s">
        <v>700</v>
      </c>
      <c r="C299" s="4">
        <v>0</v>
      </c>
      <c r="D299" s="4">
        <v>0</v>
      </c>
      <c r="E299" s="4">
        <v>0</v>
      </c>
      <c r="F299" s="4">
        <v>0</v>
      </c>
    </row>
    <row r="300" spans="2:6" ht="75" x14ac:dyDescent="0.25">
      <c r="B300" s="4" t="s">
        <v>701</v>
      </c>
      <c r="C300" s="4" t="s">
        <v>702</v>
      </c>
      <c r="D300" s="4">
        <v>0</v>
      </c>
      <c r="E300" s="4" t="s">
        <v>703</v>
      </c>
      <c r="F300" s="4" t="s">
        <v>704</v>
      </c>
    </row>
    <row r="301" spans="2:6" ht="75" x14ac:dyDescent="0.25">
      <c r="B301" s="4" t="s">
        <v>705</v>
      </c>
      <c r="C301" s="4" t="s">
        <v>706</v>
      </c>
      <c r="D301" s="4">
        <v>0</v>
      </c>
      <c r="E301" s="4">
        <v>-1000000</v>
      </c>
      <c r="F301" s="4" t="s">
        <v>707</v>
      </c>
    </row>
    <row r="302" spans="2:6" ht="75" x14ac:dyDescent="0.25">
      <c r="B302" s="4" t="s">
        <v>708</v>
      </c>
      <c r="C302" s="4" t="s">
        <v>709</v>
      </c>
      <c r="D302" s="4">
        <v>0</v>
      </c>
      <c r="E302" s="4" t="s">
        <v>710</v>
      </c>
      <c r="F302" s="4" t="s">
        <v>711</v>
      </c>
    </row>
    <row r="303" spans="2:6" ht="90" x14ac:dyDescent="0.25">
      <c r="B303" s="4" t="s">
        <v>712</v>
      </c>
      <c r="C303" s="4">
        <v>0</v>
      </c>
      <c r="D303" s="4">
        <v>0</v>
      </c>
      <c r="E303" s="4">
        <v>0</v>
      </c>
      <c r="F303" s="4">
        <v>0</v>
      </c>
    </row>
    <row r="304" spans="2:6" ht="45" x14ac:dyDescent="0.25">
      <c r="B304" s="4" t="s">
        <v>713</v>
      </c>
      <c r="C304" s="4">
        <v>-8750000</v>
      </c>
      <c r="D304" s="4">
        <v>0</v>
      </c>
      <c r="E304" s="4">
        <v>0</v>
      </c>
      <c r="F304" s="4">
        <v>-8750000</v>
      </c>
    </row>
    <row r="305" spans="2:6" ht="90" x14ac:dyDescent="0.25">
      <c r="B305" s="4" t="s">
        <v>714</v>
      </c>
      <c r="C305" s="4">
        <v>0</v>
      </c>
      <c r="D305" s="4">
        <v>0</v>
      </c>
      <c r="E305" s="4">
        <v>0</v>
      </c>
      <c r="F305" s="4">
        <v>0</v>
      </c>
    </row>
    <row r="306" spans="2:6" ht="60" x14ac:dyDescent="0.25">
      <c r="B306" s="4" t="s">
        <v>715</v>
      </c>
      <c r="C306" s="4">
        <v>0</v>
      </c>
      <c r="D306" s="4">
        <v>0</v>
      </c>
      <c r="E306" s="4">
        <v>0</v>
      </c>
      <c r="F306" s="4">
        <v>0</v>
      </c>
    </row>
    <row r="307" spans="2:6" ht="60" x14ac:dyDescent="0.25">
      <c r="B307" s="4" t="s">
        <v>716</v>
      </c>
      <c r="C307" s="4">
        <v>0</v>
      </c>
      <c r="D307" s="4">
        <v>0</v>
      </c>
      <c r="E307" s="4">
        <v>0</v>
      </c>
      <c r="F307" s="4">
        <v>0</v>
      </c>
    </row>
    <row r="308" spans="2:6" ht="60" x14ac:dyDescent="0.25">
      <c r="B308" s="4" t="s">
        <v>717</v>
      </c>
      <c r="C308" s="4">
        <v>0</v>
      </c>
      <c r="D308" s="4">
        <v>0</v>
      </c>
      <c r="E308" s="4">
        <v>0</v>
      </c>
      <c r="F308" s="4">
        <v>0</v>
      </c>
    </row>
    <row r="309" spans="2:6" ht="60" x14ac:dyDescent="0.25">
      <c r="B309" s="4" t="s">
        <v>718</v>
      </c>
      <c r="C309" s="4">
        <v>0</v>
      </c>
      <c r="D309" s="4">
        <v>0</v>
      </c>
      <c r="E309" s="4">
        <v>0</v>
      </c>
      <c r="F309" s="4">
        <v>0</v>
      </c>
    </row>
    <row r="310" spans="2:6" ht="30" x14ac:dyDescent="0.25">
      <c r="B310" s="4" t="s">
        <v>719</v>
      </c>
      <c r="C310" s="4">
        <v>0</v>
      </c>
      <c r="D310" s="4">
        <v>0</v>
      </c>
      <c r="E310" s="4">
        <v>0</v>
      </c>
      <c r="F310" s="4">
        <v>0</v>
      </c>
    </row>
    <row r="311" spans="2:6" ht="75" x14ac:dyDescent="0.25">
      <c r="B311" s="4" t="s">
        <v>720</v>
      </c>
      <c r="C311" s="4" t="s">
        <v>721</v>
      </c>
      <c r="D311" s="4" t="s">
        <v>722</v>
      </c>
      <c r="E311" s="4" t="s">
        <v>723</v>
      </c>
      <c r="F311" s="4" t="s">
        <v>724</v>
      </c>
    </row>
    <row r="312" spans="2:6" ht="75" x14ac:dyDescent="0.25">
      <c r="B312" s="4" t="s">
        <v>725</v>
      </c>
      <c r="C312" s="5">
        <v>-2.4221379E+16</v>
      </c>
      <c r="D312" s="4" t="s">
        <v>726</v>
      </c>
      <c r="E312" s="4">
        <v>0</v>
      </c>
      <c r="F312" s="4">
        <v>440000</v>
      </c>
    </row>
    <row r="313" spans="2:6" ht="90" x14ac:dyDescent="0.25">
      <c r="B313" s="4" t="s">
        <v>727</v>
      </c>
      <c r="C313" s="4" t="s">
        <v>728</v>
      </c>
      <c r="D313" s="4" t="s">
        <v>728</v>
      </c>
      <c r="E313" s="4">
        <v>0</v>
      </c>
      <c r="F313" s="4">
        <v>0</v>
      </c>
    </row>
    <row r="314" spans="2:6" ht="90" x14ac:dyDescent="0.25">
      <c r="B314" s="4" t="s">
        <v>729</v>
      </c>
      <c r="C314" s="4" t="s">
        <v>730</v>
      </c>
      <c r="D314" s="4">
        <v>0</v>
      </c>
      <c r="E314" s="4" t="s">
        <v>730</v>
      </c>
      <c r="F314" s="4">
        <v>0</v>
      </c>
    </row>
    <row r="315" spans="2:6" ht="45" x14ac:dyDescent="0.25">
      <c r="B315" s="4" t="s">
        <v>731</v>
      </c>
      <c r="C315" s="4">
        <v>0</v>
      </c>
      <c r="D315" s="4"/>
      <c r="E315" s="4"/>
      <c r="F315" s="4"/>
    </row>
    <row r="316" spans="2:6" ht="45" x14ac:dyDescent="0.25">
      <c r="B316" s="4" t="s">
        <v>732</v>
      </c>
      <c r="C316" s="4">
        <v>9276000</v>
      </c>
      <c r="D316" s="4"/>
      <c r="E316" s="4">
        <v>5825000</v>
      </c>
      <c r="F316" s="4">
        <v>3451000</v>
      </c>
    </row>
    <row r="317" spans="2:6" ht="60" x14ac:dyDescent="0.25">
      <c r="B317" s="4" t="s">
        <v>733</v>
      </c>
      <c r="C317" s="4">
        <v>0</v>
      </c>
      <c r="D317" s="4">
        <v>0</v>
      </c>
      <c r="E317" s="4">
        <v>0</v>
      </c>
      <c r="F317" s="4">
        <v>0</v>
      </c>
    </row>
    <row r="318" spans="2:6" ht="60" x14ac:dyDescent="0.25">
      <c r="B318" s="4" t="s">
        <v>734</v>
      </c>
      <c r="C318" s="4" t="s">
        <v>735</v>
      </c>
      <c r="D318" s="4">
        <v>2286000</v>
      </c>
      <c r="E318" s="4">
        <v>0</v>
      </c>
      <c r="F318" s="4" t="s">
        <v>736</v>
      </c>
    </row>
    <row r="319" spans="2:6" ht="45" x14ac:dyDescent="0.25">
      <c r="B319" s="4" t="s">
        <v>737</v>
      </c>
      <c r="C319" s="4" t="s">
        <v>738</v>
      </c>
      <c r="D319" s="4" t="s">
        <v>739</v>
      </c>
      <c r="E319" s="4" t="s">
        <v>740</v>
      </c>
      <c r="F319" s="4" t="s">
        <v>741</v>
      </c>
    </row>
    <row r="320" spans="2:6" ht="75" x14ac:dyDescent="0.25">
      <c r="B320" s="4" t="s">
        <v>742</v>
      </c>
      <c r="C320" s="5">
        <v>2555982900001</v>
      </c>
      <c r="D320" s="5">
        <v>-45690999999</v>
      </c>
      <c r="E320" s="4" t="s">
        <v>743</v>
      </c>
      <c r="F320" s="4" t="s">
        <v>744</v>
      </c>
    </row>
    <row r="321" spans="2:6" ht="60" x14ac:dyDescent="0.25">
      <c r="B321" s="4" t="s">
        <v>745</v>
      </c>
      <c r="C321" s="4" t="s">
        <v>746</v>
      </c>
      <c r="D321" s="4">
        <v>-110040</v>
      </c>
      <c r="E321" s="4" t="s">
        <v>747</v>
      </c>
      <c r="F321" s="4" t="s">
        <v>748</v>
      </c>
    </row>
    <row r="322" spans="2:6" ht="45" x14ac:dyDescent="0.25">
      <c r="B322" s="4" t="s">
        <v>749</v>
      </c>
      <c r="C322" s="4">
        <v>0</v>
      </c>
      <c r="D322" s="4">
        <v>0</v>
      </c>
      <c r="E322" s="4">
        <v>0</v>
      </c>
      <c r="F322" s="4">
        <v>0</v>
      </c>
    </row>
    <row r="323" spans="2:6" ht="60" x14ac:dyDescent="0.25">
      <c r="B323" s="4" t="s">
        <v>750</v>
      </c>
      <c r="C323" s="4">
        <v>0</v>
      </c>
      <c r="D323" s="4">
        <v>0</v>
      </c>
      <c r="E323" s="4">
        <v>0</v>
      </c>
      <c r="F323" s="4">
        <v>0</v>
      </c>
    </row>
    <row r="324" spans="2:6" ht="60" x14ac:dyDescent="0.25">
      <c r="B324" s="4" t="s">
        <v>751</v>
      </c>
      <c r="C324" s="4">
        <v>0</v>
      </c>
      <c r="D324" s="4">
        <v>0</v>
      </c>
      <c r="E324" s="4">
        <v>0</v>
      </c>
      <c r="F324" s="4">
        <v>0</v>
      </c>
    </row>
    <row r="325" spans="2:6" ht="60" x14ac:dyDescent="0.25">
      <c r="B325" s="4" t="s">
        <v>752</v>
      </c>
      <c r="C325" s="5">
        <v>2.3727871E+16</v>
      </c>
      <c r="D325" s="4" t="s">
        <v>753</v>
      </c>
      <c r="E325" s="4" t="s">
        <v>754</v>
      </c>
      <c r="F325" s="4" t="s">
        <v>755</v>
      </c>
    </row>
    <row r="326" spans="2:6" ht="90" x14ac:dyDescent="0.25">
      <c r="B326" s="4" t="s">
        <v>756</v>
      </c>
      <c r="C326" s="4">
        <v>0</v>
      </c>
      <c r="D326" s="4">
        <v>0</v>
      </c>
      <c r="E326" s="4">
        <v>0</v>
      </c>
      <c r="F326" s="4">
        <v>0</v>
      </c>
    </row>
    <row r="327" spans="2:6" ht="75" x14ac:dyDescent="0.25">
      <c r="B327" s="4" t="s">
        <v>757</v>
      </c>
      <c r="C327" s="4">
        <v>0</v>
      </c>
      <c r="D327" s="4">
        <v>0</v>
      </c>
      <c r="E327" s="4">
        <v>0</v>
      </c>
      <c r="F327" s="4">
        <v>0</v>
      </c>
    </row>
    <row r="328" spans="2:6" ht="75" x14ac:dyDescent="0.25">
      <c r="B328" s="4" t="s">
        <v>758</v>
      </c>
      <c r="C328" s="4" t="s">
        <v>759</v>
      </c>
      <c r="D328" s="4">
        <v>928139</v>
      </c>
      <c r="E328" s="4">
        <v>15000</v>
      </c>
      <c r="F328" s="4" t="s">
        <v>760</v>
      </c>
    </row>
    <row r="329" spans="2:6" ht="90" x14ac:dyDescent="0.25">
      <c r="B329" s="4" t="s">
        <v>761</v>
      </c>
      <c r="C329" s="4" t="s">
        <v>762</v>
      </c>
      <c r="D329" s="4" t="s">
        <v>763</v>
      </c>
      <c r="E329" s="4">
        <v>0</v>
      </c>
      <c r="F329" s="4" t="s">
        <v>764</v>
      </c>
    </row>
    <row r="330" spans="2:6" ht="75" x14ac:dyDescent="0.25">
      <c r="B330" s="4" t="s">
        <v>765</v>
      </c>
      <c r="C330" s="4">
        <v>0</v>
      </c>
      <c r="D330" s="4">
        <v>0</v>
      </c>
      <c r="E330" s="4">
        <v>0</v>
      </c>
      <c r="F330" s="4">
        <v>0</v>
      </c>
    </row>
    <row r="331" spans="2:6" ht="105" x14ac:dyDescent="0.25">
      <c r="B331" s="4" t="s">
        <v>766</v>
      </c>
      <c r="C331" s="4">
        <v>-548000</v>
      </c>
      <c r="D331" s="4">
        <v>-273000</v>
      </c>
      <c r="E331" s="4">
        <v>0</v>
      </c>
      <c r="F331" s="4">
        <v>-275000</v>
      </c>
    </row>
    <row r="332" spans="2:6" ht="120" x14ac:dyDescent="0.25">
      <c r="B332" s="4" t="s">
        <v>767</v>
      </c>
      <c r="C332" s="5">
        <v>-1.7781077E+16</v>
      </c>
      <c r="D332" s="4">
        <v>-960</v>
      </c>
      <c r="E332" s="4" t="s">
        <v>768</v>
      </c>
      <c r="F332" s="4" t="s">
        <v>769</v>
      </c>
    </row>
    <row r="333" spans="2:6" ht="75" x14ac:dyDescent="0.25">
      <c r="B333" s="4" t="s">
        <v>770</v>
      </c>
      <c r="C333" s="5">
        <v>-1.72025981999999E+16</v>
      </c>
      <c r="D333" s="4" t="s">
        <v>771</v>
      </c>
      <c r="E333" s="4" t="s">
        <v>772</v>
      </c>
      <c r="F333" s="4">
        <v>-498655</v>
      </c>
    </row>
    <row r="334" spans="2:6" ht="75" x14ac:dyDescent="0.25">
      <c r="B334" s="4" t="s">
        <v>773</v>
      </c>
      <c r="C334" s="4">
        <v>0</v>
      </c>
      <c r="D334" s="4">
        <v>0</v>
      </c>
      <c r="E334" s="4">
        <v>0</v>
      </c>
      <c r="F334" s="4">
        <v>0</v>
      </c>
    </row>
    <row r="335" spans="2:6" ht="120" x14ac:dyDescent="0.25">
      <c r="B335" s="4" t="s">
        <v>774</v>
      </c>
      <c r="C335" s="4">
        <v>0</v>
      </c>
      <c r="D335" s="4">
        <v>0</v>
      </c>
      <c r="E335" s="4">
        <v>0</v>
      </c>
      <c r="F335" s="4">
        <v>0</v>
      </c>
    </row>
    <row r="336" spans="2:6" ht="105" x14ac:dyDescent="0.25">
      <c r="B336" s="4" t="s">
        <v>775</v>
      </c>
      <c r="C336" s="4">
        <v>0</v>
      </c>
      <c r="D336" s="4">
        <v>0</v>
      </c>
      <c r="E336" s="4">
        <v>0</v>
      </c>
      <c r="F336" s="4">
        <v>0</v>
      </c>
    </row>
    <row r="337" spans="2:6" ht="75" x14ac:dyDescent="0.25">
      <c r="B337" s="4" t="s">
        <v>776</v>
      </c>
      <c r="C337" s="5">
        <v>-3771628999999990</v>
      </c>
      <c r="D337" s="4" t="s">
        <v>777</v>
      </c>
      <c r="E337" s="4" t="s">
        <v>778</v>
      </c>
      <c r="F337" s="4" t="s">
        <v>779</v>
      </c>
    </row>
    <row r="338" spans="2:6" ht="75" x14ac:dyDescent="0.25">
      <c r="B338" s="4" t="s">
        <v>780</v>
      </c>
      <c r="C338" s="4">
        <v>0</v>
      </c>
      <c r="D338" s="4"/>
      <c r="E338" s="4"/>
      <c r="F338" s="4"/>
    </row>
    <row r="339" spans="2:6" ht="60" x14ac:dyDescent="0.25">
      <c r="B339" s="4" t="s">
        <v>781</v>
      </c>
      <c r="C339" s="4">
        <v>0</v>
      </c>
      <c r="D339" s="4">
        <v>0</v>
      </c>
      <c r="E339" s="4">
        <v>0</v>
      </c>
      <c r="F339" s="4">
        <v>0</v>
      </c>
    </row>
    <row r="340" spans="2:6" ht="75" x14ac:dyDescent="0.25">
      <c r="B340" s="4" t="s">
        <v>782</v>
      </c>
      <c r="C340" s="5">
        <v>-4.3217929E+16</v>
      </c>
      <c r="D340" s="4" t="s">
        <v>783</v>
      </c>
      <c r="E340" s="4" t="s">
        <v>784</v>
      </c>
      <c r="F340" s="4">
        <v>0</v>
      </c>
    </row>
    <row r="341" spans="2:6" ht="105" x14ac:dyDescent="0.25">
      <c r="B341" s="4" t="s">
        <v>785</v>
      </c>
      <c r="C341" s="4">
        <v>0</v>
      </c>
      <c r="D341" s="4">
        <v>0</v>
      </c>
      <c r="E341" s="4">
        <v>0</v>
      </c>
      <c r="F341" s="4">
        <v>0</v>
      </c>
    </row>
    <row r="342" spans="2:6" ht="60" x14ac:dyDescent="0.25">
      <c r="B342" s="4" t="s">
        <v>786</v>
      </c>
      <c r="C342" s="4">
        <v>0</v>
      </c>
      <c r="D342" s="4">
        <v>0</v>
      </c>
      <c r="E342" s="4">
        <v>0</v>
      </c>
      <c r="F342" s="4">
        <v>0</v>
      </c>
    </row>
    <row r="343" spans="2:6" ht="75" x14ac:dyDescent="0.25">
      <c r="B343" s="4" t="s">
        <v>787</v>
      </c>
      <c r="C343" s="4">
        <v>0</v>
      </c>
      <c r="D343" s="4">
        <v>0</v>
      </c>
      <c r="E343" s="4">
        <v>0</v>
      </c>
      <c r="F343" s="4">
        <v>0</v>
      </c>
    </row>
    <row r="344" spans="2:6" ht="60" x14ac:dyDescent="0.25">
      <c r="B344" s="4" t="s">
        <v>788</v>
      </c>
      <c r="C344" s="4" t="s">
        <v>789</v>
      </c>
      <c r="D344" s="4" t="s">
        <v>789</v>
      </c>
      <c r="E344" s="4">
        <v>0</v>
      </c>
      <c r="F344" s="4">
        <v>0</v>
      </c>
    </row>
    <row r="345" spans="2:6" ht="60" x14ac:dyDescent="0.25">
      <c r="B345" s="4" t="s">
        <v>790</v>
      </c>
      <c r="C345" s="4">
        <v>1200000</v>
      </c>
      <c r="D345" s="4">
        <v>1200000</v>
      </c>
      <c r="E345" s="4">
        <v>0</v>
      </c>
      <c r="F345" s="4">
        <v>0</v>
      </c>
    </row>
    <row r="346" spans="2:6" ht="45" x14ac:dyDescent="0.25">
      <c r="B346" s="4" t="s">
        <v>791</v>
      </c>
      <c r="C346" s="5">
        <v>-6.80046656E+16</v>
      </c>
      <c r="D346" s="4" t="s">
        <v>792</v>
      </c>
      <c r="E346" s="4" t="s">
        <v>793</v>
      </c>
      <c r="F346" s="4" t="s">
        <v>794</v>
      </c>
    </row>
    <row r="347" spans="2:6" ht="60" x14ac:dyDescent="0.25">
      <c r="B347" s="4" t="s">
        <v>795</v>
      </c>
      <c r="C347" s="4" t="s">
        <v>796</v>
      </c>
      <c r="D347" s="4" t="s">
        <v>797</v>
      </c>
      <c r="E347" s="4" t="s">
        <v>798</v>
      </c>
      <c r="F347" s="4" t="s">
        <v>799</v>
      </c>
    </row>
    <row r="348" spans="2:6" ht="60" x14ac:dyDescent="0.25">
      <c r="B348" s="4" t="s">
        <v>800</v>
      </c>
      <c r="C348" s="5">
        <v>2.55379857E+16</v>
      </c>
      <c r="D348" s="4" t="s">
        <v>801</v>
      </c>
      <c r="E348" s="4" t="s">
        <v>802</v>
      </c>
      <c r="F348" s="4" t="s">
        <v>803</v>
      </c>
    </row>
    <row r="349" spans="2:6" ht="75" x14ac:dyDescent="0.25">
      <c r="B349" s="4" t="s">
        <v>804</v>
      </c>
      <c r="C349" s="5">
        <v>4.04650207E+16</v>
      </c>
      <c r="D349" s="4" t="s">
        <v>805</v>
      </c>
      <c r="E349" s="4" t="s">
        <v>806</v>
      </c>
      <c r="F349" s="4" t="s">
        <v>807</v>
      </c>
    </row>
    <row r="350" spans="2:6" ht="90" x14ac:dyDescent="0.25">
      <c r="B350" s="4" t="s">
        <v>808</v>
      </c>
      <c r="C350" s="4" t="s">
        <v>809</v>
      </c>
      <c r="D350" s="4" t="s">
        <v>810</v>
      </c>
      <c r="E350" s="4" t="s">
        <v>811</v>
      </c>
      <c r="F350" s="4" t="s">
        <v>812</v>
      </c>
    </row>
    <row r="351" spans="2:6" ht="75" x14ac:dyDescent="0.25">
      <c r="B351" s="4" t="s">
        <v>813</v>
      </c>
      <c r="C351" s="4" t="s">
        <v>814</v>
      </c>
      <c r="D351" s="4" t="s">
        <v>815</v>
      </c>
      <c r="E351" s="4" t="s">
        <v>816</v>
      </c>
      <c r="F351" s="4" t="s">
        <v>817</v>
      </c>
    </row>
    <row r="352" spans="2:6" ht="75" x14ac:dyDescent="0.25">
      <c r="B352" s="4" t="s">
        <v>818</v>
      </c>
      <c r="C352" s="4">
        <v>0</v>
      </c>
      <c r="D352" s="4">
        <v>0</v>
      </c>
      <c r="E352" s="4">
        <v>0</v>
      </c>
      <c r="F352" s="4">
        <v>0</v>
      </c>
    </row>
    <row r="353" spans="2:6" ht="75" x14ac:dyDescent="0.25">
      <c r="B353" s="4" t="s">
        <v>819</v>
      </c>
      <c r="C353" s="4" t="s">
        <v>820</v>
      </c>
      <c r="D353" s="4" t="s">
        <v>821</v>
      </c>
      <c r="E353" s="4" t="s">
        <v>822</v>
      </c>
      <c r="F353" s="4" t="s">
        <v>823</v>
      </c>
    </row>
    <row r="354" spans="2:6" ht="60" x14ac:dyDescent="0.25">
      <c r="B354" s="4" t="s">
        <v>824</v>
      </c>
      <c r="C354" s="4" t="s">
        <v>825</v>
      </c>
      <c r="D354" s="4" t="s">
        <v>826</v>
      </c>
      <c r="E354" s="4" t="s">
        <v>827</v>
      </c>
      <c r="F354" s="4" t="s">
        <v>828</v>
      </c>
    </row>
    <row r="355" spans="2:6" ht="120" x14ac:dyDescent="0.25">
      <c r="B355" s="4" t="s">
        <v>829</v>
      </c>
      <c r="C355" s="4" t="s">
        <v>830</v>
      </c>
      <c r="D355" s="4">
        <v>18000</v>
      </c>
      <c r="E355" s="4">
        <v>500</v>
      </c>
      <c r="F355" s="4" t="s">
        <v>831</v>
      </c>
    </row>
    <row r="356" spans="2:6" ht="105" x14ac:dyDescent="0.25">
      <c r="B356" s="4" t="s">
        <v>832</v>
      </c>
      <c r="C356" s="4">
        <v>149493</v>
      </c>
      <c r="D356" s="4">
        <v>18000</v>
      </c>
      <c r="E356" s="4">
        <v>364999</v>
      </c>
      <c r="F356" s="4">
        <v>-233506</v>
      </c>
    </row>
    <row r="357" spans="2:6" ht="45" x14ac:dyDescent="0.25">
      <c r="B357" s="4" t="s">
        <v>833</v>
      </c>
      <c r="C357" s="4">
        <v>0</v>
      </c>
      <c r="D357" s="4">
        <v>0</v>
      </c>
      <c r="E357" s="4">
        <v>0</v>
      </c>
      <c r="F357" s="4">
        <v>0</v>
      </c>
    </row>
    <row r="358" spans="2:6" ht="105" x14ac:dyDescent="0.25">
      <c r="B358" s="4" t="s">
        <v>834</v>
      </c>
      <c r="C358" s="4">
        <v>0</v>
      </c>
      <c r="D358" s="4">
        <v>0</v>
      </c>
      <c r="E358" s="4">
        <v>0</v>
      </c>
      <c r="F358" s="4">
        <v>0</v>
      </c>
    </row>
    <row r="359" spans="2:6" ht="105" x14ac:dyDescent="0.25">
      <c r="B359" s="4" t="s">
        <v>835</v>
      </c>
      <c r="C359" s="5">
        <v>-2.56838479999999E+16</v>
      </c>
      <c r="D359" s="4" t="s">
        <v>836</v>
      </c>
      <c r="E359" s="4" t="s">
        <v>837</v>
      </c>
      <c r="F359" s="4" t="s">
        <v>838</v>
      </c>
    </row>
    <row r="360" spans="2:6" ht="120" x14ac:dyDescent="0.25">
      <c r="B360" s="4" t="s">
        <v>839</v>
      </c>
      <c r="C360" s="5">
        <v>1431191300001</v>
      </c>
      <c r="D360" s="4" t="s">
        <v>840</v>
      </c>
      <c r="E360" s="5">
        <v>49749400001</v>
      </c>
      <c r="F360" s="4" t="s">
        <v>841</v>
      </c>
    </row>
    <row r="361" spans="2:6" ht="120" x14ac:dyDescent="0.25">
      <c r="B361" s="4" t="s">
        <v>842</v>
      </c>
      <c r="C361" s="4">
        <v>-376288</v>
      </c>
      <c r="D361" s="4" t="s">
        <v>843</v>
      </c>
      <c r="E361" s="4" t="s">
        <v>844</v>
      </c>
      <c r="F361" s="4" t="s">
        <v>845</v>
      </c>
    </row>
    <row r="362" spans="2:6" ht="105" x14ac:dyDescent="0.25">
      <c r="B362" s="4" t="s">
        <v>846</v>
      </c>
      <c r="C362" s="4" t="s">
        <v>847</v>
      </c>
      <c r="D362" s="4" t="s">
        <v>848</v>
      </c>
      <c r="E362" s="4" t="s">
        <v>849</v>
      </c>
      <c r="F362" s="4" t="s">
        <v>850</v>
      </c>
    </row>
    <row r="363" spans="2:6" ht="120" x14ac:dyDescent="0.25">
      <c r="B363" s="4" t="s">
        <v>851</v>
      </c>
      <c r="C363" s="4" t="s">
        <v>852</v>
      </c>
      <c r="D363" s="4">
        <v>721926</v>
      </c>
      <c r="E363" s="4">
        <v>920334</v>
      </c>
      <c r="F363" s="4" t="s">
        <v>853</v>
      </c>
    </row>
    <row r="364" spans="2:6" ht="120" x14ac:dyDescent="0.25">
      <c r="B364" s="4" t="s">
        <v>854</v>
      </c>
      <c r="C364" s="4">
        <v>1642260</v>
      </c>
      <c r="D364" s="4">
        <v>721926</v>
      </c>
      <c r="E364" s="4">
        <v>920334</v>
      </c>
      <c r="F364" s="4"/>
    </row>
    <row r="365" spans="2:6" ht="105" x14ac:dyDescent="0.25">
      <c r="B365" s="4" t="s">
        <v>855</v>
      </c>
      <c r="C365" s="4" t="s">
        <v>856</v>
      </c>
      <c r="D365" s="4">
        <v>92000</v>
      </c>
      <c r="E365" s="4">
        <v>362000</v>
      </c>
      <c r="F365" s="4" t="s">
        <v>857</v>
      </c>
    </row>
    <row r="366" spans="2:6" ht="90" x14ac:dyDescent="0.25">
      <c r="B366" s="4" t="s">
        <v>858</v>
      </c>
      <c r="C366" s="4" t="s">
        <v>859</v>
      </c>
      <c r="D366" s="4" t="s">
        <v>860</v>
      </c>
      <c r="E366" s="4" t="s">
        <v>861</v>
      </c>
      <c r="F366" s="4" t="s">
        <v>862</v>
      </c>
    </row>
    <row r="367" spans="2:6" ht="105" x14ac:dyDescent="0.25">
      <c r="B367" s="4" t="s">
        <v>863</v>
      </c>
      <c r="C367" s="4">
        <v>0</v>
      </c>
      <c r="D367" s="4">
        <v>0</v>
      </c>
      <c r="E367" s="4">
        <v>0</v>
      </c>
      <c r="F367" s="4">
        <v>0</v>
      </c>
    </row>
    <row r="368" spans="2:6" ht="120" x14ac:dyDescent="0.25">
      <c r="B368" s="4" t="s">
        <v>864</v>
      </c>
      <c r="C368" s="4">
        <v>0</v>
      </c>
      <c r="D368" s="4">
        <v>0</v>
      </c>
      <c r="E368" s="4">
        <v>0</v>
      </c>
      <c r="F368" s="4"/>
    </row>
    <row r="369" spans="2:6" ht="120" x14ac:dyDescent="0.25">
      <c r="B369" s="4" t="s">
        <v>865</v>
      </c>
      <c r="C369" s="4">
        <v>0</v>
      </c>
      <c r="D369" s="4">
        <v>0</v>
      </c>
      <c r="E369" s="4">
        <v>0</v>
      </c>
      <c r="F369" s="4"/>
    </row>
    <row r="370" spans="2:6" ht="120" x14ac:dyDescent="0.25">
      <c r="B370" s="4" t="s">
        <v>866</v>
      </c>
      <c r="C370" s="4">
        <v>0</v>
      </c>
      <c r="D370" s="4">
        <v>0</v>
      </c>
      <c r="E370" s="4">
        <v>0</v>
      </c>
      <c r="F370" s="4"/>
    </row>
    <row r="371" spans="2:6" ht="105" x14ac:dyDescent="0.25">
      <c r="B371" s="4" t="s">
        <v>867</v>
      </c>
      <c r="C371" s="4" t="s">
        <v>868</v>
      </c>
      <c r="D371" s="4" t="s">
        <v>869</v>
      </c>
      <c r="E371" s="4" t="s">
        <v>870</v>
      </c>
      <c r="F371" s="4" t="s">
        <v>871</v>
      </c>
    </row>
    <row r="372" spans="2:6" ht="105" x14ac:dyDescent="0.25">
      <c r="B372" s="4" t="s">
        <v>872</v>
      </c>
      <c r="C372" s="4" t="s">
        <v>873</v>
      </c>
      <c r="D372" s="4" t="s">
        <v>874</v>
      </c>
      <c r="E372" s="4" t="s">
        <v>875</v>
      </c>
      <c r="F372" s="4"/>
    </row>
    <row r="373" spans="2:6" ht="105" x14ac:dyDescent="0.25">
      <c r="B373" s="4" t="s">
        <v>876</v>
      </c>
      <c r="C373" s="4" t="s">
        <v>877</v>
      </c>
      <c r="D373" s="4" t="s">
        <v>878</v>
      </c>
      <c r="E373" s="4" t="s">
        <v>879</v>
      </c>
      <c r="F373" s="4" t="s">
        <v>880</v>
      </c>
    </row>
    <row r="374" spans="2:6" ht="105" x14ac:dyDescent="0.25">
      <c r="B374" s="4" t="s">
        <v>881</v>
      </c>
      <c r="C374" s="5">
        <v>-246448134999999</v>
      </c>
      <c r="D374" s="5">
        <v>68649000001</v>
      </c>
      <c r="E374" s="4" t="s">
        <v>882</v>
      </c>
      <c r="F374" s="4" t="s">
        <v>883</v>
      </c>
    </row>
    <row r="375" spans="2:6" ht="105" x14ac:dyDescent="0.25">
      <c r="B375" s="4" t="s">
        <v>884</v>
      </c>
      <c r="C375" s="4" t="s">
        <v>885</v>
      </c>
      <c r="D375" s="4" t="s">
        <v>886</v>
      </c>
      <c r="E375" s="4" t="s">
        <v>887</v>
      </c>
      <c r="F375" s="4" t="s">
        <v>888</v>
      </c>
    </row>
    <row r="376" spans="2:6" ht="90" x14ac:dyDescent="0.25">
      <c r="B376" s="4" t="s">
        <v>889</v>
      </c>
      <c r="C376" s="4">
        <v>0</v>
      </c>
      <c r="D376" s="4">
        <v>0</v>
      </c>
      <c r="E376" s="4">
        <v>0</v>
      </c>
      <c r="F376" s="4"/>
    </row>
    <row r="377" spans="2:6" ht="90" x14ac:dyDescent="0.25">
      <c r="B377" s="4" t="s">
        <v>890</v>
      </c>
      <c r="C377" s="5">
        <v>1.25728699999999E+16</v>
      </c>
      <c r="D377" s="4">
        <v>0</v>
      </c>
      <c r="E377" s="4" t="s">
        <v>891</v>
      </c>
      <c r="F377" s="4" t="s">
        <v>892</v>
      </c>
    </row>
    <row r="378" spans="2:6" ht="90" x14ac:dyDescent="0.25">
      <c r="B378" s="4" t="s">
        <v>893</v>
      </c>
      <c r="C378" s="4">
        <v>135</v>
      </c>
      <c r="D378" s="4">
        <v>135</v>
      </c>
      <c r="E378" s="4">
        <v>0</v>
      </c>
      <c r="F378" s="4"/>
    </row>
    <row r="379" spans="2:6" ht="90" x14ac:dyDescent="0.25">
      <c r="B379" s="4" t="s">
        <v>894</v>
      </c>
      <c r="C379" s="4" t="s">
        <v>895</v>
      </c>
      <c r="D379" s="4" t="s">
        <v>896</v>
      </c>
      <c r="E379" s="4" t="s">
        <v>897</v>
      </c>
      <c r="F379" s="4" t="s">
        <v>898</v>
      </c>
    </row>
    <row r="380" spans="2:6" ht="105" x14ac:dyDescent="0.25">
      <c r="B380" s="4" t="s">
        <v>899</v>
      </c>
      <c r="C380" s="4">
        <v>0</v>
      </c>
      <c r="D380" s="4">
        <v>0</v>
      </c>
      <c r="E380" s="4">
        <v>0</v>
      </c>
      <c r="F380" s="4"/>
    </row>
    <row r="381" spans="2:6" ht="90" x14ac:dyDescent="0.25">
      <c r="B381" s="4" t="s">
        <v>900</v>
      </c>
      <c r="C381" s="4">
        <v>0</v>
      </c>
      <c r="D381" s="4">
        <v>0</v>
      </c>
      <c r="E381" s="4">
        <v>0</v>
      </c>
      <c r="F381" s="4">
        <v>0</v>
      </c>
    </row>
    <row r="382" spans="2:6" ht="90" x14ac:dyDescent="0.25">
      <c r="B382" s="4" t="s">
        <v>901</v>
      </c>
      <c r="C382" s="4">
        <v>0</v>
      </c>
      <c r="D382" s="4">
        <v>0</v>
      </c>
      <c r="E382" s="4">
        <v>0</v>
      </c>
      <c r="F382" s="4">
        <v>0</v>
      </c>
    </row>
    <row r="383" spans="2:6" ht="90" x14ac:dyDescent="0.25">
      <c r="B383" s="4" t="s">
        <v>902</v>
      </c>
      <c r="C383" s="4">
        <v>0</v>
      </c>
      <c r="D383" s="4">
        <v>0</v>
      </c>
      <c r="E383" s="4">
        <v>0</v>
      </c>
      <c r="F383" s="4">
        <v>0</v>
      </c>
    </row>
    <row r="384" spans="2:6" ht="90" x14ac:dyDescent="0.25">
      <c r="B384" s="4" t="s">
        <v>903</v>
      </c>
      <c r="C384" s="4">
        <v>0</v>
      </c>
      <c r="D384" s="4">
        <v>0</v>
      </c>
      <c r="E384" s="4">
        <v>0</v>
      </c>
      <c r="F384" s="4">
        <v>0</v>
      </c>
    </row>
    <row r="385" spans="2:6" ht="90" x14ac:dyDescent="0.25">
      <c r="B385" s="4" t="s">
        <v>904</v>
      </c>
      <c r="C385" s="4">
        <v>0</v>
      </c>
      <c r="D385" s="4">
        <v>0</v>
      </c>
      <c r="E385" s="4">
        <v>0</v>
      </c>
      <c r="F385" s="4">
        <v>0</v>
      </c>
    </row>
    <row r="386" spans="2:6" ht="120" x14ac:dyDescent="0.25">
      <c r="B386" s="4" t="s">
        <v>905</v>
      </c>
      <c r="C386" s="5">
        <v>-1.62081241399999E+16</v>
      </c>
      <c r="D386" s="4" t="s">
        <v>906</v>
      </c>
      <c r="E386" s="4" t="s">
        <v>907</v>
      </c>
      <c r="F386" s="4" t="s">
        <v>908</v>
      </c>
    </row>
    <row r="387" spans="2:6" ht="105" x14ac:dyDescent="0.25">
      <c r="B387" s="4" t="s">
        <v>909</v>
      </c>
      <c r="C387" s="4">
        <v>0</v>
      </c>
      <c r="D387" s="4">
        <v>0</v>
      </c>
      <c r="E387" s="4">
        <v>0</v>
      </c>
      <c r="F387" s="4"/>
    </row>
    <row r="388" spans="2:6" ht="105" x14ac:dyDescent="0.25">
      <c r="B388" s="4" t="s">
        <v>910</v>
      </c>
      <c r="C388" s="4" t="s">
        <v>911</v>
      </c>
      <c r="D388" s="4">
        <v>0</v>
      </c>
      <c r="E388" s="4" t="s">
        <v>911</v>
      </c>
      <c r="F388" s="4"/>
    </row>
    <row r="389" spans="2:6" ht="120" x14ac:dyDescent="0.25">
      <c r="B389" s="4" t="s">
        <v>912</v>
      </c>
      <c r="C389" s="4" t="s">
        <v>913</v>
      </c>
      <c r="D389" s="4" t="s">
        <v>914</v>
      </c>
      <c r="E389" s="4" t="s">
        <v>915</v>
      </c>
      <c r="F389" s="4"/>
    </row>
    <row r="390" spans="2:6" ht="105" x14ac:dyDescent="0.25">
      <c r="B390" s="4" t="s">
        <v>916</v>
      </c>
      <c r="C390" s="5">
        <v>-2.45544634E+16</v>
      </c>
      <c r="D390" s="4" t="s">
        <v>917</v>
      </c>
      <c r="E390" s="4" t="s">
        <v>918</v>
      </c>
      <c r="F390" s="4"/>
    </row>
    <row r="391" spans="2:6" ht="105" x14ac:dyDescent="0.25">
      <c r="B391" s="4" t="s">
        <v>919</v>
      </c>
      <c r="C391" s="4">
        <v>0</v>
      </c>
      <c r="D391" s="4">
        <v>0</v>
      </c>
      <c r="E391" s="4">
        <v>0</v>
      </c>
      <c r="F391" s="4">
        <v>0</v>
      </c>
    </row>
    <row r="392" spans="2:6" ht="105" x14ac:dyDescent="0.25">
      <c r="B392" s="4" t="s">
        <v>920</v>
      </c>
      <c r="C392" s="4">
        <v>0</v>
      </c>
      <c r="D392" s="4">
        <v>0</v>
      </c>
      <c r="E392" s="4">
        <v>0</v>
      </c>
      <c r="F392" s="4">
        <v>0</v>
      </c>
    </row>
    <row r="393" spans="2:6" ht="105" x14ac:dyDescent="0.25">
      <c r="B393" s="4" t="s">
        <v>921</v>
      </c>
      <c r="C393" s="5">
        <v>-3.52648062799999E+16</v>
      </c>
      <c r="D393" s="4" t="s">
        <v>922</v>
      </c>
      <c r="E393" s="4" t="s">
        <v>923</v>
      </c>
      <c r="F393" s="4" t="s">
        <v>924</v>
      </c>
    </row>
    <row r="394" spans="2:6" ht="90" x14ac:dyDescent="0.25">
      <c r="B394" s="4" t="s">
        <v>925</v>
      </c>
      <c r="C394" s="4" t="s">
        <v>926</v>
      </c>
      <c r="D394" s="4" t="s">
        <v>926</v>
      </c>
      <c r="E394" s="4">
        <v>0</v>
      </c>
      <c r="F394" s="4">
        <v>0</v>
      </c>
    </row>
    <row r="395" spans="2:6" ht="105" x14ac:dyDescent="0.25">
      <c r="B395" s="4" t="s">
        <v>927</v>
      </c>
      <c r="C395" s="4">
        <v>0</v>
      </c>
      <c r="D395" s="4">
        <v>0</v>
      </c>
      <c r="E395" s="4">
        <v>0</v>
      </c>
      <c r="F395" s="4">
        <v>0</v>
      </c>
    </row>
    <row r="396" spans="2:6" ht="90" x14ac:dyDescent="0.25">
      <c r="B396" s="4" t="s">
        <v>928</v>
      </c>
      <c r="C396" s="4">
        <v>0</v>
      </c>
      <c r="D396" s="4">
        <v>0</v>
      </c>
      <c r="E396" s="4">
        <v>0</v>
      </c>
      <c r="F396" s="4">
        <v>0</v>
      </c>
    </row>
    <row r="397" spans="2:6" ht="75" x14ac:dyDescent="0.25">
      <c r="B397" s="4" t="s">
        <v>929</v>
      </c>
      <c r="C397" s="4">
        <v>0</v>
      </c>
      <c r="D397" s="4">
        <v>0</v>
      </c>
      <c r="E397" s="4">
        <v>0</v>
      </c>
      <c r="F397" s="4">
        <v>0</v>
      </c>
    </row>
    <row r="398" spans="2:6" ht="90" x14ac:dyDescent="0.25">
      <c r="B398" s="4" t="s">
        <v>930</v>
      </c>
      <c r="C398" s="4">
        <v>0</v>
      </c>
      <c r="D398" s="4">
        <v>0</v>
      </c>
      <c r="E398" s="4">
        <v>0</v>
      </c>
      <c r="F398" s="4">
        <v>0</v>
      </c>
    </row>
    <row r="399" spans="2:6" ht="90" x14ac:dyDescent="0.25">
      <c r="B399" s="4" t="s">
        <v>931</v>
      </c>
      <c r="C399" s="4" t="s">
        <v>932</v>
      </c>
      <c r="D399" s="4" t="s">
        <v>933</v>
      </c>
      <c r="E399" s="4" t="s">
        <v>934</v>
      </c>
      <c r="F399" s="4"/>
    </row>
    <row r="400" spans="2:6" ht="105" x14ac:dyDescent="0.25">
      <c r="B400" s="4" t="s">
        <v>935</v>
      </c>
      <c r="C400" s="4" t="s">
        <v>936</v>
      </c>
      <c r="D400" s="4" t="s">
        <v>937</v>
      </c>
      <c r="E400" s="4" t="s">
        <v>938</v>
      </c>
      <c r="F400" s="4"/>
    </row>
    <row r="401" spans="2:6" ht="105" x14ac:dyDescent="0.25">
      <c r="B401" s="4" t="s">
        <v>939</v>
      </c>
      <c r="C401" s="4" t="s">
        <v>940</v>
      </c>
      <c r="D401" s="4" t="s">
        <v>941</v>
      </c>
      <c r="E401" s="4" t="s">
        <v>942</v>
      </c>
      <c r="F401" s="4"/>
    </row>
    <row r="402" spans="2:6" ht="105" x14ac:dyDescent="0.25">
      <c r="B402" s="4" t="s">
        <v>943</v>
      </c>
      <c r="C402" s="4" t="s">
        <v>944</v>
      </c>
      <c r="D402" s="4" t="s">
        <v>944</v>
      </c>
      <c r="E402" s="4">
        <v>0</v>
      </c>
      <c r="F402" s="4">
        <v>0</v>
      </c>
    </row>
    <row r="403" spans="2:6" ht="105" x14ac:dyDescent="0.25">
      <c r="B403" s="4" t="s">
        <v>945</v>
      </c>
      <c r="C403" s="5">
        <v>-4649460739999990</v>
      </c>
      <c r="D403" s="4" t="s">
        <v>946</v>
      </c>
      <c r="E403" s="4" t="s">
        <v>947</v>
      </c>
      <c r="F403" s="4"/>
    </row>
    <row r="404" spans="2:6" ht="120" x14ac:dyDescent="0.25">
      <c r="B404" s="4" t="s">
        <v>948</v>
      </c>
      <c r="C404" s="4">
        <v>0</v>
      </c>
      <c r="D404" s="4">
        <v>0</v>
      </c>
      <c r="E404" s="4">
        <v>0</v>
      </c>
      <c r="F404" s="4">
        <v>0</v>
      </c>
    </row>
    <row r="405" spans="2:6" ht="90" x14ac:dyDescent="0.25">
      <c r="B405" s="4" t="s">
        <v>949</v>
      </c>
      <c r="C405" s="4" t="s">
        <v>950</v>
      </c>
      <c r="D405" s="4" t="s">
        <v>951</v>
      </c>
      <c r="E405" s="4" t="s">
        <v>952</v>
      </c>
      <c r="F405" s="4"/>
    </row>
    <row r="406" spans="2:6" ht="90" x14ac:dyDescent="0.25">
      <c r="B406" s="4" t="s">
        <v>953</v>
      </c>
      <c r="C406" s="4" t="s">
        <v>954</v>
      </c>
      <c r="D406" s="4"/>
      <c r="E406" s="4" t="s">
        <v>954</v>
      </c>
      <c r="F406" s="4"/>
    </row>
    <row r="407" spans="2:6" ht="105" x14ac:dyDescent="0.25">
      <c r="B407" s="4" t="s">
        <v>955</v>
      </c>
      <c r="C407" s="5">
        <v>2.82398759999999E+16</v>
      </c>
      <c r="D407" s="4" t="s">
        <v>956</v>
      </c>
      <c r="E407" s="4" t="s">
        <v>957</v>
      </c>
      <c r="F407" s="4" t="s">
        <v>958</v>
      </c>
    </row>
    <row r="408" spans="2:6" ht="90" x14ac:dyDescent="0.25">
      <c r="B408" s="4" t="s">
        <v>959</v>
      </c>
      <c r="C408" s="4">
        <v>0</v>
      </c>
      <c r="D408" s="4"/>
      <c r="E408" s="4"/>
      <c r="F408" s="4"/>
    </row>
    <row r="409" spans="2:6" ht="75" x14ac:dyDescent="0.25">
      <c r="B409" s="4" t="s">
        <v>960</v>
      </c>
      <c r="C409" s="4" t="s">
        <v>961</v>
      </c>
      <c r="D409" s="4">
        <v>0</v>
      </c>
      <c r="E409" s="4" t="s">
        <v>962</v>
      </c>
      <c r="F409" s="4" t="s">
        <v>963</v>
      </c>
    </row>
    <row r="410" spans="2:6" ht="105" x14ac:dyDescent="0.25">
      <c r="B410" s="4" t="s">
        <v>964</v>
      </c>
      <c r="C410" s="4">
        <v>0</v>
      </c>
      <c r="D410" s="4">
        <v>0</v>
      </c>
      <c r="E410" s="4">
        <v>0</v>
      </c>
      <c r="F410" s="4"/>
    </row>
    <row r="411" spans="2:6" ht="105" x14ac:dyDescent="0.25">
      <c r="B411" s="4" t="s">
        <v>965</v>
      </c>
      <c r="C411" s="4">
        <v>70000</v>
      </c>
      <c r="D411" s="4">
        <v>0</v>
      </c>
      <c r="E411" s="4">
        <v>70000</v>
      </c>
      <c r="F411" s="4"/>
    </row>
    <row r="412" spans="2:6" ht="105" x14ac:dyDescent="0.25">
      <c r="B412" s="4" t="s">
        <v>966</v>
      </c>
      <c r="C412" s="4" t="s">
        <v>967</v>
      </c>
      <c r="D412" s="4">
        <v>521800</v>
      </c>
      <c r="E412" s="4">
        <v>2029000</v>
      </c>
      <c r="F412" s="4" t="s">
        <v>968</v>
      </c>
    </row>
    <row r="413" spans="2:6" ht="90" x14ac:dyDescent="0.25">
      <c r="B413" s="4" t="s">
        <v>969</v>
      </c>
      <c r="C413" s="4" t="s">
        <v>970</v>
      </c>
      <c r="D413" s="4">
        <v>521800</v>
      </c>
      <c r="E413" s="4">
        <v>2029000</v>
      </c>
      <c r="F413" s="4" t="s">
        <v>971</v>
      </c>
    </row>
    <row r="414" spans="2:6" ht="120" x14ac:dyDescent="0.25">
      <c r="B414" s="4" t="s">
        <v>972</v>
      </c>
      <c r="C414" s="5">
        <v>9399990700000000</v>
      </c>
      <c r="D414" s="4">
        <v>77597</v>
      </c>
      <c r="E414" s="4">
        <v>642000</v>
      </c>
      <c r="F414" s="4" t="s">
        <v>973</v>
      </c>
    </row>
    <row r="415" spans="2:6" ht="105" x14ac:dyDescent="0.25">
      <c r="B415" s="4" t="s">
        <v>974</v>
      </c>
      <c r="C415" s="4">
        <v>1079453</v>
      </c>
      <c r="D415" s="4">
        <v>61952</v>
      </c>
      <c r="E415" s="4">
        <v>525001</v>
      </c>
      <c r="F415" s="4">
        <v>492500</v>
      </c>
    </row>
    <row r="416" spans="2:6" ht="105" x14ac:dyDescent="0.25">
      <c r="B416" s="4" t="s">
        <v>975</v>
      </c>
      <c r="C416" s="4">
        <v>1079453</v>
      </c>
      <c r="D416" s="4">
        <v>61952</v>
      </c>
      <c r="E416" s="4">
        <v>525001</v>
      </c>
      <c r="F416" s="4">
        <v>492500</v>
      </c>
    </row>
    <row r="417" spans="2:6" ht="105" x14ac:dyDescent="0.25">
      <c r="B417" s="4" t="s">
        <v>976</v>
      </c>
      <c r="C417" s="4" t="s">
        <v>977</v>
      </c>
      <c r="D417" s="4" t="s">
        <v>978</v>
      </c>
      <c r="E417" s="4">
        <v>125000</v>
      </c>
      <c r="F417" s="4" t="s">
        <v>979</v>
      </c>
    </row>
    <row r="418" spans="2:6" ht="135" x14ac:dyDescent="0.25">
      <c r="B418" s="4" t="s">
        <v>980</v>
      </c>
      <c r="C418" s="4" t="s">
        <v>981</v>
      </c>
      <c r="D418" s="4" t="s">
        <v>978</v>
      </c>
      <c r="E418" s="4">
        <v>125000</v>
      </c>
      <c r="F418" s="4">
        <v>243674</v>
      </c>
    </row>
    <row r="419" spans="2:6" ht="90" x14ac:dyDescent="0.25">
      <c r="B419" s="4" t="s">
        <v>982</v>
      </c>
      <c r="C419" s="4">
        <v>0</v>
      </c>
      <c r="D419" s="4">
        <v>0</v>
      </c>
      <c r="E419" s="4">
        <v>0</v>
      </c>
      <c r="F419" s="4">
        <v>0</v>
      </c>
    </row>
    <row r="420" spans="2:6" ht="105" x14ac:dyDescent="0.25">
      <c r="B420" s="4" t="s">
        <v>983</v>
      </c>
      <c r="C420" s="4">
        <v>-200000</v>
      </c>
      <c r="D420" s="4">
        <v>-200000</v>
      </c>
      <c r="E420" s="4">
        <v>0</v>
      </c>
      <c r="F420" s="4">
        <v>0</v>
      </c>
    </row>
    <row r="421" spans="2:6" ht="105" x14ac:dyDescent="0.25">
      <c r="B421" s="4" t="s">
        <v>984</v>
      </c>
      <c r="C421" s="4" t="s">
        <v>985</v>
      </c>
      <c r="D421" s="4">
        <v>0</v>
      </c>
      <c r="E421" s="4">
        <v>0</v>
      </c>
      <c r="F421" s="4" t="s">
        <v>985</v>
      </c>
    </row>
    <row r="422" spans="2:6" ht="120" x14ac:dyDescent="0.25">
      <c r="B422" s="4" t="s">
        <v>986</v>
      </c>
      <c r="C422" s="4">
        <v>0</v>
      </c>
      <c r="D422" s="4">
        <v>0</v>
      </c>
      <c r="E422" s="4">
        <v>0</v>
      </c>
      <c r="F422" s="4">
        <v>0</v>
      </c>
    </row>
    <row r="423" spans="2:6" ht="105" x14ac:dyDescent="0.25">
      <c r="B423" s="4" t="s">
        <v>987</v>
      </c>
      <c r="C423" s="4">
        <v>0</v>
      </c>
      <c r="D423" s="4">
        <v>0</v>
      </c>
      <c r="E423" s="4">
        <v>0</v>
      </c>
      <c r="F423" s="4"/>
    </row>
    <row r="424" spans="2:6" ht="105" x14ac:dyDescent="0.25">
      <c r="B424" s="4" t="s">
        <v>988</v>
      </c>
      <c r="C424" s="4">
        <v>0</v>
      </c>
      <c r="D424" s="4">
        <v>0</v>
      </c>
      <c r="E424" s="4">
        <v>0</v>
      </c>
      <c r="F424" s="4"/>
    </row>
    <row r="425" spans="2:6" ht="105" x14ac:dyDescent="0.25">
      <c r="B425" s="4" t="s">
        <v>989</v>
      </c>
      <c r="C425" s="4">
        <v>0</v>
      </c>
      <c r="D425" s="4"/>
      <c r="E425" s="4">
        <v>0</v>
      </c>
      <c r="F425" s="4">
        <v>0</v>
      </c>
    </row>
    <row r="426" spans="2:6" ht="105" x14ac:dyDescent="0.25">
      <c r="B426" s="4" t="s">
        <v>990</v>
      </c>
      <c r="C426" s="4" t="s">
        <v>991</v>
      </c>
      <c r="D426" s="4">
        <v>0</v>
      </c>
      <c r="E426" s="4">
        <v>0</v>
      </c>
      <c r="F426" s="4" t="s">
        <v>991</v>
      </c>
    </row>
    <row r="427" spans="2:6" ht="105" x14ac:dyDescent="0.25">
      <c r="B427" s="4" t="s">
        <v>992</v>
      </c>
      <c r="C427" s="4" t="s">
        <v>993</v>
      </c>
      <c r="D427" s="4" t="s">
        <v>994</v>
      </c>
      <c r="E427" s="4" t="s">
        <v>995</v>
      </c>
      <c r="F427" s="4" t="s">
        <v>996</v>
      </c>
    </row>
    <row r="428" spans="2:6" ht="105" x14ac:dyDescent="0.25">
      <c r="B428" s="4" t="s">
        <v>997</v>
      </c>
      <c r="C428" s="4">
        <v>0</v>
      </c>
      <c r="D428" s="4">
        <v>0</v>
      </c>
      <c r="E428" s="4">
        <v>0</v>
      </c>
      <c r="F428" s="4">
        <v>0</v>
      </c>
    </row>
    <row r="429" spans="2:6" ht="105" x14ac:dyDescent="0.25">
      <c r="B429" s="4" t="s">
        <v>998</v>
      </c>
      <c r="C429" s="4">
        <v>150000</v>
      </c>
      <c r="D429" s="4">
        <v>0</v>
      </c>
      <c r="E429" s="4">
        <v>150000</v>
      </c>
      <c r="F429" s="4"/>
    </row>
    <row r="430" spans="2:6" ht="105" x14ac:dyDescent="0.25">
      <c r="B430" s="4" t="s">
        <v>999</v>
      </c>
      <c r="C430" s="4" t="s">
        <v>1000</v>
      </c>
      <c r="D430" s="4">
        <v>0</v>
      </c>
      <c r="E430" s="4" t="s">
        <v>1001</v>
      </c>
      <c r="F430" s="4" t="s">
        <v>1002</v>
      </c>
    </row>
    <row r="431" spans="2:6" ht="90" x14ac:dyDescent="0.25">
      <c r="B431" s="4" t="s">
        <v>1003</v>
      </c>
      <c r="C431" s="4">
        <v>0</v>
      </c>
      <c r="D431" s="4">
        <v>0</v>
      </c>
      <c r="E431" s="4">
        <v>0</v>
      </c>
      <c r="F431" s="4">
        <v>0</v>
      </c>
    </row>
    <row r="432" spans="2:6" ht="90" x14ac:dyDescent="0.25">
      <c r="B432" s="4" t="s">
        <v>1004</v>
      </c>
      <c r="C432" s="4">
        <v>0</v>
      </c>
      <c r="D432" s="4">
        <v>0</v>
      </c>
      <c r="E432" s="4">
        <v>0</v>
      </c>
      <c r="F432" s="4">
        <v>0</v>
      </c>
    </row>
    <row r="433" spans="2:6" ht="90" x14ac:dyDescent="0.25">
      <c r="B433" s="4" t="s">
        <v>1005</v>
      </c>
      <c r="C433" s="4">
        <v>2200000</v>
      </c>
      <c r="D433" s="4">
        <v>700000</v>
      </c>
      <c r="E433" s="4">
        <v>1500000</v>
      </c>
      <c r="F433" s="4">
        <v>0</v>
      </c>
    </row>
    <row r="434" spans="2:6" ht="60" x14ac:dyDescent="0.25">
      <c r="B434" s="4" t="s">
        <v>1006</v>
      </c>
      <c r="C434" s="5">
        <v>-1.4328298807E+16</v>
      </c>
      <c r="D434" s="4" t="s">
        <v>1007</v>
      </c>
      <c r="E434" s="4" t="s">
        <v>1008</v>
      </c>
      <c r="F434" s="4" t="s">
        <v>1009</v>
      </c>
    </row>
    <row r="435" spans="2:6" ht="105" x14ac:dyDescent="0.25">
      <c r="B435" s="4" t="s">
        <v>1010</v>
      </c>
      <c r="C435" s="4" t="s">
        <v>1011</v>
      </c>
      <c r="D435" s="4"/>
      <c r="E435" s="4" t="s">
        <v>1012</v>
      </c>
      <c r="F435" s="4" t="s">
        <v>1013</v>
      </c>
    </row>
    <row r="436" spans="2:6" ht="90" x14ac:dyDescent="0.25">
      <c r="B436" s="4" t="s">
        <v>1014</v>
      </c>
      <c r="C436" s="4" t="s">
        <v>1015</v>
      </c>
      <c r="D436" s="4" t="s">
        <v>1016</v>
      </c>
      <c r="E436" s="4" t="s">
        <v>1017</v>
      </c>
      <c r="F436" s="4" t="s">
        <v>1018</v>
      </c>
    </row>
    <row r="437" spans="2:6" ht="75" x14ac:dyDescent="0.25">
      <c r="B437" s="4" t="s">
        <v>1019</v>
      </c>
      <c r="C437" s="5">
        <v>-2.13879771999999E+16</v>
      </c>
      <c r="D437" s="4" t="s">
        <v>1020</v>
      </c>
      <c r="E437" s="4" t="s">
        <v>1021</v>
      </c>
      <c r="F437" s="4" t="s">
        <v>1022</v>
      </c>
    </row>
    <row r="438" spans="2:6" ht="90" x14ac:dyDescent="0.25">
      <c r="B438" s="4" t="s">
        <v>1023</v>
      </c>
      <c r="C438" s="4">
        <v>70000</v>
      </c>
      <c r="D438" s="4">
        <v>0</v>
      </c>
      <c r="E438" s="4">
        <v>70000</v>
      </c>
      <c r="F438" s="4">
        <v>0</v>
      </c>
    </row>
    <row r="439" spans="2:6" ht="105" x14ac:dyDescent="0.25">
      <c r="B439" s="4" t="s">
        <v>1024</v>
      </c>
      <c r="C439" s="4" t="s">
        <v>1025</v>
      </c>
      <c r="D439" s="4" t="s">
        <v>1026</v>
      </c>
      <c r="E439" s="4" t="s">
        <v>1027</v>
      </c>
      <c r="F439" s="4" t="s">
        <v>1028</v>
      </c>
    </row>
    <row r="440" spans="2:6" ht="105" x14ac:dyDescent="0.25">
      <c r="B440" s="4" t="s">
        <v>1029</v>
      </c>
      <c r="C440" s="4">
        <v>0</v>
      </c>
      <c r="D440" s="4">
        <v>0</v>
      </c>
      <c r="E440" s="4">
        <v>0</v>
      </c>
      <c r="F440" s="4"/>
    </row>
    <row r="441" spans="2:6" ht="105" x14ac:dyDescent="0.25">
      <c r="B441" s="4" t="s">
        <v>1030</v>
      </c>
      <c r="C441" s="4">
        <v>1050000</v>
      </c>
      <c r="D441" s="4"/>
      <c r="E441" s="4">
        <v>2700000</v>
      </c>
      <c r="F441" s="4">
        <v>-1650000</v>
      </c>
    </row>
    <row r="442" spans="2:6" ht="75" x14ac:dyDescent="0.25">
      <c r="B442" s="4" t="s">
        <v>1031</v>
      </c>
      <c r="C442" s="4">
        <v>0</v>
      </c>
      <c r="D442" s="4">
        <v>0</v>
      </c>
      <c r="E442" s="4">
        <v>0</v>
      </c>
      <c r="F442" s="4">
        <v>0</v>
      </c>
    </row>
    <row r="443" spans="2:6" ht="105" x14ac:dyDescent="0.25">
      <c r="B443" s="4" t="s">
        <v>1032</v>
      </c>
      <c r="C443" s="4">
        <v>0</v>
      </c>
      <c r="D443" s="4">
        <v>0</v>
      </c>
      <c r="E443" s="4">
        <v>0</v>
      </c>
      <c r="F443" s="4">
        <v>0</v>
      </c>
    </row>
    <row r="444" spans="2:6" ht="90" x14ac:dyDescent="0.25">
      <c r="B444" s="4" t="s">
        <v>1033</v>
      </c>
      <c r="C444" s="4" t="s">
        <v>1034</v>
      </c>
      <c r="D444" s="4" t="s">
        <v>1035</v>
      </c>
      <c r="E444" s="4" t="s">
        <v>1036</v>
      </c>
      <c r="F444" s="4" t="s">
        <v>1037</v>
      </c>
    </row>
    <row r="445" spans="2:6" ht="75" x14ac:dyDescent="0.25">
      <c r="B445" s="4" t="s">
        <v>1038</v>
      </c>
      <c r="C445" s="4" t="s">
        <v>1039</v>
      </c>
      <c r="D445" s="4" t="s">
        <v>1040</v>
      </c>
      <c r="E445" s="4">
        <v>-157090</v>
      </c>
      <c r="F445" s="4" t="s">
        <v>1041</v>
      </c>
    </row>
    <row r="446" spans="2:6" ht="105" x14ac:dyDescent="0.25">
      <c r="B446" s="4" t="s">
        <v>1042</v>
      </c>
      <c r="C446" s="4">
        <v>0</v>
      </c>
      <c r="D446" s="4">
        <v>0</v>
      </c>
      <c r="E446" s="4">
        <v>0</v>
      </c>
      <c r="F446" s="4">
        <v>0</v>
      </c>
    </row>
    <row r="447" spans="2:6" ht="75" x14ac:dyDescent="0.25">
      <c r="B447" s="4" t="s">
        <v>1043</v>
      </c>
      <c r="C447" s="4">
        <v>0</v>
      </c>
      <c r="D447" s="4">
        <v>0</v>
      </c>
      <c r="E447" s="4">
        <v>0</v>
      </c>
      <c r="F447" s="4">
        <v>0</v>
      </c>
    </row>
    <row r="448" spans="2:6" ht="105" x14ac:dyDescent="0.25">
      <c r="B448" s="4" t="s">
        <v>1044</v>
      </c>
      <c r="C448" s="4" t="s">
        <v>1045</v>
      </c>
      <c r="D448" s="4">
        <v>100000</v>
      </c>
      <c r="E448" s="4" t="s">
        <v>1046</v>
      </c>
      <c r="F448" s="4">
        <v>78149</v>
      </c>
    </row>
    <row r="449" spans="2:6" ht="105" x14ac:dyDescent="0.25">
      <c r="B449" s="4" t="s">
        <v>1047</v>
      </c>
      <c r="C449" s="4" t="s">
        <v>1048</v>
      </c>
      <c r="D449" s="4">
        <v>80995</v>
      </c>
      <c r="E449" s="4" t="s">
        <v>1049</v>
      </c>
      <c r="F449" s="4" t="s">
        <v>1050</v>
      </c>
    </row>
    <row r="450" spans="2:6" ht="105" x14ac:dyDescent="0.25">
      <c r="B450" s="4" t="s">
        <v>1051</v>
      </c>
      <c r="C450" s="5">
        <v>5.19084004E+16</v>
      </c>
      <c r="D450" s="4" t="s">
        <v>1052</v>
      </c>
      <c r="E450" s="4" t="s">
        <v>1053</v>
      </c>
      <c r="F450" s="4" t="s">
        <v>1054</v>
      </c>
    </row>
    <row r="451" spans="2:6" ht="75" x14ac:dyDescent="0.25">
      <c r="B451" s="4" t="s">
        <v>1055</v>
      </c>
      <c r="C451" s="4" t="s">
        <v>1056</v>
      </c>
      <c r="D451" s="4" t="s">
        <v>1057</v>
      </c>
      <c r="E451" s="4" t="s">
        <v>1058</v>
      </c>
      <c r="F451" s="4" t="s">
        <v>1059</v>
      </c>
    </row>
    <row r="452" spans="2:6" ht="75" x14ac:dyDescent="0.25">
      <c r="B452" s="4" t="s">
        <v>1060</v>
      </c>
      <c r="C452" s="5">
        <v>2.05610699999999E+16</v>
      </c>
      <c r="D452" s="4" t="s">
        <v>1061</v>
      </c>
      <c r="E452" s="4" t="s">
        <v>1062</v>
      </c>
      <c r="F452" s="4" t="s">
        <v>1063</v>
      </c>
    </row>
    <row r="453" spans="2:6" ht="90" x14ac:dyDescent="0.25">
      <c r="B453" s="4" t="s">
        <v>1064</v>
      </c>
      <c r="C453" s="4" t="s">
        <v>1065</v>
      </c>
      <c r="D453" s="4">
        <v>0</v>
      </c>
      <c r="E453" s="4" t="s">
        <v>1065</v>
      </c>
      <c r="F453" s="4">
        <v>0</v>
      </c>
    </row>
    <row r="454" spans="2:6" ht="75" x14ac:dyDescent="0.25">
      <c r="B454" s="4" t="s">
        <v>1066</v>
      </c>
      <c r="C454" s="4">
        <v>0</v>
      </c>
      <c r="D454" s="4">
        <v>0</v>
      </c>
      <c r="E454" s="4">
        <v>0</v>
      </c>
      <c r="F454" s="4">
        <v>0</v>
      </c>
    </row>
    <row r="455" spans="2:6" ht="60" x14ac:dyDescent="0.25">
      <c r="B455" s="4" t="s">
        <v>1067</v>
      </c>
      <c r="C455" s="5">
        <v>5231480890000000</v>
      </c>
      <c r="D455" s="4" t="s">
        <v>1068</v>
      </c>
      <c r="E455" s="4" t="s">
        <v>1069</v>
      </c>
      <c r="F455" s="4" t="s">
        <v>1070</v>
      </c>
    </row>
    <row r="456" spans="2:6" ht="60" x14ac:dyDescent="0.25">
      <c r="B456" s="4" t="s">
        <v>1071</v>
      </c>
      <c r="C456" s="5">
        <v>-4.10225602E+16</v>
      </c>
      <c r="D456" s="4" t="s">
        <v>1072</v>
      </c>
      <c r="E456" s="4" t="s">
        <v>1073</v>
      </c>
      <c r="F456" s="4" t="s">
        <v>1074</v>
      </c>
    </row>
    <row r="457" spans="2:6" ht="75" x14ac:dyDescent="0.25">
      <c r="B457" s="4" t="s">
        <v>1075</v>
      </c>
      <c r="C457" s="4" t="s">
        <v>1076</v>
      </c>
      <c r="D457" s="4" t="s">
        <v>1077</v>
      </c>
      <c r="E457" s="4" t="s">
        <v>1078</v>
      </c>
      <c r="F457" s="4" t="s">
        <v>1079</v>
      </c>
    </row>
    <row r="458" spans="2:6" ht="75" x14ac:dyDescent="0.25">
      <c r="B458" s="4" t="s">
        <v>1080</v>
      </c>
      <c r="C458" s="4">
        <v>-1</v>
      </c>
      <c r="D458" s="4">
        <v>0</v>
      </c>
      <c r="E458" s="4">
        <v>-1</v>
      </c>
      <c r="F458" s="4">
        <v>0</v>
      </c>
    </row>
    <row r="459" spans="2:6" ht="60" x14ac:dyDescent="0.25">
      <c r="B459" s="4" t="s">
        <v>1081</v>
      </c>
      <c r="C459" s="4">
        <v>0</v>
      </c>
      <c r="D459" s="4">
        <v>0</v>
      </c>
      <c r="E459" s="4">
        <v>0</v>
      </c>
      <c r="F459" s="4">
        <v>0</v>
      </c>
    </row>
    <row r="460" spans="2:6" ht="45" x14ac:dyDescent="0.25">
      <c r="B460" s="4" t="s">
        <v>1082</v>
      </c>
      <c r="C460" s="4">
        <v>-1</v>
      </c>
      <c r="D460" s="4">
        <v>0</v>
      </c>
      <c r="E460" s="4">
        <v>-1</v>
      </c>
      <c r="F460" s="4">
        <v>0</v>
      </c>
    </row>
    <row r="461" spans="2:6" ht="45" x14ac:dyDescent="0.25">
      <c r="B461" s="4" t="s">
        <v>1083</v>
      </c>
      <c r="C461" s="4">
        <v>2</v>
      </c>
      <c r="D461" s="4">
        <v>0</v>
      </c>
      <c r="E461" s="4">
        <v>1</v>
      </c>
      <c r="F461" s="4">
        <v>1</v>
      </c>
    </row>
    <row r="462" spans="2:6" ht="75" x14ac:dyDescent="0.25">
      <c r="B462" s="4" t="s">
        <v>1084</v>
      </c>
      <c r="C462" s="5">
        <v>-550376197599996</v>
      </c>
      <c r="D462" s="4" t="s">
        <v>1085</v>
      </c>
      <c r="E462" s="5">
        <v>-85891899996</v>
      </c>
      <c r="F462" s="4" t="s">
        <v>1086</v>
      </c>
    </row>
    <row r="463" spans="2:6" ht="105" x14ac:dyDescent="0.25">
      <c r="B463" s="4" t="s">
        <v>1087</v>
      </c>
      <c r="C463" s="4">
        <v>1547230</v>
      </c>
      <c r="D463" s="4">
        <v>75990</v>
      </c>
      <c r="E463" s="4">
        <v>437740</v>
      </c>
      <c r="F463" s="4">
        <v>1033500</v>
      </c>
    </row>
    <row r="464" spans="2:6" ht="60" x14ac:dyDescent="0.25">
      <c r="B464" s="4" t="s">
        <v>1088</v>
      </c>
      <c r="C464" s="4">
        <v>0</v>
      </c>
      <c r="D464" s="4">
        <v>0</v>
      </c>
      <c r="E464" s="4">
        <v>0</v>
      </c>
      <c r="F464" s="4">
        <v>0</v>
      </c>
    </row>
    <row r="465" spans="2:6" ht="105" x14ac:dyDescent="0.25">
      <c r="B465" s="4" t="s">
        <v>1089</v>
      </c>
      <c r="C465" s="4">
        <v>0</v>
      </c>
      <c r="D465" s="4">
        <v>0</v>
      </c>
      <c r="E465" s="4">
        <v>0</v>
      </c>
      <c r="F465" s="4">
        <v>0</v>
      </c>
    </row>
    <row r="466" spans="2:6" ht="90" x14ac:dyDescent="0.25">
      <c r="B466" s="4" t="s">
        <v>1090</v>
      </c>
      <c r="C466" s="4" t="s">
        <v>1091</v>
      </c>
      <c r="D466" s="4">
        <v>0</v>
      </c>
      <c r="E466" s="4" t="s">
        <v>1091</v>
      </c>
      <c r="F466" s="4">
        <v>0</v>
      </c>
    </row>
    <row r="467" spans="2:6" ht="75" x14ac:dyDescent="0.25">
      <c r="B467" s="4" t="s">
        <v>1092</v>
      </c>
      <c r="C467" s="4" t="s">
        <v>1093</v>
      </c>
      <c r="D467" s="4" t="s">
        <v>1094</v>
      </c>
      <c r="E467" s="4" t="s">
        <v>1095</v>
      </c>
      <c r="F467" s="4" t="s">
        <v>1096</v>
      </c>
    </row>
    <row r="468" spans="2:6" ht="45" x14ac:dyDescent="0.25">
      <c r="B468" s="4" t="s">
        <v>1097</v>
      </c>
      <c r="C468" s="5">
        <v>-3.7335211699999904E+16</v>
      </c>
      <c r="D468" s="4" t="s">
        <v>1098</v>
      </c>
      <c r="E468" s="4" t="s">
        <v>1099</v>
      </c>
      <c r="F468" s="4" t="s">
        <v>1100</v>
      </c>
    </row>
    <row r="469" spans="2:6" ht="105" x14ac:dyDescent="0.25">
      <c r="B469" s="4" t="s">
        <v>1101</v>
      </c>
      <c r="C469" s="4">
        <v>0</v>
      </c>
      <c r="D469" s="4">
        <v>0</v>
      </c>
      <c r="E469" s="4">
        <v>0</v>
      </c>
      <c r="F469" s="4">
        <v>0</v>
      </c>
    </row>
    <row r="470" spans="2:6" ht="75" x14ac:dyDescent="0.25">
      <c r="B470" s="4" t="s">
        <v>1102</v>
      </c>
      <c r="C470" s="4" t="s">
        <v>1103</v>
      </c>
      <c r="D470" s="4" t="s">
        <v>1104</v>
      </c>
      <c r="E470" s="4" t="s">
        <v>1105</v>
      </c>
      <c r="F470" s="4" t="s">
        <v>1106</v>
      </c>
    </row>
    <row r="471" spans="2:6" ht="120" x14ac:dyDescent="0.25">
      <c r="B471" s="4" t="s">
        <v>1107</v>
      </c>
      <c r="C471" s="5">
        <v>1.4765102E+16</v>
      </c>
      <c r="D471" s="4" t="s">
        <v>1108</v>
      </c>
      <c r="E471" s="4" t="s">
        <v>1109</v>
      </c>
      <c r="F471" s="4" t="s">
        <v>1110</v>
      </c>
    </row>
    <row r="472" spans="2:6" ht="105" x14ac:dyDescent="0.25">
      <c r="B472" s="4" t="s">
        <v>1111</v>
      </c>
      <c r="C472" s="4">
        <v>18500</v>
      </c>
      <c r="D472" s="4">
        <v>-42000</v>
      </c>
      <c r="E472" s="4">
        <v>115500</v>
      </c>
      <c r="F472" s="4">
        <v>-55000</v>
      </c>
    </row>
    <row r="473" spans="2:6" ht="105" x14ac:dyDescent="0.25">
      <c r="B473" s="4" t="s">
        <v>1112</v>
      </c>
      <c r="C473" s="4" t="s">
        <v>1113</v>
      </c>
      <c r="D473" s="4" t="s">
        <v>1114</v>
      </c>
      <c r="E473" s="4" t="s">
        <v>1115</v>
      </c>
      <c r="F473" s="4" t="s">
        <v>1116</v>
      </c>
    </row>
    <row r="474" spans="2:6" ht="75" x14ac:dyDescent="0.25">
      <c r="B474" s="4" t="s">
        <v>1117</v>
      </c>
      <c r="C474" s="4" t="s">
        <v>1118</v>
      </c>
      <c r="D474" s="4">
        <v>0</v>
      </c>
      <c r="E474" s="4">
        <v>0</v>
      </c>
      <c r="F474" s="4" t="s">
        <v>1118</v>
      </c>
    </row>
    <row r="475" spans="2:6" ht="105" x14ac:dyDescent="0.25">
      <c r="B475" s="4" t="s">
        <v>1119</v>
      </c>
      <c r="C475" s="4">
        <v>0</v>
      </c>
      <c r="D475" s="4">
        <v>0</v>
      </c>
      <c r="E475" s="4">
        <v>0</v>
      </c>
      <c r="F475" s="4">
        <v>0</v>
      </c>
    </row>
    <row r="476" spans="2:6" ht="45" x14ac:dyDescent="0.25">
      <c r="B476" s="4" t="s">
        <v>1120</v>
      </c>
      <c r="C476" s="4">
        <v>-5160000</v>
      </c>
      <c r="D476" s="4">
        <v>260000</v>
      </c>
      <c r="E476" s="4">
        <v>280000</v>
      </c>
      <c r="F476" s="4">
        <v>-5700000</v>
      </c>
    </row>
    <row r="477" spans="2:6" ht="60" x14ac:dyDescent="0.25">
      <c r="B477" s="4" t="s">
        <v>1121</v>
      </c>
      <c r="C477" s="4">
        <v>250000</v>
      </c>
      <c r="D477" s="4">
        <v>180000</v>
      </c>
      <c r="E477" s="4">
        <v>200000</v>
      </c>
      <c r="F477" s="4">
        <v>-130000</v>
      </c>
    </row>
    <row r="478" spans="2:6" ht="75" x14ac:dyDescent="0.25">
      <c r="B478" s="4" t="s">
        <v>1122</v>
      </c>
      <c r="C478" s="5">
        <v>69096205999999</v>
      </c>
      <c r="D478" s="4" t="s">
        <v>1123</v>
      </c>
      <c r="E478" s="5">
        <v>52325999999</v>
      </c>
      <c r="F478" s="4" t="s">
        <v>1124</v>
      </c>
    </row>
    <row r="479" spans="2:6" ht="105" x14ac:dyDescent="0.25">
      <c r="B479" s="4" t="s">
        <v>1125</v>
      </c>
      <c r="C479" s="4">
        <v>0</v>
      </c>
      <c r="D479" s="4">
        <v>0</v>
      </c>
      <c r="E479" s="4">
        <v>0</v>
      </c>
      <c r="F479" s="4">
        <v>0</v>
      </c>
    </row>
    <row r="480" spans="2:6" ht="60" x14ac:dyDescent="0.25">
      <c r="B480" s="4" t="s">
        <v>1126</v>
      </c>
      <c r="C480" s="4" t="s">
        <v>1127</v>
      </c>
      <c r="D480" s="4" t="s">
        <v>1128</v>
      </c>
      <c r="E480" s="4" t="s">
        <v>1129</v>
      </c>
      <c r="F480" s="4" t="s">
        <v>1130</v>
      </c>
    </row>
    <row r="481" spans="2:6" ht="75" x14ac:dyDescent="0.25">
      <c r="B481" s="4" t="s">
        <v>1131</v>
      </c>
      <c r="C481" s="4" t="s">
        <v>1132</v>
      </c>
      <c r="D481" s="4">
        <v>0</v>
      </c>
      <c r="E481" s="4">
        <v>0</v>
      </c>
      <c r="F481" s="4" t="s">
        <v>1132</v>
      </c>
    </row>
    <row r="482" spans="2:6" ht="45" x14ac:dyDescent="0.25">
      <c r="B482" s="4" t="s">
        <v>1133</v>
      </c>
      <c r="C482" s="4" t="s">
        <v>1134</v>
      </c>
      <c r="D482" s="4" t="s">
        <v>1135</v>
      </c>
      <c r="E482" s="4" t="s">
        <v>1136</v>
      </c>
      <c r="F482" s="4" t="s">
        <v>1137</v>
      </c>
    </row>
    <row r="483" spans="2:6" ht="60" x14ac:dyDescent="0.25">
      <c r="B483" s="4" t="s">
        <v>1138</v>
      </c>
      <c r="C483" s="5">
        <v>-2.17561199999999E+16</v>
      </c>
      <c r="D483" s="4">
        <v>19200</v>
      </c>
      <c r="E483" s="4" t="s">
        <v>1139</v>
      </c>
      <c r="F483" s="4" t="s">
        <v>1140</v>
      </c>
    </row>
    <row r="484" spans="2:6" ht="75" x14ac:dyDescent="0.25">
      <c r="B484" s="4" t="s">
        <v>1141</v>
      </c>
      <c r="C484" s="4">
        <v>0</v>
      </c>
      <c r="D484" s="4">
        <v>0</v>
      </c>
      <c r="E484" s="4">
        <v>0</v>
      </c>
      <c r="F484" s="4">
        <v>0</v>
      </c>
    </row>
    <row r="485" spans="2:6" ht="60" x14ac:dyDescent="0.25">
      <c r="B485" s="4" t="s">
        <v>1142</v>
      </c>
      <c r="C485" s="4">
        <v>0</v>
      </c>
      <c r="D485" s="4">
        <v>0</v>
      </c>
      <c r="E485" s="4">
        <v>0</v>
      </c>
      <c r="F485" s="4">
        <v>0</v>
      </c>
    </row>
    <row r="486" spans="2:6" ht="90" x14ac:dyDescent="0.25">
      <c r="B486" s="4" t="s">
        <v>1143</v>
      </c>
      <c r="C486" s="4" t="s">
        <v>1144</v>
      </c>
      <c r="D486" s="4">
        <v>0</v>
      </c>
      <c r="E486" s="4">
        <v>0</v>
      </c>
      <c r="F486" s="4" t="s">
        <v>1144</v>
      </c>
    </row>
    <row r="487" spans="2:6" ht="90" x14ac:dyDescent="0.25">
      <c r="B487" s="4" t="s">
        <v>1145</v>
      </c>
      <c r="C487" s="4" t="s">
        <v>1146</v>
      </c>
      <c r="D487" s="4" t="s">
        <v>1147</v>
      </c>
      <c r="E487" s="4" t="s">
        <v>1148</v>
      </c>
      <c r="F487" s="4" t="s">
        <v>1149</v>
      </c>
    </row>
    <row r="488" spans="2:6" ht="105" x14ac:dyDescent="0.25">
      <c r="B488" s="4" t="s">
        <v>1150</v>
      </c>
      <c r="C488" s="4">
        <v>0</v>
      </c>
      <c r="D488" s="4">
        <v>0</v>
      </c>
      <c r="E488" s="4">
        <v>0</v>
      </c>
      <c r="F488" s="4">
        <v>0</v>
      </c>
    </row>
    <row r="489" spans="2:6" ht="45" x14ac:dyDescent="0.25">
      <c r="B489" s="4" t="s">
        <v>1151</v>
      </c>
      <c r="C489" s="5">
        <v>2.499657883E+16</v>
      </c>
      <c r="D489" s="4" t="s">
        <v>1152</v>
      </c>
      <c r="E489" s="4">
        <v>-1612286</v>
      </c>
      <c r="F489" s="4" t="s">
        <v>1153</v>
      </c>
    </row>
    <row r="490" spans="2:6" ht="45" x14ac:dyDescent="0.25">
      <c r="B490" s="4" t="s">
        <v>1154</v>
      </c>
      <c r="C490" s="4">
        <v>0</v>
      </c>
      <c r="D490" s="4">
        <v>0</v>
      </c>
      <c r="E490" s="4">
        <v>0</v>
      </c>
      <c r="F490" s="4">
        <v>0</v>
      </c>
    </row>
    <row r="491" spans="2:6" ht="90" x14ac:dyDescent="0.25">
      <c r="B491" s="4" t="s">
        <v>1155</v>
      </c>
      <c r="C491" s="4" t="s">
        <v>1156</v>
      </c>
      <c r="D491" s="4">
        <v>0</v>
      </c>
      <c r="E491" s="4">
        <v>7000000</v>
      </c>
      <c r="F491" s="4" t="s">
        <v>1157</v>
      </c>
    </row>
    <row r="492" spans="2:6" ht="60" x14ac:dyDescent="0.25">
      <c r="B492" s="4" t="s">
        <v>1158</v>
      </c>
      <c r="C492" s="4" t="s">
        <v>1159</v>
      </c>
      <c r="D492" s="4">
        <v>-50400</v>
      </c>
      <c r="E492" s="4">
        <v>-34300</v>
      </c>
      <c r="F492" s="4" t="s">
        <v>1160</v>
      </c>
    </row>
    <row r="493" spans="2:6" ht="60" x14ac:dyDescent="0.25">
      <c r="B493" s="4" t="s">
        <v>1161</v>
      </c>
      <c r="C493" s="4">
        <v>0</v>
      </c>
      <c r="D493" s="4">
        <v>0</v>
      </c>
      <c r="E493" s="4">
        <v>0</v>
      </c>
      <c r="F493" s="4">
        <v>0</v>
      </c>
    </row>
    <row r="494" spans="2:6" ht="75" x14ac:dyDescent="0.25">
      <c r="B494" s="4" t="s">
        <v>1162</v>
      </c>
      <c r="C494" s="4">
        <v>0</v>
      </c>
      <c r="D494" s="4">
        <v>0</v>
      </c>
      <c r="E494" s="4">
        <v>0</v>
      </c>
      <c r="F494" s="4">
        <v>0</v>
      </c>
    </row>
    <row r="495" spans="2:6" ht="90" x14ac:dyDescent="0.25">
      <c r="B495" s="4" t="s">
        <v>1163</v>
      </c>
      <c r="C495" s="4" t="s">
        <v>1164</v>
      </c>
      <c r="D495" s="4" t="s">
        <v>1165</v>
      </c>
      <c r="E495" s="4" t="s">
        <v>1166</v>
      </c>
      <c r="F495" s="4" t="s">
        <v>1167</v>
      </c>
    </row>
    <row r="496" spans="2:6" ht="105" x14ac:dyDescent="0.25">
      <c r="B496" s="4" t="s">
        <v>1168</v>
      </c>
      <c r="C496" s="4">
        <v>0</v>
      </c>
      <c r="D496" s="4">
        <v>0</v>
      </c>
      <c r="E496" s="4">
        <v>0</v>
      </c>
      <c r="F496" s="4">
        <v>0</v>
      </c>
    </row>
    <row r="497" spans="2:6" ht="75" x14ac:dyDescent="0.25">
      <c r="B497" s="4" t="s">
        <v>1169</v>
      </c>
      <c r="C497" s="4">
        <v>0</v>
      </c>
      <c r="D497" s="4">
        <v>0</v>
      </c>
      <c r="E497" s="4">
        <v>0</v>
      </c>
      <c r="F497" s="4">
        <v>0</v>
      </c>
    </row>
    <row r="498" spans="2:6" ht="105" x14ac:dyDescent="0.25">
      <c r="B498" s="4" t="s">
        <v>1170</v>
      </c>
      <c r="C498" s="4">
        <v>145000</v>
      </c>
      <c r="D498" s="4">
        <v>45000</v>
      </c>
      <c r="E498" s="4">
        <v>100000</v>
      </c>
      <c r="F498" s="4">
        <v>0</v>
      </c>
    </row>
    <row r="499" spans="2:6" ht="45" x14ac:dyDescent="0.25">
      <c r="B499" s="4" t="s">
        <v>1171</v>
      </c>
      <c r="C499" s="4">
        <v>0</v>
      </c>
      <c r="D499" s="4">
        <v>0</v>
      </c>
      <c r="E499" s="4">
        <v>0</v>
      </c>
      <c r="F499" s="4">
        <v>0</v>
      </c>
    </row>
    <row r="500" spans="2:6" ht="60" x14ac:dyDescent="0.25">
      <c r="B500" s="4" t="s">
        <v>1172</v>
      </c>
      <c r="C500" s="4" t="s">
        <v>1173</v>
      </c>
      <c r="D500" s="4" t="s">
        <v>1174</v>
      </c>
      <c r="E500" s="4" t="s">
        <v>1175</v>
      </c>
      <c r="F500" s="4" t="s">
        <v>1176</v>
      </c>
    </row>
    <row r="501" spans="2:6" ht="75" x14ac:dyDescent="0.25">
      <c r="B501" s="4" t="s">
        <v>1177</v>
      </c>
      <c r="C501" s="4">
        <v>0</v>
      </c>
      <c r="D501" s="4">
        <v>0</v>
      </c>
      <c r="E501" s="4">
        <v>0</v>
      </c>
      <c r="F501" s="4">
        <v>0</v>
      </c>
    </row>
    <row r="502" spans="2:6" ht="60" x14ac:dyDescent="0.25">
      <c r="B502" s="4" t="s">
        <v>1178</v>
      </c>
      <c r="C502" s="4">
        <v>0</v>
      </c>
      <c r="D502" s="4">
        <v>0</v>
      </c>
      <c r="E502" s="4">
        <v>0</v>
      </c>
      <c r="F502" s="4">
        <v>0</v>
      </c>
    </row>
    <row r="503" spans="2:6" ht="105" x14ac:dyDescent="0.25">
      <c r="B503" s="4" t="s">
        <v>1179</v>
      </c>
      <c r="C503" s="4">
        <v>848000</v>
      </c>
      <c r="D503" s="4">
        <v>237000</v>
      </c>
      <c r="E503" s="4">
        <v>303000</v>
      </c>
      <c r="F503" s="4">
        <v>308000</v>
      </c>
    </row>
    <row r="504" spans="2:6" ht="75" x14ac:dyDescent="0.25">
      <c r="B504" s="4" t="s">
        <v>1180</v>
      </c>
      <c r="C504" s="4">
        <v>1577000</v>
      </c>
      <c r="D504" s="4">
        <v>51000</v>
      </c>
      <c r="E504" s="4">
        <v>100000</v>
      </c>
      <c r="F504" s="4">
        <v>1426000</v>
      </c>
    </row>
    <row r="505" spans="2:6" ht="90" x14ac:dyDescent="0.25">
      <c r="B505" s="4" t="s">
        <v>1181</v>
      </c>
      <c r="C505" s="4">
        <v>0</v>
      </c>
      <c r="D505" s="4">
        <v>0</v>
      </c>
      <c r="E505" s="4">
        <v>0</v>
      </c>
      <c r="F505" s="4">
        <v>0</v>
      </c>
    </row>
    <row r="506" spans="2:6" ht="75" x14ac:dyDescent="0.25">
      <c r="B506" s="4" t="s">
        <v>1182</v>
      </c>
      <c r="C506" s="4">
        <v>7894000</v>
      </c>
      <c r="D506" s="4">
        <v>8837000</v>
      </c>
      <c r="E506" s="4">
        <v>-3611000</v>
      </c>
      <c r="F506" s="4">
        <v>2668000</v>
      </c>
    </row>
    <row r="507" spans="2:6" ht="60" x14ac:dyDescent="0.25">
      <c r="B507" s="4" t="s">
        <v>1183</v>
      </c>
      <c r="C507" s="4" t="s">
        <v>1184</v>
      </c>
      <c r="D507" s="4">
        <v>216595</v>
      </c>
      <c r="E507" s="4" t="s">
        <v>1185</v>
      </c>
      <c r="F507" s="4">
        <v>0</v>
      </c>
    </row>
    <row r="508" spans="2:6" ht="75" x14ac:dyDescent="0.25">
      <c r="B508" s="4" t="s">
        <v>1186</v>
      </c>
      <c r="C508" s="4" t="s">
        <v>1187</v>
      </c>
      <c r="D508" s="4" t="s">
        <v>1188</v>
      </c>
      <c r="E508" s="4">
        <v>459389</v>
      </c>
      <c r="F508" s="4" t="s">
        <v>1189</v>
      </c>
    </row>
    <row r="509" spans="2:6" ht="105" x14ac:dyDescent="0.25">
      <c r="B509" s="4" t="s">
        <v>1190</v>
      </c>
      <c r="C509" s="4">
        <v>0</v>
      </c>
      <c r="D509" s="4">
        <v>0</v>
      </c>
      <c r="E509" s="4">
        <v>0</v>
      </c>
      <c r="F509" s="4">
        <v>0</v>
      </c>
    </row>
    <row r="510" spans="2:6" ht="120" x14ac:dyDescent="0.25">
      <c r="B510" s="4" t="s">
        <v>1191</v>
      </c>
      <c r="C510" s="4">
        <v>0</v>
      </c>
      <c r="D510" s="4">
        <v>0</v>
      </c>
      <c r="E510" s="4">
        <v>0</v>
      </c>
      <c r="F510" s="4">
        <v>0</v>
      </c>
    </row>
    <row r="511" spans="2:6" ht="60" x14ac:dyDescent="0.25">
      <c r="B511" s="4" t="s">
        <v>1192</v>
      </c>
      <c r="C511" s="4">
        <v>0</v>
      </c>
      <c r="D511" s="4">
        <v>0</v>
      </c>
      <c r="E511" s="4">
        <v>0</v>
      </c>
      <c r="F511" s="4">
        <v>0</v>
      </c>
    </row>
    <row r="512" spans="2:6" ht="60" x14ac:dyDescent="0.25">
      <c r="B512" s="4" t="s">
        <v>1193</v>
      </c>
      <c r="C512" s="4">
        <v>0</v>
      </c>
      <c r="D512" s="4">
        <v>0</v>
      </c>
      <c r="E512" s="4">
        <v>0</v>
      </c>
      <c r="F512" s="4">
        <v>0</v>
      </c>
    </row>
    <row r="513" spans="2:6" ht="75" x14ac:dyDescent="0.25">
      <c r="B513" s="4" t="s">
        <v>1194</v>
      </c>
      <c r="C513" s="4" t="s">
        <v>1195</v>
      </c>
      <c r="D513" s="4" t="s">
        <v>1195</v>
      </c>
      <c r="E513" s="4">
        <v>0</v>
      </c>
      <c r="F513" s="4"/>
    </row>
    <row r="514" spans="2:6" ht="60" x14ac:dyDescent="0.25">
      <c r="B514" s="4" t="s">
        <v>1196</v>
      </c>
      <c r="C514" s="4" t="s">
        <v>1197</v>
      </c>
      <c r="D514" s="4" t="s">
        <v>1198</v>
      </c>
      <c r="E514" s="4" t="s">
        <v>1199</v>
      </c>
      <c r="F514" s="4" t="s">
        <v>1200</v>
      </c>
    </row>
    <row r="515" spans="2:6" ht="60" x14ac:dyDescent="0.25">
      <c r="B515" s="4" t="s">
        <v>1201</v>
      </c>
      <c r="C515" s="4" t="s">
        <v>1202</v>
      </c>
      <c r="D515" s="4" t="s">
        <v>1203</v>
      </c>
      <c r="E515" s="4" t="s">
        <v>1204</v>
      </c>
      <c r="F515" s="4" t="s">
        <v>1205</v>
      </c>
    </row>
    <row r="516" spans="2:6" ht="75" x14ac:dyDescent="0.25">
      <c r="B516" s="4" t="s">
        <v>1206</v>
      </c>
      <c r="C516" s="4" t="s">
        <v>1207</v>
      </c>
      <c r="D516" s="4" t="s">
        <v>1208</v>
      </c>
      <c r="E516" s="4" t="s">
        <v>1209</v>
      </c>
      <c r="F516" s="4" t="s">
        <v>1210</v>
      </c>
    </row>
    <row r="517" spans="2:6" ht="75" x14ac:dyDescent="0.25">
      <c r="B517" s="4" t="s">
        <v>1211</v>
      </c>
      <c r="C517" s="4" t="s">
        <v>1212</v>
      </c>
      <c r="D517" s="4">
        <v>0</v>
      </c>
      <c r="E517" s="4">
        <v>0</v>
      </c>
      <c r="F517" s="4" t="s">
        <v>1212</v>
      </c>
    </row>
    <row r="518" spans="2:6" ht="60" x14ac:dyDescent="0.25">
      <c r="B518" s="4" t="s">
        <v>1213</v>
      </c>
      <c r="C518" s="4" t="s">
        <v>1214</v>
      </c>
      <c r="D518" s="4" t="s">
        <v>1215</v>
      </c>
      <c r="E518" s="4" t="s">
        <v>1216</v>
      </c>
      <c r="F518" s="4" t="s">
        <v>1217</v>
      </c>
    </row>
    <row r="519" spans="2:6" ht="60" x14ac:dyDescent="0.25">
      <c r="B519" s="4" t="s">
        <v>1218</v>
      </c>
      <c r="C519" s="4">
        <v>0</v>
      </c>
      <c r="D519" s="4">
        <v>0</v>
      </c>
      <c r="E519" s="4">
        <v>0</v>
      </c>
      <c r="F519" s="4">
        <v>0</v>
      </c>
    </row>
    <row r="520" spans="2:6" ht="90" x14ac:dyDescent="0.25">
      <c r="B520" s="4" t="s">
        <v>1219</v>
      </c>
      <c r="C520" s="4" t="s">
        <v>1220</v>
      </c>
      <c r="D520" s="4" t="s">
        <v>1221</v>
      </c>
      <c r="E520" s="4" t="s">
        <v>1222</v>
      </c>
      <c r="F520" s="4" t="s">
        <v>1223</v>
      </c>
    </row>
    <row r="521" spans="2:6" ht="120" x14ac:dyDescent="0.25">
      <c r="B521" s="4" t="s">
        <v>1224</v>
      </c>
      <c r="C521" s="4">
        <v>0</v>
      </c>
      <c r="D521" s="4">
        <v>0</v>
      </c>
      <c r="E521" s="4">
        <v>0</v>
      </c>
      <c r="F521" s="4">
        <v>0</v>
      </c>
    </row>
    <row r="522" spans="2:6" ht="105" x14ac:dyDescent="0.25">
      <c r="B522" s="4" t="s">
        <v>1225</v>
      </c>
      <c r="C522" s="4">
        <v>-129750</v>
      </c>
      <c r="D522" s="4">
        <v>0</v>
      </c>
      <c r="E522" s="4">
        <v>-136650</v>
      </c>
      <c r="F522" s="4">
        <v>6900</v>
      </c>
    </row>
    <row r="523" spans="2:6" ht="105" x14ac:dyDescent="0.25">
      <c r="B523" s="4" t="s">
        <v>1226</v>
      </c>
      <c r="C523" s="5">
        <v>6965862799999990</v>
      </c>
      <c r="D523" s="4" t="s">
        <v>1227</v>
      </c>
      <c r="E523" s="4" t="s">
        <v>1228</v>
      </c>
      <c r="F523" s="4" t="s">
        <v>1229</v>
      </c>
    </row>
    <row r="524" spans="2:6" ht="120" x14ac:dyDescent="0.25">
      <c r="B524" s="4" t="s">
        <v>1230</v>
      </c>
      <c r="C524" s="4">
        <v>0</v>
      </c>
      <c r="D524" s="4">
        <v>0</v>
      </c>
      <c r="E524" s="4">
        <v>0</v>
      </c>
      <c r="F524" s="4">
        <v>0</v>
      </c>
    </row>
    <row r="525" spans="2:6" ht="105" x14ac:dyDescent="0.25">
      <c r="B525" s="4" t="s">
        <v>1231</v>
      </c>
      <c r="C525" s="5">
        <v>-1.304495744E+16</v>
      </c>
      <c r="D525" s="4"/>
      <c r="E525" s="4" t="s">
        <v>1232</v>
      </c>
      <c r="F525" s="4" t="s">
        <v>1233</v>
      </c>
    </row>
    <row r="526" spans="2:6" ht="60" x14ac:dyDescent="0.25">
      <c r="B526" s="4" t="s">
        <v>1234</v>
      </c>
      <c r="C526" s="5">
        <v>8311729424000000</v>
      </c>
      <c r="D526" s="4" t="s">
        <v>1235</v>
      </c>
      <c r="E526" s="4" t="s">
        <v>1236</v>
      </c>
      <c r="F526" s="4"/>
    </row>
    <row r="527" spans="2:6" ht="90" x14ac:dyDescent="0.25">
      <c r="B527" s="4" t="s">
        <v>1237</v>
      </c>
      <c r="C527" s="4" t="s">
        <v>1238</v>
      </c>
      <c r="D527" s="4" t="s">
        <v>1239</v>
      </c>
      <c r="E527" s="4" t="s">
        <v>1240</v>
      </c>
      <c r="F527" s="4" t="s">
        <v>1241</v>
      </c>
    </row>
    <row r="528" spans="2:6" ht="90" x14ac:dyDescent="0.25">
      <c r="B528" s="4" t="s">
        <v>1242</v>
      </c>
      <c r="C528" s="4">
        <v>2145800</v>
      </c>
      <c r="D528" s="4">
        <v>449000</v>
      </c>
      <c r="E528" s="4">
        <v>567000</v>
      </c>
      <c r="F528" s="4">
        <v>1129800</v>
      </c>
    </row>
    <row r="529" spans="2:6" ht="60" x14ac:dyDescent="0.25">
      <c r="B529" s="4" t="s">
        <v>1243</v>
      </c>
      <c r="C529" s="5">
        <v>8005516529999990</v>
      </c>
      <c r="D529" s="4" t="s">
        <v>1244</v>
      </c>
      <c r="E529" s="4" t="s">
        <v>1245</v>
      </c>
      <c r="F529" s="4" t="s">
        <v>1246</v>
      </c>
    </row>
    <row r="530" spans="2:6" ht="60" x14ac:dyDescent="0.25">
      <c r="B530" s="4" t="s">
        <v>1247</v>
      </c>
      <c r="C530" s="4">
        <v>0</v>
      </c>
      <c r="D530" s="4">
        <v>0</v>
      </c>
      <c r="E530" s="4">
        <v>0</v>
      </c>
      <c r="F530" s="4">
        <v>0</v>
      </c>
    </row>
    <row r="531" spans="2:6" ht="75" x14ac:dyDescent="0.25">
      <c r="B531" s="4" t="s">
        <v>1248</v>
      </c>
      <c r="C531" s="5">
        <v>-2.79741205E+16</v>
      </c>
      <c r="D531" s="4" t="s">
        <v>1249</v>
      </c>
      <c r="E531" s="4" t="s">
        <v>1250</v>
      </c>
      <c r="F531" s="4" t="s">
        <v>1251</v>
      </c>
    </row>
    <row r="532" spans="2:6" ht="60" x14ac:dyDescent="0.25">
      <c r="B532" s="4" t="s">
        <v>1252</v>
      </c>
      <c r="C532" s="4" t="s">
        <v>1253</v>
      </c>
      <c r="D532" s="4" t="s">
        <v>1254</v>
      </c>
      <c r="E532" s="4" t="s">
        <v>1255</v>
      </c>
      <c r="F532" s="4" t="s">
        <v>1256</v>
      </c>
    </row>
    <row r="533" spans="2:6" ht="105" x14ac:dyDescent="0.25">
      <c r="B533" s="4" t="s">
        <v>1257</v>
      </c>
      <c r="C533" s="4">
        <v>0</v>
      </c>
      <c r="D533" s="4">
        <v>0</v>
      </c>
      <c r="E533" s="4">
        <v>0</v>
      </c>
      <c r="F533" s="4">
        <v>0</v>
      </c>
    </row>
    <row r="534" spans="2:6" ht="90" x14ac:dyDescent="0.25">
      <c r="B534" s="4" t="s">
        <v>1258</v>
      </c>
      <c r="C534" s="4">
        <v>925000</v>
      </c>
      <c r="D534" s="4">
        <v>480000</v>
      </c>
      <c r="E534" s="4">
        <v>445000</v>
      </c>
      <c r="F534" s="4">
        <v>0</v>
      </c>
    </row>
    <row r="535" spans="2:6" ht="60" x14ac:dyDescent="0.25">
      <c r="B535" s="4" t="s">
        <v>1259</v>
      </c>
      <c r="C535" s="4">
        <v>0</v>
      </c>
      <c r="D535" s="4">
        <v>0</v>
      </c>
      <c r="E535" s="4">
        <v>0</v>
      </c>
      <c r="F535" s="4">
        <v>0</v>
      </c>
    </row>
    <row r="536" spans="2:6" ht="60" x14ac:dyDescent="0.25">
      <c r="B536" s="4" t="s">
        <v>1260</v>
      </c>
      <c r="C536" s="4">
        <v>0</v>
      </c>
      <c r="D536" s="4"/>
      <c r="E536" s="4">
        <v>0</v>
      </c>
      <c r="F536" s="4">
        <v>0</v>
      </c>
    </row>
    <row r="537" spans="2:6" ht="75" x14ac:dyDescent="0.25">
      <c r="B537" s="4" t="s">
        <v>1261</v>
      </c>
      <c r="C537" s="4">
        <v>0</v>
      </c>
      <c r="D537" s="4">
        <v>0</v>
      </c>
      <c r="E537" s="4">
        <v>0</v>
      </c>
      <c r="F537" s="4">
        <v>0</v>
      </c>
    </row>
    <row r="538" spans="2:6" ht="45" x14ac:dyDescent="0.25">
      <c r="B538" s="4" t="s">
        <v>1262</v>
      </c>
      <c r="C538" s="4" t="s">
        <v>1263</v>
      </c>
      <c r="D538" s="4" t="s">
        <v>1264</v>
      </c>
      <c r="E538" s="4">
        <v>140000</v>
      </c>
      <c r="F538" s="4" t="s">
        <v>1265</v>
      </c>
    </row>
    <row r="539" spans="2:6" ht="105" x14ac:dyDescent="0.25">
      <c r="B539" s="4" t="s">
        <v>1266</v>
      </c>
      <c r="C539" s="4">
        <v>-2233000</v>
      </c>
      <c r="D539" s="4">
        <v>-152000</v>
      </c>
      <c r="E539" s="4">
        <v>0</v>
      </c>
      <c r="F539" s="4">
        <v>-2081000</v>
      </c>
    </row>
    <row r="540" spans="2:6" ht="90" x14ac:dyDescent="0.25">
      <c r="B540" s="4" t="s">
        <v>1267</v>
      </c>
      <c r="C540" s="4">
        <v>-2476000</v>
      </c>
      <c r="D540" s="4">
        <v>-800000</v>
      </c>
      <c r="E540" s="4">
        <v>-195000</v>
      </c>
      <c r="F540" s="4">
        <v>-1481000</v>
      </c>
    </row>
    <row r="541" spans="2:6" ht="75" x14ac:dyDescent="0.25">
      <c r="B541" s="4" t="s">
        <v>1268</v>
      </c>
      <c r="C541" s="4">
        <v>0</v>
      </c>
      <c r="D541" s="4">
        <v>0</v>
      </c>
      <c r="E541" s="4">
        <v>0</v>
      </c>
      <c r="F541" s="4">
        <v>0</v>
      </c>
    </row>
    <row r="542" spans="2:6" ht="60" x14ac:dyDescent="0.25">
      <c r="B542" s="4" t="s">
        <v>1269</v>
      </c>
      <c r="C542" s="4">
        <v>0</v>
      </c>
      <c r="D542" s="4">
        <v>0</v>
      </c>
      <c r="E542" s="4">
        <v>0</v>
      </c>
      <c r="F542" s="4">
        <v>0</v>
      </c>
    </row>
    <row r="543" spans="2:6" ht="45" x14ac:dyDescent="0.25">
      <c r="B543" s="4" t="s">
        <v>1270</v>
      </c>
      <c r="C543" s="4">
        <v>0</v>
      </c>
      <c r="D543" s="4">
        <v>0</v>
      </c>
      <c r="E543" s="4">
        <v>0</v>
      </c>
      <c r="F543" s="4">
        <v>0</v>
      </c>
    </row>
    <row r="544" spans="2:6" ht="75" x14ac:dyDescent="0.25">
      <c r="B544" s="4" t="s">
        <v>1271</v>
      </c>
      <c r="C544" s="5">
        <v>2.520206652E+16</v>
      </c>
      <c r="D544" s="4" t="s">
        <v>1272</v>
      </c>
      <c r="E544" s="4" t="s">
        <v>1273</v>
      </c>
      <c r="F544" s="4" t="s">
        <v>1274</v>
      </c>
    </row>
    <row r="545" spans="2:6" ht="60" x14ac:dyDescent="0.25">
      <c r="B545" s="4" t="s">
        <v>1275</v>
      </c>
      <c r="C545" s="4">
        <v>0</v>
      </c>
      <c r="D545" s="4">
        <v>0</v>
      </c>
      <c r="E545" s="4">
        <v>0</v>
      </c>
      <c r="F545" s="4">
        <v>0</v>
      </c>
    </row>
    <row r="546" spans="2:6" ht="90" x14ac:dyDescent="0.25">
      <c r="B546" s="4" t="s">
        <v>1276</v>
      </c>
      <c r="C546" s="4">
        <v>0</v>
      </c>
      <c r="D546" s="4">
        <v>0</v>
      </c>
      <c r="E546" s="4">
        <v>0</v>
      </c>
      <c r="F546" s="4">
        <v>0</v>
      </c>
    </row>
    <row r="547" spans="2:6" ht="75" x14ac:dyDescent="0.25">
      <c r="B547" s="4" t="s">
        <v>1277</v>
      </c>
      <c r="C547" s="4">
        <v>0</v>
      </c>
      <c r="D547" s="4">
        <v>0</v>
      </c>
      <c r="E547" s="4">
        <v>0</v>
      </c>
      <c r="F547" s="4">
        <v>0</v>
      </c>
    </row>
    <row r="548" spans="2:6" ht="45" x14ac:dyDescent="0.25">
      <c r="B548" s="4" t="s">
        <v>1278</v>
      </c>
      <c r="C548" s="4">
        <v>0</v>
      </c>
      <c r="D548" s="4">
        <v>0</v>
      </c>
      <c r="E548" s="4">
        <v>0</v>
      </c>
      <c r="F548" s="4">
        <v>0</v>
      </c>
    </row>
    <row r="549" spans="2:6" ht="75" x14ac:dyDescent="0.25">
      <c r="B549" s="4" t="s">
        <v>1279</v>
      </c>
      <c r="C549" s="4">
        <v>120000</v>
      </c>
      <c r="D549" s="4">
        <v>0</v>
      </c>
      <c r="E549" s="4">
        <v>120000</v>
      </c>
      <c r="F549" s="4">
        <v>0</v>
      </c>
    </row>
    <row r="550" spans="2:6" ht="75" x14ac:dyDescent="0.25">
      <c r="B550" s="4" t="s">
        <v>1280</v>
      </c>
      <c r="C550" s="4">
        <v>0</v>
      </c>
      <c r="D550" s="4">
        <v>0</v>
      </c>
      <c r="E550" s="4">
        <v>0</v>
      </c>
      <c r="F550" s="4">
        <v>0</v>
      </c>
    </row>
    <row r="551" spans="2:6" ht="90" x14ac:dyDescent="0.25">
      <c r="B551" s="4" t="s">
        <v>1281</v>
      </c>
      <c r="C551" s="4">
        <v>0</v>
      </c>
      <c r="D551" s="4">
        <v>0</v>
      </c>
      <c r="E551" s="4">
        <v>0</v>
      </c>
      <c r="F551" s="4">
        <v>0</v>
      </c>
    </row>
    <row r="552" spans="2:6" ht="75" x14ac:dyDescent="0.25">
      <c r="B552" s="4" t="s">
        <v>1282</v>
      </c>
      <c r="C552" s="4">
        <v>-400000</v>
      </c>
      <c r="D552" s="4">
        <v>0</v>
      </c>
      <c r="E552" s="4">
        <v>0</v>
      </c>
      <c r="F552" s="4">
        <v>-400000</v>
      </c>
    </row>
    <row r="553" spans="2:6" ht="60" x14ac:dyDescent="0.25">
      <c r="B553" s="4" t="s">
        <v>1283</v>
      </c>
      <c r="C553" s="4">
        <v>-82419</v>
      </c>
      <c r="D553" s="4" t="s">
        <v>1284</v>
      </c>
      <c r="E553" s="4" t="s">
        <v>1285</v>
      </c>
      <c r="F553" s="4" t="s">
        <v>1286</v>
      </c>
    </row>
    <row r="554" spans="2:6" ht="135" x14ac:dyDescent="0.25">
      <c r="B554" s="4" t="s">
        <v>1287</v>
      </c>
      <c r="C554" s="4">
        <v>0</v>
      </c>
      <c r="D554" s="4">
        <v>0</v>
      </c>
      <c r="E554" s="4">
        <v>0</v>
      </c>
      <c r="F554" s="4">
        <v>0</v>
      </c>
    </row>
    <row r="555" spans="2:6" ht="105" x14ac:dyDescent="0.25">
      <c r="B555" s="4" t="s">
        <v>1288</v>
      </c>
      <c r="C555" s="4" t="s">
        <v>1289</v>
      </c>
      <c r="D555" s="4" t="s">
        <v>1290</v>
      </c>
      <c r="E555" s="4" t="s">
        <v>1291</v>
      </c>
      <c r="F555" s="4" t="s">
        <v>1292</v>
      </c>
    </row>
    <row r="556" spans="2:6" ht="60" x14ac:dyDescent="0.25">
      <c r="B556" s="4" t="s">
        <v>1293</v>
      </c>
      <c r="C556" s="4" t="s">
        <v>1294</v>
      </c>
      <c r="D556" s="4" t="s">
        <v>1295</v>
      </c>
      <c r="E556" s="4" t="s">
        <v>1296</v>
      </c>
      <c r="F556" s="4" t="s">
        <v>1297</v>
      </c>
    </row>
    <row r="557" spans="2:6" ht="75" x14ac:dyDescent="0.25">
      <c r="B557" s="4" t="s">
        <v>1298</v>
      </c>
      <c r="C557" s="4" t="s">
        <v>1299</v>
      </c>
      <c r="D557" s="4" t="s">
        <v>1300</v>
      </c>
      <c r="E557" s="4" t="s">
        <v>1301</v>
      </c>
      <c r="F557" s="4">
        <v>0</v>
      </c>
    </row>
    <row r="558" spans="2:6" ht="75" x14ac:dyDescent="0.25">
      <c r="B558" s="4" t="s">
        <v>1302</v>
      </c>
      <c r="C558" s="4" t="s">
        <v>1303</v>
      </c>
      <c r="D558" s="4" t="s">
        <v>1304</v>
      </c>
      <c r="E558" s="4" t="s">
        <v>1305</v>
      </c>
      <c r="F558" s="4" t="s">
        <v>1306</v>
      </c>
    </row>
    <row r="559" spans="2:6" ht="75" x14ac:dyDescent="0.25">
      <c r="B559" s="4" t="s">
        <v>1307</v>
      </c>
      <c r="C559" s="4">
        <v>0</v>
      </c>
      <c r="D559" s="4">
        <v>0</v>
      </c>
      <c r="E559" s="4">
        <v>0</v>
      </c>
      <c r="F559" s="4">
        <v>0</v>
      </c>
    </row>
    <row r="560" spans="2:6" ht="75" x14ac:dyDescent="0.25">
      <c r="B560" s="4" t="s">
        <v>1308</v>
      </c>
      <c r="C560" s="4">
        <v>3353273</v>
      </c>
      <c r="D560" s="4" t="s">
        <v>1309</v>
      </c>
      <c r="E560" s="4" t="s">
        <v>1310</v>
      </c>
      <c r="F560" s="4" t="s">
        <v>1311</v>
      </c>
    </row>
    <row r="561" spans="2:6" ht="90" x14ac:dyDescent="0.25">
      <c r="B561" s="4" t="s">
        <v>1312</v>
      </c>
      <c r="C561" s="4" t="s">
        <v>1313</v>
      </c>
      <c r="D561" s="4">
        <v>0</v>
      </c>
      <c r="E561" s="4" t="s">
        <v>1313</v>
      </c>
      <c r="F561" s="4">
        <v>0</v>
      </c>
    </row>
    <row r="562" spans="2:6" ht="75" x14ac:dyDescent="0.25">
      <c r="B562" s="4" t="s">
        <v>1314</v>
      </c>
      <c r="C562" s="4" t="s">
        <v>1315</v>
      </c>
      <c r="D562" s="4">
        <v>172</v>
      </c>
      <c r="E562" s="4" t="s">
        <v>1316</v>
      </c>
      <c r="F562" s="4" t="s">
        <v>1317</v>
      </c>
    </row>
    <row r="563" spans="2:6" ht="90" x14ac:dyDescent="0.25">
      <c r="B563" s="4" t="s">
        <v>1318</v>
      </c>
      <c r="C563" s="4">
        <v>0</v>
      </c>
      <c r="D563" s="4">
        <v>0</v>
      </c>
      <c r="E563" s="4">
        <v>0</v>
      </c>
      <c r="F563" s="4">
        <v>0</v>
      </c>
    </row>
    <row r="564" spans="2:6" ht="90" x14ac:dyDescent="0.25">
      <c r="B564" s="4" t="s">
        <v>1319</v>
      </c>
      <c r="C564" s="4">
        <v>0</v>
      </c>
      <c r="D564" s="4">
        <v>0</v>
      </c>
      <c r="E564" s="4">
        <v>0</v>
      </c>
      <c r="F564" s="4">
        <v>0</v>
      </c>
    </row>
    <row r="565" spans="2:6" ht="105" x14ac:dyDescent="0.25">
      <c r="B565" s="4" t="s">
        <v>1320</v>
      </c>
      <c r="C565" s="4">
        <v>0</v>
      </c>
      <c r="D565" s="4">
        <v>0</v>
      </c>
      <c r="E565" s="4">
        <v>0</v>
      </c>
      <c r="F565" s="4">
        <v>0</v>
      </c>
    </row>
    <row r="566" spans="2:6" ht="60" x14ac:dyDescent="0.25">
      <c r="B566" s="4" t="s">
        <v>1321</v>
      </c>
      <c r="C566" s="4">
        <v>0</v>
      </c>
      <c r="D566" s="4">
        <v>0</v>
      </c>
      <c r="E566" s="4">
        <v>0</v>
      </c>
      <c r="F566" s="4">
        <v>0</v>
      </c>
    </row>
    <row r="567" spans="2:6" ht="75" x14ac:dyDescent="0.25">
      <c r="B567" s="4" t="s">
        <v>1322</v>
      </c>
      <c r="C567" s="4" t="s">
        <v>1323</v>
      </c>
      <c r="D567" s="4">
        <v>0</v>
      </c>
      <c r="E567" s="4">
        <v>0</v>
      </c>
      <c r="F567" s="4" t="s">
        <v>1323</v>
      </c>
    </row>
    <row r="568" spans="2:6" ht="60" x14ac:dyDescent="0.25">
      <c r="B568" s="4" t="s">
        <v>1324</v>
      </c>
      <c r="C568" s="4">
        <v>-3000000</v>
      </c>
      <c r="D568" s="4">
        <v>0</v>
      </c>
      <c r="E568" s="4">
        <v>0</v>
      </c>
      <c r="F568" s="4">
        <v>-3000000</v>
      </c>
    </row>
    <row r="569" spans="2:6" ht="75" x14ac:dyDescent="0.25">
      <c r="B569" s="4" t="s">
        <v>1325</v>
      </c>
      <c r="C569" s="4" t="s">
        <v>1326</v>
      </c>
      <c r="D569" s="4">
        <v>0</v>
      </c>
      <c r="E569" s="4" t="s">
        <v>1326</v>
      </c>
      <c r="F569" s="4">
        <v>0</v>
      </c>
    </row>
    <row r="570" spans="2:6" ht="75" x14ac:dyDescent="0.25">
      <c r="B570" s="4" t="s">
        <v>1327</v>
      </c>
      <c r="C570" s="4">
        <v>0</v>
      </c>
      <c r="D570" s="4">
        <v>0</v>
      </c>
      <c r="E570" s="4">
        <v>0</v>
      </c>
      <c r="F570" s="4">
        <v>0</v>
      </c>
    </row>
    <row r="571" spans="2:6" ht="75" x14ac:dyDescent="0.25">
      <c r="B571" s="4" t="s">
        <v>1328</v>
      </c>
      <c r="C571" s="4">
        <v>0</v>
      </c>
      <c r="D571" s="4">
        <v>0</v>
      </c>
      <c r="E571" s="4">
        <v>0</v>
      </c>
      <c r="F571" s="4">
        <v>0</v>
      </c>
    </row>
    <row r="572" spans="2:6" ht="120" x14ac:dyDescent="0.25">
      <c r="B572" s="4" t="s">
        <v>1329</v>
      </c>
      <c r="C572" s="4">
        <v>0</v>
      </c>
      <c r="D572" s="4">
        <v>0</v>
      </c>
      <c r="E572" s="4">
        <v>0</v>
      </c>
      <c r="F572" s="4">
        <v>0</v>
      </c>
    </row>
    <row r="573" spans="2:6" ht="120" x14ac:dyDescent="0.25">
      <c r="B573" s="4" t="s">
        <v>1330</v>
      </c>
      <c r="C573" s="4" t="s">
        <v>1331</v>
      </c>
      <c r="D573" s="4" t="s">
        <v>1332</v>
      </c>
      <c r="E573" s="4" t="s">
        <v>1332</v>
      </c>
      <c r="F573" s="4">
        <v>0</v>
      </c>
    </row>
    <row r="574" spans="2:6" ht="120" x14ac:dyDescent="0.25">
      <c r="B574" s="4" t="s">
        <v>1333</v>
      </c>
      <c r="C574" s="4">
        <v>-1556000</v>
      </c>
      <c r="D574" s="4">
        <v>-928000</v>
      </c>
      <c r="E574" s="4">
        <v>-260000</v>
      </c>
      <c r="F574" s="4">
        <v>-368000</v>
      </c>
    </row>
    <row r="575" spans="2:6" ht="75" x14ac:dyDescent="0.25">
      <c r="B575" s="4" t="s">
        <v>1334</v>
      </c>
      <c r="C575" s="4" t="s">
        <v>1335</v>
      </c>
      <c r="D575" s="4" t="s">
        <v>1336</v>
      </c>
      <c r="E575" s="4" t="s">
        <v>1337</v>
      </c>
      <c r="F575" s="4" t="s">
        <v>1338</v>
      </c>
    </row>
    <row r="576" spans="2:6" ht="105" x14ac:dyDescent="0.25">
      <c r="B576" s="4" t="s">
        <v>1339</v>
      </c>
      <c r="C576" s="4">
        <v>951100</v>
      </c>
      <c r="D576" s="4">
        <v>890000</v>
      </c>
      <c r="E576" s="4">
        <v>15000</v>
      </c>
      <c r="F576" s="4">
        <v>46100</v>
      </c>
    </row>
    <row r="577" spans="2:6" ht="135" x14ac:dyDescent="0.25">
      <c r="B577" s="4" t="s">
        <v>1340</v>
      </c>
      <c r="C577" s="4">
        <v>951100</v>
      </c>
      <c r="D577" s="4">
        <v>890000</v>
      </c>
      <c r="E577" s="4">
        <v>15000</v>
      </c>
      <c r="F577" s="4">
        <v>46100</v>
      </c>
    </row>
    <row r="578" spans="2:6" ht="60" x14ac:dyDescent="0.25">
      <c r="B578" s="4" t="s">
        <v>1341</v>
      </c>
      <c r="C578" s="4">
        <v>0</v>
      </c>
      <c r="D578" s="4">
        <v>0</v>
      </c>
      <c r="E578" s="4">
        <v>0</v>
      </c>
      <c r="F578" s="4">
        <v>0</v>
      </c>
    </row>
    <row r="579" spans="2:6" ht="120" x14ac:dyDescent="0.25">
      <c r="B579" s="4" t="s">
        <v>1342</v>
      </c>
      <c r="C579" s="4" t="s">
        <v>1343</v>
      </c>
      <c r="D579" s="4">
        <v>0</v>
      </c>
      <c r="E579" s="4">
        <v>0</v>
      </c>
      <c r="F579" s="4" t="s">
        <v>1343</v>
      </c>
    </row>
    <row r="580" spans="2:6" ht="120" x14ac:dyDescent="0.25">
      <c r="B580" s="4" t="s">
        <v>1344</v>
      </c>
      <c r="C580" s="5">
        <v>1.73440745E+16</v>
      </c>
      <c r="D580" s="4" t="s">
        <v>1345</v>
      </c>
      <c r="E580" s="4" t="s">
        <v>1346</v>
      </c>
      <c r="F580" s="4" t="s">
        <v>1347</v>
      </c>
    </row>
    <row r="581" spans="2:6" ht="105" x14ac:dyDescent="0.25">
      <c r="B581" s="4" t="s">
        <v>1348</v>
      </c>
      <c r="C581" s="5">
        <v>-7223152400000000</v>
      </c>
      <c r="D581" s="4" t="s">
        <v>1349</v>
      </c>
      <c r="E581" s="4" t="s">
        <v>1346</v>
      </c>
      <c r="F581" s="4" t="s">
        <v>1350</v>
      </c>
    </row>
    <row r="582" spans="2:6" ht="90" x14ac:dyDescent="0.25">
      <c r="B582" s="4" t="s">
        <v>1351</v>
      </c>
      <c r="C582" s="4" t="s">
        <v>1352</v>
      </c>
      <c r="D582" s="4" t="s">
        <v>1353</v>
      </c>
      <c r="E582" s="4" t="s">
        <v>1354</v>
      </c>
      <c r="F582" s="4" t="s">
        <v>1355</v>
      </c>
    </row>
    <row r="583" spans="2:6" ht="105" x14ac:dyDescent="0.25">
      <c r="B583" s="4" t="s">
        <v>1356</v>
      </c>
      <c r="C583" s="4">
        <v>0</v>
      </c>
      <c r="D583" s="4">
        <v>0</v>
      </c>
      <c r="E583" s="4">
        <v>0</v>
      </c>
      <c r="F583" s="4">
        <v>0</v>
      </c>
    </row>
    <row r="584" spans="2:6" ht="105" x14ac:dyDescent="0.25">
      <c r="B584" s="4" t="s">
        <v>1357</v>
      </c>
      <c r="C584" s="4" t="s">
        <v>1358</v>
      </c>
      <c r="D584" s="4" t="s">
        <v>1359</v>
      </c>
      <c r="E584" s="4" t="s">
        <v>1360</v>
      </c>
      <c r="F584" s="4" t="s">
        <v>1361</v>
      </c>
    </row>
    <row r="585" spans="2:6" ht="60" x14ac:dyDescent="0.25">
      <c r="B585" s="4" t="s">
        <v>1362</v>
      </c>
      <c r="C585" s="4">
        <v>100</v>
      </c>
      <c r="D585" s="4">
        <v>0</v>
      </c>
      <c r="E585" s="4">
        <v>100</v>
      </c>
      <c r="F585" s="4">
        <v>0</v>
      </c>
    </row>
    <row r="586" spans="2:6" ht="75" x14ac:dyDescent="0.25">
      <c r="B586" s="4" t="s">
        <v>1363</v>
      </c>
      <c r="C586" s="4" t="s">
        <v>1364</v>
      </c>
      <c r="D586" s="4">
        <v>-2004400</v>
      </c>
      <c r="E586" s="4">
        <v>0</v>
      </c>
      <c r="F586" s="4" t="s">
        <v>1365</v>
      </c>
    </row>
    <row r="587" spans="2:6" ht="90" x14ac:dyDescent="0.25">
      <c r="B587" s="4" t="s">
        <v>1366</v>
      </c>
      <c r="C587" s="4" t="s">
        <v>1367</v>
      </c>
      <c r="D587" s="4">
        <v>-1400</v>
      </c>
      <c r="E587" s="4" t="s">
        <v>1368</v>
      </c>
      <c r="F587" s="4">
        <v>0</v>
      </c>
    </row>
    <row r="588" spans="2:6" ht="75" x14ac:dyDescent="0.25">
      <c r="B588" s="4" t="s">
        <v>1369</v>
      </c>
      <c r="C588" s="4" t="s">
        <v>1370</v>
      </c>
      <c r="D588" s="4">
        <v>-1442100</v>
      </c>
      <c r="E588" s="4">
        <v>0</v>
      </c>
      <c r="F588" s="4" t="s">
        <v>1371</v>
      </c>
    </row>
    <row r="589" spans="2:6" ht="90" x14ac:dyDescent="0.25">
      <c r="B589" s="4" t="s">
        <v>1372</v>
      </c>
      <c r="C589" s="4" t="s">
        <v>1373</v>
      </c>
      <c r="D589" s="4">
        <v>-577100</v>
      </c>
      <c r="E589" s="4">
        <v>0</v>
      </c>
      <c r="F589" s="4" t="s">
        <v>1374</v>
      </c>
    </row>
    <row r="590" spans="2:6" ht="75" x14ac:dyDescent="0.25">
      <c r="B590" s="4" t="s">
        <v>1375</v>
      </c>
      <c r="C590" s="4">
        <v>0</v>
      </c>
      <c r="D590" s="4">
        <v>0</v>
      </c>
      <c r="E590" s="4">
        <v>0</v>
      </c>
      <c r="F590" s="4">
        <v>0</v>
      </c>
    </row>
    <row r="591" spans="2:6" ht="75" x14ac:dyDescent="0.25">
      <c r="B591" s="4" t="s">
        <v>1376</v>
      </c>
      <c r="C591" s="4" t="s">
        <v>1377</v>
      </c>
      <c r="D591" s="4" t="s">
        <v>1378</v>
      </c>
      <c r="E591" s="4" t="s">
        <v>1379</v>
      </c>
      <c r="F591" s="4" t="s">
        <v>1380</v>
      </c>
    </row>
    <row r="592" spans="2:6" ht="75" x14ac:dyDescent="0.25">
      <c r="B592" s="4" t="s">
        <v>1381</v>
      </c>
      <c r="C592" s="4" t="s">
        <v>1382</v>
      </c>
      <c r="D592" s="4" t="s">
        <v>1383</v>
      </c>
      <c r="E592" s="4" t="s">
        <v>1384</v>
      </c>
      <c r="F592" s="4" t="s">
        <v>1385</v>
      </c>
    </row>
    <row r="593" spans="2:6" ht="75" x14ac:dyDescent="0.25">
      <c r="B593" s="4" t="s">
        <v>1386</v>
      </c>
      <c r="C593" s="4" t="s">
        <v>1387</v>
      </c>
      <c r="D593" s="4" t="s">
        <v>1388</v>
      </c>
      <c r="E593" s="4" t="s">
        <v>1389</v>
      </c>
      <c r="F593" s="4" t="s">
        <v>1390</v>
      </c>
    </row>
    <row r="594" spans="2:6" ht="75" x14ac:dyDescent="0.25">
      <c r="B594" s="4" t="s">
        <v>1391</v>
      </c>
      <c r="C594" s="4" t="s">
        <v>1392</v>
      </c>
      <c r="D594" s="4">
        <v>21965400</v>
      </c>
      <c r="E594" s="4" t="s">
        <v>1393</v>
      </c>
      <c r="F594" s="4">
        <v>-1004600</v>
      </c>
    </row>
    <row r="595" spans="2:6" ht="120" x14ac:dyDescent="0.25">
      <c r="B595" s="4" t="s">
        <v>1394</v>
      </c>
      <c r="C595" s="4">
        <v>0</v>
      </c>
      <c r="D595" s="4">
        <v>0</v>
      </c>
      <c r="E595" s="4">
        <v>0</v>
      </c>
      <c r="F595" s="4">
        <v>0</v>
      </c>
    </row>
    <row r="596" spans="2:6" ht="120" x14ac:dyDescent="0.25">
      <c r="B596" s="4" t="s">
        <v>1395</v>
      </c>
      <c r="C596" s="4">
        <v>0</v>
      </c>
      <c r="D596" s="4">
        <v>0</v>
      </c>
      <c r="E596" s="4">
        <v>0</v>
      </c>
      <c r="F596" s="4">
        <v>0</v>
      </c>
    </row>
    <row r="597" spans="2:6" ht="90" x14ac:dyDescent="0.25">
      <c r="B597" s="4" t="s">
        <v>1396</v>
      </c>
      <c r="C597" s="4" t="s">
        <v>1397</v>
      </c>
      <c r="D597" s="4" t="s">
        <v>1398</v>
      </c>
      <c r="E597" s="4" t="s">
        <v>1399</v>
      </c>
      <c r="F597" s="4" t="s">
        <v>1400</v>
      </c>
    </row>
    <row r="598" spans="2:6" ht="60" x14ac:dyDescent="0.25">
      <c r="B598" s="4" t="s">
        <v>1401</v>
      </c>
      <c r="C598" s="4">
        <v>-2000000</v>
      </c>
      <c r="D598" s="4">
        <v>0</v>
      </c>
      <c r="E598" s="4">
        <v>-2000000</v>
      </c>
      <c r="F598" s="4">
        <v>0</v>
      </c>
    </row>
    <row r="599" spans="2:6" ht="60" x14ac:dyDescent="0.25">
      <c r="B599" s="4" t="s">
        <v>1402</v>
      </c>
      <c r="C599" s="4">
        <v>5000000</v>
      </c>
      <c r="D599" s="4">
        <v>0</v>
      </c>
      <c r="E599" s="4">
        <v>5000000</v>
      </c>
      <c r="F599" s="4">
        <v>0</v>
      </c>
    </row>
    <row r="600" spans="2:6" ht="90" x14ac:dyDescent="0.25">
      <c r="B600" s="4" t="s">
        <v>1403</v>
      </c>
      <c r="C600" s="4" t="s">
        <v>1404</v>
      </c>
      <c r="D600" s="4" t="s">
        <v>1405</v>
      </c>
      <c r="E600" s="4" t="s">
        <v>1406</v>
      </c>
      <c r="F600" s="4" t="s">
        <v>1407</v>
      </c>
    </row>
    <row r="601" spans="2:6" ht="60" x14ac:dyDescent="0.25">
      <c r="B601" s="4" t="s">
        <v>1408</v>
      </c>
      <c r="C601" s="4" t="s">
        <v>1409</v>
      </c>
      <c r="D601" s="4" t="s">
        <v>1410</v>
      </c>
      <c r="E601" s="4" t="s">
        <v>1411</v>
      </c>
      <c r="F601" s="4" t="s">
        <v>1412</v>
      </c>
    </row>
    <row r="602" spans="2:6" ht="105" x14ac:dyDescent="0.25">
      <c r="B602" s="4" t="s">
        <v>1413</v>
      </c>
      <c r="C602" s="4" t="s">
        <v>1414</v>
      </c>
      <c r="D602" s="4" t="s">
        <v>1414</v>
      </c>
      <c r="E602" s="4">
        <v>0</v>
      </c>
      <c r="F602" s="4">
        <v>0</v>
      </c>
    </row>
    <row r="603" spans="2:6" ht="105" x14ac:dyDescent="0.25">
      <c r="B603" s="4" t="s">
        <v>1415</v>
      </c>
      <c r="C603" s="4" t="s">
        <v>1416</v>
      </c>
      <c r="D603" s="4">
        <v>-1882200</v>
      </c>
      <c r="E603" s="4">
        <v>0</v>
      </c>
      <c r="F603" s="4" t="s">
        <v>1417</v>
      </c>
    </row>
    <row r="604" spans="2:6" ht="105" x14ac:dyDescent="0.25">
      <c r="B604" s="4" t="s">
        <v>1418</v>
      </c>
      <c r="C604" s="5">
        <v>3.31360459999999E+16</v>
      </c>
      <c r="D604" s="4" t="s">
        <v>1419</v>
      </c>
      <c r="E604" s="4" t="s">
        <v>1420</v>
      </c>
      <c r="F604" s="4">
        <v>435000</v>
      </c>
    </row>
    <row r="605" spans="2:6" ht="120" x14ac:dyDescent="0.25">
      <c r="B605" s="4" t="s">
        <v>1421</v>
      </c>
      <c r="C605" s="4" t="s">
        <v>1422</v>
      </c>
      <c r="D605" s="4">
        <v>-159300</v>
      </c>
      <c r="E605" s="4" t="s">
        <v>1420</v>
      </c>
      <c r="F605" s="4" t="s">
        <v>1423</v>
      </c>
    </row>
    <row r="606" spans="2:6" ht="90" x14ac:dyDescent="0.25">
      <c r="B606" s="4" t="s">
        <v>1424</v>
      </c>
      <c r="C606" s="4" t="s">
        <v>1425</v>
      </c>
      <c r="D606" s="4" t="s">
        <v>1426</v>
      </c>
      <c r="E606" s="4" t="s">
        <v>1427</v>
      </c>
      <c r="F606" s="4" t="s">
        <v>1428</v>
      </c>
    </row>
    <row r="607" spans="2:6" ht="105" x14ac:dyDescent="0.25">
      <c r="B607" s="4" t="s">
        <v>1429</v>
      </c>
      <c r="C607" s="4" t="s">
        <v>1430</v>
      </c>
      <c r="D607" s="4">
        <v>-88400</v>
      </c>
      <c r="E607" s="4" t="s">
        <v>1431</v>
      </c>
      <c r="F607" s="4" t="s">
        <v>1432</v>
      </c>
    </row>
    <row r="608" spans="2:6" ht="75" x14ac:dyDescent="0.25">
      <c r="B608" s="4" t="s">
        <v>1433</v>
      </c>
      <c r="C608" s="4">
        <v>0</v>
      </c>
      <c r="D608" s="4">
        <v>0</v>
      </c>
      <c r="E608" s="4">
        <v>0</v>
      </c>
      <c r="F608" s="4">
        <v>0</v>
      </c>
    </row>
    <row r="609" spans="2:6" ht="105" x14ac:dyDescent="0.25">
      <c r="B609" s="4" t="s">
        <v>1434</v>
      </c>
      <c r="C609" s="4">
        <v>0</v>
      </c>
      <c r="D609" s="4">
        <v>0</v>
      </c>
      <c r="E609" s="4">
        <v>0</v>
      </c>
      <c r="F609" s="4">
        <v>0</v>
      </c>
    </row>
    <row r="610" spans="2:6" ht="105" x14ac:dyDescent="0.25">
      <c r="B610" s="4" t="s">
        <v>1435</v>
      </c>
      <c r="C610" s="4">
        <v>0</v>
      </c>
      <c r="D610" s="4">
        <v>0</v>
      </c>
      <c r="E610" s="4">
        <v>0</v>
      </c>
      <c r="F610" s="4">
        <v>0</v>
      </c>
    </row>
    <row r="611" spans="2:6" ht="75" x14ac:dyDescent="0.25">
      <c r="B611" s="4" t="s">
        <v>1436</v>
      </c>
      <c r="C611" s="5">
        <v>-4.5668917989999904E+16</v>
      </c>
      <c r="D611" s="4" t="s">
        <v>1437</v>
      </c>
      <c r="E611" s="4" t="s">
        <v>1438</v>
      </c>
      <c r="F611" s="4" t="s">
        <v>1439</v>
      </c>
    </row>
    <row r="612" spans="2:6" ht="60" x14ac:dyDescent="0.25">
      <c r="B612" s="4" t="s">
        <v>1440</v>
      </c>
      <c r="C612" s="4" t="s">
        <v>1441</v>
      </c>
      <c r="D612" s="4" t="s">
        <v>1442</v>
      </c>
      <c r="E612" s="4" t="s">
        <v>1443</v>
      </c>
      <c r="F612" s="4" t="s">
        <v>1444</v>
      </c>
    </row>
    <row r="613" spans="2:6" ht="75" x14ac:dyDescent="0.25">
      <c r="B613" s="4" t="s">
        <v>1445</v>
      </c>
      <c r="C613" s="4" t="s">
        <v>1446</v>
      </c>
      <c r="D613" s="4">
        <v>-382000</v>
      </c>
      <c r="E613" s="4" t="s">
        <v>1447</v>
      </c>
      <c r="F613" s="4" t="s">
        <v>1448</v>
      </c>
    </row>
    <row r="614" spans="2:6" ht="60" x14ac:dyDescent="0.25">
      <c r="B614" s="4" t="s">
        <v>1449</v>
      </c>
      <c r="C614" s="5">
        <v>1.99252191E+16</v>
      </c>
      <c r="D614" s="4" t="s">
        <v>1450</v>
      </c>
      <c r="E614" s="4" t="s">
        <v>1451</v>
      </c>
      <c r="F614" s="4" t="s">
        <v>1452</v>
      </c>
    </row>
    <row r="615" spans="2:6" ht="45" x14ac:dyDescent="0.25">
      <c r="B615" s="4" t="s">
        <v>1453</v>
      </c>
      <c r="C615" s="4" t="s">
        <v>1454</v>
      </c>
      <c r="D615" s="4">
        <v>0</v>
      </c>
      <c r="E615" s="4" t="s">
        <v>1455</v>
      </c>
      <c r="F615" s="4" t="s">
        <v>1456</v>
      </c>
    </row>
    <row r="616" spans="2:6" ht="105" x14ac:dyDescent="0.25">
      <c r="B616" s="4" t="s">
        <v>1457</v>
      </c>
      <c r="C616" s="4">
        <v>0</v>
      </c>
      <c r="D616" s="4">
        <v>0</v>
      </c>
      <c r="E616" s="4">
        <v>0</v>
      </c>
      <c r="F616" s="4">
        <v>0</v>
      </c>
    </row>
    <row r="617" spans="2:6" ht="105" x14ac:dyDescent="0.25">
      <c r="B617" s="4" t="s">
        <v>1458</v>
      </c>
      <c r="C617" s="4">
        <v>0</v>
      </c>
      <c r="D617" s="4">
        <v>0</v>
      </c>
      <c r="E617" s="4">
        <v>0</v>
      </c>
      <c r="F617" s="4">
        <v>0</v>
      </c>
    </row>
    <row r="618" spans="2:6" ht="105" x14ac:dyDescent="0.25">
      <c r="B618" s="4" t="s">
        <v>1459</v>
      </c>
      <c r="C618" s="4">
        <v>0</v>
      </c>
      <c r="D618" s="4">
        <v>0</v>
      </c>
      <c r="E618" s="4">
        <v>0</v>
      </c>
      <c r="F618" s="4">
        <v>0</v>
      </c>
    </row>
    <row r="619" spans="2:6" ht="90" x14ac:dyDescent="0.25">
      <c r="B619" s="4" t="s">
        <v>1460</v>
      </c>
      <c r="C619" s="5">
        <v>-4917501859999990</v>
      </c>
      <c r="D619" s="4" t="s">
        <v>1461</v>
      </c>
      <c r="E619" s="4" t="s">
        <v>1462</v>
      </c>
      <c r="F619" s="4" t="s">
        <v>1463</v>
      </c>
    </row>
    <row r="620" spans="2:6" ht="105" x14ac:dyDescent="0.25">
      <c r="B620" s="4" t="s">
        <v>1464</v>
      </c>
      <c r="C620" s="4">
        <v>-4210000</v>
      </c>
      <c r="D620" s="4">
        <v>-3850000</v>
      </c>
      <c r="E620" s="4">
        <v>120000</v>
      </c>
      <c r="F620" s="4">
        <v>-480000</v>
      </c>
    </row>
    <row r="621" spans="2:6" ht="105" x14ac:dyDescent="0.25">
      <c r="B621" s="4" t="s">
        <v>1465</v>
      </c>
      <c r="C621" s="4" t="s">
        <v>1466</v>
      </c>
      <c r="D621" s="4" t="s">
        <v>1467</v>
      </c>
      <c r="E621" s="4" t="s">
        <v>1468</v>
      </c>
      <c r="F621" s="4" t="s">
        <v>1469</v>
      </c>
    </row>
    <row r="622" spans="2:6" ht="75" x14ac:dyDescent="0.25">
      <c r="B622" s="4" t="s">
        <v>1470</v>
      </c>
      <c r="C622" s="4" t="s">
        <v>1471</v>
      </c>
      <c r="D622" s="4">
        <v>0</v>
      </c>
      <c r="E622" s="4">
        <v>0</v>
      </c>
      <c r="F622" s="4" t="s">
        <v>1471</v>
      </c>
    </row>
    <row r="623" spans="2:6" ht="75" x14ac:dyDescent="0.25">
      <c r="B623" s="4" t="s">
        <v>1472</v>
      </c>
      <c r="C623" s="4">
        <v>0</v>
      </c>
      <c r="D623" s="4">
        <v>0</v>
      </c>
      <c r="E623" s="4">
        <v>0</v>
      </c>
      <c r="F623" s="4">
        <v>0</v>
      </c>
    </row>
    <row r="624" spans="2:6" ht="90" x14ac:dyDescent="0.25">
      <c r="B624" s="4" t="s">
        <v>1473</v>
      </c>
      <c r="C624" s="4" t="s">
        <v>1474</v>
      </c>
      <c r="D624" s="4">
        <v>0</v>
      </c>
      <c r="E624" s="4" t="s">
        <v>1475</v>
      </c>
      <c r="F624" s="4" t="s">
        <v>1476</v>
      </c>
    </row>
    <row r="625" spans="2:6" ht="90" x14ac:dyDescent="0.25">
      <c r="B625" s="4" t="s">
        <v>1477</v>
      </c>
      <c r="C625" s="4">
        <v>-1250000</v>
      </c>
      <c r="D625" s="4">
        <v>0</v>
      </c>
      <c r="E625" s="4">
        <v>-1250000</v>
      </c>
      <c r="F625" s="4">
        <v>0</v>
      </c>
    </row>
    <row r="626" spans="2:6" ht="120" x14ac:dyDescent="0.25">
      <c r="B626" s="4" t="s">
        <v>1478</v>
      </c>
      <c r="C626" s="4">
        <v>0</v>
      </c>
      <c r="D626" s="4">
        <v>0</v>
      </c>
      <c r="E626" s="4">
        <v>0</v>
      </c>
      <c r="F626" s="4">
        <v>0</v>
      </c>
    </row>
    <row r="627" spans="2:6" ht="75" x14ac:dyDescent="0.25">
      <c r="B627" s="4" t="s">
        <v>1479</v>
      </c>
      <c r="C627" s="4" t="s">
        <v>1480</v>
      </c>
      <c r="D627" s="4" t="s">
        <v>1481</v>
      </c>
      <c r="E627" s="4" t="s">
        <v>1482</v>
      </c>
      <c r="F627" s="4" t="s">
        <v>1483</v>
      </c>
    </row>
    <row r="628" spans="2:6" ht="60" x14ac:dyDescent="0.25">
      <c r="B628" s="4" t="s">
        <v>1484</v>
      </c>
      <c r="C628" s="4">
        <v>0</v>
      </c>
      <c r="D628" s="4">
        <v>0</v>
      </c>
      <c r="E628" s="4">
        <v>0</v>
      </c>
      <c r="F628" s="4">
        <v>0</v>
      </c>
    </row>
    <row r="629" spans="2:6" ht="30" x14ac:dyDescent="0.25">
      <c r="B629" s="4" t="s">
        <v>1485</v>
      </c>
      <c r="C629" s="5">
        <v>-2.57558399999999E+16</v>
      </c>
      <c r="D629" s="4" t="s">
        <v>1486</v>
      </c>
      <c r="E629" s="4" t="s">
        <v>1487</v>
      </c>
      <c r="F629" s="4" t="s">
        <v>1488</v>
      </c>
    </row>
    <row r="630" spans="2:6" ht="105" x14ac:dyDescent="0.25">
      <c r="B630" s="4" t="s">
        <v>1489</v>
      </c>
      <c r="C630" s="4">
        <v>0</v>
      </c>
      <c r="D630" s="4">
        <v>0</v>
      </c>
      <c r="E630" s="4">
        <v>0</v>
      </c>
      <c r="F630" s="4">
        <v>0</v>
      </c>
    </row>
    <row r="631" spans="2:6" ht="105" x14ac:dyDescent="0.25">
      <c r="B631" s="4" t="s">
        <v>1490</v>
      </c>
      <c r="C631" s="4">
        <v>0</v>
      </c>
      <c r="D631" s="4">
        <v>0</v>
      </c>
      <c r="E631" s="4">
        <v>0</v>
      </c>
      <c r="F631" s="4">
        <v>0</v>
      </c>
    </row>
    <row r="632" spans="2:6" ht="75" x14ac:dyDescent="0.25">
      <c r="B632" s="4" t="s">
        <v>1491</v>
      </c>
      <c r="C632" s="5">
        <v>-3471104999999990</v>
      </c>
      <c r="D632" s="4">
        <v>10000</v>
      </c>
      <c r="E632" s="4" t="s">
        <v>1492</v>
      </c>
      <c r="F632" s="4" t="s">
        <v>1493</v>
      </c>
    </row>
    <row r="633" spans="2:6" ht="60" x14ac:dyDescent="0.25">
      <c r="B633" s="4" t="s">
        <v>1494</v>
      </c>
      <c r="C633" s="4">
        <v>0</v>
      </c>
      <c r="D633" s="4">
        <v>0</v>
      </c>
      <c r="E633" s="4">
        <v>0</v>
      </c>
      <c r="F633" s="4">
        <v>0</v>
      </c>
    </row>
    <row r="634" spans="2:6" ht="60" x14ac:dyDescent="0.25">
      <c r="B634" s="4" t="s">
        <v>1495</v>
      </c>
      <c r="C634" s="4" t="s">
        <v>1496</v>
      </c>
      <c r="D634" s="4">
        <v>0</v>
      </c>
      <c r="E634" s="4">
        <v>0</v>
      </c>
      <c r="F634" s="4" t="s">
        <v>1496</v>
      </c>
    </row>
    <row r="635" spans="2:6" ht="45" x14ac:dyDescent="0.25">
      <c r="B635" s="4" t="s">
        <v>1497</v>
      </c>
      <c r="C635" s="4" t="s">
        <v>1498</v>
      </c>
      <c r="D635" s="4" t="s">
        <v>1499</v>
      </c>
      <c r="E635" s="4" t="s">
        <v>1500</v>
      </c>
      <c r="F635" s="4">
        <v>0</v>
      </c>
    </row>
    <row r="636" spans="2:6" ht="60" x14ac:dyDescent="0.25">
      <c r="B636" s="4" t="s">
        <v>1501</v>
      </c>
      <c r="C636" s="4" t="s">
        <v>1502</v>
      </c>
      <c r="D636" s="4" t="s">
        <v>1502</v>
      </c>
      <c r="E636" s="4">
        <v>0</v>
      </c>
      <c r="F636" s="4">
        <v>0</v>
      </c>
    </row>
    <row r="637" spans="2:6" ht="60" x14ac:dyDescent="0.25">
      <c r="B637" s="4" t="s">
        <v>1503</v>
      </c>
      <c r="C637" s="4">
        <v>0</v>
      </c>
      <c r="D637" s="4">
        <v>0</v>
      </c>
      <c r="E637" s="4">
        <v>0</v>
      </c>
      <c r="F637" s="4">
        <v>0</v>
      </c>
    </row>
    <row r="638" spans="2:6" ht="60" x14ac:dyDescent="0.25">
      <c r="B638" s="4" t="s">
        <v>1504</v>
      </c>
      <c r="C638" s="4" t="s">
        <v>1505</v>
      </c>
      <c r="D638" s="4" t="s">
        <v>1506</v>
      </c>
      <c r="E638" s="4" t="s">
        <v>1507</v>
      </c>
      <c r="F638" s="4" t="s">
        <v>1508</v>
      </c>
    </row>
    <row r="639" spans="2:6" ht="60" x14ac:dyDescent="0.25">
      <c r="B639" s="4" t="s">
        <v>1509</v>
      </c>
      <c r="C639" s="4">
        <v>0</v>
      </c>
      <c r="D639" s="4">
        <v>0</v>
      </c>
      <c r="E639" s="4">
        <v>0</v>
      </c>
      <c r="F639" s="4">
        <v>0</v>
      </c>
    </row>
    <row r="640" spans="2:6" ht="120" x14ac:dyDescent="0.25">
      <c r="B640" s="4" t="s">
        <v>1510</v>
      </c>
      <c r="C640" s="5">
        <v>-1.9503468E+16</v>
      </c>
      <c r="D640" s="4" t="s">
        <v>1511</v>
      </c>
      <c r="E640" s="4" t="s">
        <v>1512</v>
      </c>
      <c r="F640" s="4" t="s">
        <v>1513</v>
      </c>
    </row>
    <row r="641" spans="2:6" ht="105" x14ac:dyDescent="0.25">
      <c r="B641" s="4" t="s">
        <v>1514</v>
      </c>
      <c r="C641" s="4">
        <v>-208583</v>
      </c>
      <c r="D641" s="4">
        <v>275000</v>
      </c>
      <c r="E641" s="4">
        <v>160000</v>
      </c>
      <c r="F641" s="4">
        <v>-643583</v>
      </c>
    </row>
    <row r="642" spans="2:6" ht="90" x14ac:dyDescent="0.25">
      <c r="B642" s="4" t="s">
        <v>1515</v>
      </c>
      <c r="C642" s="4">
        <v>-7174381</v>
      </c>
      <c r="D642" s="4">
        <v>0</v>
      </c>
      <c r="E642" s="4">
        <v>0</v>
      </c>
      <c r="F642" s="4">
        <v>-7174381</v>
      </c>
    </row>
    <row r="643" spans="2:6" ht="105" x14ac:dyDescent="0.25">
      <c r="B643" s="4" t="s">
        <v>1516</v>
      </c>
      <c r="C643" s="4">
        <v>-33715852</v>
      </c>
      <c r="D643" s="4">
        <v>-35273614</v>
      </c>
      <c r="E643" s="4">
        <v>390000</v>
      </c>
      <c r="F643" s="4">
        <v>1167762</v>
      </c>
    </row>
    <row r="644" spans="2:6" ht="90" x14ac:dyDescent="0.25">
      <c r="B644" s="4" t="s">
        <v>1517</v>
      </c>
      <c r="C644" s="4">
        <v>-2573099</v>
      </c>
      <c r="D644" s="4">
        <v>-1534464</v>
      </c>
      <c r="E644" s="4">
        <v>-417198</v>
      </c>
      <c r="F644" s="4">
        <v>-621437</v>
      </c>
    </row>
    <row r="645" spans="2:6" ht="105" x14ac:dyDescent="0.25">
      <c r="B645" s="4" t="s">
        <v>1518</v>
      </c>
      <c r="C645" s="4">
        <v>0</v>
      </c>
      <c r="D645" s="4">
        <v>0</v>
      </c>
      <c r="E645" s="4">
        <v>0</v>
      </c>
      <c r="F645" s="4">
        <v>0</v>
      </c>
    </row>
    <row r="646" spans="2:6" ht="75" x14ac:dyDescent="0.25">
      <c r="B646" s="4" t="s">
        <v>1519</v>
      </c>
      <c r="C646" s="5">
        <v>49085320900003</v>
      </c>
      <c r="D646" s="5">
        <v>32444300003</v>
      </c>
      <c r="E646" s="4" t="s">
        <v>1520</v>
      </c>
      <c r="F646" s="4" t="s">
        <v>1521</v>
      </c>
    </row>
    <row r="647" spans="2:6" ht="105" x14ac:dyDescent="0.25">
      <c r="B647" s="4" t="s">
        <v>1522</v>
      </c>
      <c r="C647" s="4" t="s">
        <v>1523</v>
      </c>
      <c r="D647" s="4">
        <v>-7448</v>
      </c>
      <c r="E647" s="4">
        <v>-912</v>
      </c>
      <c r="F647" s="4" t="s">
        <v>1524</v>
      </c>
    </row>
    <row r="648" spans="2:6" ht="60" x14ac:dyDescent="0.25">
      <c r="B648" s="4" t="s">
        <v>1525</v>
      </c>
      <c r="C648" s="4">
        <v>0</v>
      </c>
      <c r="D648" s="4">
        <v>0</v>
      </c>
      <c r="E648" s="4">
        <v>0</v>
      </c>
      <c r="F648" s="4">
        <v>0</v>
      </c>
    </row>
    <row r="649" spans="2:6" ht="60" x14ac:dyDescent="0.25">
      <c r="B649" s="4" t="s">
        <v>1526</v>
      </c>
      <c r="C649" s="4">
        <v>5434396</v>
      </c>
      <c r="D649" s="4">
        <v>2366752</v>
      </c>
      <c r="E649" s="4">
        <v>1712559</v>
      </c>
      <c r="F649" s="4">
        <v>1355085</v>
      </c>
    </row>
    <row r="650" spans="2:6" ht="90" x14ac:dyDescent="0.25">
      <c r="B650" s="4" t="s">
        <v>1527</v>
      </c>
      <c r="C650" s="4">
        <v>-364497</v>
      </c>
      <c r="D650" s="4">
        <v>3000</v>
      </c>
      <c r="E650" s="4">
        <v>-31291</v>
      </c>
      <c r="F650" s="4">
        <v>-336206</v>
      </c>
    </row>
    <row r="651" spans="2:6" ht="75" x14ac:dyDescent="0.25">
      <c r="B651" s="4" t="s">
        <v>1528</v>
      </c>
      <c r="C651" s="4">
        <v>1680026</v>
      </c>
      <c r="D651" s="4">
        <v>-318968</v>
      </c>
      <c r="E651" s="4">
        <v>-181527</v>
      </c>
      <c r="F651" s="4">
        <v>2180521</v>
      </c>
    </row>
    <row r="652" spans="2:6" ht="75" x14ac:dyDescent="0.25">
      <c r="B652" s="4" t="s">
        <v>1529</v>
      </c>
      <c r="C652" s="4">
        <v>-28400</v>
      </c>
      <c r="D652" s="4">
        <v>300000</v>
      </c>
      <c r="E652" s="4">
        <v>300000</v>
      </c>
      <c r="F652" s="4">
        <v>-628400</v>
      </c>
    </row>
    <row r="653" spans="2:6" ht="105" x14ac:dyDescent="0.25">
      <c r="B653" s="4" t="s">
        <v>1530</v>
      </c>
      <c r="C653" s="4">
        <v>11214640</v>
      </c>
      <c r="D653" s="4">
        <v>2040000</v>
      </c>
      <c r="E653" s="4">
        <v>3300000</v>
      </c>
      <c r="F653" s="4">
        <v>5874640</v>
      </c>
    </row>
    <row r="654" spans="2:6" ht="90" x14ac:dyDescent="0.25">
      <c r="B654" s="4" t="s">
        <v>1531</v>
      </c>
      <c r="C654" s="4">
        <v>0</v>
      </c>
      <c r="D654" s="4">
        <v>0</v>
      </c>
      <c r="E654" s="4">
        <v>0</v>
      </c>
      <c r="F654" s="4">
        <v>0</v>
      </c>
    </row>
    <row r="655" spans="2:6" ht="75" x14ac:dyDescent="0.25">
      <c r="B655" s="4" t="s">
        <v>1532</v>
      </c>
      <c r="C655" s="4" t="s">
        <v>1533</v>
      </c>
      <c r="D655" s="4" t="s">
        <v>1534</v>
      </c>
      <c r="E655" s="4" t="s">
        <v>1535</v>
      </c>
      <c r="F655" s="4">
        <v>-1356000</v>
      </c>
    </row>
    <row r="656" spans="2:6" ht="105" x14ac:dyDescent="0.25">
      <c r="B656" s="4" t="s">
        <v>1536</v>
      </c>
      <c r="C656" s="4">
        <v>-173800</v>
      </c>
      <c r="D656" s="4">
        <v>0</v>
      </c>
      <c r="E656" s="4">
        <v>0</v>
      </c>
      <c r="F656" s="4">
        <v>-173800</v>
      </c>
    </row>
    <row r="657" spans="2:6" ht="120" x14ac:dyDescent="0.25">
      <c r="B657" s="4" t="s">
        <v>1537</v>
      </c>
      <c r="C657" s="4">
        <v>-173800</v>
      </c>
      <c r="D657" s="4">
        <v>0</v>
      </c>
      <c r="E657" s="4">
        <v>0</v>
      </c>
      <c r="F657" s="4">
        <v>-173800</v>
      </c>
    </row>
    <row r="658" spans="2:6" ht="105" x14ac:dyDescent="0.25">
      <c r="B658" s="4" t="s">
        <v>1538</v>
      </c>
      <c r="C658" s="4">
        <v>0</v>
      </c>
      <c r="D658" s="4">
        <v>0</v>
      </c>
      <c r="E658" s="4">
        <v>0</v>
      </c>
      <c r="F658" s="4">
        <v>0</v>
      </c>
    </row>
    <row r="659" spans="2:6" ht="75" x14ac:dyDescent="0.25">
      <c r="B659" s="4" t="s">
        <v>1539</v>
      </c>
      <c r="C659" s="5">
        <v>9504686049999</v>
      </c>
      <c r="D659" s="5">
        <v>19857709999</v>
      </c>
      <c r="E659" s="4" t="s">
        <v>1540</v>
      </c>
      <c r="F659" s="4" t="s">
        <v>1541</v>
      </c>
    </row>
    <row r="660" spans="2:6" ht="120" x14ac:dyDescent="0.25">
      <c r="B660" s="4" t="s">
        <v>1542</v>
      </c>
      <c r="C660" s="4">
        <v>0</v>
      </c>
      <c r="D660" s="4">
        <v>0</v>
      </c>
      <c r="E660" s="4">
        <v>0</v>
      </c>
      <c r="F660" s="4">
        <v>0</v>
      </c>
    </row>
    <row r="661" spans="2:6" ht="105" x14ac:dyDescent="0.25">
      <c r="B661" s="4" t="s">
        <v>1543</v>
      </c>
      <c r="C661" s="4">
        <v>0</v>
      </c>
      <c r="D661" s="4">
        <v>0</v>
      </c>
      <c r="E661" s="4">
        <v>0</v>
      </c>
      <c r="F661" s="4">
        <v>0</v>
      </c>
    </row>
    <row r="662" spans="2:6" ht="45" x14ac:dyDescent="0.25">
      <c r="B662" s="4" t="s">
        <v>1544</v>
      </c>
      <c r="C662" s="4" t="s">
        <v>1545</v>
      </c>
      <c r="D662" s="4" t="s">
        <v>1546</v>
      </c>
      <c r="E662" s="4" t="s">
        <v>1547</v>
      </c>
      <c r="F662" s="4" t="s">
        <v>1548</v>
      </c>
    </row>
    <row r="663" spans="2:6" ht="75" x14ac:dyDescent="0.25">
      <c r="B663" s="4" t="s">
        <v>1549</v>
      </c>
      <c r="C663" s="4">
        <v>38500000</v>
      </c>
      <c r="D663" s="4">
        <v>13500000</v>
      </c>
      <c r="E663" s="4">
        <v>25000000</v>
      </c>
      <c r="F663" s="4">
        <v>0</v>
      </c>
    </row>
    <row r="664" spans="2:6" ht="75" x14ac:dyDescent="0.25">
      <c r="B664" s="4" t="s">
        <v>1550</v>
      </c>
      <c r="C664" s="4">
        <v>-41322974</v>
      </c>
      <c r="D664" s="4" t="s">
        <v>1551</v>
      </c>
      <c r="E664" s="4" t="s">
        <v>1552</v>
      </c>
      <c r="F664" s="4" t="s">
        <v>1553</v>
      </c>
    </row>
    <row r="665" spans="2:6" ht="105" x14ac:dyDescent="0.25">
      <c r="B665" s="4" t="s">
        <v>1554</v>
      </c>
      <c r="C665" s="4" t="s">
        <v>1555</v>
      </c>
      <c r="D665" s="4" t="s">
        <v>1556</v>
      </c>
      <c r="E665" s="4">
        <v>0</v>
      </c>
      <c r="F665" s="4">
        <v>-48500</v>
      </c>
    </row>
    <row r="666" spans="2:6" ht="75" x14ac:dyDescent="0.25">
      <c r="B666" s="4" t="s">
        <v>1557</v>
      </c>
      <c r="C666" s="5">
        <v>1.44348117E+16</v>
      </c>
      <c r="D666" s="4" t="s">
        <v>1558</v>
      </c>
      <c r="E666" s="4" t="s">
        <v>1559</v>
      </c>
      <c r="F666" s="4" t="s">
        <v>1560</v>
      </c>
    </row>
    <row r="667" spans="2:6" ht="75" x14ac:dyDescent="0.25">
      <c r="B667" s="4" t="s">
        <v>1561</v>
      </c>
      <c r="C667" s="4" t="s">
        <v>1562</v>
      </c>
      <c r="D667" s="4" t="s">
        <v>1563</v>
      </c>
      <c r="E667" s="4" t="s">
        <v>1564</v>
      </c>
      <c r="F667" s="4" t="s">
        <v>1565</v>
      </c>
    </row>
    <row r="668" spans="2:6" ht="75" x14ac:dyDescent="0.25">
      <c r="B668" s="4" t="s">
        <v>1566</v>
      </c>
      <c r="C668" s="4">
        <v>0</v>
      </c>
      <c r="D668" s="4">
        <v>0</v>
      </c>
      <c r="E668" s="4">
        <v>0</v>
      </c>
      <c r="F668" s="4">
        <v>0</v>
      </c>
    </row>
    <row r="669" spans="2:6" ht="105" x14ac:dyDescent="0.25">
      <c r="B669" s="4" t="s">
        <v>1567</v>
      </c>
      <c r="C669" s="4">
        <v>-232000</v>
      </c>
      <c r="D669" s="4">
        <v>-232000</v>
      </c>
      <c r="E669" s="4">
        <v>0</v>
      </c>
      <c r="F669" s="4">
        <v>0</v>
      </c>
    </row>
    <row r="670" spans="2:6" ht="105" x14ac:dyDescent="0.25">
      <c r="B670" s="4" t="s">
        <v>1568</v>
      </c>
      <c r="C670" s="4">
        <v>4501000</v>
      </c>
      <c r="D670" s="4">
        <v>3256000</v>
      </c>
      <c r="E670" s="4">
        <v>-1813000</v>
      </c>
      <c r="F670" s="4">
        <v>3058000</v>
      </c>
    </row>
    <row r="671" spans="2:6" ht="105" x14ac:dyDescent="0.25">
      <c r="B671" s="4" t="s">
        <v>1569</v>
      </c>
      <c r="C671" s="4" t="s">
        <v>1570</v>
      </c>
      <c r="D671" s="4" t="s">
        <v>1571</v>
      </c>
      <c r="E671" s="4" t="s">
        <v>1572</v>
      </c>
      <c r="F671" s="4" t="s">
        <v>1573</v>
      </c>
    </row>
    <row r="672" spans="2:6" ht="60" x14ac:dyDescent="0.25">
      <c r="B672" s="4" t="s">
        <v>1574</v>
      </c>
      <c r="C672" s="4">
        <v>0</v>
      </c>
      <c r="D672" s="4">
        <v>0</v>
      </c>
      <c r="E672" s="4">
        <v>0</v>
      </c>
      <c r="F672" s="4">
        <v>0</v>
      </c>
    </row>
    <row r="673" spans="2:6" ht="105" x14ac:dyDescent="0.25">
      <c r="B673" s="4" t="s">
        <v>1575</v>
      </c>
      <c r="C673" s="4" t="s">
        <v>1576</v>
      </c>
      <c r="D673" s="4" t="s">
        <v>1577</v>
      </c>
      <c r="E673" s="4" t="s">
        <v>1578</v>
      </c>
      <c r="F673" s="4" t="s">
        <v>1579</v>
      </c>
    </row>
    <row r="674" spans="2:6" ht="90" x14ac:dyDescent="0.25">
      <c r="B674" s="4" t="s">
        <v>1580</v>
      </c>
      <c r="C674" s="4">
        <v>0</v>
      </c>
      <c r="D674" s="4">
        <v>0</v>
      </c>
      <c r="E674" s="4">
        <v>0</v>
      </c>
      <c r="F674" s="4">
        <v>0</v>
      </c>
    </row>
    <row r="675" spans="2:6" ht="45" x14ac:dyDescent="0.25">
      <c r="B675" s="4" t="s">
        <v>1581</v>
      </c>
      <c r="C675" s="4" t="s">
        <v>1582</v>
      </c>
      <c r="D675" s="4" t="s">
        <v>1583</v>
      </c>
      <c r="E675" s="4" t="s">
        <v>1584</v>
      </c>
      <c r="F675" s="4" t="s">
        <v>1585</v>
      </c>
    </row>
    <row r="676" spans="2:6" ht="75" x14ac:dyDescent="0.25">
      <c r="B676" s="4" t="s">
        <v>1586</v>
      </c>
      <c r="C676" s="4">
        <v>0</v>
      </c>
      <c r="D676" s="4">
        <v>0</v>
      </c>
      <c r="E676" s="4">
        <v>0</v>
      </c>
      <c r="F676" s="4">
        <v>0</v>
      </c>
    </row>
    <row r="677" spans="2:6" ht="60" x14ac:dyDescent="0.25">
      <c r="B677" s="4" t="s">
        <v>1587</v>
      </c>
      <c r="C677" s="4" t="s">
        <v>1588</v>
      </c>
      <c r="D677" s="4" t="s">
        <v>1589</v>
      </c>
      <c r="E677" s="4" t="s">
        <v>1590</v>
      </c>
      <c r="F677" s="4" t="s">
        <v>1591</v>
      </c>
    </row>
    <row r="678" spans="2:6" ht="75" x14ac:dyDescent="0.25">
      <c r="B678" s="4" t="s">
        <v>1592</v>
      </c>
      <c r="C678" s="4">
        <v>0</v>
      </c>
      <c r="D678" s="4"/>
      <c r="E678" s="4">
        <v>0</v>
      </c>
      <c r="F678" s="4">
        <v>0</v>
      </c>
    </row>
    <row r="679" spans="2:6" ht="75" x14ac:dyDescent="0.25">
      <c r="B679" s="4" t="s">
        <v>1593</v>
      </c>
      <c r="C679" s="4">
        <v>0</v>
      </c>
      <c r="D679" s="4">
        <v>0</v>
      </c>
      <c r="E679" s="4">
        <v>0</v>
      </c>
      <c r="F679" s="4">
        <v>0</v>
      </c>
    </row>
    <row r="680" spans="2:6" ht="120" x14ac:dyDescent="0.25">
      <c r="B680" s="4" t="s">
        <v>1594</v>
      </c>
      <c r="C680" s="4" t="s">
        <v>1595</v>
      </c>
      <c r="D680" s="4">
        <v>100</v>
      </c>
      <c r="E680" s="4">
        <v>0</v>
      </c>
      <c r="F680" s="4" t="s">
        <v>1596</v>
      </c>
    </row>
    <row r="681" spans="2:6" ht="105" x14ac:dyDescent="0.25">
      <c r="B681" s="4" t="s">
        <v>1597</v>
      </c>
      <c r="C681" s="4" t="s">
        <v>1598</v>
      </c>
      <c r="D681" s="4">
        <v>320000</v>
      </c>
      <c r="E681" s="4">
        <v>51000</v>
      </c>
      <c r="F681" s="4" t="s">
        <v>1599</v>
      </c>
    </row>
    <row r="682" spans="2:6" ht="120" x14ac:dyDescent="0.25">
      <c r="B682" s="4" t="s">
        <v>1600</v>
      </c>
      <c r="C682" s="4" t="s">
        <v>1601</v>
      </c>
      <c r="D682" s="4">
        <v>320000</v>
      </c>
      <c r="E682" s="4">
        <v>51000</v>
      </c>
      <c r="F682" s="4" t="s">
        <v>1602</v>
      </c>
    </row>
    <row r="683" spans="2:6" ht="75" x14ac:dyDescent="0.25">
      <c r="B683" s="4" t="s">
        <v>1603</v>
      </c>
      <c r="C683" s="5">
        <v>1.31454286E+16</v>
      </c>
      <c r="D683" s="4" t="s">
        <v>1604</v>
      </c>
      <c r="E683" s="4" t="s">
        <v>1605</v>
      </c>
      <c r="F683" s="4" t="s">
        <v>1606</v>
      </c>
    </row>
    <row r="684" spans="2:6" ht="105" x14ac:dyDescent="0.25">
      <c r="B684" s="4" t="s">
        <v>1607</v>
      </c>
      <c r="C684" s="4">
        <v>100000</v>
      </c>
      <c r="D684" s="4">
        <v>100000</v>
      </c>
      <c r="E684" s="4">
        <v>0</v>
      </c>
      <c r="F684" s="4"/>
    </row>
    <row r="685" spans="2:6" ht="75" x14ac:dyDescent="0.25">
      <c r="B685" s="4" t="s">
        <v>1608</v>
      </c>
      <c r="C685" s="4">
        <v>0</v>
      </c>
      <c r="D685" s="4">
        <v>0</v>
      </c>
      <c r="E685" s="4">
        <v>0</v>
      </c>
      <c r="F685" s="4">
        <v>0</v>
      </c>
    </row>
    <row r="686" spans="2:6" ht="120" x14ac:dyDescent="0.25">
      <c r="B686" s="4" t="s">
        <v>1609</v>
      </c>
      <c r="C686" s="5">
        <v>2.05515705999999E+16</v>
      </c>
      <c r="D686" s="4" t="s">
        <v>1610</v>
      </c>
      <c r="E686" s="4" t="s">
        <v>1611</v>
      </c>
      <c r="F686" s="4" t="s">
        <v>1612</v>
      </c>
    </row>
    <row r="687" spans="2:6" ht="120" x14ac:dyDescent="0.25">
      <c r="B687" s="4" t="s">
        <v>1613</v>
      </c>
      <c r="C687" s="4" t="s">
        <v>1614</v>
      </c>
      <c r="D687" s="4"/>
      <c r="E687" s="4" t="s">
        <v>1615</v>
      </c>
      <c r="F687" s="4" t="s">
        <v>1616</v>
      </c>
    </row>
    <row r="688" spans="2:6" ht="105" x14ac:dyDescent="0.25">
      <c r="B688" s="4" t="s">
        <v>1617</v>
      </c>
      <c r="C688" s="4">
        <v>0</v>
      </c>
      <c r="D688" s="4"/>
      <c r="E688" s="4"/>
      <c r="F688" s="4"/>
    </row>
    <row r="689" spans="2:6" ht="90" x14ac:dyDescent="0.25">
      <c r="B689" s="4" t="s">
        <v>1618</v>
      </c>
      <c r="C689" s="4">
        <v>0</v>
      </c>
      <c r="D689" s="4"/>
      <c r="E689" s="4"/>
      <c r="F689" s="4"/>
    </row>
    <row r="690" spans="2:6" ht="75" x14ac:dyDescent="0.25">
      <c r="B690" s="4" t="s">
        <v>1619</v>
      </c>
      <c r="C690" s="4">
        <v>0</v>
      </c>
      <c r="D690" s="4"/>
      <c r="E690" s="4"/>
      <c r="F690" s="4"/>
    </row>
    <row r="691" spans="2:6" ht="75" x14ac:dyDescent="0.25">
      <c r="B691" s="4" t="s">
        <v>1620</v>
      </c>
      <c r="C691" s="4">
        <v>0</v>
      </c>
      <c r="D691" s="4">
        <v>0</v>
      </c>
      <c r="E691" s="4">
        <v>0</v>
      </c>
      <c r="F691" s="4">
        <v>0</v>
      </c>
    </row>
    <row r="692" spans="2:6" ht="90" x14ac:dyDescent="0.25">
      <c r="B692" s="4" t="s">
        <v>1621</v>
      </c>
      <c r="C692" s="4">
        <v>-1500000</v>
      </c>
      <c r="D692" s="4">
        <v>0</v>
      </c>
      <c r="E692" s="4">
        <v>-1500000</v>
      </c>
      <c r="F692" s="4">
        <v>0</v>
      </c>
    </row>
    <row r="693" spans="2:6" ht="90" x14ac:dyDescent="0.25">
      <c r="B693" s="4" t="s">
        <v>1622</v>
      </c>
      <c r="C693" s="4" t="s">
        <v>1623</v>
      </c>
      <c r="D693" s="4" t="s">
        <v>1624</v>
      </c>
      <c r="E693" s="4" t="s">
        <v>1625</v>
      </c>
      <c r="F693" s="4" t="s">
        <v>1626</v>
      </c>
    </row>
    <row r="694" spans="2:6" ht="75" x14ac:dyDescent="0.25">
      <c r="B694" s="4" t="s">
        <v>1627</v>
      </c>
      <c r="C694" s="4" t="s">
        <v>1628</v>
      </c>
      <c r="D694" s="4">
        <v>0</v>
      </c>
      <c r="E694" s="4">
        <v>0</v>
      </c>
      <c r="F694" s="4" t="s">
        <v>1628</v>
      </c>
    </row>
    <row r="695" spans="2:6" ht="75" x14ac:dyDescent="0.25">
      <c r="B695" s="4" t="s">
        <v>1629</v>
      </c>
      <c r="C695" s="4">
        <v>0</v>
      </c>
      <c r="D695" s="4">
        <v>0</v>
      </c>
      <c r="E695" s="4">
        <v>0</v>
      </c>
      <c r="F695" s="4">
        <v>0</v>
      </c>
    </row>
    <row r="696" spans="2:6" ht="75" x14ac:dyDescent="0.25">
      <c r="B696" s="4" t="s">
        <v>1630</v>
      </c>
      <c r="C696" s="4" t="s">
        <v>1631</v>
      </c>
      <c r="D696" s="4">
        <v>0</v>
      </c>
      <c r="E696" s="4" t="s">
        <v>1631</v>
      </c>
      <c r="F696" s="4">
        <v>0</v>
      </c>
    </row>
    <row r="697" spans="2:6" ht="75" x14ac:dyDescent="0.25">
      <c r="B697" s="4" t="s">
        <v>1632</v>
      </c>
      <c r="C697" s="4">
        <v>0</v>
      </c>
      <c r="D697" s="4">
        <v>0</v>
      </c>
      <c r="E697" s="4">
        <v>0</v>
      </c>
      <c r="F697" s="4">
        <v>0</v>
      </c>
    </row>
    <row r="698" spans="2:6" ht="60" x14ac:dyDescent="0.25">
      <c r="B698" s="4" t="s">
        <v>1633</v>
      </c>
      <c r="C698" s="4">
        <v>20424000</v>
      </c>
      <c r="D698" s="4">
        <v>-224000</v>
      </c>
      <c r="E698" s="4">
        <v>77331000</v>
      </c>
      <c r="F698" s="4">
        <v>-56683000</v>
      </c>
    </row>
    <row r="699" spans="2:6" ht="90" x14ac:dyDescent="0.25">
      <c r="B699" s="4" t="s">
        <v>1634</v>
      </c>
      <c r="C699" s="4">
        <v>34512000</v>
      </c>
      <c r="D699" s="4">
        <v>319000</v>
      </c>
      <c r="E699" s="4">
        <v>11593000</v>
      </c>
      <c r="F699" s="4">
        <v>22600000</v>
      </c>
    </row>
    <row r="700" spans="2:6" ht="90" x14ac:dyDescent="0.25">
      <c r="B700" s="4" t="s">
        <v>1635</v>
      </c>
      <c r="C700" s="4" t="s">
        <v>1636</v>
      </c>
      <c r="D700" s="4" t="s">
        <v>1637</v>
      </c>
      <c r="E700" s="4" t="s">
        <v>1638</v>
      </c>
      <c r="F700" s="4" t="s">
        <v>1639</v>
      </c>
    </row>
    <row r="701" spans="2:6" ht="105" x14ac:dyDescent="0.25">
      <c r="B701" s="4" t="s">
        <v>1640</v>
      </c>
      <c r="C701" s="5">
        <v>1.73665055E+16</v>
      </c>
      <c r="D701" s="4" t="s">
        <v>1641</v>
      </c>
      <c r="E701" s="4" t="s">
        <v>1642</v>
      </c>
      <c r="F701" s="4" t="s">
        <v>1643</v>
      </c>
    </row>
    <row r="702" spans="2:6" ht="90" x14ac:dyDescent="0.25">
      <c r="B702" s="4" t="s">
        <v>1644</v>
      </c>
      <c r="C702" s="4">
        <v>0</v>
      </c>
      <c r="D702" s="4">
        <v>0</v>
      </c>
      <c r="E702" s="4">
        <v>0</v>
      </c>
      <c r="F702" s="4">
        <v>0</v>
      </c>
    </row>
    <row r="703" spans="2:6" ht="60" x14ac:dyDescent="0.25">
      <c r="B703" s="4" t="s">
        <v>1645</v>
      </c>
      <c r="C703" s="5">
        <v>7459505699999990</v>
      </c>
      <c r="D703" s="4" t="s">
        <v>1646</v>
      </c>
      <c r="E703" s="4" t="s">
        <v>1647</v>
      </c>
      <c r="F703" s="4" t="s">
        <v>1648</v>
      </c>
    </row>
    <row r="704" spans="2:6" ht="75" x14ac:dyDescent="0.25">
      <c r="B704" s="4" t="s">
        <v>1649</v>
      </c>
      <c r="C704" s="4">
        <v>0</v>
      </c>
      <c r="D704" s="4">
        <v>0</v>
      </c>
      <c r="E704" s="4">
        <v>0</v>
      </c>
      <c r="F704" s="4">
        <v>0</v>
      </c>
    </row>
    <row r="705" spans="2:6" ht="75" x14ac:dyDescent="0.25">
      <c r="B705" s="4" t="s">
        <v>1650</v>
      </c>
      <c r="C705" s="4">
        <v>0</v>
      </c>
      <c r="D705" s="4">
        <v>0</v>
      </c>
      <c r="E705" s="4">
        <v>0</v>
      </c>
      <c r="F705" s="4">
        <v>0</v>
      </c>
    </row>
    <row r="706" spans="2:6" ht="105" x14ac:dyDescent="0.25">
      <c r="B706" s="4" t="s">
        <v>1651</v>
      </c>
      <c r="C706" s="4">
        <v>0</v>
      </c>
      <c r="D706" s="4">
        <v>0</v>
      </c>
      <c r="E706" s="4">
        <v>0</v>
      </c>
      <c r="F706" s="4">
        <v>0</v>
      </c>
    </row>
    <row r="707" spans="2:6" ht="75" x14ac:dyDescent="0.25">
      <c r="B707" s="4" t="s">
        <v>1652</v>
      </c>
      <c r="C707" s="4">
        <v>0</v>
      </c>
      <c r="D707" s="4">
        <v>0</v>
      </c>
      <c r="E707" s="4">
        <v>0</v>
      </c>
      <c r="F707" s="4">
        <v>0</v>
      </c>
    </row>
    <row r="708" spans="2:6" ht="75" x14ac:dyDescent="0.25">
      <c r="B708" s="4" t="s">
        <v>1653</v>
      </c>
      <c r="C708" s="4">
        <v>0</v>
      </c>
      <c r="D708" s="4">
        <v>0</v>
      </c>
      <c r="E708" s="4">
        <v>0</v>
      </c>
      <c r="F708" s="4">
        <v>0</v>
      </c>
    </row>
    <row r="709" spans="2:6" ht="45" x14ac:dyDescent="0.25">
      <c r="B709" s="4" t="s">
        <v>1654</v>
      </c>
      <c r="C709" s="4">
        <v>0</v>
      </c>
      <c r="D709" s="4">
        <v>0</v>
      </c>
      <c r="E709" s="4">
        <v>0</v>
      </c>
      <c r="F709" s="4">
        <v>0</v>
      </c>
    </row>
    <row r="710" spans="2:6" ht="90" x14ac:dyDescent="0.25">
      <c r="B710" s="4" t="s">
        <v>1655</v>
      </c>
      <c r="C710" s="4">
        <v>0</v>
      </c>
      <c r="D710" s="4">
        <v>0</v>
      </c>
      <c r="E710" s="4">
        <v>0</v>
      </c>
      <c r="F710" s="4">
        <v>0</v>
      </c>
    </row>
    <row r="711" spans="2:6" ht="75" x14ac:dyDescent="0.25">
      <c r="B711" s="4" t="s">
        <v>1656</v>
      </c>
      <c r="C711" s="4">
        <v>0</v>
      </c>
      <c r="D711" s="4">
        <v>0</v>
      </c>
      <c r="E711" s="4">
        <v>0</v>
      </c>
      <c r="F711" s="4">
        <v>0</v>
      </c>
    </row>
    <row r="712" spans="2:6" ht="75" x14ac:dyDescent="0.25">
      <c r="B712" s="4" t="s">
        <v>1657</v>
      </c>
      <c r="C712" s="4">
        <v>0</v>
      </c>
      <c r="D712" s="4">
        <v>0</v>
      </c>
      <c r="E712" s="4">
        <v>0</v>
      </c>
      <c r="F712" s="4">
        <v>0</v>
      </c>
    </row>
    <row r="713" spans="2:6" ht="75" x14ac:dyDescent="0.25">
      <c r="B713" s="4" t="s">
        <v>1658</v>
      </c>
      <c r="C713" s="4">
        <v>0</v>
      </c>
      <c r="D713" s="4">
        <v>0</v>
      </c>
      <c r="E713" s="4">
        <v>0</v>
      </c>
      <c r="F713" s="4">
        <v>0</v>
      </c>
    </row>
    <row r="714" spans="2:6" ht="105" x14ac:dyDescent="0.25">
      <c r="B714" s="4" t="s">
        <v>1659</v>
      </c>
      <c r="C714" s="5">
        <v>8.0123536899999904E+16</v>
      </c>
      <c r="D714" s="4"/>
      <c r="E714" s="4" t="s">
        <v>1660</v>
      </c>
      <c r="F714" s="4" t="s">
        <v>1661</v>
      </c>
    </row>
    <row r="715" spans="2:6" ht="90" x14ac:dyDescent="0.25">
      <c r="B715" s="4" t="s">
        <v>1662</v>
      </c>
      <c r="C715" s="4">
        <v>0</v>
      </c>
      <c r="D715" s="4"/>
      <c r="E715" s="4"/>
      <c r="F715" s="4"/>
    </row>
    <row r="716" spans="2:6" x14ac:dyDescent="0.25">
      <c r="B716" s="4"/>
      <c r="C716" s="4"/>
      <c r="D716" s="4"/>
      <c r="E716" s="4"/>
      <c r="F716" s="4"/>
    </row>
    <row r="717" spans="2:6" x14ac:dyDescent="0.25">
      <c r="B717" s="4"/>
      <c r="C717" s="4"/>
      <c r="D717" s="4"/>
      <c r="E717" s="4"/>
      <c r="F717" s="4"/>
    </row>
    <row r="718" spans="2:6" x14ac:dyDescent="0.25">
      <c r="B718" s="4"/>
      <c r="C718" s="4"/>
      <c r="D718" s="4"/>
      <c r="E718" s="4"/>
      <c r="F718" s="4"/>
    </row>
    <row r="719" spans="2:6" x14ac:dyDescent="0.25">
      <c r="B719" s="4"/>
      <c r="C719" s="5"/>
      <c r="D719" s="4"/>
      <c r="E719" s="4"/>
      <c r="F719" s="4"/>
    </row>
    <row r="720" spans="2:6" x14ac:dyDescent="0.25">
      <c r="B720" s="4"/>
      <c r="C720" s="4"/>
      <c r="D720" s="4"/>
      <c r="E720" s="4"/>
      <c r="F720" s="4"/>
    </row>
    <row r="721" spans="2:6" x14ac:dyDescent="0.25">
      <c r="B721" s="4"/>
      <c r="C721" s="4"/>
      <c r="D721" s="4"/>
      <c r="E721" s="4"/>
      <c r="F721" s="4"/>
    </row>
    <row r="722" spans="2:6" x14ac:dyDescent="0.25">
      <c r="B722" s="4"/>
      <c r="C722" s="4"/>
      <c r="D722" s="4"/>
      <c r="E722" s="4"/>
      <c r="F722" s="4"/>
    </row>
    <row r="723" spans="2:6" x14ac:dyDescent="0.25">
      <c r="B723" s="4"/>
      <c r="C723" s="4"/>
      <c r="D723" s="4"/>
      <c r="E723" s="4"/>
      <c r="F723" s="4"/>
    </row>
    <row r="724" spans="2:6" x14ac:dyDescent="0.25">
      <c r="B724" s="4"/>
      <c r="C724" s="4"/>
      <c r="D724" s="4"/>
      <c r="E724" s="4"/>
      <c r="F724" s="4"/>
    </row>
    <row r="725" spans="2:6" x14ac:dyDescent="0.25">
      <c r="B725" s="4"/>
      <c r="C725" s="4"/>
      <c r="D725" s="4"/>
      <c r="E725" s="4"/>
      <c r="F725" s="4"/>
    </row>
    <row r="726" spans="2:6" x14ac:dyDescent="0.25">
      <c r="B726" s="4"/>
      <c r="C726" s="4"/>
      <c r="D726" s="4"/>
      <c r="E726" s="4"/>
      <c r="F726" s="4"/>
    </row>
    <row r="727" spans="2:6" x14ac:dyDescent="0.25">
      <c r="B727" s="4"/>
      <c r="C727" s="4"/>
      <c r="D727" s="4"/>
      <c r="E727" s="4"/>
      <c r="F727" s="4"/>
    </row>
    <row r="728" spans="2:6" x14ac:dyDescent="0.25">
      <c r="B728" s="4"/>
      <c r="C728" s="4"/>
      <c r="D728" s="4"/>
      <c r="E728" s="4"/>
      <c r="F728" s="4"/>
    </row>
    <row r="729" spans="2:6" x14ac:dyDescent="0.25">
      <c r="B729" s="4"/>
      <c r="C729" s="4"/>
      <c r="D729" s="4"/>
      <c r="E729" s="4"/>
      <c r="F729" s="4"/>
    </row>
    <row r="730" spans="2:6" x14ac:dyDescent="0.25">
      <c r="B730" s="4"/>
      <c r="C730" s="4"/>
      <c r="D730" s="4"/>
      <c r="E730" s="4"/>
      <c r="F730" s="4"/>
    </row>
    <row r="731" spans="2:6" x14ac:dyDescent="0.25">
      <c r="B731" s="4"/>
      <c r="C731" s="5"/>
      <c r="D731" s="4"/>
      <c r="E731" s="4"/>
      <c r="F731" s="4"/>
    </row>
    <row r="732" spans="2:6" x14ac:dyDescent="0.25">
      <c r="B732" s="4"/>
      <c r="C732" s="5"/>
      <c r="D732" s="4"/>
      <c r="E732" s="4"/>
      <c r="F732" s="4"/>
    </row>
    <row r="733" spans="2:6" x14ac:dyDescent="0.25">
      <c r="B733" s="4"/>
      <c r="C733" s="5"/>
      <c r="D733" s="4"/>
      <c r="E733" s="4"/>
      <c r="F733" s="4"/>
    </row>
    <row r="734" spans="2:6" x14ac:dyDescent="0.25">
      <c r="B734" s="4"/>
      <c r="C734" s="4"/>
      <c r="D734" s="4"/>
      <c r="E734" s="4"/>
      <c r="F734" s="4"/>
    </row>
    <row r="735" spans="2:6" x14ac:dyDescent="0.25">
      <c r="B735" s="4"/>
      <c r="C735" s="5"/>
      <c r="D735" s="4"/>
      <c r="E735" s="4"/>
      <c r="F735" s="4"/>
    </row>
    <row r="736" spans="2:6" x14ac:dyDescent="0.25">
      <c r="B736" s="4"/>
      <c r="C736" s="4"/>
      <c r="D736" s="4"/>
      <c r="E736" s="4"/>
      <c r="F736" s="4"/>
    </row>
    <row r="737" spans="2:6" x14ac:dyDescent="0.25">
      <c r="B737" s="4"/>
      <c r="C737" s="4"/>
      <c r="D737" s="4"/>
      <c r="E737" s="4"/>
      <c r="F737" s="4"/>
    </row>
    <row r="738" spans="2:6" x14ac:dyDescent="0.25">
      <c r="B738" s="4"/>
      <c r="C738" s="4"/>
      <c r="D738" s="4"/>
      <c r="E738" s="4"/>
      <c r="F738" s="4"/>
    </row>
    <row r="739" spans="2:6" x14ac:dyDescent="0.25">
      <c r="B739" s="4"/>
      <c r="C739" s="4"/>
      <c r="D739" s="4"/>
      <c r="E739" s="4"/>
      <c r="F739" s="4"/>
    </row>
    <row r="740" spans="2:6" x14ac:dyDescent="0.25">
      <c r="B740" s="4"/>
      <c r="C740" s="4"/>
      <c r="D740" s="4"/>
      <c r="E740" s="4"/>
      <c r="F740" s="4"/>
    </row>
    <row r="741" spans="2:6" x14ac:dyDescent="0.25">
      <c r="B741" s="4"/>
      <c r="C741" s="4"/>
      <c r="D741" s="4"/>
      <c r="E741" s="4"/>
      <c r="F741" s="4"/>
    </row>
    <row r="742" spans="2:6" x14ac:dyDescent="0.25">
      <c r="B742" s="4"/>
      <c r="C742" s="5"/>
      <c r="D742" s="5"/>
      <c r="E742" s="5"/>
      <c r="F742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Planilha1</vt:lpstr>
      <vt:lpstr>Planilha3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Gandra Almeida Duque Cabral</cp:lastModifiedBy>
  <dcterms:created xsi:type="dcterms:W3CDTF">2025-02-03T16:55:58Z</dcterms:created>
  <dcterms:modified xsi:type="dcterms:W3CDTF">2025-02-05T00:14:02Z</dcterms:modified>
</cp:coreProperties>
</file>