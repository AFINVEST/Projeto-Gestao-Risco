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Marcos\Trilha Renda Fixa - AF INVEST\"/>
    </mc:Choice>
  </mc:AlternateContent>
  <xr:revisionPtr revIDLastSave="0" documentId="13_ncr:1_{06068216-2C65-43D9-B2B6-67B043702402}" xr6:coauthVersionLast="47" xr6:coauthVersionMax="47" xr10:uidLastSave="{00000000-0000-0000-0000-000000000000}"/>
  <bookViews>
    <workbookView xWindow="-38520" yWindow="-990" windowWidth="38640" windowHeight="15720" firstSheet="2" activeTab="2" xr2:uid="{6E27EBD2-EE26-4794-8D94-3B38CDB6EBFA}"/>
  </bookViews>
  <sheets>
    <sheet name="Base de dados" sheetId="7" r:id="rId1"/>
    <sheet name="Curvas" sheetId="8" r:id="rId2"/>
    <sheet name="PnL" sheetId="5" r:id="rId3"/>
    <sheet name="NI_IPCA" sheetId="4" r:id="rId4"/>
    <sheet name="Feriados" sheetId="2" r:id="rId5"/>
  </sheets>
  <definedNames>
    <definedName name="contrato">'Base de dados'!$E$1</definedName>
    <definedName name="data_ref">'Base de dados'!$B$1</definedName>
    <definedName name="data_ref_ant1">'Base de dados'!$B$4</definedName>
    <definedName name="data_ref_ant2">'Base de dados'!$B$5</definedName>
    <definedName name="data_ref_post1">'Base de dados'!$B$2</definedName>
    <definedName name="data_ref_post2">'Base de dados'!$B$3</definedName>
    <definedName name="DCL">'Base de dados'!$M$3</definedName>
    <definedName name="di">'Base de dados'!$E$2</definedName>
    <definedName name="di_dia">'Base de dados'!$E$3</definedName>
    <definedName name="feriados">Feriados!$A$1:$A$1264</definedName>
    <definedName name="pl">PnL!$U$2</definedName>
    <definedName name="ptax">'Base de dados'!$M$1</definedName>
    <definedName name="ptax_ant">'Base de dados'!$M$2</definedName>
    <definedName name="rs_dap">'Base de dados'!$J$5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7" i="4" l="1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C67" i="5"/>
  <c r="C66" i="5"/>
  <c r="D65" i="5"/>
  <c r="C65" i="5"/>
  <c r="C64" i="5"/>
  <c r="D63" i="5"/>
  <c r="C63" i="5"/>
  <c r="C60" i="5"/>
  <c r="K58" i="5"/>
  <c r="J58" i="5"/>
  <c r="H58" i="5"/>
  <c r="G58" i="5"/>
  <c r="K56" i="5"/>
  <c r="J56" i="5"/>
  <c r="H56" i="5"/>
  <c r="G56" i="5"/>
  <c r="K55" i="5"/>
  <c r="J55" i="5"/>
  <c r="H55" i="5"/>
  <c r="G55" i="5"/>
  <c r="E55" i="5"/>
  <c r="K54" i="5"/>
  <c r="J54" i="5"/>
  <c r="H54" i="5"/>
  <c r="G54" i="5"/>
  <c r="E54" i="5"/>
  <c r="K53" i="5"/>
  <c r="J53" i="5"/>
  <c r="H53" i="5"/>
  <c r="G53" i="5"/>
  <c r="E53" i="5"/>
  <c r="K52" i="5"/>
  <c r="J52" i="5"/>
  <c r="H52" i="5"/>
  <c r="G52" i="5"/>
  <c r="E52" i="5"/>
  <c r="K50" i="5"/>
  <c r="J50" i="5"/>
  <c r="H50" i="5"/>
  <c r="G50" i="5"/>
  <c r="K49" i="5"/>
  <c r="J49" i="5"/>
  <c r="H49" i="5"/>
  <c r="G49" i="5"/>
  <c r="E49" i="5"/>
  <c r="K48" i="5"/>
  <c r="J48" i="5"/>
  <c r="H48" i="5"/>
  <c r="G48" i="5"/>
  <c r="E48" i="5"/>
  <c r="F33" i="5"/>
  <c r="F32" i="5"/>
  <c r="C31" i="5"/>
  <c r="K28" i="5"/>
  <c r="G26" i="5"/>
  <c r="F26" i="5"/>
  <c r="D26" i="5"/>
  <c r="G25" i="5"/>
  <c r="F25" i="5"/>
  <c r="D25" i="5"/>
  <c r="G24" i="5"/>
  <c r="D24" i="5"/>
  <c r="G23" i="5"/>
  <c r="F23" i="5"/>
  <c r="D23" i="5"/>
  <c r="G22" i="5"/>
  <c r="F22" i="5"/>
  <c r="D22" i="5"/>
  <c r="G21" i="5"/>
  <c r="F21" i="5"/>
  <c r="D21" i="5"/>
  <c r="G20" i="5"/>
  <c r="F20" i="5"/>
  <c r="D20" i="5"/>
  <c r="G19" i="5"/>
  <c r="F19" i="5"/>
  <c r="D19" i="5"/>
  <c r="G18" i="5"/>
  <c r="F18" i="5"/>
  <c r="D18" i="5"/>
  <c r="G17" i="5"/>
  <c r="F17" i="5"/>
  <c r="D17" i="5"/>
  <c r="G15" i="5"/>
  <c r="F15" i="5"/>
  <c r="D15" i="5"/>
  <c r="C15" i="5"/>
  <c r="G14" i="5"/>
  <c r="F14" i="5"/>
  <c r="D14" i="5"/>
  <c r="C14" i="5"/>
  <c r="G13" i="5"/>
  <c r="F13" i="5"/>
  <c r="D13" i="5"/>
  <c r="C13" i="5"/>
  <c r="G12" i="5"/>
  <c r="F12" i="5"/>
  <c r="D12" i="5"/>
  <c r="C12" i="5"/>
  <c r="G11" i="5"/>
  <c r="F11" i="5"/>
  <c r="D11" i="5"/>
  <c r="C11" i="5"/>
  <c r="G10" i="5"/>
  <c r="F10" i="5"/>
  <c r="D10" i="5"/>
  <c r="C10" i="5"/>
  <c r="G9" i="5"/>
  <c r="F9" i="5"/>
  <c r="D9" i="5"/>
  <c r="C9" i="5"/>
  <c r="G8" i="5"/>
  <c r="H8" i="5" s="1"/>
  <c r="F8" i="5"/>
  <c r="D8" i="5"/>
  <c r="C8" i="5"/>
  <c r="G7" i="5"/>
  <c r="F7" i="5"/>
  <c r="D7" i="5"/>
  <c r="C7" i="5"/>
  <c r="B7" i="5"/>
  <c r="G6" i="5"/>
  <c r="H6" i="5" s="1"/>
  <c r="F6" i="5"/>
  <c r="D6" i="5"/>
  <c r="C6" i="5"/>
  <c r="G5" i="5"/>
  <c r="F5" i="5"/>
  <c r="D5" i="5"/>
  <c r="C5" i="5"/>
  <c r="B5" i="5"/>
  <c r="G4" i="5"/>
  <c r="F4" i="5"/>
  <c r="D4" i="5"/>
  <c r="C4" i="5"/>
  <c r="G3" i="5"/>
  <c r="H3" i="5" s="1"/>
  <c r="F3" i="5"/>
  <c r="D3" i="5"/>
  <c r="C3" i="5"/>
  <c r="G2" i="5"/>
  <c r="F2" i="5"/>
  <c r="D2" i="5"/>
  <c r="C2" i="5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U5" i="8"/>
  <c r="T5" i="8"/>
  <c r="S5" i="8"/>
  <c r="R5" i="8"/>
  <c r="Q5" i="8"/>
  <c r="N5" i="8"/>
  <c r="M5" i="8"/>
  <c r="L5" i="8"/>
  <c r="K5" i="8"/>
  <c r="J5" i="8"/>
  <c r="I5" i="8"/>
  <c r="H5" i="8"/>
  <c r="G5" i="8"/>
  <c r="F5" i="8"/>
  <c r="E5" i="8"/>
  <c r="D5" i="8"/>
  <c r="C5" i="8"/>
  <c r="B5" i="8"/>
  <c r="U4" i="8"/>
  <c r="S4" i="8"/>
  <c r="R4" i="8"/>
  <c r="Q4" i="8"/>
  <c r="N4" i="8"/>
  <c r="M4" i="8"/>
  <c r="L4" i="8"/>
  <c r="K4" i="8"/>
  <c r="J4" i="8"/>
  <c r="I4" i="8"/>
  <c r="H4" i="8"/>
  <c r="G4" i="8"/>
  <c r="F4" i="8"/>
  <c r="E4" i="8"/>
  <c r="D4" i="8"/>
  <c r="C4" i="8"/>
  <c r="A4" i="8"/>
  <c r="J5" i="7"/>
  <c r="H5" i="7"/>
  <c r="B5" i="7"/>
  <c r="J4" i="7"/>
  <c r="H4" i="7"/>
  <c r="B4" i="7"/>
  <c r="H3" i="7"/>
  <c r="E3" i="7"/>
  <c r="B3" i="7"/>
  <c r="M2" i="7"/>
  <c r="H2" i="7"/>
  <c r="B2" i="7"/>
  <c r="M1" i="7"/>
  <c r="J1" i="7"/>
  <c r="H14" i="5" l="1"/>
  <c r="H15" i="5"/>
  <c r="H13" i="5"/>
  <c r="H11" i="5"/>
  <c r="E21" i="5"/>
  <c r="I21" i="5" s="1"/>
  <c r="K21" i="5" s="1"/>
  <c r="E19" i="5"/>
  <c r="I19" i="5" s="1"/>
  <c r="K19" i="5" s="1"/>
  <c r="E12" i="5"/>
  <c r="E10" i="5"/>
  <c r="E8" i="5"/>
  <c r="I8" i="5" s="1"/>
  <c r="N8" i="5" s="1"/>
  <c r="E7" i="5"/>
  <c r="E5" i="5"/>
  <c r="E3" i="5"/>
  <c r="I3" i="5" s="1"/>
  <c r="N3" i="5" s="1"/>
  <c r="E22" i="5"/>
  <c r="E18" i="5"/>
  <c r="E20" i="5"/>
  <c r="E13" i="5"/>
  <c r="I13" i="5" s="1"/>
  <c r="N13" i="5" s="1"/>
  <c r="E11" i="5"/>
  <c r="I11" i="5" s="1"/>
  <c r="N11" i="5" s="1"/>
  <c r="E9" i="5"/>
  <c r="E6" i="5"/>
  <c r="I6" i="5" s="1"/>
  <c r="N6" i="5" s="1"/>
  <c r="E4" i="5"/>
  <c r="E2" i="5"/>
  <c r="E25" i="5"/>
  <c r="I25" i="5" s="1"/>
  <c r="K25" i="5" s="1"/>
  <c r="E26" i="5"/>
  <c r="I26" i="5" s="1"/>
  <c r="K26" i="5" s="1"/>
  <c r="E23" i="5"/>
  <c r="I23" i="5" s="1"/>
  <c r="K23" i="5" s="1"/>
  <c r="E24" i="5"/>
  <c r="E17" i="5"/>
  <c r="A28" i="5"/>
  <c r="E15" i="5"/>
  <c r="I15" i="5" s="1"/>
  <c r="N15" i="5" s="1"/>
  <c r="C34" i="5"/>
  <c r="E34" i="5"/>
  <c r="F34" i="5" s="1"/>
  <c r="E14" i="5"/>
  <c r="I14" i="5" s="1"/>
  <c r="N14" i="5" s="1"/>
  <c r="H26" i="5"/>
  <c r="H25" i="5"/>
  <c r="H24" i="5"/>
  <c r="H23" i="5"/>
  <c r="H22" i="5"/>
  <c r="H21" i="5"/>
  <c r="H20" i="5"/>
  <c r="H19" i="5"/>
  <c r="H18" i="5"/>
  <c r="H17" i="5"/>
  <c r="M37" i="5"/>
  <c r="L37" i="5"/>
  <c r="N37" i="5"/>
  <c r="O37" i="5"/>
  <c r="H12" i="5"/>
  <c r="P37" i="5"/>
  <c r="M36" i="5"/>
  <c r="O36" i="5"/>
  <c r="L36" i="5"/>
  <c r="H10" i="5"/>
  <c r="N36" i="5"/>
  <c r="N35" i="5"/>
  <c r="H9" i="5"/>
  <c r="M35" i="5"/>
  <c r="L35" i="5"/>
  <c r="L34" i="5"/>
  <c r="M34" i="5"/>
  <c r="H7" i="5"/>
  <c r="H5" i="5"/>
  <c r="L33" i="5"/>
  <c r="H4" i="5"/>
  <c r="H2" i="5"/>
  <c r="Q32" i="5" l="1"/>
  <c r="Q35" i="5"/>
  <c r="I22" i="5"/>
  <c r="K22" i="5" s="1"/>
  <c r="P43" i="5"/>
  <c r="Q34" i="5"/>
  <c r="Q33" i="5"/>
  <c r="Q36" i="5"/>
  <c r="I12" i="5"/>
  <c r="O42" i="5"/>
  <c r="O44" i="5"/>
  <c r="O43" i="5"/>
  <c r="P44" i="5"/>
  <c r="P45" i="5"/>
  <c r="I18" i="5"/>
  <c r="K18" i="5" s="1"/>
  <c r="P42" i="5"/>
  <c r="M42" i="5"/>
  <c r="I20" i="5"/>
  <c r="K20" i="5" s="1"/>
  <c r="N42" i="5"/>
  <c r="N43" i="5"/>
  <c r="I2" i="5"/>
  <c r="Q31" i="5"/>
  <c r="P31" i="5"/>
  <c r="P32" i="5"/>
  <c r="P33" i="5"/>
  <c r="P35" i="5"/>
  <c r="P34" i="5"/>
  <c r="I10" i="5"/>
  <c r="K10" i="5" s="1"/>
  <c r="N33" i="5"/>
  <c r="N31" i="5"/>
  <c r="N32" i="5"/>
  <c r="I7" i="5"/>
  <c r="M31" i="5"/>
  <c r="M32" i="5"/>
  <c r="I5" i="5"/>
  <c r="O34" i="5"/>
  <c r="O33" i="5"/>
  <c r="O32" i="5"/>
  <c r="O31" i="5"/>
  <c r="I9" i="5"/>
  <c r="L31" i="5"/>
  <c r="I4" i="5"/>
  <c r="Q44" i="5"/>
  <c r="Q46" i="5"/>
  <c r="I24" i="5"/>
  <c r="K24" i="5" s="1"/>
  <c r="Q42" i="5"/>
  <c r="Q45" i="5"/>
  <c r="Q43" i="5"/>
  <c r="C28" i="5"/>
  <c r="D28" i="5" s="1"/>
  <c r="E28" i="5" s="1"/>
  <c r="F28" i="5"/>
  <c r="I28" i="5" s="1"/>
  <c r="G28" i="5"/>
  <c r="C35" i="5"/>
  <c r="C37" i="5" s="1"/>
  <c r="C36" i="5"/>
  <c r="C40" i="5"/>
  <c r="L26" i="5"/>
  <c r="Q26" i="5"/>
  <c r="Q25" i="5"/>
  <c r="L25" i="5"/>
  <c r="Q23" i="5"/>
  <c r="L23" i="5"/>
  <c r="L21" i="5"/>
  <c r="Q21" i="5"/>
  <c r="L19" i="5"/>
  <c r="Q19" i="5"/>
  <c r="P15" i="5"/>
  <c r="J15" i="5"/>
  <c r="M15" i="5" s="1"/>
  <c r="K15" i="5"/>
  <c r="O15" i="5" s="1"/>
  <c r="J14" i="5"/>
  <c r="M14" i="5" s="1"/>
  <c r="K14" i="5"/>
  <c r="O14" i="5" s="1"/>
  <c r="P14" i="5"/>
  <c r="P13" i="5"/>
  <c r="J13" i="5"/>
  <c r="M13" i="5" s="1"/>
  <c r="K13" i="5"/>
  <c r="O13" i="5" s="1"/>
  <c r="J11" i="5"/>
  <c r="M11" i="5" s="1"/>
  <c r="K11" i="5"/>
  <c r="O11" i="5" s="1"/>
  <c r="P11" i="5"/>
  <c r="J8" i="5"/>
  <c r="M8" i="5" s="1"/>
  <c r="K8" i="5"/>
  <c r="O8" i="5" s="1"/>
  <c r="P8" i="5"/>
  <c r="J6" i="5"/>
  <c r="M6" i="5" s="1"/>
  <c r="K6" i="5"/>
  <c r="O6" i="5" s="1"/>
  <c r="P6" i="5"/>
  <c r="J3" i="5"/>
  <c r="M3" i="5" s="1"/>
  <c r="K3" i="5"/>
  <c r="O3" i="5" s="1"/>
  <c r="P3" i="5"/>
  <c r="I17" i="5"/>
  <c r="Q41" i="5"/>
  <c r="P41" i="5"/>
  <c r="O41" i="5"/>
  <c r="N41" i="5"/>
  <c r="M41" i="5"/>
  <c r="L41" i="5"/>
  <c r="L22" i="5" l="1"/>
  <c r="Q22" i="5"/>
  <c r="L18" i="5"/>
  <c r="Q18" i="5"/>
  <c r="N12" i="5"/>
  <c r="P12" i="5" s="1"/>
  <c r="J12" i="5"/>
  <c r="M12" i="5" s="1"/>
  <c r="K12" i="5"/>
  <c r="N2" i="5"/>
  <c r="P2" i="5" s="1"/>
  <c r="J2" i="5"/>
  <c r="M2" i="5" s="1"/>
  <c r="K2" i="5"/>
  <c r="N5" i="5"/>
  <c r="P5" i="5" s="1"/>
  <c r="J5" i="5"/>
  <c r="M5" i="5" s="1"/>
  <c r="K5" i="5"/>
  <c r="Q5" i="5" s="1"/>
  <c r="N10" i="5"/>
  <c r="J10" i="5"/>
  <c r="M10" i="5" s="1"/>
  <c r="N7" i="5"/>
  <c r="P7" i="5" s="1"/>
  <c r="J7" i="5"/>
  <c r="M7" i="5" s="1"/>
  <c r="K7" i="5"/>
  <c r="N9" i="5"/>
  <c r="P9" i="5" s="1"/>
  <c r="J9" i="5"/>
  <c r="M9" i="5" s="1"/>
  <c r="K9" i="5"/>
  <c r="N4" i="5"/>
  <c r="P4" i="5" s="1"/>
  <c r="J4" i="5"/>
  <c r="K4" i="5"/>
  <c r="H28" i="5"/>
  <c r="J28" i="5"/>
  <c r="C38" i="5"/>
  <c r="C39" i="5"/>
  <c r="L24" i="5"/>
  <c r="Q24" i="5"/>
  <c r="L20" i="5"/>
  <c r="Q20" i="5"/>
  <c r="L15" i="5"/>
  <c r="Q15" i="5"/>
  <c r="R15" i="5" s="1"/>
  <c r="L14" i="5"/>
  <c r="Q14" i="5"/>
  <c r="R14" i="5" s="1"/>
  <c r="L13" i="5"/>
  <c r="Q13" i="5"/>
  <c r="R13" i="5" s="1"/>
  <c r="L11" i="5"/>
  <c r="Q11" i="5"/>
  <c r="R11" i="5" s="1"/>
  <c r="L10" i="5"/>
  <c r="Q10" i="5"/>
  <c r="Q8" i="5"/>
  <c r="R8" i="5" s="1"/>
  <c r="L8" i="5"/>
  <c r="L6" i="5"/>
  <c r="Q6" i="5"/>
  <c r="R6" i="5" s="1"/>
  <c r="Q3" i="5"/>
  <c r="R3" i="5" s="1"/>
  <c r="L3" i="5"/>
  <c r="K17" i="5"/>
  <c r="R5" i="5" l="1"/>
  <c r="O2" i="5"/>
  <c r="L2" i="5"/>
  <c r="Q2" i="5"/>
  <c r="R2" i="5" s="1"/>
  <c r="O5" i="5"/>
  <c r="L5" i="5"/>
  <c r="O12" i="5"/>
  <c r="L12" i="5"/>
  <c r="Q12" i="5"/>
  <c r="R12" i="5" s="1"/>
  <c r="P10" i="5"/>
  <c r="O10" i="5"/>
  <c r="O7" i="5"/>
  <c r="L7" i="5"/>
  <c r="Q7" i="5"/>
  <c r="R7" i="5" s="1"/>
  <c r="W12" i="5"/>
  <c r="O9" i="5"/>
  <c r="L9" i="5"/>
  <c r="Q9" i="5"/>
  <c r="R9" i="5" s="1"/>
  <c r="M4" i="5"/>
  <c r="U12" i="5"/>
  <c r="O4" i="5"/>
  <c r="L4" i="5"/>
  <c r="Q4" i="5"/>
  <c r="C42" i="5"/>
  <c r="C43" i="5" s="1"/>
  <c r="N28" i="5"/>
  <c r="P28" i="5" s="1"/>
  <c r="U7" i="5" s="1"/>
  <c r="M28" i="5"/>
  <c r="U17" i="5"/>
  <c r="Q28" i="5"/>
  <c r="W13" i="5"/>
  <c r="X13" i="5" s="1"/>
  <c r="Q17" i="5"/>
  <c r="L17" i="5"/>
  <c r="R10" i="5" l="1"/>
  <c r="U5" i="5"/>
  <c r="X12" i="5"/>
  <c r="X14" i="5" s="1"/>
  <c r="W14" i="5"/>
  <c r="V12" i="5"/>
  <c r="R4" i="5"/>
  <c r="V5" i="5"/>
  <c r="J20" i="5"/>
  <c r="J24" i="5"/>
  <c r="J26" i="5"/>
  <c r="J18" i="5"/>
  <c r="J19" i="5"/>
  <c r="J22" i="5"/>
  <c r="J23" i="5"/>
  <c r="J25" i="5"/>
  <c r="J21" i="5"/>
  <c r="J17" i="5"/>
  <c r="V17" i="5"/>
  <c r="V18" i="5" s="1"/>
  <c r="U18" i="5"/>
  <c r="R28" i="5"/>
  <c r="V7" i="5"/>
  <c r="W7" i="5" s="1"/>
  <c r="V6" i="5"/>
  <c r="V8" i="5" l="1"/>
  <c r="W5" i="5"/>
  <c r="M24" i="5"/>
  <c r="N24" i="5"/>
  <c r="M20" i="5"/>
  <c r="N20" i="5"/>
  <c r="M26" i="5"/>
  <c r="N26" i="5"/>
  <c r="M18" i="5"/>
  <c r="N18" i="5"/>
  <c r="M19" i="5"/>
  <c r="N19" i="5"/>
  <c r="M22" i="5"/>
  <c r="N22" i="5"/>
  <c r="M23" i="5"/>
  <c r="N23" i="5"/>
  <c r="M25" i="5"/>
  <c r="N25" i="5"/>
  <c r="M21" i="5"/>
  <c r="N21" i="5"/>
  <c r="N17" i="5"/>
  <c r="U13" i="5"/>
  <c r="M17" i="5"/>
  <c r="V13" i="5" l="1"/>
  <c r="V14" i="5" s="1"/>
  <c r="U14" i="5"/>
  <c r="P24" i="5"/>
  <c r="R24" i="5" s="1"/>
  <c r="O24" i="5"/>
  <c r="O22" i="5"/>
  <c r="P22" i="5"/>
  <c r="R22" i="5" s="1"/>
  <c r="O20" i="5"/>
  <c r="P20" i="5"/>
  <c r="R20" i="5" s="1"/>
  <c r="P23" i="5"/>
  <c r="R23" i="5" s="1"/>
  <c r="O23" i="5"/>
  <c r="O25" i="5"/>
  <c r="P25" i="5"/>
  <c r="R25" i="5" s="1"/>
  <c r="O26" i="5"/>
  <c r="P26" i="5"/>
  <c r="O19" i="5"/>
  <c r="P19" i="5"/>
  <c r="R19" i="5" s="1"/>
  <c r="P21" i="5"/>
  <c r="R21" i="5" s="1"/>
  <c r="O21" i="5"/>
  <c r="O18" i="5"/>
  <c r="P18" i="5"/>
  <c r="R18" i="5" s="1"/>
  <c r="O17" i="5"/>
  <c r="P17" i="5"/>
  <c r="R17" i="5" s="1"/>
  <c r="R26" i="5" l="1"/>
  <c r="U6" i="5"/>
  <c r="W6" i="5" l="1"/>
  <c r="W8" i="5" s="1"/>
  <c r="U8" i="5"/>
</calcChain>
</file>

<file path=xl/sharedStrings.xml><?xml version="1.0" encoding="utf-8"?>
<sst xmlns="http://schemas.openxmlformats.org/spreadsheetml/2006/main" count="1805" uniqueCount="885">
  <si>
    <t>DC</t>
  </si>
  <si>
    <t>Data_ref</t>
  </si>
  <si>
    <t>DU</t>
  </si>
  <si>
    <t>Data</t>
  </si>
  <si>
    <t>X25</t>
  </si>
  <si>
    <t>Z25</t>
  </si>
  <si>
    <t>F26</t>
  </si>
  <si>
    <t>G26</t>
  </si>
  <si>
    <t>H26</t>
  </si>
  <si>
    <t>J26</t>
  </si>
  <si>
    <t>K26</t>
  </si>
  <si>
    <t>M26</t>
  </si>
  <si>
    <t>N26</t>
  </si>
  <si>
    <t>Q26</t>
  </si>
  <si>
    <t>U26</t>
  </si>
  <si>
    <t>V26</t>
  </si>
  <si>
    <t>X26</t>
  </si>
  <si>
    <t>Z26</t>
  </si>
  <si>
    <t>F27</t>
  </si>
  <si>
    <t>J27</t>
  </si>
  <si>
    <t>N27</t>
  </si>
  <si>
    <t>Q27</t>
  </si>
  <si>
    <t>V27</t>
  </si>
  <si>
    <t>F28</t>
  </si>
  <si>
    <t>J28</t>
  </si>
  <si>
    <t>N28</t>
  </si>
  <si>
    <t>V28</t>
  </si>
  <si>
    <t>F29</t>
  </si>
  <si>
    <t>J29</t>
  </si>
  <si>
    <t>N29</t>
  </si>
  <si>
    <t>V29</t>
  </si>
  <si>
    <t>F30</t>
  </si>
  <si>
    <t>J30</t>
  </si>
  <si>
    <t>N30</t>
  </si>
  <si>
    <t>V30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</si>
  <si>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</si>
  <si>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</si>
  <si>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</si>
  <si>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</si>
  <si>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</si>
  <si>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</si>
  <si>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</si>
  <si>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</si>
  <si>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</si>
  <si>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</si>
  <si>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DI1</t>
  </si>
  <si>
    <t>Ajuste</t>
  </si>
  <si>
    <t>Vencimentos</t>
  </si>
  <si>
    <t>Mês Ref</t>
  </si>
  <si>
    <t>IPCA - geral - índice (dez. 1993 = 100)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</si>
  <si>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</si>
  <si>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</si>
  <si>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</si>
  <si>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</si>
  <si>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</si>
  <si>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</si>
  <si>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</si>
  <si>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</si>
  <si>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</si>
  <si>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</si>
  <si>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</si>
  <si>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</si>
  <si>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</si>
  <si>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</si>
  <si>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</si>
  <si>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</si>
  <si>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</si>
  <si>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</si>
  <si>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</si>
  <si>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</si>
  <si>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</si>
  <si>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</si>
  <si>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</si>
  <si>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</si>
  <si>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</si>
  <si>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</si>
  <si>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</si>
  <si>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</si>
  <si>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</si>
  <si>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</si>
  <si>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</si>
  <si>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</si>
  <si>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</si>
  <si>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</si>
  <si>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</si>
  <si>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</si>
  <si>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</si>
  <si>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</si>
  <si>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</si>
  <si>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</si>
  <si>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</si>
  <si>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</si>
  <si>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</si>
  <si>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</si>
  <si>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</si>
  <si>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</si>
  <si>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</si>
  <si>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</si>
  <si>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</si>
  <si>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</si>
  <si>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</si>
  <si>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</si>
  <si>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</si>
  <si>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</si>
  <si>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</si>
  <si>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</si>
  <si>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</si>
  <si>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</si>
  <si>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</si>
  <si>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</si>
  <si>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</si>
  <si>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</si>
  <si>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</si>
  <si>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</si>
  <si>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</si>
  <si>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</si>
  <si>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</si>
  <si>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</si>
  <si>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</si>
  <si>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</si>
  <si>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</si>
  <si>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</si>
  <si>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</si>
  <si>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</si>
  <si>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</si>
  <si>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</si>
  <si>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</si>
  <si>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</si>
  <si>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</si>
  <si>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</si>
  <si>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</si>
  <si>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</si>
  <si>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</si>
  <si>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</si>
  <si>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</si>
  <si>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</si>
  <si>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</si>
  <si>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</si>
  <si>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</si>
  <si>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</si>
  <si>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</si>
  <si>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</si>
  <si>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</si>
  <si>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</si>
  <si>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</si>
  <si>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</si>
  <si>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</si>
  <si>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</si>
  <si>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</si>
  <si>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</si>
  <si>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</si>
  <si>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</si>
  <si>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</si>
  <si>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</si>
  <si>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</si>
  <si>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</si>
  <si>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</si>
  <si>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</si>
  <si>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</si>
  <si>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</si>
  <si>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</si>
  <si>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</si>
  <si>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</si>
  <si>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</si>
  <si>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</si>
  <si>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</si>
  <si>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</si>
  <si>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</si>
  <si>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</si>
  <si>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</si>
  <si>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</si>
  <si>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</si>
  <si>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</si>
  <si>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</si>
  <si>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</si>
  <si>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</si>
  <si>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</si>
  <si>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</si>
  <si>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</si>
  <si>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</si>
  <si>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</si>
  <si>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</si>
  <si>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</si>
  <si>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</si>
  <si>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</si>
  <si>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</si>
  <si>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</si>
  <si>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</si>
  <si>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</si>
  <si>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</si>
  <si>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</si>
  <si>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</si>
  <si>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</si>
  <si>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</si>
  <si>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</si>
  <si>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</si>
  <si>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</si>
  <si>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</si>
  <si>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</si>
  <si>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</si>
  <si>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</si>
  <si>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</si>
  <si>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</si>
  <si>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</si>
  <si>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</si>
  <si>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</si>
  <si>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</si>
  <si>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</si>
  <si>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</si>
  <si>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</si>
  <si>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</si>
  <si>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</si>
  <si>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</si>
  <si>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</si>
  <si>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</si>
  <si>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</si>
  <si>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</si>
  <si>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</si>
  <si>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</si>
  <si>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</si>
  <si>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</si>
  <si>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</si>
  <si>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</si>
  <si>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</si>
  <si>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</si>
  <si>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</si>
  <si>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</si>
  <si>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</si>
  <si>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</si>
  <si>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</si>
  <si>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</si>
  <si>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</si>
  <si>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</si>
  <si>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</si>
  <si>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</si>
  <si>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</si>
  <si>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</si>
  <si>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</si>
  <si>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</si>
  <si>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</si>
  <si>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</si>
  <si>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</si>
  <si>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</si>
  <si>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</si>
  <si>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</si>
  <si>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</si>
  <si>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</si>
  <si>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</si>
  <si>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</si>
  <si>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</si>
  <si>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</si>
  <si>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</si>
  <si>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</si>
  <si>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</si>
  <si>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</si>
  <si>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</si>
  <si>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</si>
  <si>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</si>
  <si>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</si>
  <si>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</si>
  <si>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</si>
  <si>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</si>
  <si>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</si>
  <si>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</si>
  <si>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</si>
  <si>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</si>
  <si>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</si>
  <si>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</si>
  <si>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</si>
  <si>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</si>
  <si>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</si>
  <si>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</si>
  <si>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</si>
  <si>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</si>
  <si>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</si>
  <si>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</si>
  <si>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</si>
  <si>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</si>
  <si>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</si>
  <si>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</si>
  <si>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</si>
  <si>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</si>
  <si>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</si>
  <si>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</si>
  <si>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</si>
  <si>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</si>
  <si>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</si>
  <si>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</si>
  <si>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</si>
  <si>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</si>
  <si>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</si>
  <si>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</si>
  <si>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</si>
  <si>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</si>
  <si>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</si>
  <si>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</si>
  <si>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</si>
  <si>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</si>
  <si>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</si>
  <si>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</si>
  <si>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</si>
  <si>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</si>
  <si>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</si>
  <si>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</si>
  <si>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</si>
  <si>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</si>
  <si>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</si>
  <si>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</si>
  <si>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</si>
  <si>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</si>
  <si>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</si>
  <si>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</si>
  <si>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</si>
  <si>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</si>
  <si>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</si>
  <si>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</si>
  <si>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</si>
  <si>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</si>
  <si>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</si>
  <si>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</si>
  <si>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</si>
  <si>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</si>
  <si>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</si>
  <si>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</si>
  <si>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</si>
  <si>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</si>
  <si>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</si>
  <si>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</si>
  <si>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</si>
  <si>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</si>
  <si>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</si>
  <si>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</si>
  <si>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</si>
  <si>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</si>
  <si>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</si>
  <si>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</si>
  <si>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</si>
  <si>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</si>
  <si>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</si>
  <si>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</si>
  <si>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</si>
  <si>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</si>
  <si>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</si>
  <si>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</si>
  <si>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</si>
  <si>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</si>
  <si>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</si>
  <si>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</si>
  <si>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</si>
  <si>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</si>
  <si>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</si>
  <si>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</si>
  <si>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</si>
  <si>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</si>
  <si>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</si>
  <si>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</si>
  <si>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</si>
  <si>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</si>
  <si>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</si>
  <si>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</si>
  <si>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</si>
  <si>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</si>
  <si>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</si>
  <si>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</si>
  <si>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</si>
  <si>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</si>
  <si>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</si>
  <si>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</si>
  <si>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</si>
  <si>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</si>
  <si>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</si>
  <si>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</si>
  <si>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</si>
  <si>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</si>
  <si>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</si>
  <si>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</si>
  <si>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</si>
  <si>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</si>
  <si>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</si>
  <si>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</si>
  <si>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</si>
  <si>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</si>
  <si>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</si>
  <si>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</si>
  <si>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</si>
  <si>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</si>
  <si>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</si>
  <si>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</si>
  <si>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</si>
  <si>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</si>
  <si>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</si>
  <si>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</si>
  <si>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</si>
  <si>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</si>
  <si>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</si>
  <si>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</si>
  <si>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</si>
  <si>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</si>
  <si>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</si>
  <si>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</si>
  <si>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</si>
  <si>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</si>
  <si>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</si>
  <si>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</si>
  <si>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</si>
  <si>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</si>
  <si>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</si>
  <si>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</si>
  <si>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</si>
  <si>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</si>
  <si>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</si>
  <si>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</si>
  <si>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</si>
  <si>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</si>
  <si>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</si>
  <si>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</si>
  <si>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</si>
  <si>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</si>
  <si>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</si>
  <si>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</si>
  <si>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</si>
  <si>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</si>
  <si>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</si>
  <si>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</si>
  <si>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</si>
  <si>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</si>
  <si>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</si>
  <si>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</si>
  <si>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</si>
  <si>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</si>
  <si>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</si>
  <si>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</si>
  <si>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</si>
  <si>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</si>
  <si>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</si>
  <si>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</si>
  <si>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</si>
  <si>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</si>
  <si>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</si>
  <si>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</si>
  <si>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</si>
  <si>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</si>
  <si>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</si>
  <si>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</si>
  <si>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</si>
  <si>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</si>
  <si>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</si>
  <si>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</si>
  <si>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</si>
  <si>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</si>
  <si>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</si>
  <si>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</si>
  <si>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</si>
  <si>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</si>
  <si>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</si>
  <si>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</si>
  <si>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</si>
  <si>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</si>
  <si>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</si>
  <si>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</si>
  <si>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</si>
  <si>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</si>
  <si>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</si>
  <si>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</si>
  <si>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</si>
  <si>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</si>
  <si>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</si>
  <si>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</si>
  <si>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</si>
  <si>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</si>
  <si>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</si>
  <si>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</si>
  <si>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</si>
  <si>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</si>
  <si>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</si>
  <si>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</si>
  <si>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</si>
  <si>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</si>
  <si>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</si>
  <si>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</si>
  <si>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</si>
  <si>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</si>
  <si>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</si>
  <si>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</si>
  <si>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</si>
  <si>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</si>
  <si>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</si>
  <si>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</si>
  <si>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</si>
  <si>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</si>
  <si>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</si>
  <si>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</si>
  <si>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</si>
  <si>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</si>
  <si>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</si>
  <si>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</si>
  <si>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</si>
  <si>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</si>
  <si>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</si>
  <si>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</si>
  <si>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</si>
  <si>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</si>
  <si>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</si>
  <si>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</si>
  <si>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</si>
  <si>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</si>
  <si>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</si>
  <si>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</si>
  <si>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</si>
  <si>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</si>
  <si>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</si>
  <si>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</si>
  <si>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</si>
  <si>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</si>
  <si>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</si>
  <si>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</si>
  <si>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</si>
  <si>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</si>
  <si>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</si>
  <si>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</si>
  <si>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</si>
  <si>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</si>
  <si>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</si>
  <si>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</si>
  <si>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</si>
  <si>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</si>
  <si>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</si>
  <si>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</si>
  <si>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</si>
  <si>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</si>
  <si>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</si>
  <si>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</si>
  <si>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</si>
  <si>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</si>
  <si>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</si>
  <si>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</si>
  <si>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</si>
  <si>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</si>
  <si>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</si>
  <si>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</si>
  <si>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</si>
  <si>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</si>
  <si>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</si>
  <si>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</si>
  <si>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</si>
  <si>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</si>
  <si>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</si>
  <si>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</si>
  <si>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</si>
  <si>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</si>
  <si>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</si>
  <si>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</si>
  <si>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</si>
  <si>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</si>
  <si>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</si>
  <si>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</si>
  <si>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</si>
  <si>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</si>
  <si>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</si>
  <si>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</si>
  <si>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</si>
  <si>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</si>
  <si>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</si>
  <si>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</si>
  <si>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</si>
  <si>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</si>
  <si>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</si>
  <si>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</si>
  <si>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</si>
  <si>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</si>
  <si>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</si>
  <si>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</si>
  <si>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</si>
  <si>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</si>
  <si>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</si>
  <si>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</si>
  <si>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</si>
  <si>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</si>
  <si>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</si>
  <si>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</si>
  <si>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</si>
  <si>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</si>
  <si>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</si>
  <si>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</si>
  <si>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</si>
  <si>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</si>
  <si>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</si>
  <si>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</si>
  <si>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</si>
  <si>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</si>
  <si>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</si>
  <si>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</si>
  <si>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</si>
  <si>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</si>
  <si>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</si>
  <si>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</si>
  <si>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</si>
  <si>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</si>
  <si>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</si>
  <si>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</si>
  <si>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DAP</t>
  </si>
  <si>
    <t>K27</t>
  </si>
  <si>
    <t>Q28</t>
  </si>
  <si>
    <t>K29</t>
  </si>
  <si>
    <t>Q30</t>
  </si>
  <si>
    <t>Q32</t>
  </si>
  <si>
    <t>K33</t>
  </si>
  <si>
    <t>K35</t>
  </si>
  <si>
    <t>Q40</t>
  </si>
  <si>
    <t>K45</t>
  </si>
  <si>
    <t>Q50</t>
  </si>
  <si>
    <t>K55</t>
  </si>
  <si>
    <t>Q60</t>
  </si>
  <si>
    <t>F</t>
  </si>
  <si>
    <t>G</t>
  </si>
  <si>
    <t>H</t>
  </si>
  <si>
    <t>J</t>
  </si>
  <si>
    <t>K</t>
  </si>
  <si>
    <t>M</t>
  </si>
  <si>
    <t>N</t>
  </si>
  <si>
    <t>Q</t>
  </si>
  <si>
    <t>U</t>
  </si>
  <si>
    <t>V</t>
  </si>
  <si>
    <t>X</t>
  </si>
  <si>
    <t>Z</t>
  </si>
  <si>
    <t>DU entre</t>
  </si>
  <si>
    <t>IPCA_Ref</t>
  </si>
  <si>
    <t>Próximo</t>
  </si>
  <si>
    <t>NI IPCA Ref</t>
  </si>
  <si>
    <t>Colar F2</t>
  </si>
  <si>
    <t>NI</t>
  </si>
  <si>
    <t>Projeção ANBIMA</t>
  </si>
  <si>
    <t>Valor Ponto (R$)</t>
  </si>
  <si>
    <t>Valor Pontos Contrato</t>
  </si>
  <si>
    <t>R$ PT</t>
  </si>
  <si>
    <t>DU desde</t>
  </si>
  <si>
    <t>Last</t>
  </si>
  <si>
    <t>PU Aj</t>
  </si>
  <si>
    <t>cdi_dia</t>
  </si>
  <si>
    <t>cdi</t>
  </si>
  <si>
    <t>Carry</t>
  </si>
  <si>
    <t>Alocação</t>
  </si>
  <si>
    <t>Var bps</t>
  </si>
  <si>
    <t>15/8/2026</t>
  </si>
  <si>
    <t>15/5/2027</t>
  </si>
  <si>
    <t>15/8/2028</t>
  </si>
  <si>
    <t>15/5/2029</t>
  </si>
  <si>
    <t>15/8/2030</t>
  </si>
  <si>
    <t>15/8/2032</t>
  </si>
  <si>
    <t>15/5/2033</t>
  </si>
  <si>
    <t>15/8/2040</t>
  </si>
  <si>
    <t>15/5/2045</t>
  </si>
  <si>
    <t>PL Atualizado</t>
  </si>
  <si>
    <t>Contrato (R$)</t>
  </si>
  <si>
    <t>Padrão</t>
  </si>
  <si>
    <t>PnL</t>
  </si>
  <si>
    <t>Taxa</t>
  </si>
  <si>
    <t>Carry d0</t>
  </si>
  <si>
    <t>Taxa d0</t>
  </si>
  <si>
    <t>MtM</t>
  </si>
  <si>
    <t>WDO</t>
  </si>
  <si>
    <t>Dolár</t>
  </si>
  <si>
    <t>DOLPT</t>
  </si>
  <si>
    <t>PTXUSDV</t>
  </si>
  <si>
    <t>Posição/PL</t>
  </si>
  <si>
    <t>Posições</t>
  </si>
  <si>
    <t>% PL</t>
  </si>
  <si>
    <t>Pré</t>
  </si>
  <si>
    <t>Juro Real</t>
  </si>
  <si>
    <t>Moeda</t>
  </si>
  <si>
    <t>Net Juros BZ</t>
  </si>
  <si>
    <t>Notional</t>
  </si>
  <si>
    <t>Bps</t>
  </si>
  <si>
    <t>DV01 Bps</t>
  </si>
  <si>
    <t>DV01</t>
  </si>
  <si>
    <t>USDBRL</t>
  </si>
  <si>
    <t>IPCA_Ref Ajustado</t>
  </si>
  <si>
    <t>Próximo Ajustado</t>
  </si>
  <si>
    <t>Net FX</t>
  </si>
  <si>
    <t>https://www.ipeadata.gov.br/ExibeSerie.aspx?stub=1&amp;serid=36482&amp;module=M</t>
  </si>
  <si>
    <t>Vencimento</t>
  </si>
  <si>
    <t>Contratos em Aberto</t>
  </si>
  <si>
    <t>Negócios Realizados</t>
  </si>
  <si>
    <t>Contratos Negociados</t>
  </si>
  <si>
    <t>Volume</t>
  </si>
  <si>
    <t>Ajuste Anterior</t>
  </si>
  <si>
    <t>Preço de Abertura</t>
  </si>
  <si>
    <t>Preço Mínimo</t>
  </si>
  <si>
    <t>Preço Máximo</t>
  </si>
  <si>
    <t>Preço Médio</t>
  </si>
  <si>
    <t>Último Preço</t>
  </si>
  <si>
    <t>Variação em Pontos</t>
  </si>
  <si>
    <t>Última Oferta de Compra</t>
  </si>
  <si>
    <t>Última Oferta de Venda</t>
  </si>
  <si>
    <t>-</t>
  </si>
  <si>
    <t xml:space="preserve">F26=98.925,21 F27=94.392,34 F28=90.442,50 F29=86.587,15 F30=82.701,07 F31=78.710,38 F32=74.590,55 F33=70.716,03 F34=66.865,72 F35=63.173,92 F36=59.690,29 F37=56.352,13 F38=53.332,59 F39=50.366,91 F40=47.584,00 G26=98.497,54 H26=98.128,80 J26=97.742,93 J27=93.444,77 J28=89.455,36 J29=85.650,65 J30=81.729,06 K26=97.322,65 M26=96.976,74 N26=96.614,66 N27=92.500,40 N28=88.592,21 N29=84.719,10 N30=80.746,16 Q26=96.203,77 Q27=92.127,73 U26=95.865,13 V26=95.523,12 V27=91.448,24 V28=87.579,67 V29=83.799,49 V30=79.759,33 X25=99.822,17 X26=95.134,31 Z25=99.423,13 Z26=94.812,68 </t>
  </si>
  <si>
    <t>Preços de Ajustes Corrigidos Referentes a 28/10/2025</t>
  </si>
  <si>
    <t>Taxa DI Over para 27/10/2025: 0,0551%</t>
  </si>
  <si>
    <t>A taxa e os preços são apenas prévias, não devendo ser considerados definitivos.</t>
  </si>
  <si>
    <t xml:space="preserve">F26=97.551,21 F27=85.989,56 F28=76.655,82 F29=68.035,21 F30=59.976,13 F31=52.700,40 F32=46.235,53 F33=40.656,76 F34=35.825,41 F35=31.606,50 F36=27.993,52 F37=24.714,94 F38=21.932,43 F39=19.455,02 F40=17.197,95 G26=96.432,17 H26=95.488,41 J26=94.358,92 J27=83.620,43 J28=74.434,01 J29=65.989,34 J30=58.144,52 K26=93.352,48 M26=92.392,69 N26=91.406,59 N27=81.259,36 N28=72.286,42 N29=63.887,04 N30=56.313,63 Q26=90.352,83 Q27=80.448,64 U26=89.427,43 V26=88.527,73 V27=78.877,43 V28=70.047,33 V29=61.870,83 V30=54.445,09 X25=99.779,75 X26=87.649,31 Z25=98.740,25 Z26=86.876,44 </t>
  </si>
  <si>
    <t>DDI</t>
  </si>
  <si>
    <t>-25,16↓</t>
  </si>
  <si>
    <t>13,32↑</t>
  </si>
  <si>
    <t>-22,94↓</t>
  </si>
  <si>
    <t>-19,56↓</t>
  </si>
  <si>
    <t>-16,97↓</t>
  </si>
  <si>
    <t>57,49↑</t>
  </si>
  <si>
    <t>84,15↑</t>
  </si>
  <si>
    <t>139,07↑</t>
  </si>
  <si>
    <t>-19,34↓</t>
  </si>
  <si>
    <t>481,26↑</t>
  </si>
  <si>
    <t>-23,74↓</t>
  </si>
  <si>
    <t>-2,79↓</t>
  </si>
  <si>
    <t>85,16↑</t>
  </si>
  <si>
    <t>97,69↑</t>
  </si>
  <si>
    <t>91,55↑</t>
  </si>
  <si>
    <t>10,55↑</t>
  </si>
  <si>
    <t>-24,11↓</t>
  </si>
  <si>
    <t>-24,94↓</t>
  </si>
  <si>
    <t>-16,39↓</t>
  </si>
  <si>
    <t>-30,36↓</t>
  </si>
  <si>
    <t xml:space="preserve">F26=97.832,59 F27=89.944,35 G26=97.111,09 H26=96.627,98 J26=95.883,92 K27=87.951,85 K29=76.591,49 K33=57.769,41 K35=50.590,04 K45=26.330,55 K55=13.428,25 Q26=92.650,88 Q28=80.501,59 Q30=70.060,85 Q32=60.748,04 Q40=35.508,69 Q50=18.335,59 Q60=9.379,87 X25=99.350,11 Z25=98.482,67 </t>
  </si>
  <si>
    <t>* Preços de Ajustes Corrigidos Referentes a 28/10/2025</t>
  </si>
  <si>
    <t>Valor Índice Ipca pro Rata Tempore: 7.362,9</t>
  </si>
  <si>
    <t>Ajuste de Referência</t>
  </si>
  <si>
    <t>-0,04↓</t>
  </si>
  <si>
    <t>0,03↑</t>
  </si>
  <si>
    <t>-0,03↓</t>
  </si>
  <si>
    <t>-0,05↓</t>
  </si>
  <si>
    <t>-0,02↓</t>
  </si>
  <si>
    <t>-0,01↓</t>
  </si>
  <si>
    <t>0,02↑</t>
  </si>
  <si>
    <t>0,01↑</t>
  </si>
  <si>
    <t>-0,08↓</t>
  </si>
  <si>
    <t>FRC</t>
  </si>
  <si>
    <t>DATA_REF</t>
  </si>
  <si>
    <t xml:space="preserve">Fator DI </t>
  </si>
  <si>
    <t>Curva implícita</t>
  </si>
  <si>
    <t>Vencimento padrão</t>
  </si>
  <si>
    <t>Fator DDI</t>
  </si>
  <si>
    <t>Notional contrato</t>
  </si>
  <si>
    <t>PTAX</t>
  </si>
  <si>
    <t>PTAX T-1</t>
  </si>
  <si>
    <t>DCL</t>
  </si>
  <si>
    <t>PTAX_D1</t>
  </si>
  <si>
    <t>Variação cambial</t>
  </si>
  <si>
    <t>Dólar futuro</t>
  </si>
  <si>
    <t>FRA</t>
  </si>
  <si>
    <t>IPCA Pro Rata</t>
  </si>
  <si>
    <t>Vencimento contrato</t>
  </si>
  <si>
    <t>Código</t>
  </si>
  <si>
    <t>A</t>
  </si>
  <si>
    <t>Tipo</t>
  </si>
  <si>
    <t>Compra</t>
  </si>
  <si>
    <t>Venda</t>
  </si>
  <si>
    <t>PTAX BC</t>
  </si>
  <si>
    <t>DU+1</t>
  </si>
  <si>
    <t>DU+2</t>
  </si>
  <si>
    <t>DU-1</t>
  </si>
  <si>
    <t>DU-2</t>
  </si>
  <si>
    <t>Spot BMF T2</t>
  </si>
  <si>
    <t>Spot BMF T1</t>
  </si>
  <si>
    <t>5,3616 </t>
  </si>
  <si>
    <t>5,3593 </t>
  </si>
  <si>
    <t>Cotações em Real1/</t>
  </si>
  <si>
    <t>Cupom Limpo</t>
  </si>
  <si>
    <t>Fator CL</t>
  </si>
  <si>
    <t>CL_DCL</t>
  </si>
  <si>
    <t>CL_DOC</t>
  </si>
  <si>
    <t>Variação Cambial</t>
  </si>
  <si>
    <t>-0,17↓</t>
  </si>
  <si>
    <t>-22,62↓</t>
  </si>
  <si>
    <t>-72,24↓</t>
  </si>
  <si>
    <t>-106,64↓</t>
  </si>
  <si>
    <t>-152,42↓</t>
  </si>
  <si>
    <t>-181,74↓</t>
  </si>
  <si>
    <t>-187,07↓</t>
  </si>
  <si>
    <t>-178,05↓</t>
  </si>
  <si>
    <t>-173,35↓</t>
  </si>
  <si>
    <t>-168,65↓</t>
  </si>
  <si>
    <t>-170,40↓</t>
  </si>
  <si>
    <t>-155,65↓</t>
  </si>
  <si>
    <t>-141,08↓</t>
  </si>
  <si>
    <t>-135,41↓</t>
  </si>
  <si>
    <t>-128,72↓</t>
  </si>
  <si>
    <t>-1,16↓</t>
  </si>
  <si>
    <t>-0,70↓</t>
  </si>
  <si>
    <t>-2,39↓</t>
  </si>
  <si>
    <t>-29,67↓</t>
  </si>
  <si>
    <t>-82,66↓</t>
  </si>
  <si>
    <t>-116,86↓</t>
  </si>
  <si>
    <t>-151,62↓</t>
  </si>
  <si>
    <t>-0,48↓</t>
  </si>
  <si>
    <t>-2,72↓</t>
  </si>
  <si>
    <t>-4,88↓</t>
  </si>
  <si>
    <t>-45,83↓</t>
  </si>
  <si>
    <t>-84,51↓</t>
  </si>
  <si>
    <t>-125,10↓</t>
  </si>
  <si>
    <t>-166,23↓</t>
  </si>
  <si>
    <t>-5,72↓</t>
  </si>
  <si>
    <t>-51,44↓</t>
  </si>
  <si>
    <t>-8,47↓</t>
  </si>
  <si>
    <t>-13,00↓</t>
  </si>
  <si>
    <t>-61,90↓</t>
  </si>
  <si>
    <t>-105,44↓</t>
  </si>
  <si>
    <t>-137,76↓</t>
  </si>
  <si>
    <t>-164,85↓</t>
  </si>
  <si>
    <t>-14,97↓</t>
  </si>
  <si>
    <t>-0,16↓</t>
  </si>
  <si>
    <t>-24,33↓</t>
  </si>
  <si>
    <t>-276,93↓</t>
  </si>
  <si>
    <t>-280,77↓</t>
  </si>
  <si>
    <t>-295,55↓</t>
  </si>
  <si>
    <t>-320,32↓</t>
  </si>
  <si>
    <t>-293,67↓</t>
  </si>
  <si>
    <t>-290,14↓</t>
  </si>
  <si>
    <t>-179,09↓</t>
  </si>
  <si>
    <t>-274,71↓</t>
  </si>
  <si>
    <t>-80,45↓</t>
  </si>
  <si>
    <t>-71,53↓</t>
  </si>
  <si>
    <t>-59,49↓</t>
  </si>
  <si>
    <t>-55,35↓</t>
  </si>
  <si>
    <t>-83,32↓</t>
  </si>
  <si>
    <t>-75,54↓</t>
  </si>
  <si>
    <t>-71,50↓</t>
  </si>
  <si>
    <t>-274,80↓</t>
  </si>
  <si>
    <t>-272,26↓</t>
  </si>
  <si>
    <t>-279,68↓</t>
  </si>
  <si>
    <t>-295,59↓</t>
  </si>
  <si>
    <t>-344,94↓</t>
  </si>
  <si>
    <t>-292,25↓</t>
  </si>
  <si>
    <t>-269,39↓</t>
  </si>
  <si>
    <t>-272,43↓</t>
  </si>
  <si>
    <t>-276,84↓</t>
  </si>
  <si>
    <t>-293,86↓</t>
  </si>
  <si>
    <t>-274,36↓</t>
  </si>
  <si>
    <t>-349,39↓</t>
  </si>
  <si>
    <t>-293,25↓</t>
  </si>
  <si>
    <t>-275,62↓</t>
  </si>
  <si>
    <t>-294,50↓</t>
  </si>
  <si>
    <t>-274,09↓</t>
  </si>
  <si>
    <t>-290,62↓</t>
  </si>
  <si>
    <t>-278,73↓</t>
  </si>
  <si>
    <t>-274,02↓</t>
  </si>
  <si>
    <t>-377,77↓</t>
  </si>
  <si>
    <t>-290,60↓</t>
  </si>
  <si>
    <t>-286,04↓</t>
  </si>
  <si>
    <t>-281,87↓</t>
  </si>
  <si>
    <t>-280,27↓</t>
  </si>
  <si>
    <t>-291,68↓</t>
  </si>
  <si>
    <t>Ajustado</t>
  </si>
  <si>
    <t>DV01/PL (bps)</t>
  </si>
  <si>
    <t>Carry to div01</t>
  </si>
  <si>
    <t>2025.10</t>
  </si>
  <si>
    <t>2025.11</t>
  </si>
  <si>
    <t>2025.12</t>
  </si>
  <si>
    <t>Settle</t>
  </si>
  <si>
    <t>B30</t>
  </si>
  <si>
    <t>B35</t>
  </si>
  <si>
    <t>LTN JAN29</t>
  </si>
  <si>
    <t>LTN JUL29</t>
  </si>
  <si>
    <t>C/V</t>
  </si>
  <si>
    <t>Total</t>
  </si>
  <si>
    <t>PU</t>
  </si>
  <si>
    <t>DV01 Posição</t>
  </si>
  <si>
    <t>PL</t>
  </si>
  <si>
    <t>Impacto</t>
  </si>
  <si>
    <t>%PL</t>
  </si>
  <si>
    <t>NTN-B</t>
  </si>
  <si>
    <t>FACA31</t>
  </si>
  <si>
    <t>Choque B (bps)</t>
  </si>
  <si>
    <t>Choque Pré (bps)</t>
  </si>
  <si>
    <t>Basal carteira (100%cdi)</t>
  </si>
  <si>
    <t>Qty</t>
  </si>
  <si>
    <t>Final</t>
  </si>
  <si>
    <t>DV01(%CDI)</t>
  </si>
  <si>
    <t>2026.01</t>
  </si>
  <si>
    <t>2026.02</t>
  </si>
  <si>
    <t>2026.03</t>
  </si>
  <si>
    <t>2026.04</t>
  </si>
  <si>
    <t>LTN JAN30</t>
  </si>
  <si>
    <t>% CDI / Bps</t>
  </si>
  <si>
    <t>Net %CDI / Bps</t>
  </si>
  <si>
    <t>Impacto mês</t>
  </si>
  <si>
    <t>DI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</si>
</sst>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  <numFmt numFmtId="165" formatCode="#,##0_ ;\-#,##0\ "/>
    <numFmt numFmtId="166" formatCode="0.000"/>
    <numFmt numFmtId="167" formatCode="0.00000"/>
    <numFmt numFmtId="168" formatCode="0.0"/>
    <numFmt numFmtId="169" formatCode="0.0000%"/>
    <numFmt numFmtId="170" formatCode="#,##0.000"/>
    <numFmt numFmtId="171" formatCode="#,##0.0000"/>
    <numFmt numFmtId="172" formatCode="0.00000%"/>
    <numFmt numFmtId="173" formatCode="0.0%"/>
    <numFmt numFmtId="174" formatCode="0.000%"/>
    <numFmt numFmtId="175" formatCode="0.0000"/>
    <numFmt numFmtId="176" formatCode="_-* #,##0.00000_-;\-* #,##0.000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000000"/>
      <name val="Verdana"/>
      <family val="2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7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i/>
      <sz val="7"/>
      <color rgb="FF212529"/>
      <name val="Lato"/>
      <family val="2"/>
    </font>
    <font>
      <sz val="11.5"/>
      <color rgb="FF1D1C1D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DCE8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5ECD6"/>
        <bgColor indexed="64"/>
      </patternFill>
    </fill>
    <fill>
      <patternFill patternType="solid">
        <fgColor rgb="FFFCF8EF"/>
        <bgColor indexed="64"/>
      </patternFill>
    </fill>
    <fill>
      <patternFill patternType="solid">
        <fgColor rgb="FFD9C18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 style="medium">
        <color rgb="FFCFCFCF"/>
      </right>
      <top style="medium">
        <color rgb="FF9F9F9F"/>
      </top>
      <bottom style="medium">
        <color rgb="FFCFCFCF"/>
      </bottom>
      <diagonal/>
    </border>
    <border>
      <left style="medium">
        <color rgb="FFCFCFCF"/>
      </left>
      <right/>
      <top style="medium">
        <color rgb="FF9F9F9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 style="medium">
        <color rgb="FFCFCFCF"/>
      </left>
      <right/>
      <top style="medium">
        <color rgb="FFCFCFCF"/>
      </top>
      <bottom style="medium">
        <color rgb="FFCFCFCF"/>
      </bottom>
      <diagonal/>
    </border>
    <border>
      <left/>
      <right style="medium">
        <color rgb="FFCFCFCF"/>
      </right>
      <top style="medium">
        <color rgb="FFCFCFCF"/>
      </top>
      <bottom/>
      <diagonal/>
    </border>
    <border>
      <left style="medium">
        <color rgb="FFCFCFCF"/>
      </left>
      <right/>
      <top style="medium">
        <color rgb="FFCFCFCF"/>
      </top>
      <bottom/>
      <diagonal/>
    </border>
    <border>
      <left style="medium">
        <color rgb="FF9F9F9F"/>
      </left>
      <right/>
      <top style="medium">
        <color rgb="FF9F9F9F"/>
      </top>
      <bottom style="medium">
        <color rgb="FF9F9F9F"/>
      </bottom>
      <diagonal/>
    </border>
    <border>
      <left/>
      <right style="medium">
        <color rgb="FF9F9F9F"/>
      </right>
      <top style="medium">
        <color rgb="FF9F9F9F"/>
      </top>
      <bottom style="medium">
        <color rgb="FF9F9F9F"/>
      </bottom>
      <diagonal/>
    </border>
    <border>
      <left/>
      <right/>
      <top style="medium">
        <color rgb="FF9F9F9F"/>
      </top>
      <bottom style="medium">
        <color rgb="FF9F9F9F"/>
      </bottom>
      <diagonal/>
    </border>
    <border>
      <left style="medium">
        <color rgb="FF9F9F9F"/>
      </left>
      <right/>
      <top style="medium">
        <color rgb="FF9F9F9F"/>
      </top>
      <bottom style="medium">
        <color rgb="FFCFCFCF"/>
      </bottom>
      <diagonal/>
    </border>
    <border>
      <left/>
      <right style="medium">
        <color rgb="FF9F9F9F"/>
      </right>
      <top style="medium">
        <color rgb="FF9F9F9F"/>
      </top>
      <bottom style="medium">
        <color rgb="FFCFCFCF"/>
      </bottom>
      <diagonal/>
    </border>
    <border>
      <left style="medium">
        <color rgb="FF9F9F9F"/>
      </left>
      <right/>
      <top style="medium">
        <color rgb="FFCFCFCF"/>
      </top>
      <bottom style="medium">
        <color rgb="FFCFCFCF"/>
      </bottom>
      <diagonal/>
    </border>
    <border>
      <left/>
      <right style="medium">
        <color rgb="FF9F9F9F"/>
      </right>
      <top style="medium">
        <color rgb="FFCFCFCF"/>
      </top>
      <bottom style="medium">
        <color rgb="FFCFCFCF"/>
      </bottom>
      <diagonal/>
    </border>
    <border>
      <left style="medium">
        <color rgb="FF9F9F9F"/>
      </left>
      <right/>
      <top style="medium">
        <color rgb="FFCFCFCF"/>
      </top>
      <bottom/>
      <diagonal/>
    </border>
    <border>
      <left/>
      <right style="medium">
        <color rgb="FF9F9F9F"/>
      </right>
      <top style="medium">
        <color rgb="FFCFCFC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0" fillId="10" borderId="0" applyNumberFormat="0" applyBorder="0" applyAlignment="0" applyProtection="0"/>
    <xf numFmtId="0" fontId="11" fillId="11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43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14" fontId="1" fillId="3" borderId="0" xfId="3" applyNumberFormat="1" applyFill="1" applyAlignment="1">
      <alignment horizontal="right"/>
    </xf>
    <xf numFmtId="14" fontId="1" fillId="0" borderId="0" xfId="3" applyNumberFormat="1" applyAlignment="1">
      <alignment horizontal="right"/>
    </xf>
    <xf numFmtId="0" fontId="3" fillId="0" borderId="0" xfId="0" applyFont="1" applyAlignment="1">
      <alignment horizontal="center"/>
    </xf>
    <xf numFmtId="0" fontId="5" fillId="4" borderId="7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right" vertical="center"/>
    </xf>
    <xf numFmtId="0" fontId="5" fillId="4" borderId="9" xfId="0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167" fontId="0" fillId="0" borderId="0" xfId="4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2" fontId="3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4" fontId="0" fillId="0" borderId="18" xfId="1" applyNumberFormat="1" applyFont="1" applyBorder="1" applyAlignment="1">
      <alignment horizontal="center"/>
    </xf>
    <xf numFmtId="4" fontId="0" fillId="0" borderId="0" xfId="1" applyNumberFormat="1" applyFont="1" applyBorder="1" applyAlignment="1">
      <alignment horizontal="center"/>
    </xf>
    <xf numFmtId="4" fontId="0" fillId="0" borderId="16" xfId="1" applyNumberFormat="1" applyFont="1" applyBorder="1" applyAlignment="1">
      <alignment horizontal="center"/>
    </xf>
    <xf numFmtId="4" fontId="3" fillId="0" borderId="0" xfId="0" applyNumberFormat="1" applyFont="1" applyAlignment="1">
      <alignment horizontal="center"/>
    </xf>
    <xf numFmtId="0" fontId="0" fillId="8" borderId="18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4" fontId="0" fillId="0" borderId="19" xfId="1" applyNumberFormat="1" applyFont="1" applyBorder="1" applyAlignment="1">
      <alignment horizontal="center"/>
    </xf>
    <xf numFmtId="4" fontId="0" fillId="0" borderId="21" xfId="1" applyNumberFormat="1" applyFont="1" applyBorder="1" applyAlignment="1">
      <alignment horizontal="center"/>
    </xf>
    <xf numFmtId="4" fontId="0" fillId="0" borderId="23" xfId="1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3" fillId="8" borderId="0" xfId="0" applyFont="1" applyFill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0" fillId="2" borderId="0" xfId="0" applyFill="1"/>
    <xf numFmtId="43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14" fontId="3" fillId="0" borderId="30" xfId="0" applyNumberFormat="1" applyFont="1" applyBorder="1" applyAlignment="1">
      <alignment horizontal="center"/>
    </xf>
    <xf numFmtId="0" fontId="0" fillId="8" borderId="31" xfId="0" applyFill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4" fontId="0" fillId="0" borderId="31" xfId="1" applyNumberFormat="1" applyFont="1" applyBorder="1" applyAlignment="1">
      <alignment horizontal="center"/>
    </xf>
    <xf numFmtId="4" fontId="0" fillId="0" borderId="32" xfId="1" applyNumberFormat="1" applyFont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4" fontId="8" fillId="9" borderId="26" xfId="0" applyNumberFormat="1" applyFont="1" applyFill="1" applyBorder="1" applyAlignment="1">
      <alignment horizontal="center"/>
    </xf>
    <xf numFmtId="4" fontId="8" fillId="9" borderId="27" xfId="0" applyNumberFormat="1" applyFont="1" applyFill="1" applyBorder="1" applyAlignment="1">
      <alignment horizontal="center"/>
    </xf>
    <xf numFmtId="4" fontId="8" fillId="9" borderId="0" xfId="0" applyNumberFormat="1" applyFont="1" applyFill="1" applyAlignment="1">
      <alignment horizontal="center"/>
    </xf>
    <xf numFmtId="4" fontId="8" fillId="9" borderId="29" xfId="0" applyNumberFormat="1" applyFont="1" applyFill="1" applyBorder="1" applyAlignment="1">
      <alignment horizontal="center"/>
    </xf>
    <xf numFmtId="4" fontId="8" fillId="9" borderId="33" xfId="0" applyNumberFormat="1" applyFont="1" applyFill="1" applyBorder="1" applyAlignment="1">
      <alignment horizontal="center"/>
    </xf>
    <xf numFmtId="168" fontId="9" fillId="0" borderId="18" xfId="0" applyNumberFormat="1" applyFont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8" fontId="9" fillId="0" borderId="16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168" fontId="9" fillId="0" borderId="31" xfId="0" applyNumberFormat="1" applyFont="1" applyBorder="1" applyAlignment="1">
      <alignment horizontal="center"/>
    </xf>
    <xf numFmtId="166" fontId="9" fillId="0" borderId="18" xfId="0" applyNumberFormat="1" applyFont="1" applyBorder="1" applyAlignment="1">
      <alignment horizontal="center"/>
    </xf>
    <xf numFmtId="166" fontId="9" fillId="0" borderId="0" xfId="0" applyNumberFormat="1" applyFont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4" fontId="9" fillId="0" borderId="16" xfId="1" applyNumberFormat="1" applyFont="1" applyBorder="1" applyAlignment="1">
      <alignment horizontal="center"/>
    </xf>
    <xf numFmtId="169" fontId="0" fillId="0" borderId="0" xfId="2" applyNumberFormat="1" applyFont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4" fontId="8" fillId="9" borderId="25" xfId="0" applyNumberFormat="1" applyFont="1" applyFill="1" applyBorder="1" applyAlignment="1">
      <alignment horizontal="center"/>
    </xf>
    <xf numFmtId="4" fontId="8" fillId="9" borderId="28" xfId="0" applyNumberFormat="1" applyFont="1" applyFill="1" applyBorder="1" applyAlignment="1">
      <alignment horizontal="center"/>
    </xf>
    <xf numFmtId="4" fontId="8" fillId="9" borderId="35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0" fontId="8" fillId="9" borderId="27" xfId="2" applyNumberFormat="1" applyFont="1" applyFill="1" applyBorder="1" applyAlignment="1">
      <alignment horizontal="center"/>
    </xf>
    <xf numFmtId="10" fontId="8" fillId="9" borderId="34" xfId="2" applyNumberFormat="1" applyFont="1" applyFill="1" applyBorder="1" applyAlignment="1">
      <alignment horizontal="center"/>
    </xf>
    <xf numFmtId="4" fontId="3" fillId="9" borderId="34" xfId="0" applyNumberFormat="1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4" fontId="3" fillId="9" borderId="35" xfId="0" applyNumberFormat="1" applyFont="1" applyFill="1" applyBorder="1" applyAlignment="1">
      <alignment horizontal="center"/>
    </xf>
    <xf numFmtId="4" fontId="3" fillId="9" borderId="33" xfId="0" applyNumberFormat="1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168" fontId="9" fillId="2" borderId="0" xfId="0" applyNumberFormat="1" applyFont="1" applyFill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0" fillId="8" borderId="0" xfId="0" applyFill="1"/>
    <xf numFmtId="14" fontId="0" fillId="8" borderId="0" xfId="0" applyNumberFormat="1" applyFill="1"/>
    <xf numFmtId="14" fontId="0" fillId="0" borderId="0" xfId="0" applyNumberFormat="1"/>
    <xf numFmtId="14" fontId="5" fillId="12" borderId="0" xfId="0" applyNumberFormat="1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14" fontId="5" fillId="13" borderId="0" xfId="0" applyNumberFormat="1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12" fillId="14" borderId="0" xfId="0" applyFont="1" applyFill="1" applyAlignment="1">
      <alignment horizontal="center" vertical="top" wrapText="1"/>
    </xf>
    <xf numFmtId="0" fontId="12" fillId="14" borderId="0" xfId="0" applyFont="1" applyFill="1" applyAlignment="1">
      <alignment horizontal="center" vertical="center" wrapText="1"/>
    </xf>
    <xf numFmtId="171" fontId="0" fillId="0" borderId="0" xfId="0" applyNumberFormat="1" applyAlignment="1">
      <alignment horizontal="center"/>
    </xf>
    <xf numFmtId="171" fontId="0" fillId="8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0" fillId="10" borderId="0" xfId="5" applyAlignment="1">
      <alignment horizontal="center" vertical="center"/>
    </xf>
    <xf numFmtId="14" fontId="10" fillId="10" borderId="0" xfId="5" applyNumberFormat="1" applyAlignment="1">
      <alignment horizontal="center" vertical="center"/>
    </xf>
    <xf numFmtId="3" fontId="10" fillId="10" borderId="0" xfId="5" applyNumberFormat="1" applyAlignment="1">
      <alignment horizontal="center" vertical="center"/>
    </xf>
    <xf numFmtId="4" fontId="10" fillId="10" borderId="20" xfId="5" applyNumberFormat="1" applyBorder="1" applyAlignment="1">
      <alignment horizontal="center" vertical="center"/>
    </xf>
    <xf numFmtId="4" fontId="10" fillId="10" borderId="0" xfId="5" applyNumberFormat="1" applyBorder="1" applyAlignment="1">
      <alignment horizontal="center" vertical="center"/>
    </xf>
    <xf numFmtId="4" fontId="10" fillId="10" borderId="21" xfId="5" applyNumberFormat="1" applyBorder="1" applyAlignment="1">
      <alignment horizontal="center" vertical="center"/>
    </xf>
    <xf numFmtId="170" fontId="10" fillId="10" borderId="21" xfId="5" applyNumberFormat="1" applyBorder="1" applyAlignment="1">
      <alignment horizontal="center" vertical="center"/>
    </xf>
    <xf numFmtId="0" fontId="10" fillId="10" borderId="20" xfId="5" applyBorder="1" applyAlignment="1">
      <alignment horizontal="center" vertical="center"/>
    </xf>
    <xf numFmtId="0" fontId="10" fillId="10" borderId="21" xfId="5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20" xfId="1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70" fontId="0" fillId="0" borderId="21" xfId="0" applyNumberFormat="1" applyBorder="1" applyAlignment="1">
      <alignment horizontal="center" vertical="center"/>
    </xf>
    <xf numFmtId="4" fontId="11" fillId="11" borderId="20" xfId="6" applyNumberFormat="1" applyBorder="1" applyAlignment="1">
      <alignment horizontal="center" vertical="center"/>
    </xf>
    <xf numFmtId="4" fontId="11" fillId="11" borderId="21" xfId="6" applyNumberFormat="1" applyBorder="1" applyAlignment="1">
      <alignment horizontal="center" vertical="center"/>
    </xf>
    <xf numFmtId="4" fontId="0" fillId="0" borderId="22" xfId="1" applyNumberFormat="1" applyFon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1" fontId="0" fillId="0" borderId="20" xfId="0" applyNumberFormat="1" applyBorder="1" applyAlignment="1">
      <alignment horizontal="center" vertical="center"/>
    </xf>
    <xf numFmtId="171" fontId="0" fillId="0" borderId="22" xfId="0" applyNumberFormat="1" applyBorder="1" applyAlignment="1">
      <alignment horizontal="center" vertical="center"/>
    </xf>
    <xf numFmtId="171" fontId="0" fillId="0" borderId="20" xfId="1" applyNumberFormat="1" applyFont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10" fillId="10" borderId="0" xfId="5" applyNumberFormat="1" applyBorder="1" applyAlignment="1">
      <alignment horizontal="center" vertical="center"/>
    </xf>
    <xf numFmtId="171" fontId="0" fillId="0" borderId="16" xfId="0" applyNumberFormat="1" applyBorder="1" applyAlignment="1">
      <alignment horizontal="center" vertical="center"/>
    </xf>
    <xf numFmtId="171" fontId="0" fillId="0" borderId="22" xfId="1" applyNumberFormat="1" applyFont="1" applyBorder="1" applyAlignment="1">
      <alignment horizontal="center" vertical="center"/>
    </xf>
    <xf numFmtId="171" fontId="10" fillId="10" borderId="20" xfId="5" applyNumberFormat="1" applyBorder="1" applyAlignment="1">
      <alignment horizontal="center" vertical="center"/>
    </xf>
    <xf numFmtId="171" fontId="0" fillId="15" borderId="20" xfId="1" applyNumberFormat="1" applyFont="1" applyFill="1" applyBorder="1" applyAlignment="1">
      <alignment horizontal="center" vertical="center"/>
    </xf>
    <xf numFmtId="4" fontId="8" fillId="9" borderId="34" xfId="0" applyNumberFormat="1" applyFont="1" applyFill="1" applyBorder="1" applyAlignment="1">
      <alignment horizontal="center"/>
    </xf>
    <xf numFmtId="4" fontId="3" fillId="8" borderId="0" xfId="1" applyNumberFormat="1" applyFont="1" applyFill="1" applyBorder="1" applyAlignment="1">
      <alignment horizontal="center"/>
    </xf>
    <xf numFmtId="0" fontId="13" fillId="0" borderId="0" xfId="7" applyAlignment="1">
      <alignment horizontal="center"/>
    </xf>
    <xf numFmtId="172" fontId="0" fillId="0" borderId="0" xfId="2" applyNumberFormat="1" applyFont="1" applyAlignment="1">
      <alignment horizontal="center"/>
    </xf>
    <xf numFmtId="173" fontId="0" fillId="0" borderId="31" xfId="2" applyNumberFormat="1" applyFont="1" applyBorder="1" applyAlignment="1">
      <alignment horizontal="center"/>
    </xf>
    <xf numFmtId="0" fontId="14" fillId="0" borderId="0" xfId="0" applyFont="1" applyAlignment="1">
      <alignment vertical="center"/>
    </xf>
    <xf numFmtId="10" fontId="0" fillId="0" borderId="0" xfId="2" applyNumberFormat="1" applyFont="1" applyAlignment="1">
      <alignment horizontal="center"/>
    </xf>
    <xf numFmtId="4" fontId="8" fillId="0" borderId="0" xfId="1" applyNumberFormat="1" applyFont="1" applyBorder="1" applyAlignment="1">
      <alignment horizontal="center"/>
    </xf>
    <xf numFmtId="4" fontId="6" fillId="2" borderId="0" xfId="1" applyNumberFormat="1" applyFont="1" applyFill="1" applyBorder="1" applyAlignment="1">
      <alignment horizontal="center"/>
    </xf>
    <xf numFmtId="174" fontId="0" fillId="0" borderId="0" xfId="2" applyNumberFormat="1" applyFont="1" applyAlignment="1">
      <alignment horizontal="center"/>
    </xf>
    <xf numFmtId="10" fontId="0" fillId="0" borderId="0" xfId="2" applyNumberFormat="1" applyFont="1"/>
    <xf numFmtId="174" fontId="0" fillId="0" borderId="0" xfId="2" applyNumberFormat="1" applyFont="1"/>
    <xf numFmtId="10" fontId="3" fillId="0" borderId="0" xfId="2" applyNumberFormat="1" applyFont="1" applyAlignment="1">
      <alignment horizontal="center"/>
    </xf>
    <xf numFmtId="43" fontId="3" fillId="0" borderId="0" xfId="0" applyNumberFormat="1" applyFont="1" applyAlignment="1">
      <alignment horizontal="center"/>
    </xf>
    <xf numFmtId="174" fontId="3" fillId="0" borderId="0" xfId="2" applyNumberFormat="1" applyFont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43" fontId="3" fillId="0" borderId="18" xfId="1" applyFont="1" applyBorder="1" applyAlignment="1">
      <alignment horizontal="center"/>
    </xf>
    <xf numFmtId="10" fontId="3" fillId="0" borderId="18" xfId="2" applyNumberFormat="1" applyFont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174" fontId="3" fillId="0" borderId="18" xfId="2" applyNumberFormat="1" applyFont="1" applyBorder="1" applyAlignment="1">
      <alignment horizontal="center"/>
    </xf>
    <xf numFmtId="43" fontId="3" fillId="0" borderId="18" xfId="0" applyNumberFormat="1" applyFont="1" applyBorder="1" applyAlignment="1">
      <alignment horizontal="center"/>
    </xf>
    <xf numFmtId="174" fontId="3" fillId="0" borderId="18" xfId="0" applyNumberFormat="1" applyFont="1" applyBorder="1" applyAlignment="1">
      <alignment horizontal="center"/>
    </xf>
    <xf numFmtId="2" fontId="0" fillId="8" borderId="0" xfId="0" applyNumberFormat="1" applyFill="1" applyAlignment="1">
      <alignment horizontal="center"/>
    </xf>
    <xf numFmtId="174" fontId="0" fillId="0" borderId="0" xfId="0" applyNumberFormat="1"/>
    <xf numFmtId="0" fontId="3" fillId="0" borderId="16" xfId="0" applyFont="1" applyBorder="1" applyAlignment="1">
      <alignment horizontal="center"/>
    </xf>
    <xf numFmtId="10" fontId="3" fillId="0" borderId="16" xfId="2" applyNumberFormat="1" applyFont="1" applyBorder="1" applyAlignment="1">
      <alignment horizontal="center"/>
    </xf>
    <xf numFmtId="169" fontId="0" fillId="0" borderId="0" xfId="2" applyNumberFormat="1" applyFont="1"/>
    <xf numFmtId="43" fontId="0" fillId="0" borderId="18" xfId="1" applyFont="1" applyBorder="1" applyAlignment="1">
      <alignment horizontal="center"/>
    </xf>
    <xf numFmtId="9" fontId="3" fillId="0" borderId="0" xfId="2" applyFont="1" applyAlignment="1">
      <alignment horizontal="center"/>
    </xf>
    <xf numFmtId="9" fontId="3" fillId="0" borderId="0" xfId="0" applyNumberFormat="1" applyFont="1" applyAlignment="1">
      <alignment horizontal="center"/>
    </xf>
    <xf numFmtId="10" fontId="0" fillId="0" borderId="18" xfId="2" applyNumberFormat="1" applyFont="1" applyBorder="1" applyAlignment="1">
      <alignment horizontal="center"/>
    </xf>
    <xf numFmtId="2" fontId="0" fillId="8" borderId="18" xfId="0" applyNumberFormat="1" applyFill="1" applyBorder="1" applyAlignment="1">
      <alignment horizontal="center"/>
    </xf>
    <xf numFmtId="174" fontId="0" fillId="0" borderId="18" xfId="2" applyNumberFormat="1" applyFont="1" applyBorder="1" applyAlignment="1">
      <alignment horizontal="center"/>
    </xf>
    <xf numFmtId="0" fontId="14" fillId="16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left" vertical="center" wrapText="1"/>
    </xf>
    <xf numFmtId="6" fontId="14" fillId="16" borderId="0" xfId="0" applyNumberFormat="1" applyFont="1" applyFill="1" applyAlignment="1">
      <alignment horizontal="left" vertical="center" wrapText="1"/>
    </xf>
    <xf numFmtId="6" fontId="0" fillId="0" borderId="0" xfId="0" applyNumberFormat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10" fontId="14" fillId="16" borderId="0" xfId="2" applyNumberFormat="1" applyFont="1" applyFill="1" applyAlignment="1">
      <alignment horizontal="center" vertical="center" wrapText="1"/>
    </xf>
    <xf numFmtId="175" fontId="0" fillId="0" borderId="0" xfId="0" applyNumberFormat="1" applyAlignment="1">
      <alignment horizontal="center"/>
    </xf>
    <xf numFmtId="43" fontId="14" fillId="16" borderId="0" xfId="1" applyFont="1" applyFill="1" applyAlignment="1">
      <alignment horizontal="left" vertical="center" wrapText="1"/>
    </xf>
    <xf numFmtId="176" fontId="0" fillId="0" borderId="0" xfId="1" applyNumberFormat="1" applyFont="1" applyAlignment="1">
      <alignment horizontal="center"/>
    </xf>
    <xf numFmtId="2" fontId="14" fillId="16" borderId="0" xfId="0" applyNumberFormat="1" applyFont="1" applyFill="1" applyAlignment="1">
      <alignment horizontal="center" vertical="center" wrapText="1"/>
    </xf>
    <xf numFmtId="43" fontId="14" fillId="16" borderId="0" xfId="0" applyNumberFormat="1" applyFont="1" applyFill="1" applyAlignment="1">
      <alignment horizontal="center" vertical="center" wrapText="1"/>
    </xf>
    <xf numFmtId="43" fontId="14" fillId="16" borderId="0" xfId="0" applyNumberFormat="1" applyFont="1" applyFill="1" applyAlignment="1">
      <alignment horizontal="left" vertical="center" wrapText="1"/>
    </xf>
    <xf numFmtId="0" fontId="17" fillId="0" borderId="0" xfId="0" applyFont="1"/>
    <xf numFmtId="4" fontId="18" fillId="0" borderId="0" xfId="0" applyNumberFormat="1" applyFont="1"/>
    <xf numFmtId="173" fontId="3" fillId="0" borderId="0" xfId="0" applyNumberFormat="1" applyFont="1" applyAlignment="1">
      <alignment horizontal="center"/>
    </xf>
    <xf numFmtId="173" fontId="0" fillId="0" borderId="0" xfId="2" applyNumberFormat="1" applyFont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14" fillId="16" borderId="0" xfId="0" applyNumberFormat="1" applyFont="1" applyFill="1" applyAlignment="1">
      <alignment horizontal="center" vertical="center" wrapText="1"/>
    </xf>
    <xf numFmtId="43" fontId="3" fillId="9" borderId="0" xfId="1" applyFont="1" applyFill="1" applyAlignment="1">
      <alignment horizontal="center"/>
    </xf>
    <xf numFmtId="10" fontId="3" fillId="9" borderId="0" xfId="2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9" fontId="3" fillId="9" borderId="0" xfId="2" applyFont="1" applyFill="1" applyAlignment="1">
      <alignment horizontal="center"/>
    </xf>
    <xf numFmtId="9" fontId="3" fillId="9" borderId="0" xfId="0" applyNumberFormat="1" applyFont="1" applyFill="1" applyAlignment="1">
      <alignment horizontal="center"/>
    </xf>
    <xf numFmtId="173" fontId="3" fillId="9" borderId="0" xfId="0" applyNumberFormat="1" applyFont="1" applyFill="1" applyAlignment="1">
      <alignment horizontal="center"/>
    </xf>
    <xf numFmtId="174" fontId="3" fillId="9" borderId="0" xfId="2" applyNumberFormat="1" applyFont="1" applyFill="1" applyAlignment="1">
      <alignment horizontal="center"/>
    </xf>
    <xf numFmtId="9" fontId="0" fillId="0" borderId="0" xfId="2" applyFont="1"/>
    <xf numFmtId="176" fontId="0" fillId="0" borderId="0" xfId="1" applyNumberFormat="1" applyFont="1"/>
    <xf numFmtId="167" fontId="0" fillId="0" borderId="0" xfId="0" applyNumberFormat="1" applyAlignment="1">
      <alignment horizontal="center"/>
    </xf>
    <xf numFmtId="167" fontId="0" fillId="0" borderId="0" xfId="0" applyNumberFormat="1"/>
    <xf numFmtId="3" fontId="0" fillId="0" borderId="0" xfId="0" applyNumberFormat="1" applyAlignment="1">
      <alignment horizontal="center"/>
    </xf>
    <xf numFmtId="0" fontId="5" fillId="6" borderId="1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4" fontId="5" fillId="6" borderId="4" xfId="0" applyNumberFormat="1" applyFont="1" applyFill="1" applyBorder="1" applyAlignment="1">
      <alignment horizontal="right" vertical="center" wrapText="1"/>
    </xf>
    <xf numFmtId="4" fontId="5" fillId="6" borderId="13" xfId="0" applyNumberFormat="1" applyFont="1" applyFill="1" applyBorder="1" applyAlignment="1">
      <alignment horizontal="right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4" fontId="5" fillId="7" borderId="6" xfId="0" applyNumberFormat="1" applyFont="1" applyFill="1" applyBorder="1" applyAlignment="1">
      <alignment horizontal="right" vertical="center" wrapText="1"/>
    </xf>
    <xf numFmtId="4" fontId="5" fillId="7" borderId="15" xfId="0" applyNumberFormat="1" applyFont="1" applyFill="1" applyBorder="1" applyAlignment="1">
      <alignment horizontal="righ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4" fontId="5" fillId="7" borderId="4" xfId="0" applyNumberFormat="1" applyFont="1" applyFill="1" applyBorder="1" applyAlignment="1">
      <alignment horizontal="right" vertical="center" wrapText="1"/>
    </xf>
    <xf numFmtId="4" fontId="5" fillId="7" borderId="13" xfId="0" applyNumberFormat="1" applyFont="1" applyFill="1" applyBorder="1" applyAlignment="1">
      <alignment horizontal="right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5" fillId="6" borderId="13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13" xfId="0" applyFont="1" applyFill="1" applyBorder="1" applyAlignment="1">
      <alignment horizontal="right" vertical="center" wrapText="1"/>
    </xf>
    <xf numFmtId="11" fontId="5" fillId="7" borderId="4" xfId="0" applyNumberFormat="1" applyFont="1" applyFill="1" applyBorder="1" applyAlignment="1">
      <alignment horizontal="right" vertical="center" wrapText="1"/>
    </xf>
    <xf numFmtId="11" fontId="5" fillId="7" borderId="13" xfId="0" applyNumberFormat="1" applyFont="1" applyFill="1" applyBorder="1" applyAlignment="1">
      <alignment horizontal="right" vertical="center" wrapText="1"/>
    </xf>
    <xf numFmtId="11" fontId="5" fillId="6" borderId="4" xfId="0" applyNumberFormat="1" applyFont="1" applyFill="1" applyBorder="1" applyAlignment="1">
      <alignment horizontal="right" vertical="center" wrapText="1"/>
    </xf>
    <xf numFmtId="11" fontId="5" fillId="6" borderId="13" xfId="0" applyNumberFormat="1" applyFont="1" applyFill="1" applyBorder="1" applyAlignment="1">
      <alignment horizontal="righ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11" fontId="5" fillId="5" borderId="2" xfId="0" applyNumberFormat="1" applyFont="1" applyFill="1" applyBorder="1" applyAlignment="1">
      <alignment horizontal="right" vertical="center" wrapText="1"/>
    </xf>
    <xf numFmtId="11" fontId="5" fillId="5" borderId="11" xfId="0" applyNumberFormat="1" applyFont="1" applyFill="1" applyBorder="1" applyAlignment="1">
      <alignment horizontal="right" vertical="center" wrapText="1"/>
    </xf>
    <xf numFmtId="2" fontId="8" fillId="9" borderId="26" xfId="2" applyNumberFormat="1" applyFont="1" applyFill="1" applyBorder="1" applyAlignment="1">
      <alignment horizontal="center"/>
    </xf>
    <xf numFmtId="2" fontId="8" fillId="9" borderId="0" xfId="2" applyNumberFormat="1" applyFont="1" applyFill="1" applyAlignment="1">
      <alignment horizontal="center"/>
    </xf>
  </cellXfs>
  <cellStyles count="8">
    <cellStyle name="Bom" xfId="5" builtinId="26"/>
    <cellStyle name="Hiperlink" xfId="7" builtinId="8"/>
    <cellStyle name="Moeda" xfId="4" builtinId="4"/>
    <cellStyle name="Normal" xfId="0" builtinId="0"/>
    <cellStyle name="Normal 3" xfId="3" xr:uid="{98CF84C7-A2BD-4025-8A3C-50AF9C28CB5C}"/>
    <cellStyle name="Porcentagem" xfId="2" builtinId="5"/>
    <cellStyle name="Ruim" xfId="6" builtinId="27"/>
    <cellStyle name="Vírgula" xfId="1" builtinId="3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>
        <v>13.842000000000001</v>
        <stp/>
        <stp>DI1F27</stp>
        <stp>AJU</stp>
        <tr r="G2" s="5"/>
        <tr r="G2" s="5"/>
      </tp>
      <tp>
        <v>13.942</v>
        <stp/>
        <stp>DI1F28</stp>
        <stp>AJU</stp>
        <tr r="G5" s="5"/>
        <tr r="G5" s="5"/>
      </tp>
      <tp>
        <v>14.196999999999999</v>
        <stp/>
        <stp>DI1F29</stp>
        <stp>AJU</stp>
        <tr r="G7" s="5"/>
        <tr r="G7" s="5"/>
      </tp>
      <tp>
        <v>13.872999999999999</v>
        <stp/>
        <stp>DI1F27</stp>
        <stp>AJA</stp>
        <tr r="F2" s="5"/>
        <tr r="F2" s="5"/>
      </tp>
      <tp>
        <v>13.976000000000001</v>
        <stp/>
        <stp>DI1F28</stp>
        <stp>AJA</stp>
        <tr r="F5" s="5"/>
        <tr r="F5" s="5"/>
      </tp>
      <tp>
        <v>14.223000000000001</v>
        <stp/>
        <stp>DI1F29</stp>
        <stp>AJA</stp>
        <tr r="F7" s="5"/>
        <tr r="F7" s="5"/>
      </tp>
      <tp>
        <v>14.366</v>
        <stp/>
        <stp>DI1F30</stp>
        <stp>AJU</stp>
        <tr r="G9" s="5"/>
        <tr r="G9" s="5"/>
      </tp>
      <tp>
        <v>14.45</v>
        <stp/>
        <stp>DI1F31</stp>
        <stp>AJU</stp>
        <tr r="G10" s="5"/>
        <tr r="G10" s="5"/>
      </tp>
      <tp>
        <v>14.542999999999999</v>
        <stp/>
        <stp>DI1F32</stp>
        <stp>AJU</stp>
        <tr r="G11" s="5"/>
        <tr r="G11" s="5"/>
      </tp>
      <tp>
        <v>14.592000000000001</v>
        <stp/>
        <stp>DI1F33</stp>
        <stp>AJU</stp>
        <tr r="G12" s="5"/>
        <tr r="G12" s="5"/>
      </tp>
      <tp>
        <v>14.611000000000001</v>
        <stp/>
        <stp>DI1F34</stp>
        <stp>AJU</stp>
        <tr r="G13" s="5"/>
        <tr r="G13" s="5"/>
      </tp>
      <tp>
        <v>14.63</v>
        <stp/>
        <stp>DI1F35</stp>
        <stp>AJU</stp>
        <tr r="G14" s="5"/>
        <tr r="G14" s="5"/>
      </tp>
      <tp>
        <v>14.670999999999999</v>
        <stp/>
        <stp>DI1F37</stp>
        <stp>AJU</stp>
        <tr r="G15" s="5"/>
        <tr r="G15" s="5"/>
      </tp>
      <tp>
        <v>14.618</v>
        <stp/>
        <stp>DI1F34</stp>
        <stp>AJA</stp>
        <tr r="F13" s="5"/>
        <tr r="F13" s="5"/>
      </tp>
      <tp>
        <v>14.64</v>
        <stp/>
        <stp>DI1F35</stp>
        <stp>AJA</stp>
        <tr r="F14" s="5"/>
        <tr r="F14" s="5"/>
      </tp>
      <tp>
        <v>14.662000000000001</v>
        <stp/>
        <stp>DI1F37</stp>
        <stp>AJA</stp>
        <tr r="F15" s="5"/>
        <tr r="F15" s="5"/>
      </tp>
      <tp>
        <v>14.385</v>
        <stp/>
        <stp>DI1F30</stp>
        <stp>AJA</stp>
        <tr r="F9" s="5"/>
        <tr r="F9" s="5"/>
      </tp>
      <tp>
        <v>14.467000000000001</v>
        <stp/>
        <stp>DI1F31</stp>
        <stp>AJA</stp>
        <tr r="F10" s="5"/>
        <tr r="F10" s="5"/>
      </tp>
      <tp>
        <v>14.558999999999999</v>
        <stp/>
        <stp>DI1F32</stp>
        <stp>AJA</stp>
        <tr r="F11" s="5"/>
        <tr r="F11" s="5"/>
      </tp>
      <tp>
        <v>14.686</v>
        <stp/>
        <stp>DI1F33</stp>
        <stp>AJA</stp>
        <tr r="F12" s="5"/>
        <tr r="F12" s="5"/>
      </tp>
      <tp>
        <v>5121</v>
        <stp/>
        <stp>WDOQ26</stp>
        <stp>ULT</stp>
        <tr r="G28" s="5"/>
      </tp>
      <tp>
        <v>4.8500000000000005</v>
        <stp/>
        <stp>FRCU26</stp>
        <stp>ULT</stp>
        <tr r="F34" s="5"/>
      </tp>
      <tp>
        <v>13.894</v>
        <stp/>
        <stp>DI1N27</stp>
        <stp>AJU</stp>
        <tr r="G4" s="5"/>
        <tr r="G4" s="5"/>
      </tp>
      <tp>
        <v>14.067</v>
        <stp/>
        <stp>DI1N28</stp>
        <stp>AJU</stp>
        <tr r="G6" s="5"/>
        <tr r="G6" s="5"/>
      </tp>
      <tp>
        <v>14.311</v>
        <stp/>
        <stp>DI1N29</stp>
        <stp>AJU</stp>
        <tr r="G8" s="5"/>
        <tr r="G8" s="5"/>
      </tp>
      <tp>
        <v>13.933999999999999</v>
        <stp/>
        <stp>DI1N27</stp>
        <stp>AJA</stp>
        <tr r="F4" s="5"/>
        <tr r="F4" s="5"/>
      </tp>
      <tp>
        <v>14.096</v>
        <stp/>
        <stp>DI1N28</stp>
        <stp>AJA</stp>
        <tr r="F6" s="5"/>
        <tr r="F6" s="5"/>
      </tp>
      <tp>
        <v>14.333</v>
        <stp/>
        <stp>DI1N29</stp>
        <stp>AJA</stp>
        <tr r="F8" s="5"/>
        <tr r="F8" s="5"/>
      </tp>
      <tp>
        <v>7.7690000000000001</v>
        <stp/>
        <stp>DAPK45</stp>
        <stp>AJU</stp>
        <tr r="G26" s="5"/>
        <tr r="G26" s="5"/>
      </tp>
      <tp>
        <v>7.6749999999999998</v>
        <stp/>
        <stp>DAPK45</stp>
        <stp>AJA</stp>
        <tr r="F26" s="5"/>
        <tr r="F26" s="5"/>
      </tp>
      <tp>
        <v>8.39</v>
        <stp/>
        <stp>DAPK29</stp>
        <stp>AJU</stp>
        <tr r="G20" s="5"/>
        <tr r="G20" s="5"/>
      </tp>
      <tp>
        <v>8.7799999999999994</v>
        <stp/>
        <stp>DAPK27</stp>
        <stp>AJU</stp>
        <tr r="G18" s="5"/>
        <tr r="G18" s="5"/>
      </tp>
      <tp>
        <v>8.3249999999999993</v>
        <stp/>
        <stp>DAPK29</stp>
        <stp>AJA</stp>
        <tr r="F20" s="5"/>
        <tr r="F20" s="5"/>
      </tp>
      <tp>
        <v>8.81</v>
        <stp/>
        <stp>DAPK27</stp>
        <stp>AJA</stp>
        <tr r="F18" s="5"/>
        <tr r="F18" s="5"/>
      </tp>
      <tp>
        <v>8.2850000000000001</v>
        <stp/>
        <stp>DAPK33</stp>
        <stp>AJU</stp>
        <tr r="G23" s="5"/>
        <tr r="G23" s="5"/>
      </tp>
      <tp>
        <v>8.18</v>
        <stp/>
        <stp>DAPK35</stp>
        <stp>AJU</stp>
        <tr r="G24" s="5"/>
        <tr r="G24" s="5"/>
      </tp>
      <tp>
        <v>8.25</v>
        <stp/>
        <stp>DAPK33</stp>
        <stp>AJA</stp>
        <tr r="F23" s="5"/>
        <tr r="F23" s="5"/>
      </tp>
      <tp>
        <v>13.872</v>
        <stp/>
        <stp>DI1J27</stp>
        <stp>AJU</stp>
        <tr r="G3" s="5"/>
        <tr r="G3" s="5"/>
      </tp>
      <tp>
        <v>13.907999999999999</v>
        <stp/>
        <stp>DI1J27</stp>
        <stp>AJA</stp>
        <tr r="F3" s="5"/>
        <tr r="F3" s="5"/>
      </tp>
      <tp>
        <v>5.1276000000000002</v>
        <stp/>
        <stp>PTXUSDV</stp>
        <stp>ULT</stp>
        <tr r="F33" s="5"/>
      </tp>
      <tp>
        <v>5.1211000000000002</v>
        <stp/>
        <stp>DOLPT</stp>
        <stp>ULT</stp>
        <tr r="F32" s="5"/>
      </tp>
      <tp>
        <v>7.88</v>
        <stp/>
        <stp>DAPQ40</stp>
        <stp>AJU</stp>
        <tr r="G25" s="5"/>
        <tr r="G25" s="5"/>
      </tp>
      <tp>
        <v>7.8250000000000002</v>
        <stp/>
        <stp>DAPQ40</stp>
        <stp>AJA</stp>
        <tr r="F25" s="5"/>
        <tr r="F25" s="5"/>
      </tp>
      <tp>
        <v>8.5749999999999993</v>
        <stp/>
        <stp>DAPQ28</stp>
        <stp>AJU</stp>
        <tr r="G19" s="5"/>
        <tr r="G19" s="5"/>
      </tp>
      <tp>
        <v>13.9</v>
        <stp/>
        <stp>DAPQ26</stp>
        <stp>AJU</stp>
        <tr r="G17" s="5"/>
        <tr r="G17" s="5"/>
      </tp>
      <tp>
        <v>8.52</v>
        <stp/>
        <stp>DAPQ28</stp>
        <stp>AJA</stp>
        <tr r="F19" s="5"/>
        <tr r="F19" s="5"/>
      </tp>
      <tp>
        <v>15.523999999999999</v>
        <stp/>
        <stp>DAPQ26</stp>
        <stp>AJA</stp>
        <tr r="F17" s="5"/>
        <tr r="F17" s="5"/>
      </tp>
      <tp>
        <v>8.4</v>
        <stp/>
        <stp>DAPQ30</stp>
        <stp>AJU</stp>
        <tr r="G21" s="5"/>
        <tr r="G21" s="5"/>
      </tp>
      <tp>
        <v>8.34</v>
        <stp/>
        <stp>DAPQ32</stp>
        <stp>AJU</stp>
        <tr r="G22" s="5"/>
        <tr r="G22" s="5"/>
      </tp>
      <tp>
        <v>8.3350000000000009</v>
        <stp/>
        <stp>DAPQ30</stp>
        <stp>AJA</stp>
        <tr r="F21" s="5"/>
        <tr r="F21" s="5"/>
      </tp>
      <tp>
        <v>8.2899999999999991</v>
        <stp/>
        <stp>DAPQ32</stp>
        <stp>AJA</stp>
        <tr r="F22" s="5"/>
        <tr r="F22" s="5"/>
      </tp>
      <tp>
        <v>5124.9040000000005</v>
        <stp/>
        <stp>WDOQ26</stp>
        <stp>AJA</stp>
        <tr r="F28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pic>
      <xdr:nvPicPr>
        <xdr:cNvPr id="2" name="Imagem 1" descr="(Ascending)">
          <a:extLst>
            <a:ext uri="{FF2B5EF4-FFF2-40B4-BE49-F238E27FC236}">
              <a16:creationId xmlns:a16="http://schemas.microsoft.com/office/drawing/2014/main" id="{1FC78C1A-3B87-B0BF-A3C0-C6B7D757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838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5</xdr:col>
      <xdr:colOff>19050</xdr:colOff>
      <xdr:row>551</xdr:row>
      <xdr:rowOff>19050</xdr:rowOff>
    </xdr:to>
    <xdr:pic>
      <xdr:nvPicPr>
        <xdr:cNvPr id="3" name="grd_IADD" descr="|">
          <a:extLst>
            <a:ext uri="{FF2B5EF4-FFF2-40B4-BE49-F238E27FC236}">
              <a16:creationId xmlns:a16="http://schemas.microsoft.com/office/drawing/2014/main" id="{3AFC04F3-0F65-2570-4E6C-15A94518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57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</xdr:colOff>
      <xdr:row>551</xdr:row>
      <xdr:rowOff>0</xdr:rowOff>
    </xdr:from>
    <xdr:to>
      <xdr:col>5</xdr:col>
      <xdr:colOff>22860</xdr:colOff>
      <xdr:row>551</xdr:row>
      <xdr:rowOff>19050</xdr:rowOff>
    </xdr:to>
    <xdr:pic>
      <xdr:nvPicPr>
        <xdr:cNvPr id="4" name="grd_IADU" descr="|">
          <a:extLst>
            <a:ext uri="{FF2B5EF4-FFF2-40B4-BE49-F238E27FC236}">
              <a16:creationId xmlns:a16="http://schemas.microsoft.com/office/drawing/2014/main" id="{E013C1E0-4029-E30C-DEFC-D75313F66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04957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</xdr:colOff>
      <xdr:row>551</xdr:row>
      <xdr:rowOff>0</xdr:rowOff>
    </xdr:from>
    <xdr:to>
      <xdr:col>5</xdr:col>
      <xdr:colOff>38100</xdr:colOff>
      <xdr:row>551</xdr:row>
      <xdr:rowOff>19050</xdr:rowOff>
    </xdr:to>
    <xdr:pic>
      <xdr:nvPicPr>
        <xdr:cNvPr id="5" name="grd_IDHF" descr="Hide">
          <a:extLst>
            <a:ext uri="{FF2B5EF4-FFF2-40B4-BE49-F238E27FC236}">
              <a16:creationId xmlns:a16="http://schemas.microsoft.com/office/drawing/2014/main" id="{5F68C485-A175-FB4A-C3C9-7F929A498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104957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95250</xdr:colOff>
      <xdr:row>1</xdr:row>
      <xdr:rowOff>19050</xdr:rowOff>
    </xdr:to>
    <xdr:pic>
      <xdr:nvPicPr>
        <xdr:cNvPr id="6" name="Imagem 5" descr="(Ascending)">
          <a:extLst>
            <a:ext uri="{FF2B5EF4-FFF2-40B4-BE49-F238E27FC236}">
              <a16:creationId xmlns:a16="http://schemas.microsoft.com/office/drawing/2014/main" id="{27683DEE-AA83-0C83-118D-026E33DD1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0"/>
          <a:ext cx="838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5</xdr:col>
      <xdr:colOff>19050</xdr:colOff>
      <xdr:row>552</xdr:row>
      <xdr:rowOff>19050</xdr:rowOff>
    </xdr:to>
    <xdr:pic>
      <xdr:nvPicPr>
        <xdr:cNvPr id="7" name="grd_IADD" descr="|">
          <a:extLst>
            <a:ext uri="{FF2B5EF4-FFF2-40B4-BE49-F238E27FC236}">
              <a16:creationId xmlns:a16="http://schemas.microsoft.com/office/drawing/2014/main" id="{8A07D76E-2F7F-13E3-6424-433AACDB9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514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</xdr:colOff>
      <xdr:row>552</xdr:row>
      <xdr:rowOff>0</xdr:rowOff>
    </xdr:from>
    <xdr:to>
      <xdr:col>5</xdr:col>
      <xdr:colOff>22860</xdr:colOff>
      <xdr:row>552</xdr:row>
      <xdr:rowOff>19050</xdr:rowOff>
    </xdr:to>
    <xdr:pic>
      <xdr:nvPicPr>
        <xdr:cNvPr id="8" name="grd_IADU" descr="|">
          <a:extLst>
            <a:ext uri="{FF2B5EF4-FFF2-40B4-BE49-F238E27FC236}">
              <a16:creationId xmlns:a16="http://schemas.microsoft.com/office/drawing/2014/main" id="{E370FCA5-EB99-B1C7-19DF-9E01620F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540" y="10514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</xdr:colOff>
      <xdr:row>552</xdr:row>
      <xdr:rowOff>0</xdr:rowOff>
    </xdr:from>
    <xdr:to>
      <xdr:col>5</xdr:col>
      <xdr:colOff>38100</xdr:colOff>
      <xdr:row>552</xdr:row>
      <xdr:rowOff>19050</xdr:rowOff>
    </xdr:to>
    <xdr:pic>
      <xdr:nvPicPr>
        <xdr:cNvPr id="9" name="grd_IDHF" descr="Hide">
          <a:extLst>
            <a:ext uri="{FF2B5EF4-FFF2-40B4-BE49-F238E27FC236}">
              <a16:creationId xmlns:a16="http://schemas.microsoft.com/office/drawing/2014/main" id="{132F192E-754B-9613-0478-575509EA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2780" y="105148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552</xdr:row>
      <xdr:rowOff>0</xdr:rowOff>
    </xdr:from>
    <xdr:ext cx="19050" cy="19050"/>
    <xdr:pic>
      <xdr:nvPicPr>
        <xdr:cNvPr id="10" name="grd_IADD" descr="|">
          <a:extLst>
            <a:ext uri="{FF2B5EF4-FFF2-40B4-BE49-F238E27FC236}">
              <a16:creationId xmlns:a16="http://schemas.microsoft.com/office/drawing/2014/main" id="{7BD5734D-7A1B-4EDD-9A4E-C94AAF598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49655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15240</xdr:colOff>
      <xdr:row>552</xdr:row>
      <xdr:rowOff>0</xdr:rowOff>
    </xdr:from>
    <xdr:ext cx="3810" cy="19050"/>
    <xdr:pic>
      <xdr:nvPicPr>
        <xdr:cNvPr id="11" name="grd_IADU" descr="|">
          <a:extLst>
            <a:ext uri="{FF2B5EF4-FFF2-40B4-BE49-F238E27FC236}">
              <a16:creationId xmlns:a16="http://schemas.microsoft.com/office/drawing/2014/main" id="{2AA9D466-1DB6-47A3-9E67-C94922CB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104965500"/>
          <a:ext cx="381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30480</xdr:colOff>
      <xdr:row>552</xdr:row>
      <xdr:rowOff>0</xdr:rowOff>
    </xdr:from>
    <xdr:ext cx="9525" cy="19050"/>
    <xdr:pic>
      <xdr:nvPicPr>
        <xdr:cNvPr id="12" name="grd_IDHF" descr="Hide">
          <a:extLst>
            <a:ext uri="{FF2B5EF4-FFF2-40B4-BE49-F238E27FC236}">
              <a16:creationId xmlns:a16="http://schemas.microsoft.com/office/drawing/2014/main" id="{2556619D-DCCD-4FCF-8881-C4A46A5B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1049655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554</xdr:row>
      <xdr:rowOff>0</xdr:rowOff>
    </xdr:from>
    <xdr:to>
      <xdr:col>5</xdr:col>
      <xdr:colOff>15240</xdr:colOff>
      <xdr:row>554</xdr:row>
      <xdr:rowOff>15240</xdr:rowOff>
    </xdr:to>
    <xdr:pic>
      <xdr:nvPicPr>
        <xdr:cNvPr id="13" name="grd_IADD" descr="|">
          <a:extLst>
            <a:ext uri="{FF2B5EF4-FFF2-40B4-BE49-F238E27FC236}">
              <a16:creationId xmlns:a16="http://schemas.microsoft.com/office/drawing/2014/main" id="{E9A835D2-B1FE-59C5-ACB3-F638182BC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552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</xdr:colOff>
      <xdr:row>554</xdr:row>
      <xdr:rowOff>0</xdr:rowOff>
    </xdr:from>
    <xdr:to>
      <xdr:col>5</xdr:col>
      <xdr:colOff>19050</xdr:colOff>
      <xdr:row>554</xdr:row>
      <xdr:rowOff>15240</xdr:rowOff>
    </xdr:to>
    <xdr:pic>
      <xdr:nvPicPr>
        <xdr:cNvPr id="14" name="grd_IADU" descr="|">
          <a:extLst>
            <a:ext uri="{FF2B5EF4-FFF2-40B4-BE49-F238E27FC236}">
              <a16:creationId xmlns:a16="http://schemas.microsoft.com/office/drawing/2014/main" id="{C6A127A7-98F1-2427-94DA-60CDADA9E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540" y="10552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</xdr:colOff>
      <xdr:row>554</xdr:row>
      <xdr:rowOff>0</xdr:rowOff>
    </xdr:from>
    <xdr:to>
      <xdr:col>5</xdr:col>
      <xdr:colOff>38100</xdr:colOff>
      <xdr:row>554</xdr:row>
      <xdr:rowOff>15240</xdr:rowOff>
    </xdr:to>
    <xdr:pic>
      <xdr:nvPicPr>
        <xdr:cNvPr id="15" name="grd_IDHF" descr="Hide">
          <a:extLst>
            <a:ext uri="{FF2B5EF4-FFF2-40B4-BE49-F238E27FC236}">
              <a16:creationId xmlns:a16="http://schemas.microsoft.com/office/drawing/2014/main" id="{DF9B44F8-1639-71A2-99A3-1CB8B9F4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2780" y="105529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553</xdr:row>
      <xdr:rowOff>0</xdr:rowOff>
    </xdr:from>
    <xdr:ext cx="19050" cy="19050"/>
    <xdr:pic>
      <xdr:nvPicPr>
        <xdr:cNvPr id="16" name="grd_IADD" descr="|">
          <a:extLst>
            <a:ext uri="{FF2B5EF4-FFF2-40B4-BE49-F238E27FC236}">
              <a16:creationId xmlns:a16="http://schemas.microsoft.com/office/drawing/2014/main" id="{2A7AC85F-569E-4A00-B387-546ABB334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5156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15240</xdr:colOff>
      <xdr:row>553</xdr:row>
      <xdr:rowOff>0</xdr:rowOff>
    </xdr:from>
    <xdr:ext cx="3810" cy="19050"/>
    <xdr:pic>
      <xdr:nvPicPr>
        <xdr:cNvPr id="17" name="grd_IADU" descr="|">
          <a:extLst>
            <a:ext uri="{FF2B5EF4-FFF2-40B4-BE49-F238E27FC236}">
              <a16:creationId xmlns:a16="http://schemas.microsoft.com/office/drawing/2014/main" id="{18FFE63B-2D73-4634-999E-9EF575DB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105156000"/>
          <a:ext cx="381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30480</xdr:colOff>
      <xdr:row>553</xdr:row>
      <xdr:rowOff>0</xdr:rowOff>
    </xdr:from>
    <xdr:ext cx="9525" cy="19050"/>
    <xdr:pic>
      <xdr:nvPicPr>
        <xdr:cNvPr id="18" name="grd_IDHF" descr="Hide">
          <a:extLst>
            <a:ext uri="{FF2B5EF4-FFF2-40B4-BE49-F238E27FC236}">
              <a16:creationId xmlns:a16="http://schemas.microsoft.com/office/drawing/2014/main" id="{B0EDF0E1-6125-4441-99BF-5B11BC16D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1051560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553</xdr:row>
      <xdr:rowOff>0</xdr:rowOff>
    </xdr:from>
    <xdr:ext cx="19050" cy="19050"/>
    <xdr:pic>
      <xdr:nvPicPr>
        <xdr:cNvPr id="19" name="grd_IADD" descr="|">
          <a:extLst>
            <a:ext uri="{FF2B5EF4-FFF2-40B4-BE49-F238E27FC236}">
              <a16:creationId xmlns:a16="http://schemas.microsoft.com/office/drawing/2014/main" id="{721185DB-BD7C-4F79-A0A3-5AFC4178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515600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15240</xdr:colOff>
      <xdr:row>553</xdr:row>
      <xdr:rowOff>0</xdr:rowOff>
    </xdr:from>
    <xdr:ext cx="3810" cy="19050"/>
    <xdr:pic>
      <xdr:nvPicPr>
        <xdr:cNvPr id="20" name="grd_IADU" descr="|">
          <a:extLst>
            <a:ext uri="{FF2B5EF4-FFF2-40B4-BE49-F238E27FC236}">
              <a16:creationId xmlns:a16="http://schemas.microsoft.com/office/drawing/2014/main" id="{14F10B1B-52CA-43A4-9DDC-F781DB4C2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105156000"/>
          <a:ext cx="381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30480</xdr:colOff>
      <xdr:row>553</xdr:row>
      <xdr:rowOff>0</xdr:rowOff>
    </xdr:from>
    <xdr:ext cx="9525" cy="19050"/>
    <xdr:pic>
      <xdr:nvPicPr>
        <xdr:cNvPr id="21" name="grd_IDHF" descr="Hide">
          <a:extLst>
            <a:ext uri="{FF2B5EF4-FFF2-40B4-BE49-F238E27FC236}">
              <a16:creationId xmlns:a16="http://schemas.microsoft.com/office/drawing/2014/main" id="{733938F7-34E6-40CD-ADAA-98418435F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105156000"/>
          <a:ext cx="952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0</xdr:colOff>
      <xdr:row>556</xdr:row>
      <xdr:rowOff>0</xdr:rowOff>
    </xdr:from>
    <xdr:to>
      <xdr:col>5</xdr:col>
      <xdr:colOff>19050</xdr:colOff>
      <xdr:row>556</xdr:row>
      <xdr:rowOff>19050</xdr:rowOff>
    </xdr:to>
    <xdr:pic>
      <xdr:nvPicPr>
        <xdr:cNvPr id="52" name="grd_IADD" descr="|">
          <a:extLst>
            <a:ext uri="{FF2B5EF4-FFF2-40B4-BE49-F238E27FC236}">
              <a16:creationId xmlns:a16="http://schemas.microsoft.com/office/drawing/2014/main" id="{2C8CABD3-9116-535B-7475-23C7612AD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5910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</xdr:colOff>
      <xdr:row>556</xdr:row>
      <xdr:rowOff>0</xdr:rowOff>
    </xdr:from>
    <xdr:to>
      <xdr:col>5</xdr:col>
      <xdr:colOff>22860</xdr:colOff>
      <xdr:row>556</xdr:row>
      <xdr:rowOff>19050</xdr:rowOff>
    </xdr:to>
    <xdr:pic>
      <xdr:nvPicPr>
        <xdr:cNvPr id="53" name="grd_IADU" descr="|">
          <a:extLst>
            <a:ext uri="{FF2B5EF4-FFF2-40B4-BE49-F238E27FC236}">
              <a16:creationId xmlns:a16="http://schemas.microsoft.com/office/drawing/2014/main" id="{334F90FA-48D3-FC7A-DE98-DD601DBE8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540" y="105910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30480</xdr:colOff>
      <xdr:row>556</xdr:row>
      <xdr:rowOff>0</xdr:rowOff>
    </xdr:from>
    <xdr:to>
      <xdr:col>5</xdr:col>
      <xdr:colOff>38100</xdr:colOff>
      <xdr:row>556</xdr:row>
      <xdr:rowOff>19050</xdr:rowOff>
    </xdr:to>
    <xdr:pic>
      <xdr:nvPicPr>
        <xdr:cNvPr id="54" name="grd_IDHF" descr="Hide">
          <a:extLst>
            <a:ext uri="{FF2B5EF4-FFF2-40B4-BE49-F238E27FC236}">
              <a16:creationId xmlns:a16="http://schemas.microsoft.com/office/drawing/2014/main" id="{76C84049-C95A-B815-E787-E45FA1D54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2780" y="105910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557</xdr:row>
      <xdr:rowOff>0</xdr:rowOff>
    </xdr:from>
    <xdr:to>
      <xdr:col>5</xdr:col>
      <xdr:colOff>15240</xdr:colOff>
      <xdr:row>557</xdr:row>
      <xdr:rowOff>15240</xdr:rowOff>
    </xdr:to>
    <xdr:pic>
      <xdr:nvPicPr>
        <xdr:cNvPr id="22" name="grd_IADD" descr="|">
          <a:extLst>
            <a:ext uri="{FF2B5EF4-FFF2-40B4-BE49-F238E27FC236}">
              <a16:creationId xmlns:a16="http://schemas.microsoft.com/office/drawing/2014/main" id="{2354F007-8D8C-502A-6900-FEC846F3B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6100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15240</xdr:colOff>
      <xdr:row>557</xdr:row>
      <xdr:rowOff>0</xdr:rowOff>
    </xdr:from>
    <xdr:to>
      <xdr:col>5</xdr:col>
      <xdr:colOff>19050</xdr:colOff>
      <xdr:row>557</xdr:row>
      <xdr:rowOff>15240</xdr:rowOff>
    </xdr:to>
    <xdr:pic>
      <xdr:nvPicPr>
        <xdr:cNvPr id="23" name="grd_IADU" descr="|">
          <a:extLst>
            <a:ext uri="{FF2B5EF4-FFF2-40B4-BE49-F238E27FC236}">
              <a16:creationId xmlns:a16="http://schemas.microsoft.com/office/drawing/2014/main" id="{A8ABF1D4-0148-4B7F-47DC-4FE073EAD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7540" y="106100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557</xdr:row>
      <xdr:rowOff>0</xdr:rowOff>
    </xdr:from>
    <xdr:ext cx="15240" cy="15240"/>
    <xdr:pic>
      <xdr:nvPicPr>
        <xdr:cNvPr id="24" name="grd_IADD" descr="|">
          <a:extLst>
            <a:ext uri="{FF2B5EF4-FFF2-40B4-BE49-F238E27FC236}">
              <a16:creationId xmlns:a16="http://schemas.microsoft.com/office/drawing/2014/main" id="{3640A9E1-295C-4BF9-909E-3EF5CFC0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105918000"/>
          <a:ext cx="1524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15240</xdr:colOff>
      <xdr:row>557</xdr:row>
      <xdr:rowOff>0</xdr:rowOff>
    </xdr:from>
    <xdr:ext cx="0" cy="15240"/>
    <xdr:pic>
      <xdr:nvPicPr>
        <xdr:cNvPr id="25" name="grd_IADU" descr="|">
          <a:extLst>
            <a:ext uri="{FF2B5EF4-FFF2-40B4-BE49-F238E27FC236}">
              <a16:creationId xmlns:a16="http://schemas.microsoft.com/office/drawing/2014/main" id="{5D9D84CD-9BD4-4D7E-B7F0-9B3383E17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105918000"/>
          <a:ext cx="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30480</xdr:colOff>
      <xdr:row>557</xdr:row>
      <xdr:rowOff>0</xdr:rowOff>
    </xdr:from>
    <xdr:ext cx="9525" cy="15240"/>
    <xdr:pic>
      <xdr:nvPicPr>
        <xdr:cNvPr id="26" name="grd_IDHF" descr="Hide">
          <a:extLst>
            <a:ext uri="{FF2B5EF4-FFF2-40B4-BE49-F238E27FC236}">
              <a16:creationId xmlns:a16="http://schemas.microsoft.com/office/drawing/2014/main" id="{17D1BFB3-9E73-4D0A-AED0-677D95D9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105918000"/>
          <a:ext cx="9525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peadata.gov.br/ExibeSerie.aspx?stub=1&amp;serid=36482&amp;module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F820-B08D-42C6-AA2D-99828077114E}">
  <sheetPr codeName="Planilha1"/>
  <dimension ref="A1:BS54"/>
  <sheetViews>
    <sheetView showGridLines="0" workbookViewId="0">
      <selection activeCell="O24" sqref="O24"/>
    </sheetView>
  </sheetViews>
  <sheetFormatPr defaultRowHeight="14.4" x14ac:dyDescent="0.3"/>
  <cols>
    <col min="1" max="1" width="9.6640625" bestFit="1" customWidth="1"/>
    <col min="2" max="2" width="10.5546875" bestFit="1" customWidth="1"/>
    <col min="5" max="5" width="11.33203125" bestFit="1" customWidth="1"/>
    <col min="6" max="6" width="16.21875" bestFit="1" customWidth="1"/>
    <col min="7" max="7" width="11.77734375" customWidth="1"/>
    <col min="8" max="8" width="19.109375" bestFit="1" customWidth="1"/>
    <col min="9" max="9" width="18.77734375" bestFit="1" customWidth="1"/>
    <col min="10" max="10" width="11.21875" customWidth="1"/>
    <col min="11" max="11" width="13.77734375" bestFit="1" customWidth="1"/>
    <col min="12" max="12" width="14.33203125" bestFit="1" customWidth="1"/>
    <col min="13" max="13" width="16.77734375" bestFit="1" customWidth="1"/>
    <col min="14" max="14" width="16.33203125" bestFit="1" customWidth="1"/>
    <col min="15" max="15" width="13.33203125" bestFit="1" customWidth="1"/>
    <col min="16" max="16" width="11.77734375" bestFit="1" customWidth="1"/>
    <col min="17" max="17" width="12.109375" bestFit="1" customWidth="1"/>
    <col min="18" max="18" width="9" bestFit="1" customWidth="1"/>
    <col min="24" max="27" width="19.109375" customWidth="1"/>
  </cols>
  <sheetData>
    <row r="1" spans="1:71" x14ac:dyDescent="0.3">
      <c r="A1" t="s">
        <v>735</v>
      </c>
      <c r="B1" s="84">
        <v>45958</v>
      </c>
      <c r="D1" t="s">
        <v>740</v>
      </c>
      <c r="E1" s="4">
        <v>100000</v>
      </c>
      <c r="G1" s="8" t="s">
        <v>634</v>
      </c>
      <c r="H1" s="13">
        <v>2.5000000000000001E-4</v>
      </c>
      <c r="I1" s="8" t="s">
        <v>628</v>
      </c>
      <c r="J1" s="12">
        <f>VLOOKUP("15/0"&amp;MONTH(H2)-1&amp;"/"&amp;YEAR(H2),NI_IPCA!$A$1:$B$551,2,0)</f>
        <v>7359.06</v>
      </c>
      <c r="L1" t="s">
        <v>741</v>
      </c>
      <c r="M1" s="92">
        <f>VLOOKUP(data_ref,$A$9:$D$32,4,0)</f>
        <v>5.3689999999999998</v>
      </c>
    </row>
    <row r="2" spans="1:71" x14ac:dyDescent="0.3">
      <c r="A2" t="s">
        <v>756</v>
      </c>
      <c r="B2" s="85">
        <f>WORKDAY(data_ref,1,feriados)</f>
        <v>45959</v>
      </c>
      <c r="D2" t="s">
        <v>639</v>
      </c>
      <c r="E2" s="83">
        <v>14.15</v>
      </c>
      <c r="G2" s="8" t="s">
        <v>626</v>
      </c>
      <c r="H2" s="1" t="str">
        <f>IF(DAY(data_ref)&gt;15,"15/"&amp;MONTH(data_ref)&amp;"/"&amp;YEAR(data_ref),"15/"&amp;MONTH(data_ref)-1&amp;"/"&amp;YEAR(data_ref))</f>
        <v>15/10/2025</v>
      </c>
      <c r="I2" s="8" t="s">
        <v>631</v>
      </c>
      <c r="J2" s="16">
        <v>0.67</v>
      </c>
      <c r="L2" t="s">
        <v>742</v>
      </c>
      <c r="M2" s="92">
        <f>VLOOKUP(data_ref_ant1,$A$9:$D$32,4,0)</f>
        <v>5.3743999999999996</v>
      </c>
    </row>
    <row r="3" spans="1:71" x14ac:dyDescent="0.3">
      <c r="A3" t="s">
        <v>757</v>
      </c>
      <c r="B3" s="85">
        <f>WORKDAY(data_ref,2,feriados)</f>
        <v>45960</v>
      </c>
      <c r="D3" t="s">
        <v>638</v>
      </c>
      <c r="E3" s="198">
        <f>((1+E2%)^(1/252)-1)*100</f>
        <v>5.2530930356686767E-2</v>
      </c>
      <c r="G3" s="8" t="s">
        <v>627</v>
      </c>
      <c r="H3" s="1" t="str">
        <f>"15/"&amp;MONTH(H2)+1&amp;"/"&amp;YEAR(H2)</f>
        <v>15/11/2025</v>
      </c>
      <c r="I3" s="1"/>
      <c r="J3" s="1"/>
      <c r="L3" t="s">
        <v>743</v>
      </c>
      <c r="M3" s="93">
        <v>5.3587999999999996</v>
      </c>
    </row>
    <row r="4" spans="1:71" x14ac:dyDescent="0.3">
      <c r="A4" t="s">
        <v>758</v>
      </c>
      <c r="B4" s="85">
        <f>WORKDAY(data_ref,-1,feriados)</f>
        <v>45957</v>
      </c>
      <c r="E4">
        <v>15</v>
      </c>
      <c r="G4" s="8" t="s">
        <v>635</v>
      </c>
      <c r="H4" s="1">
        <f>NETWORKDAYS(H2,data_ref,feriados)-1</f>
        <v>9</v>
      </c>
      <c r="I4" s="8" t="s">
        <v>748</v>
      </c>
      <c r="J4" s="12">
        <f>J1*(J2/100+1)^((H4)/H5)</f>
        <v>7379.1907272586122</v>
      </c>
      <c r="L4" t="s">
        <v>760</v>
      </c>
      <c r="M4" s="93" t="s">
        <v>762</v>
      </c>
    </row>
    <row r="5" spans="1:71" x14ac:dyDescent="0.3">
      <c r="A5" t="s">
        <v>759</v>
      </c>
      <c r="B5" s="85">
        <f>WORKDAY(data_ref,-2,feriados)</f>
        <v>45954</v>
      </c>
      <c r="E5" s="163"/>
      <c r="G5" s="8" t="s">
        <v>625</v>
      </c>
      <c r="H5" s="1">
        <f>NETWORKDAYS(H2,H3,feriados)-1</f>
        <v>22</v>
      </c>
      <c r="I5" s="8" t="s">
        <v>632</v>
      </c>
      <c r="J5" s="12">
        <f>J4*H1</f>
        <v>1.8447976818146532</v>
      </c>
      <c r="L5" t="s">
        <v>761</v>
      </c>
      <c r="M5" s="93" t="s">
        <v>763</v>
      </c>
    </row>
    <row r="6" spans="1:71" x14ac:dyDescent="0.3">
      <c r="E6" s="197"/>
      <c r="Z6" s="1"/>
      <c r="AA6" s="1"/>
    </row>
    <row r="7" spans="1:71" x14ac:dyDescent="0.3">
      <c r="Z7" s="1"/>
      <c r="AA7" s="1"/>
    </row>
    <row r="8" spans="1:71" ht="14.4" customHeight="1" x14ac:dyDescent="0.3">
      <c r="A8" s="83" t="s">
        <v>755</v>
      </c>
      <c r="G8" s="83" t="s">
        <v>45</v>
      </c>
      <c r="X8" s="83" t="s">
        <v>600</v>
      </c>
      <c r="AP8" s="83" t="s">
        <v>700</v>
      </c>
      <c r="BG8" s="83" t="s">
        <v>734</v>
      </c>
    </row>
    <row r="9" spans="1:71" ht="16.8" customHeight="1" x14ac:dyDescent="0.3">
      <c r="A9" s="90" t="s">
        <v>3</v>
      </c>
      <c r="B9" s="90" t="s">
        <v>752</v>
      </c>
      <c r="C9" s="91" t="s">
        <v>764</v>
      </c>
      <c r="D9" s="91"/>
      <c r="G9" t="s">
        <v>680</v>
      </c>
      <c r="H9" t="s">
        <v>681</v>
      </c>
      <c r="I9" t="s">
        <v>682</v>
      </c>
      <c r="J9" t="s">
        <v>683</v>
      </c>
      <c r="K9" t="s">
        <v>684</v>
      </c>
      <c r="L9" t="s">
        <v>685</v>
      </c>
      <c r="M9" t="s">
        <v>686</v>
      </c>
      <c r="N9" t="s">
        <v>687</v>
      </c>
      <c r="O9" t="s">
        <v>688</v>
      </c>
      <c r="P9" t="s">
        <v>689</v>
      </c>
      <c r="Q9" t="s">
        <v>690</v>
      </c>
      <c r="R9" t="s">
        <v>46</v>
      </c>
      <c r="S9" t="s">
        <v>691</v>
      </c>
      <c r="T9" t="s">
        <v>692</v>
      </c>
      <c r="U9" t="s">
        <v>693</v>
      </c>
      <c r="X9" t="s">
        <v>680</v>
      </c>
      <c r="Y9" t="s">
        <v>681</v>
      </c>
      <c r="Z9" t="s">
        <v>682</v>
      </c>
      <c r="AA9" t="s">
        <v>683</v>
      </c>
      <c r="AB9" t="s">
        <v>684</v>
      </c>
      <c r="AC9" t="s">
        <v>685</v>
      </c>
      <c r="AD9" t="s">
        <v>686</v>
      </c>
      <c r="AE9" t="s">
        <v>687</v>
      </c>
      <c r="AF9" t="s">
        <v>688</v>
      </c>
      <c r="AG9" t="s">
        <v>689</v>
      </c>
      <c r="AH9" t="s">
        <v>690</v>
      </c>
      <c r="AI9" t="s">
        <v>46</v>
      </c>
      <c r="AJ9" t="s">
        <v>691</v>
      </c>
      <c r="AK9" t="s">
        <v>692</v>
      </c>
      <c r="AL9" t="s">
        <v>693</v>
      </c>
      <c r="AP9" t="s">
        <v>680</v>
      </c>
      <c r="AQ9" t="s">
        <v>681</v>
      </c>
      <c r="AR9" t="s">
        <v>682</v>
      </c>
      <c r="AS9" t="s">
        <v>683</v>
      </c>
      <c r="AT9" t="s">
        <v>684</v>
      </c>
      <c r="AU9" t="s">
        <v>685</v>
      </c>
      <c r="AV9" t="s">
        <v>686</v>
      </c>
      <c r="AW9" t="s">
        <v>687</v>
      </c>
      <c r="AX9" t="s">
        <v>688</v>
      </c>
      <c r="AY9" t="s">
        <v>689</v>
      </c>
      <c r="AZ9" t="s">
        <v>690</v>
      </c>
      <c r="BA9" t="s">
        <v>46</v>
      </c>
      <c r="BB9" t="s">
        <v>691</v>
      </c>
      <c r="BC9" t="s">
        <v>692</v>
      </c>
      <c r="BD9" t="s">
        <v>693</v>
      </c>
      <c r="BG9" t="s">
        <v>680</v>
      </c>
      <c r="BH9" t="s">
        <v>682</v>
      </c>
      <c r="BI9" t="s">
        <v>683</v>
      </c>
      <c r="BJ9" t="s">
        <v>684</v>
      </c>
      <c r="BK9" t="s">
        <v>686</v>
      </c>
      <c r="BL9" t="s">
        <v>687</v>
      </c>
      <c r="BM9" t="s">
        <v>688</v>
      </c>
      <c r="BN9" t="s">
        <v>689</v>
      </c>
      <c r="BO9" t="s">
        <v>690</v>
      </c>
      <c r="BP9" t="s">
        <v>724</v>
      </c>
      <c r="BQ9" t="s">
        <v>691</v>
      </c>
      <c r="BR9" t="s">
        <v>692</v>
      </c>
      <c r="BS9" t="s">
        <v>693</v>
      </c>
    </row>
    <row r="10" spans="1:71" ht="14.4" customHeight="1" x14ac:dyDescent="0.3">
      <c r="A10" s="90"/>
      <c r="B10" s="90"/>
      <c r="C10" s="91" t="s">
        <v>753</v>
      </c>
      <c r="D10" s="91" t="s">
        <v>754</v>
      </c>
      <c r="G10" t="s">
        <v>6</v>
      </c>
      <c r="H10" s="81">
        <v>4293547</v>
      </c>
      <c r="I10" s="81">
        <v>3609</v>
      </c>
      <c r="J10" s="81">
        <v>188316</v>
      </c>
      <c r="K10" s="81">
        <v>18370438581</v>
      </c>
      <c r="L10" s="82">
        <v>97551.22</v>
      </c>
      <c r="M10">
        <v>14.9</v>
      </c>
      <c r="N10">
        <v>14.89</v>
      </c>
      <c r="O10">
        <v>14.9</v>
      </c>
      <c r="P10">
        <v>14.89</v>
      </c>
      <c r="Q10">
        <v>14.89</v>
      </c>
      <c r="R10" s="82">
        <v>97551.05</v>
      </c>
      <c r="S10" t="s">
        <v>770</v>
      </c>
      <c r="T10">
        <v>14.89</v>
      </c>
      <c r="U10">
        <v>14.9</v>
      </c>
      <c r="X10" t="s">
        <v>6</v>
      </c>
      <c r="Y10" s="81">
        <v>66207</v>
      </c>
      <c r="Z10">
        <v>11</v>
      </c>
      <c r="AA10">
        <v>688</v>
      </c>
      <c r="AB10" s="81">
        <v>123840048</v>
      </c>
      <c r="AC10" s="82">
        <v>97792.44</v>
      </c>
      <c r="AD10">
        <v>10.9</v>
      </c>
      <c r="AE10">
        <v>10.9</v>
      </c>
      <c r="AF10">
        <v>10.9</v>
      </c>
      <c r="AG10">
        <v>10.9</v>
      </c>
      <c r="AH10">
        <v>10.9</v>
      </c>
      <c r="AI10" s="82">
        <v>97767.28</v>
      </c>
      <c r="AJ10" t="s">
        <v>701</v>
      </c>
      <c r="AK10">
        <v>10.85</v>
      </c>
      <c r="AL10">
        <v>11.05</v>
      </c>
      <c r="AP10" t="s">
        <v>6</v>
      </c>
      <c r="AQ10" s="81">
        <v>989623</v>
      </c>
      <c r="AR10">
        <v>1</v>
      </c>
      <c r="AS10">
        <v>380</v>
      </c>
      <c r="AT10" s="82">
        <v>100858080</v>
      </c>
      <c r="AU10" s="82">
        <v>98925.22</v>
      </c>
      <c r="AV10">
        <v>6.79</v>
      </c>
      <c r="AW10">
        <v>6.79</v>
      </c>
      <c r="AX10">
        <v>6.79</v>
      </c>
      <c r="AY10">
        <v>6.79</v>
      </c>
      <c r="AZ10">
        <v>6.79</v>
      </c>
      <c r="BA10" s="82">
        <v>98648.29</v>
      </c>
      <c r="BB10" t="s">
        <v>810</v>
      </c>
      <c r="BC10" t="s">
        <v>694</v>
      </c>
      <c r="BD10" t="s">
        <v>694</v>
      </c>
      <c r="BG10" t="s">
        <v>6</v>
      </c>
      <c r="BH10">
        <v>51</v>
      </c>
      <c r="BI10" s="81">
        <v>74901</v>
      </c>
      <c r="BJ10" s="81">
        <v>9053459808</v>
      </c>
      <c r="BK10">
        <v>5.48</v>
      </c>
      <c r="BL10">
        <v>5.44</v>
      </c>
      <c r="BM10">
        <v>5.53</v>
      </c>
      <c r="BN10">
        <v>5.44</v>
      </c>
      <c r="BO10">
        <v>5.51</v>
      </c>
      <c r="BP10">
        <v>5.44</v>
      </c>
      <c r="BQ10" t="s">
        <v>725</v>
      </c>
      <c r="BR10" t="s">
        <v>694</v>
      </c>
      <c r="BS10" t="s">
        <v>694</v>
      </c>
    </row>
    <row r="11" spans="1:71" x14ac:dyDescent="0.3">
      <c r="A11" s="86">
        <v>45930</v>
      </c>
      <c r="B11" s="87" t="s">
        <v>751</v>
      </c>
      <c r="C11" s="87">
        <v>5.3179999999999996</v>
      </c>
      <c r="D11" s="87">
        <v>5.3186</v>
      </c>
      <c r="G11" t="s">
        <v>18</v>
      </c>
      <c r="H11" s="81">
        <v>5690218</v>
      </c>
      <c r="I11" s="81">
        <v>12644</v>
      </c>
      <c r="J11" s="81">
        <v>249338</v>
      </c>
      <c r="K11" s="81">
        <v>21434284584</v>
      </c>
      <c r="L11" s="82">
        <v>85989.57</v>
      </c>
      <c r="M11">
        <v>13.83</v>
      </c>
      <c r="N11">
        <v>13.82</v>
      </c>
      <c r="O11">
        <v>13.86</v>
      </c>
      <c r="P11">
        <v>13.84</v>
      </c>
      <c r="Q11">
        <v>13.82</v>
      </c>
      <c r="R11" s="82">
        <v>85966.95</v>
      </c>
      <c r="S11" t="s">
        <v>771</v>
      </c>
      <c r="T11">
        <v>13.82</v>
      </c>
      <c r="U11">
        <v>13.83</v>
      </c>
      <c r="X11" t="s">
        <v>18</v>
      </c>
      <c r="Y11" s="81">
        <v>8472</v>
      </c>
      <c r="Z11" t="s">
        <v>694</v>
      </c>
      <c r="AA11" t="s">
        <v>694</v>
      </c>
      <c r="AB11" t="s">
        <v>694</v>
      </c>
      <c r="AC11" s="82">
        <v>89870.99</v>
      </c>
      <c r="AD11" t="s">
        <v>694</v>
      </c>
      <c r="AE11" t="s">
        <v>694</v>
      </c>
      <c r="AF11" t="s">
        <v>694</v>
      </c>
      <c r="AG11" t="s">
        <v>694</v>
      </c>
      <c r="AH11" t="s">
        <v>694</v>
      </c>
      <c r="AI11" s="82">
        <v>89884.31</v>
      </c>
      <c r="AJ11" t="s">
        <v>702</v>
      </c>
      <c r="AK11" t="s">
        <v>694</v>
      </c>
      <c r="AL11" t="s">
        <v>694</v>
      </c>
      <c r="AP11" t="s">
        <v>18</v>
      </c>
      <c r="AQ11" s="81">
        <v>203897</v>
      </c>
      <c r="AR11">
        <v>1</v>
      </c>
      <c r="AS11">
        <v>42</v>
      </c>
      <c r="AT11" s="82">
        <v>10626710.220000001</v>
      </c>
      <c r="AU11" s="82">
        <v>94392.35</v>
      </c>
      <c r="AV11">
        <v>5.16</v>
      </c>
      <c r="AW11">
        <v>5.16</v>
      </c>
      <c r="AX11">
        <v>5.16</v>
      </c>
      <c r="AY11">
        <v>5.16</v>
      </c>
      <c r="AZ11">
        <v>5.16</v>
      </c>
      <c r="BA11" s="82">
        <v>94111.58</v>
      </c>
      <c r="BB11" t="s">
        <v>811</v>
      </c>
      <c r="BC11" t="s">
        <v>694</v>
      </c>
      <c r="BD11" t="s">
        <v>694</v>
      </c>
      <c r="BG11" t="s">
        <v>18</v>
      </c>
      <c r="BH11">
        <v>13</v>
      </c>
      <c r="BI11" s="81">
        <v>3776</v>
      </c>
      <c r="BJ11" s="81">
        <v>445629333</v>
      </c>
      <c r="BK11">
        <v>4.82</v>
      </c>
      <c r="BL11">
        <v>4.82</v>
      </c>
      <c r="BM11">
        <v>4.8499999999999996</v>
      </c>
      <c r="BN11">
        <v>4.84</v>
      </c>
      <c r="BO11">
        <v>4.8499999999999996</v>
      </c>
      <c r="BP11">
        <v>4.8499999999999996</v>
      </c>
      <c r="BQ11" t="s">
        <v>726</v>
      </c>
      <c r="BR11" t="s">
        <v>694</v>
      </c>
      <c r="BS11" t="s">
        <v>694</v>
      </c>
    </row>
    <row r="12" spans="1:71" x14ac:dyDescent="0.3">
      <c r="A12" s="88">
        <v>45931</v>
      </c>
      <c r="B12" s="89" t="s">
        <v>751</v>
      </c>
      <c r="C12" s="89">
        <v>5.3201999999999998</v>
      </c>
      <c r="D12" s="89">
        <v>5.3208000000000002</v>
      </c>
      <c r="G12" t="s">
        <v>23</v>
      </c>
      <c r="H12" s="81">
        <v>3449288</v>
      </c>
      <c r="I12" s="81">
        <v>16835</v>
      </c>
      <c r="J12" s="81">
        <v>264327</v>
      </c>
      <c r="K12" s="81">
        <v>20240884462</v>
      </c>
      <c r="L12" s="82">
        <v>76655.83</v>
      </c>
      <c r="M12">
        <v>13.1</v>
      </c>
      <c r="N12">
        <v>13.1</v>
      </c>
      <c r="O12">
        <v>13.15</v>
      </c>
      <c r="P12">
        <v>13.13</v>
      </c>
      <c r="Q12">
        <v>13.12</v>
      </c>
      <c r="R12" s="82">
        <v>76583.59</v>
      </c>
      <c r="S12" t="s">
        <v>772</v>
      </c>
      <c r="T12">
        <v>13.12</v>
      </c>
      <c r="U12">
        <v>13.13</v>
      </c>
      <c r="X12" t="s">
        <v>7</v>
      </c>
      <c r="Y12" t="s">
        <v>694</v>
      </c>
      <c r="Z12" t="s">
        <v>694</v>
      </c>
      <c r="AA12" t="s">
        <v>694</v>
      </c>
      <c r="AB12" t="s">
        <v>694</v>
      </c>
      <c r="AC12" s="82">
        <v>97069.2</v>
      </c>
      <c r="AD12" t="s">
        <v>694</v>
      </c>
      <c r="AE12" t="s">
        <v>694</v>
      </c>
      <c r="AF12" t="s">
        <v>694</v>
      </c>
      <c r="AG12" t="s">
        <v>694</v>
      </c>
      <c r="AH12" t="s">
        <v>694</v>
      </c>
      <c r="AI12" s="82">
        <v>97046.26</v>
      </c>
      <c r="AJ12" t="s">
        <v>703</v>
      </c>
      <c r="AK12">
        <v>10.09</v>
      </c>
      <c r="AL12">
        <v>10.53</v>
      </c>
      <c r="AP12" t="s">
        <v>23</v>
      </c>
      <c r="AQ12" s="81">
        <v>135601</v>
      </c>
      <c r="AR12" t="s">
        <v>694</v>
      </c>
      <c r="AS12" t="s">
        <v>694</v>
      </c>
      <c r="AT12" t="s">
        <v>694</v>
      </c>
      <c r="AU12" s="82">
        <v>90442.51</v>
      </c>
      <c r="AV12" t="s">
        <v>694</v>
      </c>
      <c r="AW12" t="s">
        <v>694</v>
      </c>
      <c r="AX12" t="s">
        <v>694</v>
      </c>
      <c r="AY12" t="s">
        <v>694</v>
      </c>
      <c r="AZ12" t="s">
        <v>694</v>
      </c>
      <c r="BA12" s="82">
        <v>90146.96</v>
      </c>
      <c r="BB12" t="s">
        <v>812</v>
      </c>
      <c r="BC12" t="s">
        <v>694</v>
      </c>
      <c r="BD12" t="s">
        <v>694</v>
      </c>
      <c r="BG12" t="s">
        <v>23</v>
      </c>
      <c r="BH12">
        <v>9</v>
      </c>
      <c r="BI12" s="81">
        <v>2080</v>
      </c>
      <c r="BJ12" s="81">
        <v>239987734</v>
      </c>
      <c r="BK12">
        <v>4.72</v>
      </c>
      <c r="BL12">
        <v>4.72</v>
      </c>
      <c r="BM12">
        <v>4.72</v>
      </c>
      <c r="BN12">
        <v>4.72</v>
      </c>
      <c r="BO12">
        <v>4.72</v>
      </c>
      <c r="BP12">
        <v>4.72</v>
      </c>
      <c r="BQ12">
        <v>0</v>
      </c>
      <c r="BR12">
        <v>4.71</v>
      </c>
      <c r="BS12" t="s">
        <v>694</v>
      </c>
    </row>
    <row r="13" spans="1:71" x14ac:dyDescent="0.3">
      <c r="A13" s="86">
        <v>45932</v>
      </c>
      <c r="B13" s="87" t="s">
        <v>751</v>
      </c>
      <c r="C13" s="87">
        <v>5.3442999999999996</v>
      </c>
      <c r="D13" s="87">
        <v>5.3449</v>
      </c>
      <c r="G13" t="s">
        <v>27</v>
      </c>
      <c r="H13" s="81">
        <v>3437018</v>
      </c>
      <c r="I13" s="81">
        <v>18024</v>
      </c>
      <c r="J13" s="81">
        <v>165809</v>
      </c>
      <c r="K13" s="81">
        <v>11261721804</v>
      </c>
      <c r="L13" s="82">
        <v>68035.22</v>
      </c>
      <c r="M13">
        <v>13.05</v>
      </c>
      <c r="N13">
        <v>13.03</v>
      </c>
      <c r="O13">
        <v>13.1</v>
      </c>
      <c r="P13">
        <v>13.08</v>
      </c>
      <c r="Q13">
        <v>13.08</v>
      </c>
      <c r="R13" s="82">
        <v>67928.58</v>
      </c>
      <c r="S13" t="s">
        <v>773</v>
      </c>
      <c r="T13">
        <v>13.08</v>
      </c>
      <c r="U13">
        <v>13.08</v>
      </c>
      <c r="X13" t="s">
        <v>8</v>
      </c>
      <c r="Y13" t="s">
        <v>694</v>
      </c>
      <c r="Z13" t="s">
        <v>694</v>
      </c>
      <c r="AA13" t="s">
        <v>694</v>
      </c>
      <c r="AB13" t="s">
        <v>694</v>
      </c>
      <c r="AC13" s="82">
        <v>96583.039999999994</v>
      </c>
      <c r="AD13" t="s">
        <v>694</v>
      </c>
      <c r="AE13" t="s">
        <v>694</v>
      </c>
      <c r="AF13" t="s">
        <v>694</v>
      </c>
      <c r="AG13" t="s">
        <v>694</v>
      </c>
      <c r="AH13" t="s">
        <v>694</v>
      </c>
      <c r="AI13" s="82">
        <v>96563.48</v>
      </c>
      <c r="AJ13" t="s">
        <v>704</v>
      </c>
      <c r="AK13">
        <v>9.5</v>
      </c>
      <c r="AL13">
        <v>9.94</v>
      </c>
      <c r="AP13" t="s">
        <v>27</v>
      </c>
      <c r="AQ13" s="81">
        <v>78560</v>
      </c>
      <c r="AR13" t="s">
        <v>694</v>
      </c>
      <c r="AS13" t="s">
        <v>694</v>
      </c>
      <c r="AT13" t="s">
        <v>694</v>
      </c>
      <c r="AU13" s="82">
        <v>86587.16</v>
      </c>
      <c r="AV13" t="s">
        <v>694</v>
      </c>
      <c r="AW13" t="s">
        <v>694</v>
      </c>
      <c r="AX13" t="s">
        <v>694</v>
      </c>
      <c r="AY13" t="s">
        <v>694</v>
      </c>
      <c r="AZ13" t="s">
        <v>694</v>
      </c>
      <c r="BA13" s="82">
        <v>86266.84</v>
      </c>
      <c r="BB13" t="s">
        <v>813</v>
      </c>
      <c r="BC13" t="s">
        <v>694</v>
      </c>
      <c r="BD13" t="s">
        <v>694</v>
      </c>
      <c r="BG13" t="s">
        <v>27</v>
      </c>
      <c r="BH13">
        <v>14</v>
      </c>
      <c r="BI13" s="81">
        <v>1942</v>
      </c>
      <c r="BJ13" s="81">
        <v>219105276</v>
      </c>
      <c r="BK13">
        <v>4.79</v>
      </c>
      <c r="BL13">
        <v>4.76</v>
      </c>
      <c r="BM13">
        <v>4.79</v>
      </c>
      <c r="BN13">
        <v>4.76</v>
      </c>
      <c r="BO13">
        <v>4.76</v>
      </c>
      <c r="BP13">
        <v>4.76</v>
      </c>
      <c r="BQ13" t="s">
        <v>727</v>
      </c>
      <c r="BR13" t="s">
        <v>694</v>
      </c>
      <c r="BS13" t="s">
        <v>694</v>
      </c>
    </row>
    <row r="14" spans="1:71" x14ac:dyDescent="0.3">
      <c r="A14" s="88">
        <v>45933</v>
      </c>
      <c r="B14" s="89" t="s">
        <v>751</v>
      </c>
      <c r="C14" s="89">
        <v>5.3491999999999997</v>
      </c>
      <c r="D14" s="89">
        <v>5.3498000000000001</v>
      </c>
      <c r="G14" t="s">
        <v>31</v>
      </c>
      <c r="H14" s="81">
        <v>1120661</v>
      </c>
      <c r="I14" s="81">
        <v>8891</v>
      </c>
      <c r="J14" s="81">
        <v>43757</v>
      </c>
      <c r="K14" s="81">
        <v>2617971005</v>
      </c>
      <c r="L14" s="82">
        <v>59976.14</v>
      </c>
      <c r="M14">
        <v>13.19</v>
      </c>
      <c r="N14">
        <v>13.18</v>
      </c>
      <c r="O14">
        <v>13.25</v>
      </c>
      <c r="P14">
        <v>13.23</v>
      </c>
      <c r="Q14">
        <v>13.23</v>
      </c>
      <c r="R14" s="82">
        <v>59823.72</v>
      </c>
      <c r="S14" t="s">
        <v>774</v>
      </c>
      <c r="T14">
        <v>13.23</v>
      </c>
      <c r="U14">
        <v>13.24</v>
      </c>
      <c r="X14" t="s">
        <v>9</v>
      </c>
      <c r="Y14" t="s">
        <v>694</v>
      </c>
      <c r="Z14" t="s">
        <v>694</v>
      </c>
      <c r="AA14" t="s">
        <v>694</v>
      </c>
      <c r="AB14" t="s">
        <v>694</v>
      </c>
      <c r="AC14" s="82">
        <v>95836.88</v>
      </c>
      <c r="AD14" t="s">
        <v>694</v>
      </c>
      <c r="AE14" t="s">
        <v>694</v>
      </c>
      <c r="AF14" t="s">
        <v>694</v>
      </c>
      <c r="AG14" t="s">
        <v>694</v>
      </c>
      <c r="AH14" t="s">
        <v>694</v>
      </c>
      <c r="AI14" s="82">
        <v>95819.91</v>
      </c>
      <c r="AJ14" t="s">
        <v>705</v>
      </c>
      <c r="AK14">
        <v>9.5</v>
      </c>
      <c r="AL14">
        <v>9.94</v>
      </c>
      <c r="AP14" t="s">
        <v>31</v>
      </c>
      <c r="AQ14" s="81">
        <v>62600</v>
      </c>
      <c r="AR14" t="s">
        <v>694</v>
      </c>
      <c r="AS14" t="s">
        <v>694</v>
      </c>
      <c r="AT14" t="s">
        <v>694</v>
      </c>
      <c r="AU14" s="82">
        <v>82701.08</v>
      </c>
      <c r="AV14" t="s">
        <v>694</v>
      </c>
      <c r="AW14" t="s">
        <v>694</v>
      </c>
      <c r="AX14" t="s">
        <v>694</v>
      </c>
      <c r="AY14" t="s">
        <v>694</v>
      </c>
      <c r="AZ14" t="s">
        <v>694</v>
      </c>
      <c r="BA14" s="82">
        <v>82407.41</v>
      </c>
      <c r="BB14" t="s">
        <v>814</v>
      </c>
      <c r="BC14" t="s">
        <v>694</v>
      </c>
      <c r="BD14" t="s">
        <v>694</v>
      </c>
      <c r="BG14" t="s">
        <v>31</v>
      </c>
      <c r="BH14">
        <v>13</v>
      </c>
      <c r="BI14" s="81">
        <v>2394</v>
      </c>
      <c r="BJ14" s="81">
        <v>263537245</v>
      </c>
      <c r="BK14">
        <v>4.9400000000000004</v>
      </c>
      <c r="BL14">
        <v>4.9000000000000004</v>
      </c>
      <c r="BM14">
        <v>4.9400000000000004</v>
      </c>
      <c r="BN14">
        <v>4.9000000000000004</v>
      </c>
      <c r="BO14">
        <v>4.9000000000000004</v>
      </c>
      <c r="BP14">
        <v>4.9000000000000004</v>
      </c>
      <c r="BQ14" t="s">
        <v>725</v>
      </c>
      <c r="BR14">
        <v>4.9000000000000004</v>
      </c>
      <c r="BS14" t="s">
        <v>694</v>
      </c>
    </row>
    <row r="15" spans="1:71" x14ac:dyDescent="0.3">
      <c r="A15" s="86">
        <v>45936</v>
      </c>
      <c r="B15" s="87" t="s">
        <v>751</v>
      </c>
      <c r="C15" s="87">
        <v>5.3220000000000001</v>
      </c>
      <c r="D15" s="87">
        <v>5.3226000000000004</v>
      </c>
      <c r="G15" t="s">
        <v>35</v>
      </c>
      <c r="H15" s="81">
        <v>1807011</v>
      </c>
      <c r="I15" s="81">
        <v>10258</v>
      </c>
      <c r="J15" s="81">
        <v>127860</v>
      </c>
      <c r="K15" s="81">
        <v>6716635417</v>
      </c>
      <c r="L15" s="82">
        <v>52700.41</v>
      </c>
      <c r="M15">
        <v>13.32</v>
      </c>
      <c r="N15">
        <v>13.3</v>
      </c>
      <c r="O15">
        <v>13.38</v>
      </c>
      <c r="P15">
        <v>13.36</v>
      </c>
      <c r="Q15">
        <v>13.38</v>
      </c>
      <c r="R15" s="82">
        <v>52518.67</v>
      </c>
      <c r="S15" t="s">
        <v>775</v>
      </c>
      <c r="T15">
        <v>13.36</v>
      </c>
      <c r="U15">
        <v>13.38</v>
      </c>
      <c r="X15" t="s">
        <v>601</v>
      </c>
      <c r="Y15" s="81">
        <v>316374</v>
      </c>
      <c r="Z15">
        <v>55</v>
      </c>
      <c r="AA15" s="81">
        <v>6989</v>
      </c>
      <c r="AB15" s="81">
        <v>1130896749</v>
      </c>
      <c r="AC15" s="82">
        <v>87835.65</v>
      </c>
      <c r="AD15">
        <v>8.86</v>
      </c>
      <c r="AE15">
        <v>8.7899999999999991</v>
      </c>
      <c r="AF15">
        <v>8.8699999999999992</v>
      </c>
      <c r="AG15">
        <v>8.7899999999999991</v>
      </c>
      <c r="AH15">
        <v>8.7899999999999991</v>
      </c>
      <c r="AI15" s="82">
        <v>87893.14</v>
      </c>
      <c r="AJ15" t="s">
        <v>706</v>
      </c>
      <c r="AK15" t="s">
        <v>694</v>
      </c>
      <c r="AL15">
        <v>8.83</v>
      </c>
      <c r="AP15" t="s">
        <v>35</v>
      </c>
      <c r="AQ15" s="81">
        <v>70843</v>
      </c>
      <c r="AR15" t="s">
        <v>694</v>
      </c>
      <c r="AS15" t="s">
        <v>694</v>
      </c>
      <c r="AT15" t="s">
        <v>694</v>
      </c>
      <c r="AU15" s="82">
        <v>78710.39</v>
      </c>
      <c r="AV15" t="s">
        <v>694</v>
      </c>
      <c r="AW15" t="s">
        <v>694</v>
      </c>
      <c r="AX15" t="s">
        <v>694</v>
      </c>
      <c r="AY15" t="s">
        <v>694</v>
      </c>
      <c r="AZ15" t="s">
        <v>694</v>
      </c>
      <c r="BA15" s="82">
        <v>78420.25</v>
      </c>
      <c r="BB15" t="s">
        <v>815</v>
      </c>
      <c r="BC15" t="s">
        <v>694</v>
      </c>
      <c r="BD15" t="s">
        <v>694</v>
      </c>
      <c r="BG15" t="s">
        <v>35</v>
      </c>
      <c r="BH15">
        <v>2</v>
      </c>
      <c r="BI15">
        <v>286</v>
      </c>
      <c r="BJ15" s="81">
        <v>30616505</v>
      </c>
      <c r="BK15">
        <v>5.17</v>
      </c>
      <c r="BL15">
        <v>5.12</v>
      </c>
      <c r="BM15">
        <v>5.17</v>
      </c>
      <c r="BN15">
        <v>5.13</v>
      </c>
      <c r="BO15">
        <v>5.12</v>
      </c>
      <c r="BP15">
        <v>5.12</v>
      </c>
      <c r="BQ15" t="s">
        <v>728</v>
      </c>
      <c r="BR15" t="s">
        <v>694</v>
      </c>
      <c r="BS15" t="s">
        <v>694</v>
      </c>
    </row>
    <row r="16" spans="1:71" x14ac:dyDescent="0.3">
      <c r="A16" s="88">
        <v>45937</v>
      </c>
      <c r="B16" s="89" t="s">
        <v>751</v>
      </c>
      <c r="C16" s="89">
        <v>5.3357000000000001</v>
      </c>
      <c r="D16" s="89">
        <v>5.3362999999999996</v>
      </c>
      <c r="G16" t="s">
        <v>36</v>
      </c>
      <c r="H16" s="81">
        <v>1291206</v>
      </c>
      <c r="I16" s="81">
        <v>1831</v>
      </c>
      <c r="J16" s="81">
        <v>70977</v>
      </c>
      <c r="K16" s="81">
        <v>3269087249</v>
      </c>
      <c r="L16" s="82">
        <v>46235.54</v>
      </c>
      <c r="M16">
        <v>13.43</v>
      </c>
      <c r="N16">
        <v>13.43</v>
      </c>
      <c r="O16">
        <v>13.49</v>
      </c>
      <c r="P16">
        <v>13.47</v>
      </c>
      <c r="Q16">
        <v>13.48</v>
      </c>
      <c r="R16" s="82">
        <v>46048.47</v>
      </c>
      <c r="S16" t="s">
        <v>776</v>
      </c>
      <c r="T16">
        <v>13.47</v>
      </c>
      <c r="U16">
        <v>13.5</v>
      </c>
      <c r="X16" t="s">
        <v>603</v>
      </c>
      <c r="Y16" s="81">
        <v>198198</v>
      </c>
      <c r="Z16">
        <v>60</v>
      </c>
      <c r="AA16" s="81">
        <v>6762</v>
      </c>
      <c r="AB16" s="81">
        <v>952510486</v>
      </c>
      <c r="AC16" s="82">
        <v>76456.210000000006</v>
      </c>
      <c r="AD16">
        <v>7.96</v>
      </c>
      <c r="AE16">
        <v>7.9</v>
      </c>
      <c r="AF16">
        <v>7.98</v>
      </c>
      <c r="AG16">
        <v>7.92</v>
      </c>
      <c r="AH16">
        <v>7.91</v>
      </c>
      <c r="AI16" s="82">
        <v>76540.36</v>
      </c>
      <c r="AJ16" t="s">
        <v>707</v>
      </c>
      <c r="AK16" t="s">
        <v>694</v>
      </c>
      <c r="AL16">
        <v>7.97</v>
      </c>
      <c r="AP16" t="s">
        <v>36</v>
      </c>
      <c r="AQ16" s="81">
        <v>45338</v>
      </c>
      <c r="AR16" t="s">
        <v>694</v>
      </c>
      <c r="AS16" t="s">
        <v>694</v>
      </c>
      <c r="AT16" t="s">
        <v>694</v>
      </c>
      <c r="AU16" s="82">
        <v>74590.55</v>
      </c>
      <c r="AV16" t="s">
        <v>694</v>
      </c>
      <c r="AW16" t="s">
        <v>694</v>
      </c>
      <c r="AX16" t="s">
        <v>694</v>
      </c>
      <c r="AY16" t="s">
        <v>694</v>
      </c>
      <c r="AZ16" t="s">
        <v>694</v>
      </c>
      <c r="BA16" s="82">
        <v>74411.460000000006</v>
      </c>
      <c r="BB16" t="s">
        <v>816</v>
      </c>
      <c r="BC16" t="s">
        <v>694</v>
      </c>
      <c r="BD16" t="s">
        <v>694</v>
      </c>
      <c r="BG16" t="s">
        <v>36</v>
      </c>
      <c r="BH16">
        <v>7</v>
      </c>
      <c r="BI16">
        <v>384</v>
      </c>
      <c r="BJ16" s="81">
        <v>16385402</v>
      </c>
      <c r="BK16">
        <v>5.44</v>
      </c>
      <c r="BL16">
        <v>5.41</v>
      </c>
      <c r="BM16">
        <v>5.44</v>
      </c>
      <c r="BN16">
        <v>5.41</v>
      </c>
      <c r="BO16">
        <v>5.41</v>
      </c>
      <c r="BP16">
        <v>5.41</v>
      </c>
      <c r="BQ16" t="s">
        <v>727</v>
      </c>
      <c r="BR16" t="s">
        <v>694</v>
      </c>
      <c r="BS16" t="s">
        <v>694</v>
      </c>
    </row>
    <row r="17" spans="1:71" x14ac:dyDescent="0.3">
      <c r="A17" s="86">
        <v>45938</v>
      </c>
      <c r="B17" s="87" t="s">
        <v>751</v>
      </c>
      <c r="C17" s="87">
        <v>5.3421000000000003</v>
      </c>
      <c r="D17" s="87">
        <v>5.3426999999999998</v>
      </c>
      <c r="G17" t="s">
        <v>37</v>
      </c>
      <c r="H17" s="81">
        <v>599882</v>
      </c>
      <c r="I17" s="81">
        <v>3980</v>
      </c>
      <c r="J17" s="81">
        <v>20595</v>
      </c>
      <c r="K17" s="81">
        <v>833888595</v>
      </c>
      <c r="L17" s="82">
        <v>40656.76</v>
      </c>
      <c r="M17">
        <v>13.47</v>
      </c>
      <c r="N17">
        <v>13.46</v>
      </c>
      <c r="O17">
        <v>13.53</v>
      </c>
      <c r="P17">
        <v>13.51</v>
      </c>
      <c r="Q17">
        <v>13.53</v>
      </c>
      <c r="R17" s="82">
        <v>40478.71</v>
      </c>
      <c r="S17" t="s">
        <v>777</v>
      </c>
      <c r="T17">
        <v>13.51</v>
      </c>
      <c r="U17">
        <v>13.54</v>
      </c>
      <c r="X17" t="s">
        <v>606</v>
      </c>
      <c r="Y17" s="81">
        <v>198742</v>
      </c>
      <c r="Z17">
        <v>48</v>
      </c>
      <c r="AA17" s="81">
        <v>4418</v>
      </c>
      <c r="AB17" s="81">
        <v>469216368</v>
      </c>
      <c r="AC17" s="82">
        <v>57591.78</v>
      </c>
      <c r="AD17">
        <v>7.64</v>
      </c>
      <c r="AE17">
        <v>7.6</v>
      </c>
      <c r="AF17">
        <v>7.64</v>
      </c>
      <c r="AG17">
        <v>7.61</v>
      </c>
      <c r="AH17">
        <v>7.6</v>
      </c>
      <c r="AI17" s="82">
        <v>57730.85</v>
      </c>
      <c r="AJ17" t="s">
        <v>708</v>
      </c>
      <c r="AK17">
        <v>7.58</v>
      </c>
      <c r="AL17">
        <v>7.66</v>
      </c>
      <c r="AP17" t="s">
        <v>37</v>
      </c>
      <c r="AQ17" s="81">
        <v>28220</v>
      </c>
      <c r="AR17" t="s">
        <v>694</v>
      </c>
      <c r="AS17" t="s">
        <v>694</v>
      </c>
      <c r="AT17" t="s">
        <v>694</v>
      </c>
      <c r="AU17" s="82">
        <v>70716.03</v>
      </c>
      <c r="AV17" t="s">
        <v>694</v>
      </c>
      <c r="AW17" t="s">
        <v>694</v>
      </c>
      <c r="AX17" t="s">
        <v>694</v>
      </c>
      <c r="AY17" t="s">
        <v>694</v>
      </c>
      <c r="AZ17" t="s">
        <v>694</v>
      </c>
      <c r="BA17" s="82">
        <v>70441.320000000007</v>
      </c>
      <c r="BB17" t="s">
        <v>817</v>
      </c>
      <c r="BC17" t="s">
        <v>694</v>
      </c>
      <c r="BD17" t="s">
        <v>694</v>
      </c>
      <c r="BG17" t="s">
        <v>37</v>
      </c>
      <c r="BH17">
        <v>2</v>
      </c>
      <c r="BI17">
        <v>342</v>
      </c>
      <c r="BJ17" s="81">
        <v>14144148</v>
      </c>
      <c r="BK17">
        <v>5.69</v>
      </c>
      <c r="BL17">
        <v>5.69</v>
      </c>
      <c r="BM17">
        <v>5.69</v>
      </c>
      <c r="BN17">
        <v>5.69</v>
      </c>
      <c r="BO17">
        <v>5.69</v>
      </c>
      <c r="BP17">
        <v>5.66</v>
      </c>
      <c r="BQ17" t="s">
        <v>727</v>
      </c>
      <c r="BR17" t="s">
        <v>694</v>
      </c>
      <c r="BS17" t="s">
        <v>694</v>
      </c>
    </row>
    <row r="18" spans="1:71" x14ac:dyDescent="0.3">
      <c r="A18" s="88">
        <v>45939</v>
      </c>
      <c r="B18" s="89" t="s">
        <v>751</v>
      </c>
      <c r="C18" s="89">
        <v>5.3532000000000002</v>
      </c>
      <c r="D18" s="89">
        <v>5.3537999999999997</v>
      </c>
      <c r="G18" t="s">
        <v>38</v>
      </c>
      <c r="H18" s="81">
        <v>272158</v>
      </c>
      <c r="I18">
        <v>370</v>
      </c>
      <c r="J18">
        <v>1478</v>
      </c>
      <c r="K18" s="81">
        <v>52693547</v>
      </c>
      <c r="L18" s="82">
        <v>35825.410000000003</v>
      </c>
      <c r="M18">
        <v>13.48</v>
      </c>
      <c r="N18">
        <v>13.48</v>
      </c>
      <c r="O18">
        <v>13.54</v>
      </c>
      <c r="P18">
        <v>13.52</v>
      </c>
      <c r="Q18">
        <v>13.54</v>
      </c>
      <c r="R18" s="82">
        <v>35652.06</v>
      </c>
      <c r="S18" t="s">
        <v>778</v>
      </c>
      <c r="T18">
        <v>13.52</v>
      </c>
      <c r="U18">
        <v>13.59</v>
      </c>
      <c r="X18" t="s">
        <v>607</v>
      </c>
      <c r="Y18" s="81">
        <v>416265</v>
      </c>
      <c r="Z18">
        <v>105</v>
      </c>
      <c r="AA18" s="81">
        <v>21904</v>
      </c>
      <c r="AB18" s="81">
        <v>2040284776</v>
      </c>
      <c r="AC18" s="82">
        <v>50575.61</v>
      </c>
      <c r="AD18">
        <v>7.46</v>
      </c>
      <c r="AE18">
        <v>7.42</v>
      </c>
      <c r="AF18">
        <v>7.48</v>
      </c>
      <c r="AG18">
        <v>7.45</v>
      </c>
      <c r="AH18">
        <v>7.46</v>
      </c>
      <c r="AI18" s="82">
        <v>50556.27</v>
      </c>
      <c r="AJ18" t="s">
        <v>709</v>
      </c>
      <c r="AK18">
        <v>7.42</v>
      </c>
      <c r="AL18">
        <v>7.49</v>
      </c>
      <c r="AP18" t="s">
        <v>38</v>
      </c>
      <c r="AQ18" s="81">
        <v>36930</v>
      </c>
      <c r="AR18" t="s">
        <v>694</v>
      </c>
      <c r="AS18" t="s">
        <v>694</v>
      </c>
      <c r="AT18" t="s">
        <v>694</v>
      </c>
      <c r="AU18" s="82">
        <v>66865.73</v>
      </c>
      <c r="AV18" t="s">
        <v>694</v>
      </c>
      <c r="AW18" t="s">
        <v>694</v>
      </c>
      <c r="AX18" t="s">
        <v>694</v>
      </c>
      <c r="AY18" t="s">
        <v>694</v>
      </c>
      <c r="AZ18" t="s">
        <v>694</v>
      </c>
      <c r="BA18" s="82">
        <v>66785.279999999999</v>
      </c>
      <c r="BB18" t="s">
        <v>818</v>
      </c>
      <c r="BC18" t="s">
        <v>694</v>
      </c>
      <c r="BD18" t="s">
        <v>694</v>
      </c>
      <c r="BG18" t="s">
        <v>38</v>
      </c>
      <c r="BH18">
        <v>2</v>
      </c>
      <c r="BI18">
        <v>334</v>
      </c>
      <c r="BJ18" s="81">
        <v>13363755</v>
      </c>
      <c r="BK18">
        <v>5.97</v>
      </c>
      <c r="BL18">
        <v>5.97</v>
      </c>
      <c r="BM18">
        <v>5.97</v>
      </c>
      <c r="BN18">
        <v>5.97</v>
      </c>
      <c r="BO18">
        <v>5.97</v>
      </c>
      <c r="BP18">
        <v>5.95</v>
      </c>
      <c r="BQ18" t="s">
        <v>729</v>
      </c>
      <c r="BR18" t="s">
        <v>694</v>
      </c>
      <c r="BS18" t="s">
        <v>694</v>
      </c>
    </row>
    <row r="19" spans="1:71" x14ac:dyDescent="0.3">
      <c r="A19" s="86">
        <v>45940</v>
      </c>
      <c r="B19" s="87" t="s">
        <v>751</v>
      </c>
      <c r="C19" s="87">
        <v>5.444</v>
      </c>
      <c r="D19" s="87">
        <v>5.4446000000000003</v>
      </c>
      <c r="G19" t="s">
        <v>39</v>
      </c>
      <c r="H19" s="81">
        <v>768021</v>
      </c>
      <c r="I19" s="81">
        <v>3443</v>
      </c>
      <c r="J19" s="81">
        <v>28396</v>
      </c>
      <c r="K19" s="81">
        <v>893178331</v>
      </c>
      <c r="L19" s="82">
        <v>31606.51</v>
      </c>
      <c r="M19">
        <v>13.5</v>
      </c>
      <c r="N19">
        <v>13.48</v>
      </c>
      <c r="O19">
        <v>13.56</v>
      </c>
      <c r="P19">
        <v>13.53</v>
      </c>
      <c r="Q19">
        <v>13.56</v>
      </c>
      <c r="R19" s="82">
        <v>31437.86</v>
      </c>
      <c r="S19" t="s">
        <v>779</v>
      </c>
      <c r="T19">
        <v>13.53</v>
      </c>
      <c r="U19">
        <v>13.57</v>
      </c>
      <c r="X19" t="s">
        <v>609</v>
      </c>
      <c r="Y19" s="81">
        <v>19051</v>
      </c>
      <c r="Z19">
        <v>4</v>
      </c>
      <c r="AA19">
        <v>131</v>
      </c>
      <c r="AB19" s="81">
        <v>6346295</v>
      </c>
      <c r="AC19" s="82">
        <v>25831.71</v>
      </c>
      <c r="AD19">
        <v>7.12</v>
      </c>
      <c r="AE19">
        <v>7.12</v>
      </c>
      <c r="AF19">
        <v>7.12</v>
      </c>
      <c r="AG19">
        <v>7.12</v>
      </c>
      <c r="AH19">
        <v>7.12</v>
      </c>
      <c r="AI19" s="82">
        <v>26312.97</v>
      </c>
      <c r="AJ19" t="s">
        <v>710</v>
      </c>
      <c r="AK19" t="s">
        <v>694</v>
      </c>
      <c r="AL19" t="s">
        <v>694</v>
      </c>
      <c r="AP19" t="s">
        <v>39</v>
      </c>
      <c r="AQ19" s="81">
        <v>37620</v>
      </c>
      <c r="AR19" t="s">
        <v>694</v>
      </c>
      <c r="AS19" t="s">
        <v>694</v>
      </c>
      <c r="AT19" t="s">
        <v>694</v>
      </c>
      <c r="AU19" s="82">
        <v>63173.919999999998</v>
      </c>
      <c r="AV19" t="s">
        <v>694</v>
      </c>
      <c r="AW19" t="s">
        <v>694</v>
      </c>
      <c r="AX19" t="s">
        <v>694</v>
      </c>
      <c r="AY19" t="s">
        <v>694</v>
      </c>
      <c r="AZ19" t="s">
        <v>694</v>
      </c>
      <c r="BA19" s="82">
        <v>63102.39</v>
      </c>
      <c r="BB19" t="s">
        <v>819</v>
      </c>
      <c r="BC19" t="s">
        <v>694</v>
      </c>
      <c r="BD19" t="s">
        <v>694</v>
      </c>
      <c r="BG19" t="s">
        <v>39</v>
      </c>
      <c r="BH19">
        <v>3</v>
      </c>
      <c r="BI19" s="81">
        <v>2758</v>
      </c>
      <c r="BJ19" s="81">
        <v>106595309</v>
      </c>
      <c r="BK19">
        <v>6.26</v>
      </c>
      <c r="BL19">
        <v>6.26</v>
      </c>
      <c r="BM19">
        <v>6.26</v>
      </c>
      <c r="BN19">
        <v>6.26</v>
      </c>
      <c r="BO19">
        <v>6.26</v>
      </c>
      <c r="BP19">
        <v>6.24</v>
      </c>
      <c r="BQ19" t="s">
        <v>729</v>
      </c>
      <c r="BR19" t="s">
        <v>694</v>
      </c>
      <c r="BS19" t="s">
        <v>694</v>
      </c>
    </row>
    <row r="20" spans="1:71" x14ac:dyDescent="0.3">
      <c r="A20" s="88">
        <v>45943</v>
      </c>
      <c r="B20" s="89" t="s">
        <v>751</v>
      </c>
      <c r="C20" s="89">
        <v>5.4622999999999999</v>
      </c>
      <c r="D20" s="89">
        <v>5.4629000000000003</v>
      </c>
      <c r="G20" t="s">
        <v>40</v>
      </c>
      <c r="H20" s="81">
        <v>65504</v>
      </c>
      <c r="I20">
        <v>152</v>
      </c>
      <c r="J20">
        <v>824</v>
      </c>
      <c r="K20" s="81">
        <v>22957142</v>
      </c>
      <c r="L20" s="82">
        <v>27993.52</v>
      </c>
      <c r="M20">
        <v>13.49</v>
      </c>
      <c r="N20">
        <v>13.48</v>
      </c>
      <c r="O20">
        <v>13.52</v>
      </c>
      <c r="P20">
        <v>13.48</v>
      </c>
      <c r="Q20">
        <v>13.52</v>
      </c>
      <c r="R20" s="82">
        <v>27823.119999999999</v>
      </c>
      <c r="S20" t="s">
        <v>780</v>
      </c>
      <c r="T20" t="s">
        <v>694</v>
      </c>
      <c r="U20" t="s">
        <v>694</v>
      </c>
      <c r="X20" t="s">
        <v>611</v>
      </c>
      <c r="Y20" s="81">
        <v>2456</v>
      </c>
      <c r="Z20" t="s">
        <v>694</v>
      </c>
      <c r="AA20" t="s">
        <v>694</v>
      </c>
      <c r="AB20" t="s">
        <v>694</v>
      </c>
      <c r="AC20" s="82">
        <v>13443.03</v>
      </c>
      <c r="AD20" t="s">
        <v>694</v>
      </c>
      <c r="AE20" t="s">
        <v>694</v>
      </c>
      <c r="AF20" t="s">
        <v>694</v>
      </c>
      <c r="AG20" t="s">
        <v>694</v>
      </c>
      <c r="AH20" t="s">
        <v>694</v>
      </c>
      <c r="AI20" s="82">
        <v>13419.29</v>
      </c>
      <c r="AJ20" t="s">
        <v>711</v>
      </c>
      <c r="AK20" t="s">
        <v>694</v>
      </c>
      <c r="AL20" t="s">
        <v>694</v>
      </c>
      <c r="AP20" t="s">
        <v>40</v>
      </c>
      <c r="AQ20" s="81">
        <v>16210</v>
      </c>
      <c r="AR20" t="s">
        <v>694</v>
      </c>
      <c r="AS20" t="s">
        <v>694</v>
      </c>
      <c r="AT20" t="s">
        <v>694</v>
      </c>
      <c r="AU20" s="82">
        <v>59690.29</v>
      </c>
      <c r="AV20" t="s">
        <v>694</v>
      </c>
      <c r="AW20" t="s">
        <v>694</v>
      </c>
      <c r="AX20" t="s">
        <v>694</v>
      </c>
      <c r="AY20" t="s">
        <v>694</v>
      </c>
      <c r="AZ20" t="s">
        <v>694</v>
      </c>
      <c r="BA20" s="82">
        <v>59630.8</v>
      </c>
      <c r="BB20" t="s">
        <v>820</v>
      </c>
      <c r="BC20" t="s">
        <v>694</v>
      </c>
      <c r="BD20" t="s">
        <v>694</v>
      </c>
      <c r="BG20" t="s">
        <v>40</v>
      </c>
      <c r="BH20">
        <v>2</v>
      </c>
      <c r="BI20">
        <v>176</v>
      </c>
      <c r="BJ20" s="81">
        <v>6575496</v>
      </c>
      <c r="BK20">
        <v>6.52</v>
      </c>
      <c r="BL20">
        <v>6.52</v>
      </c>
      <c r="BM20">
        <v>6.52</v>
      </c>
      <c r="BN20">
        <v>6.52</v>
      </c>
      <c r="BO20">
        <v>6.52</v>
      </c>
      <c r="BP20">
        <v>6.52</v>
      </c>
      <c r="BQ20" t="s">
        <v>729</v>
      </c>
      <c r="BR20" t="s">
        <v>694</v>
      </c>
      <c r="BS20" t="s">
        <v>694</v>
      </c>
    </row>
    <row r="21" spans="1:71" x14ac:dyDescent="0.3">
      <c r="A21" s="86">
        <v>45944</v>
      </c>
      <c r="B21" s="87" t="s">
        <v>751</v>
      </c>
      <c r="C21" s="87">
        <v>5.4976000000000003</v>
      </c>
      <c r="D21" s="87">
        <v>5.4981999999999998</v>
      </c>
      <c r="G21" t="s">
        <v>41</v>
      </c>
      <c r="H21" s="81">
        <v>57135</v>
      </c>
      <c r="I21">
        <v>43</v>
      </c>
      <c r="J21">
        <v>568</v>
      </c>
      <c r="K21" s="81">
        <v>13944869</v>
      </c>
      <c r="L21" s="82">
        <v>24714.94</v>
      </c>
      <c r="M21">
        <v>13.5</v>
      </c>
      <c r="N21">
        <v>13.47</v>
      </c>
      <c r="O21">
        <v>13.5</v>
      </c>
      <c r="P21">
        <v>13.48</v>
      </c>
      <c r="Q21">
        <v>13.48</v>
      </c>
      <c r="R21" s="82">
        <v>24559.29</v>
      </c>
      <c r="S21" t="s">
        <v>781</v>
      </c>
      <c r="T21">
        <v>13.47</v>
      </c>
      <c r="U21">
        <v>13.51</v>
      </c>
      <c r="X21" t="s">
        <v>13</v>
      </c>
      <c r="Y21" s="81">
        <v>340668</v>
      </c>
      <c r="Z21">
        <v>57</v>
      </c>
      <c r="AA21" s="81">
        <v>12670</v>
      </c>
      <c r="AB21" s="81">
        <v>2159861587</v>
      </c>
      <c r="AC21" s="82">
        <v>92591.82</v>
      </c>
      <c r="AD21">
        <v>10.15</v>
      </c>
      <c r="AE21">
        <v>10.11</v>
      </c>
      <c r="AF21">
        <v>10.15</v>
      </c>
      <c r="AG21">
        <v>10.130000000000001</v>
      </c>
      <c r="AH21">
        <v>10.14</v>
      </c>
      <c r="AI21" s="82">
        <v>92589.03</v>
      </c>
      <c r="AJ21" t="s">
        <v>712</v>
      </c>
      <c r="AK21" t="s">
        <v>694</v>
      </c>
      <c r="AL21">
        <v>10.14</v>
      </c>
      <c r="AP21" t="s">
        <v>41</v>
      </c>
      <c r="AQ21" s="81">
        <v>22220</v>
      </c>
      <c r="AR21" t="s">
        <v>694</v>
      </c>
      <c r="AS21" t="s">
        <v>694</v>
      </c>
      <c r="AT21" t="s">
        <v>694</v>
      </c>
      <c r="AU21" s="82">
        <v>56352.14</v>
      </c>
      <c r="AV21" t="s">
        <v>694</v>
      </c>
      <c r="AW21" t="s">
        <v>694</v>
      </c>
      <c r="AX21" t="s">
        <v>694</v>
      </c>
      <c r="AY21" t="s">
        <v>694</v>
      </c>
      <c r="AZ21" t="s">
        <v>694</v>
      </c>
      <c r="BA21" s="82">
        <v>56296.79</v>
      </c>
      <c r="BB21" t="s">
        <v>821</v>
      </c>
      <c r="BC21" t="s">
        <v>694</v>
      </c>
      <c r="BD21" t="s">
        <v>694</v>
      </c>
      <c r="BG21" t="s">
        <v>41</v>
      </c>
      <c r="BH21">
        <v>1</v>
      </c>
      <c r="BI21">
        <v>313</v>
      </c>
      <c r="BJ21" s="81">
        <v>11268650</v>
      </c>
      <c r="BK21">
        <v>6.82</v>
      </c>
      <c r="BL21">
        <v>6.82</v>
      </c>
      <c r="BM21">
        <v>6.82</v>
      </c>
      <c r="BN21">
        <v>6.82</v>
      </c>
      <c r="BO21">
        <v>6.82</v>
      </c>
      <c r="BP21">
        <v>6.81</v>
      </c>
      <c r="BQ21" t="s">
        <v>730</v>
      </c>
      <c r="BR21" t="s">
        <v>694</v>
      </c>
      <c r="BS21" t="s">
        <v>694</v>
      </c>
    </row>
    <row r="22" spans="1:71" x14ac:dyDescent="0.3">
      <c r="A22" s="88">
        <v>45945</v>
      </c>
      <c r="B22" s="89" t="s">
        <v>751</v>
      </c>
      <c r="C22" s="89">
        <v>5.4458000000000002</v>
      </c>
      <c r="D22" s="89">
        <v>5.4463999999999997</v>
      </c>
      <c r="G22" t="s">
        <v>42</v>
      </c>
      <c r="H22" s="81">
        <v>43856</v>
      </c>
      <c r="I22">
        <v>28</v>
      </c>
      <c r="J22">
        <v>69</v>
      </c>
      <c r="K22" s="81">
        <v>1503522</v>
      </c>
      <c r="L22" s="82">
        <v>21932.43</v>
      </c>
      <c r="M22">
        <v>13.43</v>
      </c>
      <c r="N22">
        <v>13.43</v>
      </c>
      <c r="O22">
        <v>13.43</v>
      </c>
      <c r="P22">
        <v>13.43</v>
      </c>
      <c r="Q22">
        <v>13.43</v>
      </c>
      <c r="R22" s="82">
        <v>21791.35</v>
      </c>
      <c r="S22" t="s">
        <v>782</v>
      </c>
      <c r="T22" t="s">
        <v>694</v>
      </c>
      <c r="U22" t="s">
        <v>694</v>
      </c>
      <c r="X22" t="s">
        <v>602</v>
      </c>
      <c r="Y22" s="81">
        <v>326268</v>
      </c>
      <c r="Z22">
        <v>62</v>
      </c>
      <c r="AA22" s="81">
        <v>10130</v>
      </c>
      <c r="AB22" s="81">
        <v>1499629911</v>
      </c>
      <c r="AC22" s="82">
        <v>80362.69</v>
      </c>
      <c r="AD22">
        <v>8.1999999999999993</v>
      </c>
      <c r="AE22">
        <v>8.14</v>
      </c>
      <c r="AF22">
        <v>8.1999999999999993</v>
      </c>
      <c r="AG22">
        <v>8.15</v>
      </c>
      <c r="AH22">
        <v>8.14</v>
      </c>
      <c r="AI22" s="82">
        <v>80447.850000000006</v>
      </c>
      <c r="AJ22" t="s">
        <v>713</v>
      </c>
      <c r="AK22">
        <v>8.14</v>
      </c>
      <c r="AL22" t="s">
        <v>694</v>
      </c>
      <c r="AP22" t="s">
        <v>42</v>
      </c>
      <c r="AQ22" s="81">
        <v>2820</v>
      </c>
      <c r="AR22" t="s">
        <v>694</v>
      </c>
      <c r="AS22" t="s">
        <v>694</v>
      </c>
      <c r="AT22" t="s">
        <v>694</v>
      </c>
      <c r="AU22" s="82">
        <v>53332.6</v>
      </c>
      <c r="AV22" t="s">
        <v>694</v>
      </c>
      <c r="AW22" t="s">
        <v>694</v>
      </c>
      <c r="AX22" t="s">
        <v>694</v>
      </c>
      <c r="AY22" t="s">
        <v>694</v>
      </c>
      <c r="AZ22" t="s">
        <v>694</v>
      </c>
      <c r="BA22" s="82">
        <v>53249.279999999999</v>
      </c>
      <c r="BB22" t="s">
        <v>822</v>
      </c>
      <c r="BC22" t="s">
        <v>694</v>
      </c>
      <c r="BD22" t="s">
        <v>694</v>
      </c>
      <c r="BG22" t="s">
        <v>42</v>
      </c>
      <c r="BH22" t="s">
        <v>694</v>
      </c>
      <c r="BI22" t="s">
        <v>694</v>
      </c>
      <c r="BJ22" t="s">
        <v>694</v>
      </c>
      <c r="BK22" t="s">
        <v>694</v>
      </c>
      <c r="BL22" t="s">
        <v>694</v>
      </c>
      <c r="BM22" t="s">
        <v>694</v>
      </c>
      <c r="BN22" t="s">
        <v>694</v>
      </c>
      <c r="BO22" t="s">
        <v>694</v>
      </c>
      <c r="BP22">
        <v>7.06</v>
      </c>
      <c r="BQ22" t="s">
        <v>730</v>
      </c>
      <c r="BR22" t="s">
        <v>694</v>
      </c>
      <c r="BS22" t="s">
        <v>694</v>
      </c>
    </row>
    <row r="23" spans="1:71" x14ac:dyDescent="0.3">
      <c r="A23" s="86">
        <v>45946</v>
      </c>
      <c r="B23" s="87" t="s">
        <v>751</v>
      </c>
      <c r="C23" s="87">
        <v>5.4348000000000001</v>
      </c>
      <c r="D23" s="87">
        <v>5.4353999999999996</v>
      </c>
      <c r="G23" t="s">
        <v>43</v>
      </c>
      <c r="H23" s="81">
        <v>31205</v>
      </c>
      <c r="I23">
        <v>6</v>
      </c>
      <c r="J23" s="81">
        <v>18</v>
      </c>
      <c r="K23" s="81">
        <v>346846</v>
      </c>
      <c r="L23" s="82">
        <v>19455.02</v>
      </c>
      <c r="M23">
        <v>13.4</v>
      </c>
      <c r="N23">
        <v>13.4</v>
      </c>
      <c r="O23">
        <v>13.41</v>
      </c>
      <c r="P23">
        <v>13.4</v>
      </c>
      <c r="Q23">
        <v>13.41</v>
      </c>
      <c r="R23" s="82">
        <v>19319.61</v>
      </c>
      <c r="S23" t="s">
        <v>783</v>
      </c>
      <c r="T23" t="s">
        <v>694</v>
      </c>
      <c r="U23" t="s">
        <v>694</v>
      </c>
      <c r="X23" t="s">
        <v>604</v>
      </c>
      <c r="Y23" s="81">
        <v>394224</v>
      </c>
      <c r="Z23">
        <v>192</v>
      </c>
      <c r="AA23" s="81">
        <v>35677</v>
      </c>
      <c r="AB23" s="81">
        <v>4596524630</v>
      </c>
      <c r="AC23" s="82">
        <v>69916.39</v>
      </c>
      <c r="AD23">
        <v>7.82</v>
      </c>
      <c r="AE23">
        <v>7.77</v>
      </c>
      <c r="AF23">
        <v>7.82</v>
      </c>
      <c r="AG23">
        <v>7.79</v>
      </c>
      <c r="AH23">
        <v>7.78</v>
      </c>
      <c r="AI23" s="82">
        <v>70014.080000000002</v>
      </c>
      <c r="AJ23" t="s">
        <v>714</v>
      </c>
      <c r="AK23">
        <v>7.78</v>
      </c>
      <c r="AL23">
        <v>7.81</v>
      </c>
      <c r="AP23" t="s">
        <v>43</v>
      </c>
      <c r="AQ23" s="81">
        <v>2860</v>
      </c>
      <c r="AR23" t="s">
        <v>694</v>
      </c>
      <c r="AS23" t="s">
        <v>694</v>
      </c>
      <c r="AT23" t="s">
        <v>694</v>
      </c>
      <c r="AU23" s="82">
        <v>50366.92</v>
      </c>
      <c r="AV23" t="s">
        <v>694</v>
      </c>
      <c r="AW23" t="s">
        <v>694</v>
      </c>
      <c r="AX23" t="s">
        <v>694</v>
      </c>
      <c r="AY23" t="s">
        <v>694</v>
      </c>
      <c r="AZ23" t="s">
        <v>694</v>
      </c>
      <c r="BA23" s="82">
        <v>50291.38</v>
      </c>
      <c r="BB23" t="s">
        <v>823</v>
      </c>
      <c r="BC23" t="s">
        <v>694</v>
      </c>
      <c r="BD23" t="s">
        <v>694</v>
      </c>
      <c r="BG23" t="s">
        <v>43</v>
      </c>
      <c r="BH23" t="s">
        <v>694</v>
      </c>
      <c r="BI23" t="s">
        <v>694</v>
      </c>
      <c r="BJ23" t="s">
        <v>694</v>
      </c>
      <c r="BK23" t="s">
        <v>694</v>
      </c>
      <c r="BL23" t="s">
        <v>694</v>
      </c>
      <c r="BM23" t="s">
        <v>694</v>
      </c>
      <c r="BN23" t="s">
        <v>694</v>
      </c>
      <c r="BO23" t="s">
        <v>694</v>
      </c>
      <c r="BP23">
        <v>7.35</v>
      </c>
      <c r="BQ23">
        <v>0</v>
      </c>
      <c r="BR23" t="s">
        <v>694</v>
      </c>
      <c r="BS23" t="s">
        <v>694</v>
      </c>
    </row>
    <row r="24" spans="1:71" x14ac:dyDescent="0.3">
      <c r="A24" s="88">
        <v>45947</v>
      </c>
      <c r="B24" s="89" t="s">
        <v>751</v>
      </c>
      <c r="C24" s="89">
        <v>5.4383999999999997</v>
      </c>
      <c r="D24" s="89">
        <v>5.4390000000000001</v>
      </c>
      <c r="G24" t="s">
        <v>44</v>
      </c>
      <c r="H24" s="81">
        <v>48121</v>
      </c>
      <c r="I24">
        <v>3</v>
      </c>
      <c r="J24" s="81">
        <v>13</v>
      </c>
      <c r="K24" s="81">
        <v>222363</v>
      </c>
      <c r="L24" s="82">
        <v>17197.96</v>
      </c>
      <c r="M24">
        <v>13.36</v>
      </c>
      <c r="N24">
        <v>13.35</v>
      </c>
      <c r="O24">
        <v>13.36</v>
      </c>
      <c r="P24">
        <v>13.35</v>
      </c>
      <c r="Q24">
        <v>13.35</v>
      </c>
      <c r="R24" s="82">
        <v>17069.240000000002</v>
      </c>
      <c r="S24" t="s">
        <v>784</v>
      </c>
      <c r="T24" t="s">
        <v>694</v>
      </c>
      <c r="U24" t="s">
        <v>694</v>
      </c>
      <c r="X24" t="s">
        <v>605</v>
      </c>
      <c r="Y24" s="81">
        <v>282640</v>
      </c>
      <c r="Z24">
        <v>97</v>
      </c>
      <c r="AA24" s="81">
        <v>18061</v>
      </c>
      <c r="AB24" s="81">
        <v>2016272469</v>
      </c>
      <c r="AC24" s="82">
        <v>60615.94</v>
      </c>
      <c r="AD24">
        <v>7.7</v>
      </c>
      <c r="AE24">
        <v>7.67</v>
      </c>
      <c r="AF24">
        <v>7.71</v>
      </c>
      <c r="AG24">
        <v>7.68</v>
      </c>
      <c r="AH24">
        <v>7.68</v>
      </c>
      <c r="AI24" s="82">
        <v>60707.49</v>
      </c>
      <c r="AJ24" t="s">
        <v>715</v>
      </c>
      <c r="AK24">
        <v>7.68</v>
      </c>
      <c r="AL24" t="s">
        <v>694</v>
      </c>
      <c r="AP24" t="s">
        <v>44</v>
      </c>
      <c r="AQ24" s="81">
        <v>4010</v>
      </c>
      <c r="AR24" t="s">
        <v>694</v>
      </c>
      <c r="AS24" t="s">
        <v>694</v>
      </c>
      <c r="AT24" t="s">
        <v>694</v>
      </c>
      <c r="AU24" s="82">
        <v>47584</v>
      </c>
      <c r="AV24" t="s">
        <v>694</v>
      </c>
      <c r="AW24" t="s">
        <v>694</v>
      </c>
      <c r="AX24" t="s">
        <v>694</v>
      </c>
      <c r="AY24" t="s">
        <v>694</v>
      </c>
      <c r="AZ24" t="s">
        <v>694</v>
      </c>
      <c r="BA24" s="82">
        <v>47512.5</v>
      </c>
      <c r="BB24" t="s">
        <v>824</v>
      </c>
      <c r="BC24" t="s">
        <v>694</v>
      </c>
      <c r="BD24" t="s">
        <v>694</v>
      </c>
      <c r="BG24" t="s">
        <v>44</v>
      </c>
      <c r="BH24">
        <v>1</v>
      </c>
      <c r="BI24">
        <v>148</v>
      </c>
      <c r="BJ24" s="81">
        <v>4773786</v>
      </c>
      <c r="BK24">
        <v>7.64</v>
      </c>
      <c r="BL24">
        <v>7.64</v>
      </c>
      <c r="BM24">
        <v>7.64</v>
      </c>
      <c r="BN24">
        <v>7.64</v>
      </c>
      <c r="BO24">
        <v>7.64</v>
      </c>
      <c r="BP24">
        <v>7.64</v>
      </c>
      <c r="BQ24">
        <v>0</v>
      </c>
      <c r="BR24" t="s">
        <v>694</v>
      </c>
      <c r="BS24" t="s">
        <v>694</v>
      </c>
    </row>
    <row r="25" spans="1:71" x14ac:dyDescent="0.3">
      <c r="A25" s="86">
        <v>45950</v>
      </c>
      <c r="B25" s="87" t="s">
        <v>751</v>
      </c>
      <c r="C25" s="87">
        <v>5.3765000000000001</v>
      </c>
      <c r="D25" s="87">
        <v>5.3771000000000004</v>
      </c>
      <c r="G25" t="s">
        <v>7</v>
      </c>
      <c r="H25" s="81">
        <v>453905</v>
      </c>
      <c r="I25">
        <v>30</v>
      </c>
      <c r="J25" s="81">
        <v>20540</v>
      </c>
      <c r="K25" s="81">
        <v>1980690208</v>
      </c>
      <c r="L25" s="82">
        <v>96432.18</v>
      </c>
      <c r="M25">
        <v>14.89</v>
      </c>
      <c r="N25">
        <v>14.88</v>
      </c>
      <c r="O25">
        <v>14.89</v>
      </c>
      <c r="P25">
        <v>14.89</v>
      </c>
      <c r="Q25">
        <v>14.88</v>
      </c>
      <c r="R25" s="82">
        <v>96431.02</v>
      </c>
      <c r="S25" t="s">
        <v>785</v>
      </c>
      <c r="T25">
        <v>14.88</v>
      </c>
      <c r="U25">
        <v>14.89</v>
      </c>
      <c r="X25" t="s">
        <v>608</v>
      </c>
      <c r="Y25" s="81">
        <v>123760</v>
      </c>
      <c r="Z25">
        <v>54</v>
      </c>
      <c r="AA25" s="81">
        <v>5010</v>
      </c>
      <c r="AB25" s="81">
        <v>327485118</v>
      </c>
      <c r="AC25" s="82">
        <v>35474.44</v>
      </c>
      <c r="AD25">
        <v>7.29</v>
      </c>
      <c r="AE25">
        <v>7.28</v>
      </c>
      <c r="AF25">
        <v>7.3</v>
      </c>
      <c r="AG25">
        <v>7.29</v>
      </c>
      <c r="AH25">
        <v>7.3</v>
      </c>
      <c r="AI25" s="82">
        <v>35484.99</v>
      </c>
      <c r="AJ25" t="s">
        <v>716</v>
      </c>
      <c r="AK25">
        <v>7.25</v>
      </c>
      <c r="AL25">
        <v>7.35</v>
      </c>
      <c r="AP25" t="s">
        <v>7</v>
      </c>
      <c r="AQ25" s="81">
        <v>310879</v>
      </c>
      <c r="AR25">
        <v>1</v>
      </c>
      <c r="AS25">
        <v>26</v>
      </c>
      <c r="AT25" s="82">
        <v>6869189.8600000003</v>
      </c>
      <c r="AU25" s="82">
        <v>98497.55</v>
      </c>
      <c r="AV25">
        <v>6.35</v>
      </c>
      <c r="AW25">
        <v>6.35</v>
      </c>
      <c r="AX25">
        <v>6.35</v>
      </c>
      <c r="AY25">
        <v>6.35</v>
      </c>
      <c r="AZ25">
        <v>6.35</v>
      </c>
      <c r="BA25" s="82">
        <v>98222.84</v>
      </c>
      <c r="BB25" t="s">
        <v>817</v>
      </c>
      <c r="BC25" t="s">
        <v>694</v>
      </c>
      <c r="BD25" t="s">
        <v>694</v>
      </c>
      <c r="BG25" t="s">
        <v>7</v>
      </c>
      <c r="BH25">
        <v>71</v>
      </c>
      <c r="BI25" s="81">
        <v>37372</v>
      </c>
      <c r="BJ25" s="81">
        <v>1852103583</v>
      </c>
      <c r="BK25">
        <v>5.33</v>
      </c>
      <c r="BL25">
        <v>5.31</v>
      </c>
      <c r="BM25">
        <v>5.33</v>
      </c>
      <c r="BN25">
        <v>5.32</v>
      </c>
      <c r="BO25">
        <v>5.31</v>
      </c>
      <c r="BP25">
        <v>5.32</v>
      </c>
      <c r="BQ25" t="s">
        <v>727</v>
      </c>
      <c r="BR25" t="s">
        <v>694</v>
      </c>
      <c r="BS25" t="s">
        <v>694</v>
      </c>
    </row>
    <row r="26" spans="1:71" x14ac:dyDescent="0.3">
      <c r="A26" s="88">
        <v>45951</v>
      </c>
      <c r="B26" s="89" t="s">
        <v>751</v>
      </c>
      <c r="C26" s="89">
        <v>5.3841999999999999</v>
      </c>
      <c r="D26" s="89">
        <v>5.3848000000000003</v>
      </c>
      <c r="G26" t="s">
        <v>8</v>
      </c>
      <c r="H26" s="81">
        <v>380513</v>
      </c>
      <c r="I26">
        <v>10</v>
      </c>
      <c r="J26" s="81">
        <v>3468</v>
      </c>
      <c r="K26" s="81">
        <v>331149819</v>
      </c>
      <c r="L26" s="82">
        <v>95488.42</v>
      </c>
      <c r="M26">
        <v>14.86</v>
      </c>
      <c r="N26">
        <v>14.86</v>
      </c>
      <c r="O26">
        <v>14.86</v>
      </c>
      <c r="P26">
        <v>14.86</v>
      </c>
      <c r="Q26">
        <v>14.86</v>
      </c>
      <c r="R26" s="82">
        <v>95487.72</v>
      </c>
      <c r="S26" t="s">
        <v>786</v>
      </c>
      <c r="T26">
        <v>14.85</v>
      </c>
      <c r="U26">
        <v>14.86</v>
      </c>
      <c r="X26" t="s">
        <v>610</v>
      </c>
      <c r="Y26" s="81">
        <v>3929</v>
      </c>
      <c r="Z26" t="s">
        <v>694</v>
      </c>
      <c r="AA26" t="s">
        <v>694</v>
      </c>
      <c r="AB26" t="s">
        <v>694</v>
      </c>
      <c r="AC26" s="82">
        <v>18347.46</v>
      </c>
      <c r="AD26" t="s">
        <v>694</v>
      </c>
      <c r="AE26" t="s">
        <v>694</v>
      </c>
      <c r="AF26" t="s">
        <v>694</v>
      </c>
      <c r="AG26" t="s">
        <v>694</v>
      </c>
      <c r="AH26" t="s">
        <v>694</v>
      </c>
      <c r="AI26" s="82">
        <v>18323.349999999999</v>
      </c>
      <c r="AJ26" t="s">
        <v>717</v>
      </c>
      <c r="AK26" t="s">
        <v>694</v>
      </c>
      <c r="AL26" t="s">
        <v>694</v>
      </c>
      <c r="AP26" t="s">
        <v>8</v>
      </c>
      <c r="AQ26" s="81">
        <v>161257</v>
      </c>
      <c r="AR26" t="s">
        <v>694</v>
      </c>
      <c r="AS26" t="s">
        <v>694</v>
      </c>
      <c r="AT26" t="s">
        <v>694</v>
      </c>
      <c r="AU26" s="82">
        <v>98128.81</v>
      </c>
      <c r="AV26" t="s">
        <v>694</v>
      </c>
      <c r="AW26" t="s">
        <v>694</v>
      </c>
      <c r="AX26" t="s">
        <v>694</v>
      </c>
      <c r="AY26" t="s">
        <v>694</v>
      </c>
      <c r="AZ26" t="s">
        <v>694</v>
      </c>
      <c r="BA26" s="82">
        <v>97854.01</v>
      </c>
      <c r="BB26" t="s">
        <v>825</v>
      </c>
      <c r="BC26" t="s">
        <v>694</v>
      </c>
      <c r="BD26" t="s">
        <v>694</v>
      </c>
      <c r="BG26" t="s">
        <v>8</v>
      </c>
      <c r="BH26">
        <v>50</v>
      </c>
      <c r="BI26" s="81">
        <v>38703</v>
      </c>
      <c r="BJ26" s="81">
        <v>1914405504</v>
      </c>
      <c r="BK26">
        <v>5.25</v>
      </c>
      <c r="BL26">
        <v>5.22</v>
      </c>
      <c r="BM26">
        <v>5.31</v>
      </c>
      <c r="BN26">
        <v>5.23</v>
      </c>
      <c r="BO26">
        <v>5.24</v>
      </c>
      <c r="BP26">
        <v>5.22</v>
      </c>
      <c r="BQ26" t="s">
        <v>725</v>
      </c>
      <c r="BR26" t="s">
        <v>694</v>
      </c>
      <c r="BS26">
        <v>5.22</v>
      </c>
    </row>
    <row r="27" spans="1:71" x14ac:dyDescent="0.3">
      <c r="A27" s="86">
        <v>45952</v>
      </c>
      <c r="B27" s="87" t="s">
        <v>751</v>
      </c>
      <c r="C27" s="87">
        <v>5.3891999999999998</v>
      </c>
      <c r="D27" s="87">
        <v>5.3898000000000001</v>
      </c>
      <c r="G27" t="s">
        <v>9</v>
      </c>
      <c r="H27" s="81">
        <v>2091876</v>
      </c>
      <c r="I27" s="81">
        <v>863</v>
      </c>
      <c r="J27" s="81">
        <v>76904</v>
      </c>
      <c r="K27" s="81">
        <v>7256490165</v>
      </c>
      <c r="L27" s="82">
        <v>94358.93</v>
      </c>
      <c r="M27">
        <v>14.81</v>
      </c>
      <c r="N27">
        <v>14.8</v>
      </c>
      <c r="O27">
        <v>14.81</v>
      </c>
      <c r="P27">
        <v>14.81</v>
      </c>
      <c r="Q27">
        <v>14.8</v>
      </c>
      <c r="R27" s="82">
        <v>94356.54</v>
      </c>
      <c r="S27" t="s">
        <v>787</v>
      </c>
      <c r="T27">
        <v>14.8</v>
      </c>
      <c r="U27">
        <v>14.81</v>
      </c>
      <c r="X27" t="s">
        <v>612</v>
      </c>
      <c r="Y27" t="s">
        <v>694</v>
      </c>
      <c r="Z27" t="s">
        <v>694</v>
      </c>
      <c r="AA27" t="s">
        <v>694</v>
      </c>
      <c r="AB27" t="s">
        <v>694</v>
      </c>
      <c r="AC27" s="82">
        <v>9398.5499999999993</v>
      </c>
      <c r="AD27" t="s">
        <v>694</v>
      </c>
      <c r="AE27" t="s">
        <v>694</v>
      </c>
      <c r="AF27" t="s">
        <v>694</v>
      </c>
      <c r="AG27" t="s">
        <v>694</v>
      </c>
      <c r="AH27" t="s">
        <v>694</v>
      </c>
      <c r="AI27" s="82">
        <v>9373.61</v>
      </c>
      <c r="AJ27" t="s">
        <v>718</v>
      </c>
      <c r="AK27" t="s">
        <v>694</v>
      </c>
      <c r="AL27" t="s">
        <v>694</v>
      </c>
      <c r="AP27" t="s">
        <v>9</v>
      </c>
      <c r="AQ27" s="81">
        <v>207950</v>
      </c>
      <c r="AR27" t="s">
        <v>694</v>
      </c>
      <c r="AS27" t="s">
        <v>694</v>
      </c>
      <c r="AT27" t="s">
        <v>694</v>
      </c>
      <c r="AU27" s="82">
        <v>97742.94</v>
      </c>
      <c r="AV27" t="s">
        <v>694</v>
      </c>
      <c r="AW27" t="s">
        <v>694</v>
      </c>
      <c r="AX27" t="s">
        <v>694</v>
      </c>
      <c r="AY27" t="s">
        <v>694</v>
      </c>
      <c r="AZ27" t="s">
        <v>694</v>
      </c>
      <c r="BA27" s="82">
        <v>97470.68</v>
      </c>
      <c r="BB27" t="s">
        <v>826</v>
      </c>
      <c r="BC27" t="s">
        <v>694</v>
      </c>
      <c r="BD27" t="s">
        <v>694</v>
      </c>
      <c r="BG27" t="s">
        <v>9</v>
      </c>
      <c r="BH27">
        <v>20</v>
      </c>
      <c r="BI27" s="81">
        <v>13996</v>
      </c>
      <c r="BJ27" s="81">
        <v>690951273</v>
      </c>
      <c r="BK27">
        <v>5.14</v>
      </c>
      <c r="BL27">
        <v>5.14</v>
      </c>
      <c r="BM27">
        <v>5.14</v>
      </c>
      <c r="BN27">
        <v>5.14</v>
      </c>
      <c r="BO27">
        <v>5.14</v>
      </c>
      <c r="BP27">
        <v>5.14</v>
      </c>
      <c r="BQ27" t="s">
        <v>727</v>
      </c>
      <c r="BR27" t="s">
        <v>694</v>
      </c>
      <c r="BS27">
        <v>5.14</v>
      </c>
    </row>
    <row r="28" spans="1:71" x14ac:dyDescent="0.3">
      <c r="A28" s="88">
        <v>45953</v>
      </c>
      <c r="B28" s="89" t="s">
        <v>751</v>
      </c>
      <c r="C28" s="89">
        <v>5.3834</v>
      </c>
      <c r="D28" s="89">
        <v>5.3840000000000003</v>
      </c>
      <c r="G28" t="s">
        <v>19</v>
      </c>
      <c r="H28" s="81">
        <v>927554</v>
      </c>
      <c r="I28" s="81">
        <v>1586</v>
      </c>
      <c r="J28" s="81">
        <v>49521</v>
      </c>
      <c r="K28" s="81">
        <v>4139064687</v>
      </c>
      <c r="L28" s="82">
        <v>83620.429999999993</v>
      </c>
      <c r="M28">
        <v>13.6</v>
      </c>
      <c r="N28">
        <v>13.59</v>
      </c>
      <c r="O28">
        <v>13.63</v>
      </c>
      <c r="P28">
        <v>13.62</v>
      </c>
      <c r="Q28">
        <v>13.59</v>
      </c>
      <c r="R28" s="82">
        <v>83590.759999999995</v>
      </c>
      <c r="S28" t="s">
        <v>788</v>
      </c>
      <c r="T28">
        <v>13.59</v>
      </c>
      <c r="U28">
        <v>13.59</v>
      </c>
      <c r="X28" t="s">
        <v>4</v>
      </c>
      <c r="Y28" s="81">
        <v>4700</v>
      </c>
      <c r="Z28" t="s">
        <v>694</v>
      </c>
      <c r="AA28" t="s">
        <v>694</v>
      </c>
      <c r="AB28" t="s">
        <v>694</v>
      </c>
      <c r="AC28" s="82">
        <v>99300.18</v>
      </c>
      <c r="AD28" t="s">
        <v>694</v>
      </c>
      <c r="AE28" t="s">
        <v>694</v>
      </c>
      <c r="AF28" t="s">
        <v>694</v>
      </c>
      <c r="AG28" t="s">
        <v>694</v>
      </c>
      <c r="AH28" t="s">
        <v>694</v>
      </c>
      <c r="AI28" s="82">
        <v>99283.79</v>
      </c>
      <c r="AJ28" t="s">
        <v>719</v>
      </c>
      <c r="AK28">
        <v>12.22</v>
      </c>
      <c r="AL28">
        <v>13.45</v>
      </c>
      <c r="AP28" t="s">
        <v>19</v>
      </c>
      <c r="AQ28" s="81">
        <v>97542</v>
      </c>
      <c r="AR28">
        <v>1</v>
      </c>
      <c r="AS28">
        <v>28</v>
      </c>
      <c r="AT28" s="82">
        <v>7012627.7199999997</v>
      </c>
      <c r="AU28" s="82">
        <v>93444.78</v>
      </c>
      <c r="AV28">
        <v>5.05</v>
      </c>
      <c r="AW28">
        <v>5.05</v>
      </c>
      <c r="AX28">
        <v>5.05</v>
      </c>
      <c r="AY28">
        <v>5.05</v>
      </c>
      <c r="AZ28">
        <v>5.05</v>
      </c>
      <c r="BA28" s="82">
        <v>93165.1</v>
      </c>
      <c r="BB28" t="s">
        <v>827</v>
      </c>
      <c r="BC28" t="s">
        <v>694</v>
      </c>
      <c r="BD28" t="s">
        <v>694</v>
      </c>
      <c r="BG28" t="s">
        <v>19</v>
      </c>
      <c r="BH28">
        <v>4</v>
      </c>
      <c r="BI28">
        <v>814</v>
      </c>
      <c r="BJ28" s="81">
        <v>39276293</v>
      </c>
      <c r="BK28">
        <v>4.76</v>
      </c>
      <c r="BL28">
        <v>4.76</v>
      </c>
      <c r="BM28">
        <v>4.78</v>
      </c>
      <c r="BN28">
        <v>4.7699999999999996</v>
      </c>
      <c r="BO28">
        <v>4.78</v>
      </c>
      <c r="BP28">
        <v>4.78</v>
      </c>
      <c r="BQ28" t="s">
        <v>731</v>
      </c>
      <c r="BR28" t="s">
        <v>694</v>
      </c>
      <c r="BS28" t="s">
        <v>694</v>
      </c>
    </row>
    <row r="29" spans="1:71" x14ac:dyDescent="0.3">
      <c r="A29" s="86">
        <v>45954</v>
      </c>
      <c r="B29" s="87" t="s">
        <v>751</v>
      </c>
      <c r="C29" s="87">
        <v>5.3791000000000002</v>
      </c>
      <c r="D29" s="87">
        <v>5.3796999999999997</v>
      </c>
      <c r="G29" t="s">
        <v>24</v>
      </c>
      <c r="H29" s="81">
        <v>238529</v>
      </c>
      <c r="I29">
        <v>111</v>
      </c>
      <c r="J29" s="81">
        <v>1426</v>
      </c>
      <c r="K29" s="81">
        <v>106002374</v>
      </c>
      <c r="L29" s="82">
        <v>74434.009999999995</v>
      </c>
      <c r="M29">
        <v>13.05</v>
      </c>
      <c r="N29">
        <v>13.05</v>
      </c>
      <c r="O29">
        <v>13.09</v>
      </c>
      <c r="P29">
        <v>13.08</v>
      </c>
      <c r="Q29">
        <v>13.06</v>
      </c>
      <c r="R29" s="82">
        <v>74351.350000000006</v>
      </c>
      <c r="S29" t="s">
        <v>789</v>
      </c>
      <c r="T29">
        <v>13.06</v>
      </c>
      <c r="U29" t="s">
        <v>694</v>
      </c>
      <c r="X29" t="s">
        <v>5</v>
      </c>
      <c r="Y29">
        <v>659</v>
      </c>
      <c r="Z29" t="s">
        <v>694</v>
      </c>
      <c r="AA29" t="s">
        <v>694</v>
      </c>
      <c r="AB29" t="s">
        <v>694</v>
      </c>
      <c r="AC29" s="82">
        <v>98447.29</v>
      </c>
      <c r="AD29" t="s">
        <v>694</v>
      </c>
      <c r="AE29" t="s">
        <v>694</v>
      </c>
      <c r="AF29" t="s">
        <v>694</v>
      </c>
      <c r="AG29" t="s">
        <v>694</v>
      </c>
      <c r="AH29" t="s">
        <v>694</v>
      </c>
      <c r="AI29" s="82">
        <v>98416.93</v>
      </c>
      <c r="AJ29" t="s">
        <v>720</v>
      </c>
      <c r="AK29">
        <v>11.94</v>
      </c>
      <c r="AL29">
        <v>13.17</v>
      </c>
      <c r="AP29" t="s">
        <v>24</v>
      </c>
      <c r="AQ29" s="81">
        <v>44000</v>
      </c>
      <c r="AR29" t="s">
        <v>694</v>
      </c>
      <c r="AS29" t="s">
        <v>694</v>
      </c>
      <c r="AT29" t="s">
        <v>694</v>
      </c>
      <c r="AU29" s="82">
        <v>89455.37</v>
      </c>
      <c r="AV29" t="s">
        <v>694</v>
      </c>
      <c r="AW29" t="s">
        <v>694</v>
      </c>
      <c r="AX29" t="s">
        <v>694</v>
      </c>
      <c r="AY29" t="s">
        <v>694</v>
      </c>
      <c r="AZ29" t="s">
        <v>694</v>
      </c>
      <c r="BA29" s="82">
        <v>89159.78</v>
      </c>
      <c r="BB29" t="s">
        <v>828</v>
      </c>
      <c r="BC29" t="s">
        <v>694</v>
      </c>
      <c r="BD29" t="s">
        <v>694</v>
      </c>
      <c r="BG29" t="s">
        <v>24</v>
      </c>
      <c r="BH29">
        <v>3</v>
      </c>
      <c r="BI29">
        <v>626</v>
      </c>
      <c r="BJ29" s="81">
        <v>29525286</v>
      </c>
      <c r="BK29">
        <v>4.7300000000000004</v>
      </c>
      <c r="BL29">
        <v>4.7300000000000004</v>
      </c>
      <c r="BM29">
        <v>4.7300000000000004</v>
      </c>
      <c r="BN29">
        <v>4.7300000000000004</v>
      </c>
      <c r="BO29">
        <v>4.7300000000000004</v>
      </c>
      <c r="BP29">
        <v>4.7300000000000004</v>
      </c>
      <c r="BQ29" t="s">
        <v>730</v>
      </c>
      <c r="BR29" t="s">
        <v>694</v>
      </c>
      <c r="BS29" t="s">
        <v>694</v>
      </c>
    </row>
    <row r="30" spans="1:71" x14ac:dyDescent="0.3">
      <c r="A30" s="88">
        <v>45957</v>
      </c>
      <c r="B30" s="89" t="s">
        <v>751</v>
      </c>
      <c r="C30" s="89">
        <v>5.3738000000000001</v>
      </c>
      <c r="D30" s="89">
        <v>5.3743999999999996</v>
      </c>
      <c r="G30" t="s">
        <v>28</v>
      </c>
      <c r="H30" s="81">
        <v>85200</v>
      </c>
      <c r="I30">
        <v>30</v>
      </c>
      <c r="J30">
        <v>550</v>
      </c>
      <c r="K30" s="81">
        <v>36228142</v>
      </c>
      <c r="L30" s="82">
        <v>65989.350000000006</v>
      </c>
      <c r="M30">
        <v>13.13</v>
      </c>
      <c r="N30">
        <v>13.1</v>
      </c>
      <c r="O30">
        <v>13.13</v>
      </c>
      <c r="P30">
        <v>13.11</v>
      </c>
      <c r="Q30">
        <v>13.12</v>
      </c>
      <c r="R30" s="82">
        <v>65872.490000000005</v>
      </c>
      <c r="S30" t="s">
        <v>790</v>
      </c>
      <c r="T30" t="s">
        <v>694</v>
      </c>
      <c r="U30" t="s">
        <v>694</v>
      </c>
      <c r="X30" t="s">
        <v>721</v>
      </c>
      <c r="AP30" t="s">
        <v>28</v>
      </c>
      <c r="AQ30" s="81">
        <v>27110</v>
      </c>
      <c r="AR30" t="s">
        <v>694</v>
      </c>
      <c r="AS30" t="s">
        <v>694</v>
      </c>
      <c r="AT30" t="s">
        <v>694</v>
      </c>
      <c r="AU30" s="82">
        <v>85650.66</v>
      </c>
      <c r="AV30" t="s">
        <v>694</v>
      </c>
      <c r="AW30" t="s">
        <v>694</v>
      </c>
      <c r="AX30" t="s">
        <v>694</v>
      </c>
      <c r="AY30" t="s">
        <v>694</v>
      </c>
      <c r="AZ30" t="s">
        <v>694</v>
      </c>
      <c r="BA30" s="82">
        <v>85305.72</v>
      </c>
      <c r="BB30" t="s">
        <v>829</v>
      </c>
      <c r="BC30" t="s">
        <v>694</v>
      </c>
      <c r="BD30" t="s">
        <v>694</v>
      </c>
      <c r="BG30" t="s">
        <v>28</v>
      </c>
      <c r="BH30">
        <v>3</v>
      </c>
      <c r="BI30">
        <v>539</v>
      </c>
      <c r="BJ30" s="81">
        <v>24839734</v>
      </c>
      <c r="BK30">
        <v>4.8</v>
      </c>
      <c r="BL30">
        <v>4.78</v>
      </c>
      <c r="BM30">
        <v>4.8</v>
      </c>
      <c r="BN30">
        <v>4.78</v>
      </c>
      <c r="BO30">
        <v>4.78</v>
      </c>
      <c r="BP30">
        <v>4.78</v>
      </c>
      <c r="BQ30" t="s">
        <v>729</v>
      </c>
      <c r="BR30" t="s">
        <v>694</v>
      </c>
      <c r="BS30" t="s">
        <v>694</v>
      </c>
    </row>
    <row r="31" spans="1:71" x14ac:dyDescent="0.3">
      <c r="A31" s="88">
        <v>45958</v>
      </c>
      <c r="B31" s="89" t="s">
        <v>751</v>
      </c>
      <c r="C31" s="89">
        <v>5.3684000000000003</v>
      </c>
      <c r="D31" s="89">
        <v>5.3689999999999998</v>
      </c>
      <c r="G31" t="s">
        <v>32</v>
      </c>
      <c r="H31" s="81">
        <v>36550</v>
      </c>
      <c r="I31">
        <v>14</v>
      </c>
      <c r="J31">
        <v>195</v>
      </c>
      <c r="K31" s="81">
        <v>11310478</v>
      </c>
      <c r="L31" s="82">
        <v>58144.53</v>
      </c>
      <c r="M31">
        <v>13.26</v>
      </c>
      <c r="N31">
        <v>13.25</v>
      </c>
      <c r="O31">
        <v>13.26</v>
      </c>
      <c r="P31">
        <v>13.25</v>
      </c>
      <c r="Q31">
        <v>13.25</v>
      </c>
      <c r="R31" s="82">
        <v>57992.91</v>
      </c>
      <c r="S31" t="s">
        <v>791</v>
      </c>
      <c r="T31" t="s">
        <v>694</v>
      </c>
      <c r="U31" t="s">
        <v>694</v>
      </c>
      <c r="X31" t="s">
        <v>722</v>
      </c>
      <c r="AP31" t="s">
        <v>32</v>
      </c>
      <c r="AQ31" s="81">
        <v>20200</v>
      </c>
      <c r="AR31" t="s">
        <v>694</v>
      </c>
      <c r="AS31" t="s">
        <v>694</v>
      </c>
      <c r="AT31" t="s">
        <v>694</v>
      </c>
      <c r="AU31" s="82">
        <v>81729.070000000007</v>
      </c>
      <c r="AV31" t="s">
        <v>694</v>
      </c>
      <c r="AW31" t="s">
        <v>694</v>
      </c>
      <c r="AX31" t="s">
        <v>694</v>
      </c>
      <c r="AY31" t="s">
        <v>694</v>
      </c>
      <c r="AZ31" t="s">
        <v>694</v>
      </c>
      <c r="BA31" s="82">
        <v>81436.820000000007</v>
      </c>
      <c r="BB31" t="s">
        <v>830</v>
      </c>
      <c r="BC31" t="s">
        <v>694</v>
      </c>
      <c r="BD31" t="s">
        <v>694</v>
      </c>
      <c r="BG31" t="s">
        <v>32</v>
      </c>
      <c r="BH31" t="s">
        <v>694</v>
      </c>
      <c r="BI31" t="s">
        <v>694</v>
      </c>
      <c r="BJ31" t="s">
        <v>694</v>
      </c>
      <c r="BK31" t="s">
        <v>694</v>
      </c>
      <c r="BL31" t="s">
        <v>694</v>
      </c>
      <c r="BM31" t="s">
        <v>694</v>
      </c>
      <c r="BN31" t="s">
        <v>694</v>
      </c>
      <c r="BO31" t="s">
        <v>694</v>
      </c>
      <c r="BP31">
        <v>4.95</v>
      </c>
      <c r="BQ31" t="s">
        <v>725</v>
      </c>
      <c r="BR31" t="s">
        <v>694</v>
      </c>
      <c r="BS31" t="s">
        <v>694</v>
      </c>
    </row>
    <row r="32" spans="1:71" x14ac:dyDescent="0.3">
      <c r="A32" s="88">
        <v>45959</v>
      </c>
      <c r="B32" s="89" t="s">
        <v>751</v>
      </c>
      <c r="C32" s="89">
        <v>5.3410000000000002</v>
      </c>
      <c r="D32" s="89">
        <v>5.3415999999999997</v>
      </c>
      <c r="G32" t="s">
        <v>10</v>
      </c>
      <c r="H32" s="81">
        <v>661754</v>
      </c>
      <c r="I32">
        <v>20</v>
      </c>
      <c r="J32" s="81">
        <v>3796</v>
      </c>
      <c r="K32" s="81">
        <v>354362875</v>
      </c>
      <c r="L32" s="82">
        <v>93352.49</v>
      </c>
      <c r="M32">
        <v>14.76</v>
      </c>
      <c r="N32">
        <v>14.75</v>
      </c>
      <c r="O32">
        <v>14.76</v>
      </c>
      <c r="P32">
        <v>14.75</v>
      </c>
      <c r="Q32">
        <v>14.75</v>
      </c>
      <c r="R32" s="82">
        <v>93352.01</v>
      </c>
      <c r="S32" t="s">
        <v>792</v>
      </c>
      <c r="T32">
        <v>14.74</v>
      </c>
      <c r="U32">
        <v>14.75</v>
      </c>
      <c r="X32" t="s">
        <v>697</v>
      </c>
      <c r="AP32" t="s">
        <v>10</v>
      </c>
      <c r="AQ32" s="81">
        <v>63109</v>
      </c>
      <c r="AR32" t="s">
        <v>694</v>
      </c>
      <c r="AS32" t="s">
        <v>694</v>
      </c>
      <c r="AT32" t="s">
        <v>694</v>
      </c>
      <c r="AU32" s="82">
        <v>97322.66</v>
      </c>
      <c r="AV32" t="s">
        <v>694</v>
      </c>
      <c r="AW32" t="s">
        <v>694</v>
      </c>
      <c r="AX32" t="s">
        <v>694</v>
      </c>
      <c r="AY32" t="s">
        <v>694</v>
      </c>
      <c r="AZ32" t="s">
        <v>694</v>
      </c>
      <c r="BA32" s="82">
        <v>97053.27</v>
      </c>
      <c r="BB32" t="s">
        <v>831</v>
      </c>
      <c r="BC32" t="s">
        <v>694</v>
      </c>
      <c r="BD32" t="s">
        <v>694</v>
      </c>
      <c r="BG32" t="s">
        <v>10</v>
      </c>
      <c r="BH32">
        <v>31</v>
      </c>
      <c r="BI32" s="81">
        <v>8127</v>
      </c>
      <c r="BJ32" s="81">
        <v>400317619</v>
      </c>
      <c r="BK32">
        <v>5.1100000000000003</v>
      </c>
      <c r="BL32">
        <v>5.08</v>
      </c>
      <c r="BM32">
        <v>5.12</v>
      </c>
      <c r="BN32">
        <v>5.09</v>
      </c>
      <c r="BO32">
        <v>5.08</v>
      </c>
      <c r="BP32">
        <v>5.08</v>
      </c>
      <c r="BQ32" t="s">
        <v>725</v>
      </c>
      <c r="BR32" t="s">
        <v>694</v>
      </c>
      <c r="BS32" t="s">
        <v>694</v>
      </c>
    </row>
    <row r="33" spans="7:71" x14ac:dyDescent="0.3">
      <c r="G33" t="s">
        <v>11</v>
      </c>
      <c r="H33" s="81">
        <v>250083</v>
      </c>
      <c r="I33">
        <v>54</v>
      </c>
      <c r="J33" s="81">
        <v>283</v>
      </c>
      <c r="K33" s="81">
        <v>26145433</v>
      </c>
      <c r="L33" s="82">
        <v>92392.7</v>
      </c>
      <c r="M33">
        <v>14.65</v>
      </c>
      <c r="N33">
        <v>14.63</v>
      </c>
      <c r="O33">
        <v>14.65</v>
      </c>
      <c r="P33">
        <v>14.65</v>
      </c>
      <c r="Q33">
        <v>14.63</v>
      </c>
      <c r="R33" s="82">
        <v>92389.98</v>
      </c>
      <c r="S33" t="s">
        <v>793</v>
      </c>
      <c r="T33">
        <v>14.63</v>
      </c>
      <c r="U33">
        <v>14.64</v>
      </c>
      <c r="X33" t="s">
        <v>723</v>
      </c>
      <c r="AP33" t="s">
        <v>11</v>
      </c>
      <c r="AQ33" s="81">
        <v>71500</v>
      </c>
      <c r="AR33" t="s">
        <v>694</v>
      </c>
      <c r="AS33" t="s">
        <v>694</v>
      </c>
      <c r="AT33" t="s">
        <v>694</v>
      </c>
      <c r="AU33" s="82">
        <v>96976.75</v>
      </c>
      <c r="AV33" t="s">
        <v>694</v>
      </c>
      <c r="AW33" t="s">
        <v>694</v>
      </c>
      <c r="AX33" t="s">
        <v>694</v>
      </c>
      <c r="AY33" t="s">
        <v>694</v>
      </c>
      <c r="AZ33" t="s">
        <v>694</v>
      </c>
      <c r="BA33" s="82">
        <v>96704.320000000007</v>
      </c>
      <c r="BB33" t="s">
        <v>832</v>
      </c>
      <c r="BC33" t="s">
        <v>694</v>
      </c>
      <c r="BD33" t="s">
        <v>694</v>
      </c>
      <c r="BG33" t="s">
        <v>11</v>
      </c>
      <c r="BH33">
        <v>9</v>
      </c>
      <c r="BI33" s="81">
        <v>1774</v>
      </c>
      <c r="BJ33" s="81">
        <v>87231059</v>
      </c>
      <c r="BK33">
        <v>5.03</v>
      </c>
      <c r="BL33">
        <v>5.03</v>
      </c>
      <c r="BM33">
        <v>5.03</v>
      </c>
      <c r="BN33">
        <v>5.03</v>
      </c>
      <c r="BO33">
        <v>5.03</v>
      </c>
      <c r="BP33">
        <v>5.03</v>
      </c>
      <c r="BQ33" t="s">
        <v>727</v>
      </c>
      <c r="BR33" t="s">
        <v>694</v>
      </c>
      <c r="BS33" t="s">
        <v>694</v>
      </c>
    </row>
    <row r="34" spans="7:71" x14ac:dyDescent="0.3">
      <c r="G34" t="s">
        <v>12</v>
      </c>
      <c r="H34" s="81">
        <v>2701385</v>
      </c>
      <c r="I34" s="81">
        <v>3567</v>
      </c>
      <c r="J34" s="81">
        <v>201373</v>
      </c>
      <c r="K34" s="81">
        <v>18405622958</v>
      </c>
      <c r="L34" s="82">
        <v>91406.59</v>
      </c>
      <c r="M34">
        <v>14.53</v>
      </c>
      <c r="N34">
        <v>14.52</v>
      </c>
      <c r="O34">
        <v>14.55</v>
      </c>
      <c r="P34">
        <v>14.53</v>
      </c>
      <c r="Q34">
        <v>14.52</v>
      </c>
      <c r="R34" s="82">
        <v>91401.71</v>
      </c>
      <c r="S34" t="s">
        <v>794</v>
      </c>
      <c r="T34">
        <v>14.52</v>
      </c>
      <c r="U34">
        <v>14.52</v>
      </c>
      <c r="X34" t="s">
        <v>698</v>
      </c>
      <c r="AP34" t="s">
        <v>12</v>
      </c>
      <c r="AQ34" s="81">
        <v>132856</v>
      </c>
      <c r="AR34">
        <v>1</v>
      </c>
      <c r="AS34">
        <v>38</v>
      </c>
      <c r="AT34" s="82">
        <v>9845374.4000000004</v>
      </c>
      <c r="AU34" s="82">
        <v>96614.67</v>
      </c>
      <c r="AV34">
        <v>5.44</v>
      </c>
      <c r="AW34">
        <v>5.44</v>
      </c>
      <c r="AX34">
        <v>5.44</v>
      </c>
      <c r="AY34">
        <v>5.44</v>
      </c>
      <c r="AZ34">
        <v>5.44</v>
      </c>
      <c r="BA34" s="82">
        <v>96337.83</v>
      </c>
      <c r="BB34" t="s">
        <v>833</v>
      </c>
      <c r="BC34" t="s">
        <v>694</v>
      </c>
      <c r="BD34" t="s">
        <v>694</v>
      </c>
      <c r="BG34" t="s">
        <v>12</v>
      </c>
      <c r="BH34">
        <v>7</v>
      </c>
      <c r="BI34" s="81">
        <v>3150</v>
      </c>
      <c r="BJ34" s="81">
        <v>376165702</v>
      </c>
      <c r="BK34">
        <v>4.9800000000000004</v>
      </c>
      <c r="BL34">
        <v>4.9800000000000004</v>
      </c>
      <c r="BM34">
        <v>4.9800000000000004</v>
      </c>
      <c r="BN34">
        <v>4.9800000000000004</v>
      </c>
      <c r="BO34">
        <v>4.9800000000000004</v>
      </c>
      <c r="BP34">
        <v>4.9800000000000004</v>
      </c>
      <c r="BQ34" t="s">
        <v>729</v>
      </c>
      <c r="BR34">
        <v>4.9800000000000004</v>
      </c>
      <c r="BS34" t="s">
        <v>694</v>
      </c>
    </row>
    <row r="35" spans="7:71" x14ac:dyDescent="0.3">
      <c r="G35" t="s">
        <v>20</v>
      </c>
      <c r="H35" s="81">
        <v>1513467</v>
      </c>
      <c r="I35" s="81">
        <v>5844</v>
      </c>
      <c r="J35" s="81">
        <v>74268</v>
      </c>
      <c r="K35" s="81">
        <v>6031026173</v>
      </c>
      <c r="L35" s="82">
        <v>81259.360000000001</v>
      </c>
      <c r="M35">
        <v>13.39</v>
      </c>
      <c r="N35">
        <v>13.39</v>
      </c>
      <c r="O35">
        <v>13.43</v>
      </c>
      <c r="P35">
        <v>13.41</v>
      </c>
      <c r="Q35">
        <v>13.39</v>
      </c>
      <c r="R35" s="82">
        <v>81213.53</v>
      </c>
      <c r="S35" t="s">
        <v>795</v>
      </c>
      <c r="T35">
        <v>13.39</v>
      </c>
      <c r="U35">
        <v>13.4</v>
      </c>
      <c r="AP35" t="s">
        <v>20</v>
      </c>
      <c r="AQ35" s="81">
        <v>58420</v>
      </c>
      <c r="AR35" t="s">
        <v>694</v>
      </c>
      <c r="AS35" t="s">
        <v>694</v>
      </c>
      <c r="AT35" t="s">
        <v>694</v>
      </c>
      <c r="AU35" s="82">
        <v>92500.41</v>
      </c>
      <c r="AV35" t="s">
        <v>694</v>
      </c>
      <c r="AW35" t="s">
        <v>694</v>
      </c>
      <c r="AX35" t="s">
        <v>694</v>
      </c>
      <c r="AY35" t="s">
        <v>694</v>
      </c>
      <c r="AZ35" t="s">
        <v>694</v>
      </c>
      <c r="BA35" s="82">
        <v>92206.55</v>
      </c>
      <c r="BB35" t="s">
        <v>834</v>
      </c>
      <c r="BC35" t="s">
        <v>694</v>
      </c>
      <c r="BD35" t="s">
        <v>694</v>
      </c>
      <c r="BG35" t="s">
        <v>20</v>
      </c>
      <c r="BH35">
        <v>1</v>
      </c>
      <c r="BI35">
        <v>39</v>
      </c>
      <c r="BJ35" s="81">
        <v>1872866</v>
      </c>
      <c r="BK35">
        <v>4.7</v>
      </c>
      <c r="BL35">
        <v>4.7</v>
      </c>
      <c r="BM35">
        <v>4.7</v>
      </c>
      <c r="BN35">
        <v>4.7</v>
      </c>
      <c r="BO35">
        <v>4.7</v>
      </c>
      <c r="BP35">
        <v>4.71</v>
      </c>
      <c r="BQ35" t="s">
        <v>732</v>
      </c>
      <c r="BR35" t="s">
        <v>694</v>
      </c>
      <c r="BS35" t="s">
        <v>694</v>
      </c>
    </row>
    <row r="36" spans="7:71" x14ac:dyDescent="0.3">
      <c r="G36" t="s">
        <v>25</v>
      </c>
      <c r="H36" s="81">
        <v>506516</v>
      </c>
      <c r="I36" s="81">
        <v>3347</v>
      </c>
      <c r="J36" s="81">
        <v>19569</v>
      </c>
      <c r="K36" s="81">
        <v>1412687459</v>
      </c>
      <c r="L36" s="82">
        <v>72286.429999999993</v>
      </c>
      <c r="M36">
        <v>13.04</v>
      </c>
      <c r="N36">
        <v>13.02</v>
      </c>
      <c r="O36">
        <v>13.08</v>
      </c>
      <c r="P36">
        <v>13.06</v>
      </c>
      <c r="Q36">
        <v>13.06</v>
      </c>
      <c r="R36" s="82">
        <v>72201.919999999998</v>
      </c>
      <c r="S36" t="s">
        <v>796</v>
      </c>
      <c r="T36">
        <v>13.05</v>
      </c>
      <c r="U36">
        <v>13.07</v>
      </c>
      <c r="AP36" t="s">
        <v>25</v>
      </c>
      <c r="AQ36" s="81">
        <v>51850</v>
      </c>
      <c r="AR36" t="s">
        <v>694</v>
      </c>
      <c r="AS36" t="s">
        <v>694</v>
      </c>
      <c r="AT36" t="s">
        <v>694</v>
      </c>
      <c r="AU36" s="82">
        <v>88592.22</v>
      </c>
      <c r="AV36" t="s">
        <v>694</v>
      </c>
      <c r="AW36" t="s">
        <v>694</v>
      </c>
      <c r="AX36" t="s">
        <v>694</v>
      </c>
      <c r="AY36" t="s">
        <v>694</v>
      </c>
      <c r="AZ36" t="s">
        <v>694</v>
      </c>
      <c r="BA36" s="82">
        <v>88317.86</v>
      </c>
      <c r="BB36" t="s">
        <v>835</v>
      </c>
      <c r="BC36" t="s">
        <v>694</v>
      </c>
      <c r="BD36" t="s">
        <v>694</v>
      </c>
      <c r="BG36" t="s">
        <v>25</v>
      </c>
      <c r="BH36" t="s">
        <v>694</v>
      </c>
      <c r="BI36" t="s">
        <v>694</v>
      </c>
      <c r="BJ36" t="s">
        <v>694</v>
      </c>
      <c r="BK36" t="s">
        <v>694</v>
      </c>
      <c r="BL36" t="s">
        <v>694</v>
      </c>
      <c r="BM36" t="s">
        <v>694</v>
      </c>
      <c r="BN36" t="s">
        <v>694</v>
      </c>
      <c r="BO36" t="s">
        <v>694</v>
      </c>
      <c r="BP36">
        <v>4.6900000000000004</v>
      </c>
      <c r="BQ36" t="s">
        <v>728</v>
      </c>
      <c r="BR36">
        <v>4.6900000000000004</v>
      </c>
      <c r="BS36" t="s">
        <v>694</v>
      </c>
    </row>
    <row r="37" spans="7:71" x14ac:dyDescent="0.3">
      <c r="G37" t="s">
        <v>29</v>
      </c>
      <c r="H37" s="81">
        <v>792249</v>
      </c>
      <c r="I37" s="81">
        <v>1529</v>
      </c>
      <c r="J37" s="81">
        <v>98973</v>
      </c>
      <c r="K37" s="81">
        <v>6310407860</v>
      </c>
      <c r="L37" s="82">
        <v>63887.040000000001</v>
      </c>
      <c r="M37">
        <v>13.15</v>
      </c>
      <c r="N37">
        <v>13.11</v>
      </c>
      <c r="O37">
        <v>13.19</v>
      </c>
      <c r="P37">
        <v>13.17</v>
      </c>
      <c r="Q37">
        <v>13.16</v>
      </c>
      <c r="R37" s="82">
        <v>63761.94</v>
      </c>
      <c r="S37" t="s">
        <v>797</v>
      </c>
      <c r="T37">
        <v>13.16</v>
      </c>
      <c r="U37">
        <v>13.18</v>
      </c>
      <c r="AP37" t="s">
        <v>29</v>
      </c>
      <c r="AQ37" s="81">
        <v>29350</v>
      </c>
      <c r="AR37" t="s">
        <v>694</v>
      </c>
      <c r="AS37" t="s">
        <v>694</v>
      </c>
      <c r="AT37" t="s">
        <v>694</v>
      </c>
      <c r="AU37" s="82">
        <v>84719.11</v>
      </c>
      <c r="AV37" t="s">
        <v>694</v>
      </c>
      <c r="AW37" t="s">
        <v>694</v>
      </c>
      <c r="AX37" t="s">
        <v>694</v>
      </c>
      <c r="AY37" t="s">
        <v>694</v>
      </c>
      <c r="AZ37" t="s">
        <v>694</v>
      </c>
      <c r="BA37" s="82">
        <v>84369.72</v>
      </c>
      <c r="BB37" t="s">
        <v>836</v>
      </c>
      <c r="BC37" t="s">
        <v>694</v>
      </c>
      <c r="BD37" t="s">
        <v>694</v>
      </c>
      <c r="BG37" t="s">
        <v>29</v>
      </c>
      <c r="BH37">
        <v>2</v>
      </c>
      <c r="BI37">
        <v>240</v>
      </c>
      <c r="BJ37" s="81">
        <v>10991990</v>
      </c>
      <c r="BK37">
        <v>4.8499999999999996</v>
      </c>
      <c r="BL37">
        <v>4.8</v>
      </c>
      <c r="BM37">
        <v>4.8499999999999996</v>
      </c>
      <c r="BN37">
        <v>4.8099999999999996</v>
      </c>
      <c r="BO37">
        <v>4.8</v>
      </c>
      <c r="BP37">
        <v>4.8</v>
      </c>
      <c r="BQ37" t="s">
        <v>728</v>
      </c>
      <c r="BR37">
        <v>4.8099999999999996</v>
      </c>
      <c r="BS37" t="s">
        <v>694</v>
      </c>
    </row>
    <row r="38" spans="7:71" x14ac:dyDescent="0.3">
      <c r="G38" t="s">
        <v>33</v>
      </c>
      <c r="H38" s="81">
        <v>68008</v>
      </c>
      <c r="I38">
        <v>86</v>
      </c>
      <c r="J38" s="81">
        <v>425</v>
      </c>
      <c r="K38" s="81">
        <v>23863520</v>
      </c>
      <c r="L38" s="82">
        <v>56313.64</v>
      </c>
      <c r="M38">
        <v>13.3</v>
      </c>
      <c r="N38">
        <v>13.29</v>
      </c>
      <c r="O38">
        <v>13.31</v>
      </c>
      <c r="P38">
        <v>13.3</v>
      </c>
      <c r="Q38">
        <v>13.31</v>
      </c>
      <c r="R38" s="82">
        <v>56147.41</v>
      </c>
      <c r="S38" t="s">
        <v>798</v>
      </c>
      <c r="T38">
        <v>13.29</v>
      </c>
      <c r="U38" t="s">
        <v>694</v>
      </c>
      <c r="AP38" t="s">
        <v>33</v>
      </c>
      <c r="AQ38" s="81">
        <v>18170</v>
      </c>
      <c r="AR38" t="s">
        <v>694</v>
      </c>
      <c r="AS38" t="s">
        <v>694</v>
      </c>
      <c r="AT38" t="s">
        <v>694</v>
      </c>
      <c r="AU38" s="82">
        <v>80746.17</v>
      </c>
      <c r="AV38" t="s">
        <v>694</v>
      </c>
      <c r="AW38" t="s">
        <v>694</v>
      </c>
      <c r="AX38" t="s">
        <v>694</v>
      </c>
      <c r="AY38" t="s">
        <v>694</v>
      </c>
      <c r="AZ38" t="s">
        <v>694</v>
      </c>
      <c r="BA38" s="82">
        <v>80452.92</v>
      </c>
      <c r="BB38" t="s">
        <v>837</v>
      </c>
      <c r="BC38" t="s">
        <v>694</v>
      </c>
      <c r="BD38" t="s">
        <v>694</v>
      </c>
      <c r="BG38" t="s">
        <v>33</v>
      </c>
      <c r="BH38">
        <v>1</v>
      </c>
      <c r="BI38">
        <v>18</v>
      </c>
      <c r="BJ38" s="81">
        <v>802807</v>
      </c>
      <c r="BK38">
        <v>5</v>
      </c>
      <c r="BL38">
        <v>5</v>
      </c>
      <c r="BM38">
        <v>5</v>
      </c>
      <c r="BN38">
        <v>5</v>
      </c>
      <c r="BO38">
        <v>5</v>
      </c>
      <c r="BP38">
        <v>5</v>
      </c>
      <c r="BQ38" t="s">
        <v>728</v>
      </c>
      <c r="BR38" t="s">
        <v>694</v>
      </c>
      <c r="BS38" t="s">
        <v>694</v>
      </c>
    </row>
    <row r="39" spans="7:71" x14ac:dyDescent="0.3">
      <c r="G39" t="s">
        <v>13</v>
      </c>
      <c r="H39" s="81">
        <v>79304</v>
      </c>
      <c r="I39">
        <v>3</v>
      </c>
      <c r="J39">
        <v>150</v>
      </c>
      <c r="K39" s="81">
        <v>13552083</v>
      </c>
      <c r="L39" s="82">
        <v>90352.83</v>
      </c>
      <c r="M39">
        <v>14.42</v>
      </c>
      <c r="N39">
        <v>14.41</v>
      </c>
      <c r="O39">
        <v>14.42</v>
      </c>
      <c r="P39">
        <v>14.41</v>
      </c>
      <c r="Q39">
        <v>14.41</v>
      </c>
      <c r="R39" s="82">
        <v>90347.11</v>
      </c>
      <c r="S39" t="s">
        <v>799</v>
      </c>
      <c r="T39">
        <v>14.4</v>
      </c>
      <c r="U39">
        <v>14.41</v>
      </c>
      <c r="AP39" t="s">
        <v>13</v>
      </c>
      <c r="AQ39" s="81">
        <v>42474</v>
      </c>
      <c r="AR39" t="s">
        <v>694</v>
      </c>
      <c r="AS39" t="s">
        <v>694</v>
      </c>
      <c r="AT39" t="s">
        <v>694</v>
      </c>
      <c r="AU39" s="82">
        <v>96203.78</v>
      </c>
      <c r="AV39" t="s">
        <v>694</v>
      </c>
      <c r="AW39" t="s">
        <v>694</v>
      </c>
      <c r="AX39" t="s">
        <v>694</v>
      </c>
      <c r="AY39" t="s">
        <v>694</v>
      </c>
      <c r="AZ39" t="s">
        <v>694</v>
      </c>
      <c r="BA39" s="82">
        <v>95928.16</v>
      </c>
      <c r="BB39" t="s">
        <v>838</v>
      </c>
      <c r="BC39" t="s">
        <v>694</v>
      </c>
      <c r="BD39" t="s">
        <v>694</v>
      </c>
      <c r="BG39" t="s">
        <v>13</v>
      </c>
      <c r="BH39" t="s">
        <v>694</v>
      </c>
      <c r="BI39" t="s">
        <v>694</v>
      </c>
      <c r="BJ39" t="s">
        <v>694</v>
      </c>
      <c r="BK39" t="s">
        <v>694</v>
      </c>
      <c r="BL39" t="s">
        <v>694</v>
      </c>
      <c r="BM39" t="s">
        <v>694</v>
      </c>
      <c r="BN39" t="s">
        <v>694</v>
      </c>
      <c r="BO39" t="s">
        <v>694</v>
      </c>
      <c r="BP39">
        <v>4.96</v>
      </c>
      <c r="BQ39" t="s">
        <v>730</v>
      </c>
      <c r="BR39" t="s">
        <v>694</v>
      </c>
      <c r="BS39" t="s">
        <v>694</v>
      </c>
    </row>
    <row r="40" spans="7:71" x14ac:dyDescent="0.3">
      <c r="G40" t="s">
        <v>21</v>
      </c>
      <c r="H40" s="81">
        <v>38742</v>
      </c>
      <c r="I40">
        <v>4</v>
      </c>
      <c r="J40">
        <v>84</v>
      </c>
      <c r="K40">
        <v>6752454</v>
      </c>
      <c r="L40" s="82">
        <v>80448.649999999994</v>
      </c>
      <c r="M40">
        <v>13.35</v>
      </c>
      <c r="N40">
        <v>13.35</v>
      </c>
      <c r="O40">
        <v>13.36</v>
      </c>
      <c r="P40">
        <v>13.35</v>
      </c>
      <c r="Q40">
        <v>13.35</v>
      </c>
      <c r="R40" s="82">
        <v>80397.210000000006</v>
      </c>
      <c r="S40" t="s">
        <v>800</v>
      </c>
      <c r="T40">
        <v>13.32</v>
      </c>
      <c r="U40">
        <v>13.34</v>
      </c>
      <c r="AP40" t="s">
        <v>21</v>
      </c>
      <c r="AQ40" s="81">
        <v>17725</v>
      </c>
      <c r="AR40" t="s">
        <v>694</v>
      </c>
      <c r="AS40" t="s">
        <v>694</v>
      </c>
      <c r="AT40" t="s">
        <v>694</v>
      </c>
      <c r="AU40" s="82">
        <v>92127.73</v>
      </c>
      <c r="AV40" t="s">
        <v>694</v>
      </c>
      <c r="AW40" t="s">
        <v>694</v>
      </c>
      <c r="AX40" t="s">
        <v>694</v>
      </c>
      <c r="AY40" t="s">
        <v>694</v>
      </c>
      <c r="AZ40" t="s">
        <v>694</v>
      </c>
      <c r="BA40" s="82">
        <v>91833.23</v>
      </c>
      <c r="BB40" t="s">
        <v>839</v>
      </c>
      <c r="BC40" t="s">
        <v>694</v>
      </c>
      <c r="BD40" t="s">
        <v>694</v>
      </c>
      <c r="BG40" t="s">
        <v>21</v>
      </c>
      <c r="BH40">
        <v>6</v>
      </c>
      <c r="BI40">
        <v>480</v>
      </c>
      <c r="BJ40" s="81">
        <v>22988654</v>
      </c>
      <c r="BK40">
        <v>4.72</v>
      </c>
      <c r="BL40">
        <v>4.72</v>
      </c>
      <c r="BM40">
        <v>4.72</v>
      </c>
      <c r="BN40">
        <v>4.72</v>
      </c>
      <c r="BO40">
        <v>4.72</v>
      </c>
      <c r="BP40">
        <v>4.72</v>
      </c>
      <c r="BQ40" t="s">
        <v>732</v>
      </c>
      <c r="BR40" t="s">
        <v>694</v>
      </c>
      <c r="BS40" t="s">
        <v>694</v>
      </c>
    </row>
    <row r="41" spans="7:71" x14ac:dyDescent="0.3">
      <c r="G41" t="s">
        <v>14</v>
      </c>
      <c r="H41" s="81">
        <v>161407</v>
      </c>
      <c r="I41">
        <v>9</v>
      </c>
      <c r="J41">
        <v>3259</v>
      </c>
      <c r="K41" s="81">
        <v>291398995</v>
      </c>
      <c r="L41" s="82">
        <v>89427.43</v>
      </c>
      <c r="M41">
        <v>14.3</v>
      </c>
      <c r="N41">
        <v>14.29</v>
      </c>
      <c r="O41">
        <v>14.3</v>
      </c>
      <c r="P41">
        <v>14.3</v>
      </c>
      <c r="Q41">
        <v>14.29</v>
      </c>
      <c r="R41" s="82">
        <v>89418.96</v>
      </c>
      <c r="S41" t="s">
        <v>801</v>
      </c>
      <c r="T41">
        <v>14.28</v>
      </c>
      <c r="U41">
        <v>14.29</v>
      </c>
      <c r="AP41" t="s">
        <v>14</v>
      </c>
      <c r="AQ41" s="81">
        <v>44890</v>
      </c>
      <c r="AR41" t="s">
        <v>694</v>
      </c>
      <c r="AS41" t="s">
        <v>694</v>
      </c>
      <c r="AT41" t="s">
        <v>694</v>
      </c>
      <c r="AU41" s="82">
        <v>95865.14</v>
      </c>
      <c r="AV41" t="s">
        <v>694</v>
      </c>
      <c r="AW41" t="s">
        <v>694</v>
      </c>
      <c r="AX41" t="s">
        <v>694</v>
      </c>
      <c r="AY41" t="s">
        <v>694</v>
      </c>
      <c r="AZ41" t="s">
        <v>694</v>
      </c>
      <c r="BA41" s="82">
        <v>95591.05</v>
      </c>
      <c r="BB41" t="s">
        <v>840</v>
      </c>
      <c r="BC41" t="s">
        <v>694</v>
      </c>
      <c r="BD41" t="s">
        <v>694</v>
      </c>
      <c r="BG41" t="s">
        <v>14</v>
      </c>
      <c r="BH41">
        <v>8</v>
      </c>
      <c r="BI41" s="81">
        <v>2960</v>
      </c>
      <c r="BJ41" s="81">
        <v>144694789</v>
      </c>
      <c r="BK41">
        <v>4.93</v>
      </c>
      <c r="BL41">
        <v>4.93</v>
      </c>
      <c r="BM41">
        <v>4.93</v>
      </c>
      <c r="BN41">
        <v>4.93</v>
      </c>
      <c r="BO41">
        <v>4.93</v>
      </c>
      <c r="BP41">
        <v>4.92</v>
      </c>
      <c r="BQ41" t="s">
        <v>730</v>
      </c>
      <c r="BR41" t="s">
        <v>694</v>
      </c>
      <c r="BS41">
        <v>4.93</v>
      </c>
    </row>
    <row r="42" spans="7:71" x14ac:dyDescent="0.3">
      <c r="G42" t="s">
        <v>15</v>
      </c>
      <c r="H42" s="81">
        <v>887253</v>
      </c>
      <c r="I42" s="81">
        <v>1439</v>
      </c>
      <c r="J42" s="81">
        <v>42656</v>
      </c>
      <c r="K42" s="81">
        <v>3775572829</v>
      </c>
      <c r="L42" s="82">
        <v>88527.74</v>
      </c>
      <c r="M42">
        <v>14.17</v>
      </c>
      <c r="N42">
        <v>14.15</v>
      </c>
      <c r="O42">
        <v>14.19</v>
      </c>
      <c r="P42">
        <v>14.17</v>
      </c>
      <c r="Q42">
        <v>14.16</v>
      </c>
      <c r="R42" s="82">
        <v>88514.74</v>
      </c>
      <c r="S42" t="s">
        <v>802</v>
      </c>
      <c r="T42">
        <v>14.16</v>
      </c>
      <c r="U42">
        <v>14.16</v>
      </c>
      <c r="AP42" t="s">
        <v>15</v>
      </c>
      <c r="AQ42" s="81">
        <v>100301</v>
      </c>
      <c r="AR42" t="s">
        <v>694</v>
      </c>
      <c r="AS42" t="s">
        <v>694</v>
      </c>
      <c r="AT42" t="s">
        <v>694</v>
      </c>
      <c r="AU42" s="82">
        <v>95523.13</v>
      </c>
      <c r="AV42" t="s">
        <v>694</v>
      </c>
      <c r="AW42" t="s">
        <v>694</v>
      </c>
      <c r="AX42" t="s">
        <v>694</v>
      </c>
      <c r="AY42" t="s">
        <v>694</v>
      </c>
      <c r="AZ42" t="s">
        <v>694</v>
      </c>
      <c r="BA42" s="82">
        <v>95232.51</v>
      </c>
      <c r="BB42" t="s">
        <v>841</v>
      </c>
      <c r="BC42" t="s">
        <v>694</v>
      </c>
      <c r="BD42" t="s">
        <v>694</v>
      </c>
      <c r="BG42" t="s">
        <v>15</v>
      </c>
      <c r="BH42">
        <v>10</v>
      </c>
      <c r="BI42" s="81">
        <v>3424</v>
      </c>
      <c r="BJ42" s="81">
        <v>167078593</v>
      </c>
      <c r="BK42">
        <v>4.88</v>
      </c>
      <c r="BL42">
        <v>4.88</v>
      </c>
      <c r="BM42">
        <v>4.88</v>
      </c>
      <c r="BN42">
        <v>4.88</v>
      </c>
      <c r="BO42">
        <v>4.88</v>
      </c>
      <c r="BP42">
        <v>4.88</v>
      </c>
      <c r="BQ42">
        <v>0</v>
      </c>
      <c r="BR42" t="s">
        <v>694</v>
      </c>
      <c r="BS42" t="s">
        <v>694</v>
      </c>
    </row>
    <row r="43" spans="7:71" x14ac:dyDescent="0.3">
      <c r="G43" t="s">
        <v>22</v>
      </c>
      <c r="H43" s="81">
        <v>962260</v>
      </c>
      <c r="I43" s="81">
        <v>2766</v>
      </c>
      <c r="J43" s="81">
        <v>130927</v>
      </c>
      <c r="K43" s="81">
        <v>10317911007</v>
      </c>
      <c r="L43" s="82">
        <v>78877.440000000002</v>
      </c>
      <c r="M43">
        <v>13.25</v>
      </c>
      <c r="N43">
        <v>13.24</v>
      </c>
      <c r="O43">
        <v>13.28</v>
      </c>
      <c r="P43">
        <v>13.26</v>
      </c>
      <c r="Q43">
        <v>13.26</v>
      </c>
      <c r="R43" s="82">
        <v>78815.539999999994</v>
      </c>
      <c r="S43" t="s">
        <v>803</v>
      </c>
      <c r="T43">
        <v>13.24</v>
      </c>
      <c r="U43">
        <v>13.25</v>
      </c>
      <c r="AP43" t="s">
        <v>22</v>
      </c>
      <c r="AQ43" s="81">
        <v>42020</v>
      </c>
      <c r="AR43" t="s">
        <v>694</v>
      </c>
      <c r="AS43" t="s">
        <v>694</v>
      </c>
      <c r="AT43" t="s">
        <v>694</v>
      </c>
      <c r="AU43" s="82">
        <v>91448.25</v>
      </c>
      <c r="AV43" t="s">
        <v>694</v>
      </c>
      <c r="AW43" t="s">
        <v>694</v>
      </c>
      <c r="AX43" t="s">
        <v>694</v>
      </c>
      <c r="AY43" t="s">
        <v>694</v>
      </c>
      <c r="AZ43" t="s">
        <v>694</v>
      </c>
      <c r="BA43" s="82">
        <v>91169.52</v>
      </c>
      <c r="BB43" t="s">
        <v>842</v>
      </c>
      <c r="BC43" t="s">
        <v>694</v>
      </c>
      <c r="BD43" t="s">
        <v>694</v>
      </c>
      <c r="BG43" t="s">
        <v>22</v>
      </c>
      <c r="BH43">
        <v>5</v>
      </c>
      <c r="BI43">
        <v>306</v>
      </c>
      <c r="BJ43" s="81">
        <v>14598497</v>
      </c>
      <c r="BK43">
        <v>4.7300000000000004</v>
      </c>
      <c r="BL43">
        <v>4.7300000000000004</v>
      </c>
      <c r="BM43">
        <v>4.7300000000000004</v>
      </c>
      <c r="BN43">
        <v>4.7300000000000004</v>
      </c>
      <c r="BO43">
        <v>4.7300000000000004</v>
      </c>
      <c r="BP43">
        <v>4.7300000000000004</v>
      </c>
      <c r="BQ43">
        <v>0</v>
      </c>
      <c r="BR43">
        <v>4.72</v>
      </c>
      <c r="BS43" t="s">
        <v>694</v>
      </c>
    </row>
    <row r="44" spans="7:71" x14ac:dyDescent="0.3">
      <c r="G44" t="s">
        <v>26</v>
      </c>
      <c r="H44" s="81">
        <v>113701</v>
      </c>
      <c r="I44">
        <v>275</v>
      </c>
      <c r="J44">
        <v>1887</v>
      </c>
      <c r="K44" s="81">
        <v>131996283</v>
      </c>
      <c r="L44" s="82">
        <v>70047.34</v>
      </c>
      <c r="M44">
        <v>13.09</v>
      </c>
      <c r="N44">
        <v>13.06</v>
      </c>
      <c r="O44">
        <v>13.09</v>
      </c>
      <c r="P44">
        <v>13.07</v>
      </c>
      <c r="Q44">
        <v>13.08</v>
      </c>
      <c r="R44" s="82">
        <v>69941.899999999994</v>
      </c>
      <c r="S44" t="s">
        <v>804</v>
      </c>
      <c r="T44">
        <v>13.07</v>
      </c>
      <c r="U44">
        <v>13.09</v>
      </c>
      <c r="AP44" t="s">
        <v>26</v>
      </c>
      <c r="AQ44" s="81">
        <v>28790</v>
      </c>
      <c r="AR44" t="s">
        <v>694</v>
      </c>
      <c r="AS44" t="s">
        <v>694</v>
      </c>
      <c r="AT44" t="s">
        <v>694</v>
      </c>
      <c r="AU44" s="82">
        <v>87579.68</v>
      </c>
      <c r="AV44" t="s">
        <v>694</v>
      </c>
      <c r="AW44" t="s">
        <v>694</v>
      </c>
      <c r="AX44" t="s">
        <v>694</v>
      </c>
      <c r="AY44" t="s">
        <v>694</v>
      </c>
      <c r="AZ44" t="s">
        <v>694</v>
      </c>
      <c r="BA44" s="82">
        <v>87305.66</v>
      </c>
      <c r="BB44" t="s">
        <v>843</v>
      </c>
      <c r="BC44" t="s">
        <v>694</v>
      </c>
      <c r="BD44" t="s">
        <v>694</v>
      </c>
      <c r="BG44" t="s">
        <v>26</v>
      </c>
      <c r="BH44">
        <v>10</v>
      </c>
      <c r="BI44" s="81">
        <v>3041</v>
      </c>
      <c r="BJ44" s="81">
        <v>141821763</v>
      </c>
      <c r="BK44">
        <v>4.7699999999999996</v>
      </c>
      <c r="BL44">
        <v>4.7300000000000004</v>
      </c>
      <c r="BM44">
        <v>4.7699999999999996</v>
      </c>
      <c r="BN44">
        <v>4.7300000000000004</v>
      </c>
      <c r="BO44">
        <v>4.7300000000000004</v>
      </c>
      <c r="BP44">
        <v>4.7300000000000004</v>
      </c>
      <c r="BQ44" t="s">
        <v>725</v>
      </c>
      <c r="BR44" t="s">
        <v>694</v>
      </c>
      <c r="BS44" t="s">
        <v>694</v>
      </c>
    </row>
    <row r="45" spans="7:71" x14ac:dyDescent="0.3">
      <c r="G45" t="s">
        <v>30</v>
      </c>
      <c r="H45" s="81">
        <v>75559</v>
      </c>
      <c r="I45">
        <v>93</v>
      </c>
      <c r="J45">
        <v>868</v>
      </c>
      <c r="K45" s="81">
        <v>53595087</v>
      </c>
      <c r="L45" s="82">
        <v>61870.84</v>
      </c>
      <c r="M45">
        <v>13.19</v>
      </c>
      <c r="N45">
        <v>13.18</v>
      </c>
      <c r="O45">
        <v>13.2</v>
      </c>
      <c r="P45">
        <v>13.19</v>
      </c>
      <c r="Q45">
        <v>13.19</v>
      </c>
      <c r="R45" s="82">
        <v>61733.08</v>
      </c>
      <c r="S45" t="s">
        <v>805</v>
      </c>
      <c r="T45" t="s">
        <v>694</v>
      </c>
      <c r="U45" t="s">
        <v>694</v>
      </c>
      <c r="AP45" t="s">
        <v>30</v>
      </c>
      <c r="AQ45" s="81">
        <v>22150</v>
      </c>
      <c r="AR45" t="s">
        <v>694</v>
      </c>
      <c r="AS45" t="s">
        <v>694</v>
      </c>
      <c r="AT45" t="s">
        <v>694</v>
      </c>
      <c r="AU45" s="82">
        <v>83799.5</v>
      </c>
      <c r="AV45" t="s">
        <v>694</v>
      </c>
      <c r="AW45" t="s">
        <v>694</v>
      </c>
      <c r="AX45" t="s">
        <v>694</v>
      </c>
      <c r="AY45" t="s">
        <v>694</v>
      </c>
      <c r="AZ45" t="s">
        <v>694</v>
      </c>
      <c r="BA45" s="82">
        <v>83421.73</v>
      </c>
      <c r="BB45" t="s">
        <v>844</v>
      </c>
      <c r="BC45" t="s">
        <v>694</v>
      </c>
      <c r="BD45" t="s">
        <v>694</v>
      </c>
      <c r="BG45" t="s">
        <v>30</v>
      </c>
      <c r="BH45">
        <v>10</v>
      </c>
      <c r="BI45" s="81">
        <v>2760</v>
      </c>
      <c r="BJ45" s="81">
        <v>125703959</v>
      </c>
      <c r="BK45">
        <v>4.82</v>
      </c>
      <c r="BL45">
        <v>4.82</v>
      </c>
      <c r="BM45">
        <v>4.82</v>
      </c>
      <c r="BN45">
        <v>4.82</v>
      </c>
      <c r="BO45">
        <v>4.82</v>
      </c>
      <c r="BP45">
        <v>4.82</v>
      </c>
      <c r="BQ45" t="s">
        <v>733</v>
      </c>
      <c r="BR45">
        <v>4.82</v>
      </c>
      <c r="BS45" t="s">
        <v>694</v>
      </c>
    </row>
    <row r="46" spans="7:71" x14ac:dyDescent="0.3">
      <c r="G46" t="s">
        <v>34</v>
      </c>
      <c r="H46" s="81">
        <v>28200</v>
      </c>
      <c r="I46">
        <v>43</v>
      </c>
      <c r="J46">
        <v>220</v>
      </c>
      <c r="K46" s="81">
        <v>11941644</v>
      </c>
      <c r="L46" s="82">
        <v>54445.1</v>
      </c>
      <c r="M46">
        <v>13.32</v>
      </c>
      <c r="N46">
        <v>13.32</v>
      </c>
      <c r="O46">
        <v>13.34</v>
      </c>
      <c r="P46">
        <v>13.32</v>
      </c>
      <c r="Q46">
        <v>13.33</v>
      </c>
      <c r="R46" s="82">
        <v>54280.25</v>
      </c>
      <c r="S46" t="s">
        <v>806</v>
      </c>
      <c r="T46" t="s">
        <v>694</v>
      </c>
      <c r="U46" t="s">
        <v>694</v>
      </c>
      <c r="AP46" t="s">
        <v>34</v>
      </c>
      <c r="AQ46" s="81">
        <v>6620</v>
      </c>
      <c r="AR46" t="s">
        <v>694</v>
      </c>
      <c r="AS46" t="s">
        <v>694</v>
      </c>
      <c r="AT46" t="s">
        <v>694</v>
      </c>
      <c r="AU46" s="82">
        <v>79759.34</v>
      </c>
      <c r="AV46" t="s">
        <v>694</v>
      </c>
      <c r="AW46" t="s">
        <v>694</v>
      </c>
      <c r="AX46" t="s">
        <v>694</v>
      </c>
      <c r="AY46" t="s">
        <v>694</v>
      </c>
      <c r="AZ46" t="s">
        <v>694</v>
      </c>
      <c r="BA46" s="82">
        <v>79468.740000000005</v>
      </c>
      <c r="BB46" t="s">
        <v>845</v>
      </c>
      <c r="BC46" t="s">
        <v>694</v>
      </c>
      <c r="BD46" t="s">
        <v>694</v>
      </c>
      <c r="BG46" t="s">
        <v>34</v>
      </c>
      <c r="BH46">
        <v>5</v>
      </c>
      <c r="BI46" s="81">
        <v>3779</v>
      </c>
      <c r="BJ46" s="81">
        <v>167504361</v>
      </c>
      <c r="BK46">
        <v>5.05</v>
      </c>
      <c r="BL46">
        <v>5.05</v>
      </c>
      <c r="BM46">
        <v>5.05</v>
      </c>
      <c r="BN46">
        <v>5.05</v>
      </c>
      <c r="BO46">
        <v>5.05</v>
      </c>
      <c r="BP46">
        <v>5.05</v>
      </c>
      <c r="BQ46" t="s">
        <v>728</v>
      </c>
      <c r="BR46" t="s">
        <v>694</v>
      </c>
      <c r="BS46" t="s">
        <v>694</v>
      </c>
    </row>
    <row r="47" spans="7:71" x14ac:dyDescent="0.3">
      <c r="G47" t="s">
        <v>4</v>
      </c>
      <c r="H47" s="81">
        <v>1218820</v>
      </c>
      <c r="I47">
        <v>245</v>
      </c>
      <c r="J47" s="81">
        <v>41887</v>
      </c>
      <c r="K47" s="81">
        <v>4179475341</v>
      </c>
      <c r="L47" s="82">
        <v>99779.76</v>
      </c>
      <c r="M47">
        <v>14.91</v>
      </c>
      <c r="N47">
        <v>14.9</v>
      </c>
      <c r="O47">
        <v>14.91</v>
      </c>
      <c r="P47">
        <v>14.9</v>
      </c>
      <c r="Q47">
        <v>14.9</v>
      </c>
      <c r="R47" s="82">
        <v>99779.74</v>
      </c>
      <c r="S47" t="s">
        <v>729</v>
      </c>
      <c r="T47">
        <v>14.9</v>
      </c>
      <c r="U47">
        <v>14.91</v>
      </c>
      <c r="AP47" t="s">
        <v>4</v>
      </c>
      <c r="AQ47" s="81">
        <v>747489</v>
      </c>
      <c r="AR47">
        <v>15</v>
      </c>
      <c r="AS47" s="81">
        <v>17766</v>
      </c>
      <c r="AT47" s="82">
        <v>4755495404.2600002</v>
      </c>
      <c r="AU47" s="82">
        <v>99822.18</v>
      </c>
      <c r="AV47">
        <v>4.75</v>
      </c>
      <c r="AW47">
        <v>4.75</v>
      </c>
      <c r="AX47">
        <v>26.14</v>
      </c>
      <c r="AY47">
        <v>23.45</v>
      </c>
      <c r="AZ47">
        <v>22.66</v>
      </c>
      <c r="BA47" s="82">
        <v>99536.14</v>
      </c>
      <c r="BB47" t="s">
        <v>846</v>
      </c>
      <c r="BC47" t="s">
        <v>694</v>
      </c>
      <c r="BD47" t="s">
        <v>694</v>
      </c>
      <c r="BG47" t="s">
        <v>16</v>
      </c>
      <c r="BH47">
        <v>2</v>
      </c>
      <c r="BI47">
        <v>196</v>
      </c>
      <c r="BJ47" s="81">
        <v>9545247</v>
      </c>
      <c r="BK47">
        <v>4.8499999999999996</v>
      </c>
      <c r="BL47">
        <v>4.8499999999999996</v>
      </c>
      <c r="BM47">
        <v>4.8600000000000003</v>
      </c>
      <c r="BN47">
        <v>4.8499999999999996</v>
      </c>
      <c r="BO47">
        <v>4.8600000000000003</v>
      </c>
      <c r="BP47">
        <v>4.8600000000000003</v>
      </c>
      <c r="BQ47" t="s">
        <v>732</v>
      </c>
      <c r="BR47" t="s">
        <v>694</v>
      </c>
      <c r="BS47" t="s">
        <v>694</v>
      </c>
    </row>
    <row r="48" spans="7:71" x14ac:dyDescent="0.3">
      <c r="G48" t="s">
        <v>16</v>
      </c>
      <c r="H48" s="81">
        <v>28352</v>
      </c>
      <c r="I48">
        <v>5</v>
      </c>
      <c r="J48">
        <v>1877</v>
      </c>
      <c r="K48" s="81">
        <v>164490754</v>
      </c>
      <c r="L48" s="82">
        <v>87649.31</v>
      </c>
      <c r="M48">
        <v>14.06</v>
      </c>
      <c r="N48">
        <v>14.05</v>
      </c>
      <c r="O48">
        <v>14.06</v>
      </c>
      <c r="P48">
        <v>14.05</v>
      </c>
      <c r="Q48">
        <v>14.05</v>
      </c>
      <c r="R48" s="82">
        <v>87634.34</v>
      </c>
      <c r="S48" t="s">
        <v>807</v>
      </c>
      <c r="T48">
        <v>14.03</v>
      </c>
      <c r="U48">
        <v>14.05</v>
      </c>
      <c r="AP48" t="s">
        <v>16</v>
      </c>
      <c r="AQ48" s="81">
        <v>10130</v>
      </c>
      <c r="AR48" t="s">
        <v>694</v>
      </c>
      <c r="AS48" t="s">
        <v>694</v>
      </c>
      <c r="AT48" t="s">
        <v>694</v>
      </c>
      <c r="AU48" s="82">
        <v>95134.32</v>
      </c>
      <c r="AV48" t="s">
        <v>694</v>
      </c>
      <c r="AW48" t="s">
        <v>694</v>
      </c>
      <c r="AX48" t="s">
        <v>694</v>
      </c>
      <c r="AY48" t="s">
        <v>694</v>
      </c>
      <c r="AZ48" t="s">
        <v>694</v>
      </c>
      <c r="BA48" s="82">
        <v>94852.45</v>
      </c>
      <c r="BB48" t="s">
        <v>847</v>
      </c>
      <c r="BC48" t="s">
        <v>694</v>
      </c>
      <c r="BD48" t="s">
        <v>694</v>
      </c>
      <c r="BG48" t="s">
        <v>5</v>
      </c>
      <c r="BH48">
        <v>199</v>
      </c>
      <c r="BI48" s="81">
        <v>330876</v>
      </c>
      <c r="BJ48" s="81">
        <v>16474969543</v>
      </c>
      <c r="BK48">
        <v>5.21</v>
      </c>
      <c r="BL48">
        <v>5.15</v>
      </c>
      <c r="BM48">
        <v>5.25</v>
      </c>
      <c r="BN48">
        <v>5.17</v>
      </c>
      <c r="BO48">
        <v>5.17</v>
      </c>
      <c r="BP48">
        <v>5.16</v>
      </c>
      <c r="BQ48" t="s">
        <v>728</v>
      </c>
      <c r="BR48" t="s">
        <v>694</v>
      </c>
      <c r="BS48" t="s">
        <v>694</v>
      </c>
    </row>
    <row r="49" spans="7:71" x14ac:dyDescent="0.3">
      <c r="G49" t="s">
        <v>5</v>
      </c>
      <c r="H49" s="81">
        <v>823036</v>
      </c>
      <c r="I49">
        <v>199</v>
      </c>
      <c r="J49" s="81">
        <v>80134</v>
      </c>
      <c r="K49" s="81">
        <v>7912436766</v>
      </c>
      <c r="L49" s="82">
        <v>98740.26</v>
      </c>
      <c r="M49">
        <v>14.9</v>
      </c>
      <c r="N49">
        <v>14.9</v>
      </c>
      <c r="O49">
        <v>14.9</v>
      </c>
      <c r="P49">
        <v>14.9</v>
      </c>
      <c r="Q49">
        <v>14.9</v>
      </c>
      <c r="R49" s="82">
        <v>98740.1</v>
      </c>
      <c r="S49" t="s">
        <v>808</v>
      </c>
      <c r="T49">
        <v>14.9</v>
      </c>
      <c r="U49">
        <v>14.9</v>
      </c>
      <c r="AP49" t="s">
        <v>5</v>
      </c>
      <c r="AQ49" s="81">
        <v>806230</v>
      </c>
      <c r="AR49">
        <v>9</v>
      </c>
      <c r="AS49" s="81">
        <v>2576</v>
      </c>
      <c r="AT49" s="82">
        <v>687734053.63999999</v>
      </c>
      <c r="AU49" s="82">
        <v>99423.14</v>
      </c>
      <c r="AV49">
        <v>5.13</v>
      </c>
      <c r="AW49">
        <v>5.13</v>
      </c>
      <c r="AX49">
        <v>8.41</v>
      </c>
      <c r="AY49">
        <v>6.91</v>
      </c>
      <c r="AZ49">
        <v>8.15</v>
      </c>
      <c r="BA49" s="82">
        <v>99142.87</v>
      </c>
      <c r="BB49" t="s">
        <v>848</v>
      </c>
      <c r="BC49" t="s">
        <v>694</v>
      </c>
      <c r="BD49" t="s">
        <v>694</v>
      </c>
      <c r="BG49" t="s">
        <v>17</v>
      </c>
      <c r="BH49">
        <v>18</v>
      </c>
      <c r="BI49" s="81">
        <v>10451</v>
      </c>
      <c r="BJ49" s="81">
        <v>508023483</v>
      </c>
      <c r="BK49">
        <v>4.84</v>
      </c>
      <c r="BL49">
        <v>4.84</v>
      </c>
      <c r="BM49">
        <v>4.8499999999999996</v>
      </c>
      <c r="BN49">
        <v>4.84</v>
      </c>
      <c r="BO49">
        <v>4.8499999999999996</v>
      </c>
      <c r="BP49">
        <v>4.84</v>
      </c>
      <c r="BQ49" t="s">
        <v>731</v>
      </c>
      <c r="BR49" t="s">
        <v>694</v>
      </c>
      <c r="BS49" t="s">
        <v>694</v>
      </c>
    </row>
    <row r="50" spans="7:71" x14ac:dyDescent="0.3">
      <c r="G50" t="s">
        <v>17</v>
      </c>
      <c r="H50" s="81">
        <v>92982</v>
      </c>
      <c r="I50">
        <v>38</v>
      </c>
      <c r="J50" s="81">
        <v>5560</v>
      </c>
      <c r="K50" s="81">
        <v>482879536</v>
      </c>
      <c r="L50" s="82">
        <v>86876.45</v>
      </c>
      <c r="M50">
        <v>13.96</v>
      </c>
      <c r="N50">
        <v>13.95</v>
      </c>
      <c r="O50">
        <v>13.96</v>
      </c>
      <c r="P50">
        <v>13.95</v>
      </c>
      <c r="Q50">
        <v>13.95</v>
      </c>
      <c r="R50" s="82">
        <v>86852.12</v>
      </c>
      <c r="S50" t="s">
        <v>809</v>
      </c>
      <c r="T50">
        <v>13.93</v>
      </c>
      <c r="U50">
        <v>13.94</v>
      </c>
      <c r="AP50" t="s">
        <v>17</v>
      </c>
      <c r="AQ50" s="81">
        <v>30050</v>
      </c>
      <c r="AR50" t="s">
        <v>694</v>
      </c>
      <c r="AS50" t="s">
        <v>694</v>
      </c>
      <c r="AT50" t="s">
        <v>694</v>
      </c>
      <c r="AU50" s="82">
        <v>94812.69</v>
      </c>
      <c r="AV50" t="s">
        <v>694</v>
      </c>
      <c r="AW50" t="s">
        <v>694</v>
      </c>
      <c r="AX50" t="s">
        <v>694</v>
      </c>
      <c r="AY50" t="s">
        <v>694</v>
      </c>
      <c r="AZ50" t="s">
        <v>694</v>
      </c>
      <c r="BA50" s="82">
        <v>94521.01</v>
      </c>
      <c r="BB50" t="s">
        <v>849</v>
      </c>
      <c r="BC50" t="s">
        <v>694</v>
      </c>
      <c r="BD50" t="s">
        <v>694</v>
      </c>
    </row>
    <row r="51" spans="7:71" x14ac:dyDescent="0.3">
      <c r="G51" t="s">
        <v>699</v>
      </c>
      <c r="AP51" t="s">
        <v>695</v>
      </c>
    </row>
    <row r="52" spans="7:71" x14ac:dyDescent="0.3">
      <c r="G52" t="s">
        <v>696</v>
      </c>
      <c r="AP52" t="s">
        <v>696</v>
      </c>
    </row>
    <row r="53" spans="7:71" x14ac:dyDescent="0.3">
      <c r="G53" t="s">
        <v>697</v>
      </c>
      <c r="AP53" t="s">
        <v>697</v>
      </c>
    </row>
    <row r="54" spans="7:71" x14ac:dyDescent="0.3">
      <c r="G54" t="s">
        <v>698</v>
      </c>
      <c r="AP54" t="s">
        <v>698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A276-C642-43D3-A1A4-851FCBDB9B56}">
  <sheetPr codeName="Planilha2"/>
  <dimension ref="A2:W60"/>
  <sheetViews>
    <sheetView showGridLines="0" workbookViewId="0">
      <selection activeCell="L17" sqref="L17"/>
    </sheetView>
  </sheetViews>
  <sheetFormatPr defaultColWidth="9" defaultRowHeight="14.4" x14ac:dyDescent="0.3"/>
  <cols>
    <col min="1" max="1" width="6.88671875" style="98" bestFit="1" customWidth="1"/>
    <col min="2" max="2" width="18.21875" style="98" customWidth="1"/>
    <col min="3" max="3" width="19.5546875" style="98" bestFit="1" customWidth="1"/>
    <col min="4" max="5" width="8.33203125" style="98" customWidth="1"/>
    <col min="6" max="6" width="11.33203125" style="98" bestFit="1" customWidth="1"/>
    <col min="7" max="7" width="8" style="98" bestFit="1" customWidth="1"/>
    <col min="8" max="8" width="13.77734375" style="98" bestFit="1" customWidth="1"/>
    <col min="9" max="9" width="10" style="98" bestFit="1" customWidth="1"/>
    <col min="10" max="10" width="9" style="98"/>
    <col min="11" max="11" width="13.77734375" style="98" bestFit="1" customWidth="1"/>
    <col min="12" max="12" width="11.33203125" style="98" bestFit="1" customWidth="1"/>
    <col min="13" max="13" width="15.5546875" style="98" bestFit="1" customWidth="1"/>
    <col min="14" max="14" width="13.77734375" style="98" bestFit="1" customWidth="1"/>
    <col min="15" max="15" width="15.5546875" style="98" bestFit="1" customWidth="1"/>
    <col min="16" max="16" width="13.88671875" style="98" bestFit="1" customWidth="1"/>
    <col min="17" max="17" width="12.88671875" style="98" bestFit="1" customWidth="1"/>
    <col min="18" max="19" width="9" style="98"/>
    <col min="20" max="20" width="15.77734375" style="98" bestFit="1" customWidth="1"/>
    <col min="21" max="21" width="13.77734375" style="98" bestFit="1" customWidth="1"/>
    <col min="22" max="22" width="9" style="98"/>
    <col min="23" max="23" width="12.88671875" style="98" bestFit="1" customWidth="1"/>
    <col min="24" max="16384" width="9" style="98"/>
  </cols>
  <sheetData>
    <row r="2" spans="1:23" x14ac:dyDescent="0.3">
      <c r="A2" s="94"/>
      <c r="B2" s="94"/>
      <c r="C2" s="94"/>
      <c r="D2" s="94"/>
      <c r="E2" s="94"/>
      <c r="F2" s="95" t="s">
        <v>45</v>
      </c>
      <c r="G2" s="96"/>
      <c r="H2" s="97"/>
      <c r="I2" s="95" t="s">
        <v>700</v>
      </c>
      <c r="J2" s="96"/>
      <c r="K2" s="97"/>
      <c r="L2" s="95" t="s">
        <v>746</v>
      </c>
      <c r="M2" s="96"/>
      <c r="N2" s="97"/>
      <c r="O2" s="95" t="s">
        <v>734</v>
      </c>
      <c r="P2" s="97"/>
      <c r="Q2" s="95" t="s">
        <v>765</v>
      </c>
      <c r="R2" s="96"/>
      <c r="S2" s="96"/>
      <c r="T2" s="96"/>
      <c r="U2" s="97"/>
    </row>
    <row r="3" spans="1:23" x14ac:dyDescent="0.3">
      <c r="A3" s="41" t="s">
        <v>750</v>
      </c>
      <c r="B3" s="41" t="s">
        <v>738</v>
      </c>
      <c r="C3" s="41" t="s">
        <v>749</v>
      </c>
      <c r="D3" s="41" t="s">
        <v>0</v>
      </c>
      <c r="E3" s="41" t="s">
        <v>2</v>
      </c>
      <c r="F3" s="99" t="s">
        <v>46</v>
      </c>
      <c r="G3" s="41" t="s">
        <v>736</v>
      </c>
      <c r="H3" s="100" t="s">
        <v>737</v>
      </c>
      <c r="I3" s="99" t="s">
        <v>46</v>
      </c>
      <c r="J3" s="41" t="s">
        <v>739</v>
      </c>
      <c r="K3" s="100" t="s">
        <v>737</v>
      </c>
      <c r="L3" s="101" t="s">
        <v>744</v>
      </c>
      <c r="M3" s="102" t="s">
        <v>745</v>
      </c>
      <c r="N3" s="103" t="s">
        <v>737</v>
      </c>
      <c r="O3" s="99" t="s">
        <v>747</v>
      </c>
      <c r="P3" s="100" t="s">
        <v>737</v>
      </c>
      <c r="Q3" s="99" t="s">
        <v>766</v>
      </c>
      <c r="R3" s="41" t="s">
        <v>767</v>
      </c>
      <c r="S3" s="41" t="s">
        <v>768</v>
      </c>
      <c r="T3" s="100" t="s">
        <v>769</v>
      </c>
      <c r="U3" s="100" t="s">
        <v>737</v>
      </c>
    </row>
    <row r="4" spans="1:23" x14ac:dyDescent="0.3">
      <c r="A4" s="104" t="str">
        <f>E4&amp;"D"</f>
        <v>1D</v>
      </c>
      <c r="B4" s="104"/>
      <c r="C4" s="105">
        <f>data_ref_post1</f>
        <v>45959</v>
      </c>
      <c r="D4" s="106">
        <f t="shared" ref="D4:D45" si="0">C4-data_ref</f>
        <v>1</v>
      </c>
      <c r="E4" s="106">
        <f>NETWORKDAYS(data_ref,C4,feriados)-1</f>
        <v>1</v>
      </c>
      <c r="F4" s="107">
        <f>contrato/(1+H4%)^(E4/252)</f>
        <v>99947.49665014146</v>
      </c>
      <c r="G4" s="131">
        <f>contrato/F4</f>
        <v>1.0005253093035669</v>
      </c>
      <c r="H4" s="109">
        <f>di</f>
        <v>14.15</v>
      </c>
      <c r="I4" s="107">
        <f>contrato/(1+K4*E4/360)</f>
        <v>105041.81632660075</v>
      </c>
      <c r="J4" s="131">
        <f>((1+di%)^(E4/252))*(ptax/ptax_ant)</f>
        <v>0.99952001816962832</v>
      </c>
      <c r="K4" s="109">
        <f>(J4-1)*360/D4*100</f>
        <v>-17.279345893380427</v>
      </c>
      <c r="L4" s="107">
        <f t="shared" ref="L4:L45" si="1">ptax_ant</f>
        <v>5.3743999999999996</v>
      </c>
      <c r="M4" s="131">
        <f t="shared" ref="M4:M45" si="2">G4/J4</f>
        <v>1.0010057738871299</v>
      </c>
      <c r="N4" s="110">
        <f>M4*L4</f>
        <v>5.3798054311789905</v>
      </c>
      <c r="O4" s="111"/>
      <c r="P4" s="112"/>
      <c r="Q4" s="134">
        <f>1+S4/100*D4/360</f>
        <v>1.0034379380311058</v>
      </c>
      <c r="R4" s="108">
        <f>(((1+di%)^(E4/252))*(ptax/DCL)-1)*360/D4*100</f>
        <v>87.469934207406112</v>
      </c>
      <c r="S4" s="108">
        <f>(((1+di%)^(E4/252))*(ptax_ant/DCL)-1)*360/D4*100</f>
        <v>123.76576911980931</v>
      </c>
      <c r="T4" s="108"/>
      <c r="U4" s="108">
        <f>DCL*(((1+di%)^(1/252))/(1+S4%*D4/360))</f>
        <v>5.3432452813337292</v>
      </c>
    </row>
    <row r="5" spans="1:23" x14ac:dyDescent="0.3">
      <c r="A5" s="98" t="s">
        <v>4</v>
      </c>
      <c r="B5" s="98" t="str">
        <f t="shared" ref="B5:B45" si="3">"01/"&amp;VLOOKUP(LEFT(A5,1),$C$49:$D$60,2,0)&amp;"/20"&amp;RIGHT(A5,2)</f>
        <v>01/11/2025</v>
      </c>
      <c r="C5" s="113">
        <f t="shared" ref="C5:C45" si="4">WORKDAY(B5-1,1,feriados)</f>
        <v>45964</v>
      </c>
      <c r="D5" s="114">
        <f t="shared" si="0"/>
        <v>6</v>
      </c>
      <c r="E5" s="114">
        <f>NETWORKDAYS(data_ref,C5,feriados)-1</f>
        <v>4</v>
      </c>
      <c r="F5" s="115">
        <f>VLOOKUP(A5,'Base de dados'!$G$10:$U$54,12,0)</f>
        <v>99779.74</v>
      </c>
      <c r="G5" s="130">
        <f t="shared" ref="G5:G45" si="5">contrato/F5</f>
        <v>1.002207462156145</v>
      </c>
      <c r="H5" s="117">
        <f t="shared" ref="H5:H45" si="6">((contrato/F5)^(252/E5)-1)*100</f>
        <v>14.902854895949469</v>
      </c>
      <c r="I5" s="115">
        <f>VLOOKUP(A5,'Base de dados'!$AP$10:$BD$54,12,0)</f>
        <v>99536.14</v>
      </c>
      <c r="J5" s="130">
        <f t="shared" ref="J5:J45" si="7">contrato/I5</f>
        <v>1.0046602168820289</v>
      </c>
      <c r="K5" s="117">
        <f t="shared" ref="K5:K45" si="8">((J5-1)*360/D5)*100</f>
        <v>27.961301292173335</v>
      </c>
      <c r="L5" s="115">
        <f t="shared" si="1"/>
        <v>5.3743999999999996</v>
      </c>
      <c r="M5" s="130">
        <f t="shared" si="2"/>
        <v>0.99755862262218753</v>
      </c>
      <c r="N5" s="118">
        <f>M5*L5</f>
        <v>5.3612790614206842</v>
      </c>
      <c r="O5" s="119" t="s">
        <v>694</v>
      </c>
      <c r="P5" s="120" t="s">
        <v>694</v>
      </c>
      <c r="Q5" s="135">
        <f>((1+H5%)^(E5/252))/(N5/DCL)</f>
        <v>1.0017440403072748</v>
      </c>
      <c r="R5" s="116">
        <f>(Q5-1)*360/D5*100</f>
        <v>10.464241843648914</v>
      </c>
      <c r="S5" s="116">
        <f t="shared" ref="S5:S45" si="9">((1+K5/100*D5/360)*(DCL/ptax_ant)-1)*360/D5*100</f>
        <v>10.464241843647581</v>
      </c>
      <c r="T5" s="130">
        <f>G5/Q5</f>
        <v>1.0004626150296119</v>
      </c>
      <c r="U5" s="117">
        <f t="shared" ref="U5:U45" si="10">DCL*T5</f>
        <v>5.3612790614206833</v>
      </c>
    </row>
    <row r="6" spans="1:23" x14ac:dyDescent="0.3">
      <c r="A6" s="98" t="s">
        <v>5</v>
      </c>
      <c r="B6" s="98" t="str">
        <f t="shared" si="3"/>
        <v>01/12/2025</v>
      </c>
      <c r="C6" s="113">
        <f t="shared" si="4"/>
        <v>45992</v>
      </c>
      <c r="D6" s="114">
        <f t="shared" si="0"/>
        <v>34</v>
      </c>
      <c r="E6" s="114">
        <f t="shared" ref="E6:E45" si="11">NETWORKDAYS(data_ref,C6,feriados)-1</f>
        <v>23</v>
      </c>
      <c r="F6" s="115">
        <f>VLOOKUP(A6,'Base de dados'!$G$10:$U$54,12,0)</f>
        <v>98740.1</v>
      </c>
      <c r="G6" s="130">
        <f>contrato/F6</f>
        <v>1.012759760218999</v>
      </c>
      <c r="H6" s="117">
        <f t="shared" si="6"/>
        <v>14.903008451783805</v>
      </c>
      <c r="I6" s="115">
        <f>VLOOKUP(A6,'Base de dados'!$AP$10:$BD$54,12,0)</f>
        <v>99142.87</v>
      </c>
      <c r="J6" s="130">
        <f t="shared" si="7"/>
        <v>1.0086454023370517</v>
      </c>
      <c r="K6" s="117">
        <f t="shared" si="8"/>
        <v>9.1539554157017875</v>
      </c>
      <c r="L6" s="115">
        <f t="shared" si="1"/>
        <v>5.3743999999999996</v>
      </c>
      <c r="M6" s="130">
        <f t="shared" si="2"/>
        <v>1.0040790924862337</v>
      </c>
      <c r="N6" s="118">
        <f t="shared" ref="N6:N45" si="12">M6*L6</f>
        <v>5.3963226746580144</v>
      </c>
      <c r="O6" s="127">
        <f t="shared" ref="O6:O45" si="13">(1+K6%*D6/360)/(1+$K$5%*$D$5/360)</f>
        <v>1.0039666997737711</v>
      </c>
      <c r="P6" s="117">
        <f t="shared" ref="P6:P45" si="14">(O6-1)*360/(D6-$D$5)*100</f>
        <v>5.1000425662770841</v>
      </c>
      <c r="Q6" s="129">
        <f>$Q$5*O6</f>
        <v>1.0057176581653382</v>
      </c>
      <c r="R6" s="116">
        <f t="shared" ref="R6:R45" si="15">(Q6-1)*360/D6*100</f>
        <v>6.05399099859339</v>
      </c>
      <c r="S6" s="116">
        <f t="shared" si="9"/>
        <v>6.0539909985931555</v>
      </c>
      <c r="T6" s="130">
        <f t="shared" ref="T6:T45" si="16">G6/Q6</f>
        <v>1.0070020666302184</v>
      </c>
      <c r="U6" s="117">
        <f t="shared" si="10"/>
        <v>5.3963226746580135</v>
      </c>
    </row>
    <row r="7" spans="1:23" x14ac:dyDescent="0.3">
      <c r="A7" s="98" t="s">
        <v>6</v>
      </c>
      <c r="B7" s="98" t="str">
        <f t="shared" si="3"/>
        <v>01/1/2026</v>
      </c>
      <c r="C7" s="113">
        <f t="shared" si="4"/>
        <v>46024</v>
      </c>
      <c r="D7" s="114">
        <f t="shared" si="0"/>
        <v>66</v>
      </c>
      <c r="E7" s="114">
        <f t="shared" si="11"/>
        <v>45</v>
      </c>
      <c r="F7" s="115">
        <f>VLOOKUP(A7,'Base de dados'!$G$10:$U$54,12,0)</f>
        <v>97551.05</v>
      </c>
      <c r="G7" s="130">
        <f t="shared" si="5"/>
        <v>1.0251042915478614</v>
      </c>
      <c r="H7" s="117">
        <f t="shared" si="6"/>
        <v>14.894989391824565</v>
      </c>
      <c r="I7" s="115">
        <f>VLOOKUP(A7,'Base de dados'!$AP$10:$BD$54,12,0)</f>
        <v>98648.29</v>
      </c>
      <c r="J7" s="130">
        <f t="shared" si="7"/>
        <v>1.0137023155697884</v>
      </c>
      <c r="K7" s="117">
        <f t="shared" si="8"/>
        <v>7.4739903107936749</v>
      </c>
      <c r="L7" s="115">
        <f t="shared" si="1"/>
        <v>5.3743999999999996</v>
      </c>
      <c r="M7" s="130">
        <f t="shared" si="2"/>
        <v>1.0112478543285799</v>
      </c>
      <c r="N7" s="118">
        <f t="shared" si="12"/>
        <v>5.4348504683035195</v>
      </c>
      <c r="O7" s="127">
        <f t="shared" si="13"/>
        <v>1.0090001560087865</v>
      </c>
      <c r="P7" s="117">
        <f t="shared" si="14"/>
        <v>5.4000936052718718</v>
      </c>
      <c r="Q7" s="129">
        <f>$Q$5*O7</f>
        <v>1.0107598929509123</v>
      </c>
      <c r="R7" s="116">
        <f t="shared" si="15"/>
        <v>5.869032518679429</v>
      </c>
      <c r="S7" s="116">
        <f t="shared" si="9"/>
        <v>5.8690325186793073</v>
      </c>
      <c r="T7" s="130">
        <f t="shared" si="16"/>
        <v>1.0141916974515783</v>
      </c>
      <c r="U7" s="117">
        <f t="shared" si="10"/>
        <v>5.4348504683035177</v>
      </c>
    </row>
    <row r="8" spans="1:23" x14ac:dyDescent="0.3">
      <c r="A8" s="98" t="s">
        <v>7</v>
      </c>
      <c r="B8" s="98" t="str">
        <f t="shared" si="3"/>
        <v>01/2/2026</v>
      </c>
      <c r="C8" s="113">
        <f t="shared" si="4"/>
        <v>46055</v>
      </c>
      <c r="D8" s="114">
        <f t="shared" si="0"/>
        <v>97</v>
      </c>
      <c r="E8" s="114">
        <f t="shared" si="11"/>
        <v>66</v>
      </c>
      <c r="F8" s="115">
        <f>VLOOKUP(A8,'Base de dados'!$G$10:$U$54,12,0)</f>
        <v>96431.02</v>
      </c>
      <c r="G8" s="130">
        <f t="shared" si="5"/>
        <v>1.0370107046466996</v>
      </c>
      <c r="H8" s="117">
        <f t="shared" si="6"/>
        <v>14.884986604104311</v>
      </c>
      <c r="I8" s="115">
        <f>VLOOKUP(A8,'Base de dados'!$AP$10:$BD$54,12,0)</f>
        <v>98222.84</v>
      </c>
      <c r="J8" s="130">
        <f t="shared" si="7"/>
        <v>1.0180931441200438</v>
      </c>
      <c r="K8" s="117">
        <f t="shared" si="8"/>
        <v>6.714981322902859</v>
      </c>
      <c r="L8" s="115">
        <f t="shared" si="1"/>
        <v>5.3743999999999996</v>
      </c>
      <c r="M8" s="130">
        <f t="shared" si="2"/>
        <v>1.0185813652080002</v>
      </c>
      <c r="N8" s="118">
        <f t="shared" si="12"/>
        <v>5.4742636891738758</v>
      </c>
      <c r="O8" s="127">
        <f t="shared" si="13"/>
        <v>1.0133706172617287</v>
      </c>
      <c r="P8" s="117">
        <f t="shared" si="14"/>
        <v>5.28947496068389</v>
      </c>
      <c r="Q8" s="129">
        <f>$Q$5*O8</f>
        <v>1.015137976464441</v>
      </c>
      <c r="R8" s="116">
        <f t="shared" si="15"/>
        <v>5.6182180692770869</v>
      </c>
      <c r="S8" s="116">
        <f t="shared" si="9"/>
        <v>5.6182180692770043</v>
      </c>
      <c r="T8" s="130">
        <f t="shared" si="16"/>
        <v>1.0215465569108524</v>
      </c>
      <c r="U8" s="117">
        <f t="shared" si="10"/>
        <v>5.474263689173875</v>
      </c>
    </row>
    <row r="9" spans="1:23" x14ac:dyDescent="0.3">
      <c r="A9" s="98" t="s">
        <v>8</v>
      </c>
      <c r="B9" s="98" t="str">
        <f t="shared" si="3"/>
        <v>01/3/2026</v>
      </c>
      <c r="C9" s="113">
        <f t="shared" si="4"/>
        <v>46083</v>
      </c>
      <c r="D9" s="114">
        <f t="shared" si="0"/>
        <v>125</v>
      </c>
      <c r="E9" s="114">
        <f t="shared" si="11"/>
        <v>84</v>
      </c>
      <c r="F9" s="115">
        <f>VLOOKUP(A9,'Base de dados'!$G$10:$U$54,12,0)</f>
        <v>95487.72</v>
      </c>
      <c r="G9" s="130">
        <f t="shared" si="5"/>
        <v>1.0472550815958324</v>
      </c>
      <c r="H9" s="117">
        <f t="shared" si="6"/>
        <v>14.856989561410995</v>
      </c>
      <c r="I9" s="115">
        <f>VLOOKUP(A9,'Base de dados'!$AP$10:$BD$54,12,0)</f>
        <v>97854.01</v>
      </c>
      <c r="J9" s="130">
        <f t="shared" si="7"/>
        <v>1.0219305269145333</v>
      </c>
      <c r="K9" s="117">
        <f t="shared" si="8"/>
        <v>6.3159917513856021</v>
      </c>
      <c r="L9" s="115">
        <f t="shared" si="1"/>
        <v>5.3743999999999996</v>
      </c>
      <c r="M9" s="130">
        <f t="shared" si="2"/>
        <v>1.0247810922702938</v>
      </c>
      <c r="N9" s="118">
        <f t="shared" si="12"/>
        <v>5.5075835022974662</v>
      </c>
      <c r="O9" s="127">
        <f t="shared" si="13"/>
        <v>1.0171901999723876</v>
      </c>
      <c r="P9" s="117">
        <f t="shared" si="14"/>
        <v>5.2003966303021238</v>
      </c>
      <c r="Q9" s="129">
        <f>$Q$5*O9</f>
        <v>1.0189642206813043</v>
      </c>
      <c r="R9" s="116">
        <f t="shared" si="15"/>
        <v>5.4616955562156448</v>
      </c>
      <c r="S9" s="116">
        <f t="shared" si="9"/>
        <v>5.4616955562155809</v>
      </c>
      <c r="T9" s="130">
        <f t="shared" si="16"/>
        <v>1.0277643319954965</v>
      </c>
      <c r="U9" s="117">
        <f t="shared" si="10"/>
        <v>5.5075835022974662</v>
      </c>
    </row>
    <row r="10" spans="1:23" x14ac:dyDescent="0.3">
      <c r="A10" s="98" t="s">
        <v>9</v>
      </c>
      <c r="B10" s="98" t="str">
        <f t="shared" si="3"/>
        <v>01/4/2026</v>
      </c>
      <c r="C10" s="113">
        <f t="shared" si="4"/>
        <v>46113</v>
      </c>
      <c r="D10" s="114">
        <f t="shared" si="0"/>
        <v>155</v>
      </c>
      <c r="E10" s="114">
        <f t="shared" si="11"/>
        <v>106</v>
      </c>
      <c r="F10" s="115">
        <f>VLOOKUP(A10,'Base de dados'!$G$10:$U$54,12,0)</f>
        <v>94356.54</v>
      </c>
      <c r="G10" s="130">
        <f t="shared" si="5"/>
        <v>1.0598099506404115</v>
      </c>
      <c r="H10" s="117">
        <f t="shared" si="6"/>
        <v>14.809012883117179</v>
      </c>
      <c r="I10" s="115">
        <f>VLOOKUP(A10,'Base de dados'!$AP$10:$BD$54,12,0)</f>
        <v>97470.68</v>
      </c>
      <c r="J10" s="130">
        <f t="shared" si="7"/>
        <v>1.025949547084313</v>
      </c>
      <c r="K10" s="117">
        <f t="shared" si="8"/>
        <v>6.0269915808726884</v>
      </c>
      <c r="L10" s="115">
        <f t="shared" si="1"/>
        <v>5.3743999999999996</v>
      </c>
      <c r="M10" s="130">
        <f t="shared" si="2"/>
        <v>1.0330039655968735</v>
      </c>
      <c r="N10" s="118">
        <f t="shared" si="12"/>
        <v>5.5517765127038361</v>
      </c>
      <c r="O10" s="127">
        <f t="shared" si="13"/>
        <v>1.0211905775152077</v>
      </c>
      <c r="P10" s="117">
        <f t="shared" si="14"/>
        <v>5.1198710774998464</v>
      </c>
      <c r="Q10" s="129">
        <f t="shared" ref="Q10:Q45" si="17">$Q$5*O10</f>
        <v>1.0229715750438035</v>
      </c>
      <c r="R10" s="116">
        <f t="shared" si="15"/>
        <v>5.3353335585608219</v>
      </c>
      <c r="S10" s="116">
        <f t="shared" si="9"/>
        <v>5.3353335585607704</v>
      </c>
      <c r="T10" s="130">
        <f t="shared" si="16"/>
        <v>1.0360111429245045</v>
      </c>
      <c r="U10" s="117">
        <f t="shared" si="10"/>
        <v>5.5517765127038343</v>
      </c>
    </row>
    <row r="11" spans="1:23" x14ac:dyDescent="0.3">
      <c r="A11" s="98" t="s">
        <v>10</v>
      </c>
      <c r="B11" s="98" t="str">
        <f t="shared" si="3"/>
        <v>01/5/2026</v>
      </c>
      <c r="C11" s="113">
        <f t="shared" si="4"/>
        <v>46146</v>
      </c>
      <c r="D11" s="114">
        <f t="shared" si="0"/>
        <v>188</v>
      </c>
      <c r="E11" s="114">
        <f t="shared" si="11"/>
        <v>126</v>
      </c>
      <c r="F11" s="115">
        <f>VLOOKUP(A11,'Base de dados'!$G$10:$U$54,12,0)</f>
        <v>93352.01</v>
      </c>
      <c r="G11" s="130">
        <f t="shared" si="5"/>
        <v>1.0712142138128575</v>
      </c>
      <c r="H11" s="117">
        <f t="shared" si="6"/>
        <v>14.749989187469836</v>
      </c>
      <c r="I11" s="115">
        <f>VLOOKUP(A11,'Base de dados'!$AP$10:$BD$54,12,0)</f>
        <v>97053.27</v>
      </c>
      <c r="J11" s="130">
        <f t="shared" si="7"/>
        <v>1.0303619857424691</v>
      </c>
      <c r="K11" s="117">
        <f t="shared" si="8"/>
        <v>5.8139972698345019</v>
      </c>
      <c r="L11" s="115">
        <f t="shared" si="1"/>
        <v>5.3743999999999996</v>
      </c>
      <c r="M11" s="130">
        <f t="shared" si="2"/>
        <v>1.0396484232101699</v>
      </c>
      <c r="N11" s="118">
        <f t="shared" si="12"/>
        <v>5.5874864857007367</v>
      </c>
      <c r="O11" s="127">
        <f t="shared" si="13"/>
        <v>1.0255825486354042</v>
      </c>
      <c r="P11" s="117">
        <f t="shared" si="14"/>
        <v>5.0602843454645692</v>
      </c>
      <c r="Q11" s="129">
        <f t="shared" si="17"/>
        <v>1.0273712059386619</v>
      </c>
      <c r="R11" s="116">
        <f t="shared" si="15"/>
        <v>5.24129475421186</v>
      </c>
      <c r="S11" s="116">
        <f t="shared" si="9"/>
        <v>5.2412947542118182</v>
      </c>
      <c r="T11" s="130">
        <f t="shared" si="16"/>
        <v>1.0426749432150362</v>
      </c>
      <c r="U11" s="117">
        <f t="shared" si="10"/>
        <v>5.5874864857007358</v>
      </c>
      <c r="W11" s="125"/>
    </row>
    <row r="12" spans="1:23" x14ac:dyDescent="0.3">
      <c r="A12" s="98" t="s">
        <v>11</v>
      </c>
      <c r="B12" s="98" t="str">
        <f t="shared" si="3"/>
        <v>01/6/2026</v>
      </c>
      <c r="C12" s="113">
        <f t="shared" si="4"/>
        <v>46174</v>
      </c>
      <c r="D12" s="114">
        <f t="shared" si="0"/>
        <v>216</v>
      </c>
      <c r="E12" s="114">
        <f t="shared" si="11"/>
        <v>146</v>
      </c>
      <c r="F12" s="115">
        <f>VLOOKUP(A12,'Base de dados'!$G$10:$U$54,12,0)</f>
        <v>92389.98</v>
      </c>
      <c r="G12" s="130">
        <f t="shared" si="5"/>
        <v>1.082368455973256</v>
      </c>
      <c r="H12" s="117">
        <f t="shared" si="6"/>
        <v>14.63900574940633</v>
      </c>
      <c r="I12" s="115">
        <f>VLOOKUP(A12,'Base de dados'!$AP$10:$BD$54,12,0)</f>
        <v>96704.320000000007</v>
      </c>
      <c r="J12" s="130">
        <f t="shared" si="7"/>
        <v>1.0340799666447165</v>
      </c>
      <c r="K12" s="117">
        <f t="shared" si="8"/>
        <v>5.6799944407860767</v>
      </c>
      <c r="L12" s="115">
        <f t="shared" si="1"/>
        <v>5.3743999999999996</v>
      </c>
      <c r="M12" s="130">
        <f t="shared" si="2"/>
        <v>1.0466970552434367</v>
      </c>
      <c r="N12" s="118">
        <f t="shared" si="12"/>
        <v>5.6253686537003258</v>
      </c>
      <c r="O12" s="127">
        <f t="shared" si="13"/>
        <v>1.0292832833114385</v>
      </c>
      <c r="P12" s="117">
        <f t="shared" si="14"/>
        <v>5.0199914248180253</v>
      </c>
      <c r="Q12" s="129">
        <f t="shared" si="17"/>
        <v>1.0310783948451379</v>
      </c>
      <c r="R12" s="116">
        <f t="shared" si="15"/>
        <v>5.1797324741896436</v>
      </c>
      <c r="S12" s="116">
        <f t="shared" si="9"/>
        <v>5.1797324741895689</v>
      </c>
      <c r="T12" s="130">
        <f t="shared" si="16"/>
        <v>1.0497440945174898</v>
      </c>
      <c r="U12" s="117">
        <f t="shared" si="10"/>
        <v>5.625368653700324</v>
      </c>
      <c r="W12" s="126"/>
    </row>
    <row r="13" spans="1:23" x14ac:dyDescent="0.3">
      <c r="A13" s="98" t="s">
        <v>12</v>
      </c>
      <c r="B13" s="98" t="str">
        <f t="shared" si="3"/>
        <v>01/7/2026</v>
      </c>
      <c r="C13" s="113">
        <f t="shared" si="4"/>
        <v>46204</v>
      </c>
      <c r="D13" s="114">
        <f t="shared" si="0"/>
        <v>246</v>
      </c>
      <c r="E13" s="114">
        <f t="shared" si="11"/>
        <v>167</v>
      </c>
      <c r="F13" s="115">
        <f>VLOOKUP(A13,'Base de dados'!$G$10:$U$54,12,0)</f>
        <v>91401.71</v>
      </c>
      <c r="G13" s="130">
        <f t="shared" si="5"/>
        <v>1.0940714347685616</v>
      </c>
      <c r="H13" s="117">
        <f t="shared" si="6"/>
        <v>14.529991477410009</v>
      </c>
      <c r="I13" s="115">
        <f>VLOOKUP(A13,'Base de dados'!$AP$10:$BD$54,12,0)</f>
        <v>96337.83</v>
      </c>
      <c r="J13" s="130">
        <f t="shared" si="7"/>
        <v>1.0380138311190941</v>
      </c>
      <c r="K13" s="117">
        <f t="shared" si="8"/>
        <v>5.5629996759649849</v>
      </c>
      <c r="L13" s="115">
        <f t="shared" si="1"/>
        <v>5.3743999999999996</v>
      </c>
      <c r="M13" s="130">
        <f t="shared" si="2"/>
        <v>1.0540046789058979</v>
      </c>
      <c r="N13" s="118">
        <f t="shared" si="12"/>
        <v>5.6646427463118574</v>
      </c>
      <c r="O13" s="127">
        <f t="shared" si="13"/>
        <v>1.0331989001620652</v>
      </c>
      <c r="P13" s="117">
        <f t="shared" si="14"/>
        <v>4.9798350243097751</v>
      </c>
      <c r="Q13" s="129">
        <f t="shared" si="17"/>
        <v>1.0350008406893798</v>
      </c>
      <c r="R13" s="116">
        <f t="shared" si="15"/>
        <v>5.1220742472263128</v>
      </c>
      <c r="S13" s="116">
        <f t="shared" si="9"/>
        <v>5.1220742472262488</v>
      </c>
      <c r="T13" s="130">
        <f t="shared" si="16"/>
        <v>1.0570729913995403</v>
      </c>
      <c r="U13" s="117">
        <f t="shared" si="10"/>
        <v>5.6646427463118556</v>
      </c>
    </row>
    <row r="14" spans="1:23" x14ac:dyDescent="0.3">
      <c r="A14" s="98" t="s">
        <v>13</v>
      </c>
      <c r="B14" s="98" t="str">
        <f t="shared" si="3"/>
        <v>01/8/2026</v>
      </c>
      <c r="C14" s="113">
        <f t="shared" si="4"/>
        <v>46237</v>
      </c>
      <c r="D14" s="114">
        <f t="shared" si="0"/>
        <v>279</v>
      </c>
      <c r="E14" s="114">
        <f t="shared" si="11"/>
        <v>190</v>
      </c>
      <c r="F14" s="115">
        <f>VLOOKUP(A14,'Base de dados'!$G$10:$U$54,12,0)</f>
        <v>90347.11</v>
      </c>
      <c r="G14" s="130">
        <f t="shared" si="5"/>
        <v>1.1068422664543447</v>
      </c>
      <c r="H14" s="117">
        <f t="shared" si="6"/>
        <v>14.412007629855882</v>
      </c>
      <c r="I14" s="115">
        <f>VLOOKUP(A14,'Base de dados'!$AP$10:$BD$54,12,0)</f>
        <v>95928.16</v>
      </c>
      <c r="J14" s="130">
        <f t="shared" si="7"/>
        <v>1.0424467643286393</v>
      </c>
      <c r="K14" s="117">
        <f t="shared" si="8"/>
        <v>5.4770018488566778</v>
      </c>
      <c r="L14" s="115">
        <f t="shared" si="1"/>
        <v>5.3743999999999996</v>
      </c>
      <c r="M14" s="130">
        <f t="shared" si="2"/>
        <v>1.0617734203119502</v>
      </c>
      <c r="N14" s="118">
        <f t="shared" si="12"/>
        <v>5.7063950701245449</v>
      </c>
      <c r="O14" s="127">
        <f t="shared" si="13"/>
        <v>1.0376112707676246</v>
      </c>
      <c r="P14" s="117">
        <f t="shared" si="14"/>
        <v>4.9597280133131347</v>
      </c>
      <c r="Q14" s="129">
        <f t="shared" si="17"/>
        <v>1.0394209066471261</v>
      </c>
      <c r="R14" s="116">
        <f t="shared" si="15"/>
        <v>5.0865685996291683</v>
      </c>
      <c r="S14" s="116">
        <f t="shared" si="9"/>
        <v>5.0865685996291106</v>
      </c>
      <c r="T14" s="130">
        <f t="shared" si="16"/>
        <v>1.0648643483848141</v>
      </c>
      <c r="U14" s="117">
        <f t="shared" si="10"/>
        <v>5.7063950701245414</v>
      </c>
    </row>
    <row r="15" spans="1:23" x14ac:dyDescent="0.3">
      <c r="A15" s="98" t="s">
        <v>14</v>
      </c>
      <c r="B15" s="98" t="str">
        <f t="shared" si="3"/>
        <v>01/9/2026</v>
      </c>
      <c r="C15" s="113">
        <f t="shared" si="4"/>
        <v>46266</v>
      </c>
      <c r="D15" s="114">
        <f t="shared" si="0"/>
        <v>308</v>
      </c>
      <c r="E15" s="114">
        <f t="shared" si="11"/>
        <v>211</v>
      </c>
      <c r="F15" s="115">
        <f>VLOOKUP(A15,'Base de dados'!$G$10:$U$54,12,0)</f>
        <v>89418.96</v>
      </c>
      <c r="G15" s="130">
        <f t="shared" si="5"/>
        <v>1.1183310564113025</v>
      </c>
      <c r="H15" s="117">
        <f t="shared" si="6"/>
        <v>14.290000073394026</v>
      </c>
      <c r="I15" s="115">
        <f>VLOOKUP(A15,'Base de dados'!$AP$10:$BD$54,12,0)</f>
        <v>95591.05</v>
      </c>
      <c r="J15" s="130">
        <f t="shared" si="7"/>
        <v>1.0461230418538137</v>
      </c>
      <c r="K15" s="117">
        <f t="shared" si="8"/>
        <v>5.3910048920041937</v>
      </c>
      <c r="L15" s="115">
        <f t="shared" si="1"/>
        <v>5.3743999999999996</v>
      </c>
      <c r="M15" s="130">
        <f t="shared" si="2"/>
        <v>1.0690243992996564</v>
      </c>
      <c r="N15" s="118">
        <f t="shared" si="12"/>
        <v>5.745364731596073</v>
      </c>
      <c r="O15" s="127">
        <f t="shared" si="13"/>
        <v>1.0412704955118706</v>
      </c>
      <c r="P15" s="117">
        <f t="shared" si="14"/>
        <v>4.9196617166468215</v>
      </c>
      <c r="Q15" s="129">
        <f t="shared" si="17"/>
        <v>1.0430865132268192</v>
      </c>
      <c r="R15" s="116">
        <f t="shared" si="15"/>
        <v>5.0360859615762728</v>
      </c>
      <c r="S15" s="116">
        <f t="shared" si="9"/>
        <v>5.036085961576247</v>
      </c>
      <c r="T15" s="130">
        <f t="shared" si="16"/>
        <v>1.0721364356938257</v>
      </c>
      <c r="U15" s="117">
        <f t="shared" si="10"/>
        <v>5.7453647315960721</v>
      </c>
    </row>
    <row r="16" spans="1:23" x14ac:dyDescent="0.3">
      <c r="A16" s="98" t="s">
        <v>15</v>
      </c>
      <c r="B16" s="98" t="str">
        <f t="shared" si="3"/>
        <v>01/10/2026</v>
      </c>
      <c r="C16" s="113">
        <f t="shared" si="4"/>
        <v>46296</v>
      </c>
      <c r="D16" s="114">
        <f t="shared" si="0"/>
        <v>338</v>
      </c>
      <c r="E16" s="114">
        <f t="shared" si="11"/>
        <v>232</v>
      </c>
      <c r="F16" s="115">
        <f>VLOOKUP(A16,'Base de dados'!$G$10:$U$54,12,0)</f>
        <v>88514.74</v>
      </c>
      <c r="G16" s="130">
        <f t="shared" si="5"/>
        <v>1.1297553379245082</v>
      </c>
      <c r="H16" s="117">
        <f t="shared" si="6"/>
        <v>14.170005728436008</v>
      </c>
      <c r="I16" s="115">
        <f>VLOOKUP(A16,'Base de dados'!$AP$10:$BD$54,12,0)</f>
        <v>95232.51</v>
      </c>
      <c r="J16" s="130">
        <f t="shared" si="7"/>
        <v>1.0500615808614098</v>
      </c>
      <c r="K16" s="117">
        <f t="shared" si="8"/>
        <v>5.3320026952980824</v>
      </c>
      <c r="L16" s="115">
        <f t="shared" si="1"/>
        <v>5.3743999999999996</v>
      </c>
      <c r="M16" s="130">
        <f t="shared" si="2"/>
        <v>1.075894365164491</v>
      </c>
      <c r="N16" s="118">
        <f t="shared" si="12"/>
        <v>5.78228667614004</v>
      </c>
      <c r="O16" s="127">
        <f t="shared" si="13"/>
        <v>1.0451907652124262</v>
      </c>
      <c r="P16" s="117">
        <f t="shared" si="14"/>
        <v>4.9002034567691011</v>
      </c>
      <c r="Q16" s="129">
        <f t="shared" si="17"/>
        <v>1.047013620035748</v>
      </c>
      <c r="R16" s="116">
        <f t="shared" si="15"/>
        <v>5.0073678144583713</v>
      </c>
      <c r="S16" s="116">
        <f t="shared" si="9"/>
        <v>5.0073678144583251</v>
      </c>
      <c r="T16" s="130">
        <f t="shared" si="16"/>
        <v>1.0790264007128534</v>
      </c>
      <c r="U16" s="117">
        <f t="shared" si="10"/>
        <v>5.7822866761400382</v>
      </c>
    </row>
    <row r="17" spans="1:21" x14ac:dyDescent="0.3">
      <c r="A17" s="98" t="s">
        <v>16</v>
      </c>
      <c r="B17" s="98" t="str">
        <f t="shared" si="3"/>
        <v>01/11/2026</v>
      </c>
      <c r="C17" s="113">
        <f t="shared" si="4"/>
        <v>46329</v>
      </c>
      <c r="D17" s="114">
        <f t="shared" si="0"/>
        <v>371</v>
      </c>
      <c r="E17" s="114">
        <f t="shared" si="11"/>
        <v>253</v>
      </c>
      <c r="F17" s="115">
        <f>VLOOKUP(A17,'Base de dados'!$G$10:$U$54,12,0)</f>
        <v>87634.34</v>
      </c>
      <c r="G17" s="130">
        <f t="shared" si="5"/>
        <v>1.1411051877608709</v>
      </c>
      <c r="H17" s="117">
        <f t="shared" si="6"/>
        <v>14.050999618759242</v>
      </c>
      <c r="I17" s="115">
        <f>VLOOKUP(A17,'Base de dados'!$AP$10:$BD$54,12,0)</f>
        <v>94852.45</v>
      </c>
      <c r="J17" s="130">
        <f t="shared" si="7"/>
        <v>1.0542690252070452</v>
      </c>
      <c r="K17" s="117">
        <f t="shared" si="8"/>
        <v>5.2659970551310744</v>
      </c>
      <c r="L17" s="115">
        <f t="shared" si="1"/>
        <v>5.3743999999999996</v>
      </c>
      <c r="M17" s="130">
        <f t="shared" si="2"/>
        <v>1.0823662276682862</v>
      </c>
      <c r="N17" s="118">
        <f t="shared" si="12"/>
        <v>5.8170690539804371</v>
      </c>
      <c r="O17" s="127">
        <f t="shared" si="13"/>
        <v>1.0493786929067199</v>
      </c>
      <c r="P17" s="117">
        <f t="shared" si="14"/>
        <v>4.8702272455942941</v>
      </c>
      <c r="Q17" s="129">
        <f t="shared" si="17"/>
        <v>1.0512088516447446</v>
      </c>
      <c r="R17" s="116">
        <f t="shared" si="15"/>
        <v>4.969052989786543</v>
      </c>
      <c r="S17" s="116">
        <f t="shared" si="9"/>
        <v>4.9690529897864986</v>
      </c>
      <c r="T17" s="130">
        <f t="shared" si="16"/>
        <v>1.0855171034523468</v>
      </c>
      <c r="U17" s="117">
        <f t="shared" si="10"/>
        <v>5.8170690539804353</v>
      </c>
    </row>
    <row r="18" spans="1:21" x14ac:dyDescent="0.3">
      <c r="A18" s="98" t="s">
        <v>17</v>
      </c>
      <c r="B18" s="98" t="str">
        <f t="shared" si="3"/>
        <v>01/12/2026</v>
      </c>
      <c r="C18" s="113">
        <f t="shared" si="4"/>
        <v>46357</v>
      </c>
      <c r="D18" s="114">
        <f t="shared" si="0"/>
        <v>399</v>
      </c>
      <c r="E18" s="114">
        <f t="shared" si="11"/>
        <v>272</v>
      </c>
      <c r="F18" s="115">
        <f>VLOOKUP(A18,'Base de dados'!$G$10:$U$54,12,0)</f>
        <v>86852.12</v>
      </c>
      <c r="G18" s="130">
        <f t="shared" si="5"/>
        <v>1.1513823727043164</v>
      </c>
      <c r="H18" s="117">
        <f t="shared" si="6"/>
        <v>13.950998965572703</v>
      </c>
      <c r="I18" s="115">
        <f>VLOOKUP(A18,'Base de dados'!$AP$10:$BD$54,12,0)</f>
        <v>94521.01</v>
      </c>
      <c r="J18" s="130">
        <f t="shared" si="7"/>
        <v>1.0579658427263949</v>
      </c>
      <c r="K18" s="117">
        <f t="shared" si="8"/>
        <v>5.2300008474942796</v>
      </c>
      <c r="L18" s="115">
        <f t="shared" si="1"/>
        <v>5.3743999999999996</v>
      </c>
      <c r="M18" s="130">
        <f t="shared" si="2"/>
        <v>1.0882982476420842</v>
      </c>
      <c r="N18" s="118">
        <f t="shared" si="12"/>
        <v>5.8489501021276169</v>
      </c>
      <c r="O18" s="127">
        <f t="shared" si="13"/>
        <v>1.0530583623683243</v>
      </c>
      <c r="P18" s="117">
        <f t="shared" si="14"/>
        <v>4.8603080032052786</v>
      </c>
      <c r="Q18" s="129">
        <f t="shared" si="17"/>
        <v>1.0548949385982074</v>
      </c>
      <c r="R18" s="116">
        <f t="shared" si="15"/>
        <v>4.9529267908157033</v>
      </c>
      <c r="S18" s="116">
        <f t="shared" si="9"/>
        <v>4.9529267908156829</v>
      </c>
      <c r="T18" s="130">
        <f t="shared" si="16"/>
        <v>1.091466392126524</v>
      </c>
      <c r="U18" s="117">
        <f t="shared" si="10"/>
        <v>5.848950102127616</v>
      </c>
    </row>
    <row r="19" spans="1:21" x14ac:dyDescent="0.3">
      <c r="A19" s="98" t="s">
        <v>18</v>
      </c>
      <c r="B19" s="98" t="str">
        <f t="shared" si="3"/>
        <v>01/1/2027</v>
      </c>
      <c r="C19" s="113">
        <f t="shared" si="4"/>
        <v>46391</v>
      </c>
      <c r="D19" s="114">
        <f t="shared" si="0"/>
        <v>433</v>
      </c>
      <c r="E19" s="114">
        <f t="shared" si="11"/>
        <v>294</v>
      </c>
      <c r="F19" s="115">
        <f>VLOOKUP(A19,'Base de dados'!$G$10:$U$54,12,0)</f>
        <v>85966.95</v>
      </c>
      <c r="G19" s="130">
        <f t="shared" si="5"/>
        <v>1.1632377326402763</v>
      </c>
      <c r="H19" s="117">
        <f t="shared" si="6"/>
        <v>13.838003279927303</v>
      </c>
      <c r="I19" s="115">
        <f>VLOOKUP(A19,'Base de dados'!$AP$10:$BD$54,12,0)</f>
        <v>94111.58</v>
      </c>
      <c r="J19" s="130">
        <f t="shared" si="7"/>
        <v>1.0625684958216619</v>
      </c>
      <c r="K19" s="117">
        <f t="shared" si="8"/>
        <v>5.2019996526093033</v>
      </c>
      <c r="L19" s="115">
        <f t="shared" si="1"/>
        <v>5.3743999999999996</v>
      </c>
      <c r="M19" s="130">
        <f t="shared" si="2"/>
        <v>1.0947414093439398</v>
      </c>
      <c r="N19" s="118">
        <f t="shared" si="12"/>
        <v>5.8835782303780695</v>
      </c>
      <c r="O19" s="127">
        <f t="shared" si="13"/>
        <v>1.0576396655969436</v>
      </c>
      <c r="P19" s="117">
        <f t="shared" si="14"/>
        <v>4.8595502611006278</v>
      </c>
      <c r="Q19" s="129">
        <f t="shared" si="17"/>
        <v>1.0594842318043174</v>
      </c>
      <c r="R19" s="116">
        <f t="shared" si="15"/>
        <v>4.9455712354628778</v>
      </c>
      <c r="S19" s="116">
        <f t="shared" si="9"/>
        <v>4.9455712354628405</v>
      </c>
      <c r="T19" s="130">
        <f t="shared" si="16"/>
        <v>1.0979283105131874</v>
      </c>
      <c r="U19" s="117">
        <f t="shared" si="10"/>
        <v>5.8835782303780686</v>
      </c>
    </row>
    <row r="20" spans="1:21" x14ac:dyDescent="0.3">
      <c r="A20" s="98" t="s">
        <v>19</v>
      </c>
      <c r="B20" s="98" t="str">
        <f t="shared" si="3"/>
        <v>01/4/2027</v>
      </c>
      <c r="C20" s="113">
        <f t="shared" si="4"/>
        <v>46478</v>
      </c>
      <c r="D20" s="114">
        <f t="shared" si="0"/>
        <v>520</v>
      </c>
      <c r="E20" s="114">
        <f t="shared" si="11"/>
        <v>354</v>
      </c>
      <c r="F20" s="115">
        <f>VLOOKUP(A20,'Base de dados'!$G$10:$U$54,12,0)</f>
        <v>83590.759999999995</v>
      </c>
      <c r="G20" s="130">
        <f t="shared" si="5"/>
        <v>1.1963044719296727</v>
      </c>
      <c r="H20" s="117">
        <f t="shared" si="6"/>
        <v>13.609004469744136</v>
      </c>
      <c r="I20" s="115">
        <f>VLOOKUP(A20,'Base de dados'!$AP$10:$BD$54,12,0)</f>
        <v>93165.1</v>
      </c>
      <c r="J20" s="130">
        <f t="shared" si="7"/>
        <v>1.0733633087926702</v>
      </c>
      <c r="K20" s="117">
        <f t="shared" si="8"/>
        <v>5.078998301031012</v>
      </c>
      <c r="L20" s="115">
        <f t="shared" si="1"/>
        <v>5.3743999999999996</v>
      </c>
      <c r="M20" s="130">
        <f t="shared" si="2"/>
        <v>1.1145382575777516</v>
      </c>
      <c r="N20" s="118">
        <f t="shared" si="12"/>
        <v>5.9899744115258677</v>
      </c>
      <c r="O20" s="127">
        <f t="shared" si="13"/>
        <v>1.0683844057485046</v>
      </c>
      <c r="P20" s="117">
        <f t="shared" si="14"/>
        <v>4.7895692742143279</v>
      </c>
      <c r="Q20" s="129">
        <f t="shared" si="17"/>
        <v>1.0702477112157938</v>
      </c>
      <c r="R20" s="116">
        <f t="shared" si="15"/>
        <v>4.8633030841703375</v>
      </c>
      <c r="S20" s="116">
        <f t="shared" si="9"/>
        <v>4.8633030841703224</v>
      </c>
      <c r="T20" s="130">
        <f t="shared" si="16"/>
        <v>1.117782789341992</v>
      </c>
      <c r="U20" s="117">
        <f t="shared" si="10"/>
        <v>5.9899744115258668</v>
      </c>
    </row>
    <row r="21" spans="1:21" x14ac:dyDescent="0.3">
      <c r="A21" s="98" t="s">
        <v>20</v>
      </c>
      <c r="B21" s="98" t="str">
        <f t="shared" si="3"/>
        <v>01/7/2027</v>
      </c>
      <c r="C21" s="113">
        <f t="shared" si="4"/>
        <v>46569</v>
      </c>
      <c r="D21" s="114">
        <f t="shared" si="0"/>
        <v>611</v>
      </c>
      <c r="E21" s="114">
        <f t="shared" si="11"/>
        <v>417</v>
      </c>
      <c r="F21" s="115">
        <f>VLOOKUP(A21,'Base de dados'!$G$10:$U$54,12,0)</f>
        <v>81213.53</v>
      </c>
      <c r="G21" s="130">
        <f t="shared" si="5"/>
        <v>1.231321923822299</v>
      </c>
      <c r="H21" s="117">
        <f t="shared" si="6"/>
        <v>13.400001580815623</v>
      </c>
      <c r="I21" s="115">
        <f>VLOOKUP(A21,'Base de dados'!$AP$10:$BD$54,12,0)</f>
        <v>92206.55</v>
      </c>
      <c r="J21" s="130">
        <f t="shared" si="7"/>
        <v>1.0845216527459274</v>
      </c>
      <c r="K21" s="117">
        <f t="shared" si="8"/>
        <v>4.9799991797927747</v>
      </c>
      <c r="L21" s="115">
        <f t="shared" si="1"/>
        <v>5.3743999999999996</v>
      </c>
      <c r="M21" s="130">
        <f t="shared" si="2"/>
        <v>1.1353594653501702</v>
      </c>
      <c r="N21" s="118">
        <f t="shared" si="12"/>
        <v>6.1018759105779541</v>
      </c>
      <c r="O21" s="127">
        <f t="shared" si="13"/>
        <v>1.0794909906075003</v>
      </c>
      <c r="P21" s="117">
        <f t="shared" si="14"/>
        <v>4.7300424163140686</v>
      </c>
      <c r="Q21" s="129">
        <f t="shared" si="17"/>
        <v>1.0813736664064597</v>
      </c>
      <c r="R21" s="116">
        <f t="shared" si="15"/>
        <v>4.7945204429337966</v>
      </c>
      <c r="S21" s="116">
        <f t="shared" si="9"/>
        <v>4.7945204429337833</v>
      </c>
      <c r="T21" s="130">
        <f t="shared" si="16"/>
        <v>1.1386646097219439</v>
      </c>
      <c r="U21" s="117">
        <f t="shared" si="10"/>
        <v>6.1018759105779523</v>
      </c>
    </row>
    <row r="22" spans="1:21" x14ac:dyDescent="0.3">
      <c r="A22" s="98" t="s">
        <v>21</v>
      </c>
      <c r="B22" s="98" t="str">
        <f t="shared" si="3"/>
        <v>01/8/2027</v>
      </c>
      <c r="C22" s="113">
        <f t="shared" si="4"/>
        <v>46601</v>
      </c>
      <c r="D22" s="114">
        <f t="shared" si="0"/>
        <v>643</v>
      </c>
      <c r="E22" s="114">
        <f t="shared" si="11"/>
        <v>439</v>
      </c>
      <c r="F22" s="115">
        <f>VLOOKUP(A22,'Base de dados'!$G$10:$U$54,12,0)</f>
        <v>80397.210000000006</v>
      </c>
      <c r="G22" s="130">
        <f t="shared" si="5"/>
        <v>1.243824257085538</v>
      </c>
      <c r="H22" s="117">
        <f t="shared" si="6"/>
        <v>13.342999256579713</v>
      </c>
      <c r="I22" s="115">
        <f>VLOOKUP(A22,'Base de dados'!$AP$10:$BD$54,12,0)</f>
        <v>91833.23</v>
      </c>
      <c r="J22" s="130">
        <f t="shared" si="7"/>
        <v>1.0889304448945116</v>
      </c>
      <c r="K22" s="117">
        <f t="shared" si="8"/>
        <v>4.9789984699882099</v>
      </c>
      <c r="L22" s="115">
        <f t="shared" si="1"/>
        <v>5.3743999999999996</v>
      </c>
      <c r="M22" s="130">
        <f t="shared" si="2"/>
        <v>1.1422439908051534</v>
      </c>
      <c r="N22" s="118">
        <f t="shared" si="12"/>
        <v>6.1388761041832156</v>
      </c>
      <c r="O22" s="127">
        <f t="shared" si="13"/>
        <v>1.0838793321328239</v>
      </c>
      <c r="P22" s="117">
        <f t="shared" si="14"/>
        <v>4.7404332131580258</v>
      </c>
      <c r="Q22" s="129">
        <f t="shared" si="17"/>
        <v>1.0857696613762857</v>
      </c>
      <c r="R22" s="116">
        <f t="shared" si="15"/>
        <v>4.8020339184234615</v>
      </c>
      <c r="S22" s="116">
        <f t="shared" si="9"/>
        <v>4.8020339184234491</v>
      </c>
      <c r="T22" s="130">
        <f t="shared" si="16"/>
        <v>1.145569176715536</v>
      </c>
      <c r="U22" s="117">
        <f t="shared" si="10"/>
        <v>6.1388761041832138</v>
      </c>
    </row>
    <row r="23" spans="1:21" x14ac:dyDescent="0.3">
      <c r="A23" s="98" t="s">
        <v>22</v>
      </c>
      <c r="B23" s="98" t="str">
        <f t="shared" si="3"/>
        <v>01/10/2027</v>
      </c>
      <c r="C23" s="113">
        <f t="shared" si="4"/>
        <v>46661</v>
      </c>
      <c r="D23" s="114">
        <f t="shared" si="0"/>
        <v>703</v>
      </c>
      <c r="E23" s="114">
        <f t="shared" si="11"/>
        <v>482</v>
      </c>
      <c r="F23" s="115">
        <f>VLOOKUP(A23,'Base de dados'!$G$10:$U$54,12,0)</f>
        <v>78815.539999999994</v>
      </c>
      <c r="G23" s="130">
        <f t="shared" si="5"/>
        <v>1.2687853182253146</v>
      </c>
      <c r="H23" s="117">
        <f t="shared" si="6"/>
        <v>13.254000787972121</v>
      </c>
      <c r="I23" s="115">
        <f>VLOOKUP(A23,'Base de dados'!$AP$10:$BD$54,12,0)</f>
        <v>91169.52</v>
      </c>
      <c r="J23" s="130">
        <f t="shared" si="7"/>
        <v>1.0968578094959807</v>
      </c>
      <c r="K23" s="117">
        <f t="shared" si="8"/>
        <v>4.9600016242607454</v>
      </c>
      <c r="L23" s="115">
        <f t="shared" si="1"/>
        <v>5.3743999999999996</v>
      </c>
      <c r="M23" s="130">
        <f t="shared" si="2"/>
        <v>1.1567454844564919</v>
      </c>
      <c r="N23" s="118">
        <f t="shared" si="12"/>
        <v>6.2168129316629699</v>
      </c>
      <c r="O23" s="127">
        <f t="shared" si="13"/>
        <v>1.0917699248608528</v>
      </c>
      <c r="P23" s="117">
        <f t="shared" si="14"/>
        <v>4.7399100358546633</v>
      </c>
      <c r="Q23" s="129">
        <f t="shared" si="17"/>
        <v>1.0936740156160805</v>
      </c>
      <c r="R23" s="116">
        <f t="shared" si="15"/>
        <v>4.7969623928576057</v>
      </c>
      <c r="S23" s="116">
        <f t="shared" si="9"/>
        <v>4.7969623928575826</v>
      </c>
      <c r="T23" s="130">
        <f t="shared" si="16"/>
        <v>1.1601128856577905</v>
      </c>
      <c r="U23" s="117">
        <f t="shared" si="10"/>
        <v>6.2168129316629672</v>
      </c>
    </row>
    <row r="24" spans="1:21" x14ac:dyDescent="0.3">
      <c r="A24" s="98" t="s">
        <v>23</v>
      </c>
      <c r="B24" s="98" t="str">
        <f t="shared" si="3"/>
        <v>01/1/2028</v>
      </c>
      <c r="C24" s="113">
        <f t="shared" si="4"/>
        <v>46755</v>
      </c>
      <c r="D24" s="114">
        <f t="shared" si="0"/>
        <v>797</v>
      </c>
      <c r="E24" s="114">
        <f t="shared" si="11"/>
        <v>545</v>
      </c>
      <c r="F24" s="115">
        <f>VLOOKUP(A24,'Base de dados'!$G$10:$U$54,12,0)</f>
        <v>76583.59</v>
      </c>
      <c r="G24" s="130">
        <f t="shared" si="5"/>
        <v>1.3057627619702863</v>
      </c>
      <c r="H24" s="117">
        <f t="shared" si="6"/>
        <v>13.128998359772858</v>
      </c>
      <c r="I24" s="115">
        <f>VLOOKUP(A24,'Base de dados'!$AP$10:$BD$54,12,0)</f>
        <v>90146.96</v>
      </c>
      <c r="J24" s="130">
        <f t="shared" si="7"/>
        <v>1.1092997478783533</v>
      </c>
      <c r="K24" s="117">
        <f t="shared" si="8"/>
        <v>4.9370024135768107</v>
      </c>
      <c r="L24" s="115">
        <f t="shared" si="1"/>
        <v>5.3743999999999996</v>
      </c>
      <c r="M24" s="130">
        <f t="shared" si="2"/>
        <v>1.1771054347282492</v>
      </c>
      <c r="N24" s="118">
        <f t="shared" si="12"/>
        <v>6.3262354484035024</v>
      </c>
      <c r="O24" s="127">
        <f t="shared" si="13"/>
        <v>1.1041541500678449</v>
      </c>
      <c r="P24" s="117">
        <f t="shared" si="14"/>
        <v>4.74026473127992</v>
      </c>
      <c r="Q24" s="129">
        <f t="shared" si="17"/>
        <v>1.1060798394110081</v>
      </c>
      <c r="R24" s="116">
        <f t="shared" si="15"/>
        <v>4.7915611277243286</v>
      </c>
      <c r="S24" s="116">
        <f t="shared" si="9"/>
        <v>4.7915611277243091</v>
      </c>
      <c r="T24" s="130">
        <f t="shared" si="16"/>
        <v>1.1805321057706017</v>
      </c>
      <c r="U24" s="117">
        <f t="shared" si="10"/>
        <v>6.3262354484034997</v>
      </c>
    </row>
    <row r="25" spans="1:21" x14ac:dyDescent="0.3">
      <c r="A25" s="98" t="s">
        <v>24</v>
      </c>
      <c r="B25" s="98" t="str">
        <f t="shared" si="3"/>
        <v>01/4/2028</v>
      </c>
      <c r="C25" s="113">
        <f t="shared" si="4"/>
        <v>46846</v>
      </c>
      <c r="D25" s="114">
        <f t="shared" si="0"/>
        <v>888</v>
      </c>
      <c r="E25" s="114">
        <f t="shared" si="11"/>
        <v>608</v>
      </c>
      <c r="F25" s="115">
        <f>VLOOKUP(A25,'Base de dados'!$G$10:$U$54,12,0)</f>
        <v>74351.350000000006</v>
      </c>
      <c r="G25" s="130">
        <f t="shared" si="5"/>
        <v>1.3449654915479006</v>
      </c>
      <c r="H25" s="117">
        <f t="shared" si="6"/>
        <v>13.069997103956265</v>
      </c>
      <c r="I25" s="115">
        <f>VLOOKUP(A25,'Base de dados'!$AP$10:$BD$54,12,0)</f>
        <v>89159.78</v>
      </c>
      <c r="J25" s="130">
        <f t="shared" si="7"/>
        <v>1.1215819509648857</v>
      </c>
      <c r="K25" s="117">
        <f t="shared" si="8"/>
        <v>4.9289980120899592</v>
      </c>
      <c r="L25" s="115">
        <f t="shared" si="1"/>
        <v>5.3743999999999996</v>
      </c>
      <c r="M25" s="130">
        <f t="shared" si="2"/>
        <v>1.1991682733400268</v>
      </c>
      <c r="N25" s="118">
        <f t="shared" si="12"/>
        <v>6.4448099682386397</v>
      </c>
      <c r="O25" s="127">
        <f t="shared" si="13"/>
        <v>1.1163793809271401</v>
      </c>
      <c r="P25" s="117">
        <f t="shared" si="14"/>
        <v>4.7501788133526555</v>
      </c>
      <c r="Q25" s="129">
        <f t="shared" si="17"/>
        <v>1.1183263915656876</v>
      </c>
      <c r="R25" s="116">
        <f t="shared" si="15"/>
        <v>4.7970158742846314</v>
      </c>
      <c r="S25" s="116">
        <f t="shared" si="9"/>
        <v>4.7970158742846136</v>
      </c>
      <c r="T25" s="130">
        <f t="shared" si="16"/>
        <v>1.2026591715008281</v>
      </c>
      <c r="U25" s="117">
        <f t="shared" si="10"/>
        <v>6.4448099682386371</v>
      </c>
    </row>
    <row r="26" spans="1:21" x14ac:dyDescent="0.3">
      <c r="A26" s="98" t="s">
        <v>25</v>
      </c>
      <c r="B26" s="98" t="str">
        <f t="shared" si="3"/>
        <v>01/7/2028</v>
      </c>
      <c r="C26" s="113">
        <f t="shared" si="4"/>
        <v>46937</v>
      </c>
      <c r="D26" s="114">
        <f t="shared" si="0"/>
        <v>979</v>
      </c>
      <c r="E26" s="114">
        <f t="shared" si="11"/>
        <v>669</v>
      </c>
      <c r="F26" s="115">
        <f>VLOOKUP(A26,'Base de dados'!$G$10:$U$54,12,0)</f>
        <v>72201.919999999998</v>
      </c>
      <c r="G26" s="130">
        <f t="shared" si="5"/>
        <v>1.3850047200960862</v>
      </c>
      <c r="H26" s="117">
        <f t="shared" si="6"/>
        <v>13.052998735169563</v>
      </c>
      <c r="I26" s="115">
        <f>VLOOKUP(A26,'Base de dados'!$AP$10:$BD$54,12,0)</f>
        <v>88317.86</v>
      </c>
      <c r="J26" s="130">
        <f t="shared" si="7"/>
        <v>1.1322738118881051</v>
      </c>
      <c r="K26" s="117">
        <f t="shared" si="8"/>
        <v>4.864001254312341</v>
      </c>
      <c r="L26" s="115">
        <f t="shared" si="1"/>
        <v>5.3743999999999996</v>
      </c>
      <c r="M26" s="130">
        <f t="shared" si="2"/>
        <v>1.2232065296878534</v>
      </c>
      <c r="N26" s="118">
        <f t="shared" si="12"/>
        <v>6.5740011731543984</v>
      </c>
      <c r="O26" s="127">
        <f t="shared" si="13"/>
        <v>1.1270216465842811</v>
      </c>
      <c r="P26" s="117">
        <f t="shared" si="14"/>
        <v>4.6996703772190322</v>
      </c>
      <c r="Q26" s="129">
        <f t="shared" si="17"/>
        <v>1.1289872177630953</v>
      </c>
      <c r="R26" s="116">
        <f t="shared" si="15"/>
        <v>4.7431459034437493</v>
      </c>
      <c r="S26" s="116">
        <f t="shared" si="9"/>
        <v>4.7431459034437333</v>
      </c>
      <c r="T26" s="130">
        <f t="shared" si="16"/>
        <v>1.2267674056046871</v>
      </c>
      <c r="U26" s="117">
        <f t="shared" si="10"/>
        <v>6.5740011731543966</v>
      </c>
    </row>
    <row r="27" spans="1:21" x14ac:dyDescent="0.3">
      <c r="A27" s="98" t="s">
        <v>26</v>
      </c>
      <c r="B27" s="98" t="str">
        <f t="shared" si="3"/>
        <v>01/10/2028</v>
      </c>
      <c r="C27" s="113">
        <f t="shared" si="4"/>
        <v>47028</v>
      </c>
      <c r="D27" s="114">
        <f t="shared" si="0"/>
        <v>1070</v>
      </c>
      <c r="E27" s="114">
        <f t="shared" si="11"/>
        <v>733</v>
      </c>
      <c r="F27" s="115">
        <f>VLOOKUP(A27,'Base de dados'!$G$10:$U$54,12,0)</f>
        <v>69941.899999999994</v>
      </c>
      <c r="G27" s="130">
        <f t="shared" si="5"/>
        <v>1.4297581278175173</v>
      </c>
      <c r="H27" s="117">
        <f t="shared" si="6"/>
        <v>13.078002757994089</v>
      </c>
      <c r="I27" s="115">
        <f>VLOOKUP(A27,'Base de dados'!$AP$10:$BD$54,12,0)</f>
        <v>87305.66</v>
      </c>
      <c r="J27" s="130">
        <f t="shared" si="7"/>
        <v>1.1454011114514224</v>
      </c>
      <c r="K27" s="117">
        <f t="shared" si="8"/>
        <v>4.892000011449726</v>
      </c>
      <c r="L27" s="115">
        <f t="shared" si="1"/>
        <v>5.3743999999999996</v>
      </c>
      <c r="M27" s="130">
        <f t="shared" si="2"/>
        <v>1.2482597698947271</v>
      </c>
      <c r="N27" s="118">
        <f t="shared" si="12"/>
        <v>6.708647307322221</v>
      </c>
      <c r="O27" s="127">
        <f t="shared" si="13"/>
        <v>1.140088053855844</v>
      </c>
      <c r="P27" s="117">
        <f t="shared" si="14"/>
        <v>4.7398213710623907</v>
      </c>
      <c r="Q27" s="129">
        <f t="shared" si="17"/>
        <v>1.1420764133756112</v>
      </c>
      <c r="R27" s="116">
        <f t="shared" si="15"/>
        <v>4.7801410107682258</v>
      </c>
      <c r="S27" s="116">
        <f t="shared" si="9"/>
        <v>4.7801410107682107</v>
      </c>
      <c r="T27" s="130">
        <f t="shared" si="16"/>
        <v>1.2518935782865976</v>
      </c>
      <c r="U27" s="117">
        <f t="shared" si="10"/>
        <v>6.7086473073222193</v>
      </c>
    </row>
    <row r="28" spans="1:21" x14ac:dyDescent="0.3">
      <c r="A28" s="98" t="s">
        <v>27</v>
      </c>
      <c r="B28" s="98" t="str">
        <f t="shared" si="3"/>
        <v>01/1/2029</v>
      </c>
      <c r="C28" s="113">
        <f t="shared" si="4"/>
        <v>47120</v>
      </c>
      <c r="D28" s="114">
        <f t="shared" si="0"/>
        <v>1162</v>
      </c>
      <c r="E28" s="114">
        <f t="shared" si="11"/>
        <v>793</v>
      </c>
      <c r="F28" s="115">
        <f>VLOOKUP(A28,'Base de dados'!$G$10:$U$54,12,0)</f>
        <v>67928.58</v>
      </c>
      <c r="G28" s="130">
        <f t="shared" si="5"/>
        <v>1.4721344094047011</v>
      </c>
      <c r="H28" s="117">
        <f t="shared" si="6"/>
        <v>13.076001392282087</v>
      </c>
      <c r="I28" s="115">
        <f>VLOOKUP(A28,'Base de dados'!$AP$10:$BD$54,12,0)</f>
        <v>86266.84</v>
      </c>
      <c r="J28" s="130">
        <f t="shared" si="7"/>
        <v>1.1591939614340807</v>
      </c>
      <c r="K28" s="117">
        <f t="shared" si="8"/>
        <v>4.9319988051866659</v>
      </c>
      <c r="L28" s="115">
        <f t="shared" si="1"/>
        <v>5.3743999999999996</v>
      </c>
      <c r="M28" s="130">
        <f t="shared" si="2"/>
        <v>1.2699638355460983</v>
      </c>
      <c r="N28" s="118">
        <f t="shared" si="12"/>
        <v>6.8252936377589499</v>
      </c>
      <c r="O28" s="127">
        <f t="shared" si="13"/>
        <v>1.1538169243245726</v>
      </c>
      <c r="P28" s="117">
        <f t="shared" si="14"/>
        <v>4.7901464322531266</v>
      </c>
      <c r="Q28" s="129">
        <f t="shared" si="17"/>
        <v>1.1558292275478106</v>
      </c>
      <c r="R28" s="116">
        <f t="shared" si="15"/>
        <v>4.8277557587961972</v>
      </c>
      <c r="S28" s="116">
        <f t="shared" si="9"/>
        <v>4.8277557587961839</v>
      </c>
      <c r="T28" s="130">
        <f t="shared" si="16"/>
        <v>1.2736608266326321</v>
      </c>
      <c r="U28" s="117">
        <f t="shared" si="10"/>
        <v>6.8252936377589482</v>
      </c>
    </row>
    <row r="29" spans="1:21" x14ac:dyDescent="0.3">
      <c r="A29" s="98" t="s">
        <v>28</v>
      </c>
      <c r="B29" s="98" t="str">
        <f t="shared" si="3"/>
        <v>01/4/2029</v>
      </c>
      <c r="C29" s="113">
        <f t="shared" si="4"/>
        <v>47210</v>
      </c>
      <c r="D29" s="114">
        <f t="shared" si="0"/>
        <v>1252</v>
      </c>
      <c r="E29" s="114">
        <f t="shared" si="11"/>
        <v>854</v>
      </c>
      <c r="F29" s="115">
        <f>VLOOKUP(A29,'Base de dados'!$G$10:$U$54,12,0)</f>
        <v>65872.490000000005</v>
      </c>
      <c r="G29" s="130">
        <f t="shared" si="5"/>
        <v>1.5180844082256491</v>
      </c>
      <c r="H29" s="117">
        <f t="shared" si="6"/>
        <v>13.108998402182026</v>
      </c>
      <c r="I29" s="115">
        <f>VLOOKUP(A29,'Base de dados'!$AP$10:$BD$54,12,0)</f>
        <v>85305.72</v>
      </c>
      <c r="J29" s="130">
        <f t="shared" si="7"/>
        <v>1.1722543341759497</v>
      </c>
      <c r="K29" s="117">
        <f t="shared" si="8"/>
        <v>4.9530000242285857</v>
      </c>
      <c r="L29" s="115">
        <f t="shared" si="1"/>
        <v>5.3743999999999996</v>
      </c>
      <c r="M29" s="130">
        <f t="shared" si="2"/>
        <v>1.2950128346446292</v>
      </c>
      <c r="N29" s="118">
        <f t="shared" si="12"/>
        <v>6.9599169785140953</v>
      </c>
      <c r="O29" s="127">
        <f t="shared" si="13"/>
        <v>1.1668167152214413</v>
      </c>
      <c r="P29" s="117">
        <f t="shared" si="14"/>
        <v>4.8197445810368258</v>
      </c>
      <c r="Q29" s="129">
        <f t="shared" si="17"/>
        <v>1.1688516906039894</v>
      </c>
      <c r="R29" s="116">
        <f t="shared" si="15"/>
        <v>4.8551604327025712</v>
      </c>
      <c r="S29" s="116">
        <f t="shared" si="9"/>
        <v>4.855160432702565</v>
      </c>
      <c r="T29" s="130">
        <f t="shared" si="16"/>
        <v>1.2987827458599115</v>
      </c>
      <c r="U29" s="117">
        <f t="shared" si="10"/>
        <v>6.9599169785140935</v>
      </c>
    </row>
    <row r="30" spans="1:21" x14ac:dyDescent="0.3">
      <c r="A30" s="98" t="s">
        <v>29</v>
      </c>
      <c r="B30" s="98" t="str">
        <f t="shared" si="3"/>
        <v>01/7/2029</v>
      </c>
      <c r="C30" s="113">
        <f t="shared" si="4"/>
        <v>47301</v>
      </c>
      <c r="D30" s="114">
        <f t="shared" si="0"/>
        <v>1343</v>
      </c>
      <c r="E30" s="114">
        <f t="shared" si="11"/>
        <v>917</v>
      </c>
      <c r="F30" s="115">
        <f>VLOOKUP(A30,'Base de dados'!$G$10:$U$54,12,0)</f>
        <v>63761.94</v>
      </c>
      <c r="G30" s="130">
        <f t="shared" si="5"/>
        <v>1.5683337113017577</v>
      </c>
      <c r="H30" s="117">
        <f t="shared" si="6"/>
        <v>13.163998415081025</v>
      </c>
      <c r="I30" s="115">
        <f>VLOOKUP(A30,'Base de dados'!$AP$10:$BD$54,12,0)</f>
        <v>84369.72</v>
      </c>
      <c r="J30" s="130">
        <f t="shared" si="7"/>
        <v>1.185259356081779</v>
      </c>
      <c r="K30" s="117">
        <f t="shared" si="8"/>
        <v>4.9659991205838017</v>
      </c>
      <c r="L30" s="115">
        <f t="shared" si="1"/>
        <v>5.3743999999999996</v>
      </c>
      <c r="M30" s="130">
        <f t="shared" si="2"/>
        <v>1.3231987608909015</v>
      </c>
      <c r="N30" s="118">
        <f t="shared" si="12"/>
        <v>7.1113994205320603</v>
      </c>
      <c r="O30" s="127">
        <f t="shared" si="13"/>
        <v>1.1797614120326583</v>
      </c>
      <c r="P30" s="117">
        <f t="shared" si="14"/>
        <v>4.8402474444096466</v>
      </c>
      <c r="Q30" s="129">
        <f t="shared" si="17"/>
        <v>1.1818189634882106</v>
      </c>
      <c r="R30" s="116">
        <f t="shared" si="15"/>
        <v>4.8737771299892634</v>
      </c>
      <c r="S30" s="116">
        <f t="shared" si="9"/>
        <v>4.8737771299892518</v>
      </c>
      <c r="T30" s="130">
        <f t="shared" si="16"/>
        <v>1.3270507241419831</v>
      </c>
      <c r="U30" s="117">
        <f t="shared" si="10"/>
        <v>7.1113994205320585</v>
      </c>
    </row>
    <row r="31" spans="1:21" x14ac:dyDescent="0.3">
      <c r="A31" s="98" t="s">
        <v>30</v>
      </c>
      <c r="B31" s="98" t="str">
        <f t="shared" si="3"/>
        <v>01/10/2029</v>
      </c>
      <c r="C31" s="113">
        <f t="shared" si="4"/>
        <v>47392</v>
      </c>
      <c r="D31" s="114">
        <f t="shared" si="0"/>
        <v>1434</v>
      </c>
      <c r="E31" s="114">
        <f t="shared" si="11"/>
        <v>981</v>
      </c>
      <c r="F31" s="115">
        <f>VLOOKUP(A31,'Base de dados'!$G$10:$U$54,12,0)</f>
        <v>61733.08</v>
      </c>
      <c r="G31" s="130">
        <f t="shared" si="5"/>
        <v>1.6198770578108204</v>
      </c>
      <c r="H31" s="117">
        <f t="shared" si="6"/>
        <v>13.191001866724438</v>
      </c>
      <c r="I31" s="115">
        <f>VLOOKUP(A31,'Base de dados'!$AP$10:$BD$54,12,0)</f>
        <v>83421.73</v>
      </c>
      <c r="J31" s="130">
        <f t="shared" si="7"/>
        <v>1.1987284368233553</v>
      </c>
      <c r="K31" s="117">
        <f t="shared" si="8"/>
        <v>4.9889984139754464</v>
      </c>
      <c r="L31" s="115">
        <f t="shared" si="1"/>
        <v>5.3743999999999996</v>
      </c>
      <c r="M31" s="130">
        <f t="shared" si="2"/>
        <v>1.3513294654988866</v>
      </c>
      <c r="N31" s="118">
        <f t="shared" si="12"/>
        <v>7.2625850793772155</v>
      </c>
      <c r="O31" s="127">
        <f t="shared" si="13"/>
        <v>1.1931680150963067</v>
      </c>
      <c r="P31" s="117">
        <f t="shared" si="14"/>
        <v>4.8697818931842018</v>
      </c>
      <c r="Q31" s="129">
        <f t="shared" si="17"/>
        <v>1.1952489482079858</v>
      </c>
      <c r="R31" s="116">
        <f t="shared" si="15"/>
        <v>4.9016472353469229</v>
      </c>
      <c r="S31" s="116">
        <f t="shared" si="9"/>
        <v>4.9016472353469132</v>
      </c>
      <c r="T31" s="130">
        <f t="shared" si="16"/>
        <v>1.3552633200300837</v>
      </c>
      <c r="U31" s="117">
        <f t="shared" si="10"/>
        <v>7.262585079377212</v>
      </c>
    </row>
    <row r="32" spans="1:21" x14ac:dyDescent="0.3">
      <c r="A32" s="98" t="s">
        <v>31</v>
      </c>
      <c r="B32" s="98" t="str">
        <f t="shared" si="3"/>
        <v>01/1/2030</v>
      </c>
      <c r="C32" s="113">
        <f t="shared" si="4"/>
        <v>47485</v>
      </c>
      <c r="D32" s="114">
        <f t="shared" si="0"/>
        <v>1527</v>
      </c>
      <c r="E32" s="114">
        <f t="shared" si="11"/>
        <v>1042</v>
      </c>
      <c r="F32" s="115">
        <f>VLOOKUP(A32,'Base de dados'!$G$10:$U$54,12,0)</f>
        <v>59823.72</v>
      </c>
      <c r="G32" s="130">
        <f t="shared" si="5"/>
        <v>1.67157776213181</v>
      </c>
      <c r="H32" s="117">
        <f t="shared" si="6"/>
        <v>13.230002192913259</v>
      </c>
      <c r="I32" s="115">
        <f>VLOOKUP(A32,'Base de dados'!$AP$10:$BD$54,12,0)</f>
        <v>82407.41</v>
      </c>
      <c r="J32" s="130">
        <f t="shared" si="7"/>
        <v>1.2134831078904191</v>
      </c>
      <c r="K32" s="117">
        <f t="shared" si="8"/>
        <v>5.033000578948978</v>
      </c>
      <c r="L32" s="115">
        <f t="shared" si="1"/>
        <v>5.3743999999999996</v>
      </c>
      <c r="M32" s="130">
        <f t="shared" si="2"/>
        <v>1.3775039399087854</v>
      </c>
      <c r="N32" s="118">
        <f t="shared" si="12"/>
        <v>7.403257174645776</v>
      </c>
      <c r="O32" s="127">
        <f t="shared" si="13"/>
        <v>1.2078542451461587</v>
      </c>
      <c r="P32" s="117">
        <f t="shared" si="14"/>
        <v>4.9196271040510933</v>
      </c>
      <c r="Q32" s="129">
        <f t="shared" si="17"/>
        <v>1.2099607916350066</v>
      </c>
      <c r="R32" s="116">
        <f t="shared" si="15"/>
        <v>4.9499597242044775</v>
      </c>
      <c r="S32" s="116">
        <f t="shared" si="9"/>
        <v>4.9499597242044722</v>
      </c>
      <c r="T32" s="130">
        <f t="shared" si="16"/>
        <v>1.3815139909393472</v>
      </c>
      <c r="U32" s="117">
        <f t="shared" si="10"/>
        <v>7.4032571746457734</v>
      </c>
    </row>
    <row r="33" spans="1:21" x14ac:dyDescent="0.3">
      <c r="A33" s="98" t="s">
        <v>32</v>
      </c>
      <c r="B33" s="98" t="str">
        <f t="shared" si="3"/>
        <v>01/4/2030</v>
      </c>
      <c r="C33" s="113">
        <f t="shared" si="4"/>
        <v>47574</v>
      </c>
      <c r="D33" s="114">
        <f t="shared" si="0"/>
        <v>1616</v>
      </c>
      <c r="E33" s="114">
        <f t="shared" si="11"/>
        <v>1103</v>
      </c>
      <c r="F33" s="115">
        <f>VLOOKUP(A33,'Base de dados'!$G$10:$U$54,12,0)</f>
        <v>57992.91</v>
      </c>
      <c r="G33" s="130">
        <f t="shared" si="5"/>
        <v>1.7243487178001586</v>
      </c>
      <c r="H33" s="117">
        <f t="shared" si="6"/>
        <v>13.25600004477112</v>
      </c>
      <c r="I33" s="115">
        <f>VLOOKUP(A33,'Base de dados'!$AP$10:$BD$54,12,0)</f>
        <v>81436.820000000007</v>
      </c>
      <c r="J33" s="130">
        <f t="shared" si="7"/>
        <v>1.2279457866846961</v>
      </c>
      <c r="K33" s="117">
        <f t="shared" si="8"/>
        <v>5.0780001984214476</v>
      </c>
      <c r="L33" s="115">
        <f t="shared" si="1"/>
        <v>5.3743999999999996</v>
      </c>
      <c r="M33" s="130">
        <f t="shared" si="2"/>
        <v>1.4042547614872232</v>
      </c>
      <c r="N33" s="118">
        <f t="shared" si="12"/>
        <v>7.5470267901369317</v>
      </c>
      <c r="O33" s="127">
        <f t="shared" si="13"/>
        <v>1.2222498373585806</v>
      </c>
      <c r="P33" s="117">
        <f t="shared" si="14"/>
        <v>4.9695615806887599</v>
      </c>
      <c r="Q33" s="129">
        <f t="shared" si="17"/>
        <v>1.2243814903404941</v>
      </c>
      <c r="R33" s="116">
        <f t="shared" si="15"/>
        <v>4.9985975570902159</v>
      </c>
      <c r="S33" s="116">
        <f t="shared" si="9"/>
        <v>4.998597557090207</v>
      </c>
      <c r="T33" s="130">
        <f t="shared" si="16"/>
        <v>1.4083426868211035</v>
      </c>
      <c r="U33" s="117">
        <f t="shared" si="10"/>
        <v>7.547026790136929</v>
      </c>
    </row>
    <row r="34" spans="1:21" x14ac:dyDescent="0.3">
      <c r="A34" s="98" t="s">
        <v>33</v>
      </c>
      <c r="B34" s="98" t="str">
        <f t="shared" si="3"/>
        <v>01/7/2030</v>
      </c>
      <c r="C34" s="113">
        <f t="shared" si="4"/>
        <v>47665</v>
      </c>
      <c r="D34" s="114">
        <f t="shared" si="0"/>
        <v>1707</v>
      </c>
      <c r="E34" s="114">
        <f t="shared" si="11"/>
        <v>1165</v>
      </c>
      <c r="F34" s="115">
        <f>VLOOKUP(A34,'Base de dados'!$G$10:$U$54,12,0)</f>
        <v>56147.41</v>
      </c>
      <c r="G34" s="130">
        <f t="shared" si="5"/>
        <v>1.7810260526709958</v>
      </c>
      <c r="H34" s="117">
        <f t="shared" si="6"/>
        <v>13.29799886345584</v>
      </c>
      <c r="I34" s="115">
        <f>VLOOKUP(A34,'Base de dados'!$AP$10:$BD$54,12,0)</f>
        <v>80452.92</v>
      </c>
      <c r="J34" s="130">
        <f t="shared" si="7"/>
        <v>1.242962965172675</v>
      </c>
      <c r="K34" s="117">
        <f t="shared" si="8"/>
        <v>5.1239992655045699</v>
      </c>
      <c r="L34" s="115">
        <f t="shared" si="1"/>
        <v>5.3743999999999996</v>
      </c>
      <c r="M34" s="130">
        <f t="shared" si="2"/>
        <v>1.432887465334554</v>
      </c>
      <c r="N34" s="118">
        <f t="shared" si="12"/>
        <v>7.7009103936940262</v>
      </c>
      <c r="O34" s="127">
        <f t="shared" si="13"/>
        <v>1.2371973571624251</v>
      </c>
      <c r="P34" s="117">
        <f t="shared" si="14"/>
        <v>5.0200498870354515</v>
      </c>
      <c r="Q34" s="129">
        <f t="shared" si="17"/>
        <v>1.2393550792213701</v>
      </c>
      <c r="R34" s="116">
        <f t="shared" si="15"/>
        <v>5.0479102823487549</v>
      </c>
      <c r="S34" s="116">
        <f t="shared" si="9"/>
        <v>5.0479102823487496</v>
      </c>
      <c r="T34" s="130">
        <f t="shared" si="16"/>
        <v>1.4370587433182851</v>
      </c>
      <c r="U34" s="117">
        <f t="shared" si="10"/>
        <v>7.7009103936940253</v>
      </c>
    </row>
    <row r="35" spans="1:21" x14ac:dyDescent="0.3">
      <c r="A35" s="98" t="s">
        <v>34</v>
      </c>
      <c r="B35" s="98" t="str">
        <f t="shared" si="3"/>
        <v>01/10/2030</v>
      </c>
      <c r="C35" s="113">
        <f t="shared" si="4"/>
        <v>47757</v>
      </c>
      <c r="D35" s="114">
        <f t="shared" si="0"/>
        <v>1799</v>
      </c>
      <c r="E35" s="114">
        <f t="shared" si="11"/>
        <v>1231</v>
      </c>
      <c r="F35" s="115">
        <f>VLOOKUP(A35,'Base de dados'!$G$10:$U$54,12,0)</f>
        <v>54280.25</v>
      </c>
      <c r="G35" s="130">
        <f t="shared" si="5"/>
        <v>1.842290704261679</v>
      </c>
      <c r="H35" s="117">
        <f t="shared" si="6"/>
        <v>13.324000688629113</v>
      </c>
      <c r="I35" s="115">
        <f>VLOOKUP(A35,'Base de dados'!$AP$10:$BD$54,12,0)</f>
        <v>79468.740000000005</v>
      </c>
      <c r="J35" s="130">
        <f t="shared" si="7"/>
        <v>1.2583564304656145</v>
      </c>
      <c r="K35" s="117">
        <f t="shared" si="8"/>
        <v>5.1700008319967337</v>
      </c>
      <c r="L35" s="115">
        <f t="shared" si="1"/>
        <v>5.3743999999999996</v>
      </c>
      <c r="M35" s="130">
        <f t="shared" si="2"/>
        <v>1.4640452098138825</v>
      </c>
      <c r="N35" s="118">
        <f t="shared" si="12"/>
        <v>7.8683645756237297</v>
      </c>
      <c r="O35" s="127">
        <f t="shared" si="13"/>
        <v>1.2525194183272568</v>
      </c>
      <c r="P35" s="117">
        <f t="shared" si="14"/>
        <v>5.0701054432689592</v>
      </c>
      <c r="Q35" s="129">
        <f t="shared" si="17"/>
        <v>1.2547038626784639</v>
      </c>
      <c r="R35" s="116">
        <f t="shared" si="15"/>
        <v>5.0969088696079492</v>
      </c>
      <c r="S35" s="116">
        <f t="shared" si="9"/>
        <v>5.0969088696079448</v>
      </c>
      <c r="T35" s="130">
        <f t="shared" si="16"/>
        <v>1.4683071910919849</v>
      </c>
      <c r="U35" s="117">
        <f t="shared" si="10"/>
        <v>7.8683645756237279</v>
      </c>
    </row>
    <row r="36" spans="1:21" x14ac:dyDescent="0.3">
      <c r="A36" s="98" t="s">
        <v>35</v>
      </c>
      <c r="B36" s="98" t="str">
        <f t="shared" si="3"/>
        <v>01/1/2031</v>
      </c>
      <c r="C36" s="113">
        <f t="shared" si="4"/>
        <v>47850</v>
      </c>
      <c r="D36" s="114">
        <f t="shared" si="0"/>
        <v>1892</v>
      </c>
      <c r="E36" s="114">
        <f t="shared" si="11"/>
        <v>1294</v>
      </c>
      <c r="F36" s="115">
        <f>VLOOKUP(A36,'Base de dados'!$G$10:$U$54,12,0)</f>
        <v>52518.67</v>
      </c>
      <c r="G36" s="130">
        <f t="shared" si="5"/>
        <v>1.9040847759472965</v>
      </c>
      <c r="H36" s="117">
        <f t="shared" si="6"/>
        <v>13.361999700735062</v>
      </c>
      <c r="I36" s="115">
        <f>VLOOKUP(A36,'Base de dados'!$AP$10:$BD$54,12,0)</f>
        <v>78420.25</v>
      </c>
      <c r="J36" s="130">
        <f t="shared" si="7"/>
        <v>1.2751808365823878</v>
      </c>
      <c r="K36" s="117">
        <f t="shared" si="8"/>
        <v>5.23599900473888</v>
      </c>
      <c r="L36" s="115">
        <f t="shared" si="1"/>
        <v>5.3743999999999996</v>
      </c>
      <c r="M36" s="130">
        <f t="shared" si="2"/>
        <v>1.4931880415098098</v>
      </c>
      <c r="N36" s="118">
        <f t="shared" si="12"/>
        <v>8.0249898102903217</v>
      </c>
      <c r="O36" s="127">
        <f t="shared" si="13"/>
        <v>1.2692657827538167</v>
      </c>
      <c r="P36" s="117">
        <f t="shared" si="14"/>
        <v>5.1397498298713691</v>
      </c>
      <c r="Q36" s="129">
        <f t="shared" si="17"/>
        <v>1.271479433439584</v>
      </c>
      <c r="R36" s="116">
        <f t="shared" si="15"/>
        <v>5.1655706151295053</v>
      </c>
      <c r="S36" s="116">
        <f t="shared" si="9"/>
        <v>5.1655706151295018</v>
      </c>
      <c r="T36" s="130">
        <f t="shared" si="16"/>
        <v>1.4975348604706877</v>
      </c>
      <c r="U36" s="117">
        <f t="shared" si="10"/>
        <v>8.0249898102903217</v>
      </c>
    </row>
    <row r="37" spans="1:21" x14ac:dyDescent="0.3">
      <c r="A37" s="98" t="s">
        <v>36</v>
      </c>
      <c r="B37" s="98" t="str">
        <f t="shared" si="3"/>
        <v>01/1/2032</v>
      </c>
      <c r="C37" s="113">
        <f t="shared" si="4"/>
        <v>48215</v>
      </c>
      <c r="D37" s="114">
        <f t="shared" si="0"/>
        <v>2257</v>
      </c>
      <c r="E37" s="114">
        <f t="shared" si="11"/>
        <v>1546</v>
      </c>
      <c r="F37" s="115">
        <f>VLOOKUP(A37,'Base de dados'!$G$10:$U$54,12,0)</f>
        <v>46048.47</v>
      </c>
      <c r="G37" s="130">
        <f t="shared" si="5"/>
        <v>2.1716248118558554</v>
      </c>
      <c r="H37" s="117">
        <f t="shared" si="6"/>
        <v>13.473998198226301</v>
      </c>
      <c r="I37" s="115">
        <f>VLOOKUP(A37,'Base de dados'!$AP$10:$BD$54,12,0)</f>
        <v>74411.460000000006</v>
      </c>
      <c r="J37" s="130">
        <f t="shared" si="7"/>
        <v>1.3438790207852391</v>
      </c>
      <c r="K37" s="117">
        <f t="shared" si="8"/>
        <v>5.4849998884663753</v>
      </c>
      <c r="L37" s="115">
        <f t="shared" si="1"/>
        <v>5.3743999999999996</v>
      </c>
      <c r="M37" s="130">
        <f t="shared" si="2"/>
        <v>1.6159377282241953</v>
      </c>
      <c r="N37" s="118">
        <f t="shared" si="12"/>
        <v>8.6846957265681155</v>
      </c>
      <c r="O37" s="127">
        <f t="shared" si="13"/>
        <v>1.3376453035594249</v>
      </c>
      <c r="P37" s="117">
        <f t="shared" si="14"/>
        <v>5.3999248903328727</v>
      </c>
      <c r="Q37" s="129">
        <f t="shared" si="17"/>
        <v>1.3399782108856695</v>
      </c>
      <c r="R37" s="116">
        <f t="shared" si="15"/>
        <v>5.4227805014993802</v>
      </c>
      <c r="S37" s="116">
        <f t="shared" si="9"/>
        <v>5.4227805014993731</v>
      </c>
      <c r="T37" s="130">
        <f t="shared" si="16"/>
        <v>1.6206418837366783</v>
      </c>
      <c r="U37" s="117">
        <f t="shared" si="10"/>
        <v>8.6846957265681102</v>
      </c>
    </row>
    <row r="38" spans="1:21" x14ac:dyDescent="0.3">
      <c r="A38" s="98" t="s">
        <v>37</v>
      </c>
      <c r="B38" s="98" t="str">
        <f t="shared" si="3"/>
        <v>01/1/2033</v>
      </c>
      <c r="C38" s="113">
        <f t="shared" si="4"/>
        <v>48582</v>
      </c>
      <c r="D38" s="114">
        <f t="shared" si="0"/>
        <v>2624</v>
      </c>
      <c r="E38" s="114">
        <f t="shared" si="11"/>
        <v>1798</v>
      </c>
      <c r="F38" s="115">
        <f>VLOOKUP(A38,'Base de dados'!$G$10:$U$54,12,0)</f>
        <v>40478.71</v>
      </c>
      <c r="G38" s="130">
        <f t="shared" si="5"/>
        <v>2.4704344580150899</v>
      </c>
      <c r="H38" s="117">
        <f t="shared" si="6"/>
        <v>13.51400144560877</v>
      </c>
      <c r="I38" s="115">
        <f>VLOOKUP(A38,'Base de dados'!$AP$10:$BD$54,12,0)</f>
        <v>70441.320000000007</v>
      </c>
      <c r="J38" s="130">
        <f t="shared" si="7"/>
        <v>1.4196213245294096</v>
      </c>
      <c r="K38" s="117">
        <f t="shared" si="8"/>
        <v>5.7569998792144608</v>
      </c>
      <c r="L38" s="115">
        <f t="shared" si="1"/>
        <v>5.3743999999999996</v>
      </c>
      <c r="M38" s="130">
        <f t="shared" si="2"/>
        <v>1.7402066419606752</v>
      </c>
      <c r="N38" s="118">
        <f t="shared" si="12"/>
        <v>9.3525665765534516</v>
      </c>
      <c r="O38" s="127">
        <f t="shared" si="13"/>
        <v>1.4130362690534477</v>
      </c>
      <c r="P38" s="117">
        <f t="shared" si="14"/>
        <v>5.6796431191459575</v>
      </c>
      <c r="Q38" s="129">
        <f t="shared" si="17"/>
        <v>1.4155006612623182</v>
      </c>
      <c r="R38" s="116">
        <f t="shared" si="15"/>
        <v>5.700466389269609</v>
      </c>
      <c r="S38" s="116">
        <f t="shared" si="9"/>
        <v>5.7004663892696001</v>
      </c>
      <c r="T38" s="130">
        <f t="shared" si="16"/>
        <v>1.7452725566457881</v>
      </c>
      <c r="U38" s="117">
        <f t="shared" si="10"/>
        <v>9.352566576553448</v>
      </c>
    </row>
    <row r="39" spans="1:21" x14ac:dyDescent="0.3">
      <c r="A39" s="98" t="s">
        <v>38</v>
      </c>
      <c r="B39" s="98" t="str">
        <f t="shared" si="3"/>
        <v>01/1/2034</v>
      </c>
      <c r="C39" s="113">
        <f t="shared" si="4"/>
        <v>48946</v>
      </c>
      <c r="D39" s="114">
        <f t="shared" si="0"/>
        <v>2988</v>
      </c>
      <c r="E39" s="114">
        <f t="shared" si="11"/>
        <v>2049</v>
      </c>
      <c r="F39" s="115">
        <f>VLOOKUP(A39,'Base de dados'!$G$10:$U$54,12,0)</f>
        <v>35652.06</v>
      </c>
      <c r="G39" s="130">
        <f t="shared" si="5"/>
        <v>2.8048870107365467</v>
      </c>
      <c r="H39" s="117">
        <f t="shared" si="6"/>
        <v>13.524000887959797</v>
      </c>
      <c r="I39" s="115">
        <f>VLOOKUP(A39,'Base de dados'!$AP$10:$BD$54,12,0)</f>
        <v>66785.279999999999</v>
      </c>
      <c r="J39" s="130">
        <f t="shared" si="7"/>
        <v>1.4973359398957375</v>
      </c>
      <c r="K39" s="117">
        <f t="shared" si="8"/>
        <v>5.99199927585226</v>
      </c>
      <c r="L39" s="115">
        <f t="shared" si="1"/>
        <v>5.3743999999999996</v>
      </c>
      <c r="M39" s="130">
        <f t="shared" si="2"/>
        <v>1.8732516438040328</v>
      </c>
      <c r="N39" s="118">
        <f t="shared" si="12"/>
        <v>10.067603634460394</v>
      </c>
      <c r="O39" s="127">
        <f t="shared" si="13"/>
        <v>1.4903903974049373</v>
      </c>
      <c r="P39" s="117">
        <f t="shared" si="14"/>
        <v>5.9202060048885796</v>
      </c>
      <c r="Q39" s="129">
        <f t="shared" si="17"/>
        <v>1.4929896983315869</v>
      </c>
      <c r="R39" s="116">
        <f t="shared" si="15"/>
        <v>5.9396349196576734</v>
      </c>
      <c r="S39" s="116">
        <f t="shared" si="9"/>
        <v>5.9396349196576681</v>
      </c>
      <c r="T39" s="130">
        <f t="shared" si="16"/>
        <v>1.8787048657274745</v>
      </c>
      <c r="U39" s="117">
        <f t="shared" si="10"/>
        <v>10.06760363446039</v>
      </c>
    </row>
    <row r="40" spans="1:21" x14ac:dyDescent="0.3">
      <c r="A40" s="98" t="s">
        <v>39</v>
      </c>
      <c r="B40" s="98" t="str">
        <f t="shared" si="3"/>
        <v>01/1/2035</v>
      </c>
      <c r="C40" s="113">
        <f t="shared" si="4"/>
        <v>49311</v>
      </c>
      <c r="D40" s="114">
        <f t="shared" si="0"/>
        <v>3353</v>
      </c>
      <c r="E40" s="114">
        <f t="shared" si="11"/>
        <v>2297</v>
      </c>
      <c r="F40" s="115">
        <f>VLOOKUP(A40,'Base de dados'!$G$10:$U$54,12,0)</f>
        <v>31437.86</v>
      </c>
      <c r="G40" s="130">
        <f t="shared" si="5"/>
        <v>3.1808780877578817</v>
      </c>
      <c r="H40" s="117">
        <f t="shared" si="6"/>
        <v>13.535999443802904</v>
      </c>
      <c r="I40" s="115">
        <f>VLOOKUP(A40,'Base de dados'!$AP$10:$BD$54,12,0)</f>
        <v>63102.39</v>
      </c>
      <c r="J40" s="130">
        <f t="shared" si="7"/>
        <v>1.5847260301868122</v>
      </c>
      <c r="K40" s="117">
        <f t="shared" si="8"/>
        <v>6.2780009205861145</v>
      </c>
      <c r="L40" s="115">
        <f t="shared" si="1"/>
        <v>5.3743999999999996</v>
      </c>
      <c r="M40" s="130">
        <f t="shared" si="2"/>
        <v>2.0072100963615207</v>
      </c>
      <c r="N40" s="118">
        <f t="shared" si="12"/>
        <v>10.787549941885356</v>
      </c>
      <c r="O40" s="127">
        <f t="shared" si="13"/>
        <v>1.577375120023188</v>
      </c>
      <c r="P40" s="117">
        <f t="shared" si="14"/>
        <v>6.2101895192216219</v>
      </c>
      <c r="Q40" s="129">
        <f t="shared" si="17"/>
        <v>1.580126125812201</v>
      </c>
      <c r="R40" s="116">
        <f t="shared" si="15"/>
        <v>6.2286133400653849</v>
      </c>
      <c r="S40" s="116">
        <f t="shared" si="9"/>
        <v>6.2286133400653805</v>
      </c>
      <c r="T40" s="130">
        <f t="shared" si="16"/>
        <v>2.013053284669208</v>
      </c>
      <c r="U40" s="117">
        <f t="shared" si="10"/>
        <v>10.78754994188535</v>
      </c>
    </row>
    <row r="41" spans="1:21" x14ac:dyDescent="0.3">
      <c r="A41" s="98" t="s">
        <v>40</v>
      </c>
      <c r="B41" s="98" t="str">
        <f t="shared" si="3"/>
        <v>01/1/2036</v>
      </c>
      <c r="C41" s="113">
        <f t="shared" si="4"/>
        <v>49676</v>
      </c>
      <c r="D41" s="114">
        <f t="shared" si="0"/>
        <v>3718</v>
      </c>
      <c r="E41" s="114">
        <f t="shared" si="11"/>
        <v>2546</v>
      </c>
      <c r="F41" s="115">
        <f>VLOOKUP(A41,'Base de dados'!$G$10:$U$54,12,0)</f>
        <v>27823.119999999999</v>
      </c>
      <c r="G41" s="130">
        <f t="shared" si="5"/>
        <v>3.5941332244550575</v>
      </c>
      <c r="H41" s="117">
        <f t="shared" si="6"/>
        <v>13.499000994793352</v>
      </c>
      <c r="I41" s="115">
        <f>VLOOKUP(A41,'Base de dados'!$AP$10:$BD$54,12,0)</f>
        <v>59630.8</v>
      </c>
      <c r="J41" s="130">
        <f t="shared" si="7"/>
        <v>1.6769857187896187</v>
      </c>
      <c r="K41" s="117">
        <f t="shared" si="8"/>
        <v>6.5549988909161572</v>
      </c>
      <c r="L41" s="115">
        <f t="shared" si="1"/>
        <v>5.3743999999999996</v>
      </c>
      <c r="M41" s="130">
        <f t="shared" si="2"/>
        <v>2.1432103948083467</v>
      </c>
      <c r="N41" s="118">
        <f t="shared" si="12"/>
        <v>11.518469945857978</v>
      </c>
      <c r="O41" s="127">
        <f t="shared" si="13"/>
        <v>1.6692068528344413</v>
      </c>
      <c r="P41" s="117">
        <f t="shared" si="14"/>
        <v>6.4901526675754013</v>
      </c>
      <c r="Q41" s="129">
        <f t="shared" si="17"/>
        <v>1.6721180168669638</v>
      </c>
      <c r="R41" s="116">
        <f t="shared" si="15"/>
        <v>6.507866758260004</v>
      </c>
      <c r="S41" s="116">
        <f t="shared" si="9"/>
        <v>6.5078667582600005</v>
      </c>
      <c r="T41" s="130">
        <f t="shared" si="16"/>
        <v>2.1494494935168276</v>
      </c>
      <c r="U41" s="117">
        <f t="shared" si="10"/>
        <v>11.518469945857975</v>
      </c>
    </row>
    <row r="42" spans="1:21" x14ac:dyDescent="0.3">
      <c r="A42" s="98" t="s">
        <v>41</v>
      </c>
      <c r="B42" s="98" t="str">
        <f t="shared" si="3"/>
        <v>01/1/2037</v>
      </c>
      <c r="C42" s="113">
        <f t="shared" si="4"/>
        <v>50042</v>
      </c>
      <c r="D42" s="114">
        <f t="shared" si="0"/>
        <v>4084</v>
      </c>
      <c r="E42" s="114">
        <f t="shared" si="11"/>
        <v>2799</v>
      </c>
      <c r="F42" s="115">
        <f>VLOOKUP(A42,'Base de dados'!$G$10:$U$54,12,0)</f>
        <v>24559.29</v>
      </c>
      <c r="G42" s="130">
        <f t="shared" si="5"/>
        <v>4.0717789480070472</v>
      </c>
      <c r="H42" s="117">
        <f t="shared" si="6"/>
        <v>13.474998205409427</v>
      </c>
      <c r="I42" s="115">
        <f>VLOOKUP(A42,'Base de dados'!$AP$10:$BD$54,12,0)</f>
        <v>56296.79</v>
      </c>
      <c r="J42" s="130">
        <f t="shared" si="7"/>
        <v>1.7763002117882742</v>
      </c>
      <c r="K42" s="117">
        <f t="shared" si="8"/>
        <v>6.8429989285939952</v>
      </c>
      <c r="L42" s="115">
        <f t="shared" si="1"/>
        <v>5.3743999999999996</v>
      </c>
      <c r="M42" s="130">
        <f t="shared" si="2"/>
        <v>2.2922808436237365</v>
      </c>
      <c r="N42" s="118">
        <f t="shared" si="12"/>
        <v>12.319634165971408</v>
      </c>
      <c r="O42" s="127">
        <f t="shared" si="13"/>
        <v>1.7680606656258733</v>
      </c>
      <c r="P42" s="117">
        <f t="shared" si="14"/>
        <v>6.7803295641322796</v>
      </c>
      <c r="Q42" s="129">
        <f t="shared" si="17"/>
        <v>1.771144234692432</v>
      </c>
      <c r="R42" s="116">
        <f t="shared" si="15"/>
        <v>6.7975495712359333</v>
      </c>
      <c r="S42" s="116">
        <f t="shared" si="9"/>
        <v>6.7975495712359297</v>
      </c>
      <c r="T42" s="130">
        <f t="shared" si="16"/>
        <v>2.2989539012412119</v>
      </c>
      <c r="U42" s="117">
        <f t="shared" si="10"/>
        <v>12.319634165971406</v>
      </c>
    </row>
    <row r="43" spans="1:21" x14ac:dyDescent="0.3">
      <c r="A43" s="98" t="s">
        <v>42</v>
      </c>
      <c r="B43" s="98" t="str">
        <f t="shared" si="3"/>
        <v>01/1/2038</v>
      </c>
      <c r="C43" s="113">
        <f t="shared" si="4"/>
        <v>50409</v>
      </c>
      <c r="D43" s="114">
        <f t="shared" si="0"/>
        <v>4451</v>
      </c>
      <c r="E43" s="114">
        <f t="shared" si="11"/>
        <v>3048</v>
      </c>
      <c r="F43" s="115">
        <f>VLOOKUP(A43,'Base de dados'!$G$10:$U$54,12,0)</f>
        <v>21791.35</v>
      </c>
      <c r="G43" s="130">
        <f t="shared" si="5"/>
        <v>4.5889768187836006</v>
      </c>
      <c r="H43" s="117">
        <f t="shared" si="6"/>
        <v>13.425001033195816</v>
      </c>
      <c r="I43" s="115">
        <f>VLOOKUP(A43,'Base de dados'!$AP$10:$BD$54,12,0)</f>
        <v>53249.279999999999</v>
      </c>
      <c r="J43" s="130">
        <f t="shared" si="7"/>
        <v>1.8779596644311436</v>
      </c>
      <c r="K43" s="117">
        <f t="shared" si="8"/>
        <v>7.1009993079130922</v>
      </c>
      <c r="L43" s="115">
        <f t="shared" si="1"/>
        <v>5.3743999999999996</v>
      </c>
      <c r="M43" s="130">
        <f t="shared" si="2"/>
        <v>2.443597115369172</v>
      </c>
      <c r="N43" s="118">
        <f t="shared" si="12"/>
        <v>13.132868336840078</v>
      </c>
      <c r="O43" s="127">
        <f t="shared" si="13"/>
        <v>1.8692485607317135</v>
      </c>
      <c r="P43" s="117">
        <f t="shared" si="14"/>
        <v>7.0400333377596604</v>
      </c>
      <c r="Q43" s="129">
        <f t="shared" si="17"/>
        <v>1.872508605565945</v>
      </c>
      <c r="R43" s="116">
        <f t="shared" si="15"/>
        <v>7.0569107617106317</v>
      </c>
      <c r="S43" s="116">
        <f t="shared" si="9"/>
        <v>7.0569107617106264</v>
      </c>
      <c r="T43" s="130">
        <f t="shared" si="16"/>
        <v>2.4507106697096503</v>
      </c>
      <c r="U43" s="117">
        <f t="shared" si="10"/>
        <v>13.132868336840072</v>
      </c>
    </row>
    <row r="44" spans="1:21" x14ac:dyDescent="0.3">
      <c r="A44" s="98" t="s">
        <v>43</v>
      </c>
      <c r="B44" s="98" t="str">
        <f t="shared" si="3"/>
        <v>01/1/2039</v>
      </c>
      <c r="C44" s="113">
        <f t="shared" si="4"/>
        <v>50773</v>
      </c>
      <c r="D44" s="114">
        <f t="shared" si="0"/>
        <v>4815</v>
      </c>
      <c r="E44" s="114">
        <f t="shared" si="11"/>
        <v>3299</v>
      </c>
      <c r="F44" s="115">
        <f>VLOOKUP(A44,'Base de dados'!$G$10:$U$54,12,0)</f>
        <v>19319.61</v>
      </c>
      <c r="G44" s="130">
        <f t="shared" si="5"/>
        <v>5.1760879230998968</v>
      </c>
      <c r="H44" s="117">
        <f t="shared" si="6"/>
        <v>13.381001633708212</v>
      </c>
      <c r="I44" s="115">
        <f>VLOOKUP(A44,'Base de dados'!$AP$10:$BD$54,12,0)</f>
        <v>50291.38</v>
      </c>
      <c r="J44" s="130">
        <f t="shared" si="7"/>
        <v>1.9884123283155086</v>
      </c>
      <c r="K44" s="117">
        <f t="shared" si="8"/>
        <v>7.3899987163776357</v>
      </c>
      <c r="L44" s="115">
        <f t="shared" si="1"/>
        <v>5.3743999999999996</v>
      </c>
      <c r="M44" s="130">
        <f t="shared" si="2"/>
        <v>2.6031260465402766</v>
      </c>
      <c r="N44" s="118">
        <f t="shared" si="12"/>
        <v>13.990240624526061</v>
      </c>
      <c r="O44" s="127">
        <f t="shared" si="13"/>
        <v>1.9791888788893848</v>
      </c>
      <c r="P44" s="117">
        <f t="shared" si="14"/>
        <v>7.3301725181987631</v>
      </c>
      <c r="Q44" s="129">
        <f t="shared" si="17"/>
        <v>1.9826406640698779</v>
      </c>
      <c r="R44" s="116">
        <f t="shared" si="15"/>
        <v>7.3468460865037608</v>
      </c>
      <c r="S44" s="116">
        <f t="shared" si="9"/>
        <v>7.3468460865037555</v>
      </c>
      <c r="T44" s="130">
        <f t="shared" si="16"/>
        <v>2.6107040054725048</v>
      </c>
      <c r="U44" s="117">
        <f t="shared" si="10"/>
        <v>13.990240624526058</v>
      </c>
    </row>
    <row r="45" spans="1:21" x14ac:dyDescent="0.3">
      <c r="A45" s="98" t="s">
        <v>44</v>
      </c>
      <c r="B45" s="98" t="str">
        <f t="shared" si="3"/>
        <v>01/1/2040</v>
      </c>
      <c r="C45" s="113">
        <f t="shared" si="4"/>
        <v>51137</v>
      </c>
      <c r="D45" s="114">
        <f t="shared" si="0"/>
        <v>5179</v>
      </c>
      <c r="E45" s="114">
        <f t="shared" si="11"/>
        <v>3550</v>
      </c>
      <c r="F45" s="121">
        <f>VLOOKUP(A45,'Base de dados'!$G$10:$U$54,12,0)</f>
        <v>17069.240000000002</v>
      </c>
      <c r="G45" s="132">
        <f t="shared" si="5"/>
        <v>5.8584916493060026</v>
      </c>
      <c r="H45" s="123">
        <f t="shared" si="6"/>
        <v>13.371000418983936</v>
      </c>
      <c r="I45" s="121">
        <f>VLOOKUP(A45,'Base de dados'!$AP$10:$BD$54,12,0)</f>
        <v>47512.5</v>
      </c>
      <c r="J45" s="132">
        <f t="shared" si="7"/>
        <v>2.104709287029729</v>
      </c>
      <c r="K45" s="123">
        <f t="shared" si="8"/>
        <v>7.6789987126994097</v>
      </c>
      <c r="L45" s="121">
        <f t="shared" si="1"/>
        <v>5.3743999999999996</v>
      </c>
      <c r="M45" s="132">
        <f t="shared" si="2"/>
        <v>2.7835158448765145</v>
      </c>
      <c r="N45" s="124">
        <f t="shared" si="12"/>
        <v>14.959727556704339</v>
      </c>
      <c r="O45" s="128">
        <f t="shared" si="13"/>
        <v>2.0949463825309129</v>
      </c>
      <c r="P45" s="123">
        <f t="shared" si="14"/>
        <v>7.619963226582807</v>
      </c>
      <c r="Q45" s="133">
        <f t="shared" si="17"/>
        <v>2.0986000534636262</v>
      </c>
      <c r="R45" s="122">
        <f t="shared" si="15"/>
        <v>7.636532520697151</v>
      </c>
      <c r="S45" s="122">
        <f t="shared" si="9"/>
        <v>7.6365325206971484</v>
      </c>
      <c r="T45" s="132">
        <f t="shared" si="16"/>
        <v>2.7916189364604649</v>
      </c>
      <c r="U45" s="123">
        <f t="shared" si="10"/>
        <v>14.959727556704339</v>
      </c>
    </row>
    <row r="48" spans="1:21" x14ac:dyDescent="0.3">
      <c r="C48" s="98" t="s">
        <v>47</v>
      </c>
      <c r="D48" s="98" t="s">
        <v>48</v>
      </c>
    </row>
    <row r="49" spans="3:4" x14ac:dyDescent="0.3">
      <c r="C49" s="98" t="s">
        <v>613</v>
      </c>
      <c r="D49" s="98">
        <v>1</v>
      </c>
    </row>
    <row r="50" spans="3:4" x14ac:dyDescent="0.3">
      <c r="C50" s="98" t="s">
        <v>614</v>
      </c>
      <c r="D50" s="98">
        <v>2</v>
      </c>
    </row>
    <row r="51" spans="3:4" x14ac:dyDescent="0.3">
      <c r="C51" s="98" t="s">
        <v>615</v>
      </c>
      <c r="D51" s="98">
        <v>3</v>
      </c>
    </row>
    <row r="52" spans="3:4" x14ac:dyDescent="0.3">
      <c r="C52" s="98" t="s">
        <v>616</v>
      </c>
      <c r="D52" s="98">
        <v>4</v>
      </c>
    </row>
    <row r="53" spans="3:4" x14ac:dyDescent="0.3">
      <c r="C53" s="98" t="s">
        <v>617</v>
      </c>
      <c r="D53" s="98">
        <v>5</v>
      </c>
    </row>
    <row r="54" spans="3:4" x14ac:dyDescent="0.3">
      <c r="C54" s="98" t="s">
        <v>618</v>
      </c>
      <c r="D54" s="98">
        <v>6</v>
      </c>
    </row>
    <row r="55" spans="3:4" x14ac:dyDescent="0.3">
      <c r="C55" s="98" t="s">
        <v>619</v>
      </c>
      <c r="D55" s="98">
        <v>7</v>
      </c>
    </row>
    <row r="56" spans="3:4" x14ac:dyDescent="0.3">
      <c r="C56" s="98" t="s">
        <v>620</v>
      </c>
      <c r="D56" s="98">
        <v>8</v>
      </c>
    </row>
    <row r="57" spans="3:4" x14ac:dyDescent="0.3">
      <c r="C57" s="98" t="s">
        <v>621</v>
      </c>
      <c r="D57" s="98">
        <v>9</v>
      </c>
    </row>
    <row r="58" spans="3:4" x14ac:dyDescent="0.3">
      <c r="C58" s="98" t="s">
        <v>622</v>
      </c>
      <c r="D58" s="98">
        <v>10</v>
      </c>
    </row>
    <row r="59" spans="3:4" x14ac:dyDescent="0.3">
      <c r="C59" s="98" t="s">
        <v>623</v>
      </c>
      <c r="D59" s="98">
        <v>11</v>
      </c>
    </row>
    <row r="60" spans="3:4" x14ac:dyDescent="0.3">
      <c r="C60" s="98" t="s">
        <v>624</v>
      </c>
      <c r="D60" s="98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0866-9C36-4336-8AE6-80F8724F10CF}">
  <sheetPr codeName="Planilha3"/>
  <dimension ref="A1:AA67"/>
  <sheetViews>
    <sheetView showGridLines="0" tabSelected="1" zoomScaleNormal="100" workbookViewId="0">
      <selection activeCell="Q8" sqref="Q8"/>
    </sheetView>
  </sheetViews>
  <sheetFormatPr defaultRowHeight="14.4" x14ac:dyDescent="0.3"/>
  <cols>
    <col min="1" max="1" width="10.77734375" style="1" bestFit="1" customWidth="1"/>
    <col min="2" max="2" width="21.5546875" style="1" customWidth="1"/>
    <col min="3" max="3" width="15" style="1" customWidth="1"/>
    <col min="4" max="6" width="13.33203125" style="1" customWidth="1"/>
    <col min="7" max="7" width="14.109375" style="1" customWidth="1"/>
    <col min="8" max="8" width="13.33203125" style="1" customWidth="1"/>
    <col min="9" max="9" width="13.6640625" style="1" customWidth="1"/>
    <col min="10" max="10" width="15.6640625" style="1" customWidth="1"/>
    <col min="11" max="11" width="14" bestFit="1" customWidth="1"/>
    <col min="12" max="12" width="14" customWidth="1"/>
    <col min="13" max="13" width="15.6640625" style="1" customWidth="1"/>
    <col min="14" max="15" width="13.21875" customWidth="1"/>
    <col min="16" max="18" width="13.21875" style="1" customWidth="1"/>
    <col min="19" max="19" width="12.88671875" style="1" bestFit="1" customWidth="1"/>
    <col min="20" max="20" width="19.77734375" style="1" bestFit="1" customWidth="1"/>
    <col min="21" max="21" width="15.6640625" style="1" customWidth="1"/>
    <col min="22" max="22" width="15" style="1" bestFit="1" customWidth="1"/>
    <col min="23" max="23" width="20.21875" style="1" customWidth="1"/>
    <col min="24" max="24" width="12.33203125" style="1" bestFit="1" customWidth="1"/>
    <col min="25" max="25" width="12.88671875" style="1" bestFit="1" customWidth="1"/>
    <col min="26" max="26" width="11.33203125" style="1" bestFit="1" customWidth="1"/>
    <col min="27" max="27" width="10.33203125" style="1" bestFit="1" customWidth="1"/>
    <col min="28" max="16384" width="8.88671875" style="1"/>
  </cols>
  <sheetData>
    <row r="1" spans="1:27" x14ac:dyDescent="0.3">
      <c r="A1" s="3" t="s">
        <v>45</v>
      </c>
      <c r="B1" s="3" t="s">
        <v>641</v>
      </c>
      <c r="C1" s="3" t="s">
        <v>654</v>
      </c>
      <c r="D1" s="3" t="s">
        <v>850</v>
      </c>
      <c r="E1" s="3" t="s">
        <v>2</v>
      </c>
      <c r="F1" s="3" t="s">
        <v>856</v>
      </c>
      <c r="G1" s="3" t="s">
        <v>636</v>
      </c>
      <c r="H1" s="3" t="s">
        <v>642</v>
      </c>
      <c r="I1" s="3" t="s">
        <v>637</v>
      </c>
      <c r="J1" s="3" t="s">
        <v>653</v>
      </c>
      <c r="K1" s="3" t="s">
        <v>674</v>
      </c>
      <c r="L1" s="3" t="s">
        <v>851</v>
      </c>
      <c r="M1" s="3" t="s">
        <v>664</v>
      </c>
      <c r="N1" s="3" t="s">
        <v>640</v>
      </c>
      <c r="O1" s="3" t="s">
        <v>852</v>
      </c>
      <c r="P1" s="3" t="s">
        <v>657</v>
      </c>
      <c r="Q1" s="3" t="s">
        <v>658</v>
      </c>
      <c r="R1" s="3" t="s">
        <v>659</v>
      </c>
      <c r="U1" s="141"/>
    </row>
    <row r="2" spans="1:27" x14ac:dyDescent="0.3">
      <c r="A2" s="36" t="s">
        <v>18</v>
      </c>
      <c r="B2" s="16">
        <v>0</v>
      </c>
      <c r="C2" s="2" t="str">
        <f t="shared" ref="C2:C15" si="0">"01/"&amp;VLOOKUP(LEFT(A2,1),$G$31:$H$42,2,0)&amp;"/20"&amp;RIGHT(A2,2)</f>
        <v>01/1/2027</v>
      </c>
      <c r="D2" s="2">
        <f t="shared" ref="D2:D13" si="1">WORKDAY(C2-1,1,feriados)</f>
        <v>46391</v>
      </c>
      <c r="E2" s="1">
        <f t="shared" ref="E2:E15" ca="1" si="2">NETWORKDAYS($C$31,D2,feriados)-1</f>
        <v>107</v>
      </c>
      <c r="F2" s="61">
        <f>IF(RTD("rtdtrading.rtdserver",,$A$1&amp;A2,"AJA")=0,RTD("rtdtrading.rtdserver",,$A$1&amp;A2,"FEC"),RTD("rtdtrading.rtdserver",,$A$1&amp;A2,"AJA"))</f>
        <v>13.872999999999999</v>
      </c>
      <c r="G2" s="61">
        <f>IF(RTD("rtdtrading.rtdserver",,$A$1&amp;A2,"AJU")=0,RTD("rtdtrading.rtdserver",,$A$1&amp;A2,"ULT"),RTD("rtdtrading.rtdserver",,$A$1&amp;A2,"AJU"))</f>
        <v>13.842000000000001</v>
      </c>
      <c r="H2" s="56">
        <f t="shared" ref="H2:H13" si="3">(G2-F2)*100</f>
        <v>-3.0999999999998806</v>
      </c>
      <c r="I2" s="23">
        <f ca="1">contrato/(1+F2%)^(E2/252)</f>
        <v>94633.208560265572</v>
      </c>
      <c r="J2" s="23">
        <f ca="1">I2</f>
        <v>94633.208560265572</v>
      </c>
      <c r="K2" s="23">
        <f t="shared" ref="K2:K13" ca="1" si="4">I2-contrato/(1+F2%+0.01%)^(E2/252)</f>
        <v>3.5284086225437932</v>
      </c>
      <c r="L2" s="23">
        <f t="shared" ref="L2:L13" ca="1" si="5">K2*B2/pl*10000</f>
        <v>0</v>
      </c>
      <c r="M2" s="23">
        <f t="shared" ref="M2:M13" ca="1" si="6">J2*B2/pl</f>
        <v>0</v>
      </c>
      <c r="N2" s="23">
        <f t="shared" ref="N2:N13" ca="1" si="7">(((1+F2%)^(1/252))/(1+di_dia%)-1)*I2</f>
        <v>-0.91237264151379827</v>
      </c>
      <c r="O2" s="23">
        <f t="shared" ref="O2:O26" ca="1" si="8">N2/K2</f>
        <v>-0.25857907604137603</v>
      </c>
      <c r="P2" s="23">
        <f t="shared" ref="P2:P13" ca="1" si="9">B2*N2</f>
        <v>0</v>
      </c>
      <c r="Q2" s="23">
        <f t="shared" ref="Q2:Q13" ca="1" si="10">-B2*K2*H2</f>
        <v>0</v>
      </c>
      <c r="R2" s="29">
        <f t="shared" ref="R2:R13" ca="1" si="11">IFERROR(Q2+P2,0)</f>
        <v>0</v>
      </c>
      <c r="S2" s="5"/>
      <c r="T2" s="49" t="s">
        <v>652</v>
      </c>
      <c r="U2" s="137">
        <v>6529110</v>
      </c>
      <c r="V2" s="173"/>
      <c r="W2" s="4"/>
      <c r="Z2" s="4"/>
      <c r="AA2" s="40"/>
    </row>
    <row r="3" spans="1:27" ht="15" thickBot="1" x14ac:dyDescent="0.35">
      <c r="A3" s="36" t="s">
        <v>19</v>
      </c>
      <c r="B3" s="16">
        <v>0</v>
      </c>
      <c r="C3" s="2" t="str">
        <f t="shared" si="0"/>
        <v>01/4/2027</v>
      </c>
      <c r="D3" s="2">
        <f t="shared" si="1"/>
        <v>46478</v>
      </c>
      <c r="E3" s="1">
        <f t="shared" ca="1" si="2"/>
        <v>167</v>
      </c>
      <c r="F3" s="61">
        <f>IF(RTD("rtdtrading.rtdserver",,$A$1&amp;A3,"AJA")=0,RTD("rtdtrading.rtdserver",,$A$1&amp;A3,"FEC"),RTD("rtdtrading.rtdserver",,$A$1&amp;A3,"AJA"))</f>
        <v>13.907999999999999</v>
      </c>
      <c r="G3" s="61">
        <f>IF(RTD("rtdtrading.rtdserver",,$A$1&amp;A3,"AJU")=0,RTD("rtdtrading.rtdserver",,$A$1&amp;A3,"ULT"),RTD("rtdtrading.rtdserver",,$A$1&amp;A3,"AJU"))</f>
        <v>13.872</v>
      </c>
      <c r="H3" s="56">
        <f t="shared" si="3"/>
        <v>-3.5999999999999588</v>
      </c>
      <c r="I3" s="23">
        <f t="shared" ref="I3:I13" ca="1" si="12">contrato/(1+F3%)^(E3/252)</f>
        <v>91732.156608007543</v>
      </c>
      <c r="J3" s="23">
        <f t="shared" ref="J3:J13" ca="1" si="13">I3</f>
        <v>91732.156608007543</v>
      </c>
      <c r="K3" s="23">
        <f t="shared" ca="1" si="4"/>
        <v>5.3364397719706176</v>
      </c>
      <c r="L3" s="23">
        <f t="shared" ca="1" si="5"/>
        <v>0</v>
      </c>
      <c r="M3" s="23">
        <f t="shared" ca="1" si="6"/>
        <v>0</v>
      </c>
      <c r="N3" s="23">
        <f t="shared" ca="1" si="7"/>
        <v>-0.77253728248937004</v>
      </c>
      <c r="O3" s="23">
        <f t="shared" ca="1" si="8"/>
        <v>-0.14476642021654276</v>
      </c>
      <c r="P3" s="23">
        <f t="shared" ca="1" si="9"/>
        <v>0</v>
      </c>
      <c r="Q3" s="23">
        <f t="shared" ca="1" si="10"/>
        <v>0</v>
      </c>
      <c r="R3" s="29">
        <f t="shared" ca="1" si="11"/>
        <v>0</v>
      </c>
      <c r="S3" s="139"/>
      <c r="X3" s="40"/>
      <c r="Z3" s="4"/>
      <c r="AA3" s="40"/>
    </row>
    <row r="4" spans="1:27" ht="15" thickBot="1" x14ac:dyDescent="0.35">
      <c r="A4" s="36" t="s">
        <v>20</v>
      </c>
      <c r="B4" s="16">
        <v>0</v>
      </c>
      <c r="C4" s="2" t="str">
        <f t="shared" si="0"/>
        <v>01/7/2027</v>
      </c>
      <c r="D4" s="2">
        <f t="shared" si="1"/>
        <v>46569</v>
      </c>
      <c r="E4" s="1">
        <f t="shared" ca="1" si="2"/>
        <v>230</v>
      </c>
      <c r="F4" s="61">
        <f>IF(RTD("rtdtrading.rtdserver",,$A$1&amp;A4,"AJA")=0,RTD("rtdtrading.rtdserver",,$A$1&amp;A4,"FEC"),RTD("rtdtrading.rtdserver",,$A$1&amp;A4,"AJA"))</f>
        <v>13.933999999999999</v>
      </c>
      <c r="G4" s="61">
        <f>IF(RTD("rtdtrading.rtdserver",,$A$1&amp;A4,"AJU")=0,RTD("rtdtrading.rtdserver",,$A$1&amp;A4,"ULT"),RTD("rtdtrading.rtdserver",,$A$1&amp;A4,"AJU"))</f>
        <v>13.894</v>
      </c>
      <c r="H4" s="56">
        <f t="shared" si="3"/>
        <v>-3.9999999999999147</v>
      </c>
      <c r="I4" s="23">
        <f ca="1">contrato/(1+F4%)^(E4/252)</f>
        <v>88775.388604925465</v>
      </c>
      <c r="J4" s="23">
        <f t="shared" ca="1" si="13"/>
        <v>88775.388604925465</v>
      </c>
      <c r="K4" s="23">
        <f t="shared" ca="1" si="4"/>
        <v>7.1109901947784238</v>
      </c>
      <c r="L4" s="23">
        <f t="shared" ca="1" si="5"/>
        <v>0</v>
      </c>
      <c r="M4" s="23">
        <f t="shared" ca="1" si="6"/>
        <v>0</v>
      </c>
      <c r="N4" s="23">
        <f ca="1">(((1+F4%)^(1/252))/(1+di_dia%)-1)*I4</f>
        <v>-0.66723599218447771</v>
      </c>
      <c r="O4" s="23">
        <f t="shared" ca="1" si="8"/>
        <v>-9.3831656901232532E-2</v>
      </c>
      <c r="P4" s="23">
        <f t="shared" ca="1" si="9"/>
        <v>0</v>
      </c>
      <c r="Q4" s="23">
        <f t="shared" ca="1" si="10"/>
        <v>0</v>
      </c>
      <c r="R4" s="29">
        <f t="shared" ca="1" si="11"/>
        <v>0</v>
      </c>
      <c r="S4" s="5"/>
      <c r="T4" s="48" t="s">
        <v>655</v>
      </c>
      <c r="U4" s="68" t="s">
        <v>640</v>
      </c>
      <c r="V4" s="68" t="s">
        <v>656</v>
      </c>
      <c r="W4" s="76" t="s">
        <v>659</v>
      </c>
    </row>
    <row r="5" spans="1:27" x14ac:dyDescent="0.3">
      <c r="A5" s="36" t="s">
        <v>23</v>
      </c>
      <c r="B5" s="16">
        <f>16+5</f>
        <v>21</v>
      </c>
      <c r="C5" s="2" t="str">
        <f t="shared" si="0"/>
        <v>01/1/2028</v>
      </c>
      <c r="D5" s="2">
        <f t="shared" si="1"/>
        <v>46755</v>
      </c>
      <c r="E5" s="1">
        <f t="shared" ca="1" si="2"/>
        <v>358</v>
      </c>
      <c r="F5" s="61">
        <f>IF(RTD("rtdtrading.rtdserver",,$A$1&amp;A5,"AJA")=0,RTD("rtdtrading.rtdserver",,$A$1&amp;A5,"FEC"),RTD("rtdtrading.rtdserver",,$A$1&amp;A5,"AJA"))</f>
        <v>13.976000000000001</v>
      </c>
      <c r="G5" s="61">
        <f>IF(RTD("rtdtrading.rtdserver",,$A$1&amp;A5,"AJU")=0,RTD("rtdtrading.rtdserver",,$A$1&amp;A5,"ULT"),RTD("rtdtrading.rtdserver",,$A$1&amp;A5,"AJU"))</f>
        <v>13.942</v>
      </c>
      <c r="H5" s="56">
        <f t="shared" si="3"/>
        <v>-3.4000000000000696</v>
      </c>
      <c r="I5" s="23">
        <f t="shared" ca="1" si="12"/>
        <v>83040.295118740105</v>
      </c>
      <c r="J5" s="23">
        <f ca="1">I5</f>
        <v>83040.295118740105</v>
      </c>
      <c r="K5" s="23">
        <f t="shared" ca="1" si="4"/>
        <v>10.349320648645516</v>
      </c>
      <c r="L5" s="23">
        <f t="shared" ca="1" si="5"/>
        <v>0.33287191305025621</v>
      </c>
      <c r="M5" s="23">
        <f t="shared" ca="1" si="6"/>
        <v>0.26708788755183205</v>
      </c>
      <c r="N5" s="23">
        <f t="shared" ca="1" si="7"/>
        <v>-0.50267995934593734</v>
      </c>
      <c r="O5" s="23">
        <f t="shared" ca="1" si="8"/>
        <v>-4.8571300127967953E-2</v>
      </c>
      <c r="P5" s="23">
        <f t="shared" ca="1" si="9"/>
        <v>-10.556279146264684</v>
      </c>
      <c r="Q5" s="23">
        <f t="shared" ca="1" si="10"/>
        <v>738.94149431330504</v>
      </c>
      <c r="R5" s="29">
        <f t="shared" ca="1" si="11"/>
        <v>728.38521516704031</v>
      </c>
      <c r="S5" s="5"/>
      <c r="T5" s="66" t="s">
        <v>667</v>
      </c>
      <c r="U5" s="69">
        <f ca="1">SUM(P2:P15)/pl*10000</f>
        <v>-4.3152514670721101E-3</v>
      </c>
      <c r="V5" s="50">
        <f ca="1">SUM(Q2:Q15)/pl*10000</f>
        <v>3.6888125195104329</v>
      </c>
      <c r="W5" s="51">
        <f ca="1">SUM(U5:V5)</f>
        <v>3.6844972680433608</v>
      </c>
    </row>
    <row r="6" spans="1:27" x14ac:dyDescent="0.3">
      <c r="A6" s="36" t="s">
        <v>25</v>
      </c>
      <c r="B6" s="16">
        <v>0</v>
      </c>
      <c r="C6" s="2" t="str">
        <f t="shared" si="0"/>
        <v>01/7/2028</v>
      </c>
      <c r="D6" s="2">
        <f t="shared" si="1"/>
        <v>46937</v>
      </c>
      <c r="E6" s="1">
        <f t="shared" ca="1" si="2"/>
        <v>482</v>
      </c>
      <c r="F6" s="61">
        <f>IF(RTD("rtdtrading.rtdserver",,$A$1&amp;A6,"AJA")=0,RTD("rtdtrading.rtdserver",,$A$1&amp;A6,"FEC"),RTD("rtdtrading.rtdserver",,$A$1&amp;A6,"AJA"))</f>
        <v>14.096</v>
      </c>
      <c r="G6" s="61">
        <f>IF(RTD("rtdtrading.rtdserver",,$A$1&amp;A6,"AJU")=0,RTD("rtdtrading.rtdserver",,$A$1&amp;A6,"ULT"),RTD("rtdtrading.rtdserver",,$A$1&amp;A6,"AJU"))</f>
        <v>14.067</v>
      </c>
      <c r="H6" s="56">
        <f t="shared" si="3"/>
        <v>-2.8999999999999915</v>
      </c>
      <c r="I6" s="23">
        <f t="shared" ca="1" si="12"/>
        <v>77706.788440256045</v>
      </c>
      <c r="J6" s="23">
        <f ca="1">I6</f>
        <v>77706.788440256045</v>
      </c>
      <c r="K6" s="23">
        <f t="shared" ca="1" si="4"/>
        <v>13.025056235317606</v>
      </c>
      <c r="L6" s="23">
        <f t="shared" ca="1" si="5"/>
        <v>0</v>
      </c>
      <c r="M6" s="23">
        <f t="shared" ca="1" si="6"/>
        <v>0</v>
      </c>
      <c r="N6" s="23">
        <f t="shared" ca="1" si="7"/>
        <v>-0.14590783052196293</v>
      </c>
      <c r="O6" s="23">
        <f t="shared" ca="1" si="8"/>
        <v>-1.1202088335429369E-2</v>
      </c>
      <c r="P6" s="23">
        <f t="shared" ca="1" si="9"/>
        <v>0</v>
      </c>
      <c r="Q6" s="23">
        <f t="shared" ca="1" si="10"/>
        <v>0</v>
      </c>
      <c r="R6" s="29">
        <f t="shared" ca="1" si="11"/>
        <v>0</v>
      </c>
      <c r="S6" s="5"/>
      <c r="T6" s="66" t="s">
        <v>668</v>
      </c>
      <c r="U6" s="70">
        <f ca="1">SUM(P17:P26)/pl*10000</f>
        <v>0</v>
      </c>
      <c r="V6" s="52">
        <f ca="1">SUM(Q17:Q26)/pl*10000</f>
        <v>0</v>
      </c>
      <c r="W6" s="53">
        <f ca="1">SUM(U6:V6)</f>
        <v>0</v>
      </c>
    </row>
    <row r="7" spans="1:27" x14ac:dyDescent="0.3">
      <c r="A7" s="36" t="s">
        <v>27</v>
      </c>
      <c r="B7" s="16">
        <f>55-13-5+5</f>
        <v>42</v>
      </c>
      <c r="C7" s="2" t="str">
        <f t="shared" si="0"/>
        <v>01/1/2029</v>
      </c>
      <c r="D7" s="2">
        <f t="shared" si="1"/>
        <v>47120</v>
      </c>
      <c r="E7" s="1">
        <f t="shared" ca="1" si="2"/>
        <v>606</v>
      </c>
      <c r="F7" s="61">
        <f>IF(RTD("rtdtrading.rtdserver",,$A$1&amp;A7,"AJA")=0,RTD("rtdtrading.rtdserver",,$A$1&amp;A7,"FEC"),RTD("rtdtrading.rtdserver",,$A$1&amp;A7,"AJA"))</f>
        <v>14.223000000000001</v>
      </c>
      <c r="G7" s="61">
        <f>IF(RTD("rtdtrading.rtdserver",,$A$1&amp;A7,"AJU")=0,RTD("rtdtrading.rtdserver",,$A$1&amp;A7,"ULT"),RTD("rtdtrading.rtdserver",,$A$1&amp;A7,"AJU"))</f>
        <v>14.196999999999999</v>
      </c>
      <c r="H7" s="56">
        <f>(G7-F7)*100</f>
        <v>-2.6000000000001577</v>
      </c>
      <c r="I7" s="23">
        <f ca="1">contrato/(1+F7%)^(E7/252)</f>
        <v>72630.065046974152</v>
      </c>
      <c r="J7" s="23">
        <f ca="1">I7</f>
        <v>72630.065046974152</v>
      </c>
      <c r="K7" s="23">
        <f t="shared" ca="1" si="4"/>
        <v>15.28868843051896</v>
      </c>
      <c r="L7" s="23">
        <f t="shared" ca="1" si="5"/>
        <v>0.98348000582284001</v>
      </c>
      <c r="M7" s="23">
        <f t="shared" ca="1" si="6"/>
        <v>0.46720957863673829</v>
      </c>
      <c r="N7" s="23">
        <f t="shared" ca="1" si="7"/>
        <v>0.18425723799159918</v>
      </c>
      <c r="O7" s="23">
        <f t="shared" ca="1" si="8"/>
        <v>1.2051866896822146E-2</v>
      </c>
      <c r="P7" s="23">
        <f t="shared" ca="1" si="9"/>
        <v>7.7388039956471655</v>
      </c>
      <c r="Q7" s="23">
        <f t="shared" ca="1" si="10"/>
        <v>1669.5247766127716</v>
      </c>
      <c r="R7" s="29">
        <f ca="1">IFERROR(Q7+P7,0)</f>
        <v>1677.2635806084188</v>
      </c>
      <c r="S7" s="64"/>
      <c r="T7" s="66" t="s">
        <v>669</v>
      </c>
      <c r="U7" s="70">
        <f ca="1">SUM(P28)/pl*10000</f>
        <v>0</v>
      </c>
      <c r="V7" s="52">
        <f ca="1">SUM(Q28)/pl*10000</f>
        <v>0</v>
      </c>
      <c r="W7" s="53">
        <f ca="1">SUM(U7:V7)</f>
        <v>0</v>
      </c>
    </row>
    <row r="8" spans="1:27" ht="15" thickBot="1" x14ac:dyDescent="0.35">
      <c r="A8" s="36" t="s">
        <v>29</v>
      </c>
      <c r="B8" s="16">
        <v>0</v>
      </c>
      <c r="C8" s="2" t="str">
        <f t="shared" si="0"/>
        <v>01/7/2029</v>
      </c>
      <c r="D8" s="2">
        <f>WORKDAY(C8-1,1,feriados)</f>
        <v>47301</v>
      </c>
      <c r="E8" s="1">
        <f t="shared" ca="1" si="2"/>
        <v>730</v>
      </c>
      <c r="F8" s="61">
        <f>IF(RTD("rtdtrading.rtdserver",,$A$1&amp;A8,"AJA")=0,RTD("rtdtrading.rtdserver",,$A$1&amp;A8,"FEC"),RTD("rtdtrading.rtdserver",,$A$1&amp;A8,"AJA"))</f>
        <v>14.333</v>
      </c>
      <c r="G8" s="61">
        <f>IF(RTD("rtdtrading.rtdserver",,$A$1&amp;A8,"AJU")=0,RTD("rtdtrading.rtdserver",,$A$1&amp;A8,"ULT"),RTD("rtdtrading.rtdserver",,$A$1&amp;A8,"AJU"))</f>
        <v>14.311</v>
      </c>
      <c r="H8" s="56">
        <f>(G8-F8)*100</f>
        <v>-2.2000000000000242</v>
      </c>
      <c r="I8" s="23">
        <f ca="1">contrato/(1+F8%)^(E8/252)</f>
        <v>67840.186658785329</v>
      </c>
      <c r="J8" s="23">
        <f ca="1">I8</f>
        <v>67840.186658785329</v>
      </c>
      <c r="K8" s="23">
        <f ca="1">I8-contrato/(1+F8%+0.01%)^(E8/252)</f>
        <v>17.185562361250049</v>
      </c>
      <c r="L8" s="23">
        <f ca="1">K8*B8/pl*10000</f>
        <v>0</v>
      </c>
      <c r="M8" s="23">
        <f ca="1">J8*B8/pl</f>
        <v>0</v>
      </c>
      <c r="N8" s="23">
        <f ca="1">(((1+F8%)^(1/252))/(1+di_dia%)-1)*I8</f>
        <v>0.43123614946964411</v>
      </c>
      <c r="O8" s="23">
        <f ca="1">N8/K8</f>
        <v>2.5092932102239143E-2</v>
      </c>
      <c r="P8" s="23">
        <f ca="1">B8*N8</f>
        <v>0</v>
      </c>
      <c r="Q8" s="23">
        <f ca="1">-B8*K8*H8</f>
        <v>0</v>
      </c>
      <c r="R8" s="29">
        <f ca="1">IFERROR(Q8+P8,0)</f>
        <v>0</v>
      </c>
      <c r="S8" s="5"/>
      <c r="T8" s="79" t="s">
        <v>672</v>
      </c>
      <c r="U8" s="77">
        <f ca="1">SUM(U5:U7)</f>
        <v>-4.3152514670721101E-3</v>
      </c>
      <c r="V8" s="78">
        <f ca="1">SUM(V5:V7)</f>
        <v>3.6888125195104329</v>
      </c>
      <c r="W8" s="75">
        <f ca="1">SUM(W5:W7)</f>
        <v>3.6844972680433608</v>
      </c>
    </row>
    <row r="9" spans="1:27" x14ac:dyDescent="0.3">
      <c r="A9" s="36" t="s">
        <v>31</v>
      </c>
      <c r="B9" s="16">
        <v>0</v>
      </c>
      <c r="C9" s="2" t="str">
        <f t="shared" si="0"/>
        <v>01/1/2030</v>
      </c>
      <c r="D9" s="2">
        <f t="shared" si="1"/>
        <v>47485</v>
      </c>
      <c r="E9" s="1">
        <f t="shared" ca="1" si="2"/>
        <v>855</v>
      </c>
      <c r="F9" s="61">
        <f>IF(RTD("rtdtrading.rtdserver",,$A$1&amp;A9,"AJA")=0,RTD("rtdtrading.rtdserver",,$A$1&amp;A9,"FEC"),RTD("rtdtrading.rtdserver",,$A$1&amp;A9,"AJA"))</f>
        <v>14.385</v>
      </c>
      <c r="G9" s="61">
        <f>IF(RTD("rtdtrading.rtdserver",,$A$1&amp;A9,"AJU")=0,RTD("rtdtrading.rtdserver",,$A$1&amp;A9,"ULT"),RTD("rtdtrading.rtdserver",,$A$1&amp;A9,"AJU"))</f>
        <v>14.366</v>
      </c>
      <c r="H9" s="56">
        <f t="shared" si="3"/>
        <v>-1.9000000000000128</v>
      </c>
      <c r="I9" s="23">
        <f t="shared" ca="1" si="12"/>
        <v>63381.434142063379</v>
      </c>
      <c r="J9" s="23">
        <f t="shared" ca="1" si="13"/>
        <v>63381.434142063379</v>
      </c>
      <c r="K9" s="23">
        <f t="shared" ca="1" si="4"/>
        <v>18.796421306746197</v>
      </c>
      <c r="L9" s="23">
        <f t="shared" ca="1" si="5"/>
        <v>0</v>
      </c>
      <c r="M9" s="23">
        <f t="shared" ca="1" si="6"/>
        <v>0</v>
      </c>
      <c r="N9" s="23">
        <f t="shared" ca="1" si="7"/>
        <v>0.51725962752996268</v>
      </c>
      <c r="O9" s="23">
        <f t="shared" ca="1" si="8"/>
        <v>2.7519048391637921E-2</v>
      </c>
      <c r="P9" s="23">
        <f t="shared" ca="1" si="9"/>
        <v>0</v>
      </c>
      <c r="Q9" s="23">
        <f t="shared" ca="1" si="10"/>
        <v>0</v>
      </c>
      <c r="R9" s="29">
        <f t="shared" ca="1" si="11"/>
        <v>0</v>
      </c>
      <c r="S9" s="5"/>
    </row>
    <row r="10" spans="1:27" ht="15" thickBot="1" x14ac:dyDescent="0.35">
      <c r="A10" s="36" t="s">
        <v>35</v>
      </c>
      <c r="B10" s="16">
        <v>0</v>
      </c>
      <c r="C10" s="2" t="str">
        <f t="shared" si="0"/>
        <v>01/1/2031</v>
      </c>
      <c r="D10" s="2">
        <f t="shared" si="1"/>
        <v>47850</v>
      </c>
      <c r="E10" s="1">
        <f t="shared" ca="1" si="2"/>
        <v>1107</v>
      </c>
      <c r="F10" s="61">
        <f>IF(RTD("rtdtrading.rtdserver",,$A$1&amp;A10,"AJA")=0,RTD("rtdtrading.rtdserver",,$A$1&amp;A10,"FEC"),RTD("rtdtrading.rtdserver",,$A$1&amp;A10,"AJA"))</f>
        <v>14.467000000000001</v>
      </c>
      <c r="G10" s="61">
        <f>IF(RTD("rtdtrading.rtdserver",,$A$1&amp;A10,"AJU")=0,RTD("rtdtrading.rtdserver",,$A$1&amp;A10,"ULT"),RTD("rtdtrading.rtdserver",,$A$1&amp;A10,"AJU"))</f>
        <v>14.45</v>
      </c>
      <c r="H10" s="56">
        <f>(G10-F10)*100</f>
        <v>-1.7000000000001236</v>
      </c>
      <c r="I10" s="23">
        <f t="shared" ca="1" si="12"/>
        <v>55236.457943021822</v>
      </c>
      <c r="J10" s="23">
        <f t="shared" ca="1" si="13"/>
        <v>55236.457943021822</v>
      </c>
      <c r="K10" s="23">
        <f t="shared" ca="1" si="4"/>
        <v>21.192895844949817</v>
      </c>
      <c r="L10" s="23">
        <f t="shared" ca="1" si="5"/>
        <v>0</v>
      </c>
      <c r="M10" s="23">
        <f t="shared" ca="1" si="6"/>
        <v>0</v>
      </c>
      <c r="N10" s="23">
        <f t="shared" ca="1" si="7"/>
        <v>0.60786716540013097</v>
      </c>
      <c r="O10" s="23">
        <f t="shared" ca="1" si="8"/>
        <v>2.8682591083699555E-2</v>
      </c>
      <c r="P10" s="23">
        <f t="shared" ca="1" si="9"/>
        <v>0</v>
      </c>
      <c r="Q10" s="23">
        <f t="shared" ca="1" si="10"/>
        <v>0</v>
      </c>
      <c r="R10" s="29">
        <f t="shared" ca="1" si="11"/>
        <v>0</v>
      </c>
      <c r="S10" s="5"/>
    </row>
    <row r="11" spans="1:27" ht="15" thickBot="1" x14ac:dyDescent="0.35">
      <c r="A11" s="36" t="s">
        <v>36</v>
      </c>
      <c r="B11" s="16">
        <v>0</v>
      </c>
      <c r="C11" s="2" t="str">
        <f t="shared" si="0"/>
        <v>01/1/2032</v>
      </c>
      <c r="D11" s="2">
        <f t="shared" si="1"/>
        <v>48215</v>
      </c>
      <c r="E11" s="1">
        <f t="shared" ca="1" si="2"/>
        <v>1359</v>
      </c>
      <c r="F11" s="61">
        <f>IF(RTD("rtdtrading.rtdserver",,$A$1&amp;A11,"AJA")=0,RTD("rtdtrading.rtdserver",,$A$1&amp;A11,"FEC"),RTD("rtdtrading.rtdserver",,$A$1&amp;A11,"AJA"))</f>
        <v>14.558999999999999</v>
      </c>
      <c r="G11" s="61">
        <f>IF(RTD("rtdtrading.rtdserver",,$A$1&amp;A11,"AJU")=0,RTD("rtdtrading.rtdserver",,$A$1&amp;A11,"ULT"),RTD("rtdtrading.rtdserver",,$A$1&amp;A11,"AJU"))</f>
        <v>14.542999999999999</v>
      </c>
      <c r="H11" s="56">
        <f t="shared" si="3"/>
        <v>-1.6000000000000014</v>
      </c>
      <c r="I11" s="23">
        <f t="shared" ca="1" si="12"/>
        <v>48046.735126285661</v>
      </c>
      <c r="J11" s="23">
        <f t="shared" ca="1" si="13"/>
        <v>48046.735126285661</v>
      </c>
      <c r="K11" s="23">
        <f t="shared" ca="1" si="4"/>
        <v>22.611658407178766</v>
      </c>
      <c r="L11" s="23">
        <f t="shared" ca="1" si="5"/>
        <v>0</v>
      </c>
      <c r="M11" s="23">
        <f t="shared" ca="1" si="6"/>
        <v>0</v>
      </c>
      <c r="N11" s="23">
        <f t="shared" ca="1" si="7"/>
        <v>0.68192550596576673</v>
      </c>
      <c r="O11" s="23">
        <f t="shared" ca="1" si="8"/>
        <v>3.0158137615826912E-2</v>
      </c>
      <c r="P11" s="23">
        <f t="shared" ca="1" si="9"/>
        <v>0</v>
      </c>
      <c r="Q11" s="23">
        <f t="shared" ca="1" si="10"/>
        <v>0</v>
      </c>
      <c r="R11" s="29">
        <f t="shared" ca="1" si="11"/>
        <v>0</v>
      </c>
      <c r="S11" s="5"/>
      <c r="T11" s="48" t="s">
        <v>665</v>
      </c>
      <c r="U11" s="68" t="s">
        <v>671</v>
      </c>
      <c r="V11" s="68" t="s">
        <v>666</v>
      </c>
      <c r="W11" s="68" t="s">
        <v>674</v>
      </c>
      <c r="X11" s="68" t="s">
        <v>673</v>
      </c>
    </row>
    <row r="12" spans="1:27" x14ac:dyDescent="0.3">
      <c r="A12" s="36" t="s">
        <v>37</v>
      </c>
      <c r="B12" s="16">
        <v>0</v>
      </c>
      <c r="C12" s="2" t="str">
        <f t="shared" si="0"/>
        <v>01/1/2033</v>
      </c>
      <c r="D12" s="2">
        <f t="shared" si="1"/>
        <v>48582</v>
      </c>
      <c r="E12" s="1">
        <f t="shared" ca="1" si="2"/>
        <v>1611</v>
      </c>
      <c r="F12" s="61">
        <f>IF(RTD("rtdtrading.rtdserver",,$A$1&amp;A12,"AJA")=0,RTD("rtdtrading.rtdserver",,$A$1&amp;A12,"FEC"),RTD("rtdtrading.rtdserver",,$A$1&amp;A12,"AJA"))</f>
        <v>14.686</v>
      </c>
      <c r="G12" s="61">
        <f>IF(RTD("rtdtrading.rtdserver",,$A$1&amp;A12,"AJU")=0,RTD("rtdtrading.rtdserver",,$A$1&amp;A12,"ULT"),RTD("rtdtrading.rtdserver",,$A$1&amp;A12,"AJU"))</f>
        <v>14.592000000000001</v>
      </c>
      <c r="H12" s="56">
        <f t="shared" si="3"/>
        <v>-9.3999999999999417</v>
      </c>
      <c r="I12" s="23">
        <f t="shared" ca="1" si="12"/>
        <v>41644.579146477357</v>
      </c>
      <c r="J12" s="23">
        <f t="shared" ca="1" si="13"/>
        <v>41644.579146477357</v>
      </c>
      <c r="K12" s="23">
        <f t="shared" ca="1" si="4"/>
        <v>23.206150590071047</v>
      </c>
      <c r="L12" s="23">
        <f t="shared" ca="1" si="5"/>
        <v>0</v>
      </c>
      <c r="M12" s="23">
        <f t="shared" ca="1" si="6"/>
        <v>0</v>
      </c>
      <c r="N12" s="23">
        <f t="shared" ca="1" si="7"/>
        <v>0.77416441578263395</v>
      </c>
      <c r="O12" s="23">
        <f t="shared" ca="1" si="8"/>
        <v>3.3360311645735288E-2</v>
      </c>
      <c r="P12" s="23">
        <f t="shared" ca="1" si="9"/>
        <v>0</v>
      </c>
      <c r="Q12" s="23">
        <f t="shared" ca="1" si="10"/>
        <v>0</v>
      </c>
      <c r="R12" s="29">
        <f t="shared" ca="1" si="11"/>
        <v>0</v>
      </c>
      <c r="S12" s="5"/>
      <c r="T12" s="65" t="s">
        <v>667</v>
      </c>
      <c r="U12" s="69">
        <f ca="1">SUMPRODUCT(B2:B15,J2:J15)</f>
        <v>4794308.9294664562</v>
      </c>
      <c r="V12" s="226">
        <f ca="1">U12/pl</f>
        <v>0.73429746618857028</v>
      </c>
      <c r="W12" s="50">
        <f ca="1">SUMPRODUCT(K2:K15,B2:B15)</f>
        <v>859.46064770335215</v>
      </c>
      <c r="X12" s="51">
        <f ca="1">W12/pl*10000</f>
        <v>1.3163519188730963</v>
      </c>
    </row>
    <row r="13" spans="1:27" x14ac:dyDescent="0.3">
      <c r="A13" s="36" t="s">
        <v>38</v>
      </c>
      <c r="B13" s="16">
        <v>0</v>
      </c>
      <c r="C13" s="2" t="str">
        <f t="shared" si="0"/>
        <v>01/1/2034</v>
      </c>
      <c r="D13" s="2">
        <f t="shared" si="1"/>
        <v>48946</v>
      </c>
      <c r="E13" s="1">
        <f t="shared" ca="1" si="2"/>
        <v>1862</v>
      </c>
      <c r="F13" s="61">
        <f>IF(RTD("rtdtrading.rtdserver",,$A$1&amp;A13,"AJA")=0,RTD("rtdtrading.rtdserver",,$A$1&amp;A13,"FEC"),RTD("rtdtrading.rtdserver",,$A$1&amp;A13,"AJA"))</f>
        <v>14.618</v>
      </c>
      <c r="G13" s="61">
        <f>IF(RTD("rtdtrading.rtdserver",,$A$1&amp;A13,"AJU")=0,RTD("rtdtrading.rtdserver",,$A$1&amp;A13,"ULT"),RTD("rtdtrading.rtdserver",,$A$1&amp;A13,"AJU"))</f>
        <v>14.611000000000001</v>
      </c>
      <c r="H13" s="56">
        <f t="shared" si="3"/>
        <v>-0.69999999999996732</v>
      </c>
      <c r="I13" s="23">
        <f t="shared" ca="1" si="12"/>
        <v>36491.141738994433</v>
      </c>
      <c r="J13" s="23">
        <f t="shared" ca="1" si="13"/>
        <v>36491.141738994433</v>
      </c>
      <c r="K13" s="23">
        <f t="shared" ca="1" si="4"/>
        <v>23.51553403253638</v>
      </c>
      <c r="L13" s="23">
        <f t="shared" ca="1" si="5"/>
        <v>0</v>
      </c>
      <c r="M13" s="23">
        <f t="shared" ca="1" si="6"/>
        <v>0</v>
      </c>
      <c r="N13" s="23">
        <f t="shared" ca="1" si="7"/>
        <v>0.59247716399655959</v>
      </c>
      <c r="O13" s="23">
        <f t="shared" ca="1" si="8"/>
        <v>2.5195139654357879E-2</v>
      </c>
      <c r="P13" s="23">
        <f t="shared" ca="1" si="9"/>
        <v>0</v>
      </c>
      <c r="Q13" s="23">
        <f t="shared" ca="1" si="10"/>
        <v>0</v>
      </c>
      <c r="R13" s="29">
        <f t="shared" ca="1" si="11"/>
        <v>0</v>
      </c>
      <c r="S13" s="5"/>
      <c r="T13" s="66" t="s">
        <v>668</v>
      </c>
      <c r="U13" s="70">
        <f ca="1">SUMPRODUCT(B17:B26,J17:J26)</f>
        <v>0</v>
      </c>
      <c r="V13" s="227">
        <f ca="1">U13/pl</f>
        <v>0</v>
      </c>
      <c r="W13" s="52">
        <f ca="1">SUMPRODUCT(K17:K26,B17:B26)</f>
        <v>0</v>
      </c>
      <c r="X13" s="53">
        <f ca="1">W13/pl*10000</f>
        <v>0</v>
      </c>
    </row>
    <row r="14" spans="1:27" ht="15" thickBot="1" x14ac:dyDescent="0.35">
      <c r="A14" s="36" t="s">
        <v>39</v>
      </c>
      <c r="B14" s="16">
        <v>0</v>
      </c>
      <c r="C14" s="2" t="str">
        <f t="shared" si="0"/>
        <v>01/1/2035</v>
      </c>
      <c r="D14" s="2">
        <f>WORKDAY(C14-1,1,feriados)</f>
        <v>49311</v>
      </c>
      <c r="E14" s="1">
        <f t="shared" ca="1" si="2"/>
        <v>2110</v>
      </c>
      <c r="F14" s="61">
        <f>IF(RTD("rtdtrading.rtdserver",,$A$1&amp;A14,"AJA")=0,RTD("rtdtrading.rtdserver",,$A$1&amp;A14,"FEC"),RTD("rtdtrading.rtdserver",,$A$1&amp;A14,"AJA"))</f>
        <v>14.64</v>
      </c>
      <c r="G14" s="61">
        <f>IF(RTD("rtdtrading.rtdserver",,$A$1&amp;A14,"AJU")=0,RTD("rtdtrading.rtdserver",,$A$1&amp;A14,"ULT"),RTD("rtdtrading.rtdserver",,$A$1&amp;A14,"AJU"))</f>
        <v>14.63</v>
      </c>
      <c r="H14" s="56">
        <f>(G14-F14)*100</f>
        <v>-0.99999999999997868</v>
      </c>
      <c r="I14" s="23">
        <f ca="1">contrato/(1+F14%)^(E14/252)</f>
        <v>31854.973261227373</v>
      </c>
      <c r="J14" s="23">
        <f ca="1">I14</f>
        <v>31854.973261227373</v>
      </c>
      <c r="K14" s="23">
        <f ca="1">I14-contrato/(1+F14%+0.01%)^(E14/252)</f>
        <v>23.25655905613894</v>
      </c>
      <c r="L14" s="23">
        <f ca="1">K14*B14/pl*10000</f>
        <v>0</v>
      </c>
      <c r="M14" s="23">
        <f ca="1">J14*B14/pl</f>
        <v>0</v>
      </c>
      <c r="N14" s="23">
        <f ca="1">(((1+F14%)^(1/252))/(1+di_dia%)-1)*I14</f>
        <v>0.54146463494235619</v>
      </c>
      <c r="O14" s="23">
        <f ca="1">N14/K14</f>
        <v>2.3282233353408656E-2</v>
      </c>
      <c r="P14" s="23">
        <f ca="1">B14*N14</f>
        <v>0</v>
      </c>
      <c r="Q14" s="23">
        <f ca="1">-B14*K14*H14</f>
        <v>0</v>
      </c>
      <c r="R14" s="29">
        <f ca="1">IFERROR(Q14+P14,0)</f>
        <v>0</v>
      </c>
      <c r="S14" s="5"/>
      <c r="T14" s="67" t="s">
        <v>670</v>
      </c>
      <c r="U14" s="71">
        <f ca="1">SUM(U12:U13)</f>
        <v>4794308.9294664562</v>
      </c>
      <c r="V14" s="54">
        <f ca="1">SUM(V12:V13)</f>
        <v>0.73429746618857028</v>
      </c>
      <c r="W14" s="54">
        <f ca="1">SUM(W12:W13)</f>
        <v>859.46064770335215</v>
      </c>
      <c r="X14" s="136">
        <f ca="1">SUM(X12:X13)</f>
        <v>1.3163519188730963</v>
      </c>
    </row>
    <row r="15" spans="1:27" ht="15" thickBot="1" x14ac:dyDescent="0.35">
      <c r="A15" s="36" t="s">
        <v>41</v>
      </c>
      <c r="B15" s="16">
        <v>0</v>
      </c>
      <c r="C15" s="2" t="str">
        <f t="shared" si="0"/>
        <v>01/1/2037</v>
      </c>
      <c r="D15" s="2">
        <f>WORKDAY(C15-1,1,feriados)</f>
        <v>50042</v>
      </c>
      <c r="E15" s="1">
        <f t="shared" ca="1" si="2"/>
        <v>2612</v>
      </c>
      <c r="F15" s="61">
        <f>IF(RTD("rtdtrading.rtdserver",,$A$1&amp;A15,"AJA")=0,RTD("rtdtrading.rtdserver",,$A$1&amp;A15,"FEC"),RTD("rtdtrading.rtdserver",,$A$1&amp;A15,"AJA"))</f>
        <v>14.662000000000001</v>
      </c>
      <c r="G15" s="61">
        <f>IF(RTD("rtdtrading.rtdserver",,$A$1&amp;A15,"AJU")=0,RTD("rtdtrading.rtdserver",,$A$1&amp;A15,"ULT"),RTD("rtdtrading.rtdserver",,$A$1&amp;A15,"AJU"))</f>
        <v>14.670999999999999</v>
      </c>
      <c r="H15" s="56">
        <f>(G15-F15)*100</f>
        <v>0.89999999999985647</v>
      </c>
      <c r="I15" s="23">
        <f ca="1">contrato/(1+F15%)^(E15/252)</f>
        <v>24216.536796558998</v>
      </c>
      <c r="J15" s="23">
        <f ca="1">I15</f>
        <v>24216.536796558998</v>
      </c>
      <c r="K15" s="23">
        <f ca="1">I15-contrato/(1+F15%+0.01%)^(E15/252)</f>
        <v>21.880132406426128</v>
      </c>
      <c r="L15" s="23">
        <f ca="1">K15*B15/pl*10000</f>
        <v>0</v>
      </c>
      <c r="M15" s="23">
        <f ca="1">J15*B15/pl</f>
        <v>0</v>
      </c>
      <c r="N15" s="23">
        <f ca="1">(((1+F15%)^(1/252))/(1+di_dia%)-1)*I15</f>
        <v>0.43006810440337201</v>
      </c>
      <c r="O15" s="23">
        <f ca="1">N15/K15</f>
        <v>1.9655644509585433E-2</v>
      </c>
      <c r="P15" s="23">
        <f ca="1">B15*N15</f>
        <v>0</v>
      </c>
      <c r="Q15" s="23">
        <f ca="1">-B15*K15*H15</f>
        <v>0</v>
      </c>
      <c r="R15" s="29">
        <f ca="1">IFERROR(Q15+P15,0)</f>
        <v>0</v>
      </c>
      <c r="S15" s="5"/>
      <c r="V15" s="64"/>
    </row>
    <row r="16" spans="1:27" ht="15" thickBot="1" x14ac:dyDescent="0.35">
      <c r="A16" s="3" t="s">
        <v>600</v>
      </c>
      <c r="B16" s="14"/>
      <c r="C16" s="14"/>
      <c r="D16" s="14"/>
      <c r="E16" s="14"/>
      <c r="F16" s="58"/>
      <c r="G16" s="58"/>
      <c r="H16" s="80"/>
      <c r="I16" s="14"/>
      <c r="J16" s="14"/>
      <c r="K16" s="39"/>
      <c r="L16" s="39"/>
      <c r="M16" s="14"/>
      <c r="N16" s="39"/>
      <c r="O16" s="39"/>
      <c r="P16" s="14"/>
      <c r="Q16" s="14"/>
      <c r="R16" s="14"/>
      <c r="S16" s="5"/>
      <c r="T16" s="48" t="s">
        <v>665</v>
      </c>
      <c r="U16" s="68" t="s">
        <v>671</v>
      </c>
      <c r="V16" s="68" t="s">
        <v>666</v>
      </c>
    </row>
    <row r="17" spans="1:26" x14ac:dyDescent="0.3">
      <c r="A17" s="35" t="s">
        <v>13</v>
      </c>
      <c r="B17" s="26">
        <v>0</v>
      </c>
      <c r="C17" s="21" t="s">
        <v>643</v>
      </c>
      <c r="D17" s="21">
        <f t="shared" ref="D17:D28" si="14">WORKDAY(C17-1,1,feriados)</f>
        <v>46251</v>
      </c>
      <c r="E17" s="1">
        <f t="shared" ref="E17:E26" ca="1" si="15">NETWORKDAYS($C$31,D17,feriados)-1</f>
        <v>13</v>
      </c>
      <c r="F17" s="60">
        <f>IF(RTD("rtdtrading.rtdserver",,$A$16&amp;A17,"AJA")=0,RTD("rtdtrading.rtdserver",,$A$16&amp;A17,"FEC"),RTD("rtdtrading.rtdserver",,$A$16&amp;A17,"AJA"))</f>
        <v>15.523999999999999</v>
      </c>
      <c r="G17" s="61">
        <f>IF(RTD("rtdtrading.rtdserver",,$A$16&amp;A17,"AJU")=0,RTD("rtdtrading.rtdserver",,$A$16&amp;A17,"ULT"),RTD("rtdtrading.rtdserver",,$A$16&amp;A17,"AJU"))</f>
        <v>13.9</v>
      </c>
      <c r="H17" s="55">
        <f t="shared" ref="H17:H26" si="16">(G17-F17)*100</f>
        <v>-162.39999999999986</v>
      </c>
      <c r="I17" s="22">
        <f t="shared" ref="I17:I26" ca="1" si="17">contrato/(1+F17%)^(E17/252)</f>
        <v>99258.317517520816</v>
      </c>
      <c r="J17" s="22">
        <f t="shared" ref="J17:J26" ca="1" si="18">I17*$C$43</f>
        <v>183749.45858556914</v>
      </c>
      <c r="K17" s="22">
        <f t="shared" ref="K17:K26" ca="1" si="19">(I17-contrato/(1+F17%+0.01%)^(E17/252))*rs_dap</f>
        <v>0.81764819358960772</v>
      </c>
      <c r="L17" s="22">
        <f t="shared" ref="L17:L26" ca="1" si="20">K17*B17/pl*10000</f>
        <v>0</v>
      </c>
      <c r="M17" s="22">
        <f t="shared" ref="M17:M26" ca="1" si="21">J17*B17/pl</f>
        <v>0</v>
      </c>
      <c r="N17" s="22">
        <f t="shared" ref="N17:N26" ca="1" si="22">(((1+G17%)^(1/252)*(1+$C$41%)^(1/$C$39))/(1+di_dia%)-1)*J17</f>
        <v>2.3948757028394452</v>
      </c>
      <c r="O17" s="22">
        <f t="shared" ca="1" si="8"/>
        <v>2.928980607571031</v>
      </c>
      <c r="P17" s="22">
        <f t="shared" ref="P17:P26" ca="1" si="23">B17*N17</f>
        <v>0</v>
      </c>
      <c r="Q17" s="22">
        <f t="shared" ref="Q17:Q26" ca="1" si="24">-B17*K17*H17</f>
        <v>0</v>
      </c>
      <c r="R17" s="28">
        <f t="shared" ref="R17:R26" ca="1" si="25">IFERROR(Q17+P17,0)</f>
        <v>0</v>
      </c>
      <c r="S17" s="5"/>
      <c r="T17" s="65" t="s">
        <v>675</v>
      </c>
      <c r="U17" s="69">
        <f ca="1">SUMPRODUCT(J28,B28)</f>
        <v>0</v>
      </c>
      <c r="V17" s="73">
        <f ca="1">U17/pl</f>
        <v>0</v>
      </c>
    </row>
    <row r="18" spans="1:26" ht="15" thickBot="1" x14ac:dyDescent="0.35">
      <c r="A18" s="36" t="s">
        <v>601</v>
      </c>
      <c r="B18" s="16">
        <v>0</v>
      </c>
      <c r="C18" s="2" t="s">
        <v>644</v>
      </c>
      <c r="D18" s="2">
        <f t="shared" si="14"/>
        <v>46524</v>
      </c>
      <c r="E18" s="1">
        <f t="shared" ca="1" si="15"/>
        <v>198</v>
      </c>
      <c r="F18" s="61">
        <f>IF(RTD("rtdtrading.rtdserver",,$A$16&amp;A18,"AJA")=0,RTD("rtdtrading.rtdserver",,$A$16&amp;A18,"FEC"),RTD("rtdtrading.rtdserver",,$A$16&amp;A18,"AJA"))</f>
        <v>8.81</v>
      </c>
      <c r="G18" s="61">
        <f>IF(RTD("rtdtrading.rtdserver",,$A$16&amp;A18,"AJU")=0,RTD("rtdtrading.rtdserver",,$A$16&amp;A18,"ULT"),RTD("rtdtrading.rtdserver",,$A$16&amp;A18,"AJU"))</f>
        <v>8.7799999999999994</v>
      </c>
      <c r="H18" s="56">
        <f t="shared" si="16"/>
        <v>-3.0000000000001137</v>
      </c>
      <c r="I18" s="23">
        <f t="shared" ca="1" si="17"/>
        <v>93581.23922114959</v>
      </c>
      <c r="J18" s="23">
        <f t="shared" ca="1" si="18"/>
        <v>173239.91047518572</v>
      </c>
      <c r="K18" s="23">
        <f t="shared" ca="1" si="19"/>
        <v>12.465156636002707</v>
      </c>
      <c r="L18" s="23">
        <f t="shared" ca="1" si="20"/>
        <v>0</v>
      </c>
      <c r="M18" s="23">
        <f t="shared" ca="1" si="21"/>
        <v>0</v>
      </c>
      <c r="N18" s="23">
        <f t="shared" ca="1" si="22"/>
        <v>-29.358230851843739</v>
      </c>
      <c r="O18" s="23">
        <f t="shared" ca="1" si="8"/>
        <v>-2.355223581150141</v>
      </c>
      <c r="P18" s="23">
        <f t="shared" ca="1" si="23"/>
        <v>0</v>
      </c>
      <c r="Q18" s="23">
        <f t="shared" ca="1" si="24"/>
        <v>0</v>
      </c>
      <c r="R18" s="29">
        <f t="shared" ca="1" si="25"/>
        <v>0</v>
      </c>
      <c r="S18" s="5"/>
      <c r="T18" s="67" t="s">
        <v>678</v>
      </c>
      <c r="U18" s="71">
        <f ca="1">SUM(U17:U17)</f>
        <v>0</v>
      </c>
      <c r="V18" s="74">
        <f ca="1">SUM(V17:V17)</f>
        <v>0</v>
      </c>
    </row>
    <row r="19" spans="1:26" x14ac:dyDescent="0.3">
      <c r="A19" s="36" t="s">
        <v>602</v>
      </c>
      <c r="B19" s="16">
        <v>0</v>
      </c>
      <c r="C19" s="2" t="s">
        <v>645</v>
      </c>
      <c r="D19" s="2">
        <f t="shared" si="14"/>
        <v>46980</v>
      </c>
      <c r="E19" s="1">
        <f t="shared" ca="1" si="15"/>
        <v>513</v>
      </c>
      <c r="F19" s="61">
        <f>IF(RTD("rtdtrading.rtdserver",,$A$16&amp;A19,"AJA")=0,RTD("rtdtrading.rtdserver",,$A$16&amp;A19,"FEC"),RTD("rtdtrading.rtdserver",,$A$16&amp;A19,"AJA"))</f>
        <v>8.52</v>
      </c>
      <c r="G19" s="61">
        <f>IF(RTD("rtdtrading.rtdserver",,$A$16&amp;A19,"AJU")=0,RTD("rtdtrading.rtdserver",,$A$16&amp;A19,"ULT"),RTD("rtdtrading.rtdserver",,$A$16&amp;A19,"AJU"))</f>
        <v>8.5749999999999993</v>
      </c>
      <c r="H19" s="56">
        <f t="shared" si="16"/>
        <v>5.4999999999999716</v>
      </c>
      <c r="I19" s="23">
        <f t="shared" ca="1" si="17"/>
        <v>84666.620133589618</v>
      </c>
      <c r="J19" s="23">
        <f t="shared" ca="1" si="18"/>
        <v>156736.94657448714</v>
      </c>
      <c r="K19" s="23">
        <f t="shared" ca="1" si="19"/>
        <v>29.295928408705212</v>
      </c>
      <c r="L19" s="23">
        <f t="shared" ca="1" si="20"/>
        <v>0</v>
      </c>
      <c r="M19" s="23">
        <f t="shared" ca="1" si="21"/>
        <v>0</v>
      </c>
      <c r="N19" s="23">
        <f t="shared" ca="1" si="22"/>
        <v>-27.734576021343681</v>
      </c>
      <c r="O19" s="23">
        <f t="shared" ca="1" si="8"/>
        <v>-0.94670411650454545</v>
      </c>
      <c r="P19" s="23">
        <f t="shared" ca="1" si="23"/>
        <v>0</v>
      </c>
      <c r="Q19" s="23">
        <f t="shared" ca="1" si="24"/>
        <v>0</v>
      </c>
      <c r="R19" s="29">
        <f t="shared" ca="1" si="25"/>
        <v>0</v>
      </c>
      <c r="S19" s="5"/>
    </row>
    <row r="20" spans="1:26" ht="15" x14ac:dyDescent="0.3">
      <c r="A20" s="36" t="s">
        <v>603</v>
      </c>
      <c r="B20" s="16">
        <v>0</v>
      </c>
      <c r="C20" s="2" t="s">
        <v>646</v>
      </c>
      <c r="D20" s="2">
        <f t="shared" si="14"/>
        <v>47253</v>
      </c>
      <c r="E20" s="1">
        <f t="shared" ca="1" si="15"/>
        <v>697</v>
      </c>
      <c r="F20" s="61">
        <f>IF(RTD("rtdtrading.rtdserver",,$A$16&amp;A20,"AJA")=0,RTD("rtdtrading.rtdserver",,$A$16&amp;A20,"FEC"),RTD("rtdtrading.rtdserver",,$A$16&amp;A20,"AJA"))</f>
        <v>8.3249999999999993</v>
      </c>
      <c r="G20" s="61">
        <f>IF(RTD("rtdtrading.rtdserver",,$A$16&amp;A20,"AJU")=0,RTD("rtdtrading.rtdserver",,$A$16&amp;A20,"ULT"),RTD("rtdtrading.rtdserver",,$A$16&amp;A20,"AJU"))</f>
        <v>8.39</v>
      </c>
      <c r="H20" s="56">
        <f t="shared" si="16"/>
        <v>6.5000000000001279</v>
      </c>
      <c r="I20" s="23">
        <f t="shared" ca="1" si="17"/>
        <v>80157.623373486669</v>
      </c>
      <c r="J20" s="23">
        <f t="shared" ca="1" si="18"/>
        <v>148389.77996765086</v>
      </c>
      <c r="K20" s="23">
        <f t="shared" ca="1" si="19"/>
        <v>37.750406294126321</v>
      </c>
      <c r="L20" s="23">
        <f t="shared" ca="1" si="20"/>
        <v>0</v>
      </c>
      <c r="M20" s="23">
        <f t="shared" ca="1" si="21"/>
        <v>0</v>
      </c>
      <c r="N20" s="23">
        <f t="shared" ca="1" si="22"/>
        <v>-27.261554543801189</v>
      </c>
      <c r="O20" s="23">
        <f t="shared" ca="1" si="8"/>
        <v>-0.72215261291221866</v>
      </c>
      <c r="P20" s="23">
        <f t="shared" ca="1" si="23"/>
        <v>0</v>
      </c>
      <c r="Q20" s="23">
        <f t="shared" ca="1" si="24"/>
        <v>0</v>
      </c>
      <c r="R20" s="29">
        <f t="shared" ca="1" si="25"/>
        <v>0</v>
      </c>
      <c r="S20" s="5"/>
      <c r="T20" s="184"/>
      <c r="U20" s="5"/>
      <c r="V20" s="5"/>
      <c r="W20" s="5"/>
      <c r="X20" s="5"/>
    </row>
    <row r="21" spans="1:26" ht="15" x14ac:dyDescent="0.3">
      <c r="A21" s="36" t="s">
        <v>604</v>
      </c>
      <c r="B21" s="16">
        <v>0</v>
      </c>
      <c r="C21" s="2" t="s">
        <v>647</v>
      </c>
      <c r="D21" s="2">
        <f t="shared" si="14"/>
        <v>47710</v>
      </c>
      <c r="E21" s="1">
        <f t="shared" ca="1" si="15"/>
        <v>1011</v>
      </c>
      <c r="F21" s="61">
        <f>IF(RTD("rtdtrading.rtdserver",,$A$16&amp;A21,"AJA")=0,RTD("rtdtrading.rtdserver",,$A$16&amp;A21,"FEC"),RTD("rtdtrading.rtdserver",,$A$16&amp;A21,"AJA"))</f>
        <v>8.3350000000000009</v>
      </c>
      <c r="G21" s="61">
        <f>IF(RTD("rtdtrading.rtdserver",,$A$16&amp;A21,"AJU")=0,RTD("rtdtrading.rtdserver",,$A$16&amp;A21,"ULT"),RTD("rtdtrading.rtdserver",,$A$16&amp;A21,"AJU"))</f>
        <v>8.4</v>
      </c>
      <c r="H21" s="56">
        <f t="shared" si="16"/>
        <v>6.4999999999999503</v>
      </c>
      <c r="I21" s="23">
        <f t="shared" ca="1" si="17"/>
        <v>72528.874009836931</v>
      </c>
      <c r="J21" s="23">
        <f t="shared" ca="1" si="18"/>
        <v>134267.24998412371</v>
      </c>
      <c r="K21" s="23">
        <f t="shared" ca="1" si="19"/>
        <v>49.538294956717863</v>
      </c>
      <c r="L21" s="23">
        <f t="shared" ca="1" si="20"/>
        <v>0</v>
      </c>
      <c r="M21" s="23">
        <f t="shared" ca="1" si="21"/>
        <v>0</v>
      </c>
      <c r="N21" s="23">
        <f t="shared" ca="1" si="22"/>
        <v>-24.617876803682641</v>
      </c>
      <c r="O21" s="23">
        <f t="shared" ca="1" si="8"/>
        <v>-0.4969463891559357</v>
      </c>
      <c r="P21" s="23">
        <f t="shared" ca="1" si="23"/>
        <v>0</v>
      </c>
      <c r="Q21" s="23">
        <f t="shared" ca="1" si="24"/>
        <v>0</v>
      </c>
      <c r="R21" s="29">
        <f t="shared" ca="1" si="25"/>
        <v>0</v>
      </c>
      <c r="S21" s="5"/>
      <c r="T21" s="184"/>
      <c r="U21" s="4"/>
      <c r="V21" s="179"/>
      <c r="W21" s="179"/>
      <c r="X21" s="179"/>
      <c r="Y21" s="179"/>
    </row>
    <row r="22" spans="1:26" x14ac:dyDescent="0.3">
      <c r="A22" s="36" t="s">
        <v>605</v>
      </c>
      <c r="B22" s="16">
        <v>0</v>
      </c>
      <c r="C22" s="2" t="s">
        <v>648</v>
      </c>
      <c r="D22" s="2">
        <f t="shared" si="14"/>
        <v>48442</v>
      </c>
      <c r="E22" s="1">
        <f t="shared" ca="1" si="15"/>
        <v>1515</v>
      </c>
      <c r="F22" s="61">
        <f>IF(RTD("rtdtrading.rtdserver",,$A$16&amp;A22,"AJA")=0,RTD("rtdtrading.rtdserver",,$A$16&amp;A22,"FEC"),RTD("rtdtrading.rtdserver",,$A$16&amp;A22,"AJA"))</f>
        <v>8.2899999999999991</v>
      </c>
      <c r="G22" s="61">
        <f>IF(RTD("rtdtrading.rtdserver",,$A$16&amp;A22,"AJU")=0,RTD("rtdtrading.rtdserver",,$A$16&amp;A22,"ULT"),RTD("rtdtrading.rtdserver",,$A$16&amp;A22,"AJU"))</f>
        <v>8.34</v>
      </c>
      <c r="H22" s="56">
        <f t="shared" si="16"/>
        <v>5.0000000000000711</v>
      </c>
      <c r="I22" s="23">
        <f t="shared" ca="1" si="17"/>
        <v>61952.396611848373</v>
      </c>
      <c r="J22" s="23">
        <f t="shared" ca="1" si="18"/>
        <v>114687.81277192375</v>
      </c>
      <c r="K22" s="23">
        <f t="shared" ca="1" si="19"/>
        <v>63.429311989868033</v>
      </c>
      <c r="L22" s="23">
        <f t="shared" ca="1" si="20"/>
        <v>0</v>
      </c>
      <c r="M22" s="23">
        <f t="shared" ca="1" si="21"/>
        <v>0</v>
      </c>
      <c r="N22" s="23">
        <f t="shared" ca="1" si="22"/>
        <v>-21.279919787690744</v>
      </c>
      <c r="O22" s="23">
        <f t="shared" ca="1" si="8"/>
        <v>-0.33549031386450984</v>
      </c>
      <c r="P22" s="23">
        <f t="shared" ca="1" si="23"/>
        <v>0</v>
      </c>
      <c r="Q22" s="23">
        <f t="shared" ca="1" si="24"/>
        <v>0</v>
      </c>
      <c r="R22" s="29">
        <f t="shared" ca="1" si="25"/>
        <v>0</v>
      </c>
      <c r="S22" s="5"/>
      <c r="T22" s="82"/>
      <c r="U22"/>
      <c r="V22" s="179"/>
      <c r="W22" s="179"/>
      <c r="X22" s="179"/>
      <c r="Y22" s="179"/>
    </row>
    <row r="23" spans="1:26" x14ac:dyDescent="0.3">
      <c r="A23" s="36" t="s">
        <v>606</v>
      </c>
      <c r="B23" s="16">
        <v>0</v>
      </c>
      <c r="C23" s="2" t="s">
        <v>649</v>
      </c>
      <c r="D23" s="2">
        <f t="shared" si="14"/>
        <v>48715</v>
      </c>
      <c r="E23" s="1">
        <f t="shared" ca="1" si="15"/>
        <v>1702</v>
      </c>
      <c r="F23" s="61">
        <f>IF(RTD("rtdtrading.rtdserver",,$A$16&amp;A23,"AJA")=0,RTD("rtdtrading.rtdserver",,$A$16&amp;A23,"FEC"),RTD("rtdtrading.rtdserver",,$A$16&amp;A23,"AJA"))</f>
        <v>8.25</v>
      </c>
      <c r="G23" s="61">
        <f>IF(RTD("rtdtrading.rtdserver",,$A$16&amp;A23,"AJU")=0,RTD("rtdtrading.rtdserver",,$A$16&amp;A23,"ULT"),RTD("rtdtrading.rtdserver",,$A$16&amp;A23,"AJU"))</f>
        <v>8.2850000000000001</v>
      </c>
      <c r="H23" s="56">
        <f t="shared" si="16"/>
        <v>3.5000000000000142</v>
      </c>
      <c r="I23" s="23">
        <f t="shared" ca="1" si="17"/>
        <v>58543.006549454862</v>
      </c>
      <c r="J23" s="23">
        <f t="shared" ca="1" si="18"/>
        <v>108376.26534960074</v>
      </c>
      <c r="K23" s="23">
        <f t="shared" ca="1" si="19"/>
        <v>67.359576442136728</v>
      </c>
      <c r="L23" s="23">
        <f t="shared" ca="1" si="20"/>
        <v>0</v>
      </c>
      <c r="M23" s="23">
        <f t="shared" ca="1" si="21"/>
        <v>0</v>
      </c>
      <c r="N23" s="23">
        <f t="shared" ca="1" si="22"/>
        <v>-20.327176112127617</v>
      </c>
      <c r="O23" s="23">
        <f t="shared" ca="1" si="8"/>
        <v>-0.30177113909837427</v>
      </c>
      <c r="P23" s="23">
        <f t="shared" ca="1" si="23"/>
        <v>0</v>
      </c>
      <c r="Q23" s="23">
        <f t="shared" ca="1" si="24"/>
        <v>0</v>
      </c>
      <c r="R23" s="29">
        <f t="shared" ca="1" si="25"/>
        <v>0</v>
      </c>
      <c r="S23" s="5"/>
      <c r="T23" s="82"/>
      <c r="U23"/>
      <c r="V23" s="179"/>
      <c r="W23" s="179"/>
      <c r="X23" s="179"/>
      <c r="Y23" s="179"/>
    </row>
    <row r="24" spans="1:26" x14ac:dyDescent="0.3">
      <c r="A24" s="36" t="s">
        <v>607</v>
      </c>
      <c r="B24" s="16">
        <v>0</v>
      </c>
      <c r="C24" s="2">
        <v>49444</v>
      </c>
      <c r="D24" s="2">
        <f t="shared" si="14"/>
        <v>49444</v>
      </c>
      <c r="E24" s="1">
        <f t="shared" ca="1" si="15"/>
        <v>2201</v>
      </c>
      <c r="F24" s="61">
        <v>7.09</v>
      </c>
      <c r="G24" s="61">
        <f>IF(RTD("rtdtrading.rtdserver",,$A$16&amp;A24,"AJU")=0,RTD("rtdtrading.rtdserver",,$A$16&amp;A24,"ULT"),RTD("rtdtrading.rtdserver",,$A$16&amp;A24,"AJU"))</f>
        <v>8.18</v>
      </c>
      <c r="H24" s="56">
        <f t="shared" si="16"/>
        <v>108.99999999999999</v>
      </c>
      <c r="I24" s="23">
        <f t="shared" ca="1" si="17"/>
        <v>54975.497424594083</v>
      </c>
      <c r="J24" s="23">
        <f t="shared" ca="1" si="18"/>
        <v>101772.00399813734</v>
      </c>
      <c r="K24" s="23">
        <f t="shared" ca="1" si="19"/>
        <v>82.678223507239792</v>
      </c>
      <c r="L24" s="23">
        <f t="shared" ca="1" si="20"/>
        <v>0</v>
      </c>
      <c r="M24" s="23">
        <f t="shared" ca="1" si="21"/>
        <v>0</v>
      </c>
      <c r="N24" s="23">
        <f t="shared" ca="1" si="22"/>
        <v>-19.48019455676901</v>
      </c>
      <c r="O24" s="23">
        <f t="shared" ca="1" si="8"/>
        <v>-0.23561457576629244</v>
      </c>
      <c r="P24" s="23">
        <f t="shared" ca="1" si="23"/>
        <v>0</v>
      </c>
      <c r="Q24" s="23">
        <f t="shared" ca="1" si="24"/>
        <v>0</v>
      </c>
      <c r="R24" s="29">
        <f t="shared" ca="1" si="25"/>
        <v>0</v>
      </c>
      <c r="S24" s="5"/>
      <c r="T24" s="179"/>
      <c r="U24" s="4"/>
      <c r="V24" s="179"/>
      <c r="W24" s="179"/>
      <c r="X24" s="179"/>
      <c r="Y24" s="179"/>
    </row>
    <row r="25" spans="1:26" x14ac:dyDescent="0.3">
      <c r="A25" s="36" t="s">
        <v>608</v>
      </c>
      <c r="B25" s="16">
        <v>0</v>
      </c>
      <c r="C25" s="2" t="s">
        <v>650</v>
      </c>
      <c r="D25" s="2">
        <f t="shared" si="14"/>
        <v>51363</v>
      </c>
      <c r="E25" s="1">
        <f t="shared" ca="1" si="15"/>
        <v>3520</v>
      </c>
      <c r="F25" s="61">
        <f>IF(RTD("rtdtrading.rtdserver",,$A$16&amp;A25,"AJA")=0,RTD("rtdtrading.rtdserver",,$A$16&amp;A25,"FEC"),RTD("rtdtrading.rtdserver",,$A$16&amp;A25,"AJA"))</f>
        <v>7.8250000000000002</v>
      </c>
      <c r="G25" s="61">
        <f>IF(RTD("rtdtrading.rtdserver",,$A$16&amp;A25,"AJU")=0,RTD("rtdtrading.rtdserver",,$A$16&amp;A25,"ULT"),RTD("rtdtrading.rtdserver",,$A$16&amp;A25,"AJU"))</f>
        <v>7.88</v>
      </c>
      <c r="H25" s="56">
        <f t="shared" si="16"/>
        <v>5.4999999999999716</v>
      </c>
      <c r="I25" s="23">
        <f t="shared" ca="1" si="17"/>
        <v>34911.312599983466</v>
      </c>
      <c r="J25" s="23">
        <f t="shared" ca="1" si="18"/>
        <v>64628.687541738487</v>
      </c>
      <c r="K25" s="23">
        <f t="shared" ca="1" si="19"/>
        <v>83.375063657552914</v>
      </c>
      <c r="L25" s="23">
        <f t="shared" ca="1" si="20"/>
        <v>0</v>
      </c>
      <c r="M25" s="23">
        <f t="shared" ca="1" si="21"/>
        <v>0</v>
      </c>
      <c r="N25" s="23">
        <f t="shared" ca="1" si="22"/>
        <v>-13.082646508499122</v>
      </c>
      <c r="O25" s="23">
        <f t="shared" ca="1" si="8"/>
        <v>-0.15691318164665619</v>
      </c>
      <c r="P25" s="23">
        <f t="shared" ca="1" si="23"/>
        <v>0</v>
      </c>
      <c r="Q25" s="23">
        <f t="shared" ca="1" si="24"/>
        <v>0</v>
      </c>
      <c r="R25" s="29">
        <f t="shared" ca="1" si="25"/>
        <v>0</v>
      </c>
      <c r="S25" s="5"/>
      <c r="T25" s="4"/>
      <c r="U25" s="142"/>
      <c r="V25" s="179"/>
      <c r="W25" s="179"/>
      <c r="X25" s="179"/>
      <c r="Y25" s="179"/>
    </row>
    <row r="26" spans="1:26" x14ac:dyDescent="0.3">
      <c r="A26" s="37" t="s">
        <v>609</v>
      </c>
      <c r="B26" s="27">
        <v>0</v>
      </c>
      <c r="C26" s="20" t="s">
        <v>651</v>
      </c>
      <c r="D26" s="20">
        <f>WORKDAY(C26-1,1,feriados)</f>
        <v>53097</v>
      </c>
      <c r="E26" s="1">
        <f t="shared" ca="1" si="15"/>
        <v>4707</v>
      </c>
      <c r="F26" s="62">
        <f>IF(RTD("rtdtrading.rtdserver",,$A$16&amp;A26,"AJA")=0,RTD("rtdtrading.rtdserver",,$A$16&amp;A26,"FEC"),RTD("rtdtrading.rtdserver",,$A$16&amp;A26,"AJA"))</f>
        <v>7.6749999999999998</v>
      </c>
      <c r="G26" s="61">
        <f>IF(RTD("rtdtrading.rtdserver",,$A$16&amp;A26,"AJU")=0,RTD("rtdtrading.rtdserver",,$A$16&amp;A26,"ULT"),RTD("rtdtrading.rtdserver",,$A$16&amp;A26,"AJU"))</f>
        <v>7.7690000000000001</v>
      </c>
      <c r="H26" s="57">
        <f t="shared" si="16"/>
        <v>9.4000000000000306</v>
      </c>
      <c r="I26" s="24">
        <f t="shared" ca="1" si="17"/>
        <v>25126.957887266763</v>
      </c>
      <c r="J26" s="24">
        <f t="shared" ca="1" si="18"/>
        <v>46515.647485891262</v>
      </c>
      <c r="K26" s="24">
        <f t="shared" ca="1" si="19"/>
        <v>80.337932297475675</v>
      </c>
      <c r="L26" s="24">
        <f t="shared" ca="1" si="20"/>
        <v>0</v>
      </c>
      <c r="M26" s="24">
        <f t="shared" ca="1" si="21"/>
        <v>0</v>
      </c>
      <c r="N26" s="24">
        <f t="shared" ca="1" si="22"/>
        <v>-9.6060459232007975</v>
      </c>
      <c r="O26" s="24">
        <f t="shared" ca="1" si="8"/>
        <v>-0.11957048991043839</v>
      </c>
      <c r="P26" s="24">
        <f t="shared" ca="1" si="23"/>
        <v>0</v>
      </c>
      <c r="Q26" s="24">
        <f t="shared" ca="1" si="24"/>
        <v>0</v>
      </c>
      <c r="R26" s="30">
        <f t="shared" ca="1" si="25"/>
        <v>0</v>
      </c>
      <c r="S26" s="5"/>
      <c r="T26" s="142"/>
      <c r="U26" s="179"/>
      <c r="V26" s="179"/>
      <c r="W26" s="179"/>
      <c r="X26" s="179"/>
      <c r="Y26" s="179"/>
    </row>
    <row r="27" spans="1:26" x14ac:dyDescent="0.3">
      <c r="A27" s="3" t="s">
        <v>660</v>
      </c>
      <c r="B27" s="14"/>
      <c r="C27" s="14"/>
      <c r="D27" s="14"/>
      <c r="E27" s="14"/>
      <c r="F27" s="58"/>
      <c r="G27" s="58"/>
      <c r="H27" s="58"/>
      <c r="I27" s="14"/>
      <c r="J27" s="14"/>
      <c r="K27" s="39"/>
      <c r="L27" s="39"/>
      <c r="M27" s="14"/>
      <c r="N27" s="39"/>
      <c r="O27" s="39"/>
      <c r="P27" s="14"/>
      <c r="Q27" s="14"/>
      <c r="R27" s="14"/>
      <c r="S27" s="5"/>
      <c r="T27" s="188"/>
      <c r="U27" s="177"/>
      <c r="V27" s="5"/>
      <c r="W27" s="5"/>
      <c r="X27" s="5"/>
    </row>
    <row r="28" spans="1:26" x14ac:dyDescent="0.3">
      <c r="A28" s="43" t="str">
        <f ca="1">IFERROR(VLOOKUP(MONTH(C31)+1,H31:I42,2,0)&amp;RIGHT(YEAR(C31),2),"F26")</f>
        <v>Q26</v>
      </c>
      <c r="B28" s="44">
        <v>0</v>
      </c>
      <c r="C28" s="20" t="str">
        <f ca="1">"01/"&amp;VLOOKUP(LEFT(A28,1),$G$31:$H$42,2,0)&amp;"/20"&amp;RIGHT(A28,2)</f>
        <v>01/8/2026</v>
      </c>
      <c r="D28" s="45">
        <f t="shared" ca="1" si="14"/>
        <v>46237</v>
      </c>
      <c r="E28" s="19">
        <f ca="1">NETWORKDAYS($C$31,D28,feriados)-1</f>
        <v>3</v>
      </c>
      <c r="F28" s="63">
        <f ca="1">RTD("rtdtrading.rtdserver",,$A$27&amp;A28,"AJA")</f>
        <v>5124.9040000000005</v>
      </c>
      <c r="G28" s="63">
        <f ca="1">RTD("rtdtrading.rtdserver",,$A$27&amp;A28,"ULT")</f>
        <v>5121</v>
      </c>
      <c r="H28" s="59">
        <f ca="1">(G28-F28)*100</f>
        <v>-390.40000000004511</v>
      </c>
      <c r="I28" s="46">
        <f ca="1">10*F28</f>
        <v>51249.040000000008</v>
      </c>
      <c r="J28" s="46">
        <f ca="1">G28*10</f>
        <v>51210</v>
      </c>
      <c r="K28" s="46">
        <f>F31</f>
        <v>5</v>
      </c>
      <c r="L28" s="46"/>
      <c r="M28" s="140">
        <f ca="1">J28*B28/pl</f>
        <v>0</v>
      </c>
      <c r="N28" s="46">
        <f ca="1">-(((1+di_dia%)/((F34%)*1/360+1)-1)*J28)</f>
        <v>-19.999270089540495</v>
      </c>
      <c r="O28" s="46"/>
      <c r="P28" s="46">
        <f ca="1">B28*N28</f>
        <v>0</v>
      </c>
      <c r="Q28" s="46">
        <f ca="1">(J28-I28)*B28</f>
        <v>0</v>
      </c>
      <c r="R28" s="47">
        <f ca="1">IFERROR(Q28+P28,0)</f>
        <v>0</v>
      </c>
      <c r="S28" s="5"/>
      <c r="T28" s="189"/>
      <c r="U28" s="170"/>
      <c r="V28" s="170"/>
      <c r="W28" s="170"/>
      <c r="X28" s="170"/>
      <c r="Y28" s="170"/>
      <c r="Z28" s="170"/>
    </row>
    <row r="29" spans="1:26" x14ac:dyDescent="0.3">
      <c r="A29" s="8"/>
      <c r="B29" s="4"/>
      <c r="C29" s="2"/>
      <c r="D29" s="2"/>
      <c r="F29" s="5"/>
      <c r="G29" s="5"/>
      <c r="H29" s="18"/>
      <c r="I29" s="23"/>
      <c r="R29" s="23"/>
      <c r="S29" s="5"/>
      <c r="T29" s="181"/>
      <c r="U29" s="178"/>
      <c r="V29" s="182"/>
      <c r="W29" s="171"/>
      <c r="X29" s="171"/>
      <c r="Y29" s="171"/>
      <c r="Z29" s="171"/>
    </row>
    <row r="30" spans="1:26" x14ac:dyDescent="0.3">
      <c r="B30" s="41" t="s">
        <v>600</v>
      </c>
      <c r="E30" s="41" t="s">
        <v>661</v>
      </c>
      <c r="G30" s="3" t="s">
        <v>47</v>
      </c>
      <c r="H30" s="3" t="s">
        <v>48</v>
      </c>
      <c r="I30" s="3" t="s">
        <v>47</v>
      </c>
      <c r="K30" s="3" t="s">
        <v>18</v>
      </c>
      <c r="L30" s="3" t="s">
        <v>20</v>
      </c>
      <c r="M30" s="3" t="s">
        <v>23</v>
      </c>
      <c r="N30" s="3" t="s">
        <v>27</v>
      </c>
      <c r="O30" s="3" t="s">
        <v>31</v>
      </c>
      <c r="P30" s="3" t="s">
        <v>35</v>
      </c>
      <c r="Q30" s="3" t="s">
        <v>37</v>
      </c>
      <c r="S30" s="5"/>
      <c r="T30" s="170"/>
      <c r="U30" s="178"/>
      <c r="V30" s="171"/>
      <c r="W30" s="171"/>
      <c r="X30" s="171"/>
      <c r="Y30" s="171"/>
      <c r="Z30" s="171"/>
    </row>
    <row r="31" spans="1:26" x14ac:dyDescent="0.3">
      <c r="B31" s="38" t="s">
        <v>1</v>
      </c>
      <c r="C31" s="31">
        <f ca="1">TODAY()</f>
        <v>46232</v>
      </c>
      <c r="E31" s="38" t="s">
        <v>634</v>
      </c>
      <c r="F31" s="42">
        <v>5</v>
      </c>
      <c r="G31" s="8" t="s">
        <v>613</v>
      </c>
      <c r="H31" s="8">
        <v>1</v>
      </c>
      <c r="I31" s="8" t="s">
        <v>613</v>
      </c>
      <c r="K31" s="3" t="s">
        <v>18</v>
      </c>
      <c r="L31" s="143">
        <f t="shared" ref="L31:Q31" ca="1" si="26">((((1+VLOOKUP(L$30,$A$1:$R$16,7,0)%)^(VLOOKUP(L$30,$A$1:$R$16,5,0)/252))/((1+VLOOKUP($K31,$A$1:$R$16,7,0)%)^(VLOOKUP($K31,$A$1:$R$16,5,0)/252)))^(252/(VLOOKUP(L$30,$A$1:$R$16,5,0)-VLOOKUP($K31,$A$1:$R$16,5,0)))-1)*100</f>
        <v>13.939255090571368</v>
      </c>
      <c r="M31" s="143">
        <f t="shared" ca="1" si="26"/>
        <v>13.984656182234744</v>
      </c>
      <c r="N31" s="143">
        <f t="shared" ca="1" si="26"/>
        <v>14.273266265290419</v>
      </c>
      <c r="O31" s="143">
        <f t="shared" ca="1" si="26"/>
        <v>14.441154146849922</v>
      </c>
      <c r="P31" s="143">
        <f t="shared" ca="1" si="26"/>
        <v>14.515248006890369</v>
      </c>
      <c r="Q31" s="143">
        <f t="shared" ca="1" si="26"/>
        <v>14.645545596720911</v>
      </c>
      <c r="S31" s="5"/>
      <c r="T31" s="180"/>
      <c r="U31" s="172"/>
      <c r="V31" s="171"/>
      <c r="W31" s="171"/>
      <c r="X31" s="171"/>
      <c r="Y31" s="171"/>
      <c r="Z31" s="171"/>
    </row>
    <row r="32" spans="1:26" x14ac:dyDescent="0.3">
      <c r="B32" s="38" t="s">
        <v>633</v>
      </c>
      <c r="C32" s="32">
        <v>100000</v>
      </c>
      <c r="E32" s="38" t="s">
        <v>662</v>
      </c>
      <c r="F32" s="42">
        <f>RTD("rtdtrading.rtdserver",,E32,"ULT")</f>
        <v>5.1211000000000002</v>
      </c>
      <c r="G32" s="8" t="s">
        <v>614</v>
      </c>
      <c r="H32" s="8">
        <v>2</v>
      </c>
      <c r="I32" s="8" t="s">
        <v>614</v>
      </c>
      <c r="K32" s="3" t="s">
        <v>20</v>
      </c>
      <c r="L32" s="144" t="s">
        <v>694</v>
      </c>
      <c r="M32" s="143">
        <f ca="1">((((1+VLOOKUP(M$30,$A$1:$R$16,7,0)%)^(VLOOKUP(M$30,$A$1:$R$16,5,0)/252))/((1+VLOOKUP($K32,$A$1:$R$16,7,0)%)^(VLOOKUP($K32,$A$1:$R$16,5,0)/252)))^(252/(VLOOKUP(M$30,$A$1:$R$16,5,0)-VLOOKUP($K32,$A$1:$R$16,5,0)))-1)*100</f>
        <v>14.02830083831763</v>
      </c>
      <c r="N32" s="143">
        <f ca="1">((((1+VLOOKUP(N$30,$A$1:$R$16,7,0)%)^(VLOOKUP(N$30,$A$1:$R$16,5,0)/252))/((1+VLOOKUP($K32,$A$1:$R$16,7,0)%)^(VLOOKUP($K32,$A$1:$R$16,5,0)/252)))^(252/(VLOOKUP(N$30,$A$1:$R$16,5,0)-VLOOKUP($K32,$A$1:$R$16,5,0)))-1)*100</f>
        <v>14.382742963443063</v>
      </c>
      <c r="O32" s="143">
        <f ca="1">((((1+VLOOKUP(O$30,$A$1:$R$16,7,0)%)^(VLOOKUP(O$30,$A$1:$R$16,5,0)/252))/((1+VLOOKUP($K32,$A$1:$R$16,7,0)%)^(VLOOKUP($K32,$A$1:$R$16,5,0)/252)))^(252/(VLOOKUP(O$30,$A$1:$R$16,5,0)-VLOOKUP($K32,$A$1:$R$16,5,0)))-1)*100</f>
        <v>14.540187935753179</v>
      </c>
      <c r="P32" s="143">
        <f ca="1">((((1+VLOOKUP(P$30,$A$1:$R$16,7,0)%)^(VLOOKUP(P$30,$A$1:$R$16,5,0)/252))/((1+VLOOKUP($K32,$A$1:$R$16,7,0)%)^(VLOOKUP($K32,$A$1:$R$16,5,0)/252)))^(252/(VLOOKUP(P$30,$A$1:$R$16,5,0)-VLOOKUP($K32,$A$1:$R$16,5,0)))-1)*100</f>
        <v>14.596263998339577</v>
      </c>
      <c r="Q32" s="143">
        <f ca="1">((((1+VLOOKUP(Q$30,$A$1:$R$16,7,0)%)^(VLOOKUP(Q$30,$A$1:$R$16,5,0)/252))/((1+VLOOKUP($K32,$A$1:$R$16,7,0)%)^(VLOOKUP($K32,$A$1:$R$16,5,0)/252)))^(252/(VLOOKUP(Q$30,$A$1:$R$16,5,0)-VLOOKUP($K32,$A$1:$R$16,5,0)))-1)*100</f>
        <v>14.708663932381949</v>
      </c>
      <c r="S32" s="5"/>
      <c r="T32" s="180"/>
      <c r="U32" s="172"/>
      <c r="V32" s="171"/>
      <c r="W32" s="171"/>
      <c r="X32" s="171"/>
      <c r="Y32" s="171"/>
      <c r="Z32" s="171"/>
    </row>
    <row r="33" spans="2:26" x14ac:dyDescent="0.3">
      <c r="B33" s="38" t="s">
        <v>634</v>
      </c>
      <c r="C33" s="33">
        <v>2.5000000000000001E-4</v>
      </c>
      <c r="E33" s="38" t="s">
        <v>663</v>
      </c>
      <c r="F33" s="42">
        <f>RTD("rtdtrading.rtdserver",,E33,"ULT")</f>
        <v>5.1276000000000002</v>
      </c>
      <c r="G33" s="8" t="s">
        <v>615</v>
      </c>
      <c r="H33" s="8">
        <v>3</v>
      </c>
      <c r="I33" s="8" t="s">
        <v>615</v>
      </c>
      <c r="K33" s="3" t="s">
        <v>23</v>
      </c>
      <c r="L33" s="143">
        <f>VLOOKUP($K33,$A$1:$R$29,7,)-VLOOKUP(L$30,$A$1:$R$29,7,)</f>
        <v>4.8000000000000043E-2</v>
      </c>
      <c r="M33" s="144" t="s">
        <v>694</v>
      </c>
      <c r="N33" s="143">
        <f ca="1">((((1+VLOOKUP(N$30,$A$1:$R$16,7,0)%)^(VLOOKUP(N$30,$A$1:$R$16,5,0)/252))/((1+VLOOKUP($K33,$A$1:$R$16,7,0)%)^(VLOOKUP($K33,$A$1:$R$16,5,0)/252)))^(252/(VLOOKUP(N$30,$A$1:$R$16,5,0)-VLOOKUP($K33,$A$1:$R$16,5,0)))-1)*100</f>
        <v>14.566111683318205</v>
      </c>
      <c r="O33" s="143">
        <f ca="1">((((1+VLOOKUP(O$30,$A$1:$R$16,7,0)%)^(VLOOKUP(O$30,$A$1:$R$16,5,0)/252))/((1+VLOOKUP($K33,$A$1:$R$16,7,0)%)^(VLOOKUP($K33,$A$1:$R$16,5,0)/252)))^(252/(VLOOKUP(O$30,$A$1:$R$16,5,0)-VLOOKUP($K33,$A$1:$R$16,5,0)))-1)*100</f>
        <v>14.67239374461764</v>
      </c>
      <c r="P33" s="143">
        <f ca="1">((((1+VLOOKUP(P$30,$A$1:$R$16,7,0)%)^(VLOOKUP(P$30,$A$1:$R$16,5,0)/252))/((1+VLOOKUP($K33,$A$1:$R$16,7,0)%)^(VLOOKUP($K33,$A$1:$R$16,5,0)/252)))^(252/(VLOOKUP(P$30,$A$1:$R$16,5,0)-VLOOKUP($K33,$A$1:$R$16,5,0)))-1)*100</f>
        <v>14.693608441904015</v>
      </c>
      <c r="Q33" s="143">
        <f ca="1">((((1+VLOOKUP(Q$30,$A$1:$R$16,7,0)%)^(VLOOKUP(Q$30,$A$1:$R$16,5,0)/252))/((1+VLOOKUP($K33,$A$1:$R$16,7,0)%)^(VLOOKUP($K33,$A$1:$R$16,5,0)/252)))^(252/(VLOOKUP(Q$30,$A$1:$R$16,5,0)-VLOOKUP($K33,$A$1:$R$16,5,0)))-1)*100</f>
        <v>14.77839442907336</v>
      </c>
      <c r="R33" s="40"/>
      <c r="S33" s="5"/>
      <c r="T33" s="170"/>
      <c r="U33" s="172"/>
      <c r="V33" s="171"/>
      <c r="W33" s="171"/>
      <c r="X33" s="171"/>
      <c r="Y33" s="171"/>
      <c r="Z33" s="171"/>
    </row>
    <row r="34" spans="2:26" x14ac:dyDescent="0.3">
      <c r="B34" s="38" t="s">
        <v>626</v>
      </c>
      <c r="C34" s="8" t="str">
        <f ca="1">IF(IF(DAY($C$31)&gt;15,"15/"&amp;MONTH($C$31)&amp;"/"&amp;YEAR($C$31),"15/"&amp;MONTH($C$31)-1&amp;"/"&amp;YEAR($C$31))="15/01/2026","15/12/2025",IF(DAY($C$31)&gt;15,"15/"&amp;MONTH($C$31)&amp;"/"&amp;YEAR($C$31),"15/"&amp;MONTH($C$31)-1&amp;"/"&amp;YEAR($C$31)))</f>
        <v>15/7/2026</v>
      </c>
      <c r="E34" s="38" t="str">
        <f ca="1">"FRC"&amp;IFERROR(VLOOKUP(MONTH(C31)+2,H31:I42,2,0)&amp;RIGHT(YEAR(C31),2),"FRCG26")</f>
        <v>FRCU26</v>
      </c>
      <c r="F34" s="42">
        <f ca="1">RTD("rtdtrading.rtdserver",,E34,"ULT")</f>
        <v>4.8500000000000005</v>
      </c>
      <c r="G34" s="8" t="s">
        <v>616</v>
      </c>
      <c r="H34" s="8">
        <v>4</v>
      </c>
      <c r="I34" s="8" t="s">
        <v>616</v>
      </c>
      <c r="K34" s="3" t="s">
        <v>27</v>
      </c>
      <c r="L34" s="143">
        <f>VLOOKUP($K34,$A$1:$R$29,7,)-VLOOKUP(L$30,$A$1:$R$29,7,)</f>
        <v>0.30299999999999905</v>
      </c>
      <c r="M34" s="143">
        <f>VLOOKUP($K34,$A$1:$R$29,7,)-VLOOKUP(M$30,$A$1:$R$29,7,)</f>
        <v>0.25499999999999901</v>
      </c>
      <c r="N34" s="144" t="s">
        <v>694</v>
      </c>
      <c r="O34" s="143">
        <f ca="1">((((1+VLOOKUP(O$30,$A$1:$R$16,7,0)%)^(VLOOKUP(O$30,$A$1:$R$16,5,0)/252))/((1+VLOOKUP($K34,$A$1:$R$16,7,0)%)^(VLOOKUP($K34,$A$1:$R$16,5,0)/252)))^(252/(VLOOKUP(O$30,$A$1:$R$16,5,0)-VLOOKUP($K34,$A$1:$R$16,5,0)))-1)*100</f>
        <v>14.778346974059353</v>
      </c>
      <c r="P34" s="143">
        <f ca="1">((((1+VLOOKUP(P$30,$A$1:$R$16,7,0)%)^(VLOOKUP(P$30,$A$1:$R$16,5,0)/252))/((1+VLOOKUP($K34,$A$1:$R$16,7,0)%)^(VLOOKUP($K34,$A$1:$R$16,5,0)/252)))^(252/(VLOOKUP(P$30,$A$1:$R$16,5,0)-VLOOKUP($K34,$A$1:$R$16,5,0)))-1)*100</f>
        <v>14.756773101308852</v>
      </c>
      <c r="Q34" s="143">
        <f ca="1">((((1+VLOOKUP(Q$30,$A$1:$R$16,7,0)%)^(VLOOKUP(Q$30,$A$1:$R$16,5,0)/252))/((1+VLOOKUP($K34,$A$1:$R$16,7,0)%)^(VLOOKUP($K34,$A$1:$R$16,5,0)/252)))^(252/(VLOOKUP(Q$30,$A$1:$R$16,5,0)-VLOOKUP($K34,$A$1:$R$16,5,0)))-1)*100</f>
        <v>14.830839109040372</v>
      </c>
      <c r="R34" s="40"/>
      <c r="T34" s="176"/>
      <c r="U34" s="172"/>
      <c r="V34" s="171"/>
      <c r="W34" s="171"/>
      <c r="X34" s="171"/>
      <c r="Y34" s="171"/>
      <c r="Z34" s="171"/>
    </row>
    <row r="35" spans="2:26" x14ac:dyDescent="0.3">
      <c r="B35" s="38" t="s">
        <v>627</v>
      </c>
      <c r="C35" s="8" t="str">
        <f ca="1">IF("15/"&amp;MONTH(C34)+1&amp;"/"&amp;YEAR(C31)="15/13/"&amp;YEAR(C31),"15/01/"&amp;YEAR(C31),"15/"&amp;MONTH(C34)+1&amp;"/"&amp;YEAR(C31))</f>
        <v>15/8/2026</v>
      </c>
      <c r="G35" s="8" t="s">
        <v>617</v>
      </c>
      <c r="H35" s="8">
        <v>5</v>
      </c>
      <c r="I35" s="8" t="s">
        <v>617</v>
      </c>
      <c r="K35" s="3" t="s">
        <v>31</v>
      </c>
      <c r="L35" s="143">
        <f>VLOOKUP($K35,$A$1:$R$29,7,)-VLOOKUP(L$30,$A$1:$R$29,7,)</f>
        <v>0.47199999999999953</v>
      </c>
      <c r="M35" s="143">
        <f>VLOOKUP($K35,$A$1:$R$29,7,)-VLOOKUP(M$30,$A$1:$R$29,7,)</f>
        <v>0.42399999999999949</v>
      </c>
      <c r="N35" s="143">
        <f>VLOOKUP($K35,$A$1:$R$29,7,)-VLOOKUP(N$30,$A$1:$R$29,7,)</f>
        <v>0.16900000000000048</v>
      </c>
      <c r="O35" s="144" t="s">
        <v>694</v>
      </c>
      <c r="P35" s="143">
        <f ca="1">((((1+VLOOKUP(P$30,$A$1:$R$16,7,0)%)^(VLOOKUP(P$30,$A$1:$R$16,5,0)/252))/((1+VLOOKUP($K35,$A$1:$R$16,7,0)%)^(VLOOKUP($K35,$A$1:$R$16,5,0)/252)))^(252/(VLOOKUP(P$30,$A$1:$R$16,5,0)-VLOOKUP($K35,$A$1:$R$16,5,0)))-1)*100</f>
        <v>14.735460043305949</v>
      </c>
      <c r="Q35" s="143">
        <f ca="1">((((1+VLOOKUP(Q$30,$A$1:$R$16,7,0)%)^(VLOOKUP(Q$30,$A$1:$R$16,5,0)/252))/((1+VLOOKUP($K35,$A$1:$R$16,7,0)%)^(VLOOKUP($K35,$A$1:$R$16,5,0)/252)))^(252/(VLOOKUP(Q$30,$A$1:$R$16,5,0)-VLOOKUP($K35,$A$1:$R$16,5,0)))-1)*100</f>
        <v>14.848133440283352</v>
      </c>
      <c r="T35" s="170"/>
      <c r="U35" s="172"/>
      <c r="V35" s="171"/>
      <c r="W35" s="171"/>
      <c r="X35" s="171"/>
      <c r="Y35" s="171"/>
      <c r="Z35" s="171"/>
    </row>
    <row r="36" spans="2:26" x14ac:dyDescent="0.3">
      <c r="B36" s="38" t="s">
        <v>676</v>
      </c>
      <c r="C36" s="31">
        <f ca="1">WORKDAY(C34-1,1,feriados)</f>
        <v>46218</v>
      </c>
      <c r="G36" s="8" t="s">
        <v>618</v>
      </c>
      <c r="H36" s="8">
        <v>6</v>
      </c>
      <c r="I36" s="8" t="s">
        <v>618</v>
      </c>
      <c r="K36" s="3" t="s">
        <v>35</v>
      </c>
      <c r="L36" s="143">
        <f>VLOOKUP($K36,$A$1:$R$29,7,)-VLOOKUP(L$30,$A$1:$R$29,7,)</f>
        <v>0.55599999999999916</v>
      </c>
      <c r="M36" s="143">
        <f>VLOOKUP($K36,$A$1:$R$29,7,)-VLOOKUP(M$30,$A$1:$R$29,7,)</f>
        <v>0.50799999999999912</v>
      </c>
      <c r="N36" s="143">
        <f>VLOOKUP($K36,$A$1:$R$29,7,)-VLOOKUP(N$30,$A$1:$R$29,7,)</f>
        <v>0.25300000000000011</v>
      </c>
      <c r="O36" s="143">
        <f>VLOOKUP($K36,$A$1:$R$29,7,)-VLOOKUP(O$30,$A$1:$R$29,7,)</f>
        <v>8.3999999999999631E-2</v>
      </c>
      <c r="P36" s="144" t="s">
        <v>694</v>
      </c>
      <c r="Q36" s="143">
        <f ca="1">((((1+VLOOKUP(Q$30,$A$1:$R$16,7,0)%)^(VLOOKUP(Q$30,$A$1:$R$16,5,0)/252))/((1+VLOOKUP($K36,$A$1:$R$16,7,0)%)^(VLOOKUP($K36,$A$1:$R$16,5,0)/252)))^(252/(VLOOKUP(Q$30,$A$1:$R$16,5,0)-VLOOKUP($K36,$A$1:$R$16,5,0)))-1)*100</f>
        <v>14.904511625131068</v>
      </c>
      <c r="R36" s="183"/>
    </row>
    <row r="37" spans="2:26" x14ac:dyDescent="0.3">
      <c r="B37" s="38" t="s">
        <v>677</v>
      </c>
      <c r="C37" s="31">
        <f ca="1">WORKDAY(C35-1,1,feriados)</f>
        <v>46251</v>
      </c>
      <c r="E37" s="142"/>
      <c r="G37" s="8" t="s">
        <v>619</v>
      </c>
      <c r="H37" s="8">
        <v>7</v>
      </c>
      <c r="I37" s="8" t="s">
        <v>619</v>
      </c>
      <c r="K37" s="3" t="s">
        <v>37</v>
      </c>
      <c r="L37" s="143">
        <f>VLOOKUP($K37,$A$1:$R$29,7,)-VLOOKUP(L$30,$A$1:$R$29,7,)</f>
        <v>0.6980000000000004</v>
      </c>
      <c r="M37" s="143">
        <f>VLOOKUP($K37,$A$1:$R$29,7,)-VLOOKUP(M$30,$A$1:$R$29,7,)</f>
        <v>0.65000000000000036</v>
      </c>
      <c r="N37" s="143">
        <f>VLOOKUP($K37,$A$1:$R$29,7,)-VLOOKUP(N$30,$A$1:$R$29,7,)</f>
        <v>0.39500000000000135</v>
      </c>
      <c r="O37" s="143">
        <f>VLOOKUP($K37,$A$1:$R$29,7,)-VLOOKUP(O$30,$A$1:$R$29,7,)</f>
        <v>0.22600000000000087</v>
      </c>
      <c r="P37" s="143">
        <f>VLOOKUP($K37,$A$1:$R$29,7,)-VLOOKUP(P$30,$A$1:$R$29,7,)</f>
        <v>0.14200000000000124</v>
      </c>
      <c r="Q37" s="144" t="s">
        <v>694</v>
      </c>
    </row>
    <row r="38" spans="2:26" x14ac:dyDescent="0.3">
      <c r="B38" s="38" t="s">
        <v>635</v>
      </c>
      <c r="C38" s="72">
        <f ca="1">NETWORKDAYS(C36,C31,feriados)-1</f>
        <v>10</v>
      </c>
      <c r="G38" s="8" t="s">
        <v>620</v>
      </c>
      <c r="H38" s="8">
        <v>8</v>
      </c>
      <c r="I38" s="8" t="s">
        <v>620</v>
      </c>
      <c r="R38" s="5"/>
      <c r="T38" s="174"/>
      <c r="U38" s="174"/>
    </row>
    <row r="39" spans="2:26" x14ac:dyDescent="0.3">
      <c r="B39" s="38" t="s">
        <v>625</v>
      </c>
      <c r="C39" s="8">
        <f ca="1">NETWORKDAYS(C36,C37,feriados)-1</f>
        <v>23</v>
      </c>
      <c r="E39" s="142"/>
      <c r="G39" s="8" t="s">
        <v>621</v>
      </c>
      <c r="H39" s="8">
        <v>9</v>
      </c>
      <c r="I39" s="8" t="s">
        <v>621</v>
      </c>
      <c r="R39" s="5"/>
      <c r="T39" s="174"/>
      <c r="U39" s="175"/>
    </row>
    <row r="40" spans="2:26" x14ac:dyDescent="0.3">
      <c r="B40" s="38" t="s">
        <v>628</v>
      </c>
      <c r="C40" s="25">
        <f ca="1">IFERROR(VLOOKUP("15/"&amp;MONTH(C34)-1&amp;"/"&amp;YEAR(C34),NI_IPCA!A:B,2,0),VLOOKUP("15/12/2025",NI_IPCA!A:B,2,0))</f>
        <v>7403.29</v>
      </c>
      <c r="G40" s="8" t="s">
        <v>622</v>
      </c>
      <c r="H40" s="8">
        <v>10</v>
      </c>
      <c r="I40" s="8" t="s">
        <v>622</v>
      </c>
      <c r="K40" s="3" t="s">
        <v>13</v>
      </c>
      <c r="L40" s="3" t="s">
        <v>601</v>
      </c>
      <c r="M40" s="3" t="s">
        <v>602</v>
      </c>
      <c r="N40" s="3" t="s">
        <v>603</v>
      </c>
      <c r="O40" s="3" t="s">
        <v>604</v>
      </c>
      <c r="P40" s="3" t="s">
        <v>605</v>
      </c>
      <c r="Q40" s="3" t="s">
        <v>607</v>
      </c>
      <c r="R40" s="5"/>
      <c r="T40" s="174"/>
      <c r="U40" s="175"/>
    </row>
    <row r="41" spans="2:26" x14ac:dyDescent="0.3">
      <c r="B41" s="38" t="s">
        <v>631</v>
      </c>
      <c r="C41" s="34">
        <v>0.05</v>
      </c>
      <c r="G41" s="8" t="s">
        <v>623</v>
      </c>
      <c r="H41" s="8">
        <v>11</v>
      </c>
      <c r="I41" s="8" t="s">
        <v>623</v>
      </c>
      <c r="K41" s="3" t="s">
        <v>13</v>
      </c>
      <c r="L41" s="143">
        <f t="shared" ref="L41:Q41" ca="1" si="27">((((1+VLOOKUP(L$40,$A$17:$R$29,7,0)%)^(VLOOKUP(L$40,$A$17:$R$29,5,0)/252))/((1+VLOOKUP($K41,$A$17:$R$29,7,0)%)^(VLOOKUP($K41,$A$17:$R$29,5,0)/252)))^(252/(VLOOKUP(L$40,$A$17:$R$29,5,0)-VLOOKUP($K41,$A$17:$R$29,5,0)))-1)*100</f>
        <v>8.4289941555438119</v>
      </c>
      <c r="M41" s="143">
        <f t="shared" ca="1" si="27"/>
        <v>8.4399221181577833</v>
      </c>
      <c r="N41" s="143">
        <f t="shared" ca="1" si="27"/>
        <v>8.2879007667736371</v>
      </c>
      <c r="O41" s="143">
        <f t="shared" ca="1" si="27"/>
        <v>8.3301375248220353</v>
      </c>
      <c r="P41" s="143">
        <f t="shared" ca="1" si="27"/>
        <v>8.2930817951676339</v>
      </c>
      <c r="Q41" s="143">
        <f t="shared" ca="1" si="27"/>
        <v>8.1468877130101092</v>
      </c>
      <c r="R41" s="5"/>
      <c r="T41" s="174"/>
      <c r="U41" s="175"/>
    </row>
    <row r="42" spans="2:26" x14ac:dyDescent="0.3">
      <c r="B42" s="38" t="s">
        <v>748</v>
      </c>
      <c r="C42" s="25">
        <f ca="1">C40*(C41%+1)^((C38)/C39)</f>
        <v>7404.8991835121196</v>
      </c>
      <c r="G42" s="8" t="s">
        <v>624</v>
      </c>
      <c r="H42" s="8">
        <v>12</v>
      </c>
      <c r="I42" s="8" t="s">
        <v>624</v>
      </c>
      <c r="L42" s="3" t="s">
        <v>601</v>
      </c>
      <c r="M42" s="143">
        <f ca="1">((((1+VLOOKUP(M$40,$A$17:$R$29,7,0)%)^(VLOOKUP(M$40,$A$17:$R$29,5,0)/252))/((1+VLOOKUP($L42,$A$17:$R$29,7,0)%)^(VLOOKUP($L42,$A$17:$R$29,5,0)/252)))^(252/(VLOOKUP(M$40,$A$17:$R$29,5,0)-VLOOKUP($L42,$A$17:$R$29,5,0)))-1)*100</f>
        <v>8.4463406413016973</v>
      </c>
      <c r="N42" s="143">
        <f ca="1">((((1+VLOOKUP(N$40,$A$17:$R$29,7,0)%)^(VLOOKUP(N$40,$A$17:$R$29,5,0)/252))/((1+VLOOKUP($L42,$A$17:$R$29,7,0)%)^(VLOOKUP($L42,$A$17:$R$29,5,0)/252)))^(252/(VLOOKUP(N$40,$A$17:$R$29,5,0)-VLOOKUP($L42,$A$17:$R$29,5,0)))-1)*100</f>
        <v>8.235638258720023</v>
      </c>
      <c r="O42" s="143">
        <f ca="1">((((1+VLOOKUP(O$40,$A$17:$R$29,7,0)%)^(VLOOKUP(O$40,$A$17:$R$29,5,0)/252))/((1+VLOOKUP($L42,$A$17:$R$29,7,0)%)^(VLOOKUP($L42,$A$17:$R$29,5,0)/252)))^(252/(VLOOKUP(O$40,$A$17:$R$29,5,0)-VLOOKUP($L42,$A$17:$R$29,5,0)))-1)*100</f>
        <v>8.3076550645252425</v>
      </c>
      <c r="P42" s="143">
        <f ca="1">((((1+VLOOKUP(P$40,$A$17:$R$29,7,0)%)^(VLOOKUP(P$40,$A$17:$R$29,5,0)/252))/((1+VLOOKUP($L42,$A$17:$R$29,7,0)%)^(VLOOKUP($L42,$A$17:$R$29,5,0)/252)))^(252/(VLOOKUP(P$40,$A$17:$R$29,5,0)-VLOOKUP($L42,$A$17:$R$29,5,0)))-1)*100</f>
        <v>8.2740037328059568</v>
      </c>
      <c r="Q42" s="143">
        <f ca="1">((((1+VLOOKUP(Q$40,$A$17:$R$29,7,0)%)^(VLOOKUP(Q$40,$A$17:$R$29,5,0)/252))/((1+VLOOKUP($L42,$A$17:$R$29,7,0)%)^(VLOOKUP($L42,$A$17:$R$29,5,0)/252)))^(252/(VLOOKUP(Q$40,$A$17:$R$29,5,0)-VLOOKUP($L42,$A$17:$R$29,5,0)))-1)*100</f>
        <v>8.1208690059803033</v>
      </c>
      <c r="R42" s="5"/>
      <c r="T42" s="174"/>
      <c r="U42" s="175"/>
    </row>
    <row r="43" spans="2:26" x14ac:dyDescent="0.3">
      <c r="B43" s="38" t="s">
        <v>632</v>
      </c>
      <c r="C43" s="17">
        <f ca="1">C33*C42</f>
        <v>1.8512247958780299</v>
      </c>
      <c r="H43"/>
      <c r="I43"/>
      <c r="M43" s="3" t="s">
        <v>602</v>
      </c>
      <c r="N43" s="143">
        <f ca="1">((((1+VLOOKUP(N$40,$A$17:$R$29,7,0)%)^(VLOOKUP(N$40,$A$17:$R$29,5,0)/252))/((1+VLOOKUP($M43,$A$17:$R$29,7,0)%)^(VLOOKUP($M43,$A$17:$R$29,5,0)/252)))^(252/(VLOOKUP(N$40,$A$17:$R$29,5,0)-VLOOKUP($M43,$A$17:$R$29,5,0)))-1)*100</f>
        <v>7.8758748215482122</v>
      </c>
      <c r="O43" s="143">
        <f ca="1">((((1+VLOOKUP(O$40,$A$17:$R$29,7,0)%)^(VLOOKUP(O$40,$A$17:$R$29,5,0)/252))/((1+VLOOKUP($M43,$A$17:$R$29,7,0)%)^(VLOOKUP($M43,$A$17:$R$29,5,0)/252)))^(252/(VLOOKUP(O$40,$A$17:$R$29,5,0)-VLOOKUP($M43,$A$17:$R$29,5,0)))-1)*100</f>
        <v>8.2200238457422756</v>
      </c>
      <c r="P43" s="143">
        <f ca="1">((((1+VLOOKUP(P$40,$A$17:$R$29,7,0)%)^(VLOOKUP(P$40,$A$17:$R$29,5,0)/252))/((1+VLOOKUP($M43,$A$17:$R$29,7,0)%)^(VLOOKUP($M43,$A$17:$R$29,5,0)/252)))^(252/(VLOOKUP(P$40,$A$17:$R$29,5,0)-VLOOKUP($M43,$A$17:$R$29,5,0)))-1)*100</f>
        <v>8.2198825639904882</v>
      </c>
      <c r="Q43" s="143">
        <f ca="1">((((1+VLOOKUP(Q$40,$A$17:$R$29,7,0)%)^(VLOOKUP(Q$40,$A$17:$R$29,5,0)/252))/((1+VLOOKUP($M43,$A$17:$R$29,7,0)%)^(VLOOKUP($M43,$A$17:$R$29,5,0)/252)))^(252/(VLOOKUP(Q$40,$A$17:$R$29,5,0)-VLOOKUP($M43,$A$17:$R$29,5,0)))-1)*100</f>
        <v>8.0602405352771846</v>
      </c>
      <c r="R43" s="5"/>
      <c r="T43" s="174"/>
      <c r="U43" s="175"/>
    </row>
    <row r="44" spans="2:26" x14ac:dyDescent="0.3">
      <c r="G44" s="163"/>
      <c r="H44"/>
      <c r="I44" s="143"/>
      <c r="N44" s="3" t="s">
        <v>603</v>
      </c>
      <c r="O44" s="143">
        <f ca="1">((((1+VLOOKUP(O$40,$A$17:$R$29,7,0)%)^(VLOOKUP(O$40,$A$17:$R$29,5,0)/252))/((1+VLOOKUP($N44,$A$17:$R$29,7,0)%)^(VLOOKUP($N44,$A$17:$R$29,5,0)/252)))^(252/(VLOOKUP(O$40,$A$17:$R$29,5,0)-VLOOKUP($N44,$A$17:$R$29,5,0)))-1)*100</f>
        <v>8.4222007492503295</v>
      </c>
      <c r="P44" s="143">
        <f ca="1">((((1+VLOOKUP(P$40,$A$17:$R$29,7,0)%)^(VLOOKUP(P$40,$A$17:$R$29,5,0)/252))/((1+VLOOKUP($N44,$A$17:$R$29,7,0)%)^(VLOOKUP($N44,$A$17:$R$29,5,0)/252)))^(252/(VLOOKUP(P$40,$A$17:$R$29,5,0)-VLOOKUP($N44,$A$17:$R$29,5,0)))-1)*100</f>
        <v>8.2974142879395743</v>
      </c>
      <c r="Q44" s="143">
        <f ca="1">((((1+VLOOKUP(Q$40,$A$17:$R$29,7,0)%)^(VLOOKUP(Q$40,$A$17:$R$29,5,0)/252))/((1+VLOOKUP($N44,$A$17:$R$29,7,0)%)^(VLOOKUP($N44,$A$17:$R$29,5,0)/252)))^(252/(VLOOKUP(Q$40,$A$17:$R$29,5,0)-VLOOKUP($N44,$A$17:$R$29,5,0)))-1)*100</f>
        <v>8.0828175365358579</v>
      </c>
      <c r="R44" s="5"/>
      <c r="T44" s="174"/>
      <c r="U44" s="175"/>
    </row>
    <row r="45" spans="2:26" x14ac:dyDescent="0.3">
      <c r="H45"/>
      <c r="I45" s="143"/>
      <c r="N45" s="143"/>
      <c r="O45" s="3" t="s">
        <v>604</v>
      </c>
      <c r="P45" s="143">
        <f ca="1">((((1+VLOOKUP(P$40,$A$17:$R$29,7,0)%)^(VLOOKUP(P$40,$A$17:$R$29,5,0)/252))/((1+VLOOKUP($O45,$A$17:$R$29,7,0)%)^(VLOOKUP($O45,$A$17:$R$29,5,0)/252)))^(252/(VLOOKUP(P$40,$A$17:$R$29,5,0)-VLOOKUP($O45,$A$17:$R$29,5,0)))-1)*100</f>
        <v>8.2197429643454889</v>
      </c>
      <c r="Q45" s="143">
        <f ca="1">((((1+VLOOKUP(Q$40,$A$17:$R$29,7,0)%)^(VLOOKUP(Q$40,$A$17:$R$29,5,0)/252))/((1+VLOOKUP($O45,$A$17:$R$29,7,0)%)^(VLOOKUP($O45,$A$17:$R$29,5,0)/252)))^(252/(VLOOKUP(Q$40,$A$17:$R$29,5,0)-VLOOKUP($O45,$A$17:$R$29,5,0)))-1)*100</f>
        <v>7.9934432757422735</v>
      </c>
      <c r="R45" s="5"/>
      <c r="T45" s="174"/>
      <c r="U45" s="175"/>
    </row>
    <row r="46" spans="2:26" x14ac:dyDescent="0.3">
      <c r="H46"/>
      <c r="I46" s="143"/>
      <c r="N46" s="143"/>
      <c r="O46" s="143"/>
      <c r="P46" s="3" t="s">
        <v>605</v>
      </c>
      <c r="Q46" s="143">
        <f ca="1">((((1+VLOOKUP(Q$40,$A$17:$R$29,7,0)%)^(VLOOKUP(Q$40,$A$17:$R$29,5,0)/252))/((1+VLOOKUP($P46,$A$17:$R$29,7,0)%)^(VLOOKUP($P46,$A$17:$R$29,5,0)/252)))^(252/(VLOOKUP(Q$40,$A$17:$R$29,5,0)-VLOOKUP($P46,$A$17:$R$29,5,0)))-1)*100</f>
        <v>7.8274838867751662</v>
      </c>
      <c r="R46" s="17"/>
      <c r="T46" s="174"/>
      <c r="U46" s="175"/>
    </row>
    <row r="47" spans="2:26" x14ac:dyDescent="0.3">
      <c r="B47" s="161" t="s">
        <v>868</v>
      </c>
      <c r="C47" s="161" t="s">
        <v>873</v>
      </c>
      <c r="D47" s="161" t="s">
        <v>861</v>
      </c>
      <c r="E47" s="161" t="s">
        <v>874</v>
      </c>
      <c r="F47" s="161" t="s">
        <v>863</v>
      </c>
      <c r="G47" s="162" t="s">
        <v>671</v>
      </c>
      <c r="H47" s="161" t="s">
        <v>867</v>
      </c>
      <c r="I47" s="161" t="s">
        <v>674</v>
      </c>
      <c r="J47" s="161" t="s">
        <v>864</v>
      </c>
      <c r="K47" s="161" t="s">
        <v>866</v>
      </c>
      <c r="T47" s="174"/>
      <c r="U47" s="175"/>
    </row>
    <row r="48" spans="2:26" x14ac:dyDescent="0.3">
      <c r="B48" s="8" t="s">
        <v>857</v>
      </c>
      <c r="C48" s="1">
        <v>0</v>
      </c>
      <c r="D48" s="16">
        <v>0</v>
      </c>
      <c r="E48" s="1">
        <f>D48+C48</f>
        <v>0</v>
      </c>
      <c r="F48" s="16">
        <v>4285.4799999999996</v>
      </c>
      <c r="G48" s="4">
        <f>F48*E48</f>
        <v>0</v>
      </c>
      <c r="H48" s="142">
        <f>G48/$C$59</f>
        <v>0</v>
      </c>
      <c r="I48" s="159">
        <v>1.54284</v>
      </c>
      <c r="J48" s="4">
        <f>I48*E48</f>
        <v>0</v>
      </c>
      <c r="K48" s="145">
        <f>J48/$C$59</f>
        <v>0</v>
      </c>
      <c r="T48" s="174"/>
      <c r="U48" s="175"/>
    </row>
    <row r="49" spans="2:19" x14ac:dyDescent="0.3">
      <c r="B49" s="8" t="s">
        <v>858</v>
      </c>
      <c r="C49" s="1">
        <v>0</v>
      </c>
      <c r="D49" s="16">
        <v>0</v>
      </c>
      <c r="E49" s="1">
        <f>D49+C49</f>
        <v>0</v>
      </c>
      <c r="F49" s="16">
        <v>4193.72</v>
      </c>
      <c r="G49" s="4">
        <f>F49*E49</f>
        <v>0</v>
      </c>
      <c r="H49" s="142">
        <f>G49/$C$59</f>
        <v>0</v>
      </c>
      <c r="I49" s="159">
        <v>2.72661</v>
      </c>
      <c r="J49" s="4">
        <f>I49*E49</f>
        <v>0</v>
      </c>
      <c r="K49" s="145">
        <f>J49/$C$59</f>
        <v>0</v>
      </c>
    </row>
    <row r="50" spans="2:19" x14ac:dyDescent="0.3">
      <c r="B50" s="151"/>
      <c r="C50" s="152"/>
      <c r="D50" s="152"/>
      <c r="E50" s="152"/>
      <c r="F50" s="152"/>
      <c r="G50" s="153">
        <f>SUM(G48:G49)</f>
        <v>0</v>
      </c>
      <c r="H50" s="154">
        <f>SUM(H48:H49)</f>
        <v>0</v>
      </c>
      <c r="I50" s="155"/>
      <c r="J50" s="153">
        <f>SUM(J48:J49)</f>
        <v>0</v>
      </c>
      <c r="K50" s="156">
        <f>SUM(K48:K49)</f>
        <v>0</v>
      </c>
      <c r="L50" s="147"/>
    </row>
    <row r="51" spans="2:19" x14ac:dyDescent="0.3">
      <c r="B51" s="8" t="s">
        <v>667</v>
      </c>
      <c r="M51" s="199"/>
      <c r="N51" s="200"/>
    </row>
    <row r="52" spans="2:19" x14ac:dyDescent="0.3">
      <c r="B52" s="151" t="s">
        <v>859</v>
      </c>
      <c r="C52" s="152">
        <v>3568</v>
      </c>
      <c r="D52" s="26">
        <v>0</v>
      </c>
      <c r="E52" s="152">
        <f>D52+C52</f>
        <v>3568</v>
      </c>
      <c r="F52" s="26">
        <v>704</v>
      </c>
      <c r="G52" s="164">
        <f>F52*E52</f>
        <v>2511872</v>
      </c>
      <c r="H52" s="167">
        <f>G52/$C$59</f>
        <v>4.4935063470855865E-2</v>
      </c>
      <c r="I52" s="168">
        <v>0.17119000000000001</v>
      </c>
      <c r="J52" s="164">
        <f>I52*E52</f>
        <v>610.80592000000001</v>
      </c>
      <c r="K52" s="169">
        <f>J52/$C$59</f>
        <v>1.0926752152806557E-5</v>
      </c>
      <c r="M52" s="199"/>
      <c r="N52" s="200"/>
    </row>
    <row r="53" spans="2:19" x14ac:dyDescent="0.3">
      <c r="B53" s="8" t="s">
        <v>860</v>
      </c>
      <c r="C53" s="1">
        <v>745</v>
      </c>
      <c r="D53" s="16">
        <v>2102</v>
      </c>
      <c r="E53" s="1">
        <f>D53+C53</f>
        <v>2847</v>
      </c>
      <c r="F53" s="16">
        <v>656</v>
      </c>
      <c r="G53" s="4">
        <f>F53*E53</f>
        <v>1867632</v>
      </c>
      <c r="H53" s="142">
        <f>G53/$C$59</f>
        <v>3.3410206595002247E-2</v>
      </c>
      <c r="I53" s="159">
        <v>0.18861</v>
      </c>
      <c r="J53" s="4">
        <f>I53*E53</f>
        <v>536.97266999999999</v>
      </c>
      <c r="K53" s="145">
        <f>J53/$C$59</f>
        <v>9.6059436979929482E-6</v>
      </c>
      <c r="M53" s="200"/>
      <c r="N53" s="200"/>
    </row>
    <row r="54" spans="2:19" x14ac:dyDescent="0.3">
      <c r="B54" s="8" t="s">
        <v>880</v>
      </c>
      <c r="C54" s="1">
        <v>649</v>
      </c>
      <c r="D54" s="16">
        <v>0</v>
      </c>
      <c r="E54" s="1">
        <f>D54+C54</f>
        <v>649</v>
      </c>
      <c r="F54" s="159">
        <v>612</v>
      </c>
      <c r="G54" s="4">
        <f>F54*E54</f>
        <v>397188</v>
      </c>
      <c r="H54" s="142">
        <f>G54/$C$59</f>
        <v>7.1053254265592749E-3</v>
      </c>
      <c r="I54" s="159">
        <v>0.29564000000000001</v>
      </c>
      <c r="J54" s="4">
        <f>I54*E54</f>
        <v>191.87036000000001</v>
      </c>
      <c r="K54" s="145">
        <f>J54/$C$59</f>
        <v>3.4323830214182747E-6</v>
      </c>
      <c r="L54" s="146"/>
    </row>
    <row r="55" spans="2:19" x14ac:dyDescent="0.3">
      <c r="B55" s="8" t="s">
        <v>869</v>
      </c>
      <c r="C55" s="1">
        <v>1547</v>
      </c>
      <c r="D55" s="16">
        <v>-1547</v>
      </c>
      <c r="E55" s="1">
        <f>D55+C55</f>
        <v>0</v>
      </c>
      <c r="F55" s="159">
        <v>894</v>
      </c>
      <c r="G55" s="4">
        <f>F55*E55</f>
        <v>0</v>
      </c>
      <c r="H55" s="142">
        <f>G55/$C$59</f>
        <v>0</v>
      </c>
      <c r="I55" s="159">
        <v>0.29564000000000001</v>
      </c>
      <c r="J55" s="4">
        <f>I55*E55</f>
        <v>0</v>
      </c>
      <c r="K55" s="145">
        <f>J55/$C$59</f>
        <v>0</v>
      </c>
    </row>
    <row r="56" spans="2:19" x14ac:dyDescent="0.3">
      <c r="B56" s="151"/>
      <c r="C56" s="152"/>
      <c r="D56" s="164"/>
      <c r="E56" s="152"/>
      <c r="F56" s="152"/>
      <c r="G56" s="157">
        <f>SUM(G52:G55)</f>
        <v>4776692</v>
      </c>
      <c r="H56" s="154">
        <f>SUM(H52:H55)</f>
        <v>8.5450595492417389E-2</v>
      </c>
      <c r="I56" s="155"/>
      <c r="J56" s="157">
        <f>SUM(J52:J55)</f>
        <v>1339.6489499999998</v>
      </c>
      <c r="K56" s="158">
        <f>SUM(K52:K55)</f>
        <v>2.3965078872217783E-5</v>
      </c>
      <c r="L56" s="163"/>
    </row>
    <row r="57" spans="2:19" x14ac:dyDescent="0.3">
      <c r="D57" s="40"/>
      <c r="K57" s="145"/>
      <c r="L57" s="186"/>
    </row>
    <row r="58" spans="2:19" x14ac:dyDescent="0.3">
      <c r="B58" s="8"/>
      <c r="D58" s="145"/>
      <c r="F58" s="8" t="s">
        <v>862</v>
      </c>
      <c r="G58" s="149">
        <f>G56+G50</f>
        <v>4776692</v>
      </c>
      <c r="H58" s="148">
        <f>H56+H50</f>
        <v>8.5450595492417389E-2</v>
      </c>
      <c r="J58" s="149">
        <f>J56+J50</f>
        <v>1339.6489499999998</v>
      </c>
      <c r="K58" s="150">
        <f>K56+K50</f>
        <v>2.3965078872217783E-5</v>
      </c>
      <c r="N58" s="85"/>
      <c r="P58" s="201"/>
      <c r="S58" s="12"/>
    </row>
    <row r="59" spans="2:19" x14ac:dyDescent="0.3">
      <c r="B59" s="8" t="s">
        <v>865</v>
      </c>
      <c r="C59" s="190">
        <v>55900043.439999998</v>
      </c>
      <c r="G59" s="145"/>
      <c r="H59" s="40"/>
      <c r="J59" s="40"/>
      <c r="K59" s="160"/>
      <c r="N59" s="85"/>
      <c r="P59" s="201"/>
      <c r="S59" s="12"/>
    </row>
    <row r="60" spans="2:19" x14ac:dyDescent="0.3">
      <c r="B60" s="8" t="s">
        <v>875</v>
      </c>
      <c r="C60" s="191">
        <f>K58/di_dia%</f>
        <v>4.5620891747955153E-2</v>
      </c>
      <c r="G60" s="187"/>
    </row>
    <row r="61" spans="2:19" x14ac:dyDescent="0.3">
      <c r="B61" s="8" t="s">
        <v>870</v>
      </c>
      <c r="C61" s="192">
        <v>30</v>
      </c>
      <c r="G61" s="142"/>
    </row>
    <row r="62" spans="2:19" x14ac:dyDescent="0.3">
      <c r="B62" s="8" t="s">
        <v>871</v>
      </c>
      <c r="C62" s="192">
        <v>30</v>
      </c>
      <c r="D62" s="145"/>
    </row>
    <row r="63" spans="2:19" x14ac:dyDescent="0.3">
      <c r="B63" s="8" t="s">
        <v>881</v>
      </c>
      <c r="C63" s="193">
        <f>-K50/di_dia%*C61-K56/di_dia%*C62</f>
        <v>-1.3686267524386546</v>
      </c>
      <c r="D63" s="148">
        <f>C63*di_dia%</f>
        <v>-7.1895236616653342E-4</v>
      </c>
      <c r="E63" s="165"/>
      <c r="F63" s="148"/>
    </row>
    <row r="64" spans="2:19" x14ac:dyDescent="0.3">
      <c r="B64" s="8" t="s">
        <v>872</v>
      </c>
      <c r="C64" s="194">
        <f>(1-H58)</f>
        <v>0.9145494045075826</v>
      </c>
      <c r="E64" s="166"/>
    </row>
    <row r="65" spans="2:6" x14ac:dyDescent="0.3">
      <c r="B65" s="8" t="s">
        <v>882</v>
      </c>
      <c r="C65" s="195">
        <f>C64+C63</f>
        <v>-0.45407734793107202</v>
      </c>
      <c r="D65" s="150">
        <f>C65*di_dia%</f>
        <v>-2.3853105540716171E-4</v>
      </c>
      <c r="E65" s="185"/>
      <c r="F65" s="148"/>
    </row>
    <row r="66" spans="2:6" x14ac:dyDescent="0.3">
      <c r="B66" s="8" t="s">
        <v>884</v>
      </c>
      <c r="C66" s="196">
        <f>(1+di_dia%)^(21)-1</f>
        <v>1.1089638098506605E-2</v>
      </c>
      <c r="E66" s="150"/>
    </row>
    <row r="67" spans="2:6" x14ac:dyDescent="0.3">
      <c r="B67" s="8" t="s">
        <v>883</v>
      </c>
      <c r="C67" s="185">
        <f>D65/C66</f>
        <v>-2.1509363361396229E-2</v>
      </c>
      <c r="E67" s="185"/>
    </row>
  </sheetData>
  <conditionalFormatting sqref="H2:H28">
    <cfRule type="cellIs" dxfId="6" priority="11" operator="lessThan">
      <formula>0</formula>
    </cfRule>
    <cfRule type="cellIs" dxfId="5" priority="12" operator="greaterThan">
      <formula>0</formula>
    </cfRule>
  </conditionalFormatting>
  <conditionalFormatting sqref="H29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5:W9 X9 U17:X18">
    <cfRule type="cellIs" dxfId="4" priority="13" operator="lessThan">
      <formula>0</formula>
    </cfRule>
  </conditionalFormatting>
  <conditionalFormatting sqref="U12:X14">
    <cfRule type="cellIs" dxfId="0" priority="10" operator="lessThan">
      <formula>0</formula>
    </cfRule>
  </conditionalFormatting>
  <conditionalFormatting sqref="W5:W7">
    <cfRule type="cellIs" dxfId="3" priority="5" operator="lessThan">
      <formula>0</formula>
    </cfRule>
  </conditionalFormatting>
  <conditionalFormatting sqref="X23:Y24 U24:U26 V26:X26">
    <cfRule type="cellIs" dxfId="2" priority="3" operator="lessThan">
      <formula>0</formula>
    </cfRule>
  </conditionalFormatting>
  <conditionalFormatting sqref="Y23:Y25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3E66-A194-491A-B9E7-111132506EF2}">
  <sheetPr codeName="Planilha4"/>
  <dimension ref="A1:I587"/>
  <sheetViews>
    <sheetView showGridLines="0" topLeftCell="A552" workbookViewId="0">
      <selection activeCell="N569" sqref="N569"/>
    </sheetView>
  </sheetViews>
  <sheetFormatPr defaultRowHeight="14.4" x14ac:dyDescent="0.3"/>
  <cols>
    <col min="1" max="1" width="10.5546875" style="1" bestFit="1" customWidth="1"/>
    <col min="2" max="16384" width="8.88671875" style="1"/>
  </cols>
  <sheetData>
    <row r="1" spans="1:9" ht="15" thickBot="1" x14ac:dyDescent="0.35">
      <c r="A1" s="15" t="s">
        <v>3</v>
      </c>
      <c r="B1" s="15" t="s">
        <v>630</v>
      </c>
      <c r="E1" s="16" t="s">
        <v>629</v>
      </c>
      <c r="F1" s="9" t="s">
        <v>3</v>
      </c>
      <c r="G1" s="10"/>
      <c r="H1" s="11" t="s">
        <v>49</v>
      </c>
      <c r="I1" s="10"/>
    </row>
    <row r="2" spans="1:9" ht="15" thickBot="1" x14ac:dyDescent="0.35">
      <c r="A2" s="1" t="str">
        <f>"15/"&amp;RIGHT(F2,2)&amp;"/"&amp;LEFT(F2,4)</f>
        <v>15/12/1979</v>
      </c>
      <c r="B2" s="5">
        <f>H2</f>
        <v>7.6183000000000005E-9</v>
      </c>
      <c r="E2" s="138" t="s">
        <v>679</v>
      </c>
      <c r="F2" s="222" t="s">
        <v>50</v>
      </c>
      <c r="G2" s="223"/>
      <c r="H2" s="224">
        <v>7.6183000000000005E-9</v>
      </c>
      <c r="I2" s="225"/>
    </row>
    <row r="3" spans="1:9" ht="15" thickBot="1" x14ac:dyDescent="0.35">
      <c r="A3" s="1" t="str">
        <f t="shared" ref="A3:A66" si="0">"15/"&amp;RIGHT(F3,2)&amp;"/"&amp;LEFT(F3,4)</f>
        <v>15/01/1980</v>
      </c>
      <c r="B3" s="5">
        <f t="shared" ref="B3:B66" si="1">H3</f>
        <v>8.1222999999999995E-9</v>
      </c>
      <c r="F3" s="202" t="s">
        <v>51</v>
      </c>
      <c r="G3" s="203"/>
      <c r="H3" s="220">
        <v>8.1222999999999995E-9</v>
      </c>
      <c r="I3" s="221"/>
    </row>
    <row r="4" spans="1:9" ht="15" thickBot="1" x14ac:dyDescent="0.35">
      <c r="A4" s="1" t="str">
        <f t="shared" si="0"/>
        <v>15/02/1980</v>
      </c>
      <c r="B4" s="5">
        <f t="shared" si="1"/>
        <v>8.4972999999999996E-9</v>
      </c>
      <c r="F4" s="210" t="s">
        <v>52</v>
      </c>
      <c r="G4" s="211"/>
      <c r="H4" s="218">
        <v>8.4972999999999996E-9</v>
      </c>
      <c r="I4" s="219"/>
    </row>
    <row r="5" spans="1:9" ht="15" thickBot="1" x14ac:dyDescent="0.35">
      <c r="A5" s="1" t="str">
        <f t="shared" si="0"/>
        <v>15/03/1980</v>
      </c>
      <c r="B5" s="5">
        <f t="shared" si="1"/>
        <v>9.0103999999999994E-9</v>
      </c>
      <c r="F5" s="202" t="s">
        <v>53</v>
      </c>
      <c r="G5" s="203"/>
      <c r="H5" s="220">
        <v>9.0103999999999994E-9</v>
      </c>
      <c r="I5" s="221"/>
    </row>
    <row r="6" spans="1:9" ht="15" thickBot="1" x14ac:dyDescent="0.35">
      <c r="A6" s="1" t="str">
        <f t="shared" si="0"/>
        <v>15/04/1980</v>
      </c>
      <c r="B6" s="5">
        <f t="shared" si="1"/>
        <v>9.4866999999999995E-9</v>
      </c>
      <c r="F6" s="210" t="s">
        <v>54</v>
      </c>
      <c r="G6" s="211"/>
      <c r="H6" s="218">
        <v>9.4866999999999995E-9</v>
      </c>
      <c r="I6" s="219"/>
    </row>
    <row r="7" spans="1:9" ht="15" thickBot="1" x14ac:dyDescent="0.35">
      <c r="A7" s="1" t="str">
        <f t="shared" si="0"/>
        <v>15/05/1980</v>
      </c>
      <c r="B7" s="5">
        <f t="shared" si="1"/>
        <v>1.0028000000000001E-8</v>
      </c>
      <c r="F7" s="202" t="s">
        <v>55</v>
      </c>
      <c r="G7" s="203"/>
      <c r="H7" s="220">
        <v>1.0028000000000001E-8</v>
      </c>
      <c r="I7" s="221"/>
    </row>
    <row r="8" spans="1:9" ht="15" thickBot="1" x14ac:dyDescent="0.35">
      <c r="A8" s="1" t="str">
        <f t="shared" si="0"/>
        <v>15/06/1980</v>
      </c>
      <c r="B8" s="5">
        <f t="shared" si="1"/>
        <v>1.056E-8</v>
      </c>
      <c r="F8" s="210" t="s">
        <v>56</v>
      </c>
      <c r="G8" s="211"/>
      <c r="H8" s="218">
        <v>1.056E-8</v>
      </c>
      <c r="I8" s="219"/>
    </row>
    <row r="9" spans="1:9" ht="15" thickBot="1" x14ac:dyDescent="0.35">
      <c r="A9" s="1" t="str">
        <f t="shared" si="0"/>
        <v>15/07/1980</v>
      </c>
      <c r="B9" s="5">
        <f t="shared" si="1"/>
        <v>1.1145E-8</v>
      </c>
      <c r="F9" s="202" t="s">
        <v>57</v>
      </c>
      <c r="G9" s="203"/>
      <c r="H9" s="220">
        <v>1.1145E-8</v>
      </c>
      <c r="I9" s="221"/>
    </row>
    <row r="10" spans="1:9" ht="15" thickBot="1" x14ac:dyDescent="0.35">
      <c r="A10" s="1" t="str">
        <f t="shared" si="0"/>
        <v>15/08/1980</v>
      </c>
      <c r="B10" s="5">
        <f t="shared" si="1"/>
        <v>1.1697E-8</v>
      </c>
      <c r="F10" s="210" t="s">
        <v>58</v>
      </c>
      <c r="G10" s="211"/>
      <c r="H10" s="218">
        <v>1.1697E-8</v>
      </c>
      <c r="I10" s="219"/>
    </row>
    <row r="11" spans="1:9" ht="15" thickBot="1" x14ac:dyDescent="0.35">
      <c r="A11" s="1" t="str">
        <f t="shared" si="0"/>
        <v>15/09/1980</v>
      </c>
      <c r="B11" s="5">
        <f t="shared" si="1"/>
        <v>1.2191E-8</v>
      </c>
      <c r="F11" s="202" t="s">
        <v>59</v>
      </c>
      <c r="G11" s="203"/>
      <c r="H11" s="220">
        <v>1.2191E-8</v>
      </c>
      <c r="I11" s="221"/>
    </row>
    <row r="12" spans="1:9" ht="15" thickBot="1" x14ac:dyDescent="0.35">
      <c r="A12" s="1" t="str">
        <f t="shared" si="0"/>
        <v>15/10/1980</v>
      </c>
      <c r="B12" s="5">
        <f t="shared" si="1"/>
        <v>1.3347E-8</v>
      </c>
      <c r="F12" s="210" t="s">
        <v>60</v>
      </c>
      <c r="G12" s="211"/>
      <c r="H12" s="218">
        <v>1.3347E-8</v>
      </c>
      <c r="I12" s="219"/>
    </row>
    <row r="13" spans="1:9" ht="15" thickBot="1" x14ac:dyDescent="0.35">
      <c r="A13" s="1" t="str">
        <f t="shared" si="0"/>
        <v>15/11/1980</v>
      </c>
      <c r="B13" s="5">
        <f t="shared" si="1"/>
        <v>1.4238E-8</v>
      </c>
      <c r="F13" s="202" t="s">
        <v>61</v>
      </c>
      <c r="G13" s="203"/>
      <c r="H13" s="220">
        <v>1.4238E-8</v>
      </c>
      <c r="I13" s="221"/>
    </row>
    <row r="14" spans="1:9" ht="15" thickBot="1" x14ac:dyDescent="0.35">
      <c r="A14" s="1" t="str">
        <f t="shared" si="0"/>
        <v>15/12/1980</v>
      </c>
      <c r="B14" s="5">
        <f t="shared" si="1"/>
        <v>1.5180000000000001E-8</v>
      </c>
      <c r="F14" s="210" t="s">
        <v>62</v>
      </c>
      <c r="G14" s="211"/>
      <c r="H14" s="218">
        <v>1.5180000000000001E-8</v>
      </c>
      <c r="I14" s="219"/>
    </row>
    <row r="15" spans="1:9" ht="15" thickBot="1" x14ac:dyDescent="0.35">
      <c r="A15" s="1" t="str">
        <f t="shared" si="0"/>
        <v>15/01/1981</v>
      </c>
      <c r="B15" s="5">
        <f t="shared" si="1"/>
        <v>1.6216999999999999E-8</v>
      </c>
      <c r="F15" s="202" t="s">
        <v>63</v>
      </c>
      <c r="G15" s="203"/>
      <c r="H15" s="220">
        <v>1.6216999999999999E-8</v>
      </c>
      <c r="I15" s="221"/>
    </row>
    <row r="16" spans="1:9" ht="15" thickBot="1" x14ac:dyDescent="0.35">
      <c r="A16" s="1" t="str">
        <f t="shared" si="0"/>
        <v>15/02/1981</v>
      </c>
      <c r="B16" s="5">
        <f t="shared" si="1"/>
        <v>1.7255999999999999E-8</v>
      </c>
      <c r="F16" s="210" t="s">
        <v>64</v>
      </c>
      <c r="G16" s="211"/>
      <c r="H16" s="218">
        <v>1.7255999999999999E-8</v>
      </c>
      <c r="I16" s="219"/>
    </row>
    <row r="17" spans="1:9" ht="15" thickBot="1" x14ac:dyDescent="0.35">
      <c r="A17" s="1" t="str">
        <f t="shared" si="0"/>
        <v>15/03/1981</v>
      </c>
      <c r="B17" s="5">
        <f t="shared" si="1"/>
        <v>1.8113000000000001E-8</v>
      </c>
      <c r="F17" s="202" t="s">
        <v>65</v>
      </c>
      <c r="G17" s="203"/>
      <c r="H17" s="220">
        <v>1.8113000000000001E-8</v>
      </c>
      <c r="I17" s="221"/>
    </row>
    <row r="18" spans="1:9" ht="15" thickBot="1" x14ac:dyDescent="0.35">
      <c r="A18" s="1" t="str">
        <f t="shared" si="0"/>
        <v>15/04/1981</v>
      </c>
      <c r="B18" s="5">
        <f t="shared" si="1"/>
        <v>1.9283999999999999E-8</v>
      </c>
      <c r="F18" s="210" t="s">
        <v>66</v>
      </c>
      <c r="G18" s="211"/>
      <c r="H18" s="218">
        <v>1.9283999999999999E-8</v>
      </c>
      <c r="I18" s="219"/>
    </row>
    <row r="19" spans="1:9" ht="15" thickBot="1" x14ac:dyDescent="0.35">
      <c r="A19" s="1" t="str">
        <f t="shared" si="0"/>
        <v>15/05/1981</v>
      </c>
      <c r="B19" s="5">
        <f t="shared" si="1"/>
        <v>2.0356E-8</v>
      </c>
      <c r="F19" s="202" t="s">
        <v>67</v>
      </c>
      <c r="G19" s="203"/>
      <c r="H19" s="220">
        <v>2.0356E-8</v>
      </c>
      <c r="I19" s="221"/>
    </row>
    <row r="20" spans="1:9" ht="15" thickBot="1" x14ac:dyDescent="0.35">
      <c r="A20" s="1" t="str">
        <f t="shared" si="0"/>
        <v>15/06/1981</v>
      </c>
      <c r="B20" s="5">
        <f t="shared" si="1"/>
        <v>2.1479E-8</v>
      </c>
      <c r="F20" s="210" t="s">
        <v>68</v>
      </c>
      <c r="G20" s="211"/>
      <c r="H20" s="218">
        <v>2.1479E-8</v>
      </c>
      <c r="I20" s="219"/>
    </row>
    <row r="21" spans="1:9" ht="15" thickBot="1" x14ac:dyDescent="0.35">
      <c r="A21" s="1" t="str">
        <f t="shared" si="0"/>
        <v>15/07/1981</v>
      </c>
      <c r="B21" s="5">
        <f t="shared" si="1"/>
        <v>2.2822999999999999E-8</v>
      </c>
      <c r="F21" s="202" t="s">
        <v>69</v>
      </c>
      <c r="G21" s="203"/>
      <c r="H21" s="220">
        <v>2.2822999999999999E-8</v>
      </c>
      <c r="I21" s="221"/>
    </row>
    <row r="22" spans="1:9" ht="15" thickBot="1" x14ac:dyDescent="0.35">
      <c r="A22" s="1" t="str">
        <f t="shared" si="0"/>
        <v>15/08/1981</v>
      </c>
      <c r="B22" s="5">
        <f t="shared" si="1"/>
        <v>2.4077000000000001E-8</v>
      </c>
      <c r="F22" s="210" t="s">
        <v>70</v>
      </c>
      <c r="G22" s="211"/>
      <c r="H22" s="218">
        <v>2.4077000000000001E-8</v>
      </c>
      <c r="I22" s="219"/>
    </row>
    <row r="23" spans="1:9" ht="15" thickBot="1" x14ac:dyDescent="0.35">
      <c r="A23" s="1" t="str">
        <f t="shared" si="0"/>
        <v>15/09/1981</v>
      </c>
      <c r="B23" s="5">
        <f t="shared" si="1"/>
        <v>2.5343000000000001E-8</v>
      </c>
      <c r="F23" s="202" t="s">
        <v>71</v>
      </c>
      <c r="G23" s="203"/>
      <c r="H23" s="220">
        <v>2.5343000000000001E-8</v>
      </c>
      <c r="I23" s="221"/>
    </row>
    <row r="24" spans="1:9" ht="15" thickBot="1" x14ac:dyDescent="0.35">
      <c r="A24" s="1" t="str">
        <f t="shared" si="0"/>
        <v>15/10/1981</v>
      </c>
      <c r="B24" s="5">
        <f t="shared" si="1"/>
        <v>2.6630000000000001E-8</v>
      </c>
      <c r="F24" s="210" t="s">
        <v>72</v>
      </c>
      <c r="G24" s="211"/>
      <c r="H24" s="218">
        <v>2.6630000000000001E-8</v>
      </c>
      <c r="I24" s="219"/>
    </row>
    <row r="25" spans="1:9" ht="15" thickBot="1" x14ac:dyDescent="0.35">
      <c r="A25" s="1" t="str">
        <f t="shared" si="0"/>
        <v>15/11/1981</v>
      </c>
      <c r="B25" s="5">
        <f t="shared" si="1"/>
        <v>2.8034000000000001E-8</v>
      </c>
      <c r="F25" s="202" t="s">
        <v>73</v>
      </c>
      <c r="G25" s="203"/>
      <c r="H25" s="220">
        <v>2.8034000000000001E-8</v>
      </c>
      <c r="I25" s="221"/>
    </row>
    <row r="26" spans="1:9" ht="15" thickBot="1" x14ac:dyDescent="0.35">
      <c r="A26" s="1" t="str">
        <f t="shared" si="0"/>
        <v>15/12/1981</v>
      </c>
      <c r="B26" s="5">
        <f t="shared" si="1"/>
        <v>2.9694999999999999E-8</v>
      </c>
      <c r="F26" s="210" t="s">
        <v>74</v>
      </c>
      <c r="G26" s="211"/>
      <c r="H26" s="218">
        <v>2.9694999999999999E-8</v>
      </c>
      <c r="I26" s="219"/>
    </row>
    <row r="27" spans="1:9" ht="15" thickBot="1" x14ac:dyDescent="0.35">
      <c r="A27" s="1" t="str">
        <f t="shared" si="0"/>
        <v>15/01/1982</v>
      </c>
      <c r="B27" s="5">
        <f t="shared" si="1"/>
        <v>3.1762999999999998E-8</v>
      </c>
      <c r="F27" s="202" t="s">
        <v>75</v>
      </c>
      <c r="G27" s="203"/>
      <c r="H27" s="220">
        <v>3.1762999999999998E-8</v>
      </c>
      <c r="I27" s="221"/>
    </row>
    <row r="28" spans="1:9" ht="15" thickBot="1" x14ac:dyDescent="0.35">
      <c r="A28" s="1" t="str">
        <f t="shared" si="0"/>
        <v>15/02/1982</v>
      </c>
      <c r="B28" s="5">
        <f t="shared" si="1"/>
        <v>3.3870999999999999E-8</v>
      </c>
      <c r="F28" s="210" t="s">
        <v>76</v>
      </c>
      <c r="G28" s="211"/>
      <c r="H28" s="218">
        <v>3.3870999999999999E-8</v>
      </c>
      <c r="I28" s="219"/>
    </row>
    <row r="29" spans="1:9" ht="15" thickBot="1" x14ac:dyDescent="0.35">
      <c r="A29" s="1" t="str">
        <f t="shared" si="0"/>
        <v>15/03/1982</v>
      </c>
      <c r="B29" s="5">
        <f t="shared" si="1"/>
        <v>3.5806000000000003E-8</v>
      </c>
      <c r="F29" s="202" t="s">
        <v>77</v>
      </c>
      <c r="G29" s="203"/>
      <c r="H29" s="220">
        <v>3.5806000000000003E-8</v>
      </c>
      <c r="I29" s="221"/>
    </row>
    <row r="30" spans="1:9" ht="15" thickBot="1" x14ac:dyDescent="0.35">
      <c r="A30" s="1" t="str">
        <f t="shared" si="0"/>
        <v>15/04/1982</v>
      </c>
      <c r="B30" s="5">
        <f t="shared" si="1"/>
        <v>3.7913999999999998E-8</v>
      </c>
      <c r="F30" s="210" t="s">
        <v>78</v>
      </c>
      <c r="G30" s="211"/>
      <c r="H30" s="218">
        <v>3.7913999999999998E-8</v>
      </c>
      <c r="I30" s="219"/>
    </row>
    <row r="31" spans="1:9" ht="15" thickBot="1" x14ac:dyDescent="0.35">
      <c r="A31" s="1" t="str">
        <f t="shared" si="0"/>
        <v>15/05/1982</v>
      </c>
      <c r="B31" s="5">
        <f t="shared" si="1"/>
        <v>4.0438000000000001E-8</v>
      </c>
      <c r="F31" s="202" t="s">
        <v>79</v>
      </c>
      <c r="G31" s="203"/>
      <c r="H31" s="220">
        <v>4.0438000000000001E-8</v>
      </c>
      <c r="I31" s="221"/>
    </row>
    <row r="32" spans="1:9" ht="15" thickBot="1" x14ac:dyDescent="0.35">
      <c r="A32" s="1" t="str">
        <f t="shared" si="0"/>
        <v>15/06/1982</v>
      </c>
      <c r="B32" s="5">
        <f t="shared" si="1"/>
        <v>4.3311000000000003E-8</v>
      </c>
      <c r="F32" s="210" t="s">
        <v>80</v>
      </c>
      <c r="G32" s="211"/>
      <c r="H32" s="218">
        <v>4.3311000000000003E-8</v>
      </c>
      <c r="I32" s="219"/>
    </row>
    <row r="33" spans="1:9" ht="15" thickBot="1" x14ac:dyDescent="0.35">
      <c r="A33" s="1" t="str">
        <f t="shared" si="0"/>
        <v>15/07/1982</v>
      </c>
      <c r="B33" s="5">
        <f t="shared" si="1"/>
        <v>4.6065000000000003E-8</v>
      </c>
      <c r="F33" s="202" t="s">
        <v>81</v>
      </c>
      <c r="G33" s="203"/>
      <c r="H33" s="220">
        <v>4.6065000000000003E-8</v>
      </c>
      <c r="I33" s="221"/>
    </row>
    <row r="34" spans="1:9" ht="15" thickBot="1" x14ac:dyDescent="0.35">
      <c r="A34" s="1" t="str">
        <f t="shared" si="0"/>
        <v>15/08/1982</v>
      </c>
      <c r="B34" s="5">
        <f t="shared" si="1"/>
        <v>4.8815999999999999E-8</v>
      </c>
      <c r="F34" s="210" t="s">
        <v>82</v>
      </c>
      <c r="G34" s="211"/>
      <c r="H34" s="218">
        <v>4.8815999999999999E-8</v>
      </c>
      <c r="I34" s="219"/>
    </row>
    <row r="35" spans="1:9" ht="15" thickBot="1" x14ac:dyDescent="0.35">
      <c r="A35" s="1" t="str">
        <f t="shared" si="0"/>
        <v>15/09/1982</v>
      </c>
      <c r="B35" s="5">
        <f t="shared" si="1"/>
        <v>5.1295999999999998E-8</v>
      </c>
      <c r="F35" s="202" t="s">
        <v>83</v>
      </c>
      <c r="G35" s="203"/>
      <c r="H35" s="220">
        <v>5.1295999999999998E-8</v>
      </c>
      <c r="I35" s="221"/>
    </row>
    <row r="36" spans="1:9" ht="15" thickBot="1" x14ac:dyDescent="0.35">
      <c r="A36" s="1" t="str">
        <f t="shared" si="0"/>
        <v>15/10/1982</v>
      </c>
      <c r="B36" s="5">
        <f t="shared" si="1"/>
        <v>5.3575000000000002E-8</v>
      </c>
      <c r="F36" s="210" t="s">
        <v>84</v>
      </c>
      <c r="G36" s="211"/>
      <c r="H36" s="218">
        <v>5.3575000000000002E-8</v>
      </c>
      <c r="I36" s="219"/>
    </row>
    <row r="37" spans="1:9" ht="15" thickBot="1" x14ac:dyDescent="0.35">
      <c r="A37" s="1" t="str">
        <f t="shared" si="0"/>
        <v>15/11/1982</v>
      </c>
      <c r="B37" s="5">
        <f t="shared" si="1"/>
        <v>5.6408999999999999E-8</v>
      </c>
      <c r="F37" s="202" t="s">
        <v>85</v>
      </c>
      <c r="G37" s="203"/>
      <c r="H37" s="220">
        <v>5.6408999999999999E-8</v>
      </c>
      <c r="I37" s="221"/>
    </row>
    <row r="38" spans="1:9" ht="15" thickBot="1" x14ac:dyDescent="0.35">
      <c r="A38" s="1" t="str">
        <f t="shared" si="0"/>
        <v>15/12/1982</v>
      </c>
      <c r="B38" s="5">
        <f t="shared" si="1"/>
        <v>6.0812000000000002E-8</v>
      </c>
      <c r="F38" s="210" t="s">
        <v>86</v>
      </c>
      <c r="G38" s="211"/>
      <c r="H38" s="218">
        <v>6.0812000000000002E-8</v>
      </c>
      <c r="I38" s="219"/>
    </row>
    <row r="39" spans="1:9" ht="15" thickBot="1" x14ac:dyDescent="0.35">
      <c r="A39" s="1" t="str">
        <f t="shared" si="0"/>
        <v>15/01/1983</v>
      </c>
      <c r="B39" s="5">
        <f t="shared" si="1"/>
        <v>6.6067000000000005E-8</v>
      </c>
      <c r="F39" s="202" t="s">
        <v>87</v>
      </c>
      <c r="G39" s="203"/>
      <c r="H39" s="220">
        <v>6.6067000000000005E-8</v>
      </c>
      <c r="I39" s="221"/>
    </row>
    <row r="40" spans="1:9" ht="15" thickBot="1" x14ac:dyDescent="0.35">
      <c r="A40" s="1" t="str">
        <f t="shared" si="0"/>
        <v>15/02/1983</v>
      </c>
      <c r="B40" s="5">
        <f t="shared" si="1"/>
        <v>7.1258000000000002E-8</v>
      </c>
      <c r="F40" s="210" t="s">
        <v>88</v>
      </c>
      <c r="G40" s="211"/>
      <c r="H40" s="218">
        <v>7.1258000000000002E-8</v>
      </c>
      <c r="I40" s="219"/>
    </row>
    <row r="41" spans="1:9" ht="15" thickBot="1" x14ac:dyDescent="0.35">
      <c r="A41" s="1" t="str">
        <f t="shared" si="0"/>
        <v>15/03/1983</v>
      </c>
      <c r="B41" s="5">
        <f t="shared" si="1"/>
        <v>7.6491999999999994E-8</v>
      </c>
      <c r="F41" s="202" t="s">
        <v>89</v>
      </c>
      <c r="G41" s="203"/>
      <c r="H41" s="220">
        <v>7.6491999999999994E-8</v>
      </c>
      <c r="I41" s="221"/>
    </row>
    <row r="42" spans="1:9" ht="15" thickBot="1" x14ac:dyDescent="0.35">
      <c r="A42" s="1" t="str">
        <f t="shared" si="0"/>
        <v>15/04/1983</v>
      </c>
      <c r="B42" s="5">
        <f t="shared" si="1"/>
        <v>8.1524999999999997E-8</v>
      </c>
      <c r="F42" s="210" t="s">
        <v>90</v>
      </c>
      <c r="G42" s="211"/>
      <c r="H42" s="218">
        <v>8.1524999999999997E-8</v>
      </c>
      <c r="I42" s="219"/>
    </row>
    <row r="43" spans="1:9" ht="15" thickBot="1" x14ac:dyDescent="0.35">
      <c r="A43" s="1" t="str">
        <f t="shared" si="0"/>
        <v>15/05/1983</v>
      </c>
      <c r="B43" s="5">
        <f t="shared" si="1"/>
        <v>8.6809999999999994E-8</v>
      </c>
      <c r="F43" s="202" t="s">
        <v>91</v>
      </c>
      <c r="G43" s="203"/>
      <c r="H43" s="220">
        <v>8.6809999999999994E-8</v>
      </c>
      <c r="I43" s="221"/>
    </row>
    <row r="44" spans="1:9" ht="15" thickBot="1" x14ac:dyDescent="0.35">
      <c r="A44" s="1" t="str">
        <f t="shared" si="0"/>
        <v>15/06/1983</v>
      </c>
      <c r="B44" s="5">
        <f t="shared" si="1"/>
        <v>9.5387000000000006E-8</v>
      </c>
      <c r="F44" s="210" t="s">
        <v>92</v>
      </c>
      <c r="G44" s="211"/>
      <c r="H44" s="218">
        <v>9.5387000000000006E-8</v>
      </c>
      <c r="I44" s="219"/>
    </row>
    <row r="45" spans="1:9" ht="15" thickBot="1" x14ac:dyDescent="0.35">
      <c r="A45" s="1" t="str">
        <f t="shared" si="0"/>
        <v>15/07/1983</v>
      </c>
      <c r="B45" s="5">
        <f t="shared" si="1"/>
        <v>1.05E-7</v>
      </c>
      <c r="F45" s="202" t="s">
        <v>93</v>
      </c>
      <c r="G45" s="203"/>
      <c r="H45" s="220">
        <v>1.05E-7</v>
      </c>
      <c r="I45" s="221"/>
    </row>
    <row r="46" spans="1:9" ht="15" thickBot="1" x14ac:dyDescent="0.35">
      <c r="A46" s="1" t="str">
        <f t="shared" si="0"/>
        <v>15/08/1983</v>
      </c>
      <c r="B46" s="5">
        <f t="shared" si="1"/>
        <v>1.1457E-7</v>
      </c>
      <c r="F46" s="210" t="s">
        <v>94</v>
      </c>
      <c r="G46" s="211"/>
      <c r="H46" s="218">
        <v>1.1457E-7</v>
      </c>
      <c r="I46" s="219"/>
    </row>
    <row r="47" spans="1:9" ht="15" thickBot="1" x14ac:dyDescent="0.35">
      <c r="A47" s="1" t="str">
        <f t="shared" si="0"/>
        <v>15/09/1983</v>
      </c>
      <c r="B47" s="5">
        <f t="shared" si="1"/>
        <v>1.2637000000000001E-7</v>
      </c>
      <c r="F47" s="202" t="s">
        <v>95</v>
      </c>
      <c r="G47" s="203"/>
      <c r="H47" s="220">
        <v>1.2637000000000001E-7</v>
      </c>
      <c r="I47" s="221"/>
    </row>
    <row r="48" spans="1:9" ht="15" thickBot="1" x14ac:dyDescent="0.35">
      <c r="A48" s="1" t="str">
        <f t="shared" si="0"/>
        <v>15/10/1983</v>
      </c>
      <c r="B48" s="5">
        <f t="shared" si="1"/>
        <v>1.3757000000000001E-7</v>
      </c>
      <c r="F48" s="210" t="s">
        <v>96</v>
      </c>
      <c r="G48" s="211"/>
      <c r="H48" s="218">
        <v>1.3757000000000001E-7</v>
      </c>
      <c r="I48" s="219"/>
    </row>
    <row r="49" spans="1:9" ht="15" thickBot="1" x14ac:dyDescent="0.35">
      <c r="A49" s="1" t="str">
        <f t="shared" si="0"/>
        <v>15/11/1983</v>
      </c>
      <c r="B49" s="5">
        <f t="shared" si="1"/>
        <v>1.4772999999999999E-7</v>
      </c>
      <c r="F49" s="202" t="s">
        <v>97</v>
      </c>
      <c r="G49" s="203"/>
      <c r="H49" s="220">
        <v>1.4772999999999999E-7</v>
      </c>
      <c r="I49" s="221"/>
    </row>
    <row r="50" spans="1:9" ht="15" thickBot="1" x14ac:dyDescent="0.35">
      <c r="A50" s="1" t="str">
        <f t="shared" si="0"/>
        <v>15/12/1983</v>
      </c>
      <c r="B50" s="5">
        <f t="shared" si="1"/>
        <v>1.6054999999999999E-7</v>
      </c>
      <c r="F50" s="210" t="s">
        <v>98</v>
      </c>
      <c r="G50" s="211"/>
      <c r="H50" s="218">
        <v>1.6054999999999999E-7</v>
      </c>
      <c r="I50" s="219"/>
    </row>
    <row r="51" spans="1:9" ht="15" thickBot="1" x14ac:dyDescent="0.35">
      <c r="A51" s="1" t="str">
        <f t="shared" si="0"/>
        <v>15/01/1984</v>
      </c>
      <c r="B51" s="5">
        <f t="shared" si="1"/>
        <v>1.7606999999999999E-7</v>
      </c>
      <c r="F51" s="202" t="s">
        <v>99</v>
      </c>
      <c r="G51" s="203"/>
      <c r="H51" s="220">
        <v>1.7606999999999999E-7</v>
      </c>
      <c r="I51" s="221"/>
    </row>
    <row r="52" spans="1:9" ht="15" thickBot="1" x14ac:dyDescent="0.35">
      <c r="A52" s="1" t="str">
        <f t="shared" si="0"/>
        <v>15/02/1984</v>
      </c>
      <c r="B52" s="5">
        <f t="shared" si="1"/>
        <v>1.9280000000000001E-7</v>
      </c>
      <c r="F52" s="210" t="s">
        <v>100</v>
      </c>
      <c r="G52" s="211"/>
      <c r="H52" s="218">
        <v>1.9280000000000001E-7</v>
      </c>
      <c r="I52" s="219"/>
    </row>
    <row r="53" spans="1:9" ht="15" thickBot="1" x14ac:dyDescent="0.35">
      <c r="A53" s="1" t="str">
        <f t="shared" si="0"/>
        <v>15/03/1984</v>
      </c>
      <c r="B53" s="5">
        <f t="shared" si="1"/>
        <v>2.1003999999999999E-7</v>
      </c>
      <c r="F53" s="202" t="s">
        <v>101</v>
      </c>
      <c r="G53" s="203"/>
      <c r="H53" s="220">
        <v>2.1003999999999999E-7</v>
      </c>
      <c r="I53" s="221"/>
    </row>
    <row r="54" spans="1:9" ht="15" thickBot="1" x14ac:dyDescent="0.35">
      <c r="A54" s="1" t="str">
        <f t="shared" si="0"/>
        <v>15/04/1984</v>
      </c>
      <c r="B54" s="5">
        <f t="shared" si="1"/>
        <v>2.3008000000000001E-7</v>
      </c>
      <c r="F54" s="210" t="s">
        <v>102</v>
      </c>
      <c r="G54" s="211"/>
      <c r="H54" s="218">
        <v>2.3008000000000001E-7</v>
      </c>
      <c r="I54" s="219"/>
    </row>
    <row r="55" spans="1:9" ht="15" thickBot="1" x14ac:dyDescent="0.35">
      <c r="A55" s="1" t="str">
        <f t="shared" si="0"/>
        <v>15/05/1984</v>
      </c>
      <c r="B55" s="5">
        <f t="shared" si="1"/>
        <v>2.509E-7</v>
      </c>
      <c r="F55" s="202" t="s">
        <v>103</v>
      </c>
      <c r="G55" s="203"/>
      <c r="H55" s="220">
        <v>2.509E-7</v>
      </c>
      <c r="I55" s="221"/>
    </row>
    <row r="56" spans="1:9" ht="15" thickBot="1" x14ac:dyDescent="0.35">
      <c r="A56" s="1" t="str">
        <f t="shared" si="0"/>
        <v>15/06/1984</v>
      </c>
      <c r="B56" s="5">
        <f t="shared" si="1"/>
        <v>2.7618999999999999E-7</v>
      </c>
      <c r="F56" s="210" t="s">
        <v>104</v>
      </c>
      <c r="G56" s="211"/>
      <c r="H56" s="218">
        <v>2.7618999999999999E-7</v>
      </c>
      <c r="I56" s="219"/>
    </row>
    <row r="57" spans="1:9" ht="15" thickBot="1" x14ac:dyDescent="0.35">
      <c r="A57" s="1" t="str">
        <f t="shared" si="0"/>
        <v>15/07/1984</v>
      </c>
      <c r="B57" s="5">
        <f t="shared" si="1"/>
        <v>3.0305E-7</v>
      </c>
      <c r="F57" s="202" t="s">
        <v>105</v>
      </c>
      <c r="G57" s="203"/>
      <c r="H57" s="220">
        <v>3.0305E-7</v>
      </c>
      <c r="I57" s="221"/>
    </row>
    <row r="58" spans="1:9" ht="15" thickBot="1" x14ac:dyDescent="0.35">
      <c r="A58" s="1" t="str">
        <f t="shared" si="0"/>
        <v>15/08/1984</v>
      </c>
      <c r="B58" s="5">
        <f t="shared" si="1"/>
        <v>3.3139E-7</v>
      </c>
      <c r="F58" s="210" t="s">
        <v>106</v>
      </c>
      <c r="G58" s="211"/>
      <c r="H58" s="218">
        <v>3.3139E-7</v>
      </c>
      <c r="I58" s="219"/>
    </row>
    <row r="59" spans="1:9" ht="15" thickBot="1" x14ac:dyDescent="0.35">
      <c r="A59" s="1" t="str">
        <f t="shared" si="0"/>
        <v>15/09/1984</v>
      </c>
      <c r="B59" s="5">
        <f t="shared" si="1"/>
        <v>3.7032E-7</v>
      </c>
      <c r="F59" s="202" t="s">
        <v>107</v>
      </c>
      <c r="G59" s="203"/>
      <c r="H59" s="220">
        <v>3.7032E-7</v>
      </c>
      <c r="I59" s="221"/>
    </row>
    <row r="60" spans="1:9" ht="15" thickBot="1" x14ac:dyDescent="0.35">
      <c r="A60" s="1" t="str">
        <f t="shared" si="0"/>
        <v>15/10/1984</v>
      </c>
      <c r="B60" s="5">
        <f t="shared" si="1"/>
        <v>4.0896999999999999E-7</v>
      </c>
      <c r="F60" s="210" t="s">
        <v>108</v>
      </c>
      <c r="G60" s="211"/>
      <c r="H60" s="218">
        <v>4.0896999999999999E-7</v>
      </c>
      <c r="I60" s="219"/>
    </row>
    <row r="61" spans="1:9" ht="15" thickBot="1" x14ac:dyDescent="0.35">
      <c r="A61" s="1" t="str">
        <f t="shared" si="0"/>
        <v>15/11/1984</v>
      </c>
      <c r="B61" s="5">
        <f t="shared" si="1"/>
        <v>4.5201999999999999E-7</v>
      </c>
      <c r="F61" s="202" t="s">
        <v>109</v>
      </c>
      <c r="G61" s="203"/>
      <c r="H61" s="220">
        <v>4.5201999999999999E-7</v>
      </c>
      <c r="I61" s="221"/>
    </row>
    <row r="62" spans="1:9" ht="15" thickBot="1" x14ac:dyDescent="0.35">
      <c r="A62" s="1" t="str">
        <f t="shared" si="0"/>
        <v>15/12/1984</v>
      </c>
      <c r="B62" s="5">
        <f t="shared" si="1"/>
        <v>5.0615999999999997E-7</v>
      </c>
      <c r="F62" s="210" t="s">
        <v>110</v>
      </c>
      <c r="G62" s="211"/>
      <c r="H62" s="218">
        <v>5.0615999999999997E-7</v>
      </c>
      <c r="I62" s="219"/>
    </row>
    <row r="63" spans="1:9" ht="15" thickBot="1" x14ac:dyDescent="0.35">
      <c r="A63" s="1" t="str">
        <f t="shared" si="0"/>
        <v>15/01/1985</v>
      </c>
      <c r="B63" s="5">
        <f t="shared" si="1"/>
        <v>5.6568000000000002E-7</v>
      </c>
      <c r="F63" s="202" t="s">
        <v>111</v>
      </c>
      <c r="G63" s="203"/>
      <c r="H63" s="220">
        <v>5.6568000000000002E-7</v>
      </c>
      <c r="I63" s="221"/>
    </row>
    <row r="64" spans="1:9" ht="15" thickBot="1" x14ac:dyDescent="0.35">
      <c r="A64" s="1" t="str">
        <f t="shared" si="0"/>
        <v>15/02/1985</v>
      </c>
      <c r="B64" s="5">
        <f t="shared" si="1"/>
        <v>6.2714000000000004E-7</v>
      </c>
      <c r="F64" s="210" t="s">
        <v>112</v>
      </c>
      <c r="G64" s="211"/>
      <c r="H64" s="218">
        <v>6.2714000000000004E-7</v>
      </c>
      <c r="I64" s="219"/>
    </row>
    <row r="65" spans="1:9" ht="15" thickBot="1" x14ac:dyDescent="0.35">
      <c r="A65" s="1" t="str">
        <f t="shared" si="0"/>
        <v>15/03/1985</v>
      </c>
      <c r="B65" s="5">
        <f t="shared" si="1"/>
        <v>6.9087000000000004E-7</v>
      </c>
      <c r="F65" s="202" t="s">
        <v>113</v>
      </c>
      <c r="G65" s="203"/>
      <c r="H65" s="220">
        <v>6.9087000000000004E-7</v>
      </c>
      <c r="I65" s="221"/>
    </row>
    <row r="66" spans="1:9" ht="15" thickBot="1" x14ac:dyDescent="0.35">
      <c r="A66" s="1" t="str">
        <f t="shared" si="0"/>
        <v>15/04/1985</v>
      </c>
      <c r="B66" s="5">
        <f t="shared" si="1"/>
        <v>7.4748999999999998E-7</v>
      </c>
      <c r="F66" s="210" t="s">
        <v>114</v>
      </c>
      <c r="G66" s="211"/>
      <c r="H66" s="218">
        <v>7.4748999999999998E-7</v>
      </c>
      <c r="I66" s="219"/>
    </row>
    <row r="67" spans="1:9" ht="15" thickBot="1" x14ac:dyDescent="0.35">
      <c r="A67" s="1" t="str">
        <f t="shared" ref="A67:A130" si="2">"15/"&amp;RIGHT(F67,2)&amp;"/"&amp;LEFT(F67,4)</f>
        <v>15/05/1985</v>
      </c>
      <c r="B67" s="5">
        <f t="shared" ref="B67:B130" si="3">H67</f>
        <v>8.0128000000000004E-7</v>
      </c>
      <c r="F67" s="202" t="s">
        <v>115</v>
      </c>
      <c r="G67" s="203"/>
      <c r="H67" s="220">
        <v>8.0128000000000004E-7</v>
      </c>
      <c r="I67" s="221"/>
    </row>
    <row r="68" spans="1:9" ht="15" thickBot="1" x14ac:dyDescent="0.35">
      <c r="A68" s="1" t="str">
        <f t="shared" si="2"/>
        <v>15/06/1985</v>
      </c>
      <c r="B68" s="5">
        <f t="shared" si="3"/>
        <v>8.6934000000000003E-7</v>
      </c>
      <c r="F68" s="210" t="s">
        <v>116</v>
      </c>
      <c r="G68" s="211"/>
      <c r="H68" s="218">
        <v>8.6934000000000003E-7</v>
      </c>
      <c r="I68" s="219"/>
    </row>
    <row r="69" spans="1:9" ht="15" thickBot="1" x14ac:dyDescent="0.35">
      <c r="A69" s="1" t="str">
        <f t="shared" si="2"/>
        <v>15/07/1985</v>
      </c>
      <c r="B69" s="5">
        <f t="shared" si="3"/>
        <v>9.5898999999999999E-7</v>
      </c>
      <c r="F69" s="202" t="s">
        <v>117</v>
      </c>
      <c r="G69" s="203"/>
      <c r="H69" s="220">
        <v>9.5898999999999999E-7</v>
      </c>
      <c r="I69" s="221"/>
    </row>
    <row r="70" spans="1:9" ht="15" thickBot="1" x14ac:dyDescent="0.35">
      <c r="A70" s="1" t="str">
        <f t="shared" si="2"/>
        <v>15/08/1985</v>
      </c>
      <c r="B70" s="5">
        <f t="shared" si="3"/>
        <v>1.0745E-6</v>
      </c>
      <c r="F70" s="210" t="s">
        <v>118</v>
      </c>
      <c r="G70" s="211"/>
      <c r="H70" s="218">
        <v>1.0745E-6</v>
      </c>
      <c r="I70" s="219"/>
    </row>
    <row r="71" spans="1:9" ht="15" thickBot="1" x14ac:dyDescent="0.35">
      <c r="A71" s="1" t="str">
        <f t="shared" si="2"/>
        <v>15/09/1985</v>
      </c>
      <c r="B71" s="5">
        <f t="shared" si="3"/>
        <v>1.1939999999999999E-6</v>
      </c>
      <c r="F71" s="202" t="s">
        <v>119</v>
      </c>
      <c r="G71" s="203"/>
      <c r="H71" s="220">
        <v>1.1939999999999999E-6</v>
      </c>
      <c r="I71" s="221"/>
    </row>
    <row r="72" spans="1:9" ht="15" thickBot="1" x14ac:dyDescent="0.35">
      <c r="A72" s="1" t="str">
        <f t="shared" si="2"/>
        <v>15/10/1985</v>
      </c>
      <c r="B72" s="5">
        <f t="shared" si="3"/>
        <v>1.3207999999999999E-6</v>
      </c>
      <c r="F72" s="210" t="s">
        <v>120</v>
      </c>
      <c r="G72" s="211"/>
      <c r="H72" s="218">
        <v>1.3207999999999999E-6</v>
      </c>
      <c r="I72" s="219"/>
    </row>
    <row r="73" spans="1:9" ht="15" thickBot="1" x14ac:dyDescent="0.35">
      <c r="A73" s="1" t="str">
        <f t="shared" si="2"/>
        <v>15/11/1985</v>
      </c>
      <c r="B73" s="5">
        <f t="shared" si="3"/>
        <v>1.5053E-6</v>
      </c>
      <c r="F73" s="202" t="s">
        <v>121</v>
      </c>
      <c r="G73" s="203"/>
      <c r="H73" s="220">
        <v>1.5053E-6</v>
      </c>
      <c r="I73" s="221"/>
    </row>
    <row r="74" spans="1:9" ht="15" thickBot="1" x14ac:dyDescent="0.35">
      <c r="A74" s="1" t="str">
        <f t="shared" si="2"/>
        <v>15/12/1985</v>
      </c>
      <c r="B74" s="5">
        <f t="shared" si="3"/>
        <v>1.7321999999999999E-6</v>
      </c>
      <c r="F74" s="210" t="s">
        <v>122</v>
      </c>
      <c r="G74" s="211"/>
      <c r="H74" s="218">
        <v>1.7321999999999999E-6</v>
      </c>
      <c r="I74" s="219"/>
    </row>
    <row r="75" spans="1:9" ht="15" thickBot="1" x14ac:dyDescent="0.35">
      <c r="A75" s="1" t="str">
        <f t="shared" si="2"/>
        <v>15/01/1986</v>
      </c>
      <c r="B75" s="5">
        <f t="shared" si="3"/>
        <v>1.9812000000000002E-6</v>
      </c>
      <c r="F75" s="202" t="s">
        <v>123</v>
      </c>
      <c r="G75" s="203"/>
      <c r="H75" s="220">
        <v>1.9812000000000002E-6</v>
      </c>
      <c r="I75" s="221"/>
    </row>
    <row r="76" spans="1:9" ht="15" thickBot="1" x14ac:dyDescent="0.35">
      <c r="A76" s="1" t="str">
        <f t="shared" si="2"/>
        <v>15/02/1986</v>
      </c>
      <c r="B76" s="5">
        <f t="shared" si="3"/>
        <v>2.2330999999999998E-6</v>
      </c>
      <c r="F76" s="210" t="s">
        <v>124</v>
      </c>
      <c r="G76" s="211"/>
      <c r="H76" s="218">
        <v>2.2330999999999998E-6</v>
      </c>
      <c r="I76" s="219"/>
    </row>
    <row r="77" spans="1:9" ht="15" thickBot="1" x14ac:dyDescent="0.35">
      <c r="A77" s="1" t="str">
        <f t="shared" si="2"/>
        <v>15/03/1986</v>
      </c>
      <c r="B77" s="5">
        <f t="shared" si="3"/>
        <v>2.3396E-6</v>
      </c>
      <c r="F77" s="202" t="s">
        <v>125</v>
      </c>
      <c r="G77" s="203"/>
      <c r="H77" s="220">
        <v>2.3396E-6</v>
      </c>
      <c r="I77" s="221"/>
    </row>
    <row r="78" spans="1:9" ht="15" thickBot="1" x14ac:dyDescent="0.35">
      <c r="A78" s="1" t="str">
        <f t="shared" si="2"/>
        <v>15/04/1986</v>
      </c>
      <c r="B78" s="5">
        <f t="shared" si="3"/>
        <v>2.3578999999999999E-6</v>
      </c>
      <c r="F78" s="210" t="s">
        <v>126</v>
      </c>
      <c r="G78" s="211"/>
      <c r="H78" s="218">
        <v>2.3578999999999999E-6</v>
      </c>
      <c r="I78" s="219"/>
    </row>
    <row r="79" spans="1:9" ht="15" thickBot="1" x14ac:dyDescent="0.35">
      <c r="A79" s="1" t="str">
        <f t="shared" si="2"/>
        <v>15/05/1986</v>
      </c>
      <c r="B79" s="5">
        <f t="shared" si="3"/>
        <v>2.3908999999999998E-6</v>
      </c>
      <c r="F79" s="202" t="s">
        <v>127</v>
      </c>
      <c r="G79" s="203"/>
      <c r="H79" s="220">
        <v>2.3908999999999998E-6</v>
      </c>
      <c r="I79" s="221"/>
    </row>
    <row r="80" spans="1:9" ht="15" thickBot="1" x14ac:dyDescent="0.35">
      <c r="A80" s="1" t="str">
        <f t="shared" si="2"/>
        <v>15/06/1986</v>
      </c>
      <c r="B80" s="5">
        <f t="shared" si="3"/>
        <v>2.4213E-6</v>
      </c>
      <c r="F80" s="210" t="s">
        <v>128</v>
      </c>
      <c r="G80" s="211"/>
      <c r="H80" s="218">
        <v>2.4213E-6</v>
      </c>
      <c r="I80" s="219"/>
    </row>
    <row r="81" spans="1:9" ht="15" thickBot="1" x14ac:dyDescent="0.35">
      <c r="A81" s="1" t="str">
        <f t="shared" si="2"/>
        <v>15/07/1986</v>
      </c>
      <c r="B81" s="5">
        <f t="shared" si="3"/>
        <v>2.4627000000000002E-6</v>
      </c>
      <c r="F81" s="202" t="s">
        <v>129</v>
      </c>
      <c r="G81" s="203"/>
      <c r="H81" s="220">
        <v>2.4627000000000002E-6</v>
      </c>
      <c r="I81" s="221"/>
    </row>
    <row r="82" spans="1:9" ht="15" thickBot="1" x14ac:dyDescent="0.35">
      <c r="A82" s="1" t="str">
        <f t="shared" si="2"/>
        <v>15/08/1986</v>
      </c>
      <c r="B82" s="5">
        <f t="shared" si="3"/>
        <v>2.5502000000000002E-6</v>
      </c>
      <c r="F82" s="210" t="s">
        <v>130</v>
      </c>
      <c r="G82" s="211"/>
      <c r="H82" s="218">
        <v>2.5502000000000002E-6</v>
      </c>
      <c r="I82" s="219"/>
    </row>
    <row r="83" spans="1:9" ht="15" thickBot="1" x14ac:dyDescent="0.35">
      <c r="A83" s="1" t="str">
        <f t="shared" si="2"/>
        <v>15/09/1986</v>
      </c>
      <c r="B83" s="5">
        <f t="shared" si="3"/>
        <v>2.5938999999999998E-6</v>
      </c>
      <c r="F83" s="202" t="s">
        <v>131</v>
      </c>
      <c r="G83" s="203"/>
      <c r="H83" s="220">
        <v>2.5938999999999998E-6</v>
      </c>
      <c r="I83" s="221"/>
    </row>
    <row r="84" spans="1:9" ht="15" thickBot="1" x14ac:dyDescent="0.35">
      <c r="A84" s="1" t="str">
        <f t="shared" si="2"/>
        <v>15/10/1986</v>
      </c>
      <c r="B84" s="5">
        <f t="shared" si="3"/>
        <v>2.6433000000000002E-6</v>
      </c>
      <c r="F84" s="210" t="s">
        <v>132</v>
      </c>
      <c r="G84" s="211"/>
      <c r="H84" s="218">
        <v>2.6433000000000002E-6</v>
      </c>
      <c r="I84" s="219"/>
    </row>
    <row r="85" spans="1:9" ht="15" thickBot="1" x14ac:dyDescent="0.35">
      <c r="A85" s="1" t="str">
        <f t="shared" si="2"/>
        <v>15/11/1986</v>
      </c>
      <c r="B85" s="5">
        <f t="shared" si="3"/>
        <v>2.7874000000000002E-6</v>
      </c>
      <c r="F85" s="202" t="s">
        <v>133</v>
      </c>
      <c r="G85" s="203"/>
      <c r="H85" s="220">
        <v>2.7874000000000002E-6</v>
      </c>
      <c r="I85" s="221"/>
    </row>
    <row r="86" spans="1:9" ht="15" thickBot="1" x14ac:dyDescent="0.35">
      <c r="A86" s="1" t="str">
        <f t="shared" si="2"/>
        <v>15/12/1986</v>
      </c>
      <c r="B86" s="5">
        <f t="shared" si="3"/>
        <v>3.1122E-6</v>
      </c>
      <c r="F86" s="210" t="s">
        <v>134</v>
      </c>
      <c r="G86" s="211"/>
      <c r="H86" s="218">
        <v>3.1122E-6</v>
      </c>
      <c r="I86" s="219"/>
    </row>
    <row r="87" spans="1:9" ht="15" thickBot="1" x14ac:dyDescent="0.35">
      <c r="A87" s="1" t="str">
        <f t="shared" si="2"/>
        <v>15/01/1987</v>
      </c>
      <c r="B87" s="5">
        <f t="shared" si="3"/>
        <v>3.5232999999999998E-6</v>
      </c>
      <c r="F87" s="202" t="s">
        <v>135</v>
      </c>
      <c r="G87" s="203"/>
      <c r="H87" s="220">
        <v>3.5232999999999998E-6</v>
      </c>
      <c r="I87" s="221"/>
    </row>
    <row r="88" spans="1:9" ht="15" thickBot="1" x14ac:dyDescent="0.35">
      <c r="A88" s="1" t="str">
        <f t="shared" si="2"/>
        <v>15/02/1987</v>
      </c>
      <c r="B88" s="5">
        <f t="shared" si="3"/>
        <v>3.9685000000000002E-6</v>
      </c>
      <c r="F88" s="210" t="s">
        <v>136</v>
      </c>
      <c r="G88" s="211"/>
      <c r="H88" s="218">
        <v>3.9685000000000002E-6</v>
      </c>
      <c r="I88" s="219"/>
    </row>
    <row r="89" spans="1:9" ht="15" thickBot="1" x14ac:dyDescent="0.35">
      <c r="A89" s="1" t="str">
        <f t="shared" si="2"/>
        <v>15/03/1987</v>
      </c>
      <c r="B89" s="5">
        <f t="shared" si="3"/>
        <v>4.6182000000000001E-6</v>
      </c>
      <c r="F89" s="202" t="s">
        <v>137</v>
      </c>
      <c r="G89" s="203"/>
      <c r="H89" s="220">
        <v>4.6182000000000001E-6</v>
      </c>
      <c r="I89" s="221"/>
    </row>
    <row r="90" spans="1:9" ht="15" thickBot="1" x14ac:dyDescent="0.35">
      <c r="A90" s="1" t="str">
        <f t="shared" si="2"/>
        <v>15/04/1987</v>
      </c>
      <c r="B90" s="5">
        <f t="shared" si="3"/>
        <v>5.5002000000000003E-6</v>
      </c>
      <c r="F90" s="210" t="s">
        <v>138</v>
      </c>
      <c r="G90" s="211"/>
      <c r="H90" s="218">
        <v>5.5002000000000003E-6</v>
      </c>
      <c r="I90" s="219"/>
    </row>
    <row r="91" spans="1:9" ht="15" thickBot="1" x14ac:dyDescent="0.35">
      <c r="A91" s="1" t="str">
        <f t="shared" si="2"/>
        <v>15/05/1987</v>
      </c>
      <c r="B91" s="5">
        <f t="shared" si="3"/>
        <v>6.6800999999999998E-6</v>
      </c>
      <c r="F91" s="202" t="s">
        <v>139</v>
      </c>
      <c r="G91" s="203"/>
      <c r="H91" s="220">
        <v>6.6800999999999998E-6</v>
      </c>
      <c r="I91" s="221"/>
    </row>
    <row r="92" spans="1:9" ht="15" thickBot="1" x14ac:dyDescent="0.35">
      <c r="A92" s="1" t="str">
        <f t="shared" si="2"/>
        <v>15/06/1987</v>
      </c>
      <c r="B92" s="5">
        <f t="shared" si="3"/>
        <v>7.9968999999999996E-6</v>
      </c>
      <c r="F92" s="210" t="s">
        <v>140</v>
      </c>
      <c r="G92" s="211"/>
      <c r="H92" s="218">
        <v>7.9968999999999996E-6</v>
      </c>
      <c r="I92" s="219"/>
    </row>
    <row r="93" spans="1:9" ht="15" thickBot="1" x14ac:dyDescent="0.35">
      <c r="A93" s="1" t="str">
        <f t="shared" si="2"/>
        <v>15/07/1987</v>
      </c>
      <c r="B93" s="5">
        <f t="shared" si="3"/>
        <v>8.7334000000000001E-6</v>
      </c>
      <c r="F93" s="202" t="s">
        <v>141</v>
      </c>
      <c r="G93" s="203"/>
      <c r="H93" s="220">
        <v>8.7334000000000001E-6</v>
      </c>
      <c r="I93" s="221"/>
    </row>
    <row r="94" spans="1:9" ht="15" thickBot="1" x14ac:dyDescent="0.35">
      <c r="A94" s="1" t="str">
        <f t="shared" si="2"/>
        <v>15/08/1987</v>
      </c>
      <c r="B94" s="5">
        <f t="shared" si="3"/>
        <v>9.1586999999999992E-6</v>
      </c>
      <c r="F94" s="210" t="s">
        <v>142</v>
      </c>
      <c r="G94" s="211"/>
      <c r="H94" s="218">
        <v>9.1586999999999992E-6</v>
      </c>
      <c r="I94" s="219"/>
    </row>
    <row r="95" spans="1:9" ht="15" thickBot="1" x14ac:dyDescent="0.35">
      <c r="A95" s="1" t="str">
        <f t="shared" si="2"/>
        <v>15/09/1987</v>
      </c>
      <c r="B95" s="5">
        <f t="shared" si="3"/>
        <v>9.8714000000000001E-6</v>
      </c>
      <c r="F95" s="202" t="s">
        <v>143</v>
      </c>
      <c r="G95" s="203"/>
      <c r="H95" s="220">
        <v>9.8714000000000001E-6</v>
      </c>
      <c r="I95" s="221"/>
    </row>
    <row r="96" spans="1:9" ht="15" thickBot="1" x14ac:dyDescent="0.35">
      <c r="A96" s="1" t="str">
        <f t="shared" si="2"/>
        <v>15/10/1987</v>
      </c>
      <c r="B96" s="5">
        <f t="shared" si="3"/>
        <v>1.0978999999999999E-5</v>
      </c>
      <c r="F96" s="210" t="s">
        <v>144</v>
      </c>
      <c r="G96" s="211"/>
      <c r="H96" s="218">
        <v>1.0978999999999999E-5</v>
      </c>
      <c r="I96" s="219"/>
    </row>
    <row r="97" spans="1:9" ht="15" thickBot="1" x14ac:dyDescent="0.35">
      <c r="A97" s="1" t="str">
        <f t="shared" si="2"/>
        <v>15/11/1987</v>
      </c>
      <c r="B97" s="5">
        <f t="shared" si="3"/>
        <v>1.2634E-5</v>
      </c>
      <c r="F97" s="202" t="s">
        <v>145</v>
      </c>
      <c r="G97" s="203"/>
      <c r="H97" s="220">
        <v>1.2634E-5</v>
      </c>
      <c r="I97" s="221"/>
    </row>
    <row r="98" spans="1:9" ht="15" thickBot="1" x14ac:dyDescent="0.35">
      <c r="A98" s="1" t="str">
        <f t="shared" si="2"/>
        <v>15/12/1987</v>
      </c>
      <c r="B98" s="5">
        <f t="shared" si="3"/>
        <v>1.4422E-5</v>
      </c>
      <c r="F98" s="210" t="s">
        <v>146</v>
      </c>
      <c r="G98" s="211"/>
      <c r="H98" s="218">
        <v>1.4422E-5</v>
      </c>
      <c r="I98" s="219"/>
    </row>
    <row r="99" spans="1:9" ht="15" thickBot="1" x14ac:dyDescent="0.35">
      <c r="A99" s="1" t="str">
        <f t="shared" si="2"/>
        <v>15/01/1988</v>
      </c>
      <c r="B99" s="5">
        <f t="shared" si="3"/>
        <v>1.7146000000000002E-5</v>
      </c>
      <c r="F99" s="202" t="s">
        <v>147</v>
      </c>
      <c r="G99" s="203"/>
      <c r="H99" s="220">
        <v>1.7146000000000002E-5</v>
      </c>
      <c r="I99" s="221"/>
    </row>
    <row r="100" spans="1:9" ht="15" thickBot="1" x14ac:dyDescent="0.35">
      <c r="A100" s="1" t="str">
        <f t="shared" si="2"/>
        <v>15/02/1988</v>
      </c>
      <c r="B100" s="5">
        <f t="shared" si="3"/>
        <v>1.9837999999999999E-5</v>
      </c>
      <c r="F100" s="210" t="s">
        <v>148</v>
      </c>
      <c r="G100" s="211"/>
      <c r="H100" s="218">
        <v>1.9837999999999999E-5</v>
      </c>
      <c r="I100" s="219"/>
    </row>
    <row r="101" spans="1:9" ht="15" thickBot="1" x14ac:dyDescent="0.35">
      <c r="A101" s="1" t="str">
        <f t="shared" si="2"/>
        <v>15/03/1988</v>
      </c>
      <c r="B101" s="5">
        <f t="shared" si="3"/>
        <v>2.3329999999999999E-5</v>
      </c>
      <c r="F101" s="202" t="s">
        <v>149</v>
      </c>
      <c r="G101" s="203"/>
      <c r="H101" s="220">
        <v>2.3329999999999999E-5</v>
      </c>
      <c r="I101" s="221"/>
    </row>
    <row r="102" spans="1:9" ht="15" thickBot="1" x14ac:dyDescent="0.35">
      <c r="A102" s="1" t="str">
        <f t="shared" si="2"/>
        <v>15/04/1988</v>
      </c>
      <c r="B102" s="5">
        <f t="shared" si="3"/>
        <v>2.783E-5</v>
      </c>
      <c r="F102" s="210" t="s">
        <v>150</v>
      </c>
      <c r="G102" s="211"/>
      <c r="H102" s="218">
        <v>2.783E-5</v>
      </c>
      <c r="I102" s="219"/>
    </row>
    <row r="103" spans="1:9" ht="15" thickBot="1" x14ac:dyDescent="0.35">
      <c r="A103" s="1" t="str">
        <f t="shared" si="2"/>
        <v>15/05/1988</v>
      </c>
      <c r="B103" s="5">
        <f t="shared" si="3"/>
        <v>3.2678000000000001E-5</v>
      </c>
      <c r="F103" s="202" t="s">
        <v>151</v>
      </c>
      <c r="G103" s="203"/>
      <c r="H103" s="220">
        <v>3.2678000000000001E-5</v>
      </c>
      <c r="I103" s="221"/>
    </row>
    <row r="104" spans="1:9" ht="15" thickBot="1" x14ac:dyDescent="0.35">
      <c r="A104" s="1" t="str">
        <f t="shared" si="2"/>
        <v>15/06/1988</v>
      </c>
      <c r="B104" s="5">
        <f t="shared" si="3"/>
        <v>3.9867999999999998E-5</v>
      </c>
      <c r="F104" s="210" t="s">
        <v>152</v>
      </c>
      <c r="G104" s="211"/>
      <c r="H104" s="218">
        <v>3.9867999999999998E-5</v>
      </c>
      <c r="I104" s="219"/>
    </row>
    <row r="105" spans="1:9" ht="15" thickBot="1" x14ac:dyDescent="0.35">
      <c r="A105" s="1" t="str">
        <f t="shared" si="2"/>
        <v>15/07/1988</v>
      </c>
      <c r="B105" s="5">
        <f t="shared" si="3"/>
        <v>4.8603000000000002E-5</v>
      </c>
      <c r="F105" s="202" t="s">
        <v>153</v>
      </c>
      <c r="G105" s="203"/>
      <c r="H105" s="220">
        <v>4.8603000000000002E-5</v>
      </c>
      <c r="I105" s="221"/>
    </row>
    <row r="106" spans="1:9" ht="15" thickBot="1" x14ac:dyDescent="0.35">
      <c r="A106" s="1" t="str">
        <f t="shared" si="2"/>
        <v>15/08/1988</v>
      </c>
      <c r="B106" s="5">
        <f t="shared" si="3"/>
        <v>1E-4</v>
      </c>
      <c r="F106" s="210" t="s">
        <v>154</v>
      </c>
      <c r="G106" s="211"/>
      <c r="H106" s="216">
        <v>1E-4</v>
      </c>
      <c r="I106" s="217"/>
    </row>
    <row r="107" spans="1:9" ht="15" thickBot="1" x14ac:dyDescent="0.35">
      <c r="A107" s="1" t="str">
        <f t="shared" si="2"/>
        <v>15/09/1988</v>
      </c>
      <c r="B107" s="5">
        <f t="shared" si="3"/>
        <v>1E-4</v>
      </c>
      <c r="F107" s="202" t="s">
        <v>155</v>
      </c>
      <c r="G107" s="203"/>
      <c r="H107" s="214">
        <v>1E-4</v>
      </c>
      <c r="I107" s="215"/>
    </row>
    <row r="108" spans="1:9" ht="15" thickBot="1" x14ac:dyDescent="0.35">
      <c r="A108" s="1" t="str">
        <f t="shared" si="2"/>
        <v>15/10/1988</v>
      </c>
      <c r="B108" s="5">
        <f t="shared" si="3"/>
        <v>1E-4</v>
      </c>
      <c r="F108" s="210" t="s">
        <v>156</v>
      </c>
      <c r="G108" s="211"/>
      <c r="H108" s="216">
        <v>1E-4</v>
      </c>
      <c r="I108" s="217"/>
    </row>
    <row r="109" spans="1:9" ht="15" thickBot="1" x14ac:dyDescent="0.35">
      <c r="A109" s="1" t="str">
        <f t="shared" si="2"/>
        <v>15/11/1988</v>
      </c>
      <c r="B109" s="5">
        <f t="shared" si="3"/>
        <v>1E-4</v>
      </c>
      <c r="F109" s="202" t="s">
        <v>157</v>
      </c>
      <c r="G109" s="203"/>
      <c r="H109" s="214">
        <v>1E-4</v>
      </c>
      <c r="I109" s="215"/>
    </row>
    <row r="110" spans="1:9" ht="15" thickBot="1" x14ac:dyDescent="0.35">
      <c r="A110" s="1" t="str">
        <f t="shared" si="2"/>
        <v>15/12/1988</v>
      </c>
      <c r="B110" s="5">
        <f t="shared" si="3"/>
        <v>2.0000000000000001E-4</v>
      </c>
      <c r="F110" s="210" t="s">
        <v>158</v>
      </c>
      <c r="G110" s="211"/>
      <c r="H110" s="216">
        <v>2.0000000000000001E-4</v>
      </c>
      <c r="I110" s="217"/>
    </row>
    <row r="111" spans="1:9" ht="15" thickBot="1" x14ac:dyDescent="0.35">
      <c r="A111" s="1" t="str">
        <f t="shared" si="2"/>
        <v>15/01/1989</v>
      </c>
      <c r="B111" s="5">
        <f t="shared" si="3"/>
        <v>2.0000000000000001E-4</v>
      </c>
      <c r="F111" s="202" t="s">
        <v>159</v>
      </c>
      <c r="G111" s="203"/>
      <c r="H111" s="214">
        <v>2.0000000000000001E-4</v>
      </c>
      <c r="I111" s="215"/>
    </row>
    <row r="112" spans="1:9" ht="15" thickBot="1" x14ac:dyDescent="0.35">
      <c r="A112" s="1" t="str">
        <f t="shared" si="2"/>
        <v>15/02/1989</v>
      </c>
      <c r="B112" s="5">
        <f t="shared" si="3"/>
        <v>2.9999999999999997E-4</v>
      </c>
      <c r="F112" s="210" t="s">
        <v>160</v>
      </c>
      <c r="G112" s="211"/>
      <c r="H112" s="216">
        <v>2.9999999999999997E-4</v>
      </c>
      <c r="I112" s="217"/>
    </row>
    <row r="113" spans="1:9" ht="15" thickBot="1" x14ac:dyDescent="0.35">
      <c r="A113" s="1" t="str">
        <f t="shared" si="2"/>
        <v>15/03/1989</v>
      </c>
      <c r="B113" s="5">
        <f t="shared" si="3"/>
        <v>2.9999999999999997E-4</v>
      </c>
      <c r="F113" s="202" t="s">
        <v>161</v>
      </c>
      <c r="G113" s="203"/>
      <c r="H113" s="214">
        <v>2.9999999999999997E-4</v>
      </c>
      <c r="I113" s="215"/>
    </row>
    <row r="114" spans="1:9" ht="15" thickBot="1" x14ac:dyDescent="0.35">
      <c r="A114" s="1" t="str">
        <f t="shared" si="2"/>
        <v>15/04/1989</v>
      </c>
      <c r="B114" s="5">
        <f t="shared" si="3"/>
        <v>2.9999999999999997E-4</v>
      </c>
      <c r="F114" s="210" t="s">
        <v>162</v>
      </c>
      <c r="G114" s="211"/>
      <c r="H114" s="216">
        <v>2.9999999999999997E-4</v>
      </c>
      <c r="I114" s="217"/>
    </row>
    <row r="115" spans="1:9" ht="15" thickBot="1" x14ac:dyDescent="0.35">
      <c r="A115" s="1" t="str">
        <f t="shared" si="2"/>
        <v>15/05/1989</v>
      </c>
      <c r="B115" s="5">
        <f t="shared" si="3"/>
        <v>2.9999999999999997E-4</v>
      </c>
      <c r="F115" s="202" t="s">
        <v>163</v>
      </c>
      <c r="G115" s="203"/>
      <c r="H115" s="214">
        <v>2.9999999999999997E-4</v>
      </c>
      <c r="I115" s="215"/>
    </row>
    <row r="116" spans="1:9" ht="15" thickBot="1" x14ac:dyDescent="0.35">
      <c r="A116" s="1" t="str">
        <f t="shared" si="2"/>
        <v>15/06/1989</v>
      </c>
      <c r="B116" s="5">
        <f t="shared" si="3"/>
        <v>4.0000000000000002E-4</v>
      </c>
      <c r="F116" s="210" t="s">
        <v>164</v>
      </c>
      <c r="G116" s="211"/>
      <c r="H116" s="216">
        <v>4.0000000000000002E-4</v>
      </c>
      <c r="I116" s="217"/>
    </row>
    <row r="117" spans="1:9" ht="15" thickBot="1" x14ac:dyDescent="0.35">
      <c r="A117" s="1" t="str">
        <f t="shared" si="2"/>
        <v>15/07/1989</v>
      </c>
      <c r="B117" s="5">
        <f t="shared" si="3"/>
        <v>5.9999999999999995E-4</v>
      </c>
      <c r="F117" s="202" t="s">
        <v>165</v>
      </c>
      <c r="G117" s="203"/>
      <c r="H117" s="214">
        <v>5.9999999999999995E-4</v>
      </c>
      <c r="I117" s="215"/>
    </row>
    <row r="118" spans="1:9" ht="15" thickBot="1" x14ac:dyDescent="0.35">
      <c r="A118" s="1" t="str">
        <f t="shared" si="2"/>
        <v>15/08/1989</v>
      </c>
      <c r="B118" s="5">
        <f t="shared" si="3"/>
        <v>8.0000000000000004E-4</v>
      </c>
      <c r="F118" s="210" t="s">
        <v>166</v>
      </c>
      <c r="G118" s="211"/>
      <c r="H118" s="216">
        <v>8.0000000000000004E-4</v>
      </c>
      <c r="I118" s="217"/>
    </row>
    <row r="119" spans="1:9" ht="15" thickBot="1" x14ac:dyDescent="0.35">
      <c r="A119" s="1" t="str">
        <f t="shared" si="2"/>
        <v>15/09/1989</v>
      </c>
      <c r="B119" s="5">
        <f t="shared" si="3"/>
        <v>1E-3</v>
      </c>
      <c r="F119" s="202" t="s">
        <v>167</v>
      </c>
      <c r="G119" s="203"/>
      <c r="H119" s="214">
        <v>1E-3</v>
      </c>
      <c r="I119" s="215"/>
    </row>
    <row r="120" spans="1:9" ht="15" thickBot="1" x14ac:dyDescent="0.35">
      <c r="A120" s="1" t="str">
        <f t="shared" si="2"/>
        <v>15/10/1989</v>
      </c>
      <c r="B120" s="5">
        <f t="shared" si="3"/>
        <v>1.4E-3</v>
      </c>
      <c r="F120" s="210" t="s">
        <v>168</v>
      </c>
      <c r="G120" s="211"/>
      <c r="H120" s="216">
        <v>1.4E-3</v>
      </c>
      <c r="I120" s="217"/>
    </row>
    <row r="121" spans="1:9" ht="15" thickBot="1" x14ac:dyDescent="0.35">
      <c r="A121" s="1" t="str">
        <f t="shared" si="2"/>
        <v>15/11/1989</v>
      </c>
      <c r="B121" s="5">
        <f t="shared" si="3"/>
        <v>2.0999999999999999E-3</v>
      </c>
      <c r="F121" s="202" t="s">
        <v>169</v>
      </c>
      <c r="G121" s="203"/>
      <c r="H121" s="214">
        <v>2.0999999999999999E-3</v>
      </c>
      <c r="I121" s="215"/>
    </row>
    <row r="122" spans="1:9" ht="15" thickBot="1" x14ac:dyDescent="0.35">
      <c r="A122" s="1" t="str">
        <f t="shared" si="2"/>
        <v>15/12/1989</v>
      </c>
      <c r="B122" s="5">
        <f t="shared" si="3"/>
        <v>3.2000000000000002E-3</v>
      </c>
      <c r="F122" s="210" t="s">
        <v>170</v>
      </c>
      <c r="G122" s="211"/>
      <c r="H122" s="216">
        <v>3.2000000000000002E-3</v>
      </c>
      <c r="I122" s="217"/>
    </row>
    <row r="123" spans="1:9" ht="15" thickBot="1" x14ac:dyDescent="0.35">
      <c r="A123" s="1" t="str">
        <f t="shared" si="2"/>
        <v>15/01/1990</v>
      </c>
      <c r="B123" s="5">
        <f t="shared" si="3"/>
        <v>5.4000000000000003E-3</v>
      </c>
      <c r="F123" s="202" t="s">
        <v>171</v>
      </c>
      <c r="G123" s="203"/>
      <c r="H123" s="214">
        <v>5.4000000000000003E-3</v>
      </c>
      <c r="I123" s="215"/>
    </row>
    <row r="124" spans="1:9" ht="15" thickBot="1" x14ac:dyDescent="0.35">
      <c r="A124" s="1" t="str">
        <f t="shared" si="2"/>
        <v>15/02/1990</v>
      </c>
      <c r="B124" s="5">
        <f t="shared" si="3"/>
        <v>9.4999999999999998E-3</v>
      </c>
      <c r="F124" s="210" t="s">
        <v>172</v>
      </c>
      <c r="G124" s="211"/>
      <c r="H124" s="216">
        <v>9.4999999999999998E-3</v>
      </c>
      <c r="I124" s="217"/>
    </row>
    <row r="125" spans="1:9" ht="15" thickBot="1" x14ac:dyDescent="0.35">
      <c r="A125" s="1" t="str">
        <f t="shared" si="2"/>
        <v>15/03/1990</v>
      </c>
      <c r="B125" s="5">
        <f t="shared" si="3"/>
        <v>1.7299999999999999E-2</v>
      </c>
      <c r="F125" s="202" t="s">
        <v>173</v>
      </c>
      <c r="G125" s="203"/>
      <c r="H125" s="214">
        <v>1.7299999999999999E-2</v>
      </c>
      <c r="I125" s="215"/>
    </row>
    <row r="126" spans="1:9" ht="15" thickBot="1" x14ac:dyDescent="0.35">
      <c r="A126" s="1" t="str">
        <f t="shared" si="2"/>
        <v>15/04/1990</v>
      </c>
      <c r="B126" s="5">
        <f t="shared" si="3"/>
        <v>0.02</v>
      </c>
      <c r="F126" s="210" t="s">
        <v>174</v>
      </c>
      <c r="G126" s="211"/>
      <c r="H126" s="216">
        <v>0.02</v>
      </c>
      <c r="I126" s="217"/>
    </row>
    <row r="127" spans="1:9" ht="15" thickBot="1" x14ac:dyDescent="0.35">
      <c r="A127" s="1" t="str">
        <f t="shared" si="2"/>
        <v>15/05/1990</v>
      </c>
      <c r="B127" s="5">
        <f t="shared" si="3"/>
        <v>2.1600000000000001E-2</v>
      </c>
      <c r="F127" s="202" t="s">
        <v>175</v>
      </c>
      <c r="G127" s="203"/>
      <c r="H127" s="214">
        <v>2.1600000000000001E-2</v>
      </c>
      <c r="I127" s="215"/>
    </row>
    <row r="128" spans="1:9" ht="15" thickBot="1" x14ac:dyDescent="0.35">
      <c r="A128" s="1" t="str">
        <f t="shared" si="2"/>
        <v>15/06/1990</v>
      </c>
      <c r="B128" s="5">
        <f t="shared" si="3"/>
        <v>2.41E-2</v>
      </c>
      <c r="F128" s="210" t="s">
        <v>176</v>
      </c>
      <c r="G128" s="211"/>
      <c r="H128" s="216">
        <v>2.41E-2</v>
      </c>
      <c r="I128" s="217"/>
    </row>
    <row r="129" spans="1:9" ht="15" thickBot="1" x14ac:dyDescent="0.35">
      <c r="A129" s="1" t="str">
        <f t="shared" si="2"/>
        <v>15/07/1990</v>
      </c>
      <c r="B129" s="5">
        <f t="shared" si="3"/>
        <v>2.7199999999999998E-2</v>
      </c>
      <c r="F129" s="202" t="s">
        <v>177</v>
      </c>
      <c r="G129" s="203"/>
      <c r="H129" s="214">
        <v>2.7199999999999998E-2</v>
      </c>
      <c r="I129" s="215"/>
    </row>
    <row r="130" spans="1:9" ht="15" thickBot="1" x14ac:dyDescent="0.35">
      <c r="A130" s="1" t="str">
        <f t="shared" si="2"/>
        <v>15/08/1990</v>
      </c>
      <c r="B130" s="5">
        <f t="shared" si="3"/>
        <v>3.0700000000000002E-2</v>
      </c>
      <c r="F130" s="210" t="s">
        <v>178</v>
      </c>
      <c r="G130" s="211"/>
      <c r="H130" s="216">
        <v>3.0700000000000002E-2</v>
      </c>
      <c r="I130" s="217"/>
    </row>
    <row r="131" spans="1:9" ht="15" thickBot="1" x14ac:dyDescent="0.35">
      <c r="A131" s="1" t="str">
        <f t="shared" ref="A131:A194" si="4">"15/"&amp;RIGHT(F131,2)&amp;"/"&amp;LEFT(F131,4)</f>
        <v>15/09/1990</v>
      </c>
      <c r="B131" s="5">
        <f t="shared" ref="B131:B194" si="5">H131</f>
        <v>3.5099999999999999E-2</v>
      </c>
      <c r="F131" s="202" t="s">
        <v>179</v>
      </c>
      <c r="G131" s="203"/>
      <c r="H131" s="214">
        <v>3.5099999999999999E-2</v>
      </c>
      <c r="I131" s="215"/>
    </row>
    <row r="132" spans="1:9" ht="15" thickBot="1" x14ac:dyDescent="0.35">
      <c r="A132" s="1" t="str">
        <f t="shared" si="4"/>
        <v>15/10/1990</v>
      </c>
      <c r="B132" s="5">
        <f t="shared" si="5"/>
        <v>4.02E-2</v>
      </c>
      <c r="F132" s="210" t="s">
        <v>180</v>
      </c>
      <c r="G132" s="211"/>
      <c r="H132" s="216">
        <v>4.02E-2</v>
      </c>
      <c r="I132" s="217"/>
    </row>
    <row r="133" spans="1:9" ht="15" thickBot="1" x14ac:dyDescent="0.35">
      <c r="A133" s="1" t="str">
        <f t="shared" si="4"/>
        <v>15/11/1990</v>
      </c>
      <c r="B133" s="5">
        <f t="shared" si="5"/>
        <v>4.6899999999999997E-2</v>
      </c>
      <c r="F133" s="202" t="s">
        <v>181</v>
      </c>
      <c r="G133" s="203"/>
      <c r="H133" s="214">
        <v>4.6899999999999997E-2</v>
      </c>
      <c r="I133" s="215"/>
    </row>
    <row r="134" spans="1:9" ht="15" thickBot="1" x14ac:dyDescent="0.35">
      <c r="A134" s="1" t="str">
        <f t="shared" si="4"/>
        <v>15/12/1990</v>
      </c>
      <c r="B134" s="5">
        <f t="shared" si="5"/>
        <v>5.5599999999999997E-2</v>
      </c>
      <c r="F134" s="210" t="s">
        <v>182</v>
      </c>
      <c r="G134" s="211"/>
      <c r="H134" s="216">
        <v>5.5599999999999997E-2</v>
      </c>
      <c r="I134" s="217"/>
    </row>
    <row r="135" spans="1:9" ht="15" thickBot="1" x14ac:dyDescent="0.35">
      <c r="A135" s="1" t="str">
        <f t="shared" si="4"/>
        <v>15/01/1991</v>
      </c>
      <c r="B135" s="5">
        <f t="shared" si="5"/>
        <v>6.7100000000000007E-2</v>
      </c>
      <c r="F135" s="202" t="s">
        <v>183</v>
      </c>
      <c r="G135" s="203"/>
      <c r="H135" s="214">
        <v>6.7100000000000007E-2</v>
      </c>
      <c r="I135" s="215"/>
    </row>
    <row r="136" spans="1:9" ht="15" thickBot="1" x14ac:dyDescent="0.35">
      <c r="A136" s="1" t="str">
        <f t="shared" si="4"/>
        <v>15/02/1991</v>
      </c>
      <c r="B136" s="5">
        <f t="shared" si="5"/>
        <v>8.1000000000000003E-2</v>
      </c>
      <c r="F136" s="210" t="s">
        <v>184</v>
      </c>
      <c r="G136" s="211"/>
      <c r="H136" s="216">
        <v>8.1000000000000003E-2</v>
      </c>
      <c r="I136" s="217"/>
    </row>
    <row r="137" spans="1:9" ht="15" thickBot="1" x14ac:dyDescent="0.35">
      <c r="A137" s="1" t="str">
        <f t="shared" si="4"/>
        <v>15/03/1991</v>
      </c>
      <c r="B137" s="5">
        <f t="shared" si="5"/>
        <v>9.0700000000000003E-2</v>
      </c>
      <c r="F137" s="202" t="s">
        <v>185</v>
      </c>
      <c r="G137" s="203"/>
      <c r="H137" s="214">
        <v>9.0700000000000003E-2</v>
      </c>
      <c r="I137" s="215"/>
    </row>
    <row r="138" spans="1:9" ht="15" thickBot="1" x14ac:dyDescent="0.35">
      <c r="A138" s="1" t="str">
        <f t="shared" si="4"/>
        <v>15/04/1991</v>
      </c>
      <c r="B138" s="5">
        <f t="shared" si="5"/>
        <v>9.5200000000000007E-2</v>
      </c>
      <c r="F138" s="210" t="s">
        <v>186</v>
      </c>
      <c r="G138" s="211"/>
      <c r="H138" s="216">
        <v>9.5200000000000007E-2</v>
      </c>
      <c r="I138" s="217"/>
    </row>
    <row r="139" spans="1:9" ht="15" thickBot="1" x14ac:dyDescent="0.35">
      <c r="A139" s="1" t="str">
        <f t="shared" si="4"/>
        <v>15/05/1991</v>
      </c>
      <c r="B139" s="5">
        <f t="shared" si="5"/>
        <v>0.1023</v>
      </c>
      <c r="F139" s="202" t="s">
        <v>187</v>
      </c>
      <c r="G139" s="203"/>
      <c r="H139" s="214">
        <v>0.1023</v>
      </c>
      <c r="I139" s="215"/>
    </row>
    <row r="140" spans="1:9" ht="15" thickBot="1" x14ac:dyDescent="0.35">
      <c r="A140" s="1" t="str">
        <f t="shared" si="4"/>
        <v>15/06/1991</v>
      </c>
      <c r="B140" s="5">
        <f t="shared" si="5"/>
        <v>0.1137</v>
      </c>
      <c r="F140" s="210" t="s">
        <v>188</v>
      </c>
      <c r="G140" s="211"/>
      <c r="H140" s="216">
        <v>0.1137</v>
      </c>
      <c r="I140" s="217"/>
    </row>
    <row r="141" spans="1:9" ht="15" thickBot="1" x14ac:dyDescent="0.35">
      <c r="A141" s="1" t="str">
        <f t="shared" si="4"/>
        <v>15/07/1991</v>
      </c>
      <c r="B141" s="5">
        <f t="shared" si="5"/>
        <v>0.1278</v>
      </c>
      <c r="F141" s="202" t="s">
        <v>189</v>
      </c>
      <c r="G141" s="203"/>
      <c r="H141" s="214">
        <v>0.1278</v>
      </c>
      <c r="I141" s="215"/>
    </row>
    <row r="142" spans="1:9" ht="15" thickBot="1" x14ac:dyDescent="0.35">
      <c r="A142" s="1" t="str">
        <f t="shared" si="4"/>
        <v>15/08/1991</v>
      </c>
      <c r="B142" s="5">
        <f t="shared" si="5"/>
        <v>0.14779999999999999</v>
      </c>
      <c r="F142" s="210" t="s">
        <v>190</v>
      </c>
      <c r="G142" s="211"/>
      <c r="H142" s="216">
        <v>0.14779999999999999</v>
      </c>
      <c r="I142" s="217"/>
    </row>
    <row r="143" spans="1:9" ht="15" thickBot="1" x14ac:dyDescent="0.35">
      <c r="A143" s="1" t="str">
        <f t="shared" si="4"/>
        <v>15/09/1991</v>
      </c>
      <c r="B143" s="5">
        <f t="shared" si="5"/>
        <v>0.1709</v>
      </c>
      <c r="F143" s="202" t="s">
        <v>191</v>
      </c>
      <c r="G143" s="203"/>
      <c r="H143" s="214">
        <v>0.1709</v>
      </c>
      <c r="I143" s="215"/>
    </row>
    <row r="144" spans="1:9" ht="15" thickBot="1" x14ac:dyDescent="0.35">
      <c r="A144" s="1" t="str">
        <f t="shared" si="4"/>
        <v>15/10/1991</v>
      </c>
      <c r="B144" s="5">
        <f t="shared" si="5"/>
        <v>0.20549999999999999</v>
      </c>
      <c r="F144" s="210" t="s">
        <v>192</v>
      </c>
      <c r="G144" s="211"/>
      <c r="H144" s="216">
        <v>0.20549999999999999</v>
      </c>
      <c r="I144" s="217"/>
    </row>
    <row r="145" spans="1:9" ht="15" thickBot="1" x14ac:dyDescent="0.35">
      <c r="A145" s="1" t="str">
        <f t="shared" si="4"/>
        <v>15/11/1991</v>
      </c>
      <c r="B145" s="5">
        <f t="shared" si="5"/>
        <v>0.25729999999999997</v>
      </c>
      <c r="F145" s="202" t="s">
        <v>193</v>
      </c>
      <c r="G145" s="203"/>
      <c r="H145" s="214">
        <v>0.25729999999999997</v>
      </c>
      <c r="I145" s="215"/>
    </row>
    <row r="146" spans="1:9" ht="15" thickBot="1" x14ac:dyDescent="0.35">
      <c r="A146" s="1" t="str">
        <f t="shared" si="4"/>
        <v>15/12/1991</v>
      </c>
      <c r="B146" s="5">
        <f t="shared" si="5"/>
        <v>0.31830000000000003</v>
      </c>
      <c r="F146" s="210" t="s">
        <v>194</v>
      </c>
      <c r="G146" s="211"/>
      <c r="H146" s="216">
        <v>0.31830000000000003</v>
      </c>
      <c r="I146" s="217"/>
    </row>
    <row r="147" spans="1:9" ht="15" thickBot="1" x14ac:dyDescent="0.35">
      <c r="A147" s="1" t="str">
        <f t="shared" si="4"/>
        <v>15/01/1992</v>
      </c>
      <c r="B147" s="5">
        <f t="shared" si="5"/>
        <v>0.40089999999999998</v>
      </c>
      <c r="F147" s="202" t="s">
        <v>195</v>
      </c>
      <c r="G147" s="203"/>
      <c r="H147" s="214">
        <v>0.40089999999999998</v>
      </c>
      <c r="I147" s="215"/>
    </row>
    <row r="148" spans="1:9" ht="15" thickBot="1" x14ac:dyDescent="0.35">
      <c r="A148" s="1" t="str">
        <f t="shared" si="4"/>
        <v>15/02/1992</v>
      </c>
      <c r="B148" s="5">
        <f t="shared" si="5"/>
        <v>0.49830000000000002</v>
      </c>
      <c r="F148" s="210" t="s">
        <v>196</v>
      </c>
      <c r="G148" s="211"/>
      <c r="H148" s="216">
        <v>0.49830000000000002</v>
      </c>
      <c r="I148" s="217"/>
    </row>
    <row r="149" spans="1:9" ht="15" thickBot="1" x14ac:dyDescent="0.35">
      <c r="A149" s="1" t="str">
        <f t="shared" si="4"/>
        <v>15/03/1992</v>
      </c>
      <c r="B149" s="5">
        <f t="shared" si="5"/>
        <v>0.60499999999999998</v>
      </c>
      <c r="F149" s="202" t="s">
        <v>197</v>
      </c>
      <c r="G149" s="203"/>
      <c r="H149" s="214">
        <v>0.60499999999999998</v>
      </c>
      <c r="I149" s="215"/>
    </row>
    <row r="150" spans="1:9" ht="15" thickBot="1" x14ac:dyDescent="0.35">
      <c r="A150" s="1" t="str">
        <f t="shared" si="4"/>
        <v>15/04/1992</v>
      </c>
      <c r="B150" s="5">
        <f t="shared" si="5"/>
        <v>0.72560000000000002</v>
      </c>
      <c r="F150" s="210" t="s">
        <v>198</v>
      </c>
      <c r="G150" s="211"/>
      <c r="H150" s="216">
        <v>0.72560000000000002</v>
      </c>
      <c r="I150" s="217"/>
    </row>
    <row r="151" spans="1:9" ht="15" thickBot="1" x14ac:dyDescent="0.35">
      <c r="A151" s="1" t="str">
        <f t="shared" si="4"/>
        <v>15/05/1992</v>
      </c>
      <c r="B151" s="5">
        <f t="shared" si="5"/>
        <v>0.90590000000000004</v>
      </c>
      <c r="F151" s="202" t="s">
        <v>199</v>
      </c>
      <c r="G151" s="203"/>
      <c r="H151" s="214">
        <v>0.90590000000000004</v>
      </c>
      <c r="I151" s="215"/>
    </row>
    <row r="152" spans="1:9" ht="15" thickBot="1" x14ac:dyDescent="0.35">
      <c r="A152" s="1" t="str">
        <f t="shared" si="4"/>
        <v>15/06/1992</v>
      </c>
      <c r="B152" s="5">
        <f t="shared" si="5"/>
        <v>1.089</v>
      </c>
      <c r="F152" s="210" t="s">
        <v>200</v>
      </c>
      <c r="G152" s="211"/>
      <c r="H152" s="216">
        <v>1.089</v>
      </c>
      <c r="I152" s="217"/>
    </row>
    <row r="153" spans="1:9" ht="15" thickBot="1" x14ac:dyDescent="0.35">
      <c r="A153" s="1" t="str">
        <f t="shared" si="4"/>
        <v>15/07/1992</v>
      </c>
      <c r="B153" s="5">
        <f t="shared" si="5"/>
        <v>1.3268</v>
      </c>
      <c r="F153" s="202" t="s">
        <v>201</v>
      </c>
      <c r="G153" s="203"/>
      <c r="H153" s="214">
        <v>1.3268</v>
      </c>
      <c r="I153" s="215"/>
    </row>
    <row r="154" spans="1:9" ht="15" thickBot="1" x14ac:dyDescent="0.35">
      <c r="A154" s="1" t="str">
        <f t="shared" si="4"/>
        <v>15/08/1992</v>
      </c>
      <c r="B154" s="5">
        <f t="shared" si="5"/>
        <v>1.6205000000000001</v>
      </c>
      <c r="F154" s="210" t="s">
        <v>202</v>
      </c>
      <c r="G154" s="211"/>
      <c r="H154" s="216">
        <v>1.6205000000000001</v>
      </c>
      <c r="I154" s="217"/>
    </row>
    <row r="155" spans="1:9" ht="15" thickBot="1" x14ac:dyDescent="0.35">
      <c r="A155" s="1" t="str">
        <f t="shared" si="4"/>
        <v>15/09/1992</v>
      </c>
      <c r="B155" s="5">
        <f t="shared" si="5"/>
        <v>2.0196000000000001</v>
      </c>
      <c r="F155" s="202" t="s">
        <v>203</v>
      </c>
      <c r="G155" s="203"/>
      <c r="H155" s="214">
        <v>2.0196000000000001</v>
      </c>
      <c r="I155" s="215"/>
    </row>
    <row r="156" spans="1:9" ht="15" thickBot="1" x14ac:dyDescent="0.35">
      <c r="A156" s="1" t="str">
        <f t="shared" si="4"/>
        <v>15/10/1992</v>
      </c>
      <c r="B156" s="5">
        <f t="shared" si="5"/>
        <v>2.5293999999999999</v>
      </c>
      <c r="F156" s="210" t="s">
        <v>204</v>
      </c>
      <c r="G156" s="211"/>
      <c r="H156" s="216">
        <v>2.5293999999999999</v>
      </c>
      <c r="I156" s="217"/>
    </row>
    <row r="157" spans="1:9" ht="15" thickBot="1" x14ac:dyDescent="0.35">
      <c r="A157" s="1" t="str">
        <f t="shared" si="4"/>
        <v>15/11/1992</v>
      </c>
      <c r="B157" s="5">
        <f t="shared" si="5"/>
        <v>3.0983000000000001</v>
      </c>
      <c r="F157" s="202" t="s">
        <v>205</v>
      </c>
      <c r="G157" s="203"/>
      <c r="H157" s="214">
        <v>3.0983000000000001</v>
      </c>
      <c r="I157" s="215"/>
    </row>
    <row r="158" spans="1:9" ht="15" thickBot="1" x14ac:dyDescent="0.35">
      <c r="A158" s="1" t="str">
        <f t="shared" si="4"/>
        <v>15/12/1992</v>
      </c>
      <c r="B158" s="5">
        <f t="shared" si="5"/>
        <v>3.8803000000000001</v>
      </c>
      <c r="F158" s="210" t="s">
        <v>206</v>
      </c>
      <c r="G158" s="211"/>
      <c r="H158" s="216">
        <v>3.8803000000000001</v>
      </c>
      <c r="I158" s="217"/>
    </row>
    <row r="159" spans="1:9" ht="15" thickBot="1" x14ac:dyDescent="0.35">
      <c r="A159" s="1" t="str">
        <f t="shared" si="4"/>
        <v>15/01/1993</v>
      </c>
      <c r="B159" s="5">
        <f t="shared" si="5"/>
        <v>5.0579000000000001</v>
      </c>
      <c r="F159" s="202" t="s">
        <v>207</v>
      </c>
      <c r="G159" s="203"/>
      <c r="H159" s="214">
        <v>5.0579000000000001</v>
      </c>
      <c r="I159" s="215"/>
    </row>
    <row r="160" spans="1:9" ht="15" thickBot="1" x14ac:dyDescent="0.35">
      <c r="A160" s="1" t="str">
        <f t="shared" si="4"/>
        <v>15/02/1993</v>
      </c>
      <c r="B160" s="5">
        <f t="shared" si="5"/>
        <v>6.3213999999999997</v>
      </c>
      <c r="F160" s="210" t="s">
        <v>208</v>
      </c>
      <c r="G160" s="211"/>
      <c r="H160" s="216">
        <v>6.3213999999999997</v>
      </c>
      <c r="I160" s="217"/>
    </row>
    <row r="161" spans="1:9" ht="15" thickBot="1" x14ac:dyDescent="0.35">
      <c r="A161" s="1" t="str">
        <f t="shared" si="4"/>
        <v>15/03/1993</v>
      </c>
      <c r="B161" s="5">
        <f t="shared" si="5"/>
        <v>8.0446000000000009</v>
      </c>
      <c r="F161" s="202" t="s">
        <v>209</v>
      </c>
      <c r="G161" s="203"/>
      <c r="H161" s="214">
        <v>8.0446000000000009</v>
      </c>
      <c r="I161" s="215"/>
    </row>
    <row r="162" spans="1:9" ht="15" thickBot="1" x14ac:dyDescent="0.35">
      <c r="A162" s="1" t="str">
        <f t="shared" si="4"/>
        <v>15/04/1993</v>
      </c>
      <c r="B162" s="5">
        <f t="shared" si="5"/>
        <v>10.276999999999999</v>
      </c>
      <c r="F162" s="210" t="s">
        <v>210</v>
      </c>
      <c r="G162" s="211"/>
      <c r="H162" s="216">
        <v>10.276999999999999</v>
      </c>
      <c r="I162" s="217"/>
    </row>
    <row r="163" spans="1:9" ht="15" thickBot="1" x14ac:dyDescent="0.35">
      <c r="A163" s="1" t="str">
        <f t="shared" si="4"/>
        <v>15/05/1993</v>
      </c>
      <c r="B163" s="5">
        <f t="shared" si="5"/>
        <v>13.1227</v>
      </c>
      <c r="F163" s="202" t="s">
        <v>211</v>
      </c>
      <c r="G163" s="203"/>
      <c r="H163" s="214">
        <v>13.1227</v>
      </c>
      <c r="I163" s="215"/>
    </row>
    <row r="164" spans="1:9" ht="15" thickBot="1" x14ac:dyDescent="0.35">
      <c r="A164" s="1" t="str">
        <f t="shared" si="4"/>
        <v>15/06/1993</v>
      </c>
      <c r="B164" s="5">
        <f t="shared" si="5"/>
        <v>17.0686</v>
      </c>
      <c r="F164" s="210" t="s">
        <v>212</v>
      </c>
      <c r="G164" s="211"/>
      <c r="H164" s="216">
        <v>17.0686</v>
      </c>
      <c r="I164" s="217"/>
    </row>
    <row r="165" spans="1:9" ht="15" thickBot="1" x14ac:dyDescent="0.35">
      <c r="A165" s="1" t="str">
        <f t="shared" si="4"/>
        <v>15/07/1993</v>
      </c>
      <c r="B165" s="5">
        <f t="shared" si="5"/>
        <v>22.312100000000001</v>
      </c>
      <c r="F165" s="202" t="s">
        <v>213</v>
      </c>
      <c r="G165" s="203"/>
      <c r="H165" s="214">
        <v>22.312100000000001</v>
      </c>
      <c r="I165" s="215"/>
    </row>
    <row r="166" spans="1:9" ht="15" thickBot="1" x14ac:dyDescent="0.35">
      <c r="A166" s="1" t="str">
        <f t="shared" si="4"/>
        <v>15/08/1993</v>
      </c>
      <c r="B166" s="5">
        <f t="shared" si="5"/>
        <v>29.6662</v>
      </c>
      <c r="F166" s="210" t="s">
        <v>214</v>
      </c>
      <c r="G166" s="211"/>
      <c r="H166" s="216">
        <v>29.6662</v>
      </c>
      <c r="I166" s="217"/>
    </row>
    <row r="167" spans="1:9" ht="15" thickBot="1" x14ac:dyDescent="0.35">
      <c r="A167" s="1" t="str">
        <f t="shared" si="4"/>
        <v>15/09/1993</v>
      </c>
      <c r="B167" s="5">
        <f t="shared" si="5"/>
        <v>40.254100000000001</v>
      </c>
      <c r="F167" s="202" t="s">
        <v>215</v>
      </c>
      <c r="G167" s="203"/>
      <c r="H167" s="214">
        <v>40.254100000000001</v>
      </c>
      <c r="I167" s="215"/>
    </row>
    <row r="168" spans="1:9" ht="15" thickBot="1" x14ac:dyDescent="0.35">
      <c r="A168" s="1" t="str">
        <f t="shared" si="4"/>
        <v>15/10/1993</v>
      </c>
      <c r="B168" s="5">
        <f t="shared" si="5"/>
        <v>53.908299999999997</v>
      </c>
      <c r="F168" s="210" t="s">
        <v>216</v>
      </c>
      <c r="G168" s="211"/>
      <c r="H168" s="216">
        <v>53.908299999999997</v>
      </c>
      <c r="I168" s="217"/>
    </row>
    <row r="169" spans="1:9" ht="15" thickBot="1" x14ac:dyDescent="0.35">
      <c r="A169" s="1" t="str">
        <f t="shared" si="4"/>
        <v>15/11/1993</v>
      </c>
      <c r="B169" s="5">
        <f t="shared" si="5"/>
        <v>73.078000000000003</v>
      </c>
      <c r="F169" s="202" t="s">
        <v>217</v>
      </c>
      <c r="G169" s="203"/>
      <c r="H169" s="214">
        <v>73.078000000000003</v>
      </c>
      <c r="I169" s="215"/>
    </row>
    <row r="170" spans="1:9" ht="15" thickBot="1" x14ac:dyDescent="0.35">
      <c r="A170" s="1" t="str">
        <f t="shared" si="4"/>
        <v>15/12/1993</v>
      </c>
      <c r="B170" s="5">
        <f t="shared" si="5"/>
        <v>100</v>
      </c>
      <c r="F170" s="210" t="s">
        <v>218</v>
      </c>
      <c r="G170" s="211"/>
      <c r="H170" s="216">
        <v>100</v>
      </c>
      <c r="I170" s="217"/>
    </row>
    <row r="171" spans="1:9" ht="15" thickBot="1" x14ac:dyDescent="0.35">
      <c r="A171" s="1" t="str">
        <f t="shared" si="4"/>
        <v>15/01/1994</v>
      </c>
      <c r="B171" s="5">
        <f t="shared" si="5"/>
        <v>141.31</v>
      </c>
      <c r="F171" s="202" t="s">
        <v>219</v>
      </c>
      <c r="G171" s="203"/>
      <c r="H171" s="214">
        <v>141.31</v>
      </c>
      <c r="I171" s="215"/>
    </row>
    <row r="172" spans="1:9" ht="15" thickBot="1" x14ac:dyDescent="0.35">
      <c r="A172" s="1" t="str">
        <f t="shared" si="4"/>
        <v>15/02/1994</v>
      </c>
      <c r="B172" s="5">
        <f t="shared" si="5"/>
        <v>198.22</v>
      </c>
      <c r="F172" s="210" t="s">
        <v>220</v>
      </c>
      <c r="G172" s="211"/>
      <c r="H172" s="216">
        <v>198.22</v>
      </c>
      <c r="I172" s="217"/>
    </row>
    <row r="173" spans="1:9" ht="15" thickBot="1" x14ac:dyDescent="0.35">
      <c r="A173" s="1" t="str">
        <f t="shared" si="4"/>
        <v>15/03/1994</v>
      </c>
      <c r="B173" s="5">
        <f t="shared" si="5"/>
        <v>282.95999999999998</v>
      </c>
      <c r="F173" s="202" t="s">
        <v>221</v>
      </c>
      <c r="G173" s="203"/>
      <c r="H173" s="214">
        <v>282.95999999999998</v>
      </c>
      <c r="I173" s="215"/>
    </row>
    <row r="174" spans="1:9" ht="15" thickBot="1" x14ac:dyDescent="0.35">
      <c r="A174" s="1" t="str">
        <f t="shared" si="4"/>
        <v>15/04/1994</v>
      </c>
      <c r="B174" s="5">
        <f t="shared" si="5"/>
        <v>403.73</v>
      </c>
      <c r="F174" s="210" t="s">
        <v>222</v>
      </c>
      <c r="G174" s="211"/>
      <c r="H174" s="216">
        <v>403.73</v>
      </c>
      <c r="I174" s="217"/>
    </row>
    <row r="175" spans="1:9" ht="15" thickBot="1" x14ac:dyDescent="0.35">
      <c r="A175" s="1" t="str">
        <f t="shared" si="4"/>
        <v>15/05/1994</v>
      </c>
      <c r="B175" s="5">
        <f t="shared" si="5"/>
        <v>581.49</v>
      </c>
      <c r="F175" s="202" t="s">
        <v>223</v>
      </c>
      <c r="G175" s="203"/>
      <c r="H175" s="214">
        <v>581.49</v>
      </c>
      <c r="I175" s="215"/>
    </row>
    <row r="176" spans="1:9" ht="15" thickBot="1" x14ac:dyDescent="0.35">
      <c r="A176" s="1" t="str">
        <f t="shared" si="4"/>
        <v>15/06/1994</v>
      </c>
      <c r="B176" s="5">
        <f t="shared" si="5"/>
        <v>857.29</v>
      </c>
      <c r="F176" s="210" t="s">
        <v>224</v>
      </c>
      <c r="G176" s="211"/>
      <c r="H176" s="216">
        <v>857.29</v>
      </c>
      <c r="I176" s="217"/>
    </row>
    <row r="177" spans="1:9" ht="15" thickBot="1" x14ac:dyDescent="0.35">
      <c r="A177" s="1" t="str">
        <f t="shared" si="4"/>
        <v>15/07/1994</v>
      </c>
      <c r="B177" s="5">
        <f t="shared" si="5"/>
        <v>915.93</v>
      </c>
      <c r="F177" s="202" t="s">
        <v>225</v>
      </c>
      <c r="G177" s="203"/>
      <c r="H177" s="214">
        <v>915.93</v>
      </c>
      <c r="I177" s="215"/>
    </row>
    <row r="178" spans="1:9" ht="15" thickBot="1" x14ac:dyDescent="0.35">
      <c r="A178" s="1" t="str">
        <f t="shared" si="4"/>
        <v>15/08/1994</v>
      </c>
      <c r="B178" s="5">
        <f t="shared" si="5"/>
        <v>932.97</v>
      </c>
      <c r="F178" s="210" t="s">
        <v>226</v>
      </c>
      <c r="G178" s="211"/>
      <c r="H178" s="216">
        <v>932.97</v>
      </c>
      <c r="I178" s="217"/>
    </row>
    <row r="179" spans="1:9" ht="15" thickBot="1" x14ac:dyDescent="0.35">
      <c r="A179" s="1" t="str">
        <f t="shared" si="4"/>
        <v>15/09/1994</v>
      </c>
      <c r="B179" s="5">
        <f t="shared" si="5"/>
        <v>947.24</v>
      </c>
      <c r="F179" s="202" t="s">
        <v>227</v>
      </c>
      <c r="G179" s="203"/>
      <c r="H179" s="214">
        <v>947.24</v>
      </c>
      <c r="I179" s="215"/>
    </row>
    <row r="180" spans="1:9" ht="15" thickBot="1" x14ac:dyDescent="0.35">
      <c r="A180" s="1" t="str">
        <f t="shared" si="4"/>
        <v>15/10/1994</v>
      </c>
      <c r="B180" s="5">
        <f t="shared" si="5"/>
        <v>972.06</v>
      </c>
      <c r="F180" s="210" t="s">
        <v>228</v>
      </c>
      <c r="G180" s="211"/>
      <c r="H180" s="216">
        <v>972.06</v>
      </c>
      <c r="I180" s="217"/>
    </row>
    <row r="181" spans="1:9" ht="15" thickBot="1" x14ac:dyDescent="0.35">
      <c r="A181" s="1" t="str">
        <f t="shared" si="4"/>
        <v>15/11/1994</v>
      </c>
      <c r="B181" s="5">
        <f t="shared" si="5"/>
        <v>999.37</v>
      </c>
      <c r="F181" s="202" t="s">
        <v>229</v>
      </c>
      <c r="G181" s="203"/>
      <c r="H181" s="214">
        <v>999.37</v>
      </c>
      <c r="I181" s="215"/>
    </row>
    <row r="182" spans="1:9" ht="15" thickBot="1" x14ac:dyDescent="0.35">
      <c r="A182" s="1" t="str">
        <f t="shared" si="4"/>
        <v>15/12/1994</v>
      </c>
      <c r="B182" s="5">
        <f t="shared" si="5"/>
        <v>1016.46</v>
      </c>
      <c r="F182" s="210" t="s">
        <v>230</v>
      </c>
      <c r="G182" s="211"/>
      <c r="H182" s="212">
        <v>1016.46</v>
      </c>
      <c r="I182" s="213"/>
    </row>
    <row r="183" spans="1:9" ht="15" thickBot="1" x14ac:dyDescent="0.35">
      <c r="A183" s="1" t="str">
        <f t="shared" si="4"/>
        <v>15/01/1995</v>
      </c>
      <c r="B183" s="5">
        <f t="shared" si="5"/>
        <v>1033.74</v>
      </c>
      <c r="F183" s="202" t="s">
        <v>231</v>
      </c>
      <c r="G183" s="203"/>
      <c r="H183" s="204">
        <v>1033.74</v>
      </c>
      <c r="I183" s="205"/>
    </row>
    <row r="184" spans="1:9" ht="15" thickBot="1" x14ac:dyDescent="0.35">
      <c r="A184" s="1" t="str">
        <f t="shared" si="4"/>
        <v>15/02/1995</v>
      </c>
      <c r="B184" s="5">
        <f t="shared" si="5"/>
        <v>1044.28</v>
      </c>
      <c r="F184" s="210" t="s">
        <v>232</v>
      </c>
      <c r="G184" s="211"/>
      <c r="H184" s="212">
        <v>1044.28</v>
      </c>
      <c r="I184" s="213"/>
    </row>
    <row r="185" spans="1:9" ht="15" thickBot="1" x14ac:dyDescent="0.35">
      <c r="A185" s="1" t="str">
        <f t="shared" si="4"/>
        <v>15/03/1995</v>
      </c>
      <c r="B185" s="5">
        <f t="shared" si="5"/>
        <v>1060.47</v>
      </c>
      <c r="F185" s="202" t="s">
        <v>233</v>
      </c>
      <c r="G185" s="203"/>
      <c r="H185" s="204">
        <v>1060.47</v>
      </c>
      <c r="I185" s="205"/>
    </row>
    <row r="186" spans="1:9" ht="15" thickBot="1" x14ac:dyDescent="0.35">
      <c r="A186" s="1" t="str">
        <f t="shared" si="4"/>
        <v>15/04/1995</v>
      </c>
      <c r="B186" s="5">
        <f t="shared" si="5"/>
        <v>1086.24</v>
      </c>
      <c r="F186" s="210" t="s">
        <v>234</v>
      </c>
      <c r="G186" s="211"/>
      <c r="H186" s="212">
        <v>1086.24</v>
      </c>
      <c r="I186" s="213"/>
    </row>
    <row r="187" spans="1:9" ht="15" thickBot="1" x14ac:dyDescent="0.35">
      <c r="A187" s="1" t="str">
        <f t="shared" si="4"/>
        <v>15/05/1995</v>
      </c>
      <c r="B187" s="5">
        <f t="shared" si="5"/>
        <v>1115.24</v>
      </c>
      <c r="F187" s="202" t="s">
        <v>235</v>
      </c>
      <c r="G187" s="203"/>
      <c r="H187" s="204">
        <v>1115.24</v>
      </c>
      <c r="I187" s="205"/>
    </row>
    <row r="188" spans="1:9" ht="15" thickBot="1" x14ac:dyDescent="0.35">
      <c r="A188" s="1" t="str">
        <f t="shared" si="4"/>
        <v>15/06/1995</v>
      </c>
      <c r="B188" s="5">
        <f t="shared" si="5"/>
        <v>1140.44</v>
      </c>
      <c r="F188" s="210" t="s">
        <v>236</v>
      </c>
      <c r="G188" s="211"/>
      <c r="H188" s="212">
        <v>1140.44</v>
      </c>
      <c r="I188" s="213"/>
    </row>
    <row r="189" spans="1:9" ht="15" thickBot="1" x14ac:dyDescent="0.35">
      <c r="A189" s="1" t="str">
        <f t="shared" si="4"/>
        <v>15/07/1995</v>
      </c>
      <c r="B189" s="5">
        <f t="shared" si="5"/>
        <v>1167.3499999999999</v>
      </c>
      <c r="F189" s="202" t="s">
        <v>237</v>
      </c>
      <c r="G189" s="203"/>
      <c r="H189" s="204">
        <v>1167.3499999999999</v>
      </c>
      <c r="I189" s="205"/>
    </row>
    <row r="190" spans="1:9" ht="15" thickBot="1" x14ac:dyDescent="0.35">
      <c r="A190" s="1" t="str">
        <f t="shared" si="4"/>
        <v>15/08/1995</v>
      </c>
      <c r="B190" s="5">
        <f t="shared" si="5"/>
        <v>1178.9100000000001</v>
      </c>
      <c r="F190" s="210" t="s">
        <v>238</v>
      </c>
      <c r="G190" s="211"/>
      <c r="H190" s="212">
        <v>1178.9100000000001</v>
      </c>
      <c r="I190" s="213"/>
    </row>
    <row r="191" spans="1:9" ht="15" thickBot="1" x14ac:dyDescent="0.35">
      <c r="A191" s="1" t="str">
        <f t="shared" si="4"/>
        <v>15/09/1995</v>
      </c>
      <c r="B191" s="5">
        <f t="shared" si="5"/>
        <v>1190.58</v>
      </c>
      <c r="F191" s="202" t="s">
        <v>239</v>
      </c>
      <c r="G191" s="203"/>
      <c r="H191" s="204">
        <v>1190.58</v>
      </c>
      <c r="I191" s="205"/>
    </row>
    <row r="192" spans="1:9" ht="15" thickBot="1" x14ac:dyDescent="0.35">
      <c r="A192" s="1" t="str">
        <f t="shared" si="4"/>
        <v>15/10/1995</v>
      </c>
      <c r="B192" s="5">
        <f t="shared" si="5"/>
        <v>1207.3699999999999</v>
      </c>
      <c r="F192" s="210" t="s">
        <v>240</v>
      </c>
      <c r="G192" s="211"/>
      <c r="H192" s="212">
        <v>1207.3699999999999</v>
      </c>
      <c r="I192" s="213"/>
    </row>
    <row r="193" spans="1:9" ht="15" thickBot="1" x14ac:dyDescent="0.35">
      <c r="A193" s="1" t="str">
        <f t="shared" si="4"/>
        <v>15/11/1995</v>
      </c>
      <c r="B193" s="5">
        <f t="shared" si="5"/>
        <v>1225.1199999999999</v>
      </c>
      <c r="F193" s="202" t="s">
        <v>241</v>
      </c>
      <c r="G193" s="203"/>
      <c r="H193" s="204">
        <v>1225.1199999999999</v>
      </c>
      <c r="I193" s="205"/>
    </row>
    <row r="194" spans="1:9" ht="15" thickBot="1" x14ac:dyDescent="0.35">
      <c r="A194" s="1" t="str">
        <f t="shared" si="4"/>
        <v>15/12/1995</v>
      </c>
      <c r="B194" s="5">
        <f t="shared" si="5"/>
        <v>1244.23</v>
      </c>
      <c r="F194" s="210" t="s">
        <v>242</v>
      </c>
      <c r="G194" s="211"/>
      <c r="H194" s="212">
        <v>1244.23</v>
      </c>
      <c r="I194" s="213"/>
    </row>
    <row r="195" spans="1:9" ht="15" thickBot="1" x14ac:dyDescent="0.35">
      <c r="A195" s="1" t="str">
        <f t="shared" ref="A195:A258" si="6">"15/"&amp;RIGHT(F195,2)&amp;"/"&amp;LEFT(F195,4)</f>
        <v>15/01/1996</v>
      </c>
      <c r="B195" s="5">
        <f t="shared" ref="B195:B258" si="7">H195</f>
        <v>1260.9000000000001</v>
      </c>
      <c r="F195" s="202" t="s">
        <v>243</v>
      </c>
      <c r="G195" s="203"/>
      <c r="H195" s="204">
        <v>1260.9000000000001</v>
      </c>
      <c r="I195" s="205"/>
    </row>
    <row r="196" spans="1:9" ht="15" thickBot="1" x14ac:dyDescent="0.35">
      <c r="A196" s="1" t="str">
        <f t="shared" si="6"/>
        <v>15/02/1996</v>
      </c>
      <c r="B196" s="5">
        <f t="shared" si="7"/>
        <v>1273.8900000000001</v>
      </c>
      <c r="F196" s="210" t="s">
        <v>244</v>
      </c>
      <c r="G196" s="211"/>
      <c r="H196" s="212">
        <v>1273.8900000000001</v>
      </c>
      <c r="I196" s="213"/>
    </row>
    <row r="197" spans="1:9" ht="15" thickBot="1" x14ac:dyDescent="0.35">
      <c r="A197" s="1" t="str">
        <f t="shared" si="6"/>
        <v>15/03/1996</v>
      </c>
      <c r="B197" s="5">
        <f t="shared" si="7"/>
        <v>1278.3499999999999</v>
      </c>
      <c r="F197" s="202" t="s">
        <v>245</v>
      </c>
      <c r="G197" s="203"/>
      <c r="H197" s="204">
        <v>1278.3499999999999</v>
      </c>
      <c r="I197" s="205"/>
    </row>
    <row r="198" spans="1:9" ht="15" thickBot="1" x14ac:dyDescent="0.35">
      <c r="A198" s="1" t="str">
        <f t="shared" si="6"/>
        <v>15/04/1996</v>
      </c>
      <c r="B198" s="5">
        <f t="shared" si="7"/>
        <v>1294.46</v>
      </c>
      <c r="F198" s="210" t="s">
        <v>246</v>
      </c>
      <c r="G198" s="211"/>
      <c r="H198" s="212">
        <v>1294.46</v>
      </c>
      <c r="I198" s="213"/>
    </row>
    <row r="199" spans="1:9" ht="15" thickBot="1" x14ac:dyDescent="0.35">
      <c r="A199" s="1" t="str">
        <f t="shared" si="6"/>
        <v>15/05/1996</v>
      </c>
      <c r="B199" s="5">
        <f t="shared" si="7"/>
        <v>1310.25</v>
      </c>
      <c r="F199" s="202" t="s">
        <v>247</v>
      </c>
      <c r="G199" s="203"/>
      <c r="H199" s="204">
        <v>1310.25</v>
      </c>
      <c r="I199" s="205"/>
    </row>
    <row r="200" spans="1:9" ht="15" thickBot="1" x14ac:dyDescent="0.35">
      <c r="A200" s="1" t="str">
        <f t="shared" si="6"/>
        <v>15/06/1996</v>
      </c>
      <c r="B200" s="5">
        <f t="shared" si="7"/>
        <v>1325.84</v>
      </c>
      <c r="F200" s="210" t="s">
        <v>248</v>
      </c>
      <c r="G200" s="211"/>
      <c r="H200" s="212">
        <v>1325.84</v>
      </c>
      <c r="I200" s="213"/>
    </row>
    <row r="201" spans="1:9" ht="15" thickBot="1" x14ac:dyDescent="0.35">
      <c r="A201" s="1" t="str">
        <f t="shared" si="6"/>
        <v>15/07/1996</v>
      </c>
      <c r="B201" s="5">
        <f t="shared" si="7"/>
        <v>1340.56</v>
      </c>
      <c r="F201" s="202" t="s">
        <v>249</v>
      </c>
      <c r="G201" s="203"/>
      <c r="H201" s="204">
        <v>1340.56</v>
      </c>
      <c r="I201" s="205"/>
    </row>
    <row r="202" spans="1:9" ht="15" thickBot="1" x14ac:dyDescent="0.35">
      <c r="A202" s="1" t="str">
        <f t="shared" si="6"/>
        <v>15/08/1996</v>
      </c>
      <c r="B202" s="5">
        <f t="shared" si="7"/>
        <v>1346.46</v>
      </c>
      <c r="F202" s="210" t="s">
        <v>250</v>
      </c>
      <c r="G202" s="211"/>
      <c r="H202" s="212">
        <v>1346.46</v>
      </c>
      <c r="I202" s="213"/>
    </row>
    <row r="203" spans="1:9" ht="15" thickBot="1" x14ac:dyDescent="0.35">
      <c r="A203" s="1" t="str">
        <f t="shared" si="6"/>
        <v>15/09/1996</v>
      </c>
      <c r="B203" s="5">
        <f t="shared" si="7"/>
        <v>1348.48</v>
      </c>
      <c r="F203" s="202" t="s">
        <v>251</v>
      </c>
      <c r="G203" s="203"/>
      <c r="H203" s="204">
        <v>1348.48</v>
      </c>
      <c r="I203" s="205"/>
    </row>
    <row r="204" spans="1:9" ht="15" thickBot="1" x14ac:dyDescent="0.35">
      <c r="A204" s="1" t="str">
        <f t="shared" si="6"/>
        <v>15/10/1996</v>
      </c>
      <c r="B204" s="5">
        <f t="shared" si="7"/>
        <v>1352.53</v>
      </c>
      <c r="F204" s="210" t="s">
        <v>252</v>
      </c>
      <c r="G204" s="211"/>
      <c r="H204" s="212">
        <v>1352.53</v>
      </c>
      <c r="I204" s="213"/>
    </row>
    <row r="205" spans="1:9" ht="15" thickBot="1" x14ac:dyDescent="0.35">
      <c r="A205" s="1" t="str">
        <f t="shared" si="6"/>
        <v>15/11/1996</v>
      </c>
      <c r="B205" s="5">
        <f t="shared" si="7"/>
        <v>1356.86</v>
      </c>
      <c r="F205" s="202" t="s">
        <v>253</v>
      </c>
      <c r="G205" s="203"/>
      <c r="H205" s="204">
        <v>1356.86</v>
      </c>
      <c r="I205" s="205"/>
    </row>
    <row r="206" spans="1:9" ht="15" thickBot="1" x14ac:dyDescent="0.35">
      <c r="A206" s="1" t="str">
        <f t="shared" si="6"/>
        <v>15/12/1996</v>
      </c>
      <c r="B206" s="5">
        <f t="shared" si="7"/>
        <v>1363.24</v>
      </c>
      <c r="F206" s="210" t="s">
        <v>254</v>
      </c>
      <c r="G206" s="211"/>
      <c r="H206" s="212">
        <v>1363.24</v>
      </c>
      <c r="I206" s="213"/>
    </row>
    <row r="207" spans="1:9" ht="15" thickBot="1" x14ac:dyDescent="0.35">
      <c r="A207" s="1" t="str">
        <f t="shared" si="6"/>
        <v>15/01/1997</v>
      </c>
      <c r="B207" s="5">
        <f t="shared" si="7"/>
        <v>1379.33</v>
      </c>
      <c r="F207" s="202" t="s">
        <v>255</v>
      </c>
      <c r="G207" s="203"/>
      <c r="H207" s="204">
        <v>1379.33</v>
      </c>
      <c r="I207" s="205"/>
    </row>
    <row r="208" spans="1:9" ht="15" thickBot="1" x14ac:dyDescent="0.35">
      <c r="A208" s="1" t="str">
        <f t="shared" si="6"/>
        <v>15/02/1997</v>
      </c>
      <c r="B208" s="5">
        <f t="shared" si="7"/>
        <v>1386.23</v>
      </c>
      <c r="F208" s="210" t="s">
        <v>256</v>
      </c>
      <c r="G208" s="211"/>
      <c r="H208" s="212">
        <v>1386.23</v>
      </c>
      <c r="I208" s="213"/>
    </row>
    <row r="209" spans="1:9" ht="15" thickBot="1" x14ac:dyDescent="0.35">
      <c r="A209" s="1" t="str">
        <f t="shared" si="6"/>
        <v>15/03/1997</v>
      </c>
      <c r="B209" s="5">
        <f t="shared" si="7"/>
        <v>1393.3</v>
      </c>
      <c r="F209" s="202" t="s">
        <v>257</v>
      </c>
      <c r="G209" s="203"/>
      <c r="H209" s="204">
        <v>1393.3</v>
      </c>
      <c r="I209" s="205"/>
    </row>
    <row r="210" spans="1:9" ht="15" thickBot="1" x14ac:dyDescent="0.35">
      <c r="A210" s="1" t="str">
        <f t="shared" si="6"/>
        <v>15/04/1997</v>
      </c>
      <c r="B210" s="5">
        <f t="shared" si="7"/>
        <v>1405.56</v>
      </c>
      <c r="F210" s="210" t="s">
        <v>258</v>
      </c>
      <c r="G210" s="211"/>
      <c r="H210" s="212">
        <v>1405.56</v>
      </c>
      <c r="I210" s="213"/>
    </row>
    <row r="211" spans="1:9" ht="15" thickBot="1" x14ac:dyDescent="0.35">
      <c r="A211" s="1" t="str">
        <f t="shared" si="6"/>
        <v>15/05/1997</v>
      </c>
      <c r="B211" s="5">
        <f t="shared" si="7"/>
        <v>1411.32</v>
      </c>
      <c r="F211" s="202" t="s">
        <v>259</v>
      </c>
      <c r="G211" s="203"/>
      <c r="H211" s="204">
        <v>1411.32</v>
      </c>
      <c r="I211" s="205"/>
    </row>
    <row r="212" spans="1:9" ht="15" thickBot="1" x14ac:dyDescent="0.35">
      <c r="A212" s="1" t="str">
        <f t="shared" si="6"/>
        <v>15/06/1997</v>
      </c>
      <c r="B212" s="5">
        <f t="shared" si="7"/>
        <v>1418.94</v>
      </c>
      <c r="F212" s="210" t="s">
        <v>260</v>
      </c>
      <c r="G212" s="211"/>
      <c r="H212" s="212">
        <v>1418.94</v>
      </c>
      <c r="I212" s="213"/>
    </row>
    <row r="213" spans="1:9" ht="15" thickBot="1" x14ac:dyDescent="0.35">
      <c r="A213" s="1" t="str">
        <f t="shared" si="6"/>
        <v>15/07/1997</v>
      </c>
      <c r="B213" s="5">
        <f t="shared" si="7"/>
        <v>1422.06</v>
      </c>
      <c r="F213" s="202" t="s">
        <v>261</v>
      </c>
      <c r="G213" s="203"/>
      <c r="H213" s="204">
        <v>1422.06</v>
      </c>
      <c r="I213" s="205"/>
    </row>
    <row r="214" spans="1:9" ht="15" thickBot="1" x14ac:dyDescent="0.35">
      <c r="A214" s="1" t="str">
        <f t="shared" si="6"/>
        <v>15/08/1997</v>
      </c>
      <c r="B214" s="5">
        <f t="shared" si="7"/>
        <v>1421.78</v>
      </c>
      <c r="F214" s="210" t="s">
        <v>262</v>
      </c>
      <c r="G214" s="211"/>
      <c r="H214" s="212">
        <v>1421.78</v>
      </c>
      <c r="I214" s="213"/>
    </row>
    <row r="215" spans="1:9" ht="15" thickBot="1" x14ac:dyDescent="0.35">
      <c r="A215" s="1" t="str">
        <f t="shared" si="6"/>
        <v>15/09/1997</v>
      </c>
      <c r="B215" s="5">
        <f t="shared" si="7"/>
        <v>1422.63</v>
      </c>
      <c r="F215" s="202" t="s">
        <v>263</v>
      </c>
      <c r="G215" s="203"/>
      <c r="H215" s="204">
        <v>1422.63</v>
      </c>
      <c r="I215" s="205"/>
    </row>
    <row r="216" spans="1:9" ht="15" thickBot="1" x14ac:dyDescent="0.35">
      <c r="A216" s="1" t="str">
        <f t="shared" si="6"/>
        <v>15/10/1997</v>
      </c>
      <c r="B216" s="5">
        <f t="shared" si="7"/>
        <v>1425.9</v>
      </c>
      <c r="F216" s="210" t="s">
        <v>264</v>
      </c>
      <c r="G216" s="211"/>
      <c r="H216" s="212">
        <v>1425.9</v>
      </c>
      <c r="I216" s="213"/>
    </row>
    <row r="217" spans="1:9" ht="15" thickBot="1" x14ac:dyDescent="0.35">
      <c r="A217" s="1" t="str">
        <f t="shared" si="6"/>
        <v>15/11/1997</v>
      </c>
      <c r="B217" s="5">
        <f t="shared" si="7"/>
        <v>1428.32</v>
      </c>
      <c r="F217" s="202" t="s">
        <v>265</v>
      </c>
      <c r="G217" s="203"/>
      <c r="H217" s="204">
        <v>1428.32</v>
      </c>
      <c r="I217" s="205"/>
    </row>
    <row r="218" spans="1:9" ht="15" thickBot="1" x14ac:dyDescent="0.35">
      <c r="A218" s="1" t="str">
        <f t="shared" si="6"/>
        <v>15/12/1997</v>
      </c>
      <c r="B218" s="5">
        <f t="shared" si="7"/>
        <v>1434.46</v>
      </c>
      <c r="F218" s="210" t="s">
        <v>266</v>
      </c>
      <c r="G218" s="211"/>
      <c r="H218" s="212">
        <v>1434.46</v>
      </c>
      <c r="I218" s="213"/>
    </row>
    <row r="219" spans="1:9" ht="15" thickBot="1" x14ac:dyDescent="0.35">
      <c r="A219" s="1" t="str">
        <f t="shared" si="6"/>
        <v>15/01/1998</v>
      </c>
      <c r="B219" s="5">
        <f t="shared" si="7"/>
        <v>1444.64</v>
      </c>
      <c r="F219" s="202" t="s">
        <v>267</v>
      </c>
      <c r="G219" s="203"/>
      <c r="H219" s="204">
        <v>1444.64</v>
      </c>
      <c r="I219" s="205"/>
    </row>
    <row r="220" spans="1:9" ht="15" thickBot="1" x14ac:dyDescent="0.35">
      <c r="A220" s="1" t="str">
        <f t="shared" si="6"/>
        <v>15/02/1998</v>
      </c>
      <c r="B220" s="5">
        <f t="shared" si="7"/>
        <v>1451.29</v>
      </c>
      <c r="F220" s="210" t="s">
        <v>268</v>
      </c>
      <c r="G220" s="211"/>
      <c r="H220" s="212">
        <v>1451.29</v>
      </c>
      <c r="I220" s="213"/>
    </row>
    <row r="221" spans="1:9" ht="15" thickBot="1" x14ac:dyDescent="0.35">
      <c r="A221" s="1" t="str">
        <f t="shared" si="6"/>
        <v>15/03/1998</v>
      </c>
      <c r="B221" s="5">
        <f t="shared" si="7"/>
        <v>1456.22</v>
      </c>
      <c r="F221" s="202" t="s">
        <v>269</v>
      </c>
      <c r="G221" s="203"/>
      <c r="H221" s="204">
        <v>1456.22</v>
      </c>
      <c r="I221" s="205"/>
    </row>
    <row r="222" spans="1:9" ht="15" thickBot="1" x14ac:dyDescent="0.35">
      <c r="A222" s="1" t="str">
        <f t="shared" si="6"/>
        <v>15/04/1998</v>
      </c>
      <c r="B222" s="5">
        <f t="shared" si="7"/>
        <v>1459.71</v>
      </c>
      <c r="F222" s="210" t="s">
        <v>270</v>
      </c>
      <c r="G222" s="211"/>
      <c r="H222" s="212">
        <v>1459.71</v>
      </c>
      <c r="I222" s="213"/>
    </row>
    <row r="223" spans="1:9" ht="15" thickBot="1" x14ac:dyDescent="0.35">
      <c r="A223" s="1" t="str">
        <f t="shared" si="6"/>
        <v>15/05/1998</v>
      </c>
      <c r="B223" s="5">
        <f t="shared" si="7"/>
        <v>1467.01</v>
      </c>
      <c r="F223" s="202" t="s">
        <v>271</v>
      </c>
      <c r="G223" s="203"/>
      <c r="H223" s="204">
        <v>1467.01</v>
      </c>
      <c r="I223" s="205"/>
    </row>
    <row r="224" spans="1:9" ht="15" thickBot="1" x14ac:dyDescent="0.35">
      <c r="A224" s="1" t="str">
        <f t="shared" si="6"/>
        <v>15/06/1998</v>
      </c>
      <c r="B224" s="5">
        <f t="shared" si="7"/>
        <v>1467.3</v>
      </c>
      <c r="F224" s="210" t="s">
        <v>272</v>
      </c>
      <c r="G224" s="211"/>
      <c r="H224" s="212">
        <v>1467.3</v>
      </c>
      <c r="I224" s="213"/>
    </row>
    <row r="225" spans="1:9" ht="15" thickBot="1" x14ac:dyDescent="0.35">
      <c r="A225" s="1" t="str">
        <f t="shared" si="6"/>
        <v>15/07/1998</v>
      </c>
      <c r="B225" s="5">
        <f t="shared" si="7"/>
        <v>1465.54</v>
      </c>
      <c r="F225" s="202" t="s">
        <v>273</v>
      </c>
      <c r="G225" s="203"/>
      <c r="H225" s="204">
        <v>1465.54</v>
      </c>
      <c r="I225" s="205"/>
    </row>
    <row r="226" spans="1:9" ht="15" thickBot="1" x14ac:dyDescent="0.35">
      <c r="A226" s="1" t="str">
        <f t="shared" si="6"/>
        <v>15/08/1998</v>
      </c>
      <c r="B226" s="5">
        <f t="shared" si="7"/>
        <v>1458.07</v>
      </c>
      <c r="F226" s="210" t="s">
        <v>274</v>
      </c>
      <c r="G226" s="211"/>
      <c r="H226" s="212">
        <v>1458.07</v>
      </c>
      <c r="I226" s="213"/>
    </row>
    <row r="227" spans="1:9" ht="15" thickBot="1" x14ac:dyDescent="0.35">
      <c r="A227" s="1" t="str">
        <f t="shared" si="6"/>
        <v>15/09/1998</v>
      </c>
      <c r="B227" s="5">
        <f t="shared" si="7"/>
        <v>1454.86</v>
      </c>
      <c r="F227" s="202" t="s">
        <v>275</v>
      </c>
      <c r="G227" s="203"/>
      <c r="H227" s="204">
        <v>1454.86</v>
      </c>
      <c r="I227" s="205"/>
    </row>
    <row r="228" spans="1:9" ht="15" thickBot="1" x14ac:dyDescent="0.35">
      <c r="A228" s="1" t="str">
        <f t="shared" si="6"/>
        <v>15/10/1998</v>
      </c>
      <c r="B228" s="5">
        <f t="shared" si="7"/>
        <v>1455.15</v>
      </c>
      <c r="F228" s="210" t="s">
        <v>276</v>
      </c>
      <c r="G228" s="211"/>
      <c r="H228" s="212">
        <v>1455.15</v>
      </c>
      <c r="I228" s="213"/>
    </row>
    <row r="229" spans="1:9" ht="15" thickBot="1" x14ac:dyDescent="0.35">
      <c r="A229" s="1" t="str">
        <f t="shared" si="6"/>
        <v>15/11/1998</v>
      </c>
      <c r="B229" s="5">
        <f t="shared" si="7"/>
        <v>1453.4</v>
      </c>
      <c r="F229" s="202" t="s">
        <v>277</v>
      </c>
      <c r="G229" s="203"/>
      <c r="H229" s="204">
        <v>1453.4</v>
      </c>
      <c r="I229" s="205"/>
    </row>
    <row r="230" spans="1:9" ht="15" thickBot="1" x14ac:dyDescent="0.35">
      <c r="A230" s="1" t="str">
        <f t="shared" si="6"/>
        <v>15/12/1998</v>
      </c>
      <c r="B230" s="5">
        <f t="shared" si="7"/>
        <v>1458.2</v>
      </c>
      <c r="F230" s="210" t="s">
        <v>278</v>
      </c>
      <c r="G230" s="211"/>
      <c r="H230" s="212">
        <v>1458.2</v>
      </c>
      <c r="I230" s="213"/>
    </row>
    <row r="231" spans="1:9" ht="15" thickBot="1" x14ac:dyDescent="0.35">
      <c r="A231" s="1" t="str">
        <f t="shared" si="6"/>
        <v>15/01/1999</v>
      </c>
      <c r="B231" s="5">
        <f t="shared" si="7"/>
        <v>1468.41</v>
      </c>
      <c r="F231" s="202" t="s">
        <v>279</v>
      </c>
      <c r="G231" s="203"/>
      <c r="H231" s="204">
        <v>1468.41</v>
      </c>
      <c r="I231" s="205"/>
    </row>
    <row r="232" spans="1:9" ht="15" thickBot="1" x14ac:dyDescent="0.35">
      <c r="A232" s="1" t="str">
        <f t="shared" si="6"/>
        <v>15/02/1999</v>
      </c>
      <c r="B232" s="5">
        <f t="shared" si="7"/>
        <v>1483.83</v>
      </c>
      <c r="F232" s="210" t="s">
        <v>280</v>
      </c>
      <c r="G232" s="211"/>
      <c r="H232" s="212">
        <v>1483.83</v>
      </c>
      <c r="I232" s="213"/>
    </row>
    <row r="233" spans="1:9" ht="15" thickBot="1" x14ac:dyDescent="0.35">
      <c r="A233" s="1" t="str">
        <f t="shared" si="6"/>
        <v>15/03/1999</v>
      </c>
      <c r="B233" s="5">
        <f t="shared" si="7"/>
        <v>1500.15</v>
      </c>
      <c r="F233" s="202" t="s">
        <v>281</v>
      </c>
      <c r="G233" s="203"/>
      <c r="H233" s="204">
        <v>1500.15</v>
      </c>
      <c r="I233" s="205"/>
    </row>
    <row r="234" spans="1:9" ht="15" thickBot="1" x14ac:dyDescent="0.35">
      <c r="A234" s="1" t="str">
        <f t="shared" si="6"/>
        <v>15/04/1999</v>
      </c>
      <c r="B234" s="5">
        <f t="shared" si="7"/>
        <v>1508.55</v>
      </c>
      <c r="F234" s="210" t="s">
        <v>282</v>
      </c>
      <c r="G234" s="211"/>
      <c r="H234" s="212">
        <v>1508.55</v>
      </c>
      <c r="I234" s="213"/>
    </row>
    <row r="235" spans="1:9" ht="15" thickBot="1" x14ac:dyDescent="0.35">
      <c r="A235" s="1" t="str">
        <f t="shared" si="6"/>
        <v>15/05/1999</v>
      </c>
      <c r="B235" s="5">
        <f t="shared" si="7"/>
        <v>1513.08</v>
      </c>
      <c r="F235" s="202" t="s">
        <v>283</v>
      </c>
      <c r="G235" s="203"/>
      <c r="H235" s="204">
        <v>1513.08</v>
      </c>
      <c r="I235" s="205"/>
    </row>
    <row r="236" spans="1:9" ht="15" thickBot="1" x14ac:dyDescent="0.35">
      <c r="A236" s="1" t="str">
        <f t="shared" si="6"/>
        <v>15/06/1999</v>
      </c>
      <c r="B236" s="5">
        <f t="shared" si="7"/>
        <v>1515.95</v>
      </c>
      <c r="F236" s="210" t="s">
        <v>284</v>
      </c>
      <c r="G236" s="211"/>
      <c r="H236" s="212">
        <v>1515.95</v>
      </c>
      <c r="I236" s="213"/>
    </row>
    <row r="237" spans="1:9" ht="15" thickBot="1" x14ac:dyDescent="0.35">
      <c r="A237" s="1" t="str">
        <f t="shared" si="6"/>
        <v>15/07/1999</v>
      </c>
      <c r="B237" s="5">
        <f t="shared" si="7"/>
        <v>1532.47</v>
      </c>
      <c r="F237" s="202" t="s">
        <v>285</v>
      </c>
      <c r="G237" s="203"/>
      <c r="H237" s="204">
        <v>1532.47</v>
      </c>
      <c r="I237" s="205"/>
    </row>
    <row r="238" spans="1:9" ht="15" thickBot="1" x14ac:dyDescent="0.35">
      <c r="A238" s="1" t="str">
        <f t="shared" si="6"/>
        <v>15/08/1999</v>
      </c>
      <c r="B238" s="5">
        <f t="shared" si="7"/>
        <v>1541.05</v>
      </c>
      <c r="F238" s="210" t="s">
        <v>286</v>
      </c>
      <c r="G238" s="211"/>
      <c r="H238" s="212">
        <v>1541.05</v>
      </c>
      <c r="I238" s="213"/>
    </row>
    <row r="239" spans="1:9" ht="15" thickBot="1" x14ac:dyDescent="0.35">
      <c r="A239" s="1" t="str">
        <f t="shared" si="6"/>
        <v>15/09/1999</v>
      </c>
      <c r="B239" s="5">
        <f t="shared" si="7"/>
        <v>1545.83</v>
      </c>
      <c r="F239" s="202" t="s">
        <v>287</v>
      </c>
      <c r="G239" s="203"/>
      <c r="H239" s="204">
        <v>1545.83</v>
      </c>
      <c r="I239" s="205"/>
    </row>
    <row r="240" spans="1:9" ht="15" thickBot="1" x14ac:dyDescent="0.35">
      <c r="A240" s="1" t="str">
        <f t="shared" si="6"/>
        <v>15/10/1999</v>
      </c>
      <c r="B240" s="5">
        <f t="shared" si="7"/>
        <v>1564.23</v>
      </c>
      <c r="F240" s="210" t="s">
        <v>288</v>
      </c>
      <c r="G240" s="211"/>
      <c r="H240" s="212">
        <v>1564.23</v>
      </c>
      <c r="I240" s="213"/>
    </row>
    <row r="241" spans="1:9" ht="15" thickBot="1" x14ac:dyDescent="0.35">
      <c r="A241" s="1" t="str">
        <f t="shared" si="6"/>
        <v>15/11/1999</v>
      </c>
      <c r="B241" s="5">
        <f t="shared" si="7"/>
        <v>1579.09</v>
      </c>
      <c r="F241" s="202" t="s">
        <v>289</v>
      </c>
      <c r="G241" s="203"/>
      <c r="H241" s="204">
        <v>1579.09</v>
      </c>
      <c r="I241" s="205"/>
    </row>
    <row r="242" spans="1:9" ht="15" thickBot="1" x14ac:dyDescent="0.35">
      <c r="A242" s="1" t="str">
        <f t="shared" si="6"/>
        <v>15/12/1999</v>
      </c>
      <c r="B242" s="5">
        <f t="shared" si="7"/>
        <v>1588.56</v>
      </c>
      <c r="F242" s="210" t="s">
        <v>290</v>
      </c>
      <c r="G242" s="211"/>
      <c r="H242" s="212">
        <v>1588.56</v>
      </c>
      <c r="I242" s="213"/>
    </row>
    <row r="243" spans="1:9" ht="15" thickBot="1" x14ac:dyDescent="0.35">
      <c r="A243" s="1" t="str">
        <f t="shared" si="6"/>
        <v>15/01/2000</v>
      </c>
      <c r="B243" s="5">
        <f t="shared" si="7"/>
        <v>1598.41</v>
      </c>
      <c r="F243" s="202" t="s">
        <v>291</v>
      </c>
      <c r="G243" s="203"/>
      <c r="H243" s="204">
        <v>1598.41</v>
      </c>
      <c r="I243" s="205"/>
    </row>
    <row r="244" spans="1:9" ht="15" thickBot="1" x14ac:dyDescent="0.35">
      <c r="A244" s="1" t="str">
        <f t="shared" si="6"/>
        <v>15/02/2000</v>
      </c>
      <c r="B244" s="5">
        <f t="shared" si="7"/>
        <v>1600.49</v>
      </c>
      <c r="F244" s="210" t="s">
        <v>292</v>
      </c>
      <c r="G244" s="211"/>
      <c r="H244" s="212">
        <v>1600.49</v>
      </c>
      <c r="I244" s="213"/>
    </row>
    <row r="245" spans="1:9" ht="15" thickBot="1" x14ac:dyDescent="0.35">
      <c r="A245" s="1" t="str">
        <f t="shared" si="6"/>
        <v>15/03/2000</v>
      </c>
      <c r="B245" s="5">
        <f t="shared" si="7"/>
        <v>1604.01</v>
      </c>
      <c r="F245" s="202" t="s">
        <v>293</v>
      </c>
      <c r="G245" s="203"/>
      <c r="H245" s="204">
        <v>1604.01</v>
      </c>
      <c r="I245" s="205"/>
    </row>
    <row r="246" spans="1:9" ht="15" thickBot="1" x14ac:dyDescent="0.35">
      <c r="A246" s="1" t="str">
        <f t="shared" si="6"/>
        <v>15/04/2000</v>
      </c>
      <c r="B246" s="5">
        <f t="shared" si="7"/>
        <v>1610.75</v>
      </c>
      <c r="F246" s="210" t="s">
        <v>294</v>
      </c>
      <c r="G246" s="211"/>
      <c r="H246" s="212">
        <v>1610.75</v>
      </c>
      <c r="I246" s="213"/>
    </row>
    <row r="247" spans="1:9" ht="15" thickBot="1" x14ac:dyDescent="0.35">
      <c r="A247" s="1" t="str">
        <f t="shared" si="6"/>
        <v>15/05/2000</v>
      </c>
      <c r="B247" s="5">
        <f t="shared" si="7"/>
        <v>1610.91</v>
      </c>
      <c r="F247" s="202" t="s">
        <v>295</v>
      </c>
      <c r="G247" s="203"/>
      <c r="H247" s="204">
        <v>1610.91</v>
      </c>
      <c r="I247" s="205"/>
    </row>
    <row r="248" spans="1:9" ht="15" thickBot="1" x14ac:dyDescent="0.35">
      <c r="A248" s="1" t="str">
        <f t="shared" si="6"/>
        <v>15/06/2000</v>
      </c>
      <c r="B248" s="5">
        <f t="shared" si="7"/>
        <v>1614.62</v>
      </c>
      <c r="F248" s="210" t="s">
        <v>296</v>
      </c>
      <c r="G248" s="211"/>
      <c r="H248" s="212">
        <v>1614.62</v>
      </c>
      <c r="I248" s="213"/>
    </row>
    <row r="249" spans="1:9" ht="15" thickBot="1" x14ac:dyDescent="0.35">
      <c r="A249" s="1" t="str">
        <f t="shared" si="6"/>
        <v>15/07/2000</v>
      </c>
      <c r="B249" s="5">
        <f t="shared" si="7"/>
        <v>1640.62</v>
      </c>
      <c r="F249" s="202" t="s">
        <v>297</v>
      </c>
      <c r="G249" s="203"/>
      <c r="H249" s="204">
        <v>1640.62</v>
      </c>
      <c r="I249" s="205"/>
    </row>
    <row r="250" spans="1:9" ht="15" thickBot="1" x14ac:dyDescent="0.35">
      <c r="A250" s="1" t="str">
        <f t="shared" si="6"/>
        <v>15/08/2000</v>
      </c>
      <c r="B250" s="5">
        <f t="shared" si="7"/>
        <v>1662.11</v>
      </c>
      <c r="F250" s="210" t="s">
        <v>298</v>
      </c>
      <c r="G250" s="211"/>
      <c r="H250" s="212">
        <v>1662.11</v>
      </c>
      <c r="I250" s="213"/>
    </row>
    <row r="251" spans="1:9" ht="15" thickBot="1" x14ac:dyDescent="0.35">
      <c r="A251" s="1" t="str">
        <f t="shared" si="6"/>
        <v>15/09/2000</v>
      </c>
      <c r="B251" s="5">
        <f t="shared" si="7"/>
        <v>1665.93</v>
      </c>
      <c r="F251" s="202" t="s">
        <v>299</v>
      </c>
      <c r="G251" s="203"/>
      <c r="H251" s="204">
        <v>1665.93</v>
      </c>
      <c r="I251" s="205"/>
    </row>
    <row r="252" spans="1:9" ht="15" thickBot="1" x14ac:dyDescent="0.35">
      <c r="A252" s="1" t="str">
        <f t="shared" si="6"/>
        <v>15/10/2000</v>
      </c>
      <c r="B252" s="5">
        <f t="shared" si="7"/>
        <v>1668.26</v>
      </c>
      <c r="F252" s="210" t="s">
        <v>300</v>
      </c>
      <c r="G252" s="211"/>
      <c r="H252" s="212">
        <v>1668.26</v>
      </c>
      <c r="I252" s="213"/>
    </row>
    <row r="253" spans="1:9" ht="15" thickBot="1" x14ac:dyDescent="0.35">
      <c r="A253" s="1" t="str">
        <f t="shared" si="6"/>
        <v>15/11/2000</v>
      </c>
      <c r="B253" s="5">
        <f t="shared" si="7"/>
        <v>1673.6</v>
      </c>
      <c r="F253" s="202" t="s">
        <v>301</v>
      </c>
      <c r="G253" s="203"/>
      <c r="H253" s="204">
        <v>1673.6</v>
      </c>
      <c r="I253" s="205"/>
    </row>
    <row r="254" spans="1:9" ht="15" thickBot="1" x14ac:dyDescent="0.35">
      <c r="A254" s="1" t="str">
        <f t="shared" si="6"/>
        <v>15/12/2000</v>
      </c>
      <c r="B254" s="5">
        <f t="shared" si="7"/>
        <v>1683.47</v>
      </c>
      <c r="F254" s="210" t="s">
        <v>302</v>
      </c>
      <c r="G254" s="211"/>
      <c r="H254" s="212">
        <v>1683.47</v>
      </c>
      <c r="I254" s="213"/>
    </row>
    <row r="255" spans="1:9" ht="15" thickBot="1" x14ac:dyDescent="0.35">
      <c r="A255" s="1" t="str">
        <f t="shared" si="6"/>
        <v>15/01/2001</v>
      </c>
      <c r="B255" s="5">
        <f t="shared" si="7"/>
        <v>1693.07</v>
      </c>
      <c r="F255" s="202" t="s">
        <v>303</v>
      </c>
      <c r="G255" s="203"/>
      <c r="H255" s="204">
        <v>1693.07</v>
      </c>
      <c r="I255" s="205"/>
    </row>
    <row r="256" spans="1:9" ht="15" thickBot="1" x14ac:dyDescent="0.35">
      <c r="A256" s="1" t="str">
        <f t="shared" si="6"/>
        <v>15/02/2001</v>
      </c>
      <c r="B256" s="5">
        <f t="shared" si="7"/>
        <v>1700.86</v>
      </c>
      <c r="F256" s="210" t="s">
        <v>304</v>
      </c>
      <c r="G256" s="211"/>
      <c r="H256" s="212">
        <v>1700.86</v>
      </c>
      <c r="I256" s="213"/>
    </row>
    <row r="257" spans="1:9" ht="15" thickBot="1" x14ac:dyDescent="0.35">
      <c r="A257" s="1" t="str">
        <f t="shared" si="6"/>
        <v>15/03/2001</v>
      </c>
      <c r="B257" s="5">
        <f t="shared" si="7"/>
        <v>1707.32</v>
      </c>
      <c r="F257" s="202" t="s">
        <v>305</v>
      </c>
      <c r="G257" s="203"/>
      <c r="H257" s="204">
        <v>1707.32</v>
      </c>
      <c r="I257" s="205"/>
    </row>
    <row r="258" spans="1:9" ht="15" thickBot="1" x14ac:dyDescent="0.35">
      <c r="A258" s="1" t="str">
        <f t="shared" si="6"/>
        <v>15/04/2001</v>
      </c>
      <c r="B258" s="5">
        <f t="shared" si="7"/>
        <v>1717.22</v>
      </c>
      <c r="F258" s="210" t="s">
        <v>306</v>
      </c>
      <c r="G258" s="211"/>
      <c r="H258" s="212">
        <v>1717.22</v>
      </c>
      <c r="I258" s="213"/>
    </row>
    <row r="259" spans="1:9" ht="15" thickBot="1" x14ac:dyDescent="0.35">
      <c r="A259" s="1" t="str">
        <f t="shared" ref="A259:A322" si="8">"15/"&amp;RIGHT(F259,2)&amp;"/"&amp;LEFT(F259,4)</f>
        <v>15/05/2001</v>
      </c>
      <c r="B259" s="5">
        <f t="shared" ref="B259:B322" si="9">H259</f>
        <v>1724.26</v>
      </c>
      <c r="F259" s="202" t="s">
        <v>307</v>
      </c>
      <c r="G259" s="203"/>
      <c r="H259" s="204">
        <v>1724.26</v>
      </c>
      <c r="I259" s="205"/>
    </row>
    <row r="260" spans="1:9" ht="15" thickBot="1" x14ac:dyDescent="0.35">
      <c r="A260" s="1" t="str">
        <f t="shared" si="8"/>
        <v>15/06/2001</v>
      </c>
      <c r="B260" s="5">
        <f t="shared" si="9"/>
        <v>1733.23</v>
      </c>
      <c r="F260" s="210" t="s">
        <v>308</v>
      </c>
      <c r="G260" s="211"/>
      <c r="H260" s="212">
        <v>1733.23</v>
      </c>
      <c r="I260" s="213"/>
    </row>
    <row r="261" spans="1:9" ht="15" thickBot="1" x14ac:dyDescent="0.35">
      <c r="A261" s="1" t="str">
        <f t="shared" si="8"/>
        <v>15/07/2001</v>
      </c>
      <c r="B261" s="5">
        <f t="shared" si="9"/>
        <v>1756.28</v>
      </c>
      <c r="F261" s="202" t="s">
        <v>309</v>
      </c>
      <c r="G261" s="203"/>
      <c r="H261" s="204">
        <v>1756.28</v>
      </c>
      <c r="I261" s="205"/>
    </row>
    <row r="262" spans="1:9" ht="15" thickBot="1" x14ac:dyDescent="0.35">
      <c r="A262" s="1" t="str">
        <f t="shared" si="8"/>
        <v>15/08/2001</v>
      </c>
      <c r="B262" s="5">
        <f t="shared" si="9"/>
        <v>1768.57</v>
      </c>
      <c r="F262" s="210" t="s">
        <v>310</v>
      </c>
      <c r="G262" s="211"/>
      <c r="H262" s="212">
        <v>1768.57</v>
      </c>
      <c r="I262" s="213"/>
    </row>
    <row r="263" spans="1:9" ht="15" thickBot="1" x14ac:dyDescent="0.35">
      <c r="A263" s="1" t="str">
        <f t="shared" si="8"/>
        <v>15/09/2001</v>
      </c>
      <c r="B263" s="5">
        <f t="shared" si="9"/>
        <v>1773.52</v>
      </c>
      <c r="F263" s="202" t="s">
        <v>311</v>
      </c>
      <c r="G263" s="203"/>
      <c r="H263" s="204">
        <v>1773.52</v>
      </c>
      <c r="I263" s="205"/>
    </row>
    <row r="264" spans="1:9" ht="15" thickBot="1" x14ac:dyDescent="0.35">
      <c r="A264" s="1" t="str">
        <f t="shared" si="8"/>
        <v>15/10/2001</v>
      </c>
      <c r="B264" s="5">
        <f t="shared" si="9"/>
        <v>1788.24</v>
      </c>
      <c r="F264" s="210" t="s">
        <v>312</v>
      </c>
      <c r="G264" s="211"/>
      <c r="H264" s="212">
        <v>1788.24</v>
      </c>
      <c r="I264" s="213"/>
    </row>
    <row r="265" spans="1:9" ht="15" thickBot="1" x14ac:dyDescent="0.35">
      <c r="A265" s="1" t="str">
        <f t="shared" si="8"/>
        <v>15/11/2001</v>
      </c>
      <c r="B265" s="5">
        <f t="shared" si="9"/>
        <v>1800.94</v>
      </c>
      <c r="F265" s="202" t="s">
        <v>313</v>
      </c>
      <c r="G265" s="203"/>
      <c r="H265" s="204">
        <v>1800.94</v>
      </c>
      <c r="I265" s="205"/>
    </row>
    <row r="266" spans="1:9" ht="15" thickBot="1" x14ac:dyDescent="0.35">
      <c r="A266" s="1" t="str">
        <f t="shared" si="8"/>
        <v>15/12/2001</v>
      </c>
      <c r="B266" s="5">
        <f t="shared" si="9"/>
        <v>1812.65</v>
      </c>
      <c r="F266" s="210" t="s">
        <v>314</v>
      </c>
      <c r="G266" s="211"/>
      <c r="H266" s="212">
        <v>1812.65</v>
      </c>
      <c r="I266" s="213"/>
    </row>
    <row r="267" spans="1:9" ht="15" thickBot="1" x14ac:dyDescent="0.35">
      <c r="A267" s="1" t="str">
        <f t="shared" si="8"/>
        <v>15/01/2002</v>
      </c>
      <c r="B267" s="5">
        <f t="shared" si="9"/>
        <v>1822.08</v>
      </c>
      <c r="F267" s="202" t="s">
        <v>315</v>
      </c>
      <c r="G267" s="203"/>
      <c r="H267" s="204">
        <v>1822.08</v>
      </c>
      <c r="I267" s="205"/>
    </row>
    <row r="268" spans="1:9" ht="15" thickBot="1" x14ac:dyDescent="0.35">
      <c r="A268" s="1" t="str">
        <f t="shared" si="8"/>
        <v>15/02/2002</v>
      </c>
      <c r="B268" s="5">
        <f t="shared" si="9"/>
        <v>1828.64</v>
      </c>
      <c r="F268" s="210" t="s">
        <v>316</v>
      </c>
      <c r="G268" s="211"/>
      <c r="H268" s="212">
        <v>1828.64</v>
      </c>
      <c r="I268" s="213"/>
    </row>
    <row r="269" spans="1:9" ht="15" thickBot="1" x14ac:dyDescent="0.35">
      <c r="A269" s="1" t="str">
        <f t="shared" si="8"/>
        <v>15/03/2002</v>
      </c>
      <c r="B269" s="5">
        <f t="shared" si="9"/>
        <v>1839.61</v>
      </c>
      <c r="F269" s="202" t="s">
        <v>317</v>
      </c>
      <c r="G269" s="203"/>
      <c r="H269" s="204">
        <v>1839.61</v>
      </c>
      <c r="I269" s="205"/>
    </row>
    <row r="270" spans="1:9" ht="15" thickBot="1" x14ac:dyDescent="0.35">
      <c r="A270" s="1" t="str">
        <f t="shared" si="8"/>
        <v>15/04/2002</v>
      </c>
      <c r="B270" s="5">
        <f t="shared" si="9"/>
        <v>1854.33</v>
      </c>
      <c r="F270" s="210" t="s">
        <v>318</v>
      </c>
      <c r="G270" s="211"/>
      <c r="H270" s="212">
        <v>1854.33</v>
      </c>
      <c r="I270" s="213"/>
    </row>
    <row r="271" spans="1:9" ht="15" thickBot="1" x14ac:dyDescent="0.35">
      <c r="A271" s="1" t="str">
        <f t="shared" si="8"/>
        <v>15/05/2002</v>
      </c>
      <c r="B271" s="5">
        <f t="shared" si="9"/>
        <v>1858.22</v>
      </c>
      <c r="F271" s="202" t="s">
        <v>319</v>
      </c>
      <c r="G271" s="203"/>
      <c r="H271" s="204">
        <v>1858.22</v>
      </c>
      <c r="I271" s="205"/>
    </row>
    <row r="272" spans="1:9" ht="15" thickBot="1" x14ac:dyDescent="0.35">
      <c r="A272" s="1" t="str">
        <f t="shared" si="8"/>
        <v>15/06/2002</v>
      </c>
      <c r="B272" s="5">
        <f t="shared" si="9"/>
        <v>1866.02</v>
      </c>
      <c r="F272" s="210" t="s">
        <v>320</v>
      </c>
      <c r="G272" s="211"/>
      <c r="H272" s="212">
        <v>1866.02</v>
      </c>
      <c r="I272" s="213"/>
    </row>
    <row r="273" spans="1:9" ht="15" thickBot="1" x14ac:dyDescent="0.35">
      <c r="A273" s="1" t="str">
        <f t="shared" si="8"/>
        <v>15/07/2002</v>
      </c>
      <c r="B273" s="5">
        <f t="shared" si="9"/>
        <v>1888.23</v>
      </c>
      <c r="F273" s="202" t="s">
        <v>321</v>
      </c>
      <c r="G273" s="203"/>
      <c r="H273" s="204">
        <v>1888.23</v>
      </c>
      <c r="I273" s="205"/>
    </row>
    <row r="274" spans="1:9" ht="15" thickBot="1" x14ac:dyDescent="0.35">
      <c r="A274" s="1" t="str">
        <f t="shared" si="8"/>
        <v>15/08/2002</v>
      </c>
      <c r="B274" s="5">
        <f t="shared" si="9"/>
        <v>1900.5</v>
      </c>
      <c r="F274" s="210" t="s">
        <v>322</v>
      </c>
      <c r="G274" s="211"/>
      <c r="H274" s="212">
        <v>1900.5</v>
      </c>
      <c r="I274" s="213"/>
    </row>
    <row r="275" spans="1:9" ht="15" thickBot="1" x14ac:dyDescent="0.35">
      <c r="A275" s="1" t="str">
        <f t="shared" si="8"/>
        <v>15/09/2002</v>
      </c>
      <c r="B275" s="5">
        <f t="shared" si="9"/>
        <v>1914.18</v>
      </c>
      <c r="F275" s="202" t="s">
        <v>323</v>
      </c>
      <c r="G275" s="203"/>
      <c r="H275" s="204">
        <v>1914.18</v>
      </c>
      <c r="I275" s="205"/>
    </row>
    <row r="276" spans="1:9" ht="15" thickBot="1" x14ac:dyDescent="0.35">
      <c r="A276" s="1" t="str">
        <f t="shared" si="8"/>
        <v>15/10/2002</v>
      </c>
      <c r="B276" s="5">
        <f t="shared" si="9"/>
        <v>1939.26</v>
      </c>
      <c r="F276" s="210" t="s">
        <v>324</v>
      </c>
      <c r="G276" s="211"/>
      <c r="H276" s="212">
        <v>1939.26</v>
      </c>
      <c r="I276" s="213"/>
    </row>
    <row r="277" spans="1:9" ht="15" thickBot="1" x14ac:dyDescent="0.35">
      <c r="A277" s="1" t="str">
        <f t="shared" si="8"/>
        <v>15/11/2002</v>
      </c>
      <c r="B277" s="5">
        <f t="shared" si="9"/>
        <v>1997.83</v>
      </c>
      <c r="F277" s="202" t="s">
        <v>325</v>
      </c>
      <c r="G277" s="203"/>
      <c r="H277" s="204">
        <v>1997.83</v>
      </c>
      <c r="I277" s="205"/>
    </row>
    <row r="278" spans="1:9" ht="15" thickBot="1" x14ac:dyDescent="0.35">
      <c r="A278" s="1" t="str">
        <f t="shared" si="8"/>
        <v>15/12/2002</v>
      </c>
      <c r="B278" s="5">
        <f t="shared" si="9"/>
        <v>2039.78</v>
      </c>
      <c r="F278" s="210" t="s">
        <v>326</v>
      </c>
      <c r="G278" s="211"/>
      <c r="H278" s="212">
        <v>2039.78</v>
      </c>
      <c r="I278" s="213"/>
    </row>
    <row r="279" spans="1:9" ht="15" thickBot="1" x14ac:dyDescent="0.35">
      <c r="A279" s="1" t="str">
        <f t="shared" si="8"/>
        <v>15/01/2003</v>
      </c>
      <c r="B279" s="5">
        <f t="shared" si="9"/>
        <v>2085.6799999999998</v>
      </c>
      <c r="F279" s="202" t="s">
        <v>327</v>
      </c>
      <c r="G279" s="203"/>
      <c r="H279" s="204">
        <v>2085.6799999999998</v>
      </c>
      <c r="I279" s="205"/>
    </row>
    <row r="280" spans="1:9" ht="15" thickBot="1" x14ac:dyDescent="0.35">
      <c r="A280" s="1" t="str">
        <f t="shared" si="8"/>
        <v>15/02/2003</v>
      </c>
      <c r="B280" s="5">
        <f t="shared" si="9"/>
        <v>2118.4299999999998</v>
      </c>
      <c r="F280" s="210" t="s">
        <v>328</v>
      </c>
      <c r="G280" s="211"/>
      <c r="H280" s="212">
        <v>2118.4299999999998</v>
      </c>
      <c r="I280" s="213"/>
    </row>
    <row r="281" spans="1:9" ht="15" thickBot="1" x14ac:dyDescent="0.35">
      <c r="A281" s="1" t="str">
        <f t="shared" si="8"/>
        <v>15/03/2003</v>
      </c>
      <c r="B281" s="5">
        <f t="shared" si="9"/>
        <v>2144.4899999999998</v>
      </c>
      <c r="F281" s="202" t="s">
        <v>329</v>
      </c>
      <c r="G281" s="203"/>
      <c r="H281" s="204">
        <v>2144.4899999999998</v>
      </c>
      <c r="I281" s="205"/>
    </row>
    <row r="282" spans="1:9" ht="15" thickBot="1" x14ac:dyDescent="0.35">
      <c r="A282" s="1" t="str">
        <f t="shared" si="8"/>
        <v>15/04/2003</v>
      </c>
      <c r="B282" s="5">
        <f t="shared" si="9"/>
        <v>2165.29</v>
      </c>
      <c r="F282" s="210" t="s">
        <v>330</v>
      </c>
      <c r="G282" s="211"/>
      <c r="H282" s="212">
        <v>2165.29</v>
      </c>
      <c r="I282" s="213"/>
    </row>
    <row r="283" spans="1:9" ht="15" thickBot="1" x14ac:dyDescent="0.35">
      <c r="A283" s="1" t="str">
        <f t="shared" si="8"/>
        <v>15/05/2003</v>
      </c>
      <c r="B283" s="5">
        <f t="shared" si="9"/>
        <v>2178.5</v>
      </c>
      <c r="F283" s="202" t="s">
        <v>331</v>
      </c>
      <c r="G283" s="203"/>
      <c r="H283" s="204">
        <v>2178.5</v>
      </c>
      <c r="I283" s="205"/>
    </row>
    <row r="284" spans="1:9" ht="15" thickBot="1" x14ac:dyDescent="0.35">
      <c r="A284" s="1" t="str">
        <f t="shared" si="8"/>
        <v>15/06/2003</v>
      </c>
      <c r="B284" s="5">
        <f t="shared" si="9"/>
        <v>2175.23</v>
      </c>
      <c r="F284" s="210" t="s">
        <v>332</v>
      </c>
      <c r="G284" s="211"/>
      <c r="H284" s="212">
        <v>2175.23</v>
      </c>
      <c r="I284" s="213"/>
    </row>
    <row r="285" spans="1:9" ht="15" thickBot="1" x14ac:dyDescent="0.35">
      <c r="A285" s="1" t="str">
        <f t="shared" si="8"/>
        <v>15/07/2003</v>
      </c>
      <c r="B285" s="5">
        <f t="shared" si="9"/>
        <v>2179.58</v>
      </c>
      <c r="F285" s="202" t="s">
        <v>333</v>
      </c>
      <c r="G285" s="203"/>
      <c r="H285" s="204">
        <v>2179.58</v>
      </c>
      <c r="I285" s="205"/>
    </row>
    <row r="286" spans="1:9" ht="15" thickBot="1" x14ac:dyDescent="0.35">
      <c r="A286" s="1" t="str">
        <f t="shared" si="8"/>
        <v>15/08/2003</v>
      </c>
      <c r="B286" s="5">
        <f t="shared" si="9"/>
        <v>2186.9899999999998</v>
      </c>
      <c r="F286" s="210" t="s">
        <v>334</v>
      </c>
      <c r="G286" s="211"/>
      <c r="H286" s="212">
        <v>2186.9899999999998</v>
      </c>
      <c r="I286" s="213"/>
    </row>
    <row r="287" spans="1:9" ht="15" thickBot="1" x14ac:dyDescent="0.35">
      <c r="A287" s="1" t="str">
        <f t="shared" si="8"/>
        <v>15/09/2003</v>
      </c>
      <c r="B287" s="5">
        <f t="shared" si="9"/>
        <v>2204.0500000000002</v>
      </c>
      <c r="F287" s="202" t="s">
        <v>335</v>
      </c>
      <c r="G287" s="203"/>
      <c r="H287" s="204">
        <v>2204.0500000000002</v>
      </c>
      <c r="I287" s="205"/>
    </row>
    <row r="288" spans="1:9" ht="15" thickBot="1" x14ac:dyDescent="0.35">
      <c r="A288" s="1" t="str">
        <f t="shared" si="8"/>
        <v>15/10/2003</v>
      </c>
      <c r="B288" s="5">
        <f t="shared" si="9"/>
        <v>2210.44</v>
      </c>
      <c r="F288" s="210" t="s">
        <v>336</v>
      </c>
      <c r="G288" s="211"/>
      <c r="H288" s="212">
        <v>2210.44</v>
      </c>
      <c r="I288" s="213"/>
    </row>
    <row r="289" spans="1:9" ht="15" thickBot="1" x14ac:dyDescent="0.35">
      <c r="A289" s="1" t="str">
        <f t="shared" si="8"/>
        <v>15/11/2003</v>
      </c>
      <c r="B289" s="5">
        <f t="shared" si="9"/>
        <v>2217.96</v>
      </c>
      <c r="F289" s="202" t="s">
        <v>337</v>
      </c>
      <c r="G289" s="203"/>
      <c r="H289" s="204">
        <v>2217.96</v>
      </c>
      <c r="I289" s="205"/>
    </row>
    <row r="290" spans="1:9" ht="15" thickBot="1" x14ac:dyDescent="0.35">
      <c r="A290" s="1" t="str">
        <f t="shared" si="8"/>
        <v>15/12/2003</v>
      </c>
      <c r="B290" s="5">
        <f t="shared" si="9"/>
        <v>2229.4899999999998</v>
      </c>
      <c r="F290" s="210" t="s">
        <v>338</v>
      </c>
      <c r="G290" s="211"/>
      <c r="H290" s="212">
        <v>2229.4899999999998</v>
      </c>
      <c r="I290" s="213"/>
    </row>
    <row r="291" spans="1:9" ht="15" thickBot="1" x14ac:dyDescent="0.35">
      <c r="A291" s="1" t="str">
        <f t="shared" si="8"/>
        <v>15/01/2004</v>
      </c>
      <c r="B291" s="5">
        <f t="shared" si="9"/>
        <v>2246.4299999999998</v>
      </c>
      <c r="F291" s="202" t="s">
        <v>339</v>
      </c>
      <c r="G291" s="203"/>
      <c r="H291" s="204">
        <v>2246.4299999999998</v>
      </c>
      <c r="I291" s="205"/>
    </row>
    <row r="292" spans="1:9" ht="15" thickBot="1" x14ac:dyDescent="0.35">
      <c r="A292" s="1" t="str">
        <f t="shared" si="8"/>
        <v>15/02/2004</v>
      </c>
      <c r="B292" s="5">
        <f t="shared" si="9"/>
        <v>2260.13</v>
      </c>
      <c r="F292" s="210" t="s">
        <v>340</v>
      </c>
      <c r="G292" s="211"/>
      <c r="H292" s="212">
        <v>2260.13</v>
      </c>
      <c r="I292" s="213"/>
    </row>
    <row r="293" spans="1:9" ht="15" thickBot="1" x14ac:dyDescent="0.35">
      <c r="A293" s="1" t="str">
        <f t="shared" si="8"/>
        <v>15/03/2004</v>
      </c>
      <c r="B293" s="5">
        <f t="shared" si="9"/>
        <v>2270.75</v>
      </c>
      <c r="F293" s="202" t="s">
        <v>341</v>
      </c>
      <c r="G293" s="203"/>
      <c r="H293" s="204">
        <v>2270.75</v>
      </c>
      <c r="I293" s="205"/>
    </row>
    <row r="294" spans="1:9" ht="15" thickBot="1" x14ac:dyDescent="0.35">
      <c r="A294" s="1" t="str">
        <f t="shared" si="8"/>
        <v>15/04/2004</v>
      </c>
      <c r="B294" s="5">
        <f t="shared" si="9"/>
        <v>2279.15</v>
      </c>
      <c r="F294" s="210" t="s">
        <v>342</v>
      </c>
      <c r="G294" s="211"/>
      <c r="H294" s="212">
        <v>2279.15</v>
      </c>
      <c r="I294" s="213"/>
    </row>
    <row r="295" spans="1:9" ht="15" thickBot="1" x14ac:dyDescent="0.35">
      <c r="A295" s="1" t="str">
        <f t="shared" si="8"/>
        <v>15/05/2004</v>
      </c>
      <c r="B295" s="5">
        <f t="shared" si="9"/>
        <v>2290.77</v>
      </c>
      <c r="F295" s="202" t="s">
        <v>343</v>
      </c>
      <c r="G295" s="203"/>
      <c r="H295" s="204">
        <v>2290.77</v>
      </c>
      <c r="I295" s="205"/>
    </row>
    <row r="296" spans="1:9" ht="15" thickBot="1" x14ac:dyDescent="0.35">
      <c r="A296" s="1" t="str">
        <f t="shared" si="8"/>
        <v>15/06/2004</v>
      </c>
      <c r="B296" s="5">
        <f t="shared" si="9"/>
        <v>2307.0300000000002</v>
      </c>
      <c r="F296" s="210" t="s">
        <v>344</v>
      </c>
      <c r="G296" s="211"/>
      <c r="H296" s="212">
        <v>2307.0300000000002</v>
      </c>
      <c r="I296" s="213"/>
    </row>
    <row r="297" spans="1:9" ht="15" thickBot="1" x14ac:dyDescent="0.35">
      <c r="A297" s="1" t="str">
        <f t="shared" si="8"/>
        <v>15/07/2004</v>
      </c>
      <c r="B297" s="5">
        <f t="shared" si="9"/>
        <v>2328.02</v>
      </c>
      <c r="F297" s="202" t="s">
        <v>345</v>
      </c>
      <c r="G297" s="203"/>
      <c r="H297" s="204">
        <v>2328.02</v>
      </c>
      <c r="I297" s="205"/>
    </row>
    <row r="298" spans="1:9" ht="15" thickBot="1" x14ac:dyDescent="0.35">
      <c r="A298" s="1" t="str">
        <f t="shared" si="8"/>
        <v>15/08/2004</v>
      </c>
      <c r="B298" s="5">
        <f t="shared" si="9"/>
        <v>2344.08</v>
      </c>
      <c r="F298" s="210" t="s">
        <v>346</v>
      </c>
      <c r="G298" s="211"/>
      <c r="H298" s="212">
        <v>2344.08</v>
      </c>
      <c r="I298" s="213"/>
    </row>
    <row r="299" spans="1:9" ht="15" thickBot="1" x14ac:dyDescent="0.35">
      <c r="A299" s="1" t="str">
        <f t="shared" si="8"/>
        <v>15/09/2004</v>
      </c>
      <c r="B299" s="5">
        <f t="shared" si="9"/>
        <v>2351.8200000000002</v>
      </c>
      <c r="F299" s="202" t="s">
        <v>347</v>
      </c>
      <c r="G299" s="203"/>
      <c r="H299" s="204">
        <v>2351.8200000000002</v>
      </c>
      <c r="I299" s="205"/>
    </row>
    <row r="300" spans="1:9" ht="15" thickBot="1" x14ac:dyDescent="0.35">
      <c r="A300" s="1" t="str">
        <f t="shared" si="8"/>
        <v>15/10/2004</v>
      </c>
      <c r="B300" s="5">
        <f t="shared" si="9"/>
        <v>2362.17</v>
      </c>
      <c r="F300" s="210" t="s">
        <v>348</v>
      </c>
      <c r="G300" s="211"/>
      <c r="H300" s="212">
        <v>2362.17</v>
      </c>
      <c r="I300" s="213"/>
    </row>
    <row r="301" spans="1:9" ht="15" thickBot="1" x14ac:dyDescent="0.35">
      <c r="A301" s="1" t="str">
        <f t="shared" si="8"/>
        <v>15/11/2004</v>
      </c>
      <c r="B301" s="5">
        <f t="shared" si="9"/>
        <v>2378.4699999999998</v>
      </c>
      <c r="F301" s="202" t="s">
        <v>349</v>
      </c>
      <c r="G301" s="203"/>
      <c r="H301" s="204">
        <v>2378.4699999999998</v>
      </c>
      <c r="I301" s="205"/>
    </row>
    <row r="302" spans="1:9" ht="15" thickBot="1" x14ac:dyDescent="0.35">
      <c r="A302" s="1" t="str">
        <f t="shared" si="8"/>
        <v>15/12/2004</v>
      </c>
      <c r="B302" s="5">
        <f t="shared" si="9"/>
        <v>2398.92</v>
      </c>
      <c r="F302" s="210" t="s">
        <v>350</v>
      </c>
      <c r="G302" s="211"/>
      <c r="H302" s="212">
        <v>2398.92</v>
      </c>
      <c r="I302" s="213"/>
    </row>
    <row r="303" spans="1:9" ht="15" thickBot="1" x14ac:dyDescent="0.35">
      <c r="A303" s="1" t="str">
        <f t="shared" si="8"/>
        <v>15/01/2005</v>
      </c>
      <c r="B303" s="5">
        <f t="shared" si="9"/>
        <v>2412.83</v>
      </c>
      <c r="F303" s="202" t="s">
        <v>351</v>
      </c>
      <c r="G303" s="203"/>
      <c r="H303" s="204">
        <v>2412.83</v>
      </c>
      <c r="I303" s="205"/>
    </row>
    <row r="304" spans="1:9" ht="15" thickBot="1" x14ac:dyDescent="0.35">
      <c r="A304" s="1" t="str">
        <f t="shared" si="8"/>
        <v>15/02/2005</v>
      </c>
      <c r="B304" s="5">
        <f t="shared" si="9"/>
        <v>2427.0700000000002</v>
      </c>
      <c r="F304" s="210" t="s">
        <v>352</v>
      </c>
      <c r="G304" s="211"/>
      <c r="H304" s="212">
        <v>2427.0700000000002</v>
      </c>
      <c r="I304" s="213"/>
    </row>
    <row r="305" spans="1:9" ht="15" thickBot="1" x14ac:dyDescent="0.35">
      <c r="A305" s="1" t="str">
        <f t="shared" si="8"/>
        <v>15/03/2005</v>
      </c>
      <c r="B305" s="5">
        <f t="shared" si="9"/>
        <v>2441.87</v>
      </c>
      <c r="F305" s="202" t="s">
        <v>353</v>
      </c>
      <c r="G305" s="203"/>
      <c r="H305" s="204">
        <v>2441.87</v>
      </c>
      <c r="I305" s="205"/>
    </row>
    <row r="306" spans="1:9" ht="15" thickBot="1" x14ac:dyDescent="0.35">
      <c r="A306" s="1" t="str">
        <f t="shared" si="8"/>
        <v>15/04/2005</v>
      </c>
      <c r="B306" s="5">
        <f t="shared" si="9"/>
        <v>2463.11</v>
      </c>
      <c r="F306" s="210" t="s">
        <v>354</v>
      </c>
      <c r="G306" s="211"/>
      <c r="H306" s="212">
        <v>2463.11</v>
      </c>
      <c r="I306" s="213"/>
    </row>
    <row r="307" spans="1:9" ht="15" thickBot="1" x14ac:dyDescent="0.35">
      <c r="A307" s="1" t="str">
        <f t="shared" si="8"/>
        <v>15/05/2005</v>
      </c>
      <c r="B307" s="5">
        <f t="shared" si="9"/>
        <v>2475.1799999999998</v>
      </c>
      <c r="F307" s="202" t="s">
        <v>355</v>
      </c>
      <c r="G307" s="203"/>
      <c r="H307" s="204">
        <v>2475.1799999999998</v>
      </c>
      <c r="I307" s="205"/>
    </row>
    <row r="308" spans="1:9" ht="15" thickBot="1" x14ac:dyDescent="0.35">
      <c r="A308" s="1" t="str">
        <f t="shared" si="8"/>
        <v>15/06/2005</v>
      </c>
      <c r="B308" s="5">
        <f t="shared" si="9"/>
        <v>2474.6799999999998</v>
      </c>
      <c r="F308" s="210" t="s">
        <v>356</v>
      </c>
      <c r="G308" s="211"/>
      <c r="H308" s="212">
        <v>2474.6799999999998</v>
      </c>
      <c r="I308" s="213"/>
    </row>
    <row r="309" spans="1:9" ht="15" thickBot="1" x14ac:dyDescent="0.35">
      <c r="A309" s="1" t="str">
        <f t="shared" si="8"/>
        <v>15/07/2005</v>
      </c>
      <c r="B309" s="5">
        <f t="shared" si="9"/>
        <v>2480.87</v>
      </c>
      <c r="F309" s="202" t="s">
        <v>357</v>
      </c>
      <c r="G309" s="203"/>
      <c r="H309" s="204">
        <v>2480.87</v>
      </c>
      <c r="I309" s="205"/>
    </row>
    <row r="310" spans="1:9" ht="15" thickBot="1" x14ac:dyDescent="0.35">
      <c r="A310" s="1" t="str">
        <f t="shared" si="8"/>
        <v>15/08/2005</v>
      </c>
      <c r="B310" s="5">
        <f t="shared" si="9"/>
        <v>2485.09</v>
      </c>
      <c r="F310" s="210" t="s">
        <v>358</v>
      </c>
      <c r="G310" s="211"/>
      <c r="H310" s="212">
        <v>2485.09</v>
      </c>
      <c r="I310" s="213"/>
    </row>
    <row r="311" spans="1:9" ht="15" thickBot="1" x14ac:dyDescent="0.35">
      <c r="A311" s="1" t="str">
        <f t="shared" si="8"/>
        <v>15/09/2005</v>
      </c>
      <c r="B311" s="5">
        <f t="shared" si="9"/>
        <v>2493.79</v>
      </c>
      <c r="F311" s="202" t="s">
        <v>359</v>
      </c>
      <c r="G311" s="203"/>
      <c r="H311" s="204">
        <v>2493.79</v>
      </c>
      <c r="I311" s="205"/>
    </row>
    <row r="312" spans="1:9" ht="15" thickBot="1" x14ac:dyDescent="0.35">
      <c r="A312" s="1" t="str">
        <f t="shared" si="8"/>
        <v>15/10/2005</v>
      </c>
      <c r="B312" s="5">
        <f t="shared" si="9"/>
        <v>2512.4899999999998</v>
      </c>
      <c r="F312" s="210" t="s">
        <v>360</v>
      </c>
      <c r="G312" s="211"/>
      <c r="H312" s="212">
        <v>2512.4899999999998</v>
      </c>
      <c r="I312" s="213"/>
    </row>
    <row r="313" spans="1:9" ht="15" thickBot="1" x14ac:dyDescent="0.35">
      <c r="A313" s="1" t="str">
        <f t="shared" si="8"/>
        <v>15/11/2005</v>
      </c>
      <c r="B313" s="5">
        <f t="shared" si="9"/>
        <v>2526.31</v>
      </c>
      <c r="F313" s="202" t="s">
        <v>361</v>
      </c>
      <c r="G313" s="203"/>
      <c r="H313" s="204">
        <v>2526.31</v>
      </c>
      <c r="I313" s="205"/>
    </row>
    <row r="314" spans="1:9" ht="15" thickBot="1" x14ac:dyDescent="0.35">
      <c r="A314" s="1" t="str">
        <f t="shared" si="8"/>
        <v>15/12/2005</v>
      </c>
      <c r="B314" s="5">
        <f t="shared" si="9"/>
        <v>2535.4</v>
      </c>
      <c r="F314" s="210" t="s">
        <v>362</v>
      </c>
      <c r="G314" s="211"/>
      <c r="H314" s="212">
        <v>2535.4</v>
      </c>
      <c r="I314" s="213"/>
    </row>
    <row r="315" spans="1:9" ht="15" thickBot="1" x14ac:dyDescent="0.35">
      <c r="A315" s="1" t="str">
        <f t="shared" si="8"/>
        <v>15/01/2006</v>
      </c>
      <c r="B315" s="5">
        <f t="shared" si="9"/>
        <v>2550.36</v>
      </c>
      <c r="F315" s="202" t="s">
        <v>363</v>
      </c>
      <c r="G315" s="203"/>
      <c r="H315" s="204">
        <v>2550.36</v>
      </c>
      <c r="I315" s="205"/>
    </row>
    <row r="316" spans="1:9" ht="15" thickBot="1" x14ac:dyDescent="0.35">
      <c r="A316" s="1" t="str">
        <f t="shared" si="8"/>
        <v>15/02/2006</v>
      </c>
      <c r="B316" s="5">
        <f t="shared" si="9"/>
        <v>2560.8200000000002</v>
      </c>
      <c r="F316" s="210" t="s">
        <v>364</v>
      </c>
      <c r="G316" s="211"/>
      <c r="H316" s="212">
        <v>2560.8200000000002</v>
      </c>
      <c r="I316" s="213"/>
    </row>
    <row r="317" spans="1:9" ht="15" thickBot="1" x14ac:dyDescent="0.35">
      <c r="A317" s="1" t="str">
        <f t="shared" si="8"/>
        <v>15/03/2006</v>
      </c>
      <c r="B317" s="5">
        <f t="shared" si="9"/>
        <v>2571.83</v>
      </c>
      <c r="F317" s="202" t="s">
        <v>365</v>
      </c>
      <c r="G317" s="203"/>
      <c r="H317" s="204">
        <v>2571.83</v>
      </c>
      <c r="I317" s="205"/>
    </row>
    <row r="318" spans="1:9" ht="15" thickBot="1" x14ac:dyDescent="0.35">
      <c r="A318" s="1" t="str">
        <f t="shared" si="8"/>
        <v>15/04/2006</v>
      </c>
      <c r="B318" s="5">
        <f t="shared" si="9"/>
        <v>2577.23</v>
      </c>
      <c r="F318" s="210" t="s">
        <v>366</v>
      </c>
      <c r="G318" s="211"/>
      <c r="H318" s="212">
        <v>2577.23</v>
      </c>
      <c r="I318" s="213"/>
    </row>
    <row r="319" spans="1:9" ht="15" thickBot="1" x14ac:dyDescent="0.35">
      <c r="A319" s="1" t="str">
        <f t="shared" si="8"/>
        <v>15/05/2006</v>
      </c>
      <c r="B319" s="5">
        <f t="shared" si="9"/>
        <v>2579.81</v>
      </c>
      <c r="F319" s="202" t="s">
        <v>367</v>
      </c>
      <c r="G319" s="203"/>
      <c r="H319" s="204">
        <v>2579.81</v>
      </c>
      <c r="I319" s="205"/>
    </row>
    <row r="320" spans="1:9" ht="15" thickBot="1" x14ac:dyDescent="0.35">
      <c r="A320" s="1" t="str">
        <f t="shared" si="8"/>
        <v>15/06/2006</v>
      </c>
      <c r="B320" s="5">
        <f t="shared" si="9"/>
        <v>2574.39</v>
      </c>
      <c r="F320" s="210" t="s">
        <v>368</v>
      </c>
      <c r="G320" s="211"/>
      <c r="H320" s="212">
        <v>2574.39</v>
      </c>
      <c r="I320" s="213"/>
    </row>
    <row r="321" spans="1:9" ht="15" thickBot="1" x14ac:dyDescent="0.35">
      <c r="A321" s="1" t="str">
        <f t="shared" si="8"/>
        <v>15/07/2006</v>
      </c>
      <c r="B321" s="5">
        <f t="shared" si="9"/>
        <v>2579.2800000000002</v>
      </c>
      <c r="F321" s="202" t="s">
        <v>369</v>
      </c>
      <c r="G321" s="203"/>
      <c r="H321" s="204">
        <v>2579.2800000000002</v>
      </c>
      <c r="I321" s="205"/>
    </row>
    <row r="322" spans="1:9" ht="15" thickBot="1" x14ac:dyDescent="0.35">
      <c r="A322" s="1" t="str">
        <f t="shared" si="8"/>
        <v>15/08/2006</v>
      </c>
      <c r="B322" s="5">
        <f t="shared" si="9"/>
        <v>2580.5700000000002</v>
      </c>
      <c r="F322" s="210" t="s">
        <v>370</v>
      </c>
      <c r="G322" s="211"/>
      <c r="H322" s="212">
        <v>2580.5700000000002</v>
      </c>
      <c r="I322" s="213"/>
    </row>
    <row r="323" spans="1:9" ht="15" thickBot="1" x14ac:dyDescent="0.35">
      <c r="A323" s="1" t="str">
        <f t="shared" ref="A323:A386" si="10">"15/"&amp;RIGHT(F323,2)&amp;"/"&amp;LEFT(F323,4)</f>
        <v>15/09/2006</v>
      </c>
      <c r="B323" s="5">
        <f t="shared" ref="B323:B386" si="11">H323</f>
        <v>2585.9899999999998</v>
      </c>
      <c r="F323" s="202" t="s">
        <v>371</v>
      </c>
      <c r="G323" s="203"/>
      <c r="H323" s="204">
        <v>2585.9899999999998</v>
      </c>
      <c r="I323" s="205"/>
    </row>
    <row r="324" spans="1:9" ht="15" thickBot="1" x14ac:dyDescent="0.35">
      <c r="A324" s="1" t="str">
        <f t="shared" si="10"/>
        <v>15/10/2006</v>
      </c>
      <c r="B324" s="5">
        <f t="shared" si="11"/>
        <v>2594.52</v>
      </c>
      <c r="F324" s="210" t="s">
        <v>372</v>
      </c>
      <c r="G324" s="211"/>
      <c r="H324" s="212">
        <v>2594.52</v>
      </c>
      <c r="I324" s="213"/>
    </row>
    <row r="325" spans="1:9" ht="15" thickBot="1" x14ac:dyDescent="0.35">
      <c r="A325" s="1" t="str">
        <f t="shared" si="10"/>
        <v>15/11/2006</v>
      </c>
      <c r="B325" s="5">
        <f t="shared" si="11"/>
        <v>2602.56</v>
      </c>
      <c r="F325" s="202" t="s">
        <v>373</v>
      </c>
      <c r="G325" s="203"/>
      <c r="H325" s="204">
        <v>2602.56</v>
      </c>
      <c r="I325" s="205"/>
    </row>
    <row r="326" spans="1:9" ht="15" thickBot="1" x14ac:dyDescent="0.35">
      <c r="A326" s="1" t="str">
        <f t="shared" si="10"/>
        <v>15/12/2006</v>
      </c>
      <c r="B326" s="5">
        <f t="shared" si="11"/>
        <v>2615.0500000000002</v>
      </c>
      <c r="F326" s="210" t="s">
        <v>374</v>
      </c>
      <c r="G326" s="211"/>
      <c r="H326" s="212">
        <v>2615.0500000000002</v>
      </c>
      <c r="I326" s="213"/>
    </row>
    <row r="327" spans="1:9" ht="15" thickBot="1" x14ac:dyDescent="0.35">
      <c r="A327" s="1" t="str">
        <f t="shared" si="10"/>
        <v>15/01/2007</v>
      </c>
      <c r="B327" s="5">
        <f t="shared" si="11"/>
        <v>2626.56</v>
      </c>
      <c r="F327" s="202" t="s">
        <v>375</v>
      </c>
      <c r="G327" s="203"/>
      <c r="H327" s="204">
        <v>2626.56</v>
      </c>
      <c r="I327" s="205"/>
    </row>
    <row r="328" spans="1:9" ht="15" thickBot="1" x14ac:dyDescent="0.35">
      <c r="A328" s="1" t="str">
        <f t="shared" si="10"/>
        <v>15/02/2007</v>
      </c>
      <c r="B328" s="5">
        <f t="shared" si="11"/>
        <v>2638.12</v>
      </c>
      <c r="F328" s="210" t="s">
        <v>376</v>
      </c>
      <c r="G328" s="211"/>
      <c r="H328" s="212">
        <v>2638.12</v>
      </c>
      <c r="I328" s="213"/>
    </row>
    <row r="329" spans="1:9" ht="15" thickBot="1" x14ac:dyDescent="0.35">
      <c r="A329" s="1" t="str">
        <f t="shared" si="10"/>
        <v>15/03/2007</v>
      </c>
      <c r="B329" s="5">
        <f t="shared" si="11"/>
        <v>2647.88</v>
      </c>
      <c r="F329" s="202" t="s">
        <v>377</v>
      </c>
      <c r="G329" s="203"/>
      <c r="H329" s="204">
        <v>2647.88</v>
      </c>
      <c r="I329" s="205"/>
    </row>
    <row r="330" spans="1:9" ht="15" thickBot="1" x14ac:dyDescent="0.35">
      <c r="A330" s="1" t="str">
        <f t="shared" si="10"/>
        <v>15/04/2007</v>
      </c>
      <c r="B330" s="5">
        <f t="shared" si="11"/>
        <v>2654.5</v>
      </c>
      <c r="F330" s="210" t="s">
        <v>378</v>
      </c>
      <c r="G330" s="211"/>
      <c r="H330" s="212">
        <v>2654.5</v>
      </c>
      <c r="I330" s="213"/>
    </row>
    <row r="331" spans="1:9" ht="15" thickBot="1" x14ac:dyDescent="0.35">
      <c r="A331" s="1" t="str">
        <f t="shared" si="10"/>
        <v>15/05/2007</v>
      </c>
      <c r="B331" s="5">
        <f t="shared" si="11"/>
        <v>2661.93</v>
      </c>
      <c r="F331" s="202" t="s">
        <v>379</v>
      </c>
      <c r="G331" s="203"/>
      <c r="H331" s="204">
        <v>2661.93</v>
      </c>
      <c r="I331" s="205"/>
    </row>
    <row r="332" spans="1:9" ht="15" thickBot="1" x14ac:dyDescent="0.35">
      <c r="A332" s="1" t="str">
        <f t="shared" si="10"/>
        <v>15/06/2007</v>
      </c>
      <c r="B332" s="5">
        <f t="shared" si="11"/>
        <v>2669.38</v>
      </c>
      <c r="F332" s="210" t="s">
        <v>380</v>
      </c>
      <c r="G332" s="211"/>
      <c r="H332" s="212">
        <v>2669.38</v>
      </c>
      <c r="I332" s="213"/>
    </row>
    <row r="333" spans="1:9" ht="15" thickBot="1" x14ac:dyDescent="0.35">
      <c r="A333" s="1" t="str">
        <f t="shared" si="10"/>
        <v>15/07/2007</v>
      </c>
      <c r="B333" s="5">
        <f t="shared" si="11"/>
        <v>2675.79</v>
      </c>
      <c r="F333" s="202" t="s">
        <v>381</v>
      </c>
      <c r="G333" s="203"/>
      <c r="H333" s="204">
        <v>2675.79</v>
      </c>
      <c r="I333" s="205"/>
    </row>
    <row r="334" spans="1:9" ht="15" thickBot="1" x14ac:dyDescent="0.35">
      <c r="A334" s="1" t="str">
        <f t="shared" si="10"/>
        <v>15/08/2007</v>
      </c>
      <c r="B334" s="5">
        <f t="shared" si="11"/>
        <v>2688.37</v>
      </c>
      <c r="F334" s="210" t="s">
        <v>382</v>
      </c>
      <c r="G334" s="211"/>
      <c r="H334" s="212">
        <v>2688.37</v>
      </c>
      <c r="I334" s="213"/>
    </row>
    <row r="335" spans="1:9" ht="15" thickBot="1" x14ac:dyDescent="0.35">
      <c r="A335" s="1" t="str">
        <f t="shared" si="10"/>
        <v>15/09/2007</v>
      </c>
      <c r="B335" s="5">
        <f t="shared" si="11"/>
        <v>2693.21</v>
      </c>
      <c r="F335" s="202" t="s">
        <v>383</v>
      </c>
      <c r="G335" s="203"/>
      <c r="H335" s="204">
        <v>2693.21</v>
      </c>
      <c r="I335" s="205"/>
    </row>
    <row r="336" spans="1:9" ht="15" thickBot="1" x14ac:dyDescent="0.35">
      <c r="A336" s="1" t="str">
        <f t="shared" si="10"/>
        <v>15/10/2007</v>
      </c>
      <c r="B336" s="5">
        <f t="shared" si="11"/>
        <v>2701.29</v>
      </c>
      <c r="F336" s="210" t="s">
        <v>384</v>
      </c>
      <c r="G336" s="211"/>
      <c r="H336" s="212">
        <v>2701.29</v>
      </c>
      <c r="I336" s="213"/>
    </row>
    <row r="337" spans="1:9" ht="15" thickBot="1" x14ac:dyDescent="0.35">
      <c r="A337" s="1" t="str">
        <f t="shared" si="10"/>
        <v>15/11/2007</v>
      </c>
      <c r="B337" s="5">
        <f t="shared" si="11"/>
        <v>2711.55</v>
      </c>
      <c r="F337" s="202" t="s">
        <v>385</v>
      </c>
      <c r="G337" s="203"/>
      <c r="H337" s="204">
        <v>2711.55</v>
      </c>
      <c r="I337" s="205"/>
    </row>
    <row r="338" spans="1:9" ht="15" thickBot="1" x14ac:dyDescent="0.35">
      <c r="A338" s="1" t="str">
        <f t="shared" si="10"/>
        <v>15/12/2007</v>
      </c>
      <c r="B338" s="5">
        <f t="shared" si="11"/>
        <v>2731.62</v>
      </c>
      <c r="F338" s="210" t="s">
        <v>386</v>
      </c>
      <c r="G338" s="211"/>
      <c r="H338" s="212">
        <v>2731.62</v>
      </c>
      <c r="I338" s="213"/>
    </row>
    <row r="339" spans="1:9" ht="15" thickBot="1" x14ac:dyDescent="0.35">
      <c r="A339" s="1" t="str">
        <f t="shared" si="10"/>
        <v>15/01/2008</v>
      </c>
      <c r="B339" s="5">
        <f t="shared" si="11"/>
        <v>2746.37</v>
      </c>
      <c r="F339" s="202" t="s">
        <v>387</v>
      </c>
      <c r="G339" s="203"/>
      <c r="H339" s="204">
        <v>2746.37</v>
      </c>
      <c r="I339" s="205"/>
    </row>
    <row r="340" spans="1:9" ht="15" thickBot="1" x14ac:dyDescent="0.35">
      <c r="A340" s="1" t="str">
        <f t="shared" si="10"/>
        <v>15/02/2008</v>
      </c>
      <c r="B340" s="5">
        <f t="shared" si="11"/>
        <v>2759.83</v>
      </c>
      <c r="F340" s="210" t="s">
        <v>388</v>
      </c>
      <c r="G340" s="211"/>
      <c r="H340" s="212">
        <v>2759.83</v>
      </c>
      <c r="I340" s="213"/>
    </row>
    <row r="341" spans="1:9" ht="15" thickBot="1" x14ac:dyDescent="0.35">
      <c r="A341" s="1" t="str">
        <f t="shared" si="10"/>
        <v>15/03/2008</v>
      </c>
      <c r="B341" s="5">
        <f t="shared" si="11"/>
        <v>2773.08</v>
      </c>
      <c r="F341" s="202" t="s">
        <v>389</v>
      </c>
      <c r="G341" s="203"/>
      <c r="H341" s="204">
        <v>2773.08</v>
      </c>
      <c r="I341" s="205"/>
    </row>
    <row r="342" spans="1:9" ht="15" thickBot="1" x14ac:dyDescent="0.35">
      <c r="A342" s="1" t="str">
        <f t="shared" si="10"/>
        <v>15/04/2008</v>
      </c>
      <c r="B342" s="5">
        <f t="shared" si="11"/>
        <v>2788.33</v>
      </c>
      <c r="F342" s="210" t="s">
        <v>390</v>
      </c>
      <c r="G342" s="211"/>
      <c r="H342" s="212">
        <v>2788.33</v>
      </c>
      <c r="I342" s="213"/>
    </row>
    <row r="343" spans="1:9" ht="15" thickBot="1" x14ac:dyDescent="0.35">
      <c r="A343" s="1" t="str">
        <f t="shared" si="10"/>
        <v>15/05/2008</v>
      </c>
      <c r="B343" s="5">
        <f t="shared" si="11"/>
        <v>2810.36</v>
      </c>
      <c r="F343" s="202" t="s">
        <v>391</v>
      </c>
      <c r="G343" s="203"/>
      <c r="H343" s="204">
        <v>2810.36</v>
      </c>
      <c r="I343" s="205"/>
    </row>
    <row r="344" spans="1:9" ht="15" thickBot="1" x14ac:dyDescent="0.35">
      <c r="A344" s="1" t="str">
        <f t="shared" si="10"/>
        <v>15/06/2008</v>
      </c>
      <c r="B344" s="5">
        <f t="shared" si="11"/>
        <v>2831.16</v>
      </c>
      <c r="F344" s="210" t="s">
        <v>392</v>
      </c>
      <c r="G344" s="211"/>
      <c r="H344" s="212">
        <v>2831.16</v>
      </c>
      <c r="I344" s="213"/>
    </row>
    <row r="345" spans="1:9" ht="15" thickBot="1" x14ac:dyDescent="0.35">
      <c r="A345" s="1" t="str">
        <f t="shared" si="10"/>
        <v>15/07/2008</v>
      </c>
      <c r="B345" s="5">
        <f t="shared" si="11"/>
        <v>2846.16</v>
      </c>
      <c r="F345" s="202" t="s">
        <v>393</v>
      </c>
      <c r="G345" s="203"/>
      <c r="H345" s="204">
        <v>2846.16</v>
      </c>
      <c r="I345" s="205"/>
    </row>
    <row r="346" spans="1:9" ht="15" thickBot="1" x14ac:dyDescent="0.35">
      <c r="A346" s="1" t="str">
        <f t="shared" si="10"/>
        <v>15/08/2008</v>
      </c>
      <c r="B346" s="5">
        <f t="shared" si="11"/>
        <v>2854.13</v>
      </c>
      <c r="F346" s="210" t="s">
        <v>394</v>
      </c>
      <c r="G346" s="211"/>
      <c r="H346" s="212">
        <v>2854.13</v>
      </c>
      <c r="I346" s="213"/>
    </row>
    <row r="347" spans="1:9" ht="15" thickBot="1" x14ac:dyDescent="0.35">
      <c r="A347" s="1" t="str">
        <f t="shared" si="10"/>
        <v>15/09/2008</v>
      </c>
      <c r="B347" s="5">
        <f t="shared" si="11"/>
        <v>2861.55</v>
      </c>
      <c r="F347" s="202" t="s">
        <v>395</v>
      </c>
      <c r="G347" s="203"/>
      <c r="H347" s="204">
        <v>2861.55</v>
      </c>
      <c r="I347" s="205"/>
    </row>
    <row r="348" spans="1:9" ht="15" thickBot="1" x14ac:dyDescent="0.35">
      <c r="A348" s="1" t="str">
        <f t="shared" si="10"/>
        <v>15/10/2008</v>
      </c>
      <c r="B348" s="5">
        <f t="shared" si="11"/>
        <v>2874.43</v>
      </c>
      <c r="F348" s="210" t="s">
        <v>396</v>
      </c>
      <c r="G348" s="211"/>
      <c r="H348" s="212">
        <v>2874.43</v>
      </c>
      <c r="I348" s="213"/>
    </row>
    <row r="349" spans="1:9" ht="15" thickBot="1" x14ac:dyDescent="0.35">
      <c r="A349" s="1" t="str">
        <f t="shared" si="10"/>
        <v>15/11/2008</v>
      </c>
      <c r="B349" s="5">
        <f t="shared" si="11"/>
        <v>2884.78</v>
      </c>
      <c r="F349" s="202" t="s">
        <v>397</v>
      </c>
      <c r="G349" s="203"/>
      <c r="H349" s="204">
        <v>2884.78</v>
      </c>
      <c r="I349" s="205"/>
    </row>
    <row r="350" spans="1:9" ht="15" thickBot="1" x14ac:dyDescent="0.35">
      <c r="A350" s="1" t="str">
        <f t="shared" si="10"/>
        <v>15/12/2008</v>
      </c>
      <c r="B350" s="5">
        <f t="shared" si="11"/>
        <v>2892.86</v>
      </c>
      <c r="F350" s="210" t="s">
        <v>398</v>
      </c>
      <c r="G350" s="211"/>
      <c r="H350" s="212">
        <v>2892.86</v>
      </c>
      <c r="I350" s="213"/>
    </row>
    <row r="351" spans="1:9" ht="15" thickBot="1" x14ac:dyDescent="0.35">
      <c r="A351" s="1" t="str">
        <f t="shared" si="10"/>
        <v>15/01/2009</v>
      </c>
      <c r="B351" s="5">
        <f t="shared" si="11"/>
        <v>2906.74</v>
      </c>
      <c r="F351" s="202" t="s">
        <v>399</v>
      </c>
      <c r="G351" s="203"/>
      <c r="H351" s="204">
        <v>2906.74</v>
      </c>
      <c r="I351" s="205"/>
    </row>
    <row r="352" spans="1:9" ht="15" thickBot="1" x14ac:dyDescent="0.35">
      <c r="A352" s="1" t="str">
        <f t="shared" si="10"/>
        <v>15/02/2009</v>
      </c>
      <c r="B352" s="5">
        <f t="shared" si="11"/>
        <v>2922.73</v>
      </c>
      <c r="F352" s="210" t="s">
        <v>400</v>
      </c>
      <c r="G352" s="211"/>
      <c r="H352" s="212">
        <v>2922.73</v>
      </c>
      <c r="I352" s="213"/>
    </row>
    <row r="353" spans="1:9" ht="15" thickBot="1" x14ac:dyDescent="0.35">
      <c r="A353" s="1" t="str">
        <f t="shared" si="10"/>
        <v>15/03/2009</v>
      </c>
      <c r="B353" s="5">
        <f t="shared" si="11"/>
        <v>2928.57</v>
      </c>
      <c r="F353" s="202" t="s">
        <v>401</v>
      </c>
      <c r="G353" s="203"/>
      <c r="H353" s="204">
        <v>2928.57</v>
      </c>
      <c r="I353" s="205"/>
    </row>
    <row r="354" spans="1:9" ht="15" thickBot="1" x14ac:dyDescent="0.35">
      <c r="A354" s="1" t="str">
        <f t="shared" si="10"/>
        <v>15/04/2009</v>
      </c>
      <c r="B354" s="5">
        <f t="shared" si="11"/>
        <v>2942.63</v>
      </c>
      <c r="F354" s="210" t="s">
        <v>402</v>
      </c>
      <c r="G354" s="211"/>
      <c r="H354" s="212">
        <v>2942.63</v>
      </c>
      <c r="I354" s="213"/>
    </row>
    <row r="355" spans="1:9" ht="15" thickBot="1" x14ac:dyDescent="0.35">
      <c r="A355" s="1" t="str">
        <f t="shared" si="10"/>
        <v>15/05/2009</v>
      </c>
      <c r="B355" s="5">
        <f t="shared" si="11"/>
        <v>2956.46</v>
      </c>
      <c r="F355" s="202" t="s">
        <v>403</v>
      </c>
      <c r="G355" s="203"/>
      <c r="H355" s="204">
        <v>2956.46</v>
      </c>
      <c r="I355" s="205"/>
    </row>
    <row r="356" spans="1:9" ht="15" thickBot="1" x14ac:dyDescent="0.35">
      <c r="A356" s="1" t="str">
        <f t="shared" si="10"/>
        <v>15/06/2009</v>
      </c>
      <c r="B356" s="5">
        <f t="shared" si="11"/>
        <v>2967.1</v>
      </c>
      <c r="F356" s="210" t="s">
        <v>404</v>
      </c>
      <c r="G356" s="211"/>
      <c r="H356" s="212">
        <v>2967.1</v>
      </c>
      <c r="I356" s="213"/>
    </row>
    <row r="357" spans="1:9" ht="15" thickBot="1" x14ac:dyDescent="0.35">
      <c r="A357" s="1" t="str">
        <f t="shared" si="10"/>
        <v>15/07/2009</v>
      </c>
      <c r="B357" s="5">
        <f t="shared" si="11"/>
        <v>2974.22</v>
      </c>
      <c r="F357" s="202" t="s">
        <v>405</v>
      </c>
      <c r="G357" s="203"/>
      <c r="H357" s="204">
        <v>2974.22</v>
      </c>
      <c r="I357" s="205"/>
    </row>
    <row r="358" spans="1:9" ht="15" thickBot="1" x14ac:dyDescent="0.35">
      <c r="A358" s="1" t="str">
        <f t="shared" si="10"/>
        <v>15/08/2009</v>
      </c>
      <c r="B358" s="5">
        <f t="shared" si="11"/>
        <v>2978.68</v>
      </c>
      <c r="F358" s="210" t="s">
        <v>406</v>
      </c>
      <c r="G358" s="211"/>
      <c r="H358" s="212">
        <v>2978.68</v>
      </c>
      <c r="I358" s="213"/>
    </row>
    <row r="359" spans="1:9" ht="15" thickBot="1" x14ac:dyDescent="0.35">
      <c r="A359" s="1" t="str">
        <f t="shared" si="10"/>
        <v>15/09/2009</v>
      </c>
      <c r="B359" s="5">
        <f t="shared" si="11"/>
        <v>2985.83</v>
      </c>
      <c r="F359" s="202" t="s">
        <v>407</v>
      </c>
      <c r="G359" s="203"/>
      <c r="H359" s="204">
        <v>2985.83</v>
      </c>
      <c r="I359" s="205"/>
    </row>
    <row r="360" spans="1:9" ht="15" thickBot="1" x14ac:dyDescent="0.35">
      <c r="A360" s="1" t="str">
        <f t="shared" si="10"/>
        <v>15/10/2009</v>
      </c>
      <c r="B360" s="5">
        <f t="shared" si="11"/>
        <v>2994.19</v>
      </c>
      <c r="F360" s="210" t="s">
        <v>408</v>
      </c>
      <c r="G360" s="211"/>
      <c r="H360" s="212">
        <v>2994.19</v>
      </c>
      <c r="I360" s="213"/>
    </row>
    <row r="361" spans="1:9" ht="15" thickBot="1" x14ac:dyDescent="0.35">
      <c r="A361" s="1" t="str">
        <f t="shared" si="10"/>
        <v>15/11/2009</v>
      </c>
      <c r="B361" s="5">
        <f t="shared" si="11"/>
        <v>3006.47</v>
      </c>
      <c r="F361" s="202" t="s">
        <v>409</v>
      </c>
      <c r="G361" s="203"/>
      <c r="H361" s="204">
        <v>3006.47</v>
      </c>
      <c r="I361" s="205"/>
    </row>
    <row r="362" spans="1:9" ht="15" thickBot="1" x14ac:dyDescent="0.35">
      <c r="A362" s="1" t="str">
        <f t="shared" si="10"/>
        <v>15/12/2009</v>
      </c>
      <c r="B362" s="5">
        <f t="shared" si="11"/>
        <v>3017.59</v>
      </c>
      <c r="F362" s="210" t="s">
        <v>410</v>
      </c>
      <c r="G362" s="211"/>
      <c r="H362" s="212">
        <v>3017.59</v>
      </c>
      <c r="I362" s="213"/>
    </row>
    <row r="363" spans="1:9" ht="15" thickBot="1" x14ac:dyDescent="0.35">
      <c r="A363" s="1" t="str">
        <f t="shared" si="10"/>
        <v>15/01/2010</v>
      </c>
      <c r="B363" s="5">
        <f t="shared" si="11"/>
        <v>3040.22</v>
      </c>
      <c r="F363" s="202" t="s">
        <v>411</v>
      </c>
      <c r="G363" s="203"/>
      <c r="H363" s="204">
        <v>3040.22</v>
      </c>
      <c r="I363" s="205"/>
    </row>
    <row r="364" spans="1:9" ht="15" thickBot="1" x14ac:dyDescent="0.35">
      <c r="A364" s="1" t="str">
        <f t="shared" si="10"/>
        <v>15/02/2010</v>
      </c>
      <c r="B364" s="5">
        <f t="shared" si="11"/>
        <v>3063.93</v>
      </c>
      <c r="F364" s="210" t="s">
        <v>412</v>
      </c>
      <c r="G364" s="211"/>
      <c r="H364" s="212">
        <v>3063.93</v>
      </c>
      <c r="I364" s="213"/>
    </row>
    <row r="365" spans="1:9" ht="15" thickBot="1" x14ac:dyDescent="0.35">
      <c r="A365" s="1" t="str">
        <f t="shared" si="10"/>
        <v>15/03/2010</v>
      </c>
      <c r="B365" s="5">
        <f t="shared" si="11"/>
        <v>3079.86</v>
      </c>
      <c r="F365" s="202" t="s">
        <v>413</v>
      </c>
      <c r="G365" s="203"/>
      <c r="H365" s="204">
        <v>3079.86</v>
      </c>
      <c r="I365" s="205"/>
    </row>
    <row r="366" spans="1:9" ht="15" thickBot="1" x14ac:dyDescent="0.35">
      <c r="A366" s="1" t="str">
        <f t="shared" si="10"/>
        <v>15/04/2010</v>
      </c>
      <c r="B366" s="5">
        <f t="shared" si="11"/>
        <v>3097.42</v>
      </c>
      <c r="F366" s="210" t="s">
        <v>414</v>
      </c>
      <c r="G366" s="211"/>
      <c r="H366" s="212">
        <v>3097.42</v>
      </c>
      <c r="I366" s="213"/>
    </row>
    <row r="367" spans="1:9" ht="15" thickBot="1" x14ac:dyDescent="0.35">
      <c r="A367" s="1" t="str">
        <f t="shared" si="10"/>
        <v>15/05/2010</v>
      </c>
      <c r="B367" s="5">
        <f t="shared" si="11"/>
        <v>3110.74</v>
      </c>
      <c r="F367" s="202" t="s">
        <v>415</v>
      </c>
      <c r="G367" s="203"/>
      <c r="H367" s="204">
        <v>3110.74</v>
      </c>
      <c r="I367" s="205"/>
    </row>
    <row r="368" spans="1:9" ht="15" thickBot="1" x14ac:dyDescent="0.35">
      <c r="A368" s="1" t="str">
        <f t="shared" si="10"/>
        <v>15/06/2010</v>
      </c>
      <c r="B368" s="5">
        <f t="shared" si="11"/>
        <v>3110.74</v>
      </c>
      <c r="F368" s="210" t="s">
        <v>416</v>
      </c>
      <c r="G368" s="211"/>
      <c r="H368" s="212">
        <v>3110.74</v>
      </c>
      <c r="I368" s="213"/>
    </row>
    <row r="369" spans="1:9" ht="15" thickBot="1" x14ac:dyDescent="0.35">
      <c r="A369" s="1" t="str">
        <f t="shared" si="10"/>
        <v>15/07/2010</v>
      </c>
      <c r="B369" s="5">
        <f t="shared" si="11"/>
        <v>3111.05</v>
      </c>
      <c r="F369" s="202" t="s">
        <v>417</v>
      </c>
      <c r="G369" s="203"/>
      <c r="H369" s="204">
        <v>3111.05</v>
      </c>
      <c r="I369" s="205"/>
    </row>
    <row r="370" spans="1:9" ht="15" thickBot="1" x14ac:dyDescent="0.35">
      <c r="A370" s="1" t="str">
        <f t="shared" si="10"/>
        <v>15/08/2010</v>
      </c>
      <c r="B370" s="5">
        <f t="shared" si="11"/>
        <v>3112.29</v>
      </c>
      <c r="F370" s="210" t="s">
        <v>418</v>
      </c>
      <c r="G370" s="211"/>
      <c r="H370" s="212">
        <v>3112.29</v>
      </c>
      <c r="I370" s="213"/>
    </row>
    <row r="371" spans="1:9" ht="15" thickBot="1" x14ac:dyDescent="0.35">
      <c r="A371" s="1" t="str">
        <f t="shared" si="10"/>
        <v>15/09/2010</v>
      </c>
      <c r="B371" s="5">
        <f t="shared" si="11"/>
        <v>3126.29</v>
      </c>
      <c r="F371" s="202" t="s">
        <v>419</v>
      </c>
      <c r="G371" s="203"/>
      <c r="H371" s="204">
        <v>3126.29</v>
      </c>
      <c r="I371" s="205"/>
    </row>
    <row r="372" spans="1:9" ht="15" thickBot="1" x14ac:dyDescent="0.35">
      <c r="A372" s="1" t="str">
        <f t="shared" si="10"/>
        <v>15/10/2010</v>
      </c>
      <c r="B372" s="5">
        <f t="shared" si="11"/>
        <v>3149.74</v>
      </c>
      <c r="F372" s="210" t="s">
        <v>420</v>
      </c>
      <c r="G372" s="211"/>
      <c r="H372" s="212">
        <v>3149.74</v>
      </c>
      <c r="I372" s="213"/>
    </row>
    <row r="373" spans="1:9" ht="15" thickBot="1" x14ac:dyDescent="0.35">
      <c r="A373" s="1" t="str">
        <f t="shared" si="10"/>
        <v>15/11/2010</v>
      </c>
      <c r="B373" s="5">
        <f t="shared" si="11"/>
        <v>3175.88</v>
      </c>
      <c r="F373" s="202" t="s">
        <v>421</v>
      </c>
      <c r="G373" s="203"/>
      <c r="H373" s="204">
        <v>3175.88</v>
      </c>
      <c r="I373" s="205"/>
    </row>
    <row r="374" spans="1:9" ht="15" thickBot="1" x14ac:dyDescent="0.35">
      <c r="A374" s="1" t="str">
        <f t="shared" si="10"/>
        <v>15/12/2010</v>
      </c>
      <c r="B374" s="5">
        <f t="shared" si="11"/>
        <v>3195.89</v>
      </c>
      <c r="F374" s="210" t="s">
        <v>422</v>
      </c>
      <c r="G374" s="211"/>
      <c r="H374" s="212">
        <v>3195.89</v>
      </c>
      <c r="I374" s="213"/>
    </row>
    <row r="375" spans="1:9" ht="15" thickBot="1" x14ac:dyDescent="0.35">
      <c r="A375" s="1" t="str">
        <f t="shared" si="10"/>
        <v>15/01/2011</v>
      </c>
      <c r="B375" s="5">
        <f t="shared" si="11"/>
        <v>3222.42</v>
      </c>
      <c r="F375" s="202" t="s">
        <v>423</v>
      </c>
      <c r="G375" s="203"/>
      <c r="H375" s="204">
        <v>3222.42</v>
      </c>
      <c r="I375" s="205"/>
    </row>
    <row r="376" spans="1:9" ht="15" thickBot="1" x14ac:dyDescent="0.35">
      <c r="A376" s="1" t="str">
        <f t="shared" si="10"/>
        <v>15/02/2011</v>
      </c>
      <c r="B376" s="5">
        <f t="shared" si="11"/>
        <v>3248.2</v>
      </c>
      <c r="F376" s="210" t="s">
        <v>424</v>
      </c>
      <c r="G376" s="211"/>
      <c r="H376" s="212">
        <v>3248.2</v>
      </c>
      <c r="I376" s="213"/>
    </row>
    <row r="377" spans="1:9" ht="15" thickBot="1" x14ac:dyDescent="0.35">
      <c r="A377" s="1" t="str">
        <f t="shared" si="10"/>
        <v>15/03/2011</v>
      </c>
      <c r="B377" s="5">
        <f t="shared" si="11"/>
        <v>3273.86</v>
      </c>
      <c r="F377" s="202" t="s">
        <v>425</v>
      </c>
      <c r="G377" s="203"/>
      <c r="H377" s="204">
        <v>3273.86</v>
      </c>
      <c r="I377" s="205"/>
    </row>
    <row r="378" spans="1:9" ht="15" thickBot="1" x14ac:dyDescent="0.35">
      <c r="A378" s="1" t="str">
        <f t="shared" si="10"/>
        <v>15/04/2011</v>
      </c>
      <c r="B378" s="5">
        <f t="shared" si="11"/>
        <v>3299.07</v>
      </c>
      <c r="F378" s="210" t="s">
        <v>426</v>
      </c>
      <c r="G378" s="211"/>
      <c r="H378" s="212">
        <v>3299.07</v>
      </c>
      <c r="I378" s="213"/>
    </row>
    <row r="379" spans="1:9" ht="15" thickBot="1" x14ac:dyDescent="0.35">
      <c r="A379" s="1" t="str">
        <f t="shared" si="10"/>
        <v>15/05/2011</v>
      </c>
      <c r="B379" s="5">
        <f t="shared" si="11"/>
        <v>3314.58</v>
      </c>
      <c r="F379" s="202" t="s">
        <v>427</v>
      </c>
      <c r="G379" s="203"/>
      <c r="H379" s="204">
        <v>3314.58</v>
      </c>
      <c r="I379" s="205"/>
    </row>
    <row r="380" spans="1:9" ht="15" thickBot="1" x14ac:dyDescent="0.35">
      <c r="A380" s="1" t="str">
        <f t="shared" si="10"/>
        <v>15/06/2011</v>
      </c>
      <c r="B380" s="5">
        <f t="shared" si="11"/>
        <v>3319.55</v>
      </c>
      <c r="F380" s="210" t="s">
        <v>428</v>
      </c>
      <c r="G380" s="211"/>
      <c r="H380" s="212">
        <v>3319.55</v>
      </c>
      <c r="I380" s="213"/>
    </row>
    <row r="381" spans="1:9" ht="15" thickBot="1" x14ac:dyDescent="0.35">
      <c r="A381" s="1" t="str">
        <f t="shared" si="10"/>
        <v>15/07/2011</v>
      </c>
      <c r="B381" s="5">
        <f t="shared" si="11"/>
        <v>3324.86</v>
      </c>
      <c r="F381" s="202" t="s">
        <v>429</v>
      </c>
      <c r="G381" s="203"/>
      <c r="H381" s="204">
        <v>3324.86</v>
      </c>
      <c r="I381" s="205"/>
    </row>
    <row r="382" spans="1:9" ht="15" thickBot="1" x14ac:dyDescent="0.35">
      <c r="A382" s="1" t="str">
        <f t="shared" si="10"/>
        <v>15/08/2011</v>
      </c>
      <c r="B382" s="5">
        <f t="shared" si="11"/>
        <v>3337.16</v>
      </c>
      <c r="F382" s="210" t="s">
        <v>430</v>
      </c>
      <c r="G382" s="211"/>
      <c r="H382" s="212">
        <v>3337.16</v>
      </c>
      <c r="I382" s="213"/>
    </row>
    <row r="383" spans="1:9" ht="15" thickBot="1" x14ac:dyDescent="0.35">
      <c r="A383" s="1" t="str">
        <f t="shared" si="10"/>
        <v>15/09/2011</v>
      </c>
      <c r="B383" s="5">
        <f t="shared" si="11"/>
        <v>3354.85</v>
      </c>
      <c r="F383" s="202" t="s">
        <v>431</v>
      </c>
      <c r="G383" s="203"/>
      <c r="H383" s="204">
        <v>3354.85</v>
      </c>
      <c r="I383" s="205"/>
    </row>
    <row r="384" spans="1:9" ht="15" thickBot="1" x14ac:dyDescent="0.35">
      <c r="A384" s="1" t="str">
        <f t="shared" si="10"/>
        <v>15/10/2011</v>
      </c>
      <c r="B384" s="5">
        <f t="shared" si="11"/>
        <v>3369.28</v>
      </c>
      <c r="F384" s="210" t="s">
        <v>432</v>
      </c>
      <c r="G384" s="211"/>
      <c r="H384" s="212">
        <v>3369.28</v>
      </c>
      <c r="I384" s="213"/>
    </row>
    <row r="385" spans="1:9" ht="15" thickBot="1" x14ac:dyDescent="0.35">
      <c r="A385" s="1" t="str">
        <f t="shared" si="10"/>
        <v>15/11/2011</v>
      </c>
      <c r="B385" s="5">
        <f t="shared" si="11"/>
        <v>3386.8</v>
      </c>
      <c r="F385" s="202" t="s">
        <v>433</v>
      </c>
      <c r="G385" s="203"/>
      <c r="H385" s="204">
        <v>3386.8</v>
      </c>
      <c r="I385" s="205"/>
    </row>
    <row r="386" spans="1:9" ht="15" thickBot="1" x14ac:dyDescent="0.35">
      <c r="A386" s="1" t="str">
        <f t="shared" si="10"/>
        <v>15/12/2011</v>
      </c>
      <c r="B386" s="5">
        <f t="shared" si="11"/>
        <v>3403.73</v>
      </c>
      <c r="F386" s="210" t="s">
        <v>434</v>
      </c>
      <c r="G386" s="211"/>
      <c r="H386" s="212">
        <v>3403.73</v>
      </c>
      <c r="I386" s="213"/>
    </row>
    <row r="387" spans="1:9" ht="15" thickBot="1" x14ac:dyDescent="0.35">
      <c r="A387" s="1" t="str">
        <f t="shared" ref="A387:A450" si="12">"15/"&amp;RIGHT(F387,2)&amp;"/"&amp;LEFT(F387,4)</f>
        <v>15/01/2012</v>
      </c>
      <c r="B387" s="5">
        <f t="shared" ref="B387:B450" si="13">H387</f>
        <v>3422.79</v>
      </c>
      <c r="F387" s="202" t="s">
        <v>435</v>
      </c>
      <c r="G387" s="203"/>
      <c r="H387" s="204">
        <v>3422.79</v>
      </c>
      <c r="I387" s="205"/>
    </row>
    <row r="388" spans="1:9" ht="15" thickBot="1" x14ac:dyDescent="0.35">
      <c r="A388" s="1" t="str">
        <f t="shared" si="12"/>
        <v>15/02/2012</v>
      </c>
      <c r="B388" s="5">
        <f t="shared" si="13"/>
        <v>3438.19</v>
      </c>
      <c r="F388" s="210" t="s">
        <v>436</v>
      </c>
      <c r="G388" s="211"/>
      <c r="H388" s="212">
        <v>3438.19</v>
      </c>
      <c r="I388" s="213"/>
    </row>
    <row r="389" spans="1:9" ht="15" thickBot="1" x14ac:dyDescent="0.35">
      <c r="A389" s="1" t="str">
        <f t="shared" si="12"/>
        <v>15/03/2012</v>
      </c>
      <c r="B389" s="5">
        <f t="shared" si="13"/>
        <v>3445.41</v>
      </c>
      <c r="F389" s="202" t="s">
        <v>437</v>
      </c>
      <c r="G389" s="203"/>
      <c r="H389" s="204">
        <v>3445.41</v>
      </c>
      <c r="I389" s="205"/>
    </row>
    <row r="390" spans="1:9" ht="15" thickBot="1" x14ac:dyDescent="0.35">
      <c r="A390" s="1" t="str">
        <f t="shared" si="12"/>
        <v>15/04/2012</v>
      </c>
      <c r="B390" s="5">
        <f t="shared" si="13"/>
        <v>3467.46</v>
      </c>
      <c r="F390" s="210" t="s">
        <v>438</v>
      </c>
      <c r="G390" s="211"/>
      <c r="H390" s="212">
        <v>3467.46</v>
      </c>
      <c r="I390" s="213"/>
    </row>
    <row r="391" spans="1:9" ht="15" thickBot="1" x14ac:dyDescent="0.35">
      <c r="A391" s="1" t="str">
        <f t="shared" si="12"/>
        <v>15/05/2012</v>
      </c>
      <c r="B391" s="5">
        <f t="shared" si="13"/>
        <v>3479.94</v>
      </c>
      <c r="F391" s="202" t="s">
        <v>439</v>
      </c>
      <c r="G391" s="203"/>
      <c r="H391" s="204">
        <v>3479.94</v>
      </c>
      <c r="I391" s="205"/>
    </row>
    <row r="392" spans="1:9" ht="15" thickBot="1" x14ac:dyDescent="0.35">
      <c r="A392" s="1" t="str">
        <f t="shared" si="12"/>
        <v>15/06/2012</v>
      </c>
      <c r="B392" s="5">
        <f t="shared" si="13"/>
        <v>3482.72</v>
      </c>
      <c r="F392" s="210" t="s">
        <v>440</v>
      </c>
      <c r="G392" s="211"/>
      <c r="H392" s="212">
        <v>3482.72</v>
      </c>
      <c r="I392" s="213"/>
    </row>
    <row r="393" spans="1:9" ht="15" thickBot="1" x14ac:dyDescent="0.35">
      <c r="A393" s="1" t="str">
        <f t="shared" si="12"/>
        <v>15/07/2012</v>
      </c>
      <c r="B393" s="5">
        <f t="shared" si="13"/>
        <v>3497.7</v>
      </c>
      <c r="F393" s="202" t="s">
        <v>441</v>
      </c>
      <c r="G393" s="203"/>
      <c r="H393" s="204">
        <v>3497.7</v>
      </c>
      <c r="I393" s="205"/>
    </row>
    <row r="394" spans="1:9" ht="15" thickBot="1" x14ac:dyDescent="0.35">
      <c r="A394" s="1" t="str">
        <f t="shared" si="12"/>
        <v>15/08/2012</v>
      </c>
      <c r="B394" s="5">
        <f t="shared" si="13"/>
        <v>3512.04</v>
      </c>
      <c r="F394" s="210" t="s">
        <v>442</v>
      </c>
      <c r="G394" s="211"/>
      <c r="H394" s="212">
        <v>3512.04</v>
      </c>
      <c r="I394" s="213"/>
    </row>
    <row r="395" spans="1:9" ht="15" thickBot="1" x14ac:dyDescent="0.35">
      <c r="A395" s="1" t="str">
        <f t="shared" si="12"/>
        <v>15/09/2012</v>
      </c>
      <c r="B395" s="5">
        <f t="shared" si="13"/>
        <v>3532.06</v>
      </c>
      <c r="F395" s="202" t="s">
        <v>443</v>
      </c>
      <c r="G395" s="203"/>
      <c r="H395" s="204">
        <v>3532.06</v>
      </c>
      <c r="I395" s="205"/>
    </row>
    <row r="396" spans="1:9" ht="15" thickBot="1" x14ac:dyDescent="0.35">
      <c r="A396" s="1" t="str">
        <f t="shared" si="12"/>
        <v>15/10/2012</v>
      </c>
      <c r="B396" s="5">
        <f t="shared" si="13"/>
        <v>3552.9</v>
      </c>
      <c r="F396" s="210" t="s">
        <v>444</v>
      </c>
      <c r="G396" s="211"/>
      <c r="H396" s="212">
        <v>3552.9</v>
      </c>
      <c r="I396" s="213"/>
    </row>
    <row r="397" spans="1:9" ht="15" thickBot="1" x14ac:dyDescent="0.35">
      <c r="A397" s="1" t="str">
        <f t="shared" si="12"/>
        <v>15/11/2012</v>
      </c>
      <c r="B397" s="5">
        <f t="shared" si="13"/>
        <v>3574.22</v>
      </c>
      <c r="F397" s="202" t="s">
        <v>445</v>
      </c>
      <c r="G397" s="203"/>
      <c r="H397" s="204">
        <v>3574.22</v>
      </c>
      <c r="I397" s="205"/>
    </row>
    <row r="398" spans="1:9" ht="15" thickBot="1" x14ac:dyDescent="0.35">
      <c r="A398" s="1" t="str">
        <f t="shared" si="12"/>
        <v>15/12/2012</v>
      </c>
      <c r="B398" s="5">
        <f t="shared" si="13"/>
        <v>3602.46</v>
      </c>
      <c r="F398" s="210" t="s">
        <v>446</v>
      </c>
      <c r="G398" s="211"/>
      <c r="H398" s="212">
        <v>3602.46</v>
      </c>
      <c r="I398" s="213"/>
    </row>
    <row r="399" spans="1:9" ht="15" thickBot="1" x14ac:dyDescent="0.35">
      <c r="A399" s="1" t="str">
        <f t="shared" si="12"/>
        <v>15/01/2013</v>
      </c>
      <c r="B399" s="5">
        <f t="shared" si="13"/>
        <v>3633.44</v>
      </c>
      <c r="F399" s="202" t="s">
        <v>447</v>
      </c>
      <c r="G399" s="203"/>
      <c r="H399" s="204">
        <v>3633.44</v>
      </c>
      <c r="I399" s="205"/>
    </row>
    <row r="400" spans="1:9" ht="15" thickBot="1" x14ac:dyDescent="0.35">
      <c r="A400" s="1" t="str">
        <f t="shared" si="12"/>
        <v>15/02/2013</v>
      </c>
      <c r="B400" s="5">
        <f t="shared" si="13"/>
        <v>3655.24</v>
      </c>
      <c r="F400" s="210" t="s">
        <v>448</v>
      </c>
      <c r="G400" s="211"/>
      <c r="H400" s="212">
        <v>3655.24</v>
      </c>
      <c r="I400" s="213"/>
    </row>
    <row r="401" spans="1:9" ht="15" thickBot="1" x14ac:dyDescent="0.35">
      <c r="A401" s="1" t="str">
        <f t="shared" si="12"/>
        <v>15/03/2013</v>
      </c>
      <c r="B401" s="5">
        <f t="shared" si="13"/>
        <v>3672.42</v>
      </c>
      <c r="F401" s="202" t="s">
        <v>449</v>
      </c>
      <c r="G401" s="203"/>
      <c r="H401" s="204">
        <v>3672.42</v>
      </c>
      <c r="I401" s="205"/>
    </row>
    <row r="402" spans="1:9" ht="15" thickBot="1" x14ac:dyDescent="0.35">
      <c r="A402" s="1" t="str">
        <f t="shared" si="12"/>
        <v>15/04/2013</v>
      </c>
      <c r="B402" s="5">
        <f t="shared" si="13"/>
        <v>3692.62</v>
      </c>
      <c r="F402" s="210" t="s">
        <v>450</v>
      </c>
      <c r="G402" s="211"/>
      <c r="H402" s="212">
        <v>3692.62</v>
      </c>
      <c r="I402" s="213"/>
    </row>
    <row r="403" spans="1:9" ht="15" thickBot="1" x14ac:dyDescent="0.35">
      <c r="A403" s="1" t="str">
        <f t="shared" si="12"/>
        <v>15/05/2013</v>
      </c>
      <c r="B403" s="5">
        <f t="shared" si="13"/>
        <v>3706.28</v>
      </c>
      <c r="F403" s="202" t="s">
        <v>451</v>
      </c>
      <c r="G403" s="203"/>
      <c r="H403" s="204">
        <v>3706.28</v>
      </c>
      <c r="I403" s="205"/>
    </row>
    <row r="404" spans="1:9" ht="15" thickBot="1" x14ac:dyDescent="0.35">
      <c r="A404" s="1" t="str">
        <f t="shared" si="12"/>
        <v>15/06/2013</v>
      </c>
      <c r="B404" s="5">
        <f t="shared" si="13"/>
        <v>3715.92</v>
      </c>
      <c r="F404" s="210" t="s">
        <v>452</v>
      </c>
      <c r="G404" s="211"/>
      <c r="H404" s="212">
        <v>3715.92</v>
      </c>
      <c r="I404" s="213"/>
    </row>
    <row r="405" spans="1:9" ht="15" thickBot="1" x14ac:dyDescent="0.35">
      <c r="A405" s="1" t="str">
        <f t="shared" si="12"/>
        <v>15/07/2013</v>
      </c>
      <c r="B405" s="5">
        <f t="shared" si="13"/>
        <v>3717.03</v>
      </c>
      <c r="F405" s="202" t="s">
        <v>453</v>
      </c>
      <c r="G405" s="203"/>
      <c r="H405" s="204">
        <v>3717.03</v>
      </c>
      <c r="I405" s="205"/>
    </row>
    <row r="406" spans="1:9" ht="15" thickBot="1" x14ac:dyDescent="0.35">
      <c r="A406" s="1" t="str">
        <f t="shared" si="12"/>
        <v>15/08/2013</v>
      </c>
      <c r="B406" s="5">
        <f t="shared" si="13"/>
        <v>3725.95</v>
      </c>
      <c r="F406" s="210" t="s">
        <v>454</v>
      </c>
      <c r="G406" s="211"/>
      <c r="H406" s="212">
        <v>3725.95</v>
      </c>
      <c r="I406" s="213"/>
    </row>
    <row r="407" spans="1:9" ht="15" thickBot="1" x14ac:dyDescent="0.35">
      <c r="A407" s="1" t="str">
        <f t="shared" si="12"/>
        <v>15/09/2013</v>
      </c>
      <c r="B407" s="5">
        <f t="shared" si="13"/>
        <v>3738.99</v>
      </c>
      <c r="F407" s="202" t="s">
        <v>455</v>
      </c>
      <c r="G407" s="203"/>
      <c r="H407" s="204">
        <v>3738.99</v>
      </c>
      <c r="I407" s="205"/>
    </row>
    <row r="408" spans="1:9" ht="15" thickBot="1" x14ac:dyDescent="0.35">
      <c r="A408" s="1" t="str">
        <f t="shared" si="12"/>
        <v>15/10/2013</v>
      </c>
      <c r="B408" s="5">
        <f t="shared" si="13"/>
        <v>3760.3</v>
      </c>
      <c r="F408" s="210" t="s">
        <v>456</v>
      </c>
      <c r="G408" s="211"/>
      <c r="H408" s="212">
        <v>3760.3</v>
      </c>
      <c r="I408" s="213"/>
    </row>
    <row r="409" spans="1:9" ht="15" thickBot="1" x14ac:dyDescent="0.35">
      <c r="A409" s="1" t="str">
        <f t="shared" si="12"/>
        <v>15/11/2013</v>
      </c>
      <c r="B409" s="5">
        <f t="shared" si="13"/>
        <v>3780.61</v>
      </c>
      <c r="F409" s="202" t="s">
        <v>457</v>
      </c>
      <c r="G409" s="203"/>
      <c r="H409" s="204">
        <v>3780.61</v>
      </c>
      <c r="I409" s="205"/>
    </row>
    <row r="410" spans="1:9" ht="15" thickBot="1" x14ac:dyDescent="0.35">
      <c r="A410" s="1" t="str">
        <f t="shared" si="12"/>
        <v>15/12/2013</v>
      </c>
      <c r="B410" s="5">
        <f t="shared" si="13"/>
        <v>3815.39</v>
      </c>
      <c r="F410" s="210" t="s">
        <v>458</v>
      </c>
      <c r="G410" s="211"/>
      <c r="H410" s="212">
        <v>3815.39</v>
      </c>
      <c r="I410" s="213"/>
    </row>
    <row r="411" spans="1:9" ht="15" thickBot="1" x14ac:dyDescent="0.35">
      <c r="A411" s="1" t="str">
        <f t="shared" si="12"/>
        <v>15/01/2014</v>
      </c>
      <c r="B411" s="5">
        <f t="shared" si="13"/>
        <v>3836.37</v>
      </c>
      <c r="F411" s="202" t="s">
        <v>459</v>
      </c>
      <c r="G411" s="203"/>
      <c r="H411" s="204">
        <v>3836.37</v>
      </c>
      <c r="I411" s="205"/>
    </row>
    <row r="412" spans="1:9" ht="15" thickBot="1" x14ac:dyDescent="0.35">
      <c r="A412" s="1" t="str">
        <f t="shared" si="12"/>
        <v>15/02/2014</v>
      </c>
      <c r="B412" s="5">
        <f t="shared" si="13"/>
        <v>3862.84</v>
      </c>
      <c r="F412" s="210" t="s">
        <v>460</v>
      </c>
      <c r="G412" s="211"/>
      <c r="H412" s="212">
        <v>3862.84</v>
      </c>
      <c r="I412" s="213"/>
    </row>
    <row r="413" spans="1:9" ht="15" thickBot="1" x14ac:dyDescent="0.35">
      <c r="A413" s="1" t="str">
        <f t="shared" si="12"/>
        <v>15/03/2014</v>
      </c>
      <c r="B413" s="5">
        <f t="shared" si="13"/>
        <v>3898.38</v>
      </c>
      <c r="F413" s="202" t="s">
        <v>461</v>
      </c>
      <c r="G413" s="203"/>
      <c r="H413" s="204">
        <v>3898.38</v>
      </c>
      <c r="I413" s="205"/>
    </row>
    <row r="414" spans="1:9" ht="15" thickBot="1" x14ac:dyDescent="0.35">
      <c r="A414" s="1" t="str">
        <f t="shared" si="12"/>
        <v>15/04/2014</v>
      </c>
      <c r="B414" s="5">
        <f t="shared" si="13"/>
        <v>3924.5</v>
      </c>
      <c r="F414" s="210" t="s">
        <v>462</v>
      </c>
      <c r="G414" s="211"/>
      <c r="H414" s="212">
        <v>3924.5</v>
      </c>
      <c r="I414" s="213"/>
    </row>
    <row r="415" spans="1:9" ht="15" thickBot="1" x14ac:dyDescent="0.35">
      <c r="A415" s="1" t="str">
        <f t="shared" si="12"/>
        <v>15/05/2014</v>
      </c>
      <c r="B415" s="5">
        <f t="shared" si="13"/>
        <v>3942.55</v>
      </c>
      <c r="F415" s="202" t="s">
        <v>463</v>
      </c>
      <c r="G415" s="203"/>
      <c r="H415" s="204">
        <v>3942.55</v>
      </c>
      <c r="I415" s="205"/>
    </row>
    <row r="416" spans="1:9" ht="15" thickBot="1" x14ac:dyDescent="0.35">
      <c r="A416" s="1" t="str">
        <f t="shared" si="12"/>
        <v>15/06/2014</v>
      </c>
      <c r="B416" s="5">
        <f t="shared" si="13"/>
        <v>3958.32</v>
      </c>
      <c r="F416" s="210" t="s">
        <v>464</v>
      </c>
      <c r="G416" s="211"/>
      <c r="H416" s="212">
        <v>3958.32</v>
      </c>
      <c r="I416" s="213"/>
    </row>
    <row r="417" spans="1:9" ht="15" thickBot="1" x14ac:dyDescent="0.35">
      <c r="A417" s="1" t="str">
        <f t="shared" si="12"/>
        <v>15/07/2014</v>
      </c>
      <c r="B417" s="5">
        <f t="shared" si="13"/>
        <v>3958.72</v>
      </c>
      <c r="F417" s="202" t="s">
        <v>465</v>
      </c>
      <c r="G417" s="203"/>
      <c r="H417" s="204">
        <v>3958.72</v>
      </c>
      <c r="I417" s="205"/>
    </row>
    <row r="418" spans="1:9" ht="15" thickBot="1" x14ac:dyDescent="0.35">
      <c r="A418" s="1" t="str">
        <f t="shared" si="12"/>
        <v>15/08/2014</v>
      </c>
      <c r="B418" s="5">
        <f t="shared" si="13"/>
        <v>3968.62</v>
      </c>
      <c r="F418" s="210" t="s">
        <v>466</v>
      </c>
      <c r="G418" s="211"/>
      <c r="H418" s="212">
        <v>3968.62</v>
      </c>
      <c r="I418" s="213"/>
    </row>
    <row r="419" spans="1:9" ht="15" thickBot="1" x14ac:dyDescent="0.35">
      <c r="A419" s="1" t="str">
        <f t="shared" si="12"/>
        <v>15/09/2014</v>
      </c>
      <c r="B419" s="5">
        <f t="shared" si="13"/>
        <v>3991.24</v>
      </c>
      <c r="F419" s="202" t="s">
        <v>467</v>
      </c>
      <c r="G419" s="203"/>
      <c r="H419" s="204">
        <v>3991.24</v>
      </c>
      <c r="I419" s="205"/>
    </row>
    <row r="420" spans="1:9" ht="15" thickBot="1" x14ac:dyDescent="0.35">
      <c r="A420" s="1" t="str">
        <f t="shared" si="12"/>
        <v>15/10/2014</v>
      </c>
      <c r="B420" s="5">
        <f t="shared" si="13"/>
        <v>4008</v>
      </c>
      <c r="F420" s="210" t="s">
        <v>468</v>
      </c>
      <c r="G420" s="211"/>
      <c r="H420" s="212">
        <v>4008</v>
      </c>
      <c r="I420" s="213"/>
    </row>
    <row r="421" spans="1:9" ht="15" thickBot="1" x14ac:dyDescent="0.35">
      <c r="A421" s="1" t="str">
        <f t="shared" si="12"/>
        <v>15/11/2014</v>
      </c>
      <c r="B421" s="5">
        <f t="shared" si="13"/>
        <v>4028.44</v>
      </c>
      <c r="F421" s="202" t="s">
        <v>469</v>
      </c>
      <c r="G421" s="203"/>
      <c r="H421" s="204">
        <v>4028.44</v>
      </c>
      <c r="I421" s="205"/>
    </row>
    <row r="422" spans="1:9" ht="15" thickBot="1" x14ac:dyDescent="0.35">
      <c r="A422" s="1" t="str">
        <f t="shared" si="12"/>
        <v>15/12/2014</v>
      </c>
      <c r="B422" s="5">
        <f t="shared" si="13"/>
        <v>4059.86</v>
      </c>
      <c r="F422" s="210" t="s">
        <v>470</v>
      </c>
      <c r="G422" s="211"/>
      <c r="H422" s="212">
        <v>4059.86</v>
      </c>
      <c r="I422" s="213"/>
    </row>
    <row r="423" spans="1:9" ht="15" thickBot="1" x14ac:dyDescent="0.35">
      <c r="A423" s="1" t="str">
        <f t="shared" si="12"/>
        <v>15/01/2015</v>
      </c>
      <c r="B423" s="5">
        <f t="shared" si="13"/>
        <v>4110.2</v>
      </c>
      <c r="F423" s="202" t="s">
        <v>471</v>
      </c>
      <c r="G423" s="203"/>
      <c r="H423" s="204">
        <v>4110.2</v>
      </c>
      <c r="I423" s="205"/>
    </row>
    <row r="424" spans="1:9" ht="15" thickBot="1" x14ac:dyDescent="0.35">
      <c r="A424" s="1" t="str">
        <f t="shared" si="12"/>
        <v>15/02/2015</v>
      </c>
      <c r="B424" s="5">
        <f t="shared" si="13"/>
        <v>4160.34</v>
      </c>
      <c r="F424" s="210" t="s">
        <v>472</v>
      </c>
      <c r="G424" s="211"/>
      <c r="H424" s="212">
        <v>4160.34</v>
      </c>
      <c r="I424" s="213"/>
    </row>
    <row r="425" spans="1:9" ht="15" thickBot="1" x14ac:dyDescent="0.35">
      <c r="A425" s="1" t="str">
        <f t="shared" si="12"/>
        <v>15/03/2015</v>
      </c>
      <c r="B425" s="5">
        <f t="shared" si="13"/>
        <v>4215.26</v>
      </c>
      <c r="F425" s="202" t="s">
        <v>473</v>
      </c>
      <c r="G425" s="203"/>
      <c r="H425" s="204">
        <v>4215.26</v>
      </c>
      <c r="I425" s="205"/>
    </row>
    <row r="426" spans="1:9" ht="15" thickBot="1" x14ac:dyDescent="0.35">
      <c r="A426" s="1" t="str">
        <f t="shared" si="12"/>
        <v>15/04/2015</v>
      </c>
      <c r="B426" s="5">
        <f t="shared" si="13"/>
        <v>4245.1899999999996</v>
      </c>
      <c r="F426" s="210" t="s">
        <v>474</v>
      </c>
      <c r="G426" s="211"/>
      <c r="H426" s="212">
        <v>4245.1899999999996</v>
      </c>
      <c r="I426" s="213"/>
    </row>
    <row r="427" spans="1:9" ht="15" thickBot="1" x14ac:dyDescent="0.35">
      <c r="A427" s="1" t="str">
        <f t="shared" si="12"/>
        <v>15/05/2015</v>
      </c>
      <c r="B427" s="5">
        <f t="shared" si="13"/>
        <v>4276.6000000000004</v>
      </c>
      <c r="F427" s="202" t="s">
        <v>475</v>
      </c>
      <c r="G427" s="203"/>
      <c r="H427" s="204">
        <v>4276.6000000000004</v>
      </c>
      <c r="I427" s="205"/>
    </row>
    <row r="428" spans="1:9" ht="15" thickBot="1" x14ac:dyDescent="0.35">
      <c r="A428" s="1" t="str">
        <f t="shared" si="12"/>
        <v>15/06/2015</v>
      </c>
      <c r="B428" s="5">
        <f t="shared" si="13"/>
        <v>4310.3900000000003</v>
      </c>
      <c r="F428" s="210" t="s">
        <v>476</v>
      </c>
      <c r="G428" s="211"/>
      <c r="H428" s="212">
        <v>4310.3900000000003</v>
      </c>
      <c r="I428" s="213"/>
    </row>
    <row r="429" spans="1:9" ht="15" thickBot="1" x14ac:dyDescent="0.35">
      <c r="A429" s="1" t="str">
        <f t="shared" si="12"/>
        <v>15/07/2015</v>
      </c>
      <c r="B429" s="5">
        <f t="shared" si="13"/>
        <v>4337.1099999999997</v>
      </c>
      <c r="F429" s="202" t="s">
        <v>477</v>
      </c>
      <c r="G429" s="203"/>
      <c r="H429" s="204">
        <v>4337.1099999999997</v>
      </c>
      <c r="I429" s="205"/>
    </row>
    <row r="430" spans="1:9" ht="15" thickBot="1" x14ac:dyDescent="0.35">
      <c r="A430" s="1" t="str">
        <f t="shared" si="12"/>
        <v>15/08/2015</v>
      </c>
      <c r="B430" s="5">
        <f t="shared" si="13"/>
        <v>4346.6499999999996</v>
      </c>
      <c r="F430" s="210" t="s">
        <v>478</v>
      </c>
      <c r="G430" s="211"/>
      <c r="H430" s="212">
        <v>4346.6499999999996</v>
      </c>
      <c r="I430" s="213"/>
    </row>
    <row r="431" spans="1:9" ht="15" thickBot="1" x14ac:dyDescent="0.35">
      <c r="A431" s="1" t="str">
        <f t="shared" si="12"/>
        <v>15/09/2015</v>
      </c>
      <c r="B431" s="5">
        <f t="shared" si="13"/>
        <v>4370.12</v>
      </c>
      <c r="F431" s="202" t="s">
        <v>479</v>
      </c>
      <c r="G431" s="203"/>
      <c r="H431" s="204">
        <v>4370.12</v>
      </c>
      <c r="I431" s="205"/>
    </row>
    <row r="432" spans="1:9" ht="15" thickBot="1" x14ac:dyDescent="0.35">
      <c r="A432" s="1" t="str">
        <f t="shared" si="12"/>
        <v>15/10/2015</v>
      </c>
      <c r="B432" s="5">
        <f t="shared" si="13"/>
        <v>4405.95</v>
      </c>
      <c r="F432" s="210" t="s">
        <v>480</v>
      </c>
      <c r="G432" s="211"/>
      <c r="H432" s="212">
        <v>4405.95</v>
      </c>
      <c r="I432" s="213"/>
    </row>
    <row r="433" spans="1:9" ht="15" thickBot="1" x14ac:dyDescent="0.35">
      <c r="A433" s="1" t="str">
        <f t="shared" si="12"/>
        <v>15/11/2015</v>
      </c>
      <c r="B433" s="5">
        <f t="shared" si="13"/>
        <v>4450.45</v>
      </c>
      <c r="F433" s="202" t="s">
        <v>481</v>
      </c>
      <c r="G433" s="203"/>
      <c r="H433" s="204">
        <v>4450.45</v>
      </c>
      <c r="I433" s="205"/>
    </row>
    <row r="434" spans="1:9" ht="15" thickBot="1" x14ac:dyDescent="0.35">
      <c r="A434" s="1" t="str">
        <f t="shared" si="12"/>
        <v>15/12/2015</v>
      </c>
      <c r="B434" s="5">
        <f t="shared" si="13"/>
        <v>4493.17</v>
      </c>
      <c r="F434" s="210" t="s">
        <v>482</v>
      </c>
      <c r="G434" s="211"/>
      <c r="H434" s="212">
        <v>4493.17</v>
      </c>
      <c r="I434" s="213"/>
    </row>
    <row r="435" spans="1:9" ht="15" thickBot="1" x14ac:dyDescent="0.35">
      <c r="A435" s="1" t="str">
        <f t="shared" si="12"/>
        <v>15/01/2016</v>
      </c>
      <c r="B435" s="5">
        <f t="shared" si="13"/>
        <v>4550.2299999999996</v>
      </c>
      <c r="F435" s="202" t="s">
        <v>483</v>
      </c>
      <c r="G435" s="203"/>
      <c r="H435" s="204">
        <v>4550.2299999999996</v>
      </c>
      <c r="I435" s="205"/>
    </row>
    <row r="436" spans="1:9" ht="15" thickBot="1" x14ac:dyDescent="0.35">
      <c r="A436" s="1" t="str">
        <f t="shared" si="12"/>
        <v>15/02/2016</v>
      </c>
      <c r="B436" s="5">
        <f t="shared" si="13"/>
        <v>4591.18</v>
      </c>
      <c r="F436" s="210" t="s">
        <v>484</v>
      </c>
      <c r="G436" s="211"/>
      <c r="H436" s="212">
        <v>4591.18</v>
      </c>
      <c r="I436" s="213"/>
    </row>
    <row r="437" spans="1:9" ht="15" thickBot="1" x14ac:dyDescent="0.35">
      <c r="A437" s="1" t="str">
        <f t="shared" si="12"/>
        <v>15/03/2016</v>
      </c>
      <c r="B437" s="5">
        <f t="shared" si="13"/>
        <v>4610.92</v>
      </c>
      <c r="F437" s="202" t="s">
        <v>485</v>
      </c>
      <c r="G437" s="203"/>
      <c r="H437" s="204">
        <v>4610.92</v>
      </c>
      <c r="I437" s="205"/>
    </row>
    <row r="438" spans="1:9" ht="15" thickBot="1" x14ac:dyDescent="0.35">
      <c r="A438" s="1" t="str">
        <f t="shared" si="12"/>
        <v>15/04/2016</v>
      </c>
      <c r="B438" s="5">
        <f t="shared" si="13"/>
        <v>4639.05</v>
      </c>
      <c r="F438" s="210" t="s">
        <v>486</v>
      </c>
      <c r="G438" s="211"/>
      <c r="H438" s="212">
        <v>4639.05</v>
      </c>
      <c r="I438" s="213"/>
    </row>
    <row r="439" spans="1:9" ht="15" thickBot="1" x14ac:dyDescent="0.35">
      <c r="A439" s="1" t="str">
        <f t="shared" si="12"/>
        <v>15/05/2016</v>
      </c>
      <c r="B439" s="5">
        <f t="shared" si="13"/>
        <v>4675.2299999999996</v>
      </c>
      <c r="F439" s="202" t="s">
        <v>487</v>
      </c>
      <c r="G439" s="203"/>
      <c r="H439" s="204">
        <v>4675.2299999999996</v>
      </c>
      <c r="I439" s="205"/>
    </row>
    <row r="440" spans="1:9" ht="15" thickBot="1" x14ac:dyDescent="0.35">
      <c r="A440" s="1" t="str">
        <f t="shared" si="12"/>
        <v>15/06/2016</v>
      </c>
      <c r="B440" s="5">
        <f t="shared" si="13"/>
        <v>4691.59</v>
      </c>
      <c r="F440" s="210" t="s">
        <v>488</v>
      </c>
      <c r="G440" s="211"/>
      <c r="H440" s="212">
        <v>4691.59</v>
      </c>
      <c r="I440" s="213"/>
    </row>
    <row r="441" spans="1:9" ht="15" thickBot="1" x14ac:dyDescent="0.35">
      <c r="A441" s="1" t="str">
        <f t="shared" si="12"/>
        <v>15/07/2016</v>
      </c>
      <c r="B441" s="5">
        <f t="shared" si="13"/>
        <v>4715.99</v>
      </c>
      <c r="F441" s="202" t="s">
        <v>489</v>
      </c>
      <c r="G441" s="203"/>
      <c r="H441" s="204">
        <v>4715.99</v>
      </c>
      <c r="I441" s="205"/>
    </row>
    <row r="442" spans="1:9" ht="15" thickBot="1" x14ac:dyDescent="0.35">
      <c r="A442" s="1" t="str">
        <f t="shared" si="12"/>
        <v>15/08/2016</v>
      </c>
      <c r="B442" s="5">
        <f t="shared" si="13"/>
        <v>4736.74</v>
      </c>
      <c r="F442" s="210" t="s">
        <v>490</v>
      </c>
      <c r="G442" s="211"/>
      <c r="H442" s="212">
        <v>4736.74</v>
      </c>
      <c r="I442" s="213"/>
    </row>
    <row r="443" spans="1:9" ht="15" thickBot="1" x14ac:dyDescent="0.35">
      <c r="A443" s="1" t="str">
        <f t="shared" si="12"/>
        <v>15/09/2016</v>
      </c>
      <c r="B443" s="5">
        <f t="shared" si="13"/>
        <v>4740.53</v>
      </c>
      <c r="F443" s="202" t="s">
        <v>491</v>
      </c>
      <c r="G443" s="203"/>
      <c r="H443" s="204">
        <v>4740.53</v>
      </c>
      <c r="I443" s="205"/>
    </row>
    <row r="444" spans="1:9" ht="15" thickBot="1" x14ac:dyDescent="0.35">
      <c r="A444" s="1" t="str">
        <f t="shared" si="12"/>
        <v>15/10/2016</v>
      </c>
      <c r="B444" s="5">
        <f t="shared" si="13"/>
        <v>4752.8599999999997</v>
      </c>
      <c r="F444" s="210" t="s">
        <v>492</v>
      </c>
      <c r="G444" s="211"/>
      <c r="H444" s="212">
        <v>4752.8599999999997</v>
      </c>
      <c r="I444" s="213"/>
    </row>
    <row r="445" spans="1:9" ht="15" thickBot="1" x14ac:dyDescent="0.35">
      <c r="A445" s="1" t="str">
        <f t="shared" si="12"/>
        <v>15/11/2016</v>
      </c>
      <c r="B445" s="5">
        <f t="shared" si="13"/>
        <v>4761.42</v>
      </c>
      <c r="F445" s="202" t="s">
        <v>493</v>
      </c>
      <c r="G445" s="203"/>
      <c r="H445" s="204">
        <v>4761.42</v>
      </c>
      <c r="I445" s="205"/>
    </row>
    <row r="446" spans="1:9" ht="15" thickBot="1" x14ac:dyDescent="0.35">
      <c r="A446" s="1" t="str">
        <f t="shared" si="12"/>
        <v>15/12/2016</v>
      </c>
      <c r="B446" s="5">
        <f t="shared" si="13"/>
        <v>4775.7</v>
      </c>
      <c r="F446" s="210" t="s">
        <v>494</v>
      </c>
      <c r="G446" s="211"/>
      <c r="H446" s="212">
        <v>4775.7</v>
      </c>
      <c r="I446" s="213"/>
    </row>
    <row r="447" spans="1:9" ht="15" thickBot="1" x14ac:dyDescent="0.35">
      <c r="A447" s="1" t="str">
        <f t="shared" si="12"/>
        <v>15/01/2017</v>
      </c>
      <c r="B447" s="5">
        <f t="shared" si="13"/>
        <v>4793.8500000000004</v>
      </c>
      <c r="F447" s="202" t="s">
        <v>495</v>
      </c>
      <c r="G447" s="203"/>
      <c r="H447" s="204">
        <v>4793.8500000000004</v>
      </c>
      <c r="I447" s="205"/>
    </row>
    <row r="448" spans="1:9" ht="15" thickBot="1" x14ac:dyDescent="0.35">
      <c r="A448" s="1" t="str">
        <f t="shared" si="12"/>
        <v>15/02/2017</v>
      </c>
      <c r="B448" s="5">
        <f t="shared" si="13"/>
        <v>4809.67</v>
      </c>
      <c r="F448" s="210" t="s">
        <v>496</v>
      </c>
      <c r="G448" s="211"/>
      <c r="H448" s="212">
        <v>4809.67</v>
      </c>
      <c r="I448" s="213"/>
    </row>
    <row r="449" spans="1:9" ht="15" thickBot="1" x14ac:dyDescent="0.35">
      <c r="A449" s="1" t="str">
        <f t="shared" si="12"/>
        <v>15/03/2017</v>
      </c>
      <c r="B449" s="5">
        <f t="shared" si="13"/>
        <v>4821.6899999999996</v>
      </c>
      <c r="F449" s="202" t="s">
        <v>497</v>
      </c>
      <c r="G449" s="203"/>
      <c r="H449" s="204">
        <v>4821.6899999999996</v>
      </c>
      <c r="I449" s="205"/>
    </row>
    <row r="450" spans="1:9" ht="15" thickBot="1" x14ac:dyDescent="0.35">
      <c r="A450" s="1" t="str">
        <f t="shared" si="12"/>
        <v>15/04/2017</v>
      </c>
      <c r="B450" s="5">
        <f t="shared" si="13"/>
        <v>4828.4399999999996</v>
      </c>
      <c r="F450" s="210" t="s">
        <v>498</v>
      </c>
      <c r="G450" s="211"/>
      <c r="H450" s="212">
        <v>4828.4399999999996</v>
      </c>
      <c r="I450" s="213"/>
    </row>
    <row r="451" spans="1:9" ht="15" thickBot="1" x14ac:dyDescent="0.35">
      <c r="A451" s="1" t="str">
        <f t="shared" ref="A451:A514" si="14">"15/"&amp;RIGHT(F451,2)&amp;"/"&amp;LEFT(F451,4)</f>
        <v>15/05/2017</v>
      </c>
      <c r="B451" s="5">
        <f t="shared" ref="B451:B514" si="15">H451</f>
        <v>4843.41</v>
      </c>
      <c r="F451" s="202" t="s">
        <v>499</v>
      </c>
      <c r="G451" s="203"/>
      <c r="H451" s="204">
        <v>4843.41</v>
      </c>
      <c r="I451" s="205"/>
    </row>
    <row r="452" spans="1:9" ht="15" thickBot="1" x14ac:dyDescent="0.35">
      <c r="A452" s="1" t="str">
        <f t="shared" si="14"/>
        <v>15/06/2017</v>
      </c>
      <c r="B452" s="5">
        <f t="shared" si="15"/>
        <v>4832.2700000000004</v>
      </c>
      <c r="F452" s="210" t="s">
        <v>500</v>
      </c>
      <c r="G452" s="211"/>
      <c r="H452" s="212">
        <v>4832.2700000000004</v>
      </c>
      <c r="I452" s="213"/>
    </row>
    <row r="453" spans="1:9" ht="15" thickBot="1" x14ac:dyDescent="0.35">
      <c r="A453" s="1" t="str">
        <f t="shared" si="14"/>
        <v>15/07/2017</v>
      </c>
      <c r="B453" s="5">
        <f t="shared" si="15"/>
        <v>4843.87</v>
      </c>
      <c r="F453" s="202" t="s">
        <v>501</v>
      </c>
      <c r="G453" s="203"/>
      <c r="H453" s="204">
        <v>4843.87</v>
      </c>
      <c r="I453" s="205"/>
    </row>
    <row r="454" spans="1:9" ht="15" thickBot="1" x14ac:dyDescent="0.35">
      <c r="A454" s="1" t="str">
        <f t="shared" si="14"/>
        <v>15/08/2017</v>
      </c>
      <c r="B454" s="5">
        <f t="shared" si="15"/>
        <v>4853.07</v>
      </c>
      <c r="F454" s="210" t="s">
        <v>502</v>
      </c>
      <c r="G454" s="211"/>
      <c r="H454" s="212">
        <v>4853.07</v>
      </c>
      <c r="I454" s="213"/>
    </row>
    <row r="455" spans="1:9" ht="15" thickBot="1" x14ac:dyDescent="0.35">
      <c r="A455" s="1" t="str">
        <f t="shared" si="14"/>
        <v>15/09/2017</v>
      </c>
      <c r="B455" s="5">
        <f t="shared" si="15"/>
        <v>4860.83</v>
      </c>
      <c r="F455" s="202" t="s">
        <v>503</v>
      </c>
      <c r="G455" s="203"/>
      <c r="H455" s="204">
        <v>4860.83</v>
      </c>
      <c r="I455" s="205"/>
    </row>
    <row r="456" spans="1:9" ht="15" thickBot="1" x14ac:dyDescent="0.35">
      <c r="A456" s="1" t="str">
        <f t="shared" si="14"/>
        <v>15/10/2017</v>
      </c>
      <c r="B456" s="5">
        <f t="shared" si="15"/>
        <v>4881.25</v>
      </c>
      <c r="F456" s="210" t="s">
        <v>504</v>
      </c>
      <c r="G456" s="211"/>
      <c r="H456" s="212">
        <v>4881.25</v>
      </c>
      <c r="I456" s="213"/>
    </row>
    <row r="457" spans="1:9" ht="15" thickBot="1" x14ac:dyDescent="0.35">
      <c r="A457" s="1" t="str">
        <f t="shared" si="14"/>
        <v>15/11/2017</v>
      </c>
      <c r="B457" s="5">
        <f t="shared" si="15"/>
        <v>4894.92</v>
      </c>
      <c r="F457" s="202" t="s">
        <v>505</v>
      </c>
      <c r="G457" s="203"/>
      <c r="H457" s="204">
        <v>4894.92</v>
      </c>
      <c r="I457" s="205"/>
    </row>
    <row r="458" spans="1:9" ht="15" thickBot="1" x14ac:dyDescent="0.35">
      <c r="A458" s="1" t="str">
        <f t="shared" si="14"/>
        <v>15/12/2017</v>
      </c>
      <c r="B458" s="5">
        <f t="shared" si="15"/>
        <v>4916.46</v>
      </c>
      <c r="F458" s="210" t="s">
        <v>506</v>
      </c>
      <c r="G458" s="211"/>
      <c r="H458" s="212">
        <v>4916.46</v>
      </c>
      <c r="I458" s="213"/>
    </row>
    <row r="459" spans="1:9" ht="15" thickBot="1" x14ac:dyDescent="0.35">
      <c r="A459" s="1" t="str">
        <f t="shared" si="14"/>
        <v>15/01/2018</v>
      </c>
      <c r="B459" s="5">
        <f t="shared" si="15"/>
        <v>4930.72</v>
      </c>
      <c r="F459" s="202" t="s">
        <v>507</v>
      </c>
      <c r="G459" s="203"/>
      <c r="H459" s="204">
        <v>4930.72</v>
      </c>
      <c r="I459" s="205"/>
    </row>
    <row r="460" spans="1:9" ht="15" thickBot="1" x14ac:dyDescent="0.35">
      <c r="A460" s="1" t="str">
        <f t="shared" si="14"/>
        <v>15/02/2018</v>
      </c>
      <c r="B460" s="5">
        <f t="shared" si="15"/>
        <v>4946.5</v>
      </c>
      <c r="F460" s="210" t="s">
        <v>508</v>
      </c>
      <c r="G460" s="211"/>
      <c r="H460" s="212">
        <v>4946.5</v>
      </c>
      <c r="I460" s="213"/>
    </row>
    <row r="461" spans="1:9" ht="15" thickBot="1" x14ac:dyDescent="0.35">
      <c r="A461" s="1" t="str">
        <f t="shared" si="14"/>
        <v>15/03/2018</v>
      </c>
      <c r="B461" s="5">
        <f t="shared" si="15"/>
        <v>4950.95</v>
      </c>
      <c r="F461" s="202" t="s">
        <v>509</v>
      </c>
      <c r="G461" s="203"/>
      <c r="H461" s="204">
        <v>4950.95</v>
      </c>
      <c r="I461" s="205"/>
    </row>
    <row r="462" spans="1:9" ht="15" thickBot="1" x14ac:dyDescent="0.35">
      <c r="A462" s="1" t="str">
        <f t="shared" si="14"/>
        <v>15/04/2018</v>
      </c>
      <c r="B462" s="5">
        <f t="shared" si="15"/>
        <v>4961.84</v>
      </c>
      <c r="F462" s="210" t="s">
        <v>510</v>
      </c>
      <c r="G462" s="211"/>
      <c r="H462" s="212">
        <v>4961.84</v>
      </c>
      <c r="I462" s="213"/>
    </row>
    <row r="463" spans="1:9" ht="15" thickBot="1" x14ac:dyDescent="0.35">
      <c r="A463" s="1" t="str">
        <f t="shared" si="14"/>
        <v>15/05/2018</v>
      </c>
      <c r="B463" s="5">
        <f t="shared" si="15"/>
        <v>4981.6899999999996</v>
      </c>
      <c r="F463" s="202" t="s">
        <v>511</v>
      </c>
      <c r="G463" s="203"/>
      <c r="H463" s="204">
        <v>4981.6899999999996</v>
      </c>
      <c r="I463" s="205"/>
    </row>
    <row r="464" spans="1:9" ht="15" thickBot="1" x14ac:dyDescent="0.35">
      <c r="A464" s="1" t="str">
        <f t="shared" si="14"/>
        <v>15/06/2018</v>
      </c>
      <c r="B464" s="5">
        <f t="shared" si="15"/>
        <v>5044.46</v>
      </c>
      <c r="F464" s="210" t="s">
        <v>512</v>
      </c>
      <c r="G464" s="211"/>
      <c r="H464" s="212">
        <v>5044.46</v>
      </c>
      <c r="I464" s="213"/>
    </row>
    <row r="465" spans="1:9" ht="15" thickBot="1" x14ac:dyDescent="0.35">
      <c r="A465" s="1" t="str">
        <f t="shared" si="14"/>
        <v>15/07/2018</v>
      </c>
      <c r="B465" s="5">
        <f t="shared" si="15"/>
        <v>5061.1099999999997</v>
      </c>
      <c r="F465" s="202" t="s">
        <v>513</v>
      </c>
      <c r="G465" s="203"/>
      <c r="H465" s="204">
        <v>5061.1099999999997</v>
      </c>
      <c r="I465" s="205"/>
    </row>
    <row r="466" spans="1:9" ht="15" thickBot="1" x14ac:dyDescent="0.35">
      <c r="A466" s="1" t="str">
        <f t="shared" si="14"/>
        <v>15/08/2018</v>
      </c>
      <c r="B466" s="5">
        <f t="shared" si="15"/>
        <v>5056.5600000000004</v>
      </c>
      <c r="F466" s="210" t="s">
        <v>514</v>
      </c>
      <c r="G466" s="211"/>
      <c r="H466" s="212">
        <v>5056.5600000000004</v>
      </c>
      <c r="I466" s="213"/>
    </row>
    <row r="467" spans="1:9" ht="15" thickBot="1" x14ac:dyDescent="0.35">
      <c r="A467" s="1" t="str">
        <f t="shared" si="14"/>
        <v>15/09/2018</v>
      </c>
      <c r="B467" s="5">
        <f t="shared" si="15"/>
        <v>5080.83</v>
      </c>
      <c r="F467" s="202" t="s">
        <v>515</v>
      </c>
      <c r="G467" s="203"/>
      <c r="H467" s="204">
        <v>5080.83</v>
      </c>
      <c r="I467" s="205"/>
    </row>
    <row r="468" spans="1:9" ht="15" thickBot="1" x14ac:dyDescent="0.35">
      <c r="A468" s="1" t="str">
        <f t="shared" si="14"/>
        <v>15/10/2018</v>
      </c>
      <c r="B468" s="5">
        <f t="shared" si="15"/>
        <v>5103.6899999999996</v>
      </c>
      <c r="F468" s="210" t="s">
        <v>516</v>
      </c>
      <c r="G468" s="211"/>
      <c r="H468" s="212">
        <v>5103.6899999999996</v>
      </c>
      <c r="I468" s="213"/>
    </row>
    <row r="469" spans="1:9" ht="15" thickBot="1" x14ac:dyDescent="0.35">
      <c r="A469" s="1" t="str">
        <f t="shared" si="14"/>
        <v>15/11/2018</v>
      </c>
      <c r="B469" s="5">
        <f t="shared" si="15"/>
        <v>5092.97</v>
      </c>
      <c r="F469" s="202" t="s">
        <v>517</v>
      </c>
      <c r="G469" s="203"/>
      <c r="H469" s="204">
        <v>5092.97</v>
      </c>
      <c r="I469" s="205"/>
    </row>
    <row r="470" spans="1:9" ht="15" thickBot="1" x14ac:dyDescent="0.35">
      <c r="A470" s="1" t="str">
        <f t="shared" si="14"/>
        <v>15/12/2018</v>
      </c>
      <c r="B470" s="5">
        <f t="shared" si="15"/>
        <v>5100.6099999999997</v>
      </c>
      <c r="F470" s="210" t="s">
        <v>518</v>
      </c>
      <c r="G470" s="211"/>
      <c r="H470" s="212">
        <v>5100.6099999999997</v>
      </c>
      <c r="I470" s="213"/>
    </row>
    <row r="471" spans="1:9" ht="15" thickBot="1" x14ac:dyDescent="0.35">
      <c r="A471" s="1" t="str">
        <f t="shared" si="14"/>
        <v>15/01/2019</v>
      </c>
      <c r="B471" s="5">
        <f t="shared" si="15"/>
        <v>5116.93</v>
      </c>
      <c r="F471" s="202" t="s">
        <v>519</v>
      </c>
      <c r="G471" s="203"/>
      <c r="H471" s="204">
        <v>5116.93</v>
      </c>
      <c r="I471" s="205"/>
    </row>
    <row r="472" spans="1:9" ht="15" thickBot="1" x14ac:dyDescent="0.35">
      <c r="A472" s="1" t="str">
        <f t="shared" si="14"/>
        <v>15/02/2019</v>
      </c>
      <c r="B472" s="5">
        <f t="shared" si="15"/>
        <v>5138.93</v>
      </c>
      <c r="F472" s="210" t="s">
        <v>520</v>
      </c>
      <c r="G472" s="211"/>
      <c r="H472" s="212">
        <v>5138.93</v>
      </c>
      <c r="I472" s="213"/>
    </row>
    <row r="473" spans="1:9" ht="15" thickBot="1" x14ac:dyDescent="0.35">
      <c r="A473" s="1" t="str">
        <f t="shared" si="14"/>
        <v>15/03/2019</v>
      </c>
      <c r="B473" s="5">
        <f t="shared" si="15"/>
        <v>5177.47</v>
      </c>
      <c r="F473" s="202" t="s">
        <v>521</v>
      </c>
      <c r="G473" s="203"/>
      <c r="H473" s="204">
        <v>5177.47</v>
      </c>
      <c r="I473" s="205"/>
    </row>
    <row r="474" spans="1:9" ht="15" thickBot="1" x14ac:dyDescent="0.35">
      <c r="A474" s="1" t="str">
        <f t="shared" si="14"/>
        <v>15/04/2019</v>
      </c>
      <c r="B474" s="5">
        <f t="shared" si="15"/>
        <v>5206.9799999999996</v>
      </c>
      <c r="F474" s="210" t="s">
        <v>522</v>
      </c>
      <c r="G474" s="211"/>
      <c r="H474" s="212">
        <v>5206.9799999999996</v>
      </c>
      <c r="I474" s="213"/>
    </row>
    <row r="475" spans="1:9" ht="15" thickBot="1" x14ac:dyDescent="0.35">
      <c r="A475" s="1" t="str">
        <f t="shared" si="14"/>
        <v>15/05/2019</v>
      </c>
      <c r="B475" s="5">
        <f t="shared" si="15"/>
        <v>5213.75</v>
      </c>
      <c r="F475" s="202" t="s">
        <v>523</v>
      </c>
      <c r="G475" s="203"/>
      <c r="H475" s="204">
        <v>5213.75</v>
      </c>
      <c r="I475" s="205"/>
    </row>
    <row r="476" spans="1:9" ht="15" thickBot="1" x14ac:dyDescent="0.35">
      <c r="A476" s="1" t="str">
        <f t="shared" si="14"/>
        <v>15/06/2019</v>
      </c>
      <c r="B476" s="5">
        <f t="shared" si="15"/>
        <v>5214.2700000000004</v>
      </c>
      <c r="F476" s="210" t="s">
        <v>524</v>
      </c>
      <c r="G476" s="211"/>
      <c r="H476" s="212">
        <v>5214.2700000000004</v>
      </c>
      <c r="I476" s="213"/>
    </row>
    <row r="477" spans="1:9" ht="15" thickBot="1" x14ac:dyDescent="0.35">
      <c r="A477" s="1" t="str">
        <f t="shared" si="14"/>
        <v>15/07/2019</v>
      </c>
      <c r="B477" s="5">
        <f t="shared" si="15"/>
        <v>5224.18</v>
      </c>
      <c r="F477" s="202" t="s">
        <v>525</v>
      </c>
      <c r="G477" s="203"/>
      <c r="H477" s="204">
        <v>5224.18</v>
      </c>
      <c r="I477" s="205"/>
    </row>
    <row r="478" spans="1:9" ht="15" thickBot="1" x14ac:dyDescent="0.35">
      <c r="A478" s="1" t="str">
        <f t="shared" si="14"/>
        <v>15/08/2019</v>
      </c>
      <c r="B478" s="5">
        <f t="shared" si="15"/>
        <v>5229.93</v>
      </c>
      <c r="F478" s="210" t="s">
        <v>526</v>
      </c>
      <c r="G478" s="211"/>
      <c r="H478" s="212">
        <v>5229.93</v>
      </c>
      <c r="I478" s="213"/>
    </row>
    <row r="479" spans="1:9" ht="15" thickBot="1" x14ac:dyDescent="0.35">
      <c r="A479" s="1" t="str">
        <f t="shared" si="14"/>
        <v>15/09/2019</v>
      </c>
      <c r="B479" s="5">
        <f t="shared" si="15"/>
        <v>5227.84</v>
      </c>
      <c r="F479" s="202" t="s">
        <v>527</v>
      </c>
      <c r="G479" s="203"/>
      <c r="H479" s="204">
        <v>5227.84</v>
      </c>
      <c r="I479" s="205"/>
    </row>
    <row r="480" spans="1:9" ht="15" thickBot="1" x14ac:dyDescent="0.35">
      <c r="A480" s="1" t="str">
        <f t="shared" si="14"/>
        <v>15/10/2019</v>
      </c>
      <c r="B480" s="5">
        <f t="shared" si="15"/>
        <v>5233.07</v>
      </c>
      <c r="F480" s="210" t="s">
        <v>528</v>
      </c>
      <c r="G480" s="211"/>
      <c r="H480" s="212">
        <v>5233.07</v>
      </c>
      <c r="I480" s="213"/>
    </row>
    <row r="481" spans="1:9" ht="15" thickBot="1" x14ac:dyDescent="0.35">
      <c r="A481" s="1" t="str">
        <f t="shared" si="14"/>
        <v>15/11/2019</v>
      </c>
      <c r="B481" s="5">
        <f t="shared" si="15"/>
        <v>5259.76</v>
      </c>
      <c r="F481" s="202" t="s">
        <v>529</v>
      </c>
      <c r="G481" s="203"/>
      <c r="H481" s="204">
        <v>5259.76</v>
      </c>
      <c r="I481" s="205"/>
    </row>
    <row r="482" spans="1:9" ht="15" thickBot="1" x14ac:dyDescent="0.35">
      <c r="A482" s="1" t="str">
        <f t="shared" si="14"/>
        <v>15/12/2019</v>
      </c>
      <c r="B482" s="5">
        <f t="shared" si="15"/>
        <v>5320.25</v>
      </c>
      <c r="F482" s="210" t="s">
        <v>530</v>
      </c>
      <c r="G482" s="211"/>
      <c r="H482" s="212">
        <v>5320.25</v>
      </c>
      <c r="I482" s="213"/>
    </row>
    <row r="483" spans="1:9" ht="15" thickBot="1" x14ac:dyDescent="0.35">
      <c r="A483" s="1" t="str">
        <f t="shared" si="14"/>
        <v>15/01/2020</v>
      </c>
      <c r="B483" s="5">
        <f t="shared" si="15"/>
        <v>5331.42</v>
      </c>
      <c r="F483" s="202" t="s">
        <v>531</v>
      </c>
      <c r="G483" s="203"/>
      <c r="H483" s="204">
        <v>5331.42</v>
      </c>
      <c r="I483" s="205"/>
    </row>
    <row r="484" spans="1:9" ht="15" thickBot="1" x14ac:dyDescent="0.35">
      <c r="A484" s="1" t="str">
        <f t="shared" si="14"/>
        <v>15/02/2020</v>
      </c>
      <c r="B484" s="5">
        <f t="shared" si="15"/>
        <v>5344.75</v>
      </c>
      <c r="F484" s="210" t="s">
        <v>532</v>
      </c>
      <c r="G484" s="211"/>
      <c r="H484" s="212">
        <v>5344.75</v>
      </c>
      <c r="I484" s="213"/>
    </row>
    <row r="485" spans="1:9" ht="15" thickBot="1" x14ac:dyDescent="0.35">
      <c r="A485" s="1" t="str">
        <f t="shared" si="14"/>
        <v>15/03/2020</v>
      </c>
      <c r="B485" s="5">
        <f t="shared" si="15"/>
        <v>5348.49</v>
      </c>
      <c r="F485" s="202" t="s">
        <v>533</v>
      </c>
      <c r="G485" s="203"/>
      <c r="H485" s="204">
        <v>5348.49</v>
      </c>
      <c r="I485" s="205"/>
    </row>
    <row r="486" spans="1:9" ht="15" thickBot="1" x14ac:dyDescent="0.35">
      <c r="A486" s="1" t="str">
        <f t="shared" si="14"/>
        <v>15/04/2020</v>
      </c>
      <c r="B486" s="5">
        <f t="shared" si="15"/>
        <v>5331.91</v>
      </c>
      <c r="F486" s="210" t="s">
        <v>534</v>
      </c>
      <c r="G486" s="211"/>
      <c r="H486" s="212">
        <v>5331.91</v>
      </c>
      <c r="I486" s="213"/>
    </row>
    <row r="487" spans="1:9" ht="15" thickBot="1" x14ac:dyDescent="0.35">
      <c r="A487" s="1" t="str">
        <f t="shared" si="14"/>
        <v>15/05/2020</v>
      </c>
      <c r="B487" s="5">
        <f t="shared" si="15"/>
        <v>5311.65</v>
      </c>
      <c r="F487" s="202" t="s">
        <v>535</v>
      </c>
      <c r="G487" s="203"/>
      <c r="H487" s="204">
        <v>5311.65</v>
      </c>
      <c r="I487" s="205"/>
    </row>
    <row r="488" spans="1:9" ht="15" thickBot="1" x14ac:dyDescent="0.35">
      <c r="A488" s="1" t="str">
        <f t="shared" si="14"/>
        <v>15/06/2020</v>
      </c>
      <c r="B488" s="5">
        <f t="shared" si="15"/>
        <v>5325.46</v>
      </c>
      <c r="F488" s="210" t="s">
        <v>536</v>
      </c>
      <c r="G488" s="211"/>
      <c r="H488" s="212">
        <v>5325.46</v>
      </c>
      <c r="I488" s="213"/>
    </row>
    <row r="489" spans="1:9" ht="15" thickBot="1" x14ac:dyDescent="0.35">
      <c r="A489" s="1" t="str">
        <f t="shared" si="14"/>
        <v>15/07/2020</v>
      </c>
      <c r="B489" s="5">
        <f t="shared" si="15"/>
        <v>5344.63</v>
      </c>
      <c r="F489" s="202" t="s">
        <v>537</v>
      </c>
      <c r="G489" s="203"/>
      <c r="H489" s="204">
        <v>5344.63</v>
      </c>
      <c r="I489" s="205"/>
    </row>
    <row r="490" spans="1:9" ht="15" thickBot="1" x14ac:dyDescent="0.35">
      <c r="A490" s="1" t="str">
        <f t="shared" si="14"/>
        <v>15/08/2020</v>
      </c>
      <c r="B490" s="5">
        <f t="shared" si="15"/>
        <v>5357.46</v>
      </c>
      <c r="F490" s="210" t="s">
        <v>538</v>
      </c>
      <c r="G490" s="211"/>
      <c r="H490" s="212">
        <v>5357.46</v>
      </c>
      <c r="I490" s="213"/>
    </row>
    <row r="491" spans="1:9" ht="15" thickBot="1" x14ac:dyDescent="0.35">
      <c r="A491" s="1" t="str">
        <f t="shared" si="14"/>
        <v>15/09/2020</v>
      </c>
      <c r="B491" s="5">
        <f t="shared" si="15"/>
        <v>5391.75</v>
      </c>
      <c r="F491" s="202" t="s">
        <v>539</v>
      </c>
      <c r="G491" s="203"/>
      <c r="H491" s="204">
        <v>5391.75</v>
      </c>
      <c r="I491" s="205"/>
    </row>
    <row r="492" spans="1:9" ht="15" thickBot="1" x14ac:dyDescent="0.35">
      <c r="A492" s="1" t="str">
        <f t="shared" si="14"/>
        <v>15/10/2020</v>
      </c>
      <c r="B492" s="5">
        <f t="shared" si="15"/>
        <v>5438.12</v>
      </c>
      <c r="F492" s="210" t="s">
        <v>540</v>
      </c>
      <c r="G492" s="211"/>
      <c r="H492" s="212">
        <v>5438.12</v>
      </c>
      <c r="I492" s="213"/>
    </row>
    <row r="493" spans="1:9" ht="15" thickBot="1" x14ac:dyDescent="0.35">
      <c r="A493" s="1" t="str">
        <f t="shared" si="14"/>
        <v>15/11/2020</v>
      </c>
      <c r="B493" s="5">
        <f t="shared" si="15"/>
        <v>5486.52</v>
      </c>
      <c r="F493" s="202" t="s">
        <v>541</v>
      </c>
      <c r="G493" s="203"/>
      <c r="H493" s="204">
        <v>5486.52</v>
      </c>
      <c r="I493" s="205"/>
    </row>
    <row r="494" spans="1:9" ht="15" thickBot="1" x14ac:dyDescent="0.35">
      <c r="A494" s="1" t="str">
        <f t="shared" si="14"/>
        <v>15/12/2020</v>
      </c>
      <c r="B494" s="5">
        <f t="shared" si="15"/>
        <v>5560.59</v>
      </c>
      <c r="F494" s="210" t="s">
        <v>542</v>
      </c>
      <c r="G494" s="211"/>
      <c r="H494" s="212">
        <v>5560.59</v>
      </c>
      <c r="I494" s="213"/>
    </row>
    <row r="495" spans="1:9" ht="15" thickBot="1" x14ac:dyDescent="0.35">
      <c r="A495" s="1" t="str">
        <f t="shared" si="14"/>
        <v>15/01/2021</v>
      </c>
      <c r="B495" s="5">
        <f t="shared" si="15"/>
        <v>5574.49</v>
      </c>
      <c r="F495" s="202" t="s">
        <v>543</v>
      </c>
      <c r="G495" s="203"/>
      <c r="H495" s="204">
        <v>5574.49</v>
      </c>
      <c r="I495" s="205"/>
    </row>
    <row r="496" spans="1:9" ht="15" thickBot="1" x14ac:dyDescent="0.35">
      <c r="A496" s="1" t="str">
        <f t="shared" si="14"/>
        <v>15/02/2021</v>
      </c>
      <c r="B496" s="5">
        <f t="shared" si="15"/>
        <v>5622.43</v>
      </c>
      <c r="F496" s="210" t="s">
        <v>544</v>
      </c>
      <c r="G496" s="211"/>
      <c r="H496" s="212">
        <v>5622.43</v>
      </c>
      <c r="I496" s="213"/>
    </row>
    <row r="497" spans="1:9" ht="15" thickBot="1" x14ac:dyDescent="0.35">
      <c r="A497" s="1" t="str">
        <f t="shared" si="14"/>
        <v>15/03/2021</v>
      </c>
      <c r="B497" s="5">
        <f t="shared" si="15"/>
        <v>5674.72</v>
      </c>
      <c r="F497" s="202" t="s">
        <v>545</v>
      </c>
      <c r="G497" s="203"/>
      <c r="H497" s="204">
        <v>5674.72</v>
      </c>
      <c r="I497" s="205"/>
    </row>
    <row r="498" spans="1:9" ht="15" thickBot="1" x14ac:dyDescent="0.35">
      <c r="A498" s="1" t="str">
        <f t="shared" si="14"/>
        <v>15/04/2021</v>
      </c>
      <c r="B498" s="5">
        <f t="shared" si="15"/>
        <v>5692.31</v>
      </c>
      <c r="F498" s="210" t="s">
        <v>546</v>
      </c>
      <c r="G498" s="211"/>
      <c r="H498" s="212">
        <v>5692.31</v>
      </c>
      <c r="I498" s="213"/>
    </row>
    <row r="499" spans="1:9" ht="15" thickBot="1" x14ac:dyDescent="0.35">
      <c r="A499" s="1" t="str">
        <f t="shared" si="14"/>
        <v>15/05/2021</v>
      </c>
      <c r="B499" s="5">
        <f t="shared" si="15"/>
        <v>5739.56</v>
      </c>
      <c r="F499" s="202" t="s">
        <v>547</v>
      </c>
      <c r="G499" s="203"/>
      <c r="H499" s="204">
        <v>5739.56</v>
      </c>
      <c r="I499" s="205"/>
    </row>
    <row r="500" spans="1:9" ht="15" thickBot="1" x14ac:dyDescent="0.35">
      <c r="A500" s="1" t="str">
        <f t="shared" si="14"/>
        <v>15/06/2021</v>
      </c>
      <c r="B500" s="5">
        <f t="shared" si="15"/>
        <v>5769.98</v>
      </c>
      <c r="F500" s="210" t="s">
        <v>548</v>
      </c>
      <c r="G500" s="211"/>
      <c r="H500" s="212">
        <v>5769.98</v>
      </c>
      <c r="I500" s="213"/>
    </row>
    <row r="501" spans="1:9" ht="15" thickBot="1" x14ac:dyDescent="0.35">
      <c r="A501" s="1" t="str">
        <f t="shared" si="14"/>
        <v>15/07/2021</v>
      </c>
      <c r="B501" s="5">
        <f t="shared" si="15"/>
        <v>5825.37</v>
      </c>
      <c r="F501" s="202" t="s">
        <v>549</v>
      </c>
      <c r="G501" s="203"/>
      <c r="H501" s="204">
        <v>5825.37</v>
      </c>
      <c r="I501" s="205"/>
    </row>
    <row r="502" spans="1:9" ht="15" thickBot="1" x14ac:dyDescent="0.35">
      <c r="A502" s="1" t="str">
        <f t="shared" si="14"/>
        <v>15/08/2021</v>
      </c>
      <c r="B502" s="5">
        <f t="shared" si="15"/>
        <v>5876.05</v>
      </c>
      <c r="F502" s="210" t="s">
        <v>550</v>
      </c>
      <c r="G502" s="211"/>
      <c r="H502" s="212">
        <v>5876.05</v>
      </c>
      <c r="I502" s="213"/>
    </row>
    <row r="503" spans="1:9" ht="15" thickBot="1" x14ac:dyDescent="0.35">
      <c r="A503" s="1" t="str">
        <f t="shared" si="14"/>
        <v>15/09/2021</v>
      </c>
      <c r="B503" s="5">
        <f t="shared" si="15"/>
        <v>5944.21</v>
      </c>
      <c r="F503" s="202" t="s">
        <v>551</v>
      </c>
      <c r="G503" s="203"/>
      <c r="H503" s="204">
        <v>5944.21</v>
      </c>
      <c r="I503" s="205"/>
    </row>
    <row r="504" spans="1:9" ht="15" thickBot="1" x14ac:dyDescent="0.35">
      <c r="A504" s="1" t="str">
        <f t="shared" si="14"/>
        <v>15/10/2021</v>
      </c>
      <c r="B504" s="5">
        <f t="shared" si="15"/>
        <v>6018.51</v>
      </c>
      <c r="F504" s="210" t="s">
        <v>552</v>
      </c>
      <c r="G504" s="211"/>
      <c r="H504" s="212">
        <v>6018.51</v>
      </c>
      <c r="I504" s="213"/>
    </row>
    <row r="505" spans="1:9" ht="15" thickBot="1" x14ac:dyDescent="0.35">
      <c r="A505" s="1" t="str">
        <f t="shared" si="14"/>
        <v>15/11/2021</v>
      </c>
      <c r="B505" s="5">
        <f t="shared" si="15"/>
        <v>6075.69</v>
      </c>
      <c r="F505" s="202" t="s">
        <v>553</v>
      </c>
      <c r="G505" s="203"/>
      <c r="H505" s="204">
        <v>6075.69</v>
      </c>
      <c r="I505" s="205"/>
    </row>
    <row r="506" spans="1:9" ht="15" thickBot="1" x14ac:dyDescent="0.35">
      <c r="A506" s="1" t="str">
        <f t="shared" si="14"/>
        <v>15/12/2021</v>
      </c>
      <c r="B506" s="5">
        <f t="shared" si="15"/>
        <v>6120.04</v>
      </c>
      <c r="F506" s="210" t="s">
        <v>554</v>
      </c>
      <c r="G506" s="211"/>
      <c r="H506" s="212">
        <v>6120.04</v>
      </c>
      <c r="I506" s="213"/>
    </row>
    <row r="507" spans="1:9" ht="15" thickBot="1" x14ac:dyDescent="0.35">
      <c r="A507" s="1" t="str">
        <f t="shared" si="14"/>
        <v>15/01/2022</v>
      </c>
      <c r="B507" s="5">
        <f t="shared" si="15"/>
        <v>6153.09</v>
      </c>
      <c r="F507" s="202" t="s">
        <v>555</v>
      </c>
      <c r="G507" s="203"/>
      <c r="H507" s="204">
        <v>6153.09</v>
      </c>
      <c r="I507" s="205"/>
    </row>
    <row r="508" spans="1:9" ht="15" thickBot="1" x14ac:dyDescent="0.35">
      <c r="A508" s="1" t="str">
        <f t="shared" si="14"/>
        <v>15/02/2022</v>
      </c>
      <c r="B508" s="5">
        <f t="shared" si="15"/>
        <v>6215.24</v>
      </c>
      <c r="F508" s="210" t="s">
        <v>556</v>
      </c>
      <c r="G508" s="211"/>
      <c r="H508" s="212">
        <v>6215.24</v>
      </c>
      <c r="I508" s="213"/>
    </row>
    <row r="509" spans="1:9" ht="15" thickBot="1" x14ac:dyDescent="0.35">
      <c r="A509" s="1" t="str">
        <f t="shared" si="14"/>
        <v>15/03/2022</v>
      </c>
      <c r="B509" s="5">
        <f t="shared" si="15"/>
        <v>6315.93</v>
      </c>
      <c r="F509" s="202" t="s">
        <v>557</v>
      </c>
      <c r="G509" s="203"/>
      <c r="H509" s="204">
        <v>6315.93</v>
      </c>
      <c r="I509" s="205"/>
    </row>
    <row r="510" spans="1:9" ht="15" thickBot="1" x14ac:dyDescent="0.35">
      <c r="A510" s="1" t="str">
        <f t="shared" si="14"/>
        <v>15/04/2022</v>
      </c>
      <c r="B510" s="5">
        <f t="shared" si="15"/>
        <v>6382.88</v>
      </c>
      <c r="F510" s="210" t="s">
        <v>558</v>
      </c>
      <c r="G510" s="211"/>
      <c r="H510" s="212">
        <v>6382.88</v>
      </c>
      <c r="I510" s="213"/>
    </row>
    <row r="511" spans="1:9" ht="15" thickBot="1" x14ac:dyDescent="0.35">
      <c r="A511" s="1" t="str">
        <f t="shared" si="14"/>
        <v>15/05/2022</v>
      </c>
      <c r="B511" s="5">
        <f t="shared" si="15"/>
        <v>6412.88</v>
      </c>
      <c r="F511" s="202" t="s">
        <v>559</v>
      </c>
      <c r="G511" s="203"/>
      <c r="H511" s="204">
        <v>6412.88</v>
      </c>
      <c r="I511" s="205"/>
    </row>
    <row r="512" spans="1:9" ht="15" thickBot="1" x14ac:dyDescent="0.35">
      <c r="A512" s="1" t="str">
        <f t="shared" si="14"/>
        <v>15/06/2022</v>
      </c>
      <c r="B512" s="5">
        <f t="shared" si="15"/>
        <v>6455.85</v>
      </c>
      <c r="F512" s="210" t="s">
        <v>560</v>
      </c>
      <c r="G512" s="211"/>
      <c r="H512" s="212">
        <v>6455.85</v>
      </c>
      <c r="I512" s="213"/>
    </row>
    <row r="513" spans="1:9" ht="15" thickBot="1" x14ac:dyDescent="0.35">
      <c r="A513" s="1" t="str">
        <f t="shared" si="14"/>
        <v>15/07/2022</v>
      </c>
      <c r="B513" s="5">
        <f t="shared" si="15"/>
        <v>6411.95</v>
      </c>
      <c r="F513" s="202" t="s">
        <v>561</v>
      </c>
      <c r="G513" s="203"/>
      <c r="H513" s="204">
        <v>6411.95</v>
      </c>
      <c r="I513" s="205"/>
    </row>
    <row r="514" spans="1:9" ht="15" thickBot="1" x14ac:dyDescent="0.35">
      <c r="A514" s="1" t="str">
        <f t="shared" si="14"/>
        <v>15/08/2022</v>
      </c>
      <c r="B514" s="5">
        <f t="shared" si="15"/>
        <v>6388.87</v>
      </c>
      <c r="F514" s="210" t="s">
        <v>562</v>
      </c>
      <c r="G514" s="211"/>
      <c r="H514" s="212">
        <v>6388.87</v>
      </c>
      <c r="I514" s="213"/>
    </row>
    <row r="515" spans="1:9" ht="15" thickBot="1" x14ac:dyDescent="0.35">
      <c r="A515" s="1" t="str">
        <f t="shared" ref="A515:A551" si="16">"15/"&amp;RIGHT(F515,2)&amp;"/"&amp;LEFT(F515,4)</f>
        <v>15/09/2022</v>
      </c>
      <c r="B515" s="5">
        <f t="shared" ref="B515:B551" si="17">H515</f>
        <v>6370.34</v>
      </c>
      <c r="F515" s="202" t="s">
        <v>563</v>
      </c>
      <c r="G515" s="203"/>
      <c r="H515" s="204">
        <v>6370.34</v>
      </c>
      <c r="I515" s="205"/>
    </row>
    <row r="516" spans="1:9" ht="15" thickBot="1" x14ac:dyDescent="0.35">
      <c r="A516" s="1" t="str">
        <f t="shared" si="16"/>
        <v>15/10/2022</v>
      </c>
      <c r="B516" s="5">
        <f t="shared" si="17"/>
        <v>6407.93</v>
      </c>
      <c r="F516" s="210" t="s">
        <v>564</v>
      </c>
      <c r="G516" s="211"/>
      <c r="H516" s="212">
        <v>6407.93</v>
      </c>
      <c r="I516" s="213"/>
    </row>
    <row r="517" spans="1:9" ht="15" thickBot="1" x14ac:dyDescent="0.35">
      <c r="A517" s="1" t="str">
        <f t="shared" si="16"/>
        <v>15/11/2022</v>
      </c>
      <c r="B517" s="5">
        <f t="shared" si="17"/>
        <v>6434.2</v>
      </c>
      <c r="F517" s="202" t="s">
        <v>565</v>
      </c>
      <c r="G517" s="203"/>
      <c r="H517" s="204">
        <v>6434.2</v>
      </c>
      <c r="I517" s="205"/>
    </row>
    <row r="518" spans="1:9" ht="15" thickBot="1" x14ac:dyDescent="0.35">
      <c r="A518" s="1" t="str">
        <f t="shared" si="16"/>
        <v>15/12/2022</v>
      </c>
      <c r="B518" s="5">
        <f t="shared" si="17"/>
        <v>6474.09</v>
      </c>
      <c r="F518" s="210" t="s">
        <v>566</v>
      </c>
      <c r="G518" s="211"/>
      <c r="H518" s="212">
        <v>6474.09</v>
      </c>
      <c r="I518" s="213"/>
    </row>
    <row r="519" spans="1:9" ht="15" thickBot="1" x14ac:dyDescent="0.35">
      <c r="A519" s="1" t="str">
        <f t="shared" si="16"/>
        <v>15/01/2023</v>
      </c>
      <c r="B519" s="5">
        <f t="shared" si="17"/>
        <v>6508.4</v>
      </c>
      <c r="F519" s="202" t="s">
        <v>567</v>
      </c>
      <c r="G519" s="203"/>
      <c r="H519" s="204">
        <v>6508.4</v>
      </c>
      <c r="I519" s="205"/>
    </row>
    <row r="520" spans="1:9" ht="15" thickBot="1" x14ac:dyDescent="0.35">
      <c r="A520" s="1" t="str">
        <f t="shared" si="16"/>
        <v>15/02/2023</v>
      </c>
      <c r="B520" s="5">
        <f t="shared" si="17"/>
        <v>6563.07</v>
      </c>
      <c r="F520" s="210" t="s">
        <v>568</v>
      </c>
      <c r="G520" s="211"/>
      <c r="H520" s="212">
        <v>6563.07</v>
      </c>
      <c r="I520" s="213"/>
    </row>
    <row r="521" spans="1:9" ht="15" thickBot="1" x14ac:dyDescent="0.35">
      <c r="A521" s="1" t="str">
        <f t="shared" si="16"/>
        <v>15/03/2023</v>
      </c>
      <c r="B521" s="5">
        <f t="shared" si="17"/>
        <v>6609.67</v>
      </c>
      <c r="F521" s="202" t="s">
        <v>569</v>
      </c>
      <c r="G521" s="203"/>
      <c r="H521" s="204">
        <v>6609.67</v>
      </c>
      <c r="I521" s="205"/>
    </row>
    <row r="522" spans="1:9" ht="15" thickBot="1" x14ac:dyDescent="0.35">
      <c r="A522" s="1" t="str">
        <f t="shared" si="16"/>
        <v>15/04/2023</v>
      </c>
      <c r="B522" s="5">
        <f t="shared" si="17"/>
        <v>6649.99</v>
      </c>
      <c r="F522" s="210" t="s">
        <v>570</v>
      </c>
      <c r="G522" s="211"/>
      <c r="H522" s="212">
        <v>6649.99</v>
      </c>
      <c r="I522" s="213"/>
    </row>
    <row r="523" spans="1:9" ht="15" thickBot="1" x14ac:dyDescent="0.35">
      <c r="A523" s="1" t="str">
        <f t="shared" si="16"/>
        <v>15/05/2023</v>
      </c>
      <c r="B523" s="5">
        <f t="shared" si="17"/>
        <v>6665.28</v>
      </c>
      <c r="F523" s="202" t="s">
        <v>571</v>
      </c>
      <c r="G523" s="203"/>
      <c r="H523" s="204">
        <v>6665.28</v>
      </c>
      <c r="I523" s="205"/>
    </row>
    <row r="524" spans="1:9" ht="15" thickBot="1" x14ac:dyDescent="0.35">
      <c r="A524" s="1" t="str">
        <f t="shared" si="16"/>
        <v>15/06/2023</v>
      </c>
      <c r="B524" s="5">
        <f t="shared" si="17"/>
        <v>6659.95</v>
      </c>
      <c r="F524" s="210" t="s">
        <v>572</v>
      </c>
      <c r="G524" s="211"/>
      <c r="H524" s="212">
        <v>6659.95</v>
      </c>
      <c r="I524" s="213"/>
    </row>
    <row r="525" spans="1:9" ht="15" thickBot="1" x14ac:dyDescent="0.35">
      <c r="A525" s="1" t="str">
        <f t="shared" si="16"/>
        <v>15/07/2023</v>
      </c>
      <c r="B525" s="5">
        <f t="shared" si="17"/>
        <v>6667.94</v>
      </c>
      <c r="F525" s="202" t="s">
        <v>573</v>
      </c>
      <c r="G525" s="203"/>
      <c r="H525" s="204">
        <v>6667.94</v>
      </c>
      <c r="I525" s="205"/>
    </row>
    <row r="526" spans="1:9" ht="15" thickBot="1" x14ac:dyDescent="0.35">
      <c r="A526" s="1" t="str">
        <f t="shared" si="16"/>
        <v>15/08/2023</v>
      </c>
      <c r="B526" s="5">
        <f t="shared" si="17"/>
        <v>6683.28</v>
      </c>
      <c r="F526" s="210" t="s">
        <v>574</v>
      </c>
      <c r="G526" s="211"/>
      <c r="H526" s="212">
        <v>6683.28</v>
      </c>
      <c r="I526" s="213"/>
    </row>
    <row r="527" spans="1:9" ht="15" thickBot="1" x14ac:dyDescent="0.35">
      <c r="A527" s="1" t="str">
        <f t="shared" si="16"/>
        <v>15/09/2023</v>
      </c>
      <c r="B527" s="5">
        <f t="shared" si="17"/>
        <v>6700.66</v>
      </c>
      <c r="F527" s="202" t="s">
        <v>575</v>
      </c>
      <c r="G527" s="203"/>
      <c r="H527" s="204">
        <v>6700.66</v>
      </c>
      <c r="I527" s="205"/>
    </row>
    <row r="528" spans="1:9" ht="15" thickBot="1" x14ac:dyDescent="0.35">
      <c r="A528" s="1" t="str">
        <f t="shared" si="16"/>
        <v>15/10/2023</v>
      </c>
      <c r="B528" s="5">
        <f t="shared" si="17"/>
        <v>6716.74</v>
      </c>
      <c r="F528" s="210" t="s">
        <v>576</v>
      </c>
      <c r="G528" s="211"/>
      <c r="H528" s="212">
        <v>6716.74</v>
      </c>
      <c r="I528" s="213"/>
    </row>
    <row r="529" spans="1:9" ht="15" thickBot="1" x14ac:dyDescent="0.35">
      <c r="A529" s="1" t="str">
        <f t="shared" si="16"/>
        <v>15/11/2023</v>
      </c>
      <c r="B529" s="5">
        <f t="shared" si="17"/>
        <v>6735.55</v>
      </c>
      <c r="F529" s="202" t="s">
        <v>577</v>
      </c>
      <c r="G529" s="203"/>
      <c r="H529" s="204">
        <v>6735.55</v>
      </c>
      <c r="I529" s="205"/>
    </row>
    <row r="530" spans="1:9" ht="15" thickBot="1" x14ac:dyDescent="0.35">
      <c r="A530" s="1" t="str">
        <f t="shared" si="16"/>
        <v>15/12/2023</v>
      </c>
      <c r="B530" s="5">
        <f t="shared" si="17"/>
        <v>6773.27</v>
      </c>
      <c r="F530" s="210" t="s">
        <v>578</v>
      </c>
      <c r="G530" s="211"/>
      <c r="H530" s="212">
        <v>6773.27</v>
      </c>
      <c r="I530" s="213"/>
    </row>
    <row r="531" spans="1:9" ht="15" thickBot="1" x14ac:dyDescent="0.35">
      <c r="A531" s="1" t="str">
        <f t="shared" si="16"/>
        <v>15/01/2024</v>
      </c>
      <c r="B531" s="5">
        <f t="shared" si="17"/>
        <v>6801.72</v>
      </c>
      <c r="F531" s="202" t="s">
        <v>579</v>
      </c>
      <c r="G531" s="203"/>
      <c r="H531" s="204">
        <v>6801.72</v>
      </c>
      <c r="I531" s="205"/>
    </row>
    <row r="532" spans="1:9" ht="15" thickBot="1" x14ac:dyDescent="0.35">
      <c r="A532" s="1" t="str">
        <f t="shared" si="16"/>
        <v>15/02/2024</v>
      </c>
      <c r="B532" s="5">
        <f t="shared" si="17"/>
        <v>6858.17</v>
      </c>
      <c r="F532" s="210" t="s">
        <v>580</v>
      </c>
      <c r="G532" s="211"/>
      <c r="H532" s="212">
        <v>6858.17</v>
      </c>
      <c r="I532" s="213"/>
    </row>
    <row r="533" spans="1:9" ht="15" thickBot="1" x14ac:dyDescent="0.35">
      <c r="A533" s="1" t="str">
        <f t="shared" si="16"/>
        <v>15/03/2024</v>
      </c>
      <c r="B533" s="5">
        <f t="shared" si="17"/>
        <v>6869.14</v>
      </c>
      <c r="F533" s="202" t="s">
        <v>581</v>
      </c>
      <c r="G533" s="203"/>
      <c r="H533" s="204">
        <v>6869.14</v>
      </c>
      <c r="I533" s="205"/>
    </row>
    <row r="534" spans="1:9" ht="15" thickBot="1" x14ac:dyDescent="0.35">
      <c r="A534" s="1" t="str">
        <f t="shared" si="16"/>
        <v>15/04/2024</v>
      </c>
      <c r="B534" s="5">
        <f t="shared" si="17"/>
        <v>6895.24</v>
      </c>
      <c r="F534" s="210" t="s">
        <v>582</v>
      </c>
      <c r="G534" s="211"/>
      <c r="H534" s="212">
        <v>6895.24</v>
      </c>
      <c r="I534" s="213"/>
    </row>
    <row r="535" spans="1:9" ht="15" thickBot="1" x14ac:dyDescent="0.35">
      <c r="A535" s="1" t="str">
        <f t="shared" si="16"/>
        <v>15/05/2024</v>
      </c>
      <c r="B535" s="5">
        <f t="shared" si="17"/>
        <v>6926.96</v>
      </c>
      <c r="F535" s="202" t="s">
        <v>583</v>
      </c>
      <c r="G535" s="203"/>
      <c r="H535" s="204">
        <v>6926.96</v>
      </c>
      <c r="I535" s="205"/>
    </row>
    <row r="536" spans="1:9" ht="15" thickBot="1" x14ac:dyDescent="0.35">
      <c r="A536" s="1" t="str">
        <f t="shared" si="16"/>
        <v>15/06/2024</v>
      </c>
      <c r="B536" s="5">
        <f t="shared" si="17"/>
        <v>6941.51</v>
      </c>
      <c r="F536" s="210" t="s">
        <v>584</v>
      </c>
      <c r="G536" s="211"/>
      <c r="H536" s="212">
        <v>6941.51</v>
      </c>
      <c r="I536" s="213"/>
    </row>
    <row r="537" spans="1:9" ht="15" thickBot="1" x14ac:dyDescent="0.35">
      <c r="A537" s="1" t="str">
        <f t="shared" si="16"/>
        <v>15/07/2024</v>
      </c>
      <c r="B537" s="5">
        <f t="shared" si="17"/>
        <v>6967.89</v>
      </c>
      <c r="F537" s="202" t="s">
        <v>585</v>
      </c>
      <c r="G537" s="203"/>
      <c r="H537" s="204">
        <v>6967.89</v>
      </c>
      <c r="I537" s="205"/>
    </row>
    <row r="538" spans="1:9" ht="15" thickBot="1" x14ac:dyDescent="0.35">
      <c r="A538" s="1" t="str">
        <f t="shared" si="16"/>
        <v>15/08/2024</v>
      </c>
      <c r="B538" s="5">
        <f t="shared" si="17"/>
        <v>6966.5</v>
      </c>
      <c r="F538" s="210" t="s">
        <v>586</v>
      </c>
      <c r="G538" s="211"/>
      <c r="H538" s="212">
        <v>6966.5</v>
      </c>
      <c r="I538" s="213"/>
    </row>
    <row r="539" spans="1:9" ht="15" thickBot="1" x14ac:dyDescent="0.35">
      <c r="A539" s="1" t="str">
        <f t="shared" si="16"/>
        <v>15/09/2024</v>
      </c>
      <c r="B539" s="5">
        <f t="shared" si="17"/>
        <v>6997.15</v>
      </c>
      <c r="F539" s="202" t="s">
        <v>587</v>
      </c>
      <c r="G539" s="203"/>
      <c r="H539" s="204">
        <v>6997.15</v>
      </c>
      <c r="I539" s="205"/>
    </row>
    <row r="540" spans="1:9" ht="15" thickBot="1" x14ac:dyDescent="0.35">
      <c r="A540" s="1" t="str">
        <f t="shared" si="16"/>
        <v>15/10/2024</v>
      </c>
      <c r="B540" s="5">
        <f t="shared" si="17"/>
        <v>7036.33</v>
      </c>
      <c r="F540" s="210" t="s">
        <v>588</v>
      </c>
      <c r="G540" s="211"/>
      <c r="H540" s="212">
        <v>7036.33</v>
      </c>
      <c r="I540" s="213"/>
    </row>
    <row r="541" spans="1:9" ht="15" thickBot="1" x14ac:dyDescent="0.35">
      <c r="A541" s="1" t="str">
        <f t="shared" si="16"/>
        <v>15/11/2024</v>
      </c>
      <c r="B541" s="5">
        <f t="shared" si="17"/>
        <v>7063.77</v>
      </c>
      <c r="F541" s="202" t="s">
        <v>589</v>
      </c>
      <c r="G541" s="203"/>
      <c r="H541" s="204">
        <v>7063.77</v>
      </c>
      <c r="I541" s="205"/>
    </row>
    <row r="542" spans="1:9" ht="15" thickBot="1" x14ac:dyDescent="0.35">
      <c r="A542" s="1" t="str">
        <f t="shared" si="16"/>
        <v>15/12/2024</v>
      </c>
      <c r="B542" s="5">
        <f t="shared" si="17"/>
        <v>7100.5</v>
      </c>
      <c r="F542" s="210" t="s">
        <v>590</v>
      </c>
      <c r="G542" s="211"/>
      <c r="H542" s="212">
        <v>7100.5</v>
      </c>
      <c r="I542" s="213"/>
    </row>
    <row r="543" spans="1:9" ht="15" thickBot="1" x14ac:dyDescent="0.35">
      <c r="A543" s="1" t="str">
        <f t="shared" si="16"/>
        <v>15/01/2025</v>
      </c>
      <c r="B543" s="5">
        <f t="shared" si="17"/>
        <v>7111.86</v>
      </c>
      <c r="F543" s="202" t="s">
        <v>591</v>
      </c>
      <c r="G543" s="203"/>
      <c r="H543" s="204">
        <v>7111.86</v>
      </c>
      <c r="I543" s="205"/>
    </row>
    <row r="544" spans="1:9" ht="15" thickBot="1" x14ac:dyDescent="0.35">
      <c r="A544" s="1" t="str">
        <f t="shared" si="16"/>
        <v>15/02/2025</v>
      </c>
      <c r="B544" s="5">
        <f t="shared" si="17"/>
        <v>7205.03</v>
      </c>
      <c r="F544" s="210" t="s">
        <v>592</v>
      </c>
      <c r="G544" s="211"/>
      <c r="H544" s="212">
        <v>7205.03</v>
      </c>
      <c r="I544" s="213"/>
    </row>
    <row r="545" spans="1:9" ht="15" thickBot="1" x14ac:dyDescent="0.35">
      <c r="A545" s="1" t="str">
        <f t="shared" si="16"/>
        <v>15/03/2025</v>
      </c>
      <c r="B545" s="5">
        <f t="shared" si="17"/>
        <v>7245.38</v>
      </c>
      <c r="F545" s="202" t="s">
        <v>593</v>
      </c>
      <c r="G545" s="203"/>
      <c r="H545" s="204">
        <v>7245.38</v>
      </c>
      <c r="I545" s="205"/>
    </row>
    <row r="546" spans="1:9" ht="15" thickBot="1" x14ac:dyDescent="0.35">
      <c r="A546" s="1" t="str">
        <f t="shared" si="16"/>
        <v>15/04/2025</v>
      </c>
      <c r="B546" s="5">
        <f t="shared" si="17"/>
        <v>7276.54</v>
      </c>
      <c r="F546" s="210" t="s">
        <v>594</v>
      </c>
      <c r="G546" s="211"/>
      <c r="H546" s="212">
        <v>7276.54</v>
      </c>
      <c r="I546" s="213"/>
    </row>
    <row r="547" spans="1:9" ht="15" thickBot="1" x14ac:dyDescent="0.35">
      <c r="A547" s="1" t="str">
        <f t="shared" si="16"/>
        <v>15/05/2025</v>
      </c>
      <c r="B547" s="5">
        <f t="shared" si="17"/>
        <v>7295.46</v>
      </c>
      <c r="F547" s="202" t="s">
        <v>595</v>
      </c>
      <c r="G547" s="203"/>
      <c r="H547" s="204">
        <v>7295.46</v>
      </c>
      <c r="I547" s="205"/>
    </row>
    <row r="548" spans="1:9" ht="15" thickBot="1" x14ac:dyDescent="0.35">
      <c r="A548" s="1" t="str">
        <f t="shared" si="16"/>
        <v>15/06/2025</v>
      </c>
      <c r="B548" s="5">
        <f t="shared" si="17"/>
        <v>7312.97</v>
      </c>
      <c r="F548" s="210" t="s">
        <v>596</v>
      </c>
      <c r="G548" s="211"/>
      <c r="H548" s="212">
        <v>7312.97</v>
      </c>
      <c r="I548" s="213"/>
    </row>
    <row r="549" spans="1:9" ht="15" thickBot="1" x14ac:dyDescent="0.35">
      <c r="A549" s="1" t="str">
        <f t="shared" si="16"/>
        <v>15/07/2025</v>
      </c>
      <c r="B549" s="5">
        <f t="shared" si="17"/>
        <v>7331.98</v>
      </c>
      <c r="F549" s="202" t="s">
        <v>597</v>
      </c>
      <c r="G549" s="203"/>
      <c r="H549" s="204">
        <v>7331.98</v>
      </c>
      <c r="I549" s="205"/>
    </row>
    <row r="550" spans="1:9" ht="15" thickBot="1" x14ac:dyDescent="0.35">
      <c r="A550" s="1" t="str">
        <f t="shared" si="16"/>
        <v>15/08/2025</v>
      </c>
      <c r="B550" s="5">
        <f t="shared" si="17"/>
        <v>7323.91</v>
      </c>
      <c r="F550" s="210" t="s">
        <v>598</v>
      </c>
      <c r="G550" s="211"/>
      <c r="H550" s="212">
        <v>7323.91</v>
      </c>
      <c r="I550" s="213"/>
    </row>
    <row r="551" spans="1:9" ht="15" thickBot="1" x14ac:dyDescent="0.35">
      <c r="A551" s="1" t="str">
        <f t="shared" si="16"/>
        <v>15/09/2025</v>
      </c>
      <c r="B551" s="5">
        <f t="shared" si="17"/>
        <v>7359.06</v>
      </c>
      <c r="F551" s="202" t="s">
        <v>599</v>
      </c>
      <c r="G551" s="203"/>
      <c r="H551" s="204">
        <v>7359.06</v>
      </c>
      <c r="I551" s="205"/>
    </row>
    <row r="552" spans="1:9" ht="15" thickBot="1" x14ac:dyDescent="0.35">
      <c r="A552" s="1" t="str">
        <f t="shared" ref="A552:A587" si="18">"15/"&amp;RIGHT(F552,2)&amp;"/"&amp;LEFT(F552,4)</f>
        <v>15/10/2025</v>
      </c>
      <c r="B552" s="5">
        <f>H552</f>
        <v>7365.68</v>
      </c>
      <c r="F552" s="206" t="s">
        <v>853</v>
      </c>
      <c r="G552" s="207"/>
      <c r="H552" s="208">
        <v>7365.68</v>
      </c>
      <c r="I552" s="209"/>
    </row>
    <row r="553" spans="1:9" ht="15" thickBot="1" x14ac:dyDescent="0.35">
      <c r="A553" s="1" t="str">
        <f t="shared" si="18"/>
        <v>15/11/2025</v>
      </c>
      <c r="B553" s="5">
        <f>H553</f>
        <v>7378.94</v>
      </c>
      <c r="C553"/>
      <c r="D553"/>
      <c r="F553" s="202" t="s">
        <v>854</v>
      </c>
      <c r="G553" s="203"/>
      <c r="H553" s="204">
        <v>7378.94</v>
      </c>
      <c r="I553" s="205"/>
    </row>
    <row r="554" spans="1:9" ht="15" thickBot="1" x14ac:dyDescent="0.35">
      <c r="A554" s="1" t="str">
        <f t="shared" si="18"/>
        <v>15/12/2025</v>
      </c>
      <c r="B554" s="5">
        <f t="shared" ref="B554:B587" si="19">H554</f>
        <v>7403.29</v>
      </c>
      <c r="F554" s="206" t="s">
        <v>855</v>
      </c>
      <c r="G554" s="207"/>
      <c r="H554" s="208">
        <v>7403.29</v>
      </c>
      <c r="I554" s="209"/>
    </row>
    <row r="555" spans="1:9" ht="15" thickBot="1" x14ac:dyDescent="0.35">
      <c r="A555" s="1" t="str">
        <f t="shared" si="18"/>
        <v>15/01/2026</v>
      </c>
      <c r="B555" s="5">
        <f t="shared" si="19"/>
        <v>7427.72</v>
      </c>
      <c r="F555" s="202" t="s">
        <v>876</v>
      </c>
      <c r="G555" s="203"/>
      <c r="H555" s="204">
        <v>7427.72</v>
      </c>
      <c r="I555" s="205"/>
    </row>
    <row r="556" spans="1:9" ht="15" thickBot="1" x14ac:dyDescent="0.35">
      <c r="A556" s="1" t="str">
        <f t="shared" si="18"/>
        <v>15/02/2026</v>
      </c>
      <c r="B556" s="5">
        <f t="shared" si="19"/>
        <v>7479.71</v>
      </c>
      <c r="F556" s="206" t="s">
        <v>877</v>
      </c>
      <c r="G556" s="207">
        <v>7479.71</v>
      </c>
      <c r="H556" s="208">
        <v>7479.71</v>
      </c>
      <c r="I556" s="209"/>
    </row>
    <row r="557" spans="1:9" ht="15" thickBot="1" x14ac:dyDescent="0.35">
      <c r="A557" s="1" t="str">
        <f t="shared" si="18"/>
        <v>15/03/2026</v>
      </c>
      <c r="B557" s="5">
        <f t="shared" si="19"/>
        <v>7545.53</v>
      </c>
      <c r="F557" s="202" t="s">
        <v>878</v>
      </c>
      <c r="G557" s="203">
        <v>7479.71</v>
      </c>
      <c r="H557" s="204">
        <v>7545.53</v>
      </c>
      <c r="I557" s="205"/>
    </row>
    <row r="558" spans="1:9" ht="15" thickBot="1" x14ac:dyDescent="0.35">
      <c r="A558" s="1" t="str">
        <f t="shared" si="18"/>
        <v>15/04/2026</v>
      </c>
      <c r="B558" s="5">
        <f t="shared" si="19"/>
        <v>7596.09</v>
      </c>
      <c r="F558" s="202" t="s">
        <v>879</v>
      </c>
      <c r="G558" s="203">
        <v>7479.71</v>
      </c>
      <c r="H558" s="204">
        <v>7596.09</v>
      </c>
      <c r="I558" s="205"/>
    </row>
    <row r="559" spans="1:9" x14ac:dyDescent="0.3">
      <c r="A559" s="1" t="str">
        <f t="shared" si="18"/>
        <v>15//</v>
      </c>
      <c r="B559" s="5">
        <f t="shared" si="19"/>
        <v>0</v>
      </c>
    </row>
    <row r="560" spans="1:9" x14ac:dyDescent="0.3">
      <c r="A560" s="1" t="str">
        <f t="shared" si="18"/>
        <v>15//</v>
      </c>
      <c r="B560" s="5">
        <f t="shared" si="19"/>
        <v>0</v>
      </c>
    </row>
    <row r="561" spans="1:2" x14ac:dyDescent="0.3">
      <c r="A561" s="1" t="str">
        <f t="shared" si="18"/>
        <v>15//</v>
      </c>
      <c r="B561" s="5">
        <f t="shared" si="19"/>
        <v>0</v>
      </c>
    </row>
    <row r="562" spans="1:2" x14ac:dyDescent="0.3">
      <c r="A562" s="1" t="str">
        <f t="shared" si="18"/>
        <v>15//</v>
      </c>
      <c r="B562" s="5">
        <f t="shared" si="19"/>
        <v>0</v>
      </c>
    </row>
    <row r="563" spans="1:2" x14ac:dyDescent="0.3">
      <c r="A563" s="1" t="str">
        <f t="shared" si="18"/>
        <v>15//</v>
      </c>
      <c r="B563" s="5">
        <f t="shared" si="19"/>
        <v>0</v>
      </c>
    </row>
    <row r="564" spans="1:2" x14ac:dyDescent="0.3">
      <c r="A564" s="1" t="str">
        <f t="shared" si="18"/>
        <v>15//</v>
      </c>
      <c r="B564" s="5">
        <f t="shared" si="19"/>
        <v>0</v>
      </c>
    </row>
    <row r="565" spans="1:2" x14ac:dyDescent="0.3">
      <c r="A565" s="1" t="str">
        <f t="shared" si="18"/>
        <v>15//</v>
      </c>
      <c r="B565" s="5">
        <f t="shared" si="19"/>
        <v>0</v>
      </c>
    </row>
    <row r="566" spans="1:2" x14ac:dyDescent="0.3">
      <c r="A566" s="1" t="str">
        <f t="shared" si="18"/>
        <v>15//</v>
      </c>
      <c r="B566" s="5">
        <f t="shared" si="19"/>
        <v>0</v>
      </c>
    </row>
    <row r="567" spans="1:2" x14ac:dyDescent="0.3">
      <c r="A567" s="1" t="str">
        <f t="shared" si="18"/>
        <v>15//</v>
      </c>
      <c r="B567" s="5">
        <f t="shared" si="19"/>
        <v>0</v>
      </c>
    </row>
    <row r="568" spans="1:2" x14ac:dyDescent="0.3">
      <c r="A568" s="1" t="str">
        <f t="shared" si="18"/>
        <v>15//</v>
      </c>
      <c r="B568" s="5">
        <f t="shared" si="19"/>
        <v>0</v>
      </c>
    </row>
    <row r="569" spans="1:2" x14ac:dyDescent="0.3">
      <c r="A569" s="1" t="str">
        <f t="shared" si="18"/>
        <v>15//</v>
      </c>
      <c r="B569" s="5">
        <f t="shared" si="19"/>
        <v>0</v>
      </c>
    </row>
    <row r="570" spans="1:2" x14ac:dyDescent="0.3">
      <c r="A570" s="1" t="str">
        <f t="shared" si="18"/>
        <v>15//</v>
      </c>
      <c r="B570" s="5">
        <f t="shared" si="19"/>
        <v>0</v>
      </c>
    </row>
    <row r="571" spans="1:2" x14ac:dyDescent="0.3">
      <c r="A571" s="1" t="str">
        <f t="shared" si="18"/>
        <v>15//</v>
      </c>
      <c r="B571" s="5">
        <f t="shared" si="19"/>
        <v>0</v>
      </c>
    </row>
    <row r="572" spans="1:2" x14ac:dyDescent="0.3">
      <c r="A572" s="1" t="str">
        <f t="shared" si="18"/>
        <v>15//</v>
      </c>
      <c r="B572" s="5">
        <f t="shared" si="19"/>
        <v>0</v>
      </c>
    </row>
    <row r="573" spans="1:2" x14ac:dyDescent="0.3">
      <c r="A573" s="1" t="str">
        <f t="shared" si="18"/>
        <v>15//</v>
      </c>
      <c r="B573" s="5">
        <f t="shared" si="19"/>
        <v>0</v>
      </c>
    </row>
    <row r="574" spans="1:2" x14ac:dyDescent="0.3">
      <c r="A574" s="1" t="str">
        <f t="shared" si="18"/>
        <v>15//</v>
      </c>
      <c r="B574" s="5">
        <f t="shared" si="19"/>
        <v>0</v>
      </c>
    </row>
    <row r="575" spans="1:2" x14ac:dyDescent="0.3">
      <c r="A575" s="1" t="str">
        <f t="shared" si="18"/>
        <v>15//</v>
      </c>
      <c r="B575" s="5">
        <f t="shared" si="19"/>
        <v>0</v>
      </c>
    </row>
    <row r="576" spans="1:2" x14ac:dyDescent="0.3">
      <c r="A576" s="1" t="str">
        <f t="shared" si="18"/>
        <v>15//</v>
      </c>
      <c r="B576" s="5">
        <f t="shared" si="19"/>
        <v>0</v>
      </c>
    </row>
    <row r="577" spans="1:2" x14ac:dyDescent="0.3">
      <c r="A577" s="1" t="str">
        <f t="shared" si="18"/>
        <v>15//</v>
      </c>
      <c r="B577" s="5">
        <f t="shared" si="19"/>
        <v>0</v>
      </c>
    </row>
    <row r="578" spans="1:2" x14ac:dyDescent="0.3">
      <c r="A578" s="1" t="str">
        <f t="shared" si="18"/>
        <v>15//</v>
      </c>
      <c r="B578" s="5">
        <f t="shared" si="19"/>
        <v>0</v>
      </c>
    </row>
    <row r="579" spans="1:2" x14ac:dyDescent="0.3">
      <c r="A579" s="1" t="str">
        <f t="shared" si="18"/>
        <v>15//</v>
      </c>
      <c r="B579" s="5">
        <f t="shared" si="19"/>
        <v>0</v>
      </c>
    </row>
    <row r="580" spans="1:2" x14ac:dyDescent="0.3">
      <c r="A580" s="1" t="str">
        <f t="shared" si="18"/>
        <v>15//</v>
      </c>
      <c r="B580" s="5">
        <f t="shared" si="19"/>
        <v>0</v>
      </c>
    </row>
    <row r="581" spans="1:2" x14ac:dyDescent="0.3">
      <c r="A581" s="1" t="str">
        <f t="shared" si="18"/>
        <v>15//</v>
      </c>
      <c r="B581" s="5">
        <f t="shared" si="19"/>
        <v>0</v>
      </c>
    </row>
    <row r="582" spans="1:2" x14ac:dyDescent="0.3">
      <c r="A582" s="1" t="str">
        <f t="shared" si="18"/>
        <v>15//</v>
      </c>
      <c r="B582" s="5">
        <f t="shared" si="19"/>
        <v>0</v>
      </c>
    </row>
    <row r="583" spans="1:2" x14ac:dyDescent="0.3">
      <c r="A583" s="1" t="str">
        <f t="shared" si="18"/>
        <v>15//</v>
      </c>
      <c r="B583" s="5">
        <f t="shared" si="19"/>
        <v>0</v>
      </c>
    </row>
    <row r="584" spans="1:2" x14ac:dyDescent="0.3">
      <c r="A584" s="1" t="str">
        <f t="shared" si="18"/>
        <v>15//</v>
      </c>
      <c r="B584" s="5">
        <f t="shared" si="19"/>
        <v>0</v>
      </c>
    </row>
    <row r="585" spans="1:2" x14ac:dyDescent="0.3">
      <c r="A585" s="1" t="str">
        <f t="shared" si="18"/>
        <v>15//</v>
      </c>
      <c r="B585" s="5">
        <f t="shared" si="19"/>
        <v>0</v>
      </c>
    </row>
    <row r="586" spans="1:2" x14ac:dyDescent="0.3">
      <c r="A586" s="1" t="str">
        <f t="shared" si="18"/>
        <v>15//</v>
      </c>
      <c r="B586" s="5">
        <f t="shared" si="19"/>
        <v>0</v>
      </c>
    </row>
    <row r="587" spans="1:2" x14ac:dyDescent="0.3">
      <c r="A587" s="1" t="str">
        <f t="shared" si="18"/>
        <v>15//</v>
      </c>
      <c r="B587" s="5">
        <f t="shared" si="19"/>
        <v>0</v>
      </c>
    </row>
  </sheetData>
  <mergeCells count="1114">
    <mergeCell ref="F30:G30"/>
    <mergeCell ref="H30:I30"/>
    <mergeCell ref="F31:G31"/>
    <mergeCell ref="H31:I31"/>
    <mergeCell ref="H11:I11"/>
    <mergeCell ref="F12:G12"/>
    <mergeCell ref="H12:I12"/>
    <mergeCell ref="F13:G13"/>
    <mergeCell ref="H13:I13"/>
    <mergeCell ref="F26:G26"/>
    <mergeCell ref="H26:I26"/>
    <mergeCell ref="F27:G27"/>
    <mergeCell ref="H27:I27"/>
    <mergeCell ref="F28:G28"/>
    <mergeCell ref="H28:I28"/>
    <mergeCell ref="F23:G23"/>
    <mergeCell ref="H23:I23"/>
    <mergeCell ref="F24:G24"/>
    <mergeCell ref="F14:G14"/>
    <mergeCell ref="H14:I14"/>
    <mergeCell ref="F15:G15"/>
    <mergeCell ref="H15:I15"/>
    <mergeCell ref="F16:G16"/>
    <mergeCell ref="H16:I16"/>
    <mergeCell ref="F11:G11"/>
    <mergeCell ref="H24:I24"/>
    <mergeCell ref="F25:G25"/>
    <mergeCell ref="H25:I25"/>
    <mergeCell ref="F20:G20"/>
    <mergeCell ref="H20:I20"/>
    <mergeCell ref="F21:G21"/>
    <mergeCell ref="H21:I21"/>
    <mergeCell ref="H18:I18"/>
    <mergeCell ref="F19:G19"/>
    <mergeCell ref="H19:I19"/>
    <mergeCell ref="F5:G5"/>
    <mergeCell ref="H5:I5"/>
    <mergeCell ref="F6:G6"/>
    <mergeCell ref="H6:I6"/>
    <mergeCell ref="F7:G7"/>
    <mergeCell ref="H7:I7"/>
    <mergeCell ref="F2:G2"/>
    <mergeCell ref="H2:I2"/>
    <mergeCell ref="F3:G3"/>
    <mergeCell ref="H3:I3"/>
    <mergeCell ref="F4:G4"/>
    <mergeCell ref="H4:I4"/>
    <mergeCell ref="F29:G29"/>
    <mergeCell ref="H29:I29"/>
    <mergeCell ref="F8:G8"/>
    <mergeCell ref="H8:I8"/>
    <mergeCell ref="F9:G9"/>
    <mergeCell ref="H9:I9"/>
    <mergeCell ref="F10:G10"/>
    <mergeCell ref="H10:I10"/>
    <mergeCell ref="F22:G22"/>
    <mergeCell ref="H22:I22"/>
    <mergeCell ref="F17:G17"/>
    <mergeCell ref="H17:I17"/>
    <mergeCell ref="F18:G18"/>
    <mergeCell ref="F41:G41"/>
    <mergeCell ref="H41:I41"/>
    <mergeCell ref="F42:G42"/>
    <mergeCell ref="H42:I42"/>
    <mergeCell ref="F43:G43"/>
    <mergeCell ref="H43:I43"/>
    <mergeCell ref="H39:I39"/>
    <mergeCell ref="F40:G40"/>
    <mergeCell ref="H40:I40"/>
    <mergeCell ref="F35:G35"/>
    <mergeCell ref="H35:I35"/>
    <mergeCell ref="F36:G36"/>
    <mergeCell ref="H36:I36"/>
    <mergeCell ref="F37:G37"/>
    <mergeCell ref="H37:I37"/>
    <mergeCell ref="F32:G32"/>
    <mergeCell ref="H32:I32"/>
    <mergeCell ref="F33:G33"/>
    <mergeCell ref="H33:I33"/>
    <mergeCell ref="F34:G34"/>
    <mergeCell ref="H34:I34"/>
    <mergeCell ref="F38:G38"/>
    <mergeCell ref="H38:I38"/>
    <mergeCell ref="F39:G39"/>
    <mergeCell ref="F50:G50"/>
    <mergeCell ref="H50:I50"/>
    <mergeCell ref="F51:G51"/>
    <mergeCell ref="H51:I51"/>
    <mergeCell ref="F52:G52"/>
    <mergeCell ref="H52:I52"/>
    <mergeCell ref="F47:G47"/>
    <mergeCell ref="H47:I47"/>
    <mergeCell ref="F48:G48"/>
    <mergeCell ref="H48:I48"/>
    <mergeCell ref="F49:G49"/>
    <mergeCell ref="H49:I49"/>
    <mergeCell ref="F44:G44"/>
    <mergeCell ref="H44:I44"/>
    <mergeCell ref="F45:G45"/>
    <mergeCell ref="H45:I45"/>
    <mergeCell ref="F46:G46"/>
    <mergeCell ref="H46:I46"/>
    <mergeCell ref="F59:G59"/>
    <mergeCell ref="H59:I59"/>
    <mergeCell ref="F60:G60"/>
    <mergeCell ref="H60:I60"/>
    <mergeCell ref="F61:G61"/>
    <mergeCell ref="H61:I61"/>
    <mergeCell ref="F56:G56"/>
    <mergeCell ref="H56:I56"/>
    <mergeCell ref="F57:G57"/>
    <mergeCell ref="H57:I57"/>
    <mergeCell ref="F58:G58"/>
    <mergeCell ref="H58:I58"/>
    <mergeCell ref="F53:G53"/>
    <mergeCell ref="H53:I53"/>
    <mergeCell ref="F54:G54"/>
    <mergeCell ref="H54:I54"/>
    <mergeCell ref="F55:G55"/>
    <mergeCell ref="H55:I55"/>
    <mergeCell ref="F68:G68"/>
    <mergeCell ref="H68:I68"/>
    <mergeCell ref="F69:G69"/>
    <mergeCell ref="H69:I69"/>
    <mergeCell ref="F70:G70"/>
    <mergeCell ref="H70:I70"/>
    <mergeCell ref="F65:G65"/>
    <mergeCell ref="H65:I65"/>
    <mergeCell ref="F66:G66"/>
    <mergeCell ref="H66:I66"/>
    <mergeCell ref="F67:G67"/>
    <mergeCell ref="H67:I67"/>
    <mergeCell ref="F62:G62"/>
    <mergeCell ref="H62:I62"/>
    <mergeCell ref="F63:G63"/>
    <mergeCell ref="H63:I63"/>
    <mergeCell ref="F64:G64"/>
    <mergeCell ref="H64:I64"/>
    <mergeCell ref="F77:G77"/>
    <mergeCell ref="H77:I77"/>
    <mergeCell ref="F78:G78"/>
    <mergeCell ref="H78:I78"/>
    <mergeCell ref="F79:G79"/>
    <mergeCell ref="H79:I79"/>
    <mergeCell ref="F74:G74"/>
    <mergeCell ref="H74:I74"/>
    <mergeCell ref="F75:G75"/>
    <mergeCell ref="H75:I75"/>
    <mergeCell ref="F76:G76"/>
    <mergeCell ref="H76:I76"/>
    <mergeCell ref="F71:G71"/>
    <mergeCell ref="H71:I71"/>
    <mergeCell ref="F72:G72"/>
    <mergeCell ref="H72:I72"/>
    <mergeCell ref="F73:G73"/>
    <mergeCell ref="H73:I73"/>
    <mergeCell ref="F86:G86"/>
    <mergeCell ref="H86:I86"/>
    <mergeCell ref="F87:G87"/>
    <mergeCell ref="H87:I87"/>
    <mergeCell ref="F88:G88"/>
    <mergeCell ref="H88:I88"/>
    <mergeCell ref="F83:G83"/>
    <mergeCell ref="H83:I83"/>
    <mergeCell ref="F84:G84"/>
    <mergeCell ref="H84:I84"/>
    <mergeCell ref="F85:G85"/>
    <mergeCell ref="H85:I85"/>
    <mergeCell ref="F80:G80"/>
    <mergeCell ref="H80:I80"/>
    <mergeCell ref="F81:G81"/>
    <mergeCell ref="H81:I81"/>
    <mergeCell ref="F82:G82"/>
    <mergeCell ref="H82:I82"/>
    <mergeCell ref="F95:G95"/>
    <mergeCell ref="H95:I95"/>
    <mergeCell ref="F96:G96"/>
    <mergeCell ref="H96:I96"/>
    <mergeCell ref="F97:G97"/>
    <mergeCell ref="H97:I97"/>
    <mergeCell ref="F92:G92"/>
    <mergeCell ref="H92:I92"/>
    <mergeCell ref="F93:G93"/>
    <mergeCell ref="H93:I93"/>
    <mergeCell ref="F94:G94"/>
    <mergeCell ref="H94:I94"/>
    <mergeCell ref="F89:G89"/>
    <mergeCell ref="H89:I89"/>
    <mergeCell ref="F90:G90"/>
    <mergeCell ref="H90:I90"/>
    <mergeCell ref="F91:G91"/>
    <mergeCell ref="H91:I91"/>
    <mergeCell ref="F104:G104"/>
    <mergeCell ref="H104:I104"/>
    <mergeCell ref="F105:G105"/>
    <mergeCell ref="H105:I105"/>
    <mergeCell ref="F106:G106"/>
    <mergeCell ref="H106:I106"/>
    <mergeCell ref="F101:G101"/>
    <mergeCell ref="H101:I101"/>
    <mergeCell ref="F102:G102"/>
    <mergeCell ref="H102:I102"/>
    <mergeCell ref="F103:G103"/>
    <mergeCell ref="H103:I103"/>
    <mergeCell ref="F98:G98"/>
    <mergeCell ref="H98:I98"/>
    <mergeCell ref="F99:G99"/>
    <mergeCell ref="H99:I99"/>
    <mergeCell ref="F100:G100"/>
    <mergeCell ref="H100:I100"/>
    <mergeCell ref="F113:G113"/>
    <mergeCell ref="H113:I113"/>
    <mergeCell ref="F114:G114"/>
    <mergeCell ref="H114:I114"/>
    <mergeCell ref="F115:G115"/>
    <mergeCell ref="H115:I115"/>
    <mergeCell ref="F110:G110"/>
    <mergeCell ref="H110:I110"/>
    <mergeCell ref="F111:G111"/>
    <mergeCell ref="H111:I111"/>
    <mergeCell ref="F112:G112"/>
    <mergeCell ref="H112:I112"/>
    <mergeCell ref="F107:G107"/>
    <mergeCell ref="H107:I107"/>
    <mergeCell ref="F108:G108"/>
    <mergeCell ref="H108:I108"/>
    <mergeCell ref="F109:G109"/>
    <mergeCell ref="H109:I109"/>
    <mergeCell ref="F122:G122"/>
    <mergeCell ref="H122:I122"/>
    <mergeCell ref="F123:G123"/>
    <mergeCell ref="H123:I123"/>
    <mergeCell ref="F124:G124"/>
    <mergeCell ref="H124:I124"/>
    <mergeCell ref="F119:G119"/>
    <mergeCell ref="H119:I119"/>
    <mergeCell ref="F120:G120"/>
    <mergeCell ref="H120:I120"/>
    <mergeCell ref="F121:G121"/>
    <mergeCell ref="H121:I121"/>
    <mergeCell ref="F116:G116"/>
    <mergeCell ref="H116:I116"/>
    <mergeCell ref="F117:G117"/>
    <mergeCell ref="H117:I117"/>
    <mergeCell ref="F118:G118"/>
    <mergeCell ref="H118:I118"/>
    <mergeCell ref="F131:G131"/>
    <mergeCell ref="H131:I131"/>
    <mergeCell ref="F132:G132"/>
    <mergeCell ref="H132:I132"/>
    <mergeCell ref="F133:G133"/>
    <mergeCell ref="H133:I133"/>
    <mergeCell ref="F128:G128"/>
    <mergeCell ref="H128:I128"/>
    <mergeCell ref="F129:G129"/>
    <mergeCell ref="H129:I129"/>
    <mergeCell ref="F130:G130"/>
    <mergeCell ref="H130:I130"/>
    <mergeCell ref="F125:G125"/>
    <mergeCell ref="H125:I125"/>
    <mergeCell ref="F126:G126"/>
    <mergeCell ref="H126:I126"/>
    <mergeCell ref="F127:G127"/>
    <mergeCell ref="H127:I127"/>
    <mergeCell ref="F140:G140"/>
    <mergeCell ref="H140:I140"/>
    <mergeCell ref="F141:G141"/>
    <mergeCell ref="H141:I141"/>
    <mergeCell ref="F142:G142"/>
    <mergeCell ref="H142:I142"/>
    <mergeCell ref="F137:G137"/>
    <mergeCell ref="H137:I137"/>
    <mergeCell ref="F138:G138"/>
    <mergeCell ref="H138:I138"/>
    <mergeCell ref="F139:G139"/>
    <mergeCell ref="H139:I139"/>
    <mergeCell ref="F134:G134"/>
    <mergeCell ref="H134:I134"/>
    <mergeCell ref="F135:G135"/>
    <mergeCell ref="H135:I135"/>
    <mergeCell ref="F136:G136"/>
    <mergeCell ref="H136:I136"/>
    <mergeCell ref="F149:G149"/>
    <mergeCell ref="H149:I149"/>
    <mergeCell ref="F150:G150"/>
    <mergeCell ref="H150:I150"/>
    <mergeCell ref="F151:G151"/>
    <mergeCell ref="H151:I151"/>
    <mergeCell ref="F146:G146"/>
    <mergeCell ref="H146:I146"/>
    <mergeCell ref="F147:G147"/>
    <mergeCell ref="H147:I147"/>
    <mergeCell ref="F148:G148"/>
    <mergeCell ref="H148:I148"/>
    <mergeCell ref="F143:G143"/>
    <mergeCell ref="H143:I143"/>
    <mergeCell ref="F144:G144"/>
    <mergeCell ref="H144:I144"/>
    <mergeCell ref="F145:G145"/>
    <mergeCell ref="H145:I145"/>
    <mergeCell ref="F158:G158"/>
    <mergeCell ref="H158:I158"/>
    <mergeCell ref="F159:G159"/>
    <mergeCell ref="H159:I159"/>
    <mergeCell ref="F160:G160"/>
    <mergeCell ref="H160:I160"/>
    <mergeCell ref="F155:G155"/>
    <mergeCell ref="H155:I155"/>
    <mergeCell ref="F156:G156"/>
    <mergeCell ref="H156:I156"/>
    <mergeCell ref="F157:G157"/>
    <mergeCell ref="H157:I157"/>
    <mergeCell ref="F152:G152"/>
    <mergeCell ref="H152:I152"/>
    <mergeCell ref="F153:G153"/>
    <mergeCell ref="H153:I153"/>
    <mergeCell ref="F154:G154"/>
    <mergeCell ref="H154:I154"/>
    <mergeCell ref="F167:G167"/>
    <mergeCell ref="H167:I167"/>
    <mergeCell ref="F168:G168"/>
    <mergeCell ref="H168:I168"/>
    <mergeCell ref="F169:G169"/>
    <mergeCell ref="H169:I169"/>
    <mergeCell ref="F164:G164"/>
    <mergeCell ref="H164:I164"/>
    <mergeCell ref="F165:G165"/>
    <mergeCell ref="H165:I165"/>
    <mergeCell ref="F166:G166"/>
    <mergeCell ref="H166:I166"/>
    <mergeCell ref="F161:G161"/>
    <mergeCell ref="H161:I161"/>
    <mergeCell ref="F162:G162"/>
    <mergeCell ref="H162:I162"/>
    <mergeCell ref="F163:G163"/>
    <mergeCell ref="H163:I163"/>
    <mergeCell ref="F176:G176"/>
    <mergeCell ref="H176:I176"/>
    <mergeCell ref="F177:G177"/>
    <mergeCell ref="H177:I177"/>
    <mergeCell ref="F178:G178"/>
    <mergeCell ref="H178:I178"/>
    <mergeCell ref="F173:G173"/>
    <mergeCell ref="H173:I173"/>
    <mergeCell ref="F174:G174"/>
    <mergeCell ref="H174:I174"/>
    <mergeCell ref="F175:G175"/>
    <mergeCell ref="H175:I175"/>
    <mergeCell ref="F170:G170"/>
    <mergeCell ref="H170:I170"/>
    <mergeCell ref="F171:G171"/>
    <mergeCell ref="H171:I171"/>
    <mergeCell ref="F172:G172"/>
    <mergeCell ref="H172:I172"/>
    <mergeCell ref="F185:G185"/>
    <mergeCell ref="H185:I185"/>
    <mergeCell ref="F186:G186"/>
    <mergeCell ref="H186:I186"/>
    <mergeCell ref="F187:G187"/>
    <mergeCell ref="H187:I187"/>
    <mergeCell ref="F182:G182"/>
    <mergeCell ref="H182:I182"/>
    <mergeCell ref="F183:G183"/>
    <mergeCell ref="H183:I183"/>
    <mergeCell ref="F184:G184"/>
    <mergeCell ref="H184:I184"/>
    <mergeCell ref="F179:G179"/>
    <mergeCell ref="H179:I179"/>
    <mergeCell ref="F180:G180"/>
    <mergeCell ref="H180:I180"/>
    <mergeCell ref="F181:G181"/>
    <mergeCell ref="H181:I181"/>
    <mergeCell ref="F194:G194"/>
    <mergeCell ref="H194:I194"/>
    <mergeCell ref="F195:G195"/>
    <mergeCell ref="H195:I195"/>
    <mergeCell ref="F196:G196"/>
    <mergeCell ref="H196:I196"/>
    <mergeCell ref="F191:G191"/>
    <mergeCell ref="H191:I191"/>
    <mergeCell ref="F192:G192"/>
    <mergeCell ref="H192:I192"/>
    <mergeCell ref="F193:G193"/>
    <mergeCell ref="H193:I193"/>
    <mergeCell ref="F188:G188"/>
    <mergeCell ref="H188:I188"/>
    <mergeCell ref="F189:G189"/>
    <mergeCell ref="H189:I189"/>
    <mergeCell ref="F190:G190"/>
    <mergeCell ref="H190:I190"/>
    <mergeCell ref="F203:G203"/>
    <mergeCell ref="H203:I203"/>
    <mergeCell ref="F204:G204"/>
    <mergeCell ref="H204:I204"/>
    <mergeCell ref="F205:G205"/>
    <mergeCell ref="H205:I205"/>
    <mergeCell ref="F200:G200"/>
    <mergeCell ref="H200:I200"/>
    <mergeCell ref="F201:G201"/>
    <mergeCell ref="H201:I201"/>
    <mergeCell ref="F202:G202"/>
    <mergeCell ref="H202:I202"/>
    <mergeCell ref="F197:G197"/>
    <mergeCell ref="H197:I197"/>
    <mergeCell ref="F198:G198"/>
    <mergeCell ref="H198:I198"/>
    <mergeCell ref="F199:G199"/>
    <mergeCell ref="H199:I199"/>
    <mergeCell ref="F212:G212"/>
    <mergeCell ref="H212:I212"/>
    <mergeCell ref="F213:G213"/>
    <mergeCell ref="H213:I213"/>
    <mergeCell ref="F214:G214"/>
    <mergeCell ref="H214:I214"/>
    <mergeCell ref="F209:G209"/>
    <mergeCell ref="H209:I209"/>
    <mergeCell ref="F210:G210"/>
    <mergeCell ref="H210:I210"/>
    <mergeCell ref="F211:G211"/>
    <mergeCell ref="H211:I211"/>
    <mergeCell ref="F206:G206"/>
    <mergeCell ref="H206:I206"/>
    <mergeCell ref="F207:G207"/>
    <mergeCell ref="H207:I207"/>
    <mergeCell ref="F208:G208"/>
    <mergeCell ref="H208:I208"/>
    <mergeCell ref="F221:G221"/>
    <mergeCell ref="H221:I221"/>
    <mergeCell ref="F222:G222"/>
    <mergeCell ref="H222:I222"/>
    <mergeCell ref="F223:G223"/>
    <mergeCell ref="H223:I223"/>
    <mergeCell ref="F218:G218"/>
    <mergeCell ref="H218:I218"/>
    <mergeCell ref="F219:G219"/>
    <mergeCell ref="H219:I219"/>
    <mergeCell ref="F220:G220"/>
    <mergeCell ref="H220:I220"/>
    <mergeCell ref="F215:G215"/>
    <mergeCell ref="H215:I215"/>
    <mergeCell ref="F216:G216"/>
    <mergeCell ref="H216:I216"/>
    <mergeCell ref="F217:G217"/>
    <mergeCell ref="H217:I217"/>
    <mergeCell ref="F230:G230"/>
    <mergeCell ref="H230:I230"/>
    <mergeCell ref="F231:G231"/>
    <mergeCell ref="H231:I231"/>
    <mergeCell ref="F232:G232"/>
    <mergeCell ref="H232:I232"/>
    <mergeCell ref="F227:G227"/>
    <mergeCell ref="H227:I227"/>
    <mergeCell ref="F228:G228"/>
    <mergeCell ref="H228:I228"/>
    <mergeCell ref="F229:G229"/>
    <mergeCell ref="H229:I229"/>
    <mergeCell ref="F224:G224"/>
    <mergeCell ref="H224:I224"/>
    <mergeCell ref="F225:G225"/>
    <mergeCell ref="H225:I225"/>
    <mergeCell ref="F226:G226"/>
    <mergeCell ref="H226:I226"/>
    <mergeCell ref="F239:G239"/>
    <mergeCell ref="H239:I239"/>
    <mergeCell ref="F240:G240"/>
    <mergeCell ref="H240:I240"/>
    <mergeCell ref="F241:G241"/>
    <mergeCell ref="H241:I241"/>
    <mergeCell ref="F236:G236"/>
    <mergeCell ref="H236:I236"/>
    <mergeCell ref="F237:G237"/>
    <mergeCell ref="H237:I237"/>
    <mergeCell ref="F238:G238"/>
    <mergeCell ref="H238:I238"/>
    <mergeCell ref="F233:G233"/>
    <mergeCell ref="H233:I233"/>
    <mergeCell ref="F234:G234"/>
    <mergeCell ref="H234:I234"/>
    <mergeCell ref="F235:G235"/>
    <mergeCell ref="H235:I235"/>
    <mergeCell ref="F248:G248"/>
    <mergeCell ref="H248:I248"/>
    <mergeCell ref="F249:G249"/>
    <mergeCell ref="H249:I249"/>
    <mergeCell ref="F250:G250"/>
    <mergeCell ref="H250:I250"/>
    <mergeCell ref="F245:G245"/>
    <mergeCell ref="H245:I245"/>
    <mergeCell ref="F246:G246"/>
    <mergeCell ref="H246:I246"/>
    <mergeCell ref="F247:G247"/>
    <mergeCell ref="H247:I247"/>
    <mergeCell ref="F242:G242"/>
    <mergeCell ref="H242:I242"/>
    <mergeCell ref="F243:G243"/>
    <mergeCell ref="H243:I243"/>
    <mergeCell ref="F244:G244"/>
    <mergeCell ref="H244:I244"/>
    <mergeCell ref="F257:G257"/>
    <mergeCell ref="H257:I257"/>
    <mergeCell ref="F258:G258"/>
    <mergeCell ref="H258:I258"/>
    <mergeCell ref="F259:G259"/>
    <mergeCell ref="H259:I259"/>
    <mergeCell ref="F254:G254"/>
    <mergeCell ref="H254:I254"/>
    <mergeCell ref="F255:G255"/>
    <mergeCell ref="H255:I255"/>
    <mergeCell ref="F256:G256"/>
    <mergeCell ref="H256:I256"/>
    <mergeCell ref="F251:G251"/>
    <mergeCell ref="H251:I251"/>
    <mergeCell ref="F252:G252"/>
    <mergeCell ref="H252:I252"/>
    <mergeCell ref="F253:G253"/>
    <mergeCell ref="H253:I253"/>
    <mergeCell ref="F266:G266"/>
    <mergeCell ref="H266:I266"/>
    <mergeCell ref="F267:G267"/>
    <mergeCell ref="H267:I267"/>
    <mergeCell ref="F268:G268"/>
    <mergeCell ref="H268:I268"/>
    <mergeCell ref="F263:G263"/>
    <mergeCell ref="H263:I263"/>
    <mergeCell ref="F264:G264"/>
    <mergeCell ref="H264:I264"/>
    <mergeCell ref="F265:G265"/>
    <mergeCell ref="H265:I265"/>
    <mergeCell ref="F260:G260"/>
    <mergeCell ref="H260:I260"/>
    <mergeCell ref="F261:G261"/>
    <mergeCell ref="H261:I261"/>
    <mergeCell ref="F262:G262"/>
    <mergeCell ref="H262:I262"/>
    <mergeCell ref="F275:G275"/>
    <mergeCell ref="H275:I275"/>
    <mergeCell ref="F276:G276"/>
    <mergeCell ref="H276:I276"/>
    <mergeCell ref="F277:G277"/>
    <mergeCell ref="H277:I277"/>
    <mergeCell ref="F272:G272"/>
    <mergeCell ref="H272:I272"/>
    <mergeCell ref="F273:G273"/>
    <mergeCell ref="H273:I273"/>
    <mergeCell ref="F274:G274"/>
    <mergeCell ref="H274:I274"/>
    <mergeCell ref="F269:G269"/>
    <mergeCell ref="H269:I269"/>
    <mergeCell ref="F270:G270"/>
    <mergeCell ref="H270:I270"/>
    <mergeCell ref="F271:G271"/>
    <mergeCell ref="H271:I271"/>
    <mergeCell ref="F284:G284"/>
    <mergeCell ref="H284:I284"/>
    <mergeCell ref="F285:G285"/>
    <mergeCell ref="H285:I285"/>
    <mergeCell ref="F286:G286"/>
    <mergeCell ref="H286:I286"/>
    <mergeCell ref="F281:G281"/>
    <mergeCell ref="H281:I281"/>
    <mergeCell ref="F282:G282"/>
    <mergeCell ref="H282:I282"/>
    <mergeCell ref="F283:G283"/>
    <mergeCell ref="H283:I283"/>
    <mergeCell ref="F278:G278"/>
    <mergeCell ref="H278:I278"/>
    <mergeCell ref="F279:G279"/>
    <mergeCell ref="H279:I279"/>
    <mergeCell ref="F280:G280"/>
    <mergeCell ref="H280:I280"/>
    <mergeCell ref="F293:G293"/>
    <mergeCell ref="H293:I293"/>
    <mergeCell ref="F294:G294"/>
    <mergeCell ref="H294:I294"/>
    <mergeCell ref="F295:G295"/>
    <mergeCell ref="H295:I295"/>
    <mergeCell ref="F290:G290"/>
    <mergeCell ref="H290:I290"/>
    <mergeCell ref="F291:G291"/>
    <mergeCell ref="H291:I291"/>
    <mergeCell ref="F292:G292"/>
    <mergeCell ref="H292:I292"/>
    <mergeCell ref="F287:G287"/>
    <mergeCell ref="H287:I287"/>
    <mergeCell ref="F288:G288"/>
    <mergeCell ref="H288:I288"/>
    <mergeCell ref="F289:G289"/>
    <mergeCell ref="H289:I289"/>
    <mergeCell ref="F302:G302"/>
    <mergeCell ref="H302:I302"/>
    <mergeCell ref="F303:G303"/>
    <mergeCell ref="H303:I303"/>
    <mergeCell ref="F304:G304"/>
    <mergeCell ref="H304:I304"/>
    <mergeCell ref="F299:G299"/>
    <mergeCell ref="H299:I299"/>
    <mergeCell ref="F300:G300"/>
    <mergeCell ref="H300:I300"/>
    <mergeCell ref="F301:G301"/>
    <mergeCell ref="H301:I301"/>
    <mergeCell ref="F296:G296"/>
    <mergeCell ref="H296:I296"/>
    <mergeCell ref="F297:G297"/>
    <mergeCell ref="H297:I297"/>
    <mergeCell ref="F298:G298"/>
    <mergeCell ref="H298:I298"/>
    <mergeCell ref="F311:G311"/>
    <mergeCell ref="H311:I311"/>
    <mergeCell ref="F312:G312"/>
    <mergeCell ref="H312:I312"/>
    <mergeCell ref="F313:G313"/>
    <mergeCell ref="H313:I313"/>
    <mergeCell ref="F308:G308"/>
    <mergeCell ref="H308:I308"/>
    <mergeCell ref="F309:G309"/>
    <mergeCell ref="H309:I309"/>
    <mergeCell ref="F310:G310"/>
    <mergeCell ref="H310:I310"/>
    <mergeCell ref="F305:G305"/>
    <mergeCell ref="H305:I305"/>
    <mergeCell ref="F306:G306"/>
    <mergeCell ref="H306:I306"/>
    <mergeCell ref="F307:G307"/>
    <mergeCell ref="H307:I307"/>
    <mergeCell ref="F320:G320"/>
    <mergeCell ref="H320:I320"/>
    <mergeCell ref="F321:G321"/>
    <mergeCell ref="H321:I321"/>
    <mergeCell ref="F322:G322"/>
    <mergeCell ref="H322:I322"/>
    <mergeCell ref="F317:G317"/>
    <mergeCell ref="H317:I317"/>
    <mergeCell ref="F318:G318"/>
    <mergeCell ref="H318:I318"/>
    <mergeCell ref="F319:G319"/>
    <mergeCell ref="H319:I319"/>
    <mergeCell ref="F314:G314"/>
    <mergeCell ref="H314:I314"/>
    <mergeCell ref="F315:G315"/>
    <mergeCell ref="H315:I315"/>
    <mergeCell ref="F316:G316"/>
    <mergeCell ref="H316:I316"/>
    <mergeCell ref="F329:G329"/>
    <mergeCell ref="H329:I329"/>
    <mergeCell ref="F330:G330"/>
    <mergeCell ref="H330:I330"/>
    <mergeCell ref="F331:G331"/>
    <mergeCell ref="H331:I331"/>
    <mergeCell ref="F326:G326"/>
    <mergeCell ref="H326:I326"/>
    <mergeCell ref="F327:G327"/>
    <mergeCell ref="H327:I327"/>
    <mergeCell ref="F328:G328"/>
    <mergeCell ref="H328:I328"/>
    <mergeCell ref="F323:G323"/>
    <mergeCell ref="H323:I323"/>
    <mergeCell ref="F324:G324"/>
    <mergeCell ref="H324:I324"/>
    <mergeCell ref="F325:G325"/>
    <mergeCell ref="H325:I325"/>
    <mergeCell ref="F338:G338"/>
    <mergeCell ref="H338:I338"/>
    <mergeCell ref="F339:G339"/>
    <mergeCell ref="H339:I339"/>
    <mergeCell ref="F340:G340"/>
    <mergeCell ref="H340:I340"/>
    <mergeCell ref="F335:G335"/>
    <mergeCell ref="H335:I335"/>
    <mergeCell ref="F336:G336"/>
    <mergeCell ref="H336:I336"/>
    <mergeCell ref="F337:G337"/>
    <mergeCell ref="H337:I337"/>
    <mergeCell ref="F332:G332"/>
    <mergeCell ref="H332:I332"/>
    <mergeCell ref="F333:G333"/>
    <mergeCell ref="H333:I333"/>
    <mergeCell ref="F334:G334"/>
    <mergeCell ref="H334:I334"/>
    <mergeCell ref="F347:G347"/>
    <mergeCell ref="H347:I347"/>
    <mergeCell ref="F348:G348"/>
    <mergeCell ref="H348:I348"/>
    <mergeCell ref="F349:G349"/>
    <mergeCell ref="H349:I349"/>
    <mergeCell ref="F344:G344"/>
    <mergeCell ref="H344:I344"/>
    <mergeCell ref="F345:G345"/>
    <mergeCell ref="H345:I345"/>
    <mergeCell ref="F346:G346"/>
    <mergeCell ref="H346:I346"/>
    <mergeCell ref="F341:G341"/>
    <mergeCell ref="H341:I341"/>
    <mergeCell ref="F342:G342"/>
    <mergeCell ref="H342:I342"/>
    <mergeCell ref="F343:G343"/>
    <mergeCell ref="H343:I343"/>
    <mergeCell ref="F356:G356"/>
    <mergeCell ref="H356:I356"/>
    <mergeCell ref="F357:G357"/>
    <mergeCell ref="H357:I357"/>
    <mergeCell ref="F358:G358"/>
    <mergeCell ref="H358:I358"/>
    <mergeCell ref="F353:G353"/>
    <mergeCell ref="H353:I353"/>
    <mergeCell ref="F354:G354"/>
    <mergeCell ref="H354:I354"/>
    <mergeCell ref="F355:G355"/>
    <mergeCell ref="H355:I355"/>
    <mergeCell ref="F350:G350"/>
    <mergeCell ref="H350:I350"/>
    <mergeCell ref="F351:G351"/>
    <mergeCell ref="H351:I351"/>
    <mergeCell ref="F352:G352"/>
    <mergeCell ref="H352:I352"/>
    <mergeCell ref="F365:G365"/>
    <mergeCell ref="H365:I365"/>
    <mergeCell ref="F366:G366"/>
    <mergeCell ref="H366:I366"/>
    <mergeCell ref="F367:G367"/>
    <mergeCell ref="H367:I367"/>
    <mergeCell ref="F362:G362"/>
    <mergeCell ref="H362:I362"/>
    <mergeCell ref="F363:G363"/>
    <mergeCell ref="H363:I363"/>
    <mergeCell ref="F364:G364"/>
    <mergeCell ref="H364:I364"/>
    <mergeCell ref="F359:G359"/>
    <mergeCell ref="H359:I359"/>
    <mergeCell ref="F360:G360"/>
    <mergeCell ref="H360:I360"/>
    <mergeCell ref="F361:G361"/>
    <mergeCell ref="H361:I361"/>
    <mergeCell ref="F374:G374"/>
    <mergeCell ref="H374:I374"/>
    <mergeCell ref="F375:G375"/>
    <mergeCell ref="H375:I375"/>
    <mergeCell ref="F376:G376"/>
    <mergeCell ref="H376:I376"/>
    <mergeCell ref="F371:G371"/>
    <mergeCell ref="H371:I371"/>
    <mergeCell ref="F372:G372"/>
    <mergeCell ref="H372:I372"/>
    <mergeCell ref="F373:G373"/>
    <mergeCell ref="H373:I373"/>
    <mergeCell ref="F368:G368"/>
    <mergeCell ref="H368:I368"/>
    <mergeCell ref="F369:G369"/>
    <mergeCell ref="H369:I369"/>
    <mergeCell ref="F370:G370"/>
    <mergeCell ref="H370:I370"/>
    <mergeCell ref="F383:G383"/>
    <mergeCell ref="H383:I383"/>
    <mergeCell ref="F384:G384"/>
    <mergeCell ref="H384:I384"/>
    <mergeCell ref="F385:G385"/>
    <mergeCell ref="H385:I385"/>
    <mergeCell ref="F380:G380"/>
    <mergeCell ref="H380:I380"/>
    <mergeCell ref="F381:G381"/>
    <mergeCell ref="H381:I381"/>
    <mergeCell ref="F382:G382"/>
    <mergeCell ref="H382:I382"/>
    <mergeCell ref="F377:G377"/>
    <mergeCell ref="H377:I377"/>
    <mergeCell ref="F378:G378"/>
    <mergeCell ref="H378:I378"/>
    <mergeCell ref="F379:G379"/>
    <mergeCell ref="H379:I379"/>
    <mergeCell ref="F392:G392"/>
    <mergeCell ref="H392:I392"/>
    <mergeCell ref="F393:G393"/>
    <mergeCell ref="H393:I393"/>
    <mergeCell ref="F394:G394"/>
    <mergeCell ref="H394:I394"/>
    <mergeCell ref="F389:G389"/>
    <mergeCell ref="H389:I389"/>
    <mergeCell ref="F390:G390"/>
    <mergeCell ref="H390:I390"/>
    <mergeCell ref="F391:G391"/>
    <mergeCell ref="H391:I391"/>
    <mergeCell ref="F386:G386"/>
    <mergeCell ref="H386:I386"/>
    <mergeCell ref="F387:G387"/>
    <mergeCell ref="H387:I387"/>
    <mergeCell ref="F388:G388"/>
    <mergeCell ref="H388:I388"/>
    <mergeCell ref="F401:G401"/>
    <mergeCell ref="H401:I401"/>
    <mergeCell ref="F402:G402"/>
    <mergeCell ref="H402:I402"/>
    <mergeCell ref="F403:G403"/>
    <mergeCell ref="H403:I403"/>
    <mergeCell ref="F398:G398"/>
    <mergeCell ref="H398:I398"/>
    <mergeCell ref="F399:G399"/>
    <mergeCell ref="H399:I399"/>
    <mergeCell ref="F400:G400"/>
    <mergeCell ref="H400:I400"/>
    <mergeCell ref="F395:G395"/>
    <mergeCell ref="H395:I395"/>
    <mergeCell ref="F396:G396"/>
    <mergeCell ref="H396:I396"/>
    <mergeCell ref="F397:G397"/>
    <mergeCell ref="H397:I397"/>
    <mergeCell ref="F410:G410"/>
    <mergeCell ref="H410:I410"/>
    <mergeCell ref="F411:G411"/>
    <mergeCell ref="H411:I411"/>
    <mergeCell ref="F412:G412"/>
    <mergeCell ref="H412:I412"/>
    <mergeCell ref="F407:G407"/>
    <mergeCell ref="H407:I407"/>
    <mergeCell ref="F408:G408"/>
    <mergeCell ref="H408:I408"/>
    <mergeCell ref="F409:G409"/>
    <mergeCell ref="H409:I409"/>
    <mergeCell ref="F404:G404"/>
    <mergeCell ref="H404:I404"/>
    <mergeCell ref="F405:G405"/>
    <mergeCell ref="H405:I405"/>
    <mergeCell ref="F406:G406"/>
    <mergeCell ref="H406:I406"/>
    <mergeCell ref="F419:G419"/>
    <mergeCell ref="H419:I419"/>
    <mergeCell ref="F420:G420"/>
    <mergeCell ref="H420:I420"/>
    <mergeCell ref="F421:G421"/>
    <mergeCell ref="H421:I421"/>
    <mergeCell ref="F416:G416"/>
    <mergeCell ref="H416:I416"/>
    <mergeCell ref="F417:G417"/>
    <mergeCell ref="H417:I417"/>
    <mergeCell ref="F418:G418"/>
    <mergeCell ref="H418:I418"/>
    <mergeCell ref="F413:G413"/>
    <mergeCell ref="H413:I413"/>
    <mergeCell ref="F414:G414"/>
    <mergeCell ref="H414:I414"/>
    <mergeCell ref="F415:G415"/>
    <mergeCell ref="H415:I415"/>
    <mergeCell ref="F428:G428"/>
    <mergeCell ref="H428:I428"/>
    <mergeCell ref="F429:G429"/>
    <mergeCell ref="H429:I429"/>
    <mergeCell ref="F430:G430"/>
    <mergeCell ref="H430:I430"/>
    <mergeCell ref="F425:G425"/>
    <mergeCell ref="H425:I425"/>
    <mergeCell ref="F426:G426"/>
    <mergeCell ref="H426:I426"/>
    <mergeCell ref="F427:G427"/>
    <mergeCell ref="H427:I427"/>
    <mergeCell ref="F422:G422"/>
    <mergeCell ref="H422:I422"/>
    <mergeCell ref="F423:G423"/>
    <mergeCell ref="H423:I423"/>
    <mergeCell ref="F424:G424"/>
    <mergeCell ref="H424:I424"/>
    <mergeCell ref="F437:G437"/>
    <mergeCell ref="H437:I437"/>
    <mergeCell ref="F438:G438"/>
    <mergeCell ref="H438:I438"/>
    <mergeCell ref="F439:G439"/>
    <mergeCell ref="H439:I439"/>
    <mergeCell ref="F434:G434"/>
    <mergeCell ref="H434:I434"/>
    <mergeCell ref="F435:G435"/>
    <mergeCell ref="H435:I435"/>
    <mergeCell ref="F436:G436"/>
    <mergeCell ref="H436:I436"/>
    <mergeCell ref="F431:G431"/>
    <mergeCell ref="H431:I431"/>
    <mergeCell ref="F432:G432"/>
    <mergeCell ref="H432:I432"/>
    <mergeCell ref="F433:G433"/>
    <mergeCell ref="H433:I433"/>
    <mergeCell ref="F446:G446"/>
    <mergeCell ref="H446:I446"/>
    <mergeCell ref="F447:G447"/>
    <mergeCell ref="H447:I447"/>
    <mergeCell ref="F448:G448"/>
    <mergeCell ref="H448:I448"/>
    <mergeCell ref="F443:G443"/>
    <mergeCell ref="H443:I443"/>
    <mergeCell ref="F444:G444"/>
    <mergeCell ref="H444:I444"/>
    <mergeCell ref="F445:G445"/>
    <mergeCell ref="H445:I445"/>
    <mergeCell ref="F440:G440"/>
    <mergeCell ref="H440:I440"/>
    <mergeCell ref="F441:G441"/>
    <mergeCell ref="H441:I441"/>
    <mergeCell ref="F442:G442"/>
    <mergeCell ref="H442:I442"/>
    <mergeCell ref="F455:G455"/>
    <mergeCell ref="H455:I455"/>
    <mergeCell ref="F456:G456"/>
    <mergeCell ref="H456:I456"/>
    <mergeCell ref="F457:G457"/>
    <mergeCell ref="H457:I457"/>
    <mergeCell ref="F452:G452"/>
    <mergeCell ref="H452:I452"/>
    <mergeCell ref="F453:G453"/>
    <mergeCell ref="H453:I453"/>
    <mergeCell ref="F454:G454"/>
    <mergeCell ref="H454:I454"/>
    <mergeCell ref="F449:G449"/>
    <mergeCell ref="H449:I449"/>
    <mergeCell ref="F450:G450"/>
    <mergeCell ref="H450:I450"/>
    <mergeCell ref="F451:G451"/>
    <mergeCell ref="H451:I451"/>
    <mergeCell ref="F464:G464"/>
    <mergeCell ref="H464:I464"/>
    <mergeCell ref="F465:G465"/>
    <mergeCell ref="H465:I465"/>
    <mergeCell ref="F466:G466"/>
    <mergeCell ref="H466:I466"/>
    <mergeCell ref="F461:G461"/>
    <mergeCell ref="H461:I461"/>
    <mergeCell ref="F462:G462"/>
    <mergeCell ref="H462:I462"/>
    <mergeCell ref="F463:G463"/>
    <mergeCell ref="H463:I463"/>
    <mergeCell ref="F458:G458"/>
    <mergeCell ref="H458:I458"/>
    <mergeCell ref="F459:G459"/>
    <mergeCell ref="H459:I459"/>
    <mergeCell ref="F460:G460"/>
    <mergeCell ref="H460:I460"/>
    <mergeCell ref="F473:G473"/>
    <mergeCell ref="H473:I473"/>
    <mergeCell ref="F474:G474"/>
    <mergeCell ref="H474:I474"/>
    <mergeCell ref="F475:G475"/>
    <mergeCell ref="H475:I475"/>
    <mergeCell ref="F470:G470"/>
    <mergeCell ref="H470:I470"/>
    <mergeCell ref="F471:G471"/>
    <mergeCell ref="H471:I471"/>
    <mergeCell ref="F472:G472"/>
    <mergeCell ref="H472:I472"/>
    <mergeCell ref="F467:G467"/>
    <mergeCell ref="H467:I467"/>
    <mergeCell ref="F468:G468"/>
    <mergeCell ref="H468:I468"/>
    <mergeCell ref="F469:G469"/>
    <mergeCell ref="H469:I469"/>
    <mergeCell ref="F482:G482"/>
    <mergeCell ref="H482:I482"/>
    <mergeCell ref="F483:G483"/>
    <mergeCell ref="H483:I483"/>
    <mergeCell ref="F484:G484"/>
    <mergeCell ref="H484:I484"/>
    <mergeCell ref="F479:G479"/>
    <mergeCell ref="H479:I479"/>
    <mergeCell ref="F480:G480"/>
    <mergeCell ref="H480:I480"/>
    <mergeCell ref="F481:G481"/>
    <mergeCell ref="H481:I481"/>
    <mergeCell ref="F476:G476"/>
    <mergeCell ref="H476:I476"/>
    <mergeCell ref="F477:G477"/>
    <mergeCell ref="H477:I477"/>
    <mergeCell ref="F478:G478"/>
    <mergeCell ref="H478:I478"/>
    <mergeCell ref="F491:G491"/>
    <mergeCell ref="H491:I491"/>
    <mergeCell ref="F492:G492"/>
    <mergeCell ref="H492:I492"/>
    <mergeCell ref="F493:G493"/>
    <mergeCell ref="H493:I493"/>
    <mergeCell ref="F488:G488"/>
    <mergeCell ref="H488:I488"/>
    <mergeCell ref="F489:G489"/>
    <mergeCell ref="H489:I489"/>
    <mergeCell ref="F490:G490"/>
    <mergeCell ref="H490:I490"/>
    <mergeCell ref="F485:G485"/>
    <mergeCell ref="H485:I485"/>
    <mergeCell ref="F486:G486"/>
    <mergeCell ref="H486:I486"/>
    <mergeCell ref="F487:G487"/>
    <mergeCell ref="H487:I487"/>
    <mergeCell ref="F500:G500"/>
    <mergeCell ref="H500:I500"/>
    <mergeCell ref="F501:G501"/>
    <mergeCell ref="H501:I501"/>
    <mergeCell ref="F502:G502"/>
    <mergeCell ref="H502:I502"/>
    <mergeCell ref="F497:G497"/>
    <mergeCell ref="H497:I497"/>
    <mergeCell ref="F498:G498"/>
    <mergeCell ref="H498:I498"/>
    <mergeCell ref="F499:G499"/>
    <mergeCell ref="H499:I499"/>
    <mergeCell ref="F494:G494"/>
    <mergeCell ref="H494:I494"/>
    <mergeCell ref="F495:G495"/>
    <mergeCell ref="H495:I495"/>
    <mergeCell ref="F496:G496"/>
    <mergeCell ref="H496:I496"/>
    <mergeCell ref="F509:G509"/>
    <mergeCell ref="H509:I509"/>
    <mergeCell ref="F510:G510"/>
    <mergeCell ref="H510:I510"/>
    <mergeCell ref="F511:G511"/>
    <mergeCell ref="H511:I511"/>
    <mergeCell ref="F506:G506"/>
    <mergeCell ref="H506:I506"/>
    <mergeCell ref="F507:G507"/>
    <mergeCell ref="H507:I507"/>
    <mergeCell ref="F508:G508"/>
    <mergeCell ref="H508:I508"/>
    <mergeCell ref="F503:G503"/>
    <mergeCell ref="H503:I503"/>
    <mergeCell ref="F504:G504"/>
    <mergeCell ref="H504:I504"/>
    <mergeCell ref="F505:G505"/>
    <mergeCell ref="H505:I505"/>
    <mergeCell ref="F518:G518"/>
    <mergeCell ref="H518:I518"/>
    <mergeCell ref="F519:G519"/>
    <mergeCell ref="H519:I519"/>
    <mergeCell ref="F520:G520"/>
    <mergeCell ref="H520:I520"/>
    <mergeCell ref="F515:G515"/>
    <mergeCell ref="H515:I515"/>
    <mergeCell ref="F516:G516"/>
    <mergeCell ref="H516:I516"/>
    <mergeCell ref="F517:G517"/>
    <mergeCell ref="H517:I517"/>
    <mergeCell ref="F512:G512"/>
    <mergeCell ref="H512:I512"/>
    <mergeCell ref="F513:G513"/>
    <mergeCell ref="H513:I513"/>
    <mergeCell ref="F514:G514"/>
    <mergeCell ref="H514:I514"/>
    <mergeCell ref="F527:G527"/>
    <mergeCell ref="H527:I527"/>
    <mergeCell ref="F528:G528"/>
    <mergeCell ref="H528:I528"/>
    <mergeCell ref="F529:G529"/>
    <mergeCell ref="H529:I529"/>
    <mergeCell ref="F524:G524"/>
    <mergeCell ref="H524:I524"/>
    <mergeCell ref="F525:G525"/>
    <mergeCell ref="H525:I525"/>
    <mergeCell ref="F526:G526"/>
    <mergeCell ref="H526:I526"/>
    <mergeCell ref="F521:G521"/>
    <mergeCell ref="H521:I521"/>
    <mergeCell ref="F522:G522"/>
    <mergeCell ref="H522:I522"/>
    <mergeCell ref="F523:G523"/>
    <mergeCell ref="H523:I523"/>
    <mergeCell ref="F536:G536"/>
    <mergeCell ref="H536:I536"/>
    <mergeCell ref="F537:G537"/>
    <mergeCell ref="H537:I537"/>
    <mergeCell ref="F538:G538"/>
    <mergeCell ref="H538:I538"/>
    <mergeCell ref="F533:G533"/>
    <mergeCell ref="H533:I533"/>
    <mergeCell ref="F534:G534"/>
    <mergeCell ref="H534:I534"/>
    <mergeCell ref="F535:G535"/>
    <mergeCell ref="H535:I535"/>
    <mergeCell ref="F530:G530"/>
    <mergeCell ref="H530:I530"/>
    <mergeCell ref="F531:G531"/>
    <mergeCell ref="H531:I531"/>
    <mergeCell ref="F532:G532"/>
    <mergeCell ref="H532:I532"/>
    <mergeCell ref="F545:G545"/>
    <mergeCell ref="H545:I545"/>
    <mergeCell ref="F546:G546"/>
    <mergeCell ref="H546:I546"/>
    <mergeCell ref="F547:G547"/>
    <mergeCell ref="H547:I547"/>
    <mergeCell ref="F542:G542"/>
    <mergeCell ref="H542:I542"/>
    <mergeCell ref="F543:G543"/>
    <mergeCell ref="H543:I543"/>
    <mergeCell ref="F544:G544"/>
    <mergeCell ref="H544:I544"/>
    <mergeCell ref="F539:G539"/>
    <mergeCell ref="H539:I539"/>
    <mergeCell ref="F540:G540"/>
    <mergeCell ref="H540:I540"/>
    <mergeCell ref="F541:G541"/>
    <mergeCell ref="H541:I541"/>
    <mergeCell ref="F558:G558"/>
    <mergeCell ref="H557:I557"/>
    <mergeCell ref="F555:G555"/>
    <mergeCell ref="F554:G554"/>
    <mergeCell ref="H554:I554"/>
    <mergeCell ref="F553:G553"/>
    <mergeCell ref="H553:I553"/>
    <mergeCell ref="F552:G552"/>
    <mergeCell ref="H552:I552"/>
    <mergeCell ref="F551:G551"/>
    <mergeCell ref="H551:I551"/>
    <mergeCell ref="F548:G548"/>
    <mergeCell ref="H548:I548"/>
    <mergeCell ref="F549:G549"/>
    <mergeCell ref="H549:I549"/>
    <mergeCell ref="F550:G550"/>
    <mergeCell ref="H550:I550"/>
    <mergeCell ref="F557:G557"/>
    <mergeCell ref="H555:I555"/>
    <mergeCell ref="F556:G556"/>
    <mergeCell ref="H556:I556"/>
    <mergeCell ref="H558:I558"/>
  </mergeCells>
  <phoneticPr fontId="16" type="noConversion"/>
  <hyperlinks>
    <hyperlink ref="E2" r:id="rId1" xr:uid="{813D1799-1400-484B-9F24-28513A31192B}"/>
  </hyperlinks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30E1-0DB6-4DDF-8090-67BFA5559C38}">
  <sheetPr codeName="Planilha5"/>
  <dimension ref="A1:A1264"/>
  <sheetViews>
    <sheetView topLeftCell="A1229" workbookViewId="0">
      <selection sqref="A1:A1264"/>
    </sheetView>
  </sheetViews>
  <sheetFormatPr defaultRowHeight="14.4" x14ac:dyDescent="0.3"/>
  <cols>
    <col min="1" max="1" width="10.5546875" bestFit="1" customWidth="1"/>
  </cols>
  <sheetData>
    <row r="1" spans="1:1" x14ac:dyDescent="0.3">
      <c r="A1" s="6">
        <v>36892</v>
      </c>
    </row>
    <row r="2" spans="1:1" x14ac:dyDescent="0.3">
      <c r="A2" s="6">
        <v>36948</v>
      </c>
    </row>
    <row r="3" spans="1:1" x14ac:dyDescent="0.3">
      <c r="A3" s="6">
        <v>36949</v>
      </c>
    </row>
    <row r="4" spans="1:1" x14ac:dyDescent="0.3">
      <c r="A4" s="6">
        <v>36994</v>
      </c>
    </row>
    <row r="5" spans="1:1" x14ac:dyDescent="0.3">
      <c r="A5" s="6">
        <v>37002</v>
      </c>
    </row>
    <row r="6" spans="1:1" x14ac:dyDescent="0.3">
      <c r="A6" s="6">
        <v>37012</v>
      </c>
    </row>
    <row r="7" spans="1:1" x14ac:dyDescent="0.3">
      <c r="A7" s="6">
        <v>37056</v>
      </c>
    </row>
    <row r="8" spans="1:1" x14ac:dyDescent="0.3">
      <c r="A8" s="6">
        <v>37141</v>
      </c>
    </row>
    <row r="9" spans="1:1" x14ac:dyDescent="0.3">
      <c r="A9" s="6">
        <v>37176</v>
      </c>
    </row>
    <row r="10" spans="1:1" x14ac:dyDescent="0.3">
      <c r="A10" s="6">
        <v>37197</v>
      </c>
    </row>
    <row r="11" spans="1:1" x14ac:dyDescent="0.3">
      <c r="A11" s="6">
        <v>37210</v>
      </c>
    </row>
    <row r="12" spans="1:1" x14ac:dyDescent="0.3">
      <c r="A12" s="6">
        <v>37250</v>
      </c>
    </row>
    <row r="13" spans="1:1" x14ac:dyDescent="0.3">
      <c r="A13" s="7">
        <v>37257</v>
      </c>
    </row>
    <row r="14" spans="1:1" x14ac:dyDescent="0.3">
      <c r="A14" s="7">
        <v>37298</v>
      </c>
    </row>
    <row r="15" spans="1:1" x14ac:dyDescent="0.3">
      <c r="A15" s="7">
        <v>37299</v>
      </c>
    </row>
    <row r="16" spans="1:1" x14ac:dyDescent="0.3">
      <c r="A16" s="7">
        <v>37344</v>
      </c>
    </row>
    <row r="17" spans="1:1" x14ac:dyDescent="0.3">
      <c r="A17" s="7">
        <v>37367</v>
      </c>
    </row>
    <row r="18" spans="1:1" x14ac:dyDescent="0.3">
      <c r="A18" s="7">
        <v>37377</v>
      </c>
    </row>
    <row r="19" spans="1:1" x14ac:dyDescent="0.3">
      <c r="A19" s="7">
        <v>37406</v>
      </c>
    </row>
    <row r="20" spans="1:1" x14ac:dyDescent="0.3">
      <c r="A20" s="7">
        <v>37506</v>
      </c>
    </row>
    <row r="21" spans="1:1" x14ac:dyDescent="0.3">
      <c r="A21" s="7">
        <v>37541</v>
      </c>
    </row>
    <row r="22" spans="1:1" x14ac:dyDescent="0.3">
      <c r="A22" s="7">
        <v>37562</v>
      </c>
    </row>
    <row r="23" spans="1:1" x14ac:dyDescent="0.3">
      <c r="A23" s="7">
        <v>37575</v>
      </c>
    </row>
    <row r="24" spans="1:1" x14ac:dyDescent="0.3">
      <c r="A24" s="7">
        <v>37615</v>
      </c>
    </row>
    <row r="25" spans="1:1" x14ac:dyDescent="0.3">
      <c r="A25" s="6">
        <v>37622</v>
      </c>
    </row>
    <row r="26" spans="1:1" x14ac:dyDescent="0.3">
      <c r="A26" s="6">
        <v>37683</v>
      </c>
    </row>
    <row r="27" spans="1:1" x14ac:dyDescent="0.3">
      <c r="A27" s="6">
        <v>37684</v>
      </c>
    </row>
    <row r="28" spans="1:1" x14ac:dyDescent="0.3">
      <c r="A28" s="6">
        <v>37729</v>
      </c>
    </row>
    <row r="29" spans="1:1" x14ac:dyDescent="0.3">
      <c r="A29" s="6">
        <v>37732</v>
      </c>
    </row>
    <row r="30" spans="1:1" x14ac:dyDescent="0.3">
      <c r="A30" s="6">
        <v>37742</v>
      </c>
    </row>
    <row r="31" spans="1:1" x14ac:dyDescent="0.3">
      <c r="A31" s="6">
        <v>37791</v>
      </c>
    </row>
    <row r="32" spans="1:1" x14ac:dyDescent="0.3">
      <c r="A32" s="6">
        <v>37871</v>
      </c>
    </row>
    <row r="33" spans="1:1" x14ac:dyDescent="0.3">
      <c r="A33" s="6">
        <v>37906</v>
      </c>
    </row>
    <row r="34" spans="1:1" x14ac:dyDescent="0.3">
      <c r="A34" s="6">
        <v>37927</v>
      </c>
    </row>
    <row r="35" spans="1:1" x14ac:dyDescent="0.3">
      <c r="A35" s="6">
        <v>37940</v>
      </c>
    </row>
    <row r="36" spans="1:1" x14ac:dyDescent="0.3">
      <c r="A36" s="6">
        <v>37980</v>
      </c>
    </row>
    <row r="37" spans="1:1" x14ac:dyDescent="0.3">
      <c r="A37" s="7">
        <v>37987</v>
      </c>
    </row>
    <row r="38" spans="1:1" x14ac:dyDescent="0.3">
      <c r="A38" s="7">
        <v>38040</v>
      </c>
    </row>
    <row r="39" spans="1:1" x14ac:dyDescent="0.3">
      <c r="A39" s="7">
        <v>38041</v>
      </c>
    </row>
    <row r="40" spans="1:1" x14ac:dyDescent="0.3">
      <c r="A40" s="7">
        <v>38086</v>
      </c>
    </row>
    <row r="41" spans="1:1" x14ac:dyDescent="0.3">
      <c r="A41" s="7">
        <v>38098</v>
      </c>
    </row>
    <row r="42" spans="1:1" x14ac:dyDescent="0.3">
      <c r="A42" s="7">
        <v>38108</v>
      </c>
    </row>
    <row r="43" spans="1:1" x14ac:dyDescent="0.3">
      <c r="A43" s="7">
        <v>38148</v>
      </c>
    </row>
    <row r="44" spans="1:1" x14ac:dyDescent="0.3">
      <c r="A44" s="7">
        <v>38237</v>
      </c>
    </row>
    <row r="45" spans="1:1" x14ac:dyDescent="0.3">
      <c r="A45" s="7">
        <v>38272</v>
      </c>
    </row>
    <row r="46" spans="1:1" x14ac:dyDescent="0.3">
      <c r="A46" s="7">
        <v>38293</v>
      </c>
    </row>
    <row r="47" spans="1:1" x14ac:dyDescent="0.3">
      <c r="A47" s="7">
        <v>38306</v>
      </c>
    </row>
    <row r="48" spans="1:1" x14ac:dyDescent="0.3">
      <c r="A48" s="7">
        <v>38346</v>
      </c>
    </row>
    <row r="49" spans="1:1" x14ac:dyDescent="0.3">
      <c r="A49" s="6">
        <v>38353</v>
      </c>
    </row>
    <row r="50" spans="1:1" x14ac:dyDescent="0.3">
      <c r="A50" s="6">
        <v>38390</v>
      </c>
    </row>
    <row r="51" spans="1:1" x14ac:dyDescent="0.3">
      <c r="A51" s="6">
        <v>38391</v>
      </c>
    </row>
    <row r="52" spans="1:1" x14ac:dyDescent="0.3">
      <c r="A52" s="6">
        <v>38436</v>
      </c>
    </row>
    <row r="53" spans="1:1" x14ac:dyDescent="0.3">
      <c r="A53" s="6">
        <v>38463</v>
      </c>
    </row>
    <row r="54" spans="1:1" x14ac:dyDescent="0.3">
      <c r="A54" s="6">
        <v>38473</v>
      </c>
    </row>
    <row r="55" spans="1:1" x14ac:dyDescent="0.3">
      <c r="A55" s="6">
        <v>38498</v>
      </c>
    </row>
    <row r="56" spans="1:1" x14ac:dyDescent="0.3">
      <c r="A56" s="6">
        <v>38602</v>
      </c>
    </row>
    <row r="57" spans="1:1" x14ac:dyDescent="0.3">
      <c r="A57" s="6">
        <v>38637</v>
      </c>
    </row>
    <row r="58" spans="1:1" x14ac:dyDescent="0.3">
      <c r="A58" s="6">
        <v>38658</v>
      </c>
    </row>
    <row r="59" spans="1:1" x14ac:dyDescent="0.3">
      <c r="A59" s="6">
        <v>38671</v>
      </c>
    </row>
    <row r="60" spans="1:1" x14ac:dyDescent="0.3">
      <c r="A60" s="6">
        <v>38711</v>
      </c>
    </row>
    <row r="61" spans="1:1" x14ac:dyDescent="0.3">
      <c r="A61" s="7">
        <v>38718</v>
      </c>
    </row>
    <row r="62" spans="1:1" x14ac:dyDescent="0.3">
      <c r="A62" s="7">
        <v>38775</v>
      </c>
    </row>
    <row r="63" spans="1:1" x14ac:dyDescent="0.3">
      <c r="A63" s="7">
        <v>38776</v>
      </c>
    </row>
    <row r="64" spans="1:1" x14ac:dyDescent="0.3">
      <c r="A64" s="7">
        <v>38821</v>
      </c>
    </row>
    <row r="65" spans="1:1" x14ac:dyDescent="0.3">
      <c r="A65" s="7">
        <v>38828</v>
      </c>
    </row>
    <row r="66" spans="1:1" x14ac:dyDescent="0.3">
      <c r="A66" s="7">
        <v>38838</v>
      </c>
    </row>
    <row r="67" spans="1:1" x14ac:dyDescent="0.3">
      <c r="A67" s="7">
        <v>38883</v>
      </c>
    </row>
    <row r="68" spans="1:1" x14ac:dyDescent="0.3">
      <c r="A68" s="7">
        <v>38967</v>
      </c>
    </row>
    <row r="69" spans="1:1" x14ac:dyDescent="0.3">
      <c r="A69" s="7">
        <v>39002</v>
      </c>
    </row>
    <row r="70" spans="1:1" x14ac:dyDescent="0.3">
      <c r="A70" s="7">
        <v>39023</v>
      </c>
    </row>
    <row r="71" spans="1:1" x14ac:dyDescent="0.3">
      <c r="A71" s="7">
        <v>39036</v>
      </c>
    </row>
    <row r="72" spans="1:1" x14ac:dyDescent="0.3">
      <c r="A72" s="7">
        <v>39076</v>
      </c>
    </row>
    <row r="73" spans="1:1" x14ac:dyDescent="0.3">
      <c r="A73" s="6">
        <v>39083</v>
      </c>
    </row>
    <row r="74" spans="1:1" x14ac:dyDescent="0.3">
      <c r="A74" s="6">
        <v>39132</v>
      </c>
    </row>
    <row r="75" spans="1:1" x14ac:dyDescent="0.3">
      <c r="A75" s="6">
        <v>39133</v>
      </c>
    </row>
    <row r="76" spans="1:1" x14ac:dyDescent="0.3">
      <c r="A76" s="6">
        <v>39178</v>
      </c>
    </row>
    <row r="77" spans="1:1" x14ac:dyDescent="0.3">
      <c r="A77" s="6">
        <v>39193</v>
      </c>
    </row>
    <row r="78" spans="1:1" x14ac:dyDescent="0.3">
      <c r="A78" s="6">
        <v>39203</v>
      </c>
    </row>
    <row r="79" spans="1:1" x14ac:dyDescent="0.3">
      <c r="A79" s="6">
        <v>39240</v>
      </c>
    </row>
    <row r="80" spans="1:1" x14ac:dyDescent="0.3">
      <c r="A80" s="6">
        <v>39332</v>
      </c>
    </row>
    <row r="81" spans="1:1" x14ac:dyDescent="0.3">
      <c r="A81" s="6">
        <v>39367</v>
      </c>
    </row>
    <row r="82" spans="1:1" x14ac:dyDescent="0.3">
      <c r="A82" s="6">
        <v>39388</v>
      </c>
    </row>
    <row r="83" spans="1:1" x14ac:dyDescent="0.3">
      <c r="A83" s="6">
        <v>39401</v>
      </c>
    </row>
    <row r="84" spans="1:1" x14ac:dyDescent="0.3">
      <c r="A84" s="6">
        <v>39441</v>
      </c>
    </row>
    <row r="85" spans="1:1" x14ac:dyDescent="0.3">
      <c r="A85" s="7">
        <v>39448</v>
      </c>
    </row>
    <row r="86" spans="1:1" x14ac:dyDescent="0.3">
      <c r="A86" s="7">
        <v>39482</v>
      </c>
    </row>
    <row r="87" spans="1:1" x14ac:dyDescent="0.3">
      <c r="A87" s="7">
        <v>39483</v>
      </c>
    </row>
    <row r="88" spans="1:1" x14ac:dyDescent="0.3">
      <c r="A88" s="7">
        <v>39528</v>
      </c>
    </row>
    <row r="89" spans="1:1" x14ac:dyDescent="0.3">
      <c r="A89" s="7">
        <v>39559</v>
      </c>
    </row>
    <row r="90" spans="1:1" x14ac:dyDescent="0.3">
      <c r="A90" s="7">
        <v>39569</v>
      </c>
    </row>
    <row r="91" spans="1:1" x14ac:dyDescent="0.3">
      <c r="A91" s="7">
        <v>39590</v>
      </c>
    </row>
    <row r="92" spans="1:1" x14ac:dyDescent="0.3">
      <c r="A92" s="7">
        <v>39698</v>
      </c>
    </row>
    <row r="93" spans="1:1" x14ac:dyDescent="0.3">
      <c r="A93" s="7">
        <v>39733</v>
      </c>
    </row>
    <row r="94" spans="1:1" x14ac:dyDescent="0.3">
      <c r="A94" s="7">
        <v>39754</v>
      </c>
    </row>
    <row r="95" spans="1:1" x14ac:dyDescent="0.3">
      <c r="A95" s="7">
        <v>39767</v>
      </c>
    </row>
    <row r="96" spans="1:1" x14ac:dyDescent="0.3">
      <c r="A96" s="7">
        <v>39807</v>
      </c>
    </row>
    <row r="97" spans="1:1" x14ac:dyDescent="0.3">
      <c r="A97" s="6">
        <v>39814</v>
      </c>
    </row>
    <row r="98" spans="1:1" x14ac:dyDescent="0.3">
      <c r="A98" s="6">
        <v>39867</v>
      </c>
    </row>
    <row r="99" spans="1:1" x14ac:dyDescent="0.3">
      <c r="A99" s="6">
        <v>39868</v>
      </c>
    </row>
    <row r="100" spans="1:1" x14ac:dyDescent="0.3">
      <c r="A100" s="6">
        <v>39913</v>
      </c>
    </row>
    <row r="101" spans="1:1" x14ac:dyDescent="0.3">
      <c r="A101" s="6">
        <v>39924</v>
      </c>
    </row>
    <row r="102" spans="1:1" x14ac:dyDescent="0.3">
      <c r="A102" s="6">
        <v>39934</v>
      </c>
    </row>
    <row r="103" spans="1:1" x14ac:dyDescent="0.3">
      <c r="A103" s="6">
        <v>39975</v>
      </c>
    </row>
    <row r="104" spans="1:1" x14ac:dyDescent="0.3">
      <c r="A104" s="6">
        <v>40063</v>
      </c>
    </row>
    <row r="105" spans="1:1" x14ac:dyDescent="0.3">
      <c r="A105" s="6">
        <v>40098</v>
      </c>
    </row>
    <row r="106" spans="1:1" x14ac:dyDescent="0.3">
      <c r="A106" s="6">
        <v>40119</v>
      </c>
    </row>
    <row r="107" spans="1:1" x14ac:dyDescent="0.3">
      <c r="A107" s="6">
        <v>40132</v>
      </c>
    </row>
    <row r="108" spans="1:1" x14ac:dyDescent="0.3">
      <c r="A108" s="6">
        <v>40172</v>
      </c>
    </row>
    <row r="109" spans="1:1" x14ac:dyDescent="0.3">
      <c r="A109" s="7">
        <v>40179</v>
      </c>
    </row>
    <row r="110" spans="1:1" x14ac:dyDescent="0.3">
      <c r="A110" s="7">
        <v>40224</v>
      </c>
    </row>
    <row r="111" spans="1:1" x14ac:dyDescent="0.3">
      <c r="A111" s="7">
        <v>40225</v>
      </c>
    </row>
    <row r="112" spans="1:1" x14ac:dyDescent="0.3">
      <c r="A112" s="7">
        <v>40270</v>
      </c>
    </row>
    <row r="113" spans="1:1" x14ac:dyDescent="0.3">
      <c r="A113" s="7">
        <v>40289</v>
      </c>
    </row>
    <row r="114" spans="1:1" x14ac:dyDescent="0.3">
      <c r="A114" s="7">
        <v>40299</v>
      </c>
    </row>
    <row r="115" spans="1:1" x14ac:dyDescent="0.3">
      <c r="A115" s="7">
        <v>40332</v>
      </c>
    </row>
    <row r="116" spans="1:1" x14ac:dyDescent="0.3">
      <c r="A116" s="7">
        <v>40428</v>
      </c>
    </row>
    <row r="117" spans="1:1" x14ac:dyDescent="0.3">
      <c r="A117" s="7">
        <v>40463</v>
      </c>
    </row>
    <row r="118" spans="1:1" x14ac:dyDescent="0.3">
      <c r="A118" s="7">
        <v>40484</v>
      </c>
    </row>
    <row r="119" spans="1:1" x14ac:dyDescent="0.3">
      <c r="A119" s="7">
        <v>40497</v>
      </c>
    </row>
    <row r="120" spans="1:1" x14ac:dyDescent="0.3">
      <c r="A120" s="7">
        <v>40537</v>
      </c>
    </row>
    <row r="121" spans="1:1" x14ac:dyDescent="0.3">
      <c r="A121" s="6">
        <v>40544</v>
      </c>
    </row>
    <row r="122" spans="1:1" x14ac:dyDescent="0.3">
      <c r="A122" s="6">
        <v>40609</v>
      </c>
    </row>
    <row r="123" spans="1:1" x14ac:dyDescent="0.3">
      <c r="A123" s="6">
        <v>40610</v>
      </c>
    </row>
    <row r="124" spans="1:1" x14ac:dyDescent="0.3">
      <c r="A124" s="6">
        <v>40654</v>
      </c>
    </row>
    <row r="125" spans="1:1" x14ac:dyDescent="0.3">
      <c r="A125" s="6">
        <v>40655</v>
      </c>
    </row>
    <row r="126" spans="1:1" x14ac:dyDescent="0.3">
      <c r="A126" s="6">
        <v>40664</v>
      </c>
    </row>
    <row r="127" spans="1:1" x14ac:dyDescent="0.3">
      <c r="A127" s="6">
        <v>40717</v>
      </c>
    </row>
    <row r="128" spans="1:1" x14ac:dyDescent="0.3">
      <c r="A128" s="6">
        <v>40793</v>
      </c>
    </row>
    <row r="129" spans="1:1" x14ac:dyDescent="0.3">
      <c r="A129" s="6">
        <v>40828</v>
      </c>
    </row>
    <row r="130" spans="1:1" x14ac:dyDescent="0.3">
      <c r="A130" s="6">
        <v>40849</v>
      </c>
    </row>
    <row r="131" spans="1:1" x14ac:dyDescent="0.3">
      <c r="A131" s="6">
        <v>40862</v>
      </c>
    </row>
    <row r="132" spans="1:1" x14ac:dyDescent="0.3">
      <c r="A132" s="6">
        <v>40902</v>
      </c>
    </row>
    <row r="133" spans="1:1" x14ac:dyDescent="0.3">
      <c r="A133" s="7">
        <v>40909</v>
      </c>
    </row>
    <row r="134" spans="1:1" x14ac:dyDescent="0.3">
      <c r="A134" s="7">
        <v>40959</v>
      </c>
    </row>
    <row r="135" spans="1:1" x14ac:dyDescent="0.3">
      <c r="A135" s="7">
        <v>40960</v>
      </c>
    </row>
    <row r="136" spans="1:1" x14ac:dyDescent="0.3">
      <c r="A136" s="7">
        <v>41005</v>
      </c>
    </row>
    <row r="137" spans="1:1" x14ac:dyDescent="0.3">
      <c r="A137" s="7">
        <v>41020</v>
      </c>
    </row>
    <row r="138" spans="1:1" x14ac:dyDescent="0.3">
      <c r="A138" s="7">
        <v>41030</v>
      </c>
    </row>
    <row r="139" spans="1:1" x14ac:dyDescent="0.3">
      <c r="A139" s="7">
        <v>41067</v>
      </c>
    </row>
    <row r="140" spans="1:1" x14ac:dyDescent="0.3">
      <c r="A140" s="7">
        <v>41159</v>
      </c>
    </row>
    <row r="141" spans="1:1" x14ac:dyDescent="0.3">
      <c r="A141" s="7">
        <v>41194</v>
      </c>
    </row>
    <row r="142" spans="1:1" x14ac:dyDescent="0.3">
      <c r="A142" s="7">
        <v>41215</v>
      </c>
    </row>
    <row r="143" spans="1:1" x14ac:dyDescent="0.3">
      <c r="A143" s="7">
        <v>41228</v>
      </c>
    </row>
    <row r="144" spans="1:1" x14ac:dyDescent="0.3">
      <c r="A144" s="7">
        <v>41268</v>
      </c>
    </row>
    <row r="145" spans="1:1" x14ac:dyDescent="0.3">
      <c r="A145" s="6">
        <v>41275</v>
      </c>
    </row>
    <row r="146" spans="1:1" x14ac:dyDescent="0.3">
      <c r="A146" s="6">
        <v>41316</v>
      </c>
    </row>
    <row r="147" spans="1:1" x14ac:dyDescent="0.3">
      <c r="A147" s="6">
        <v>41317</v>
      </c>
    </row>
    <row r="148" spans="1:1" x14ac:dyDescent="0.3">
      <c r="A148" s="6">
        <v>41362</v>
      </c>
    </row>
    <row r="149" spans="1:1" x14ac:dyDescent="0.3">
      <c r="A149" s="6">
        <v>41385</v>
      </c>
    </row>
    <row r="150" spans="1:1" x14ac:dyDescent="0.3">
      <c r="A150" s="6">
        <v>41395</v>
      </c>
    </row>
    <row r="151" spans="1:1" x14ac:dyDescent="0.3">
      <c r="A151" s="6">
        <v>41424</v>
      </c>
    </row>
    <row r="152" spans="1:1" x14ac:dyDescent="0.3">
      <c r="A152" s="6">
        <v>41524</v>
      </c>
    </row>
    <row r="153" spans="1:1" x14ac:dyDescent="0.3">
      <c r="A153" s="6">
        <v>41559</v>
      </c>
    </row>
    <row r="154" spans="1:1" x14ac:dyDescent="0.3">
      <c r="A154" s="6">
        <v>41580</v>
      </c>
    </row>
    <row r="155" spans="1:1" x14ac:dyDescent="0.3">
      <c r="A155" s="6">
        <v>41593</v>
      </c>
    </row>
    <row r="156" spans="1:1" x14ac:dyDescent="0.3">
      <c r="A156" s="6">
        <v>41633</v>
      </c>
    </row>
    <row r="157" spans="1:1" x14ac:dyDescent="0.3">
      <c r="A157" s="7">
        <v>41640</v>
      </c>
    </row>
    <row r="158" spans="1:1" x14ac:dyDescent="0.3">
      <c r="A158" s="7">
        <v>41701</v>
      </c>
    </row>
    <row r="159" spans="1:1" x14ac:dyDescent="0.3">
      <c r="A159" s="7">
        <v>41702</v>
      </c>
    </row>
    <row r="160" spans="1:1" x14ac:dyDescent="0.3">
      <c r="A160" s="7">
        <v>41747</v>
      </c>
    </row>
    <row r="161" spans="1:1" x14ac:dyDescent="0.3">
      <c r="A161" s="7">
        <v>41750</v>
      </c>
    </row>
    <row r="162" spans="1:1" x14ac:dyDescent="0.3">
      <c r="A162" s="7">
        <v>41760</v>
      </c>
    </row>
    <row r="163" spans="1:1" x14ac:dyDescent="0.3">
      <c r="A163" s="7">
        <v>41809</v>
      </c>
    </row>
    <row r="164" spans="1:1" x14ac:dyDescent="0.3">
      <c r="A164" s="7">
        <v>41889</v>
      </c>
    </row>
    <row r="165" spans="1:1" x14ac:dyDescent="0.3">
      <c r="A165" s="7">
        <v>41924</v>
      </c>
    </row>
    <row r="166" spans="1:1" x14ac:dyDescent="0.3">
      <c r="A166" s="7">
        <v>41945</v>
      </c>
    </row>
    <row r="167" spans="1:1" x14ac:dyDescent="0.3">
      <c r="A167" s="7">
        <v>41958</v>
      </c>
    </row>
    <row r="168" spans="1:1" x14ac:dyDescent="0.3">
      <c r="A168" s="7">
        <v>41998</v>
      </c>
    </row>
    <row r="169" spans="1:1" x14ac:dyDescent="0.3">
      <c r="A169" s="6">
        <v>42005</v>
      </c>
    </row>
    <row r="170" spans="1:1" x14ac:dyDescent="0.3">
      <c r="A170" s="6">
        <v>42051</v>
      </c>
    </row>
    <row r="171" spans="1:1" x14ac:dyDescent="0.3">
      <c r="A171" s="6">
        <v>42052</v>
      </c>
    </row>
    <row r="172" spans="1:1" x14ac:dyDescent="0.3">
      <c r="A172" s="6">
        <v>42097</v>
      </c>
    </row>
    <row r="173" spans="1:1" x14ac:dyDescent="0.3">
      <c r="A173" s="6">
        <v>42115</v>
      </c>
    </row>
    <row r="174" spans="1:1" x14ac:dyDescent="0.3">
      <c r="A174" s="6">
        <v>42125</v>
      </c>
    </row>
    <row r="175" spans="1:1" x14ac:dyDescent="0.3">
      <c r="A175" s="6">
        <v>42159</v>
      </c>
    </row>
    <row r="176" spans="1:1" x14ac:dyDescent="0.3">
      <c r="A176" s="6">
        <v>42254</v>
      </c>
    </row>
    <row r="177" spans="1:1" x14ac:dyDescent="0.3">
      <c r="A177" s="6">
        <v>42289</v>
      </c>
    </row>
    <row r="178" spans="1:1" x14ac:dyDescent="0.3">
      <c r="A178" s="6">
        <v>42310</v>
      </c>
    </row>
    <row r="179" spans="1:1" x14ac:dyDescent="0.3">
      <c r="A179" s="6">
        <v>42323</v>
      </c>
    </row>
    <row r="180" spans="1:1" x14ac:dyDescent="0.3">
      <c r="A180" s="6">
        <v>42363</v>
      </c>
    </row>
    <row r="181" spans="1:1" x14ac:dyDescent="0.3">
      <c r="A181" s="7">
        <v>42370</v>
      </c>
    </row>
    <row r="182" spans="1:1" x14ac:dyDescent="0.3">
      <c r="A182" s="7">
        <v>42408</v>
      </c>
    </row>
    <row r="183" spans="1:1" x14ac:dyDescent="0.3">
      <c r="A183" s="7">
        <v>42409</v>
      </c>
    </row>
    <row r="184" spans="1:1" x14ac:dyDescent="0.3">
      <c r="A184" s="7">
        <v>42454</v>
      </c>
    </row>
    <row r="185" spans="1:1" x14ac:dyDescent="0.3">
      <c r="A185" s="7">
        <v>42481</v>
      </c>
    </row>
    <row r="186" spans="1:1" x14ac:dyDescent="0.3">
      <c r="A186" s="7">
        <v>42491</v>
      </c>
    </row>
    <row r="187" spans="1:1" x14ac:dyDescent="0.3">
      <c r="A187" s="7">
        <v>42516</v>
      </c>
    </row>
    <row r="188" spans="1:1" x14ac:dyDescent="0.3">
      <c r="A188" s="7">
        <v>42620</v>
      </c>
    </row>
    <row r="189" spans="1:1" x14ac:dyDescent="0.3">
      <c r="A189" s="7">
        <v>42655</v>
      </c>
    </row>
    <row r="190" spans="1:1" x14ac:dyDescent="0.3">
      <c r="A190" s="7">
        <v>42676</v>
      </c>
    </row>
    <row r="191" spans="1:1" x14ac:dyDescent="0.3">
      <c r="A191" s="7">
        <v>42689</v>
      </c>
    </row>
    <row r="192" spans="1:1" x14ac:dyDescent="0.3">
      <c r="A192" s="7">
        <v>42729</v>
      </c>
    </row>
    <row r="193" spans="1:1" x14ac:dyDescent="0.3">
      <c r="A193" s="6">
        <v>42736</v>
      </c>
    </row>
    <row r="194" spans="1:1" x14ac:dyDescent="0.3">
      <c r="A194" s="6">
        <v>42793</v>
      </c>
    </row>
    <row r="195" spans="1:1" x14ac:dyDescent="0.3">
      <c r="A195" s="6">
        <v>42794</v>
      </c>
    </row>
    <row r="196" spans="1:1" x14ac:dyDescent="0.3">
      <c r="A196" s="6">
        <v>42839</v>
      </c>
    </row>
    <row r="197" spans="1:1" x14ac:dyDescent="0.3">
      <c r="A197" s="6">
        <v>42846</v>
      </c>
    </row>
    <row r="198" spans="1:1" x14ac:dyDescent="0.3">
      <c r="A198" s="6">
        <v>42856</v>
      </c>
    </row>
    <row r="199" spans="1:1" x14ac:dyDescent="0.3">
      <c r="A199" s="6">
        <v>42901</v>
      </c>
    </row>
    <row r="200" spans="1:1" x14ac:dyDescent="0.3">
      <c r="A200" s="6">
        <v>42985</v>
      </c>
    </row>
    <row r="201" spans="1:1" x14ac:dyDescent="0.3">
      <c r="A201" s="6">
        <v>43020</v>
      </c>
    </row>
    <row r="202" spans="1:1" x14ac:dyDescent="0.3">
      <c r="A202" s="6">
        <v>43041</v>
      </c>
    </row>
    <row r="203" spans="1:1" x14ac:dyDescent="0.3">
      <c r="A203" s="6">
        <v>43054</v>
      </c>
    </row>
    <row r="204" spans="1:1" x14ac:dyDescent="0.3">
      <c r="A204" s="6">
        <v>43094</v>
      </c>
    </row>
    <row r="205" spans="1:1" x14ac:dyDescent="0.3">
      <c r="A205" s="7">
        <v>43101</v>
      </c>
    </row>
    <row r="206" spans="1:1" x14ac:dyDescent="0.3">
      <c r="A206" s="7">
        <v>43143</v>
      </c>
    </row>
    <row r="207" spans="1:1" x14ac:dyDescent="0.3">
      <c r="A207" s="7">
        <v>43144</v>
      </c>
    </row>
    <row r="208" spans="1:1" x14ac:dyDescent="0.3">
      <c r="A208" s="7">
        <v>43189</v>
      </c>
    </row>
    <row r="209" spans="1:1" x14ac:dyDescent="0.3">
      <c r="A209" s="7">
        <v>43211</v>
      </c>
    </row>
    <row r="210" spans="1:1" x14ac:dyDescent="0.3">
      <c r="A210" s="7">
        <v>43221</v>
      </c>
    </row>
    <row r="211" spans="1:1" x14ac:dyDescent="0.3">
      <c r="A211" s="7">
        <v>43251</v>
      </c>
    </row>
    <row r="212" spans="1:1" x14ac:dyDescent="0.3">
      <c r="A212" s="7">
        <v>43350</v>
      </c>
    </row>
    <row r="213" spans="1:1" x14ac:dyDescent="0.3">
      <c r="A213" s="7">
        <v>43385</v>
      </c>
    </row>
    <row r="214" spans="1:1" x14ac:dyDescent="0.3">
      <c r="A214" s="7">
        <v>43406</v>
      </c>
    </row>
    <row r="215" spans="1:1" x14ac:dyDescent="0.3">
      <c r="A215" s="7">
        <v>43419</v>
      </c>
    </row>
    <row r="216" spans="1:1" x14ac:dyDescent="0.3">
      <c r="A216" s="7">
        <v>43459</v>
      </c>
    </row>
    <row r="217" spans="1:1" x14ac:dyDescent="0.3">
      <c r="A217" s="6">
        <v>43466</v>
      </c>
    </row>
    <row r="218" spans="1:1" x14ac:dyDescent="0.3">
      <c r="A218" s="6">
        <v>43528</v>
      </c>
    </row>
    <row r="219" spans="1:1" x14ac:dyDescent="0.3">
      <c r="A219" s="6">
        <v>43529</v>
      </c>
    </row>
    <row r="220" spans="1:1" x14ac:dyDescent="0.3">
      <c r="A220" s="6">
        <v>43574</v>
      </c>
    </row>
    <row r="221" spans="1:1" x14ac:dyDescent="0.3">
      <c r="A221" s="6">
        <v>43576</v>
      </c>
    </row>
    <row r="222" spans="1:1" x14ac:dyDescent="0.3">
      <c r="A222" s="6">
        <v>43586</v>
      </c>
    </row>
    <row r="223" spans="1:1" x14ac:dyDescent="0.3">
      <c r="A223" s="6">
        <v>43636</v>
      </c>
    </row>
    <row r="224" spans="1:1" x14ac:dyDescent="0.3">
      <c r="A224" s="6">
        <v>43715</v>
      </c>
    </row>
    <row r="225" spans="1:1" x14ac:dyDescent="0.3">
      <c r="A225" s="6">
        <v>43750</v>
      </c>
    </row>
    <row r="226" spans="1:1" x14ac:dyDescent="0.3">
      <c r="A226" s="6">
        <v>43771</v>
      </c>
    </row>
    <row r="227" spans="1:1" x14ac:dyDescent="0.3">
      <c r="A227" s="6">
        <v>43784</v>
      </c>
    </row>
    <row r="228" spans="1:1" x14ac:dyDescent="0.3">
      <c r="A228" s="6">
        <v>43824</v>
      </c>
    </row>
    <row r="229" spans="1:1" x14ac:dyDescent="0.3">
      <c r="A229" s="7">
        <v>43831</v>
      </c>
    </row>
    <row r="230" spans="1:1" x14ac:dyDescent="0.3">
      <c r="A230" s="7">
        <v>43885</v>
      </c>
    </row>
    <row r="231" spans="1:1" x14ac:dyDescent="0.3">
      <c r="A231" s="7">
        <v>43886</v>
      </c>
    </row>
    <row r="232" spans="1:1" x14ac:dyDescent="0.3">
      <c r="A232" s="7">
        <v>43931</v>
      </c>
    </row>
    <row r="233" spans="1:1" x14ac:dyDescent="0.3">
      <c r="A233" s="7">
        <v>43942</v>
      </c>
    </row>
    <row r="234" spans="1:1" x14ac:dyDescent="0.3">
      <c r="A234" s="7">
        <v>43952</v>
      </c>
    </row>
    <row r="235" spans="1:1" x14ac:dyDescent="0.3">
      <c r="A235" s="7">
        <v>43993</v>
      </c>
    </row>
    <row r="236" spans="1:1" x14ac:dyDescent="0.3">
      <c r="A236" s="7">
        <v>44081</v>
      </c>
    </row>
    <row r="237" spans="1:1" x14ac:dyDescent="0.3">
      <c r="A237" s="7">
        <v>44116</v>
      </c>
    </row>
    <row r="238" spans="1:1" x14ac:dyDescent="0.3">
      <c r="A238" s="7">
        <v>44137</v>
      </c>
    </row>
    <row r="239" spans="1:1" x14ac:dyDescent="0.3">
      <c r="A239" s="7">
        <v>44150</v>
      </c>
    </row>
    <row r="240" spans="1:1" x14ac:dyDescent="0.3">
      <c r="A240" s="7">
        <v>44190</v>
      </c>
    </row>
    <row r="241" spans="1:1" x14ac:dyDescent="0.3">
      <c r="A241" s="6">
        <v>44197</v>
      </c>
    </row>
    <row r="242" spans="1:1" x14ac:dyDescent="0.3">
      <c r="A242" s="6">
        <v>44242</v>
      </c>
    </row>
    <row r="243" spans="1:1" x14ac:dyDescent="0.3">
      <c r="A243" s="6">
        <v>44243</v>
      </c>
    </row>
    <row r="244" spans="1:1" x14ac:dyDescent="0.3">
      <c r="A244" s="6">
        <v>44288</v>
      </c>
    </row>
    <row r="245" spans="1:1" x14ac:dyDescent="0.3">
      <c r="A245" s="6">
        <v>44307</v>
      </c>
    </row>
    <row r="246" spans="1:1" x14ac:dyDescent="0.3">
      <c r="A246" s="6">
        <v>44317</v>
      </c>
    </row>
    <row r="247" spans="1:1" x14ac:dyDescent="0.3">
      <c r="A247" s="6">
        <v>44350</v>
      </c>
    </row>
    <row r="248" spans="1:1" x14ac:dyDescent="0.3">
      <c r="A248" s="6">
        <v>44446</v>
      </c>
    </row>
    <row r="249" spans="1:1" x14ac:dyDescent="0.3">
      <c r="A249" s="6">
        <v>44481</v>
      </c>
    </row>
    <row r="250" spans="1:1" x14ac:dyDescent="0.3">
      <c r="A250" s="6">
        <v>44502</v>
      </c>
    </row>
    <row r="251" spans="1:1" x14ac:dyDescent="0.3">
      <c r="A251" s="6">
        <v>44515</v>
      </c>
    </row>
    <row r="252" spans="1:1" x14ac:dyDescent="0.3">
      <c r="A252" s="6">
        <v>44555</v>
      </c>
    </row>
    <row r="253" spans="1:1" x14ac:dyDescent="0.3">
      <c r="A253" s="7">
        <v>44562</v>
      </c>
    </row>
    <row r="254" spans="1:1" x14ac:dyDescent="0.3">
      <c r="A254" s="7">
        <v>44620</v>
      </c>
    </row>
    <row r="255" spans="1:1" x14ac:dyDescent="0.3">
      <c r="A255" s="7">
        <v>44621</v>
      </c>
    </row>
    <row r="256" spans="1:1" x14ac:dyDescent="0.3">
      <c r="A256" s="7">
        <v>44666</v>
      </c>
    </row>
    <row r="257" spans="1:1" x14ac:dyDescent="0.3">
      <c r="A257" s="7">
        <v>44672</v>
      </c>
    </row>
    <row r="258" spans="1:1" x14ac:dyDescent="0.3">
      <c r="A258" s="7">
        <v>44682</v>
      </c>
    </row>
    <row r="259" spans="1:1" x14ac:dyDescent="0.3">
      <c r="A259" s="7">
        <v>44728</v>
      </c>
    </row>
    <row r="260" spans="1:1" x14ac:dyDescent="0.3">
      <c r="A260" s="7">
        <v>44811</v>
      </c>
    </row>
    <row r="261" spans="1:1" x14ac:dyDescent="0.3">
      <c r="A261" s="7">
        <v>44846</v>
      </c>
    </row>
    <row r="262" spans="1:1" x14ac:dyDescent="0.3">
      <c r="A262" s="7">
        <v>44867</v>
      </c>
    </row>
    <row r="263" spans="1:1" x14ac:dyDescent="0.3">
      <c r="A263" s="7">
        <v>44880</v>
      </c>
    </row>
    <row r="264" spans="1:1" x14ac:dyDescent="0.3">
      <c r="A264" s="7">
        <v>44920</v>
      </c>
    </row>
    <row r="265" spans="1:1" x14ac:dyDescent="0.3">
      <c r="A265" s="6">
        <v>44927</v>
      </c>
    </row>
    <row r="266" spans="1:1" x14ac:dyDescent="0.3">
      <c r="A266" s="6">
        <v>44977</v>
      </c>
    </row>
    <row r="267" spans="1:1" x14ac:dyDescent="0.3">
      <c r="A267" s="6">
        <v>44978</v>
      </c>
    </row>
    <row r="268" spans="1:1" x14ac:dyDescent="0.3">
      <c r="A268" s="6">
        <v>45023</v>
      </c>
    </row>
    <row r="269" spans="1:1" x14ac:dyDescent="0.3">
      <c r="A269" s="6">
        <v>45037</v>
      </c>
    </row>
    <row r="270" spans="1:1" x14ac:dyDescent="0.3">
      <c r="A270" s="6">
        <v>45047</v>
      </c>
    </row>
    <row r="271" spans="1:1" x14ac:dyDescent="0.3">
      <c r="A271" s="6">
        <v>45085</v>
      </c>
    </row>
    <row r="272" spans="1:1" x14ac:dyDescent="0.3">
      <c r="A272" s="6">
        <v>45176</v>
      </c>
    </row>
    <row r="273" spans="1:1" x14ac:dyDescent="0.3">
      <c r="A273" s="6">
        <v>45211</v>
      </c>
    </row>
    <row r="274" spans="1:1" x14ac:dyDescent="0.3">
      <c r="A274" s="6">
        <v>45232</v>
      </c>
    </row>
    <row r="275" spans="1:1" x14ac:dyDescent="0.3">
      <c r="A275" s="6">
        <v>45245</v>
      </c>
    </row>
    <row r="276" spans="1:1" x14ac:dyDescent="0.3">
      <c r="A276" s="6">
        <v>45285</v>
      </c>
    </row>
    <row r="277" spans="1:1" x14ac:dyDescent="0.3">
      <c r="A277" s="7">
        <v>45292</v>
      </c>
    </row>
    <row r="278" spans="1:1" x14ac:dyDescent="0.3">
      <c r="A278" s="7">
        <v>45334</v>
      </c>
    </row>
    <row r="279" spans="1:1" x14ac:dyDescent="0.3">
      <c r="A279" s="7">
        <v>45335</v>
      </c>
    </row>
    <row r="280" spans="1:1" x14ac:dyDescent="0.3">
      <c r="A280" s="7">
        <v>45380</v>
      </c>
    </row>
    <row r="281" spans="1:1" x14ac:dyDescent="0.3">
      <c r="A281" s="7">
        <v>45403</v>
      </c>
    </row>
    <row r="282" spans="1:1" x14ac:dyDescent="0.3">
      <c r="A282" s="7">
        <v>45413</v>
      </c>
    </row>
    <row r="283" spans="1:1" x14ac:dyDescent="0.3">
      <c r="A283" s="7">
        <v>45442</v>
      </c>
    </row>
    <row r="284" spans="1:1" x14ac:dyDescent="0.3">
      <c r="A284" s="7">
        <v>45542</v>
      </c>
    </row>
    <row r="285" spans="1:1" x14ac:dyDescent="0.3">
      <c r="A285" s="7">
        <v>45577</v>
      </c>
    </row>
    <row r="286" spans="1:1" x14ac:dyDescent="0.3">
      <c r="A286" s="7">
        <v>45598</v>
      </c>
    </row>
    <row r="287" spans="1:1" x14ac:dyDescent="0.3">
      <c r="A287" s="7">
        <v>45611</v>
      </c>
    </row>
    <row r="288" spans="1:1" x14ac:dyDescent="0.3">
      <c r="A288" s="7">
        <v>45616</v>
      </c>
    </row>
    <row r="289" spans="1:1" x14ac:dyDescent="0.3">
      <c r="A289" s="7">
        <v>45651</v>
      </c>
    </row>
    <row r="290" spans="1:1" x14ac:dyDescent="0.3">
      <c r="A290" s="6">
        <v>45658</v>
      </c>
    </row>
    <row r="291" spans="1:1" x14ac:dyDescent="0.3">
      <c r="A291" s="6">
        <v>45719</v>
      </c>
    </row>
    <row r="292" spans="1:1" x14ac:dyDescent="0.3">
      <c r="A292" s="6">
        <v>45720</v>
      </c>
    </row>
    <row r="293" spans="1:1" x14ac:dyDescent="0.3">
      <c r="A293" s="6">
        <v>45765</v>
      </c>
    </row>
    <row r="294" spans="1:1" x14ac:dyDescent="0.3">
      <c r="A294" s="6">
        <v>45768</v>
      </c>
    </row>
    <row r="295" spans="1:1" x14ac:dyDescent="0.3">
      <c r="A295" s="6">
        <v>45778</v>
      </c>
    </row>
    <row r="296" spans="1:1" x14ac:dyDescent="0.3">
      <c r="A296" s="6">
        <v>45827</v>
      </c>
    </row>
    <row r="297" spans="1:1" x14ac:dyDescent="0.3">
      <c r="A297" s="6">
        <v>45907</v>
      </c>
    </row>
    <row r="298" spans="1:1" x14ac:dyDescent="0.3">
      <c r="A298" s="6">
        <v>45942</v>
      </c>
    </row>
    <row r="299" spans="1:1" x14ac:dyDescent="0.3">
      <c r="A299" s="6">
        <v>45963</v>
      </c>
    </row>
    <row r="300" spans="1:1" x14ac:dyDescent="0.3">
      <c r="A300" s="6">
        <v>45976</v>
      </c>
    </row>
    <row r="301" spans="1:1" x14ac:dyDescent="0.3">
      <c r="A301" s="6">
        <v>45981</v>
      </c>
    </row>
    <row r="302" spans="1:1" x14ac:dyDescent="0.3">
      <c r="A302" s="6">
        <v>46016</v>
      </c>
    </row>
    <row r="303" spans="1:1" x14ac:dyDescent="0.3">
      <c r="A303" s="7">
        <v>46023</v>
      </c>
    </row>
    <row r="304" spans="1:1" x14ac:dyDescent="0.3">
      <c r="A304" s="7">
        <v>46069</v>
      </c>
    </row>
    <row r="305" spans="1:1" x14ac:dyDescent="0.3">
      <c r="A305" s="7">
        <v>46070</v>
      </c>
    </row>
    <row r="306" spans="1:1" x14ac:dyDescent="0.3">
      <c r="A306" s="7">
        <v>46115</v>
      </c>
    </row>
    <row r="307" spans="1:1" x14ac:dyDescent="0.3">
      <c r="A307" s="7">
        <v>46133</v>
      </c>
    </row>
    <row r="308" spans="1:1" x14ac:dyDescent="0.3">
      <c r="A308" s="7">
        <v>46143</v>
      </c>
    </row>
    <row r="309" spans="1:1" x14ac:dyDescent="0.3">
      <c r="A309" s="7">
        <v>46177</v>
      </c>
    </row>
    <row r="310" spans="1:1" x14ac:dyDescent="0.3">
      <c r="A310" s="7">
        <v>46272</v>
      </c>
    </row>
    <row r="311" spans="1:1" x14ac:dyDescent="0.3">
      <c r="A311" s="7">
        <v>46307</v>
      </c>
    </row>
    <row r="312" spans="1:1" x14ac:dyDescent="0.3">
      <c r="A312" s="7">
        <v>46328</v>
      </c>
    </row>
    <row r="313" spans="1:1" x14ac:dyDescent="0.3">
      <c r="A313" s="7">
        <v>46341</v>
      </c>
    </row>
    <row r="314" spans="1:1" x14ac:dyDescent="0.3">
      <c r="A314" s="7">
        <v>46346</v>
      </c>
    </row>
    <row r="315" spans="1:1" x14ac:dyDescent="0.3">
      <c r="A315" s="7">
        <v>46381</v>
      </c>
    </row>
    <row r="316" spans="1:1" x14ac:dyDescent="0.3">
      <c r="A316" s="6">
        <v>46388</v>
      </c>
    </row>
    <row r="317" spans="1:1" x14ac:dyDescent="0.3">
      <c r="A317" s="6">
        <v>46426</v>
      </c>
    </row>
    <row r="318" spans="1:1" x14ac:dyDescent="0.3">
      <c r="A318" s="6">
        <v>46427</v>
      </c>
    </row>
    <row r="319" spans="1:1" x14ac:dyDescent="0.3">
      <c r="A319" s="6">
        <v>46472</v>
      </c>
    </row>
    <row r="320" spans="1:1" x14ac:dyDescent="0.3">
      <c r="A320" s="6">
        <v>46498</v>
      </c>
    </row>
    <row r="321" spans="1:1" x14ac:dyDescent="0.3">
      <c r="A321" s="6">
        <v>46508</v>
      </c>
    </row>
    <row r="322" spans="1:1" x14ac:dyDescent="0.3">
      <c r="A322" s="6">
        <v>46534</v>
      </c>
    </row>
    <row r="323" spans="1:1" x14ac:dyDescent="0.3">
      <c r="A323" s="6">
        <v>46637</v>
      </c>
    </row>
    <row r="324" spans="1:1" x14ac:dyDescent="0.3">
      <c r="A324" s="6">
        <v>46672</v>
      </c>
    </row>
    <row r="325" spans="1:1" x14ac:dyDescent="0.3">
      <c r="A325" s="6">
        <v>46693</v>
      </c>
    </row>
    <row r="326" spans="1:1" x14ac:dyDescent="0.3">
      <c r="A326" s="6">
        <v>46706</v>
      </c>
    </row>
    <row r="327" spans="1:1" x14ac:dyDescent="0.3">
      <c r="A327" s="6">
        <v>46711</v>
      </c>
    </row>
    <row r="328" spans="1:1" x14ac:dyDescent="0.3">
      <c r="A328" s="6">
        <v>46746</v>
      </c>
    </row>
    <row r="329" spans="1:1" x14ac:dyDescent="0.3">
      <c r="A329" s="7">
        <v>46753</v>
      </c>
    </row>
    <row r="330" spans="1:1" x14ac:dyDescent="0.3">
      <c r="A330" s="7">
        <v>46811</v>
      </c>
    </row>
    <row r="331" spans="1:1" x14ac:dyDescent="0.3">
      <c r="A331" s="7">
        <v>46812</v>
      </c>
    </row>
    <row r="332" spans="1:1" x14ac:dyDescent="0.3">
      <c r="A332" s="7">
        <v>46857</v>
      </c>
    </row>
    <row r="333" spans="1:1" x14ac:dyDescent="0.3">
      <c r="A333" s="7">
        <v>46864</v>
      </c>
    </row>
    <row r="334" spans="1:1" x14ac:dyDescent="0.3">
      <c r="A334" s="7">
        <v>46874</v>
      </c>
    </row>
    <row r="335" spans="1:1" x14ac:dyDescent="0.3">
      <c r="A335" s="7">
        <v>46919</v>
      </c>
    </row>
    <row r="336" spans="1:1" x14ac:dyDescent="0.3">
      <c r="A336" s="7">
        <v>47003</v>
      </c>
    </row>
    <row r="337" spans="1:1" x14ac:dyDescent="0.3">
      <c r="A337" s="7">
        <v>47038</v>
      </c>
    </row>
    <row r="338" spans="1:1" x14ac:dyDescent="0.3">
      <c r="A338" s="7">
        <v>47059</v>
      </c>
    </row>
    <row r="339" spans="1:1" x14ac:dyDescent="0.3">
      <c r="A339" s="7">
        <v>47072</v>
      </c>
    </row>
    <row r="340" spans="1:1" x14ac:dyDescent="0.3">
      <c r="A340" s="7">
        <v>47077</v>
      </c>
    </row>
    <row r="341" spans="1:1" x14ac:dyDescent="0.3">
      <c r="A341" s="7">
        <v>47112</v>
      </c>
    </row>
    <row r="342" spans="1:1" x14ac:dyDescent="0.3">
      <c r="A342" s="6">
        <v>47119</v>
      </c>
    </row>
    <row r="343" spans="1:1" x14ac:dyDescent="0.3">
      <c r="A343" s="6">
        <v>47161</v>
      </c>
    </row>
    <row r="344" spans="1:1" x14ac:dyDescent="0.3">
      <c r="A344" s="6">
        <v>47162</v>
      </c>
    </row>
    <row r="345" spans="1:1" x14ac:dyDescent="0.3">
      <c r="A345" s="6">
        <v>47207</v>
      </c>
    </row>
    <row r="346" spans="1:1" x14ac:dyDescent="0.3">
      <c r="A346" s="6">
        <v>47229</v>
      </c>
    </row>
    <row r="347" spans="1:1" x14ac:dyDescent="0.3">
      <c r="A347" s="6">
        <v>47239</v>
      </c>
    </row>
    <row r="348" spans="1:1" x14ac:dyDescent="0.3">
      <c r="A348" s="6">
        <v>47269</v>
      </c>
    </row>
    <row r="349" spans="1:1" x14ac:dyDescent="0.3">
      <c r="A349" s="6">
        <v>47368</v>
      </c>
    </row>
    <row r="350" spans="1:1" x14ac:dyDescent="0.3">
      <c r="A350" s="6">
        <v>47403</v>
      </c>
    </row>
    <row r="351" spans="1:1" x14ac:dyDescent="0.3">
      <c r="A351" s="6">
        <v>47424</v>
      </c>
    </row>
    <row r="352" spans="1:1" x14ac:dyDescent="0.3">
      <c r="A352" s="6">
        <v>47437</v>
      </c>
    </row>
    <row r="353" spans="1:1" x14ac:dyDescent="0.3">
      <c r="A353" s="6">
        <v>47442</v>
      </c>
    </row>
    <row r="354" spans="1:1" x14ac:dyDescent="0.3">
      <c r="A354" s="6">
        <v>47477</v>
      </c>
    </row>
    <row r="355" spans="1:1" x14ac:dyDescent="0.3">
      <c r="A355" s="7">
        <v>47484</v>
      </c>
    </row>
    <row r="356" spans="1:1" x14ac:dyDescent="0.3">
      <c r="A356" s="7">
        <v>47546</v>
      </c>
    </row>
    <row r="357" spans="1:1" x14ac:dyDescent="0.3">
      <c r="A357" s="7">
        <v>47547</v>
      </c>
    </row>
    <row r="358" spans="1:1" x14ac:dyDescent="0.3">
      <c r="A358" s="7">
        <v>47592</v>
      </c>
    </row>
    <row r="359" spans="1:1" x14ac:dyDescent="0.3">
      <c r="A359" s="7">
        <v>47594</v>
      </c>
    </row>
    <row r="360" spans="1:1" x14ac:dyDescent="0.3">
      <c r="A360" s="7">
        <v>47604</v>
      </c>
    </row>
    <row r="361" spans="1:1" x14ac:dyDescent="0.3">
      <c r="A361" s="7">
        <v>47654</v>
      </c>
    </row>
    <row r="362" spans="1:1" x14ac:dyDescent="0.3">
      <c r="A362" s="7">
        <v>47733</v>
      </c>
    </row>
    <row r="363" spans="1:1" x14ac:dyDescent="0.3">
      <c r="A363" s="7">
        <v>47768</v>
      </c>
    </row>
    <row r="364" spans="1:1" x14ac:dyDescent="0.3">
      <c r="A364" s="7">
        <v>47789</v>
      </c>
    </row>
    <row r="365" spans="1:1" x14ac:dyDescent="0.3">
      <c r="A365" s="7">
        <v>47802</v>
      </c>
    </row>
    <row r="366" spans="1:1" x14ac:dyDescent="0.3">
      <c r="A366" s="7">
        <v>47807</v>
      </c>
    </row>
    <row r="367" spans="1:1" x14ac:dyDescent="0.3">
      <c r="A367" s="7">
        <v>47842</v>
      </c>
    </row>
    <row r="368" spans="1:1" x14ac:dyDescent="0.3">
      <c r="A368" s="6">
        <v>47849</v>
      </c>
    </row>
    <row r="369" spans="1:1" x14ac:dyDescent="0.3">
      <c r="A369" s="6">
        <v>47903</v>
      </c>
    </row>
    <row r="370" spans="1:1" x14ac:dyDescent="0.3">
      <c r="A370" s="6">
        <v>47904</v>
      </c>
    </row>
    <row r="371" spans="1:1" x14ac:dyDescent="0.3">
      <c r="A371" s="6">
        <v>47949</v>
      </c>
    </row>
    <row r="372" spans="1:1" x14ac:dyDescent="0.3">
      <c r="A372" s="6">
        <v>47959</v>
      </c>
    </row>
    <row r="373" spans="1:1" x14ac:dyDescent="0.3">
      <c r="A373" s="6">
        <v>47969</v>
      </c>
    </row>
    <row r="374" spans="1:1" x14ac:dyDescent="0.3">
      <c r="A374" s="6">
        <v>48011</v>
      </c>
    </row>
    <row r="375" spans="1:1" x14ac:dyDescent="0.3">
      <c r="A375" s="6">
        <v>48098</v>
      </c>
    </row>
    <row r="376" spans="1:1" x14ac:dyDescent="0.3">
      <c r="A376" s="6">
        <v>48133</v>
      </c>
    </row>
    <row r="377" spans="1:1" x14ac:dyDescent="0.3">
      <c r="A377" s="6">
        <v>48154</v>
      </c>
    </row>
    <row r="378" spans="1:1" x14ac:dyDescent="0.3">
      <c r="A378" s="6">
        <v>48167</v>
      </c>
    </row>
    <row r="379" spans="1:1" x14ac:dyDescent="0.3">
      <c r="A379" s="6">
        <v>48172</v>
      </c>
    </row>
    <row r="380" spans="1:1" x14ac:dyDescent="0.3">
      <c r="A380" s="6">
        <v>48207</v>
      </c>
    </row>
    <row r="381" spans="1:1" x14ac:dyDescent="0.3">
      <c r="A381" s="7">
        <v>48214</v>
      </c>
    </row>
    <row r="382" spans="1:1" x14ac:dyDescent="0.3">
      <c r="A382" s="7">
        <v>48253</v>
      </c>
    </row>
    <row r="383" spans="1:1" x14ac:dyDescent="0.3">
      <c r="A383" s="7">
        <v>48254</v>
      </c>
    </row>
    <row r="384" spans="1:1" x14ac:dyDescent="0.3">
      <c r="A384" s="7">
        <v>48299</v>
      </c>
    </row>
    <row r="385" spans="1:1" x14ac:dyDescent="0.3">
      <c r="A385" s="7">
        <v>48325</v>
      </c>
    </row>
    <row r="386" spans="1:1" x14ac:dyDescent="0.3">
      <c r="A386" s="7">
        <v>48335</v>
      </c>
    </row>
    <row r="387" spans="1:1" x14ac:dyDescent="0.3">
      <c r="A387" s="7">
        <v>48361</v>
      </c>
    </row>
    <row r="388" spans="1:1" x14ac:dyDescent="0.3">
      <c r="A388" s="7">
        <v>48464</v>
      </c>
    </row>
    <row r="389" spans="1:1" x14ac:dyDescent="0.3">
      <c r="A389" s="7">
        <v>48499</v>
      </c>
    </row>
    <row r="390" spans="1:1" x14ac:dyDescent="0.3">
      <c r="A390" s="7">
        <v>48520</v>
      </c>
    </row>
    <row r="391" spans="1:1" x14ac:dyDescent="0.3">
      <c r="A391" s="7">
        <v>48533</v>
      </c>
    </row>
    <row r="392" spans="1:1" x14ac:dyDescent="0.3">
      <c r="A392" s="7">
        <v>48538</v>
      </c>
    </row>
    <row r="393" spans="1:1" x14ac:dyDescent="0.3">
      <c r="A393" s="7">
        <v>48573</v>
      </c>
    </row>
    <row r="394" spans="1:1" x14ac:dyDescent="0.3">
      <c r="A394" s="6">
        <v>48580</v>
      </c>
    </row>
    <row r="395" spans="1:1" x14ac:dyDescent="0.3">
      <c r="A395" s="6">
        <v>48638</v>
      </c>
    </row>
    <row r="396" spans="1:1" x14ac:dyDescent="0.3">
      <c r="A396" s="6">
        <v>48639</v>
      </c>
    </row>
    <row r="397" spans="1:1" x14ac:dyDescent="0.3">
      <c r="A397" s="6">
        <v>48684</v>
      </c>
    </row>
    <row r="398" spans="1:1" x14ac:dyDescent="0.3">
      <c r="A398" s="6">
        <v>48690</v>
      </c>
    </row>
    <row r="399" spans="1:1" x14ac:dyDescent="0.3">
      <c r="A399" s="6">
        <v>48700</v>
      </c>
    </row>
    <row r="400" spans="1:1" x14ac:dyDescent="0.3">
      <c r="A400" s="6">
        <v>48746</v>
      </c>
    </row>
    <row r="401" spans="1:1" x14ac:dyDescent="0.3">
      <c r="A401" s="6">
        <v>48829</v>
      </c>
    </row>
    <row r="402" spans="1:1" x14ac:dyDescent="0.3">
      <c r="A402" s="6">
        <v>48864</v>
      </c>
    </row>
    <row r="403" spans="1:1" x14ac:dyDescent="0.3">
      <c r="A403" s="6">
        <v>48885</v>
      </c>
    </row>
    <row r="404" spans="1:1" x14ac:dyDescent="0.3">
      <c r="A404" s="6">
        <v>48898</v>
      </c>
    </row>
    <row r="405" spans="1:1" x14ac:dyDescent="0.3">
      <c r="A405" s="6">
        <v>48903</v>
      </c>
    </row>
    <row r="406" spans="1:1" x14ac:dyDescent="0.3">
      <c r="A406" s="6">
        <v>48938</v>
      </c>
    </row>
    <row r="407" spans="1:1" x14ac:dyDescent="0.3">
      <c r="A407" s="7">
        <v>48945</v>
      </c>
    </row>
    <row r="408" spans="1:1" x14ac:dyDescent="0.3">
      <c r="A408" s="7">
        <v>48995</v>
      </c>
    </row>
    <row r="409" spans="1:1" x14ac:dyDescent="0.3">
      <c r="A409" s="7">
        <v>48996</v>
      </c>
    </row>
    <row r="410" spans="1:1" x14ac:dyDescent="0.3">
      <c r="A410" s="7">
        <v>49041</v>
      </c>
    </row>
    <row r="411" spans="1:1" x14ac:dyDescent="0.3">
      <c r="A411" s="7">
        <v>49055</v>
      </c>
    </row>
    <row r="412" spans="1:1" x14ac:dyDescent="0.3">
      <c r="A412" s="7">
        <v>49065</v>
      </c>
    </row>
    <row r="413" spans="1:1" x14ac:dyDescent="0.3">
      <c r="A413" s="7">
        <v>49103</v>
      </c>
    </row>
    <row r="414" spans="1:1" x14ac:dyDescent="0.3">
      <c r="A414" s="7">
        <v>49194</v>
      </c>
    </row>
    <row r="415" spans="1:1" x14ac:dyDescent="0.3">
      <c r="A415" s="7">
        <v>49229</v>
      </c>
    </row>
    <row r="416" spans="1:1" x14ac:dyDescent="0.3">
      <c r="A416" s="7">
        <v>49250</v>
      </c>
    </row>
    <row r="417" spans="1:1" x14ac:dyDescent="0.3">
      <c r="A417" s="7">
        <v>49263</v>
      </c>
    </row>
    <row r="418" spans="1:1" x14ac:dyDescent="0.3">
      <c r="A418" s="7">
        <v>49268</v>
      </c>
    </row>
    <row r="419" spans="1:1" x14ac:dyDescent="0.3">
      <c r="A419" s="7">
        <v>49303</v>
      </c>
    </row>
    <row r="420" spans="1:1" x14ac:dyDescent="0.3">
      <c r="A420" s="6">
        <v>49310</v>
      </c>
    </row>
    <row r="421" spans="1:1" x14ac:dyDescent="0.3">
      <c r="A421" s="6">
        <v>49345</v>
      </c>
    </row>
    <row r="422" spans="1:1" x14ac:dyDescent="0.3">
      <c r="A422" s="6">
        <v>49346</v>
      </c>
    </row>
    <row r="423" spans="1:1" x14ac:dyDescent="0.3">
      <c r="A423" s="6">
        <v>49391</v>
      </c>
    </row>
    <row r="424" spans="1:1" x14ac:dyDescent="0.3">
      <c r="A424" s="6">
        <v>49420</v>
      </c>
    </row>
    <row r="425" spans="1:1" x14ac:dyDescent="0.3">
      <c r="A425" s="6">
        <v>49430</v>
      </c>
    </row>
    <row r="426" spans="1:1" x14ac:dyDescent="0.3">
      <c r="A426" s="6">
        <v>49453</v>
      </c>
    </row>
    <row r="427" spans="1:1" x14ac:dyDescent="0.3">
      <c r="A427" s="6">
        <v>49559</v>
      </c>
    </row>
    <row r="428" spans="1:1" x14ac:dyDescent="0.3">
      <c r="A428" s="6">
        <v>49594</v>
      </c>
    </row>
    <row r="429" spans="1:1" x14ac:dyDescent="0.3">
      <c r="A429" s="6">
        <v>49615</v>
      </c>
    </row>
    <row r="430" spans="1:1" x14ac:dyDescent="0.3">
      <c r="A430" s="6">
        <v>49628</v>
      </c>
    </row>
    <row r="431" spans="1:1" x14ac:dyDescent="0.3">
      <c r="A431" s="6">
        <v>49633</v>
      </c>
    </row>
    <row r="432" spans="1:1" x14ac:dyDescent="0.3">
      <c r="A432" s="6">
        <v>49668</v>
      </c>
    </row>
    <row r="433" spans="1:1" x14ac:dyDescent="0.3">
      <c r="A433" s="7">
        <v>49675</v>
      </c>
    </row>
    <row r="434" spans="1:1" x14ac:dyDescent="0.3">
      <c r="A434" s="7">
        <v>49730</v>
      </c>
    </row>
    <row r="435" spans="1:1" x14ac:dyDescent="0.3">
      <c r="A435" s="7">
        <v>49731</v>
      </c>
    </row>
    <row r="436" spans="1:1" x14ac:dyDescent="0.3">
      <c r="A436" s="7">
        <v>49776</v>
      </c>
    </row>
    <row r="437" spans="1:1" x14ac:dyDescent="0.3">
      <c r="A437" s="7">
        <v>49786</v>
      </c>
    </row>
    <row r="438" spans="1:1" x14ac:dyDescent="0.3">
      <c r="A438" s="7">
        <v>49796</v>
      </c>
    </row>
    <row r="439" spans="1:1" x14ac:dyDescent="0.3">
      <c r="A439" s="7">
        <v>49838</v>
      </c>
    </row>
    <row r="440" spans="1:1" x14ac:dyDescent="0.3">
      <c r="A440" s="7">
        <v>49925</v>
      </c>
    </row>
    <row r="441" spans="1:1" x14ac:dyDescent="0.3">
      <c r="A441" s="7">
        <v>49960</v>
      </c>
    </row>
    <row r="442" spans="1:1" x14ac:dyDescent="0.3">
      <c r="A442" s="7">
        <v>49981</v>
      </c>
    </row>
    <row r="443" spans="1:1" x14ac:dyDescent="0.3">
      <c r="A443" s="7">
        <v>49994</v>
      </c>
    </row>
    <row r="444" spans="1:1" x14ac:dyDescent="0.3">
      <c r="A444" s="7">
        <v>49999</v>
      </c>
    </row>
    <row r="445" spans="1:1" x14ac:dyDescent="0.3">
      <c r="A445" s="7">
        <v>50034</v>
      </c>
    </row>
    <row r="446" spans="1:1" x14ac:dyDescent="0.3">
      <c r="A446" s="6">
        <v>50041</v>
      </c>
    </row>
    <row r="447" spans="1:1" x14ac:dyDescent="0.3">
      <c r="A447" s="6">
        <v>50087</v>
      </c>
    </row>
    <row r="448" spans="1:1" x14ac:dyDescent="0.3">
      <c r="A448" s="6">
        <v>50088</v>
      </c>
    </row>
    <row r="449" spans="1:1" x14ac:dyDescent="0.3">
      <c r="A449" s="6">
        <v>50133</v>
      </c>
    </row>
    <row r="450" spans="1:1" x14ac:dyDescent="0.3">
      <c r="A450" s="6">
        <v>50151</v>
      </c>
    </row>
    <row r="451" spans="1:1" x14ac:dyDescent="0.3">
      <c r="A451" s="6">
        <v>50161</v>
      </c>
    </row>
    <row r="452" spans="1:1" x14ac:dyDescent="0.3">
      <c r="A452" s="6">
        <v>50195</v>
      </c>
    </row>
    <row r="453" spans="1:1" x14ac:dyDescent="0.3">
      <c r="A453" s="6">
        <v>50290</v>
      </c>
    </row>
    <row r="454" spans="1:1" x14ac:dyDescent="0.3">
      <c r="A454" s="6">
        <v>50325</v>
      </c>
    </row>
    <row r="455" spans="1:1" x14ac:dyDescent="0.3">
      <c r="A455" s="6">
        <v>50346</v>
      </c>
    </row>
    <row r="456" spans="1:1" x14ac:dyDescent="0.3">
      <c r="A456" s="6">
        <v>50359</v>
      </c>
    </row>
    <row r="457" spans="1:1" x14ac:dyDescent="0.3">
      <c r="A457" s="6">
        <v>50364</v>
      </c>
    </row>
    <row r="458" spans="1:1" x14ac:dyDescent="0.3">
      <c r="A458" s="6">
        <v>50399</v>
      </c>
    </row>
    <row r="459" spans="1:1" x14ac:dyDescent="0.3">
      <c r="A459" s="7">
        <v>50406</v>
      </c>
    </row>
    <row r="460" spans="1:1" x14ac:dyDescent="0.3">
      <c r="A460" s="7">
        <v>50472</v>
      </c>
    </row>
    <row r="461" spans="1:1" x14ac:dyDescent="0.3">
      <c r="A461" s="7">
        <v>50473</v>
      </c>
    </row>
    <row r="462" spans="1:1" x14ac:dyDescent="0.3">
      <c r="A462" s="7">
        <v>50516</v>
      </c>
    </row>
    <row r="463" spans="1:1" x14ac:dyDescent="0.3">
      <c r="A463" s="7">
        <v>50518</v>
      </c>
    </row>
    <row r="464" spans="1:1" x14ac:dyDescent="0.3">
      <c r="A464" s="7">
        <v>50526</v>
      </c>
    </row>
    <row r="465" spans="1:1" x14ac:dyDescent="0.3">
      <c r="A465" s="7">
        <v>50580</v>
      </c>
    </row>
    <row r="466" spans="1:1" x14ac:dyDescent="0.3">
      <c r="A466" s="7">
        <v>50655</v>
      </c>
    </row>
    <row r="467" spans="1:1" x14ac:dyDescent="0.3">
      <c r="A467" s="7">
        <v>50690</v>
      </c>
    </row>
    <row r="468" spans="1:1" x14ac:dyDescent="0.3">
      <c r="A468" s="7">
        <v>50711</v>
      </c>
    </row>
    <row r="469" spans="1:1" x14ac:dyDescent="0.3">
      <c r="A469" s="7">
        <v>50724</v>
      </c>
    </row>
    <row r="470" spans="1:1" x14ac:dyDescent="0.3">
      <c r="A470" s="7">
        <v>50729</v>
      </c>
    </row>
    <row r="471" spans="1:1" x14ac:dyDescent="0.3">
      <c r="A471" s="7">
        <v>50764</v>
      </c>
    </row>
    <row r="472" spans="1:1" x14ac:dyDescent="0.3">
      <c r="A472" s="6">
        <v>50771</v>
      </c>
    </row>
    <row r="473" spans="1:1" x14ac:dyDescent="0.3">
      <c r="A473" s="6">
        <v>50822</v>
      </c>
    </row>
    <row r="474" spans="1:1" x14ac:dyDescent="0.3">
      <c r="A474" s="6">
        <v>50823</v>
      </c>
    </row>
    <row r="475" spans="1:1" x14ac:dyDescent="0.3">
      <c r="A475" s="6">
        <v>50868</v>
      </c>
    </row>
    <row r="476" spans="1:1" x14ac:dyDescent="0.3">
      <c r="A476" s="6">
        <v>50881</v>
      </c>
    </row>
    <row r="477" spans="1:1" x14ac:dyDescent="0.3">
      <c r="A477" s="6">
        <v>50891</v>
      </c>
    </row>
    <row r="478" spans="1:1" x14ac:dyDescent="0.3">
      <c r="A478" s="6">
        <v>50930</v>
      </c>
    </row>
    <row r="479" spans="1:1" x14ac:dyDescent="0.3">
      <c r="A479" s="6">
        <v>51020</v>
      </c>
    </row>
    <row r="480" spans="1:1" x14ac:dyDescent="0.3">
      <c r="A480" s="6">
        <v>51055</v>
      </c>
    </row>
    <row r="481" spans="1:1" x14ac:dyDescent="0.3">
      <c r="A481" s="6">
        <v>51076</v>
      </c>
    </row>
    <row r="482" spans="1:1" x14ac:dyDescent="0.3">
      <c r="A482" s="6">
        <v>51089</v>
      </c>
    </row>
    <row r="483" spans="1:1" x14ac:dyDescent="0.3">
      <c r="A483" s="6">
        <v>51094</v>
      </c>
    </row>
    <row r="484" spans="1:1" x14ac:dyDescent="0.3">
      <c r="A484" s="6">
        <v>51129</v>
      </c>
    </row>
    <row r="485" spans="1:1" x14ac:dyDescent="0.3">
      <c r="A485" s="7">
        <v>51136</v>
      </c>
    </row>
    <row r="486" spans="1:1" x14ac:dyDescent="0.3">
      <c r="A486" s="7">
        <v>51179</v>
      </c>
    </row>
    <row r="487" spans="1:1" x14ac:dyDescent="0.3">
      <c r="A487" s="7">
        <v>51180</v>
      </c>
    </row>
    <row r="488" spans="1:1" x14ac:dyDescent="0.3">
      <c r="A488" s="7">
        <v>51225</v>
      </c>
    </row>
    <row r="489" spans="1:1" x14ac:dyDescent="0.3">
      <c r="A489" s="7">
        <v>51247</v>
      </c>
    </row>
    <row r="490" spans="1:1" x14ac:dyDescent="0.3">
      <c r="A490" s="7">
        <v>51257</v>
      </c>
    </row>
    <row r="491" spans="1:1" x14ac:dyDescent="0.3">
      <c r="A491" s="7">
        <v>51287</v>
      </c>
    </row>
    <row r="492" spans="1:1" x14ac:dyDescent="0.3">
      <c r="A492" s="7">
        <v>51386</v>
      </c>
    </row>
    <row r="493" spans="1:1" x14ac:dyDescent="0.3">
      <c r="A493" s="7">
        <v>51421</v>
      </c>
    </row>
    <row r="494" spans="1:1" x14ac:dyDescent="0.3">
      <c r="A494" s="7">
        <v>51442</v>
      </c>
    </row>
    <row r="495" spans="1:1" x14ac:dyDescent="0.3">
      <c r="A495" s="7">
        <v>51455</v>
      </c>
    </row>
    <row r="496" spans="1:1" x14ac:dyDescent="0.3">
      <c r="A496" s="7">
        <v>51460</v>
      </c>
    </row>
    <row r="497" spans="1:1" x14ac:dyDescent="0.3">
      <c r="A497" s="7">
        <v>51495</v>
      </c>
    </row>
    <row r="498" spans="1:1" x14ac:dyDescent="0.3">
      <c r="A498" s="6">
        <v>51502</v>
      </c>
    </row>
    <row r="499" spans="1:1" x14ac:dyDescent="0.3">
      <c r="A499" s="6">
        <v>51564</v>
      </c>
    </row>
    <row r="500" spans="1:1" x14ac:dyDescent="0.3">
      <c r="A500" s="6">
        <v>51565</v>
      </c>
    </row>
    <row r="501" spans="1:1" x14ac:dyDescent="0.3">
      <c r="A501" s="6">
        <v>51610</v>
      </c>
    </row>
    <row r="502" spans="1:1" x14ac:dyDescent="0.3">
      <c r="A502" s="6">
        <v>51612</v>
      </c>
    </row>
    <row r="503" spans="1:1" x14ac:dyDescent="0.3">
      <c r="A503" s="6">
        <v>51622</v>
      </c>
    </row>
    <row r="504" spans="1:1" x14ac:dyDescent="0.3">
      <c r="A504" s="6">
        <v>51672</v>
      </c>
    </row>
    <row r="505" spans="1:1" x14ac:dyDescent="0.3">
      <c r="A505" s="6">
        <v>51751</v>
      </c>
    </row>
    <row r="506" spans="1:1" x14ac:dyDescent="0.3">
      <c r="A506" s="6">
        <v>51786</v>
      </c>
    </row>
    <row r="507" spans="1:1" x14ac:dyDescent="0.3">
      <c r="A507" s="6">
        <v>51807</v>
      </c>
    </row>
    <row r="508" spans="1:1" x14ac:dyDescent="0.3">
      <c r="A508" s="6">
        <v>51820</v>
      </c>
    </row>
    <row r="509" spans="1:1" x14ac:dyDescent="0.3">
      <c r="A509" s="6">
        <v>51825</v>
      </c>
    </row>
    <row r="510" spans="1:1" x14ac:dyDescent="0.3">
      <c r="A510" s="6">
        <v>51860</v>
      </c>
    </row>
    <row r="511" spans="1:1" x14ac:dyDescent="0.3">
      <c r="A511" s="7">
        <v>51867</v>
      </c>
    </row>
    <row r="512" spans="1:1" x14ac:dyDescent="0.3">
      <c r="A512" s="7">
        <v>51914</v>
      </c>
    </row>
    <row r="513" spans="1:1" x14ac:dyDescent="0.3">
      <c r="A513" s="7">
        <v>51915</v>
      </c>
    </row>
    <row r="514" spans="1:1" x14ac:dyDescent="0.3">
      <c r="A514" s="7">
        <v>51960</v>
      </c>
    </row>
    <row r="515" spans="1:1" x14ac:dyDescent="0.3">
      <c r="A515" s="7">
        <v>51977</v>
      </c>
    </row>
    <row r="516" spans="1:1" x14ac:dyDescent="0.3">
      <c r="A516" s="7">
        <v>51987</v>
      </c>
    </row>
    <row r="517" spans="1:1" x14ac:dyDescent="0.3">
      <c r="A517" s="7">
        <v>52022</v>
      </c>
    </row>
    <row r="518" spans="1:1" x14ac:dyDescent="0.3">
      <c r="A518" s="7">
        <v>52116</v>
      </c>
    </row>
    <row r="519" spans="1:1" x14ac:dyDescent="0.3">
      <c r="A519" s="7">
        <v>52151</v>
      </c>
    </row>
    <row r="520" spans="1:1" x14ac:dyDescent="0.3">
      <c r="A520" s="7">
        <v>52172</v>
      </c>
    </row>
    <row r="521" spans="1:1" x14ac:dyDescent="0.3">
      <c r="A521" s="7">
        <v>52185</v>
      </c>
    </row>
    <row r="522" spans="1:1" x14ac:dyDescent="0.3">
      <c r="A522" s="7">
        <v>52190</v>
      </c>
    </row>
    <row r="523" spans="1:1" x14ac:dyDescent="0.3">
      <c r="A523" s="7">
        <v>52225</v>
      </c>
    </row>
    <row r="524" spans="1:1" x14ac:dyDescent="0.3">
      <c r="A524" s="6">
        <v>52232</v>
      </c>
    </row>
    <row r="525" spans="1:1" x14ac:dyDescent="0.3">
      <c r="A525" s="6">
        <v>52271</v>
      </c>
    </row>
    <row r="526" spans="1:1" x14ac:dyDescent="0.3">
      <c r="A526" s="6">
        <v>52272</v>
      </c>
    </row>
    <row r="527" spans="1:1" x14ac:dyDescent="0.3">
      <c r="A527" s="6">
        <v>52317</v>
      </c>
    </row>
    <row r="528" spans="1:1" x14ac:dyDescent="0.3">
      <c r="A528" s="6">
        <v>52342</v>
      </c>
    </row>
    <row r="529" spans="1:1" x14ac:dyDescent="0.3">
      <c r="A529" s="6">
        <v>52352</v>
      </c>
    </row>
    <row r="530" spans="1:1" x14ac:dyDescent="0.3">
      <c r="A530" s="6">
        <v>52379</v>
      </c>
    </row>
    <row r="531" spans="1:1" x14ac:dyDescent="0.3">
      <c r="A531" s="6">
        <v>52481</v>
      </c>
    </row>
    <row r="532" spans="1:1" x14ac:dyDescent="0.3">
      <c r="A532" s="6">
        <v>52516</v>
      </c>
    </row>
    <row r="533" spans="1:1" x14ac:dyDescent="0.3">
      <c r="A533" s="6">
        <v>52537</v>
      </c>
    </row>
    <row r="534" spans="1:1" x14ac:dyDescent="0.3">
      <c r="A534" s="6">
        <v>52550</v>
      </c>
    </row>
    <row r="535" spans="1:1" x14ac:dyDescent="0.3">
      <c r="A535" s="6">
        <v>52555</v>
      </c>
    </row>
    <row r="536" spans="1:1" x14ac:dyDescent="0.3">
      <c r="A536" s="6">
        <v>52590</v>
      </c>
    </row>
    <row r="537" spans="1:1" x14ac:dyDescent="0.3">
      <c r="A537" s="7">
        <v>52597</v>
      </c>
    </row>
    <row r="538" spans="1:1" x14ac:dyDescent="0.3">
      <c r="A538" s="7">
        <v>52656</v>
      </c>
    </row>
    <row r="539" spans="1:1" x14ac:dyDescent="0.3">
      <c r="A539" s="7">
        <v>52657</v>
      </c>
    </row>
    <row r="540" spans="1:1" x14ac:dyDescent="0.3">
      <c r="A540" s="7">
        <v>52702</v>
      </c>
    </row>
    <row r="541" spans="1:1" x14ac:dyDescent="0.3">
      <c r="A541" s="7">
        <v>52708</v>
      </c>
    </row>
    <row r="542" spans="1:1" x14ac:dyDescent="0.3">
      <c r="A542" s="7">
        <v>52718</v>
      </c>
    </row>
    <row r="543" spans="1:1" x14ac:dyDescent="0.3">
      <c r="A543" s="7">
        <v>52764</v>
      </c>
    </row>
    <row r="544" spans="1:1" x14ac:dyDescent="0.3">
      <c r="A544" s="7">
        <v>52847</v>
      </c>
    </row>
    <row r="545" spans="1:1" x14ac:dyDescent="0.3">
      <c r="A545" s="7">
        <v>52882</v>
      </c>
    </row>
    <row r="546" spans="1:1" x14ac:dyDescent="0.3">
      <c r="A546" s="7">
        <v>52903</v>
      </c>
    </row>
    <row r="547" spans="1:1" x14ac:dyDescent="0.3">
      <c r="A547" s="7">
        <v>52916</v>
      </c>
    </row>
    <row r="548" spans="1:1" x14ac:dyDescent="0.3">
      <c r="A548" s="7">
        <v>52921</v>
      </c>
    </row>
    <row r="549" spans="1:1" x14ac:dyDescent="0.3">
      <c r="A549" s="7">
        <v>52956</v>
      </c>
    </row>
    <row r="550" spans="1:1" x14ac:dyDescent="0.3">
      <c r="A550" s="6">
        <v>52963</v>
      </c>
    </row>
    <row r="551" spans="1:1" x14ac:dyDescent="0.3">
      <c r="A551" s="6">
        <v>53013</v>
      </c>
    </row>
    <row r="552" spans="1:1" x14ac:dyDescent="0.3">
      <c r="A552" s="6">
        <v>53014</v>
      </c>
    </row>
    <row r="553" spans="1:1" x14ac:dyDescent="0.3">
      <c r="A553" s="6">
        <v>53059</v>
      </c>
    </row>
    <row r="554" spans="1:1" x14ac:dyDescent="0.3">
      <c r="A554" s="6">
        <v>53073</v>
      </c>
    </row>
    <row r="555" spans="1:1" x14ac:dyDescent="0.3">
      <c r="A555" s="6">
        <v>53083</v>
      </c>
    </row>
    <row r="556" spans="1:1" x14ac:dyDescent="0.3">
      <c r="A556" s="6">
        <v>53121</v>
      </c>
    </row>
    <row r="557" spans="1:1" x14ac:dyDescent="0.3">
      <c r="A557" s="6">
        <v>53212</v>
      </c>
    </row>
    <row r="558" spans="1:1" x14ac:dyDescent="0.3">
      <c r="A558" s="6">
        <v>53247</v>
      </c>
    </row>
    <row r="559" spans="1:1" x14ac:dyDescent="0.3">
      <c r="A559" s="6">
        <v>53268</v>
      </c>
    </row>
    <row r="560" spans="1:1" x14ac:dyDescent="0.3">
      <c r="A560" s="6">
        <v>53281</v>
      </c>
    </row>
    <row r="561" spans="1:1" x14ac:dyDescent="0.3">
      <c r="A561" s="6">
        <v>53286</v>
      </c>
    </row>
    <row r="562" spans="1:1" x14ac:dyDescent="0.3">
      <c r="A562" s="6">
        <v>53321</v>
      </c>
    </row>
    <row r="563" spans="1:1" x14ac:dyDescent="0.3">
      <c r="A563" s="7">
        <v>53328</v>
      </c>
    </row>
    <row r="564" spans="1:1" x14ac:dyDescent="0.3">
      <c r="A564" s="7">
        <v>53363</v>
      </c>
    </row>
    <row r="565" spans="1:1" x14ac:dyDescent="0.3">
      <c r="A565" s="7">
        <v>53364</v>
      </c>
    </row>
    <row r="566" spans="1:1" x14ac:dyDescent="0.3">
      <c r="A566" s="7">
        <v>53409</v>
      </c>
    </row>
    <row r="567" spans="1:1" x14ac:dyDescent="0.3">
      <c r="A567" s="7">
        <v>53438</v>
      </c>
    </row>
    <row r="568" spans="1:1" x14ac:dyDescent="0.3">
      <c r="A568" s="7">
        <v>53448</v>
      </c>
    </row>
    <row r="569" spans="1:1" x14ac:dyDescent="0.3">
      <c r="A569" s="7">
        <v>53471</v>
      </c>
    </row>
    <row r="570" spans="1:1" x14ac:dyDescent="0.3">
      <c r="A570" s="7">
        <v>53577</v>
      </c>
    </row>
    <row r="571" spans="1:1" x14ac:dyDescent="0.3">
      <c r="A571" s="7">
        <v>53612</v>
      </c>
    </row>
    <row r="572" spans="1:1" x14ac:dyDescent="0.3">
      <c r="A572" s="7">
        <v>53633</v>
      </c>
    </row>
    <row r="573" spans="1:1" x14ac:dyDescent="0.3">
      <c r="A573" s="7">
        <v>53646</v>
      </c>
    </row>
    <row r="574" spans="1:1" x14ac:dyDescent="0.3">
      <c r="A574" s="7">
        <v>53651</v>
      </c>
    </row>
    <row r="575" spans="1:1" x14ac:dyDescent="0.3">
      <c r="A575" s="7">
        <v>53686</v>
      </c>
    </row>
    <row r="576" spans="1:1" x14ac:dyDescent="0.3">
      <c r="A576" s="6">
        <v>53693</v>
      </c>
    </row>
    <row r="577" spans="1:1" x14ac:dyDescent="0.3">
      <c r="A577" s="6">
        <v>53748</v>
      </c>
    </row>
    <row r="578" spans="1:1" x14ac:dyDescent="0.3">
      <c r="A578" s="6">
        <v>53749</v>
      </c>
    </row>
    <row r="579" spans="1:1" x14ac:dyDescent="0.3">
      <c r="A579" s="6">
        <v>53794</v>
      </c>
    </row>
    <row r="580" spans="1:1" x14ac:dyDescent="0.3">
      <c r="A580" s="6">
        <v>53803</v>
      </c>
    </row>
    <row r="581" spans="1:1" x14ac:dyDescent="0.3">
      <c r="A581" s="6">
        <v>53813</v>
      </c>
    </row>
    <row r="582" spans="1:1" x14ac:dyDescent="0.3">
      <c r="A582" s="6">
        <v>53856</v>
      </c>
    </row>
    <row r="583" spans="1:1" x14ac:dyDescent="0.3">
      <c r="A583" s="6">
        <v>53942</v>
      </c>
    </row>
    <row r="584" spans="1:1" x14ac:dyDescent="0.3">
      <c r="A584" s="6">
        <v>53977</v>
      </c>
    </row>
    <row r="585" spans="1:1" x14ac:dyDescent="0.3">
      <c r="A585" s="6">
        <v>53998</v>
      </c>
    </row>
    <row r="586" spans="1:1" x14ac:dyDescent="0.3">
      <c r="A586" s="6">
        <v>54011</v>
      </c>
    </row>
    <row r="587" spans="1:1" x14ac:dyDescent="0.3">
      <c r="A587" s="6">
        <v>54016</v>
      </c>
    </row>
    <row r="588" spans="1:1" x14ac:dyDescent="0.3">
      <c r="A588" s="6">
        <v>54051</v>
      </c>
    </row>
    <row r="589" spans="1:1" x14ac:dyDescent="0.3">
      <c r="A589" s="7">
        <v>54058</v>
      </c>
    </row>
    <row r="590" spans="1:1" x14ac:dyDescent="0.3">
      <c r="A590" s="7">
        <v>54105</v>
      </c>
    </row>
    <row r="591" spans="1:1" x14ac:dyDescent="0.3">
      <c r="A591" s="7">
        <v>54106</v>
      </c>
    </row>
    <row r="592" spans="1:1" x14ac:dyDescent="0.3">
      <c r="A592" s="7">
        <v>54151</v>
      </c>
    </row>
    <row r="593" spans="1:1" x14ac:dyDescent="0.3">
      <c r="A593" s="7">
        <v>54169</v>
      </c>
    </row>
    <row r="594" spans="1:1" x14ac:dyDescent="0.3">
      <c r="A594" s="7">
        <v>54179</v>
      </c>
    </row>
    <row r="595" spans="1:1" x14ac:dyDescent="0.3">
      <c r="A595" s="7">
        <v>54213</v>
      </c>
    </row>
    <row r="596" spans="1:1" x14ac:dyDescent="0.3">
      <c r="A596" s="7">
        <v>54308</v>
      </c>
    </row>
    <row r="597" spans="1:1" x14ac:dyDescent="0.3">
      <c r="A597" s="7">
        <v>54343</v>
      </c>
    </row>
    <row r="598" spans="1:1" x14ac:dyDescent="0.3">
      <c r="A598" s="7">
        <v>54364</v>
      </c>
    </row>
    <row r="599" spans="1:1" x14ac:dyDescent="0.3">
      <c r="A599" s="7">
        <v>54377</v>
      </c>
    </row>
    <row r="600" spans="1:1" x14ac:dyDescent="0.3">
      <c r="A600" s="7">
        <v>54382</v>
      </c>
    </row>
    <row r="601" spans="1:1" x14ac:dyDescent="0.3">
      <c r="A601" s="7">
        <v>54417</v>
      </c>
    </row>
    <row r="602" spans="1:1" x14ac:dyDescent="0.3">
      <c r="A602" s="6">
        <v>54424</v>
      </c>
    </row>
    <row r="603" spans="1:1" x14ac:dyDescent="0.3">
      <c r="A603" s="6">
        <v>54483</v>
      </c>
    </row>
    <row r="604" spans="1:1" x14ac:dyDescent="0.3">
      <c r="A604" s="6">
        <v>54484</v>
      </c>
    </row>
    <row r="605" spans="1:1" x14ac:dyDescent="0.3">
      <c r="A605" s="6">
        <v>54529</v>
      </c>
    </row>
    <row r="606" spans="1:1" x14ac:dyDescent="0.3">
      <c r="A606" s="6">
        <v>54534</v>
      </c>
    </row>
    <row r="607" spans="1:1" x14ac:dyDescent="0.3">
      <c r="A607" s="6">
        <v>54544</v>
      </c>
    </row>
    <row r="608" spans="1:1" x14ac:dyDescent="0.3">
      <c r="A608" s="6">
        <v>54591</v>
      </c>
    </row>
    <row r="609" spans="1:1" x14ac:dyDescent="0.3">
      <c r="A609" s="6">
        <v>54673</v>
      </c>
    </row>
    <row r="610" spans="1:1" x14ac:dyDescent="0.3">
      <c r="A610" s="6">
        <v>54708</v>
      </c>
    </row>
    <row r="611" spans="1:1" x14ac:dyDescent="0.3">
      <c r="A611" s="6">
        <v>54729</v>
      </c>
    </row>
    <row r="612" spans="1:1" x14ac:dyDescent="0.3">
      <c r="A612" s="6">
        <v>54742</v>
      </c>
    </row>
    <row r="613" spans="1:1" x14ac:dyDescent="0.3">
      <c r="A613" s="6">
        <v>54747</v>
      </c>
    </row>
    <row r="614" spans="1:1" x14ac:dyDescent="0.3">
      <c r="A614" s="6">
        <v>54782</v>
      </c>
    </row>
    <row r="615" spans="1:1" x14ac:dyDescent="0.3">
      <c r="A615" s="7">
        <v>54789</v>
      </c>
    </row>
    <row r="616" spans="1:1" x14ac:dyDescent="0.3">
      <c r="A616" s="7">
        <v>54840</v>
      </c>
    </row>
    <row r="617" spans="1:1" x14ac:dyDescent="0.3">
      <c r="A617" s="7">
        <v>54841</v>
      </c>
    </row>
    <row r="618" spans="1:1" x14ac:dyDescent="0.3">
      <c r="A618" s="7">
        <v>54886</v>
      </c>
    </row>
    <row r="619" spans="1:1" x14ac:dyDescent="0.3">
      <c r="A619" s="7">
        <v>54899</v>
      </c>
    </row>
    <row r="620" spans="1:1" x14ac:dyDescent="0.3">
      <c r="A620" s="7">
        <v>54909</v>
      </c>
    </row>
    <row r="621" spans="1:1" x14ac:dyDescent="0.3">
      <c r="A621" s="7">
        <v>54948</v>
      </c>
    </row>
    <row r="622" spans="1:1" x14ac:dyDescent="0.3">
      <c r="A622" s="7">
        <v>55038</v>
      </c>
    </row>
    <row r="623" spans="1:1" x14ac:dyDescent="0.3">
      <c r="A623" s="7">
        <v>55073</v>
      </c>
    </row>
    <row r="624" spans="1:1" x14ac:dyDescent="0.3">
      <c r="A624" s="7">
        <v>55094</v>
      </c>
    </row>
    <row r="625" spans="1:1" x14ac:dyDescent="0.3">
      <c r="A625" s="7">
        <v>55107</v>
      </c>
    </row>
    <row r="626" spans="1:1" x14ac:dyDescent="0.3">
      <c r="A626" s="7">
        <v>55112</v>
      </c>
    </row>
    <row r="627" spans="1:1" x14ac:dyDescent="0.3">
      <c r="A627" s="7">
        <v>55147</v>
      </c>
    </row>
    <row r="628" spans="1:1" x14ac:dyDescent="0.3">
      <c r="A628" s="6">
        <v>55154</v>
      </c>
    </row>
    <row r="629" spans="1:1" x14ac:dyDescent="0.3">
      <c r="A629" s="6">
        <v>55197</v>
      </c>
    </row>
    <row r="630" spans="1:1" x14ac:dyDescent="0.3">
      <c r="A630" s="6">
        <v>55198</v>
      </c>
    </row>
    <row r="631" spans="1:1" x14ac:dyDescent="0.3">
      <c r="A631" s="6">
        <v>55243</v>
      </c>
    </row>
    <row r="632" spans="1:1" x14ac:dyDescent="0.3">
      <c r="A632" s="6">
        <v>55264</v>
      </c>
    </row>
    <row r="633" spans="1:1" x14ac:dyDescent="0.3">
      <c r="A633" s="6">
        <v>55274</v>
      </c>
    </row>
    <row r="634" spans="1:1" x14ac:dyDescent="0.3">
      <c r="A634" s="6">
        <v>55305</v>
      </c>
    </row>
    <row r="635" spans="1:1" x14ac:dyDescent="0.3">
      <c r="A635" s="6">
        <v>55403</v>
      </c>
    </row>
    <row r="636" spans="1:1" x14ac:dyDescent="0.3">
      <c r="A636" s="6">
        <v>55438</v>
      </c>
    </row>
    <row r="637" spans="1:1" x14ac:dyDescent="0.3">
      <c r="A637" s="6">
        <v>55459</v>
      </c>
    </row>
    <row r="638" spans="1:1" x14ac:dyDescent="0.3">
      <c r="A638" s="6">
        <v>55472</v>
      </c>
    </row>
    <row r="639" spans="1:1" x14ac:dyDescent="0.3">
      <c r="A639" s="6">
        <v>55477</v>
      </c>
    </row>
    <row r="640" spans="1:1" x14ac:dyDescent="0.3">
      <c r="A640" s="6">
        <v>55512</v>
      </c>
    </row>
    <row r="641" spans="1:1" x14ac:dyDescent="0.3">
      <c r="A641" s="7">
        <v>55519</v>
      </c>
    </row>
    <row r="642" spans="1:1" x14ac:dyDescent="0.3">
      <c r="A642" s="7">
        <v>55582</v>
      </c>
    </row>
    <row r="643" spans="1:1" x14ac:dyDescent="0.3">
      <c r="A643" s="7">
        <v>55583</v>
      </c>
    </row>
    <row r="644" spans="1:1" x14ac:dyDescent="0.3">
      <c r="A644" s="7">
        <v>55628</v>
      </c>
    </row>
    <row r="645" spans="1:1" x14ac:dyDescent="0.3">
      <c r="A645" s="7">
        <v>55630</v>
      </c>
    </row>
    <row r="646" spans="1:1" x14ac:dyDescent="0.3">
      <c r="A646" s="7">
        <v>55640</v>
      </c>
    </row>
    <row r="647" spans="1:1" x14ac:dyDescent="0.3">
      <c r="A647" s="7">
        <v>55690</v>
      </c>
    </row>
    <row r="648" spans="1:1" x14ac:dyDescent="0.3">
      <c r="A648" s="7">
        <v>55769</v>
      </c>
    </row>
    <row r="649" spans="1:1" x14ac:dyDescent="0.3">
      <c r="A649" s="7">
        <v>55804</v>
      </c>
    </row>
    <row r="650" spans="1:1" x14ac:dyDescent="0.3">
      <c r="A650" s="7">
        <v>55825</v>
      </c>
    </row>
    <row r="651" spans="1:1" x14ac:dyDescent="0.3">
      <c r="A651" s="7">
        <v>55838</v>
      </c>
    </row>
    <row r="652" spans="1:1" x14ac:dyDescent="0.3">
      <c r="A652" s="7">
        <v>55843</v>
      </c>
    </row>
    <row r="653" spans="1:1" x14ac:dyDescent="0.3">
      <c r="A653" s="7">
        <v>55878</v>
      </c>
    </row>
    <row r="654" spans="1:1" x14ac:dyDescent="0.3">
      <c r="A654" s="6">
        <v>55885</v>
      </c>
    </row>
    <row r="655" spans="1:1" x14ac:dyDescent="0.3">
      <c r="A655" s="6">
        <v>55932</v>
      </c>
    </row>
    <row r="656" spans="1:1" x14ac:dyDescent="0.3">
      <c r="A656" s="6">
        <v>55933</v>
      </c>
    </row>
    <row r="657" spans="1:1" x14ac:dyDescent="0.3">
      <c r="A657" s="6">
        <v>55978</v>
      </c>
    </row>
    <row r="658" spans="1:1" x14ac:dyDescent="0.3">
      <c r="A658" s="6">
        <v>55995</v>
      </c>
    </row>
    <row r="659" spans="1:1" x14ac:dyDescent="0.3">
      <c r="A659" s="6">
        <v>56005</v>
      </c>
    </row>
    <row r="660" spans="1:1" x14ac:dyDescent="0.3">
      <c r="A660" s="6">
        <v>56040</v>
      </c>
    </row>
    <row r="661" spans="1:1" x14ac:dyDescent="0.3">
      <c r="A661" s="6">
        <v>56134</v>
      </c>
    </row>
    <row r="662" spans="1:1" x14ac:dyDescent="0.3">
      <c r="A662" s="6">
        <v>56169</v>
      </c>
    </row>
    <row r="663" spans="1:1" x14ac:dyDescent="0.3">
      <c r="A663" s="6">
        <v>56190</v>
      </c>
    </row>
    <row r="664" spans="1:1" x14ac:dyDescent="0.3">
      <c r="A664" s="6">
        <v>56203</v>
      </c>
    </row>
    <row r="665" spans="1:1" x14ac:dyDescent="0.3">
      <c r="A665" s="6">
        <v>56208</v>
      </c>
    </row>
    <row r="666" spans="1:1" x14ac:dyDescent="0.3">
      <c r="A666" s="6">
        <v>56243</v>
      </c>
    </row>
    <row r="667" spans="1:1" x14ac:dyDescent="0.3">
      <c r="A667" s="7">
        <v>56250</v>
      </c>
    </row>
    <row r="668" spans="1:1" x14ac:dyDescent="0.3">
      <c r="A668" s="7">
        <v>56289</v>
      </c>
    </row>
    <row r="669" spans="1:1" x14ac:dyDescent="0.3">
      <c r="A669" s="7">
        <v>56290</v>
      </c>
    </row>
    <row r="670" spans="1:1" x14ac:dyDescent="0.3">
      <c r="A670" s="7">
        <v>56335</v>
      </c>
    </row>
    <row r="671" spans="1:1" x14ac:dyDescent="0.3">
      <c r="A671" s="7">
        <v>56360</v>
      </c>
    </row>
    <row r="672" spans="1:1" x14ac:dyDescent="0.3">
      <c r="A672" s="7">
        <v>56370</v>
      </c>
    </row>
    <row r="673" spans="1:1" x14ac:dyDescent="0.3">
      <c r="A673" s="7">
        <v>56397</v>
      </c>
    </row>
    <row r="674" spans="1:1" x14ac:dyDescent="0.3">
      <c r="A674" s="7">
        <v>56499</v>
      </c>
    </row>
    <row r="675" spans="1:1" x14ac:dyDescent="0.3">
      <c r="A675" s="7">
        <v>56534</v>
      </c>
    </row>
    <row r="676" spans="1:1" x14ac:dyDescent="0.3">
      <c r="A676" s="7">
        <v>56555</v>
      </c>
    </row>
    <row r="677" spans="1:1" x14ac:dyDescent="0.3">
      <c r="A677" s="7">
        <v>56568</v>
      </c>
    </row>
    <row r="678" spans="1:1" x14ac:dyDescent="0.3">
      <c r="A678" s="7">
        <v>56573</v>
      </c>
    </row>
    <row r="679" spans="1:1" x14ac:dyDescent="0.3">
      <c r="A679" s="7">
        <v>56608</v>
      </c>
    </row>
    <row r="680" spans="1:1" x14ac:dyDescent="0.3">
      <c r="A680" s="6">
        <v>56615</v>
      </c>
    </row>
    <row r="681" spans="1:1" x14ac:dyDescent="0.3">
      <c r="A681" s="6">
        <v>56674</v>
      </c>
    </row>
    <row r="682" spans="1:1" x14ac:dyDescent="0.3">
      <c r="A682" s="6">
        <v>56675</v>
      </c>
    </row>
    <row r="683" spans="1:1" x14ac:dyDescent="0.3">
      <c r="A683" s="6">
        <v>56720</v>
      </c>
    </row>
    <row r="684" spans="1:1" x14ac:dyDescent="0.3">
      <c r="A684" s="6">
        <v>56725</v>
      </c>
    </row>
    <row r="685" spans="1:1" x14ac:dyDescent="0.3">
      <c r="A685" s="6">
        <v>56735</v>
      </c>
    </row>
    <row r="686" spans="1:1" x14ac:dyDescent="0.3">
      <c r="A686" s="6">
        <v>56782</v>
      </c>
    </row>
    <row r="687" spans="1:1" x14ac:dyDescent="0.3">
      <c r="A687" s="6">
        <v>56864</v>
      </c>
    </row>
    <row r="688" spans="1:1" x14ac:dyDescent="0.3">
      <c r="A688" s="6">
        <v>56899</v>
      </c>
    </row>
    <row r="689" spans="1:1" x14ac:dyDescent="0.3">
      <c r="A689" s="6">
        <v>56920</v>
      </c>
    </row>
    <row r="690" spans="1:1" x14ac:dyDescent="0.3">
      <c r="A690" s="6">
        <v>56933</v>
      </c>
    </row>
    <row r="691" spans="1:1" x14ac:dyDescent="0.3">
      <c r="A691" s="6">
        <v>56938</v>
      </c>
    </row>
    <row r="692" spans="1:1" x14ac:dyDescent="0.3">
      <c r="A692" s="6">
        <v>56973</v>
      </c>
    </row>
    <row r="693" spans="1:1" x14ac:dyDescent="0.3">
      <c r="A693" s="7">
        <v>56980</v>
      </c>
    </row>
    <row r="694" spans="1:1" x14ac:dyDescent="0.3">
      <c r="A694" s="7">
        <v>57024</v>
      </c>
    </row>
    <row r="695" spans="1:1" x14ac:dyDescent="0.3">
      <c r="A695" s="7">
        <v>57025</v>
      </c>
    </row>
    <row r="696" spans="1:1" x14ac:dyDescent="0.3">
      <c r="A696" s="7">
        <v>57070</v>
      </c>
    </row>
    <row r="697" spans="1:1" x14ac:dyDescent="0.3">
      <c r="A697" s="7">
        <v>57091</v>
      </c>
    </row>
    <row r="698" spans="1:1" x14ac:dyDescent="0.3">
      <c r="A698" s="7">
        <v>57101</v>
      </c>
    </row>
    <row r="699" spans="1:1" x14ac:dyDescent="0.3">
      <c r="A699" s="7">
        <v>57132</v>
      </c>
    </row>
    <row r="700" spans="1:1" x14ac:dyDescent="0.3">
      <c r="A700" s="7">
        <v>57230</v>
      </c>
    </row>
    <row r="701" spans="1:1" x14ac:dyDescent="0.3">
      <c r="A701" s="7">
        <v>57265</v>
      </c>
    </row>
    <row r="702" spans="1:1" x14ac:dyDescent="0.3">
      <c r="A702" s="7">
        <v>57286</v>
      </c>
    </row>
    <row r="703" spans="1:1" x14ac:dyDescent="0.3">
      <c r="A703" s="7">
        <v>57299</v>
      </c>
    </row>
    <row r="704" spans="1:1" x14ac:dyDescent="0.3">
      <c r="A704" s="7">
        <v>57304</v>
      </c>
    </row>
    <row r="705" spans="1:1" x14ac:dyDescent="0.3">
      <c r="A705" s="7">
        <v>57339</v>
      </c>
    </row>
    <row r="706" spans="1:1" x14ac:dyDescent="0.3">
      <c r="A706" s="6">
        <v>57346</v>
      </c>
    </row>
    <row r="707" spans="1:1" x14ac:dyDescent="0.3">
      <c r="A707" s="6">
        <v>57409</v>
      </c>
    </row>
    <row r="708" spans="1:1" x14ac:dyDescent="0.3">
      <c r="A708" s="6">
        <v>57410</v>
      </c>
    </row>
    <row r="709" spans="1:1" x14ac:dyDescent="0.3">
      <c r="A709" s="6">
        <v>57455</v>
      </c>
    </row>
    <row r="710" spans="1:1" x14ac:dyDescent="0.3">
      <c r="A710" s="6">
        <v>57456</v>
      </c>
    </row>
    <row r="711" spans="1:1" x14ac:dyDescent="0.3">
      <c r="A711" s="6">
        <v>57466</v>
      </c>
    </row>
    <row r="712" spans="1:1" x14ac:dyDescent="0.3">
      <c r="A712" s="6">
        <v>57517</v>
      </c>
    </row>
    <row r="713" spans="1:1" x14ac:dyDescent="0.3">
      <c r="A713" s="6">
        <v>57595</v>
      </c>
    </row>
    <row r="714" spans="1:1" x14ac:dyDescent="0.3">
      <c r="A714" s="6">
        <v>57630</v>
      </c>
    </row>
    <row r="715" spans="1:1" x14ac:dyDescent="0.3">
      <c r="A715" s="6">
        <v>57651</v>
      </c>
    </row>
    <row r="716" spans="1:1" x14ac:dyDescent="0.3">
      <c r="A716" s="6">
        <v>57664</v>
      </c>
    </row>
    <row r="717" spans="1:1" x14ac:dyDescent="0.3">
      <c r="A717" s="6">
        <v>57669</v>
      </c>
    </row>
    <row r="718" spans="1:1" x14ac:dyDescent="0.3">
      <c r="A718" s="6">
        <v>57704</v>
      </c>
    </row>
    <row r="719" spans="1:1" x14ac:dyDescent="0.3">
      <c r="A719" s="7">
        <v>57711</v>
      </c>
    </row>
    <row r="720" spans="1:1" x14ac:dyDescent="0.3">
      <c r="A720" s="7">
        <v>57766</v>
      </c>
    </row>
    <row r="721" spans="1:1" x14ac:dyDescent="0.3">
      <c r="A721" s="7">
        <v>57767</v>
      </c>
    </row>
    <row r="722" spans="1:1" x14ac:dyDescent="0.3">
      <c r="A722" s="7">
        <v>57812</v>
      </c>
    </row>
    <row r="723" spans="1:1" x14ac:dyDescent="0.3">
      <c r="A723" s="7">
        <v>57821</v>
      </c>
    </row>
    <row r="724" spans="1:1" x14ac:dyDescent="0.3">
      <c r="A724" s="7">
        <v>57831</v>
      </c>
    </row>
    <row r="725" spans="1:1" x14ac:dyDescent="0.3">
      <c r="A725" s="7">
        <v>57874</v>
      </c>
    </row>
    <row r="726" spans="1:1" x14ac:dyDescent="0.3">
      <c r="A726" s="7">
        <v>57960</v>
      </c>
    </row>
    <row r="727" spans="1:1" x14ac:dyDescent="0.3">
      <c r="A727" s="7">
        <v>57995</v>
      </c>
    </row>
    <row r="728" spans="1:1" x14ac:dyDescent="0.3">
      <c r="A728" s="7">
        <v>58016</v>
      </c>
    </row>
    <row r="729" spans="1:1" x14ac:dyDescent="0.3">
      <c r="A729" s="7">
        <v>58029</v>
      </c>
    </row>
    <row r="730" spans="1:1" x14ac:dyDescent="0.3">
      <c r="A730" s="7">
        <v>58034</v>
      </c>
    </row>
    <row r="731" spans="1:1" x14ac:dyDescent="0.3">
      <c r="A731" s="7">
        <v>58069</v>
      </c>
    </row>
    <row r="732" spans="1:1" x14ac:dyDescent="0.3">
      <c r="A732" s="6">
        <v>58076</v>
      </c>
    </row>
    <row r="733" spans="1:1" x14ac:dyDescent="0.3">
      <c r="A733" s="6">
        <v>58116</v>
      </c>
    </row>
    <row r="734" spans="1:1" x14ac:dyDescent="0.3">
      <c r="A734" s="6">
        <v>58117</v>
      </c>
    </row>
    <row r="735" spans="1:1" x14ac:dyDescent="0.3">
      <c r="A735" s="6">
        <v>58162</v>
      </c>
    </row>
    <row r="736" spans="1:1" x14ac:dyDescent="0.3">
      <c r="A736" s="6">
        <v>58186</v>
      </c>
    </row>
    <row r="737" spans="1:1" x14ac:dyDescent="0.3">
      <c r="A737" s="6">
        <v>58196</v>
      </c>
    </row>
    <row r="738" spans="1:1" x14ac:dyDescent="0.3">
      <c r="A738" s="6">
        <v>58224</v>
      </c>
    </row>
    <row r="739" spans="1:1" x14ac:dyDescent="0.3">
      <c r="A739" s="6">
        <v>58325</v>
      </c>
    </row>
    <row r="740" spans="1:1" x14ac:dyDescent="0.3">
      <c r="A740" s="6">
        <v>58360</v>
      </c>
    </row>
    <row r="741" spans="1:1" x14ac:dyDescent="0.3">
      <c r="A741" s="6">
        <v>58381</v>
      </c>
    </row>
    <row r="742" spans="1:1" x14ac:dyDescent="0.3">
      <c r="A742" s="6">
        <v>58394</v>
      </c>
    </row>
    <row r="743" spans="1:1" x14ac:dyDescent="0.3">
      <c r="A743" s="6">
        <v>58399</v>
      </c>
    </row>
    <row r="744" spans="1:1" x14ac:dyDescent="0.3">
      <c r="A744" s="6">
        <v>58434</v>
      </c>
    </row>
    <row r="745" spans="1:1" x14ac:dyDescent="0.3">
      <c r="A745" s="7">
        <v>58441</v>
      </c>
    </row>
    <row r="746" spans="1:1" x14ac:dyDescent="0.3">
      <c r="A746" s="7">
        <v>58501</v>
      </c>
    </row>
    <row r="747" spans="1:1" x14ac:dyDescent="0.3">
      <c r="A747" s="7">
        <v>58502</v>
      </c>
    </row>
    <row r="748" spans="1:1" x14ac:dyDescent="0.3">
      <c r="A748" s="7">
        <v>58547</v>
      </c>
    </row>
    <row r="749" spans="1:1" x14ac:dyDescent="0.3">
      <c r="A749" s="7">
        <v>58552</v>
      </c>
    </row>
    <row r="750" spans="1:1" x14ac:dyDescent="0.3">
      <c r="A750" s="7">
        <v>58562</v>
      </c>
    </row>
    <row r="751" spans="1:1" x14ac:dyDescent="0.3">
      <c r="A751" s="7">
        <v>58609</v>
      </c>
    </row>
    <row r="752" spans="1:1" x14ac:dyDescent="0.3">
      <c r="A752" s="7">
        <v>58691</v>
      </c>
    </row>
    <row r="753" spans="1:1" x14ac:dyDescent="0.3">
      <c r="A753" s="7">
        <v>58726</v>
      </c>
    </row>
    <row r="754" spans="1:1" x14ac:dyDescent="0.3">
      <c r="A754" s="7">
        <v>58747</v>
      </c>
    </row>
    <row r="755" spans="1:1" x14ac:dyDescent="0.3">
      <c r="A755" s="7">
        <v>58760</v>
      </c>
    </row>
    <row r="756" spans="1:1" x14ac:dyDescent="0.3">
      <c r="A756" s="7">
        <v>58765</v>
      </c>
    </row>
    <row r="757" spans="1:1" x14ac:dyDescent="0.3">
      <c r="A757" s="7">
        <v>58800</v>
      </c>
    </row>
    <row r="758" spans="1:1" x14ac:dyDescent="0.3">
      <c r="A758" s="6">
        <v>58807</v>
      </c>
    </row>
    <row r="759" spans="1:1" x14ac:dyDescent="0.3">
      <c r="A759" s="6">
        <v>58858</v>
      </c>
    </row>
    <row r="760" spans="1:1" x14ac:dyDescent="0.3">
      <c r="A760" s="6">
        <v>58859</v>
      </c>
    </row>
    <row r="761" spans="1:1" x14ac:dyDescent="0.3">
      <c r="A761" s="6">
        <v>58904</v>
      </c>
    </row>
    <row r="762" spans="1:1" x14ac:dyDescent="0.3">
      <c r="A762" s="6">
        <v>58917</v>
      </c>
    </row>
    <row r="763" spans="1:1" x14ac:dyDescent="0.3">
      <c r="A763" s="6">
        <v>58927</v>
      </c>
    </row>
    <row r="764" spans="1:1" x14ac:dyDescent="0.3">
      <c r="A764" s="6">
        <v>58966</v>
      </c>
    </row>
    <row r="765" spans="1:1" x14ac:dyDescent="0.3">
      <c r="A765" s="6">
        <v>59056</v>
      </c>
    </row>
    <row r="766" spans="1:1" x14ac:dyDescent="0.3">
      <c r="A766" s="6">
        <v>59091</v>
      </c>
    </row>
    <row r="767" spans="1:1" x14ac:dyDescent="0.3">
      <c r="A767" s="6">
        <v>59112</v>
      </c>
    </row>
    <row r="768" spans="1:1" x14ac:dyDescent="0.3">
      <c r="A768" s="6">
        <v>59125</v>
      </c>
    </row>
    <row r="769" spans="1:1" x14ac:dyDescent="0.3">
      <c r="A769" s="6">
        <v>59130</v>
      </c>
    </row>
    <row r="770" spans="1:1" x14ac:dyDescent="0.3">
      <c r="A770" s="6">
        <v>59165</v>
      </c>
    </row>
    <row r="771" spans="1:1" x14ac:dyDescent="0.3">
      <c r="A771" s="7">
        <v>59172</v>
      </c>
    </row>
    <row r="772" spans="1:1" x14ac:dyDescent="0.3">
      <c r="A772" s="7">
        <v>59208</v>
      </c>
    </row>
    <row r="773" spans="1:1" x14ac:dyDescent="0.3">
      <c r="A773" s="7">
        <v>59209</v>
      </c>
    </row>
    <row r="774" spans="1:1" x14ac:dyDescent="0.3">
      <c r="A774" s="7">
        <v>59254</v>
      </c>
    </row>
    <row r="775" spans="1:1" x14ac:dyDescent="0.3">
      <c r="A775" s="7">
        <v>59282</v>
      </c>
    </row>
    <row r="776" spans="1:1" x14ac:dyDescent="0.3">
      <c r="A776" s="7">
        <v>59292</v>
      </c>
    </row>
    <row r="777" spans="1:1" x14ac:dyDescent="0.3">
      <c r="A777" s="7">
        <v>59316</v>
      </c>
    </row>
    <row r="778" spans="1:1" x14ac:dyDescent="0.3">
      <c r="A778" s="7">
        <v>59421</v>
      </c>
    </row>
    <row r="779" spans="1:1" x14ac:dyDescent="0.3">
      <c r="A779" s="7">
        <v>59456</v>
      </c>
    </row>
    <row r="780" spans="1:1" x14ac:dyDescent="0.3">
      <c r="A780" s="7">
        <v>59477</v>
      </c>
    </row>
    <row r="781" spans="1:1" x14ac:dyDescent="0.3">
      <c r="A781" s="7">
        <v>59490</v>
      </c>
    </row>
    <row r="782" spans="1:1" x14ac:dyDescent="0.3">
      <c r="A782" s="7">
        <v>59495</v>
      </c>
    </row>
    <row r="783" spans="1:1" x14ac:dyDescent="0.3">
      <c r="A783" s="7">
        <v>59530</v>
      </c>
    </row>
    <row r="784" spans="1:1" x14ac:dyDescent="0.3">
      <c r="A784" s="6">
        <v>59537</v>
      </c>
    </row>
    <row r="785" spans="1:1" x14ac:dyDescent="0.3">
      <c r="A785" s="6">
        <v>59593</v>
      </c>
    </row>
    <row r="786" spans="1:1" x14ac:dyDescent="0.3">
      <c r="A786" s="6">
        <v>59594</v>
      </c>
    </row>
    <row r="787" spans="1:1" x14ac:dyDescent="0.3">
      <c r="A787" s="6">
        <v>59639</v>
      </c>
    </row>
    <row r="788" spans="1:1" x14ac:dyDescent="0.3">
      <c r="A788" s="6">
        <v>59647</v>
      </c>
    </row>
    <row r="789" spans="1:1" x14ac:dyDescent="0.3">
      <c r="A789" s="6">
        <v>59657</v>
      </c>
    </row>
    <row r="790" spans="1:1" x14ac:dyDescent="0.3">
      <c r="A790" s="6">
        <v>59701</v>
      </c>
    </row>
    <row r="791" spans="1:1" x14ac:dyDescent="0.3">
      <c r="A791" s="6">
        <v>59786</v>
      </c>
    </row>
    <row r="792" spans="1:1" x14ac:dyDescent="0.3">
      <c r="A792" s="6">
        <v>59821</v>
      </c>
    </row>
    <row r="793" spans="1:1" x14ac:dyDescent="0.3">
      <c r="A793" s="6">
        <v>59842</v>
      </c>
    </row>
    <row r="794" spans="1:1" x14ac:dyDescent="0.3">
      <c r="A794" s="6">
        <v>59855</v>
      </c>
    </row>
    <row r="795" spans="1:1" x14ac:dyDescent="0.3">
      <c r="A795" s="6">
        <v>59860</v>
      </c>
    </row>
    <row r="796" spans="1:1" x14ac:dyDescent="0.3">
      <c r="A796" s="6">
        <v>59895</v>
      </c>
    </row>
    <row r="797" spans="1:1" x14ac:dyDescent="0.3">
      <c r="A797" s="7">
        <v>59902</v>
      </c>
    </row>
    <row r="798" spans="1:1" x14ac:dyDescent="0.3">
      <c r="A798" s="7">
        <v>59950</v>
      </c>
    </row>
    <row r="799" spans="1:1" x14ac:dyDescent="0.3">
      <c r="A799" s="7">
        <v>59951</v>
      </c>
    </row>
    <row r="800" spans="1:1" x14ac:dyDescent="0.3">
      <c r="A800" s="7">
        <v>59996</v>
      </c>
    </row>
    <row r="801" spans="1:1" x14ac:dyDescent="0.3">
      <c r="A801" s="7">
        <v>60013</v>
      </c>
    </row>
    <row r="802" spans="1:1" x14ac:dyDescent="0.3">
      <c r="A802" s="7">
        <v>60023</v>
      </c>
    </row>
    <row r="803" spans="1:1" x14ac:dyDescent="0.3">
      <c r="A803" s="7">
        <v>60058</v>
      </c>
    </row>
    <row r="804" spans="1:1" x14ac:dyDescent="0.3">
      <c r="A804" s="7">
        <v>60152</v>
      </c>
    </row>
    <row r="805" spans="1:1" x14ac:dyDescent="0.3">
      <c r="A805" s="7">
        <v>60187</v>
      </c>
    </row>
    <row r="806" spans="1:1" x14ac:dyDescent="0.3">
      <c r="A806" s="7">
        <v>60208</v>
      </c>
    </row>
    <row r="807" spans="1:1" x14ac:dyDescent="0.3">
      <c r="A807" s="7">
        <v>60221</v>
      </c>
    </row>
    <row r="808" spans="1:1" x14ac:dyDescent="0.3">
      <c r="A808" s="7">
        <v>60226</v>
      </c>
    </row>
    <row r="809" spans="1:1" x14ac:dyDescent="0.3">
      <c r="A809" s="7">
        <v>60261</v>
      </c>
    </row>
    <row r="810" spans="1:1" x14ac:dyDescent="0.3">
      <c r="A810" s="6">
        <v>60268</v>
      </c>
    </row>
    <row r="811" spans="1:1" x14ac:dyDescent="0.3">
      <c r="A811" s="6">
        <v>60307</v>
      </c>
    </row>
    <row r="812" spans="1:1" x14ac:dyDescent="0.3">
      <c r="A812" s="6">
        <v>60308</v>
      </c>
    </row>
    <row r="813" spans="1:1" x14ac:dyDescent="0.3">
      <c r="A813" s="6">
        <v>60353</v>
      </c>
    </row>
    <row r="814" spans="1:1" x14ac:dyDescent="0.3">
      <c r="A814" s="6">
        <v>60378</v>
      </c>
    </row>
    <row r="815" spans="1:1" x14ac:dyDescent="0.3">
      <c r="A815" s="6">
        <v>60388</v>
      </c>
    </row>
    <row r="816" spans="1:1" x14ac:dyDescent="0.3">
      <c r="A816" s="6">
        <v>60415</v>
      </c>
    </row>
    <row r="817" spans="1:1" x14ac:dyDescent="0.3">
      <c r="A817" s="6">
        <v>60517</v>
      </c>
    </row>
    <row r="818" spans="1:1" x14ac:dyDescent="0.3">
      <c r="A818" s="6">
        <v>60552</v>
      </c>
    </row>
    <row r="819" spans="1:1" x14ac:dyDescent="0.3">
      <c r="A819" s="6">
        <v>60573</v>
      </c>
    </row>
    <row r="820" spans="1:1" x14ac:dyDescent="0.3">
      <c r="A820" s="6">
        <v>60586</v>
      </c>
    </row>
    <row r="821" spans="1:1" x14ac:dyDescent="0.3">
      <c r="A821" s="6">
        <v>60591</v>
      </c>
    </row>
    <row r="822" spans="1:1" x14ac:dyDescent="0.3">
      <c r="A822" s="6">
        <v>60626</v>
      </c>
    </row>
    <row r="823" spans="1:1" x14ac:dyDescent="0.3">
      <c r="A823" s="7">
        <v>60633</v>
      </c>
    </row>
    <row r="824" spans="1:1" x14ac:dyDescent="0.3">
      <c r="A824" s="7">
        <v>60685</v>
      </c>
    </row>
    <row r="825" spans="1:1" x14ac:dyDescent="0.3">
      <c r="A825" s="7">
        <v>60686</v>
      </c>
    </row>
    <row r="826" spans="1:1" x14ac:dyDescent="0.3">
      <c r="A826" s="7">
        <v>60731</v>
      </c>
    </row>
    <row r="827" spans="1:1" x14ac:dyDescent="0.3">
      <c r="A827" s="7">
        <v>60743</v>
      </c>
    </row>
    <row r="828" spans="1:1" x14ac:dyDescent="0.3">
      <c r="A828" s="7">
        <v>60753</v>
      </c>
    </row>
    <row r="829" spans="1:1" x14ac:dyDescent="0.3">
      <c r="A829" s="7">
        <v>60793</v>
      </c>
    </row>
    <row r="830" spans="1:1" x14ac:dyDescent="0.3">
      <c r="A830" s="7">
        <v>60882</v>
      </c>
    </row>
    <row r="831" spans="1:1" x14ac:dyDescent="0.3">
      <c r="A831" s="7">
        <v>60917</v>
      </c>
    </row>
    <row r="832" spans="1:1" x14ac:dyDescent="0.3">
      <c r="A832" s="7">
        <v>60938</v>
      </c>
    </row>
    <row r="833" spans="1:1" x14ac:dyDescent="0.3">
      <c r="A833" s="7">
        <v>60951</v>
      </c>
    </row>
    <row r="834" spans="1:1" x14ac:dyDescent="0.3">
      <c r="A834" s="7">
        <v>60956</v>
      </c>
    </row>
    <row r="835" spans="1:1" x14ac:dyDescent="0.3">
      <c r="A835" s="7">
        <v>60991</v>
      </c>
    </row>
    <row r="836" spans="1:1" x14ac:dyDescent="0.3">
      <c r="A836" s="6">
        <v>60998</v>
      </c>
    </row>
    <row r="837" spans="1:1" x14ac:dyDescent="0.3">
      <c r="A837" s="6">
        <v>61042</v>
      </c>
    </row>
    <row r="838" spans="1:1" x14ac:dyDescent="0.3">
      <c r="A838" s="6">
        <v>61043</v>
      </c>
    </row>
    <row r="839" spans="1:1" x14ac:dyDescent="0.3">
      <c r="A839" s="6">
        <v>61088</v>
      </c>
    </row>
    <row r="840" spans="1:1" x14ac:dyDescent="0.3">
      <c r="A840" s="6">
        <v>61108</v>
      </c>
    </row>
    <row r="841" spans="1:1" x14ac:dyDescent="0.3">
      <c r="A841" s="6">
        <v>61118</v>
      </c>
    </row>
    <row r="842" spans="1:1" x14ac:dyDescent="0.3">
      <c r="A842" s="6">
        <v>61150</v>
      </c>
    </row>
    <row r="843" spans="1:1" x14ac:dyDescent="0.3">
      <c r="A843" s="6">
        <v>61247</v>
      </c>
    </row>
    <row r="844" spans="1:1" x14ac:dyDescent="0.3">
      <c r="A844" s="6">
        <v>61282</v>
      </c>
    </row>
    <row r="845" spans="1:1" x14ac:dyDescent="0.3">
      <c r="A845" s="6">
        <v>61303</v>
      </c>
    </row>
    <row r="846" spans="1:1" x14ac:dyDescent="0.3">
      <c r="A846" s="6">
        <v>61316</v>
      </c>
    </row>
    <row r="847" spans="1:1" x14ac:dyDescent="0.3">
      <c r="A847" s="6">
        <v>61321</v>
      </c>
    </row>
    <row r="848" spans="1:1" x14ac:dyDescent="0.3">
      <c r="A848" s="6">
        <v>61356</v>
      </c>
    </row>
    <row r="849" spans="1:1" x14ac:dyDescent="0.3">
      <c r="A849" s="7">
        <v>61363</v>
      </c>
    </row>
    <row r="850" spans="1:1" x14ac:dyDescent="0.3">
      <c r="A850" s="7">
        <v>61427</v>
      </c>
    </row>
    <row r="851" spans="1:1" x14ac:dyDescent="0.3">
      <c r="A851" s="7">
        <v>61428</v>
      </c>
    </row>
    <row r="852" spans="1:1" x14ac:dyDescent="0.3">
      <c r="A852" s="7">
        <v>61473</v>
      </c>
    </row>
    <row r="853" spans="1:1" x14ac:dyDescent="0.3">
      <c r="A853" s="7">
        <v>61474</v>
      </c>
    </row>
    <row r="854" spans="1:1" x14ac:dyDescent="0.3">
      <c r="A854" s="7">
        <v>61484</v>
      </c>
    </row>
    <row r="855" spans="1:1" x14ac:dyDescent="0.3">
      <c r="A855" s="7">
        <v>61535</v>
      </c>
    </row>
    <row r="856" spans="1:1" x14ac:dyDescent="0.3">
      <c r="A856" s="7">
        <v>61613</v>
      </c>
    </row>
    <row r="857" spans="1:1" x14ac:dyDescent="0.3">
      <c r="A857" s="7">
        <v>61648</v>
      </c>
    </row>
    <row r="858" spans="1:1" x14ac:dyDescent="0.3">
      <c r="A858" s="7">
        <v>61669</v>
      </c>
    </row>
    <row r="859" spans="1:1" x14ac:dyDescent="0.3">
      <c r="A859" s="7">
        <v>61682</v>
      </c>
    </row>
    <row r="860" spans="1:1" x14ac:dyDescent="0.3">
      <c r="A860" s="7">
        <v>61687</v>
      </c>
    </row>
    <row r="861" spans="1:1" x14ac:dyDescent="0.3">
      <c r="A861" s="7">
        <v>61722</v>
      </c>
    </row>
    <row r="862" spans="1:1" x14ac:dyDescent="0.3">
      <c r="A862" s="6">
        <v>61729</v>
      </c>
    </row>
    <row r="863" spans="1:1" x14ac:dyDescent="0.3">
      <c r="A863" s="6">
        <v>61784</v>
      </c>
    </row>
    <row r="864" spans="1:1" x14ac:dyDescent="0.3">
      <c r="A864" s="6">
        <v>61785</v>
      </c>
    </row>
    <row r="865" spans="1:1" x14ac:dyDescent="0.3">
      <c r="A865" s="6">
        <v>61830</v>
      </c>
    </row>
    <row r="866" spans="1:1" x14ac:dyDescent="0.3">
      <c r="A866" s="6">
        <v>61839</v>
      </c>
    </row>
    <row r="867" spans="1:1" x14ac:dyDescent="0.3">
      <c r="A867" s="6">
        <v>61849</v>
      </c>
    </row>
    <row r="868" spans="1:1" x14ac:dyDescent="0.3">
      <c r="A868" s="6">
        <v>61892</v>
      </c>
    </row>
    <row r="869" spans="1:1" x14ac:dyDescent="0.3">
      <c r="A869" s="6">
        <v>61978</v>
      </c>
    </row>
    <row r="870" spans="1:1" x14ac:dyDescent="0.3">
      <c r="A870" s="6">
        <v>62013</v>
      </c>
    </row>
    <row r="871" spans="1:1" x14ac:dyDescent="0.3">
      <c r="A871" s="6">
        <v>62034</v>
      </c>
    </row>
    <row r="872" spans="1:1" x14ac:dyDescent="0.3">
      <c r="A872" s="6">
        <v>62047</v>
      </c>
    </row>
    <row r="873" spans="1:1" x14ac:dyDescent="0.3">
      <c r="A873" s="6">
        <v>62052</v>
      </c>
    </row>
    <row r="874" spans="1:1" x14ac:dyDescent="0.3">
      <c r="A874" s="6">
        <v>62087</v>
      </c>
    </row>
    <row r="875" spans="1:1" x14ac:dyDescent="0.3">
      <c r="A875" s="7">
        <v>62094</v>
      </c>
    </row>
    <row r="876" spans="1:1" x14ac:dyDescent="0.3">
      <c r="A876" s="7">
        <v>62134</v>
      </c>
    </row>
    <row r="877" spans="1:1" x14ac:dyDescent="0.3">
      <c r="A877" s="7">
        <v>62135</v>
      </c>
    </row>
    <row r="878" spans="1:1" x14ac:dyDescent="0.3">
      <c r="A878" s="7">
        <v>62180</v>
      </c>
    </row>
    <row r="879" spans="1:1" x14ac:dyDescent="0.3">
      <c r="A879" s="7">
        <v>62204</v>
      </c>
    </row>
    <row r="880" spans="1:1" x14ac:dyDescent="0.3">
      <c r="A880" s="7">
        <v>62214</v>
      </c>
    </row>
    <row r="881" spans="1:1" x14ac:dyDescent="0.3">
      <c r="A881" s="7">
        <v>62242</v>
      </c>
    </row>
    <row r="882" spans="1:1" x14ac:dyDescent="0.3">
      <c r="A882" s="7">
        <v>62343</v>
      </c>
    </row>
    <row r="883" spans="1:1" x14ac:dyDescent="0.3">
      <c r="A883" s="7">
        <v>62378</v>
      </c>
    </row>
    <row r="884" spans="1:1" x14ac:dyDescent="0.3">
      <c r="A884" s="7">
        <v>62399</v>
      </c>
    </row>
    <row r="885" spans="1:1" x14ac:dyDescent="0.3">
      <c r="A885" s="7">
        <v>62412</v>
      </c>
    </row>
    <row r="886" spans="1:1" x14ac:dyDescent="0.3">
      <c r="A886" s="7">
        <v>62417</v>
      </c>
    </row>
    <row r="887" spans="1:1" x14ac:dyDescent="0.3">
      <c r="A887" s="7">
        <v>62452</v>
      </c>
    </row>
    <row r="888" spans="1:1" x14ac:dyDescent="0.3">
      <c r="A888" s="6">
        <v>62459</v>
      </c>
    </row>
    <row r="889" spans="1:1" x14ac:dyDescent="0.3">
      <c r="A889" s="6">
        <v>62519</v>
      </c>
    </row>
    <row r="890" spans="1:1" x14ac:dyDescent="0.3">
      <c r="A890" s="6">
        <v>62520</v>
      </c>
    </row>
    <row r="891" spans="1:1" x14ac:dyDescent="0.3">
      <c r="A891" s="6">
        <v>62565</v>
      </c>
    </row>
    <row r="892" spans="1:1" x14ac:dyDescent="0.3">
      <c r="A892" s="6">
        <v>62569</v>
      </c>
    </row>
    <row r="893" spans="1:1" x14ac:dyDescent="0.3">
      <c r="A893" s="6">
        <v>62579</v>
      </c>
    </row>
    <row r="894" spans="1:1" x14ac:dyDescent="0.3">
      <c r="A894" s="6">
        <v>62627</v>
      </c>
    </row>
    <row r="895" spans="1:1" x14ac:dyDescent="0.3">
      <c r="A895" s="6">
        <v>62708</v>
      </c>
    </row>
    <row r="896" spans="1:1" x14ac:dyDescent="0.3">
      <c r="A896" s="6">
        <v>62743</v>
      </c>
    </row>
    <row r="897" spans="1:1" x14ac:dyDescent="0.3">
      <c r="A897" s="6">
        <v>62764</v>
      </c>
    </row>
    <row r="898" spans="1:1" x14ac:dyDescent="0.3">
      <c r="A898" s="6">
        <v>62777</v>
      </c>
    </row>
    <row r="899" spans="1:1" x14ac:dyDescent="0.3">
      <c r="A899" s="6">
        <v>62782</v>
      </c>
    </row>
    <row r="900" spans="1:1" x14ac:dyDescent="0.3">
      <c r="A900" s="6">
        <v>62817</v>
      </c>
    </row>
    <row r="901" spans="1:1" x14ac:dyDescent="0.3">
      <c r="A901" s="7">
        <v>62824</v>
      </c>
    </row>
    <row r="902" spans="1:1" x14ac:dyDescent="0.3">
      <c r="A902" s="7">
        <v>62876</v>
      </c>
    </row>
    <row r="903" spans="1:1" x14ac:dyDescent="0.3">
      <c r="A903" s="7">
        <v>62877</v>
      </c>
    </row>
    <row r="904" spans="1:1" x14ac:dyDescent="0.3">
      <c r="A904" s="7">
        <v>62922</v>
      </c>
    </row>
    <row r="905" spans="1:1" x14ac:dyDescent="0.3">
      <c r="A905" s="7">
        <v>62935</v>
      </c>
    </row>
    <row r="906" spans="1:1" x14ac:dyDescent="0.3">
      <c r="A906" s="7">
        <v>62945</v>
      </c>
    </row>
    <row r="907" spans="1:1" x14ac:dyDescent="0.3">
      <c r="A907" s="7">
        <v>62984</v>
      </c>
    </row>
    <row r="908" spans="1:1" x14ac:dyDescent="0.3">
      <c r="A908" s="7">
        <v>63074</v>
      </c>
    </row>
    <row r="909" spans="1:1" x14ac:dyDescent="0.3">
      <c r="A909" s="7">
        <v>63109</v>
      </c>
    </row>
    <row r="910" spans="1:1" x14ac:dyDescent="0.3">
      <c r="A910" s="7">
        <v>63130</v>
      </c>
    </row>
    <row r="911" spans="1:1" x14ac:dyDescent="0.3">
      <c r="A911" s="7">
        <v>63143</v>
      </c>
    </row>
    <row r="912" spans="1:1" x14ac:dyDescent="0.3">
      <c r="A912" s="7">
        <v>63148</v>
      </c>
    </row>
    <row r="913" spans="1:1" x14ac:dyDescent="0.3">
      <c r="A913" s="7">
        <v>63183</v>
      </c>
    </row>
    <row r="914" spans="1:1" x14ac:dyDescent="0.3">
      <c r="A914" s="6">
        <v>63190</v>
      </c>
    </row>
    <row r="915" spans="1:1" x14ac:dyDescent="0.3">
      <c r="A915" s="6">
        <v>63226</v>
      </c>
    </row>
    <row r="916" spans="1:1" x14ac:dyDescent="0.3">
      <c r="A916" s="6">
        <v>63227</v>
      </c>
    </row>
    <row r="917" spans="1:1" x14ac:dyDescent="0.3">
      <c r="A917" s="6">
        <v>63272</v>
      </c>
    </row>
    <row r="918" spans="1:1" x14ac:dyDescent="0.3">
      <c r="A918" s="6">
        <v>63300</v>
      </c>
    </row>
    <row r="919" spans="1:1" x14ac:dyDescent="0.3">
      <c r="A919" s="6">
        <v>63310</v>
      </c>
    </row>
    <row r="920" spans="1:1" x14ac:dyDescent="0.3">
      <c r="A920" s="6">
        <v>63334</v>
      </c>
    </row>
    <row r="921" spans="1:1" x14ac:dyDescent="0.3">
      <c r="A921" s="6">
        <v>63439</v>
      </c>
    </row>
    <row r="922" spans="1:1" x14ac:dyDescent="0.3">
      <c r="A922" s="6">
        <v>63474</v>
      </c>
    </row>
    <row r="923" spans="1:1" x14ac:dyDescent="0.3">
      <c r="A923" s="6">
        <v>63495</v>
      </c>
    </row>
    <row r="924" spans="1:1" x14ac:dyDescent="0.3">
      <c r="A924" s="6">
        <v>63508</v>
      </c>
    </row>
    <row r="925" spans="1:1" x14ac:dyDescent="0.3">
      <c r="A925" s="6">
        <v>63513</v>
      </c>
    </row>
    <row r="926" spans="1:1" x14ac:dyDescent="0.3">
      <c r="A926" s="6">
        <v>63548</v>
      </c>
    </row>
    <row r="927" spans="1:1" x14ac:dyDescent="0.3">
      <c r="A927" s="7">
        <v>63555</v>
      </c>
    </row>
    <row r="928" spans="1:1" x14ac:dyDescent="0.3">
      <c r="A928" s="7">
        <v>63611</v>
      </c>
    </row>
    <row r="929" spans="1:1" x14ac:dyDescent="0.3">
      <c r="A929" s="7">
        <v>63612</v>
      </c>
    </row>
    <row r="930" spans="1:1" x14ac:dyDescent="0.3">
      <c r="A930" s="7">
        <v>63657</v>
      </c>
    </row>
    <row r="931" spans="1:1" x14ac:dyDescent="0.3">
      <c r="A931" s="7">
        <v>63665</v>
      </c>
    </row>
    <row r="932" spans="1:1" x14ac:dyDescent="0.3">
      <c r="A932" s="7">
        <v>63675</v>
      </c>
    </row>
    <row r="933" spans="1:1" x14ac:dyDescent="0.3">
      <c r="A933" s="7">
        <v>63719</v>
      </c>
    </row>
    <row r="934" spans="1:1" x14ac:dyDescent="0.3">
      <c r="A934" s="7">
        <v>63804</v>
      </c>
    </row>
    <row r="935" spans="1:1" x14ac:dyDescent="0.3">
      <c r="A935" s="7">
        <v>63839</v>
      </c>
    </row>
    <row r="936" spans="1:1" x14ac:dyDescent="0.3">
      <c r="A936" s="7">
        <v>63860</v>
      </c>
    </row>
    <row r="937" spans="1:1" x14ac:dyDescent="0.3">
      <c r="A937" s="7">
        <v>63873</v>
      </c>
    </row>
    <row r="938" spans="1:1" x14ac:dyDescent="0.3">
      <c r="A938" s="7">
        <v>63878</v>
      </c>
    </row>
    <row r="939" spans="1:1" x14ac:dyDescent="0.3">
      <c r="A939" s="7">
        <v>63913</v>
      </c>
    </row>
    <row r="940" spans="1:1" x14ac:dyDescent="0.3">
      <c r="A940" s="6">
        <v>63920</v>
      </c>
    </row>
    <row r="941" spans="1:1" x14ac:dyDescent="0.3">
      <c r="A941" s="6">
        <v>63968</v>
      </c>
    </row>
    <row r="942" spans="1:1" x14ac:dyDescent="0.3">
      <c r="A942" s="6">
        <v>63969</v>
      </c>
    </row>
    <row r="943" spans="1:1" x14ac:dyDescent="0.3">
      <c r="A943" s="6">
        <v>64014</v>
      </c>
    </row>
    <row r="944" spans="1:1" x14ac:dyDescent="0.3">
      <c r="A944" s="6">
        <v>64030</v>
      </c>
    </row>
    <row r="945" spans="1:1" x14ac:dyDescent="0.3">
      <c r="A945" s="6">
        <v>64040</v>
      </c>
    </row>
    <row r="946" spans="1:1" x14ac:dyDescent="0.3">
      <c r="A946" s="6">
        <v>64076</v>
      </c>
    </row>
    <row r="947" spans="1:1" x14ac:dyDescent="0.3">
      <c r="A947" s="6">
        <v>64169</v>
      </c>
    </row>
    <row r="948" spans="1:1" x14ac:dyDescent="0.3">
      <c r="A948" s="6">
        <v>64204</v>
      </c>
    </row>
    <row r="949" spans="1:1" x14ac:dyDescent="0.3">
      <c r="A949" s="6">
        <v>64225</v>
      </c>
    </row>
    <row r="950" spans="1:1" x14ac:dyDescent="0.3">
      <c r="A950" s="6">
        <v>64238</v>
      </c>
    </row>
    <row r="951" spans="1:1" x14ac:dyDescent="0.3">
      <c r="A951" s="6">
        <v>64243</v>
      </c>
    </row>
    <row r="952" spans="1:1" x14ac:dyDescent="0.3">
      <c r="A952" s="6">
        <v>64278</v>
      </c>
    </row>
    <row r="953" spans="1:1" x14ac:dyDescent="0.3">
      <c r="A953" s="7">
        <v>64285</v>
      </c>
    </row>
    <row r="954" spans="1:1" x14ac:dyDescent="0.3">
      <c r="A954" s="7">
        <v>64346</v>
      </c>
    </row>
    <row r="955" spans="1:1" x14ac:dyDescent="0.3">
      <c r="A955" s="7">
        <v>64347</v>
      </c>
    </row>
    <row r="956" spans="1:1" x14ac:dyDescent="0.3">
      <c r="A956" s="7">
        <v>64392</v>
      </c>
    </row>
    <row r="957" spans="1:1" x14ac:dyDescent="0.3">
      <c r="A957" s="7">
        <v>64396</v>
      </c>
    </row>
    <row r="958" spans="1:1" x14ac:dyDescent="0.3">
      <c r="A958" s="7">
        <v>64406</v>
      </c>
    </row>
    <row r="959" spans="1:1" x14ac:dyDescent="0.3">
      <c r="A959" s="7">
        <v>64454</v>
      </c>
    </row>
    <row r="960" spans="1:1" x14ac:dyDescent="0.3">
      <c r="A960" s="7">
        <v>64535</v>
      </c>
    </row>
    <row r="961" spans="1:1" x14ac:dyDescent="0.3">
      <c r="A961" s="7">
        <v>64570</v>
      </c>
    </row>
    <row r="962" spans="1:1" x14ac:dyDescent="0.3">
      <c r="A962" s="7">
        <v>64591</v>
      </c>
    </row>
    <row r="963" spans="1:1" x14ac:dyDescent="0.3">
      <c r="A963" s="7">
        <v>64604</v>
      </c>
    </row>
    <row r="964" spans="1:1" x14ac:dyDescent="0.3">
      <c r="A964" s="7">
        <v>64609</v>
      </c>
    </row>
    <row r="965" spans="1:1" x14ac:dyDescent="0.3">
      <c r="A965" s="7">
        <v>64644</v>
      </c>
    </row>
    <row r="966" spans="1:1" x14ac:dyDescent="0.3">
      <c r="A966" s="6">
        <v>64651</v>
      </c>
    </row>
    <row r="967" spans="1:1" x14ac:dyDescent="0.3">
      <c r="A967" s="6">
        <v>64703</v>
      </c>
    </row>
    <row r="968" spans="1:1" x14ac:dyDescent="0.3">
      <c r="A968" s="6">
        <v>64704</v>
      </c>
    </row>
    <row r="969" spans="1:1" x14ac:dyDescent="0.3">
      <c r="A969" s="6">
        <v>64749</v>
      </c>
    </row>
    <row r="970" spans="1:1" x14ac:dyDescent="0.3">
      <c r="A970" s="6">
        <v>64761</v>
      </c>
    </row>
    <row r="971" spans="1:1" x14ac:dyDescent="0.3">
      <c r="A971" s="6">
        <v>64771</v>
      </c>
    </row>
    <row r="972" spans="1:1" x14ac:dyDescent="0.3">
      <c r="A972" s="6">
        <v>64811</v>
      </c>
    </row>
    <row r="973" spans="1:1" x14ac:dyDescent="0.3">
      <c r="A973" s="6">
        <v>64900</v>
      </c>
    </row>
    <row r="974" spans="1:1" x14ac:dyDescent="0.3">
      <c r="A974" s="6">
        <v>64935</v>
      </c>
    </row>
    <row r="975" spans="1:1" x14ac:dyDescent="0.3">
      <c r="A975" s="6">
        <v>64956</v>
      </c>
    </row>
    <row r="976" spans="1:1" x14ac:dyDescent="0.3">
      <c r="A976" s="6">
        <v>64969</v>
      </c>
    </row>
    <row r="977" spans="1:1" x14ac:dyDescent="0.3">
      <c r="A977" s="6">
        <v>64974</v>
      </c>
    </row>
    <row r="978" spans="1:1" x14ac:dyDescent="0.3">
      <c r="A978" s="6">
        <v>65009</v>
      </c>
    </row>
    <row r="979" spans="1:1" x14ac:dyDescent="0.3">
      <c r="A979" s="7">
        <v>65016</v>
      </c>
    </row>
    <row r="980" spans="1:1" x14ac:dyDescent="0.3">
      <c r="A980" s="7">
        <v>65060</v>
      </c>
    </row>
    <row r="981" spans="1:1" x14ac:dyDescent="0.3">
      <c r="A981" s="7">
        <v>65061</v>
      </c>
    </row>
    <row r="982" spans="1:1" x14ac:dyDescent="0.3">
      <c r="A982" s="7">
        <v>65106</v>
      </c>
    </row>
    <row r="983" spans="1:1" x14ac:dyDescent="0.3">
      <c r="A983" s="7">
        <v>65126</v>
      </c>
    </row>
    <row r="984" spans="1:1" x14ac:dyDescent="0.3">
      <c r="A984" s="7">
        <v>65136</v>
      </c>
    </row>
    <row r="985" spans="1:1" x14ac:dyDescent="0.3">
      <c r="A985" s="7">
        <v>65168</v>
      </c>
    </row>
    <row r="986" spans="1:1" x14ac:dyDescent="0.3">
      <c r="A986" s="7">
        <v>65265</v>
      </c>
    </row>
    <row r="987" spans="1:1" x14ac:dyDescent="0.3">
      <c r="A987" s="7">
        <v>65300</v>
      </c>
    </row>
    <row r="988" spans="1:1" x14ac:dyDescent="0.3">
      <c r="A988" s="7">
        <v>65321</v>
      </c>
    </row>
    <row r="989" spans="1:1" x14ac:dyDescent="0.3">
      <c r="A989" s="7">
        <v>65334</v>
      </c>
    </row>
    <row r="990" spans="1:1" x14ac:dyDescent="0.3">
      <c r="A990" s="7">
        <v>65339</v>
      </c>
    </row>
    <row r="991" spans="1:1" x14ac:dyDescent="0.3">
      <c r="A991" s="7">
        <v>65374</v>
      </c>
    </row>
    <row r="992" spans="1:1" x14ac:dyDescent="0.3">
      <c r="A992" s="6">
        <v>65381</v>
      </c>
    </row>
    <row r="993" spans="1:1" x14ac:dyDescent="0.3">
      <c r="A993" s="6">
        <v>65445</v>
      </c>
    </row>
    <row r="994" spans="1:1" x14ac:dyDescent="0.3">
      <c r="A994" s="6">
        <v>65446</v>
      </c>
    </row>
    <row r="995" spans="1:1" x14ac:dyDescent="0.3">
      <c r="A995" s="6">
        <v>65491</v>
      </c>
    </row>
    <row r="996" spans="1:1" x14ac:dyDescent="0.3">
      <c r="A996" s="6">
        <v>65491</v>
      </c>
    </row>
    <row r="997" spans="1:1" x14ac:dyDescent="0.3">
      <c r="A997" s="6">
        <v>65501</v>
      </c>
    </row>
    <row r="998" spans="1:1" x14ac:dyDescent="0.3">
      <c r="A998" s="6">
        <v>65553</v>
      </c>
    </row>
    <row r="999" spans="1:1" x14ac:dyDescent="0.3">
      <c r="A999" s="6">
        <v>65630</v>
      </c>
    </row>
    <row r="1000" spans="1:1" x14ac:dyDescent="0.3">
      <c r="A1000" s="6">
        <v>65665</v>
      </c>
    </row>
    <row r="1001" spans="1:1" x14ac:dyDescent="0.3">
      <c r="A1001" s="6">
        <v>65686</v>
      </c>
    </row>
    <row r="1002" spans="1:1" x14ac:dyDescent="0.3">
      <c r="A1002" s="6">
        <v>65699</v>
      </c>
    </row>
    <row r="1003" spans="1:1" x14ac:dyDescent="0.3">
      <c r="A1003" s="6">
        <v>65704</v>
      </c>
    </row>
    <row r="1004" spans="1:1" x14ac:dyDescent="0.3">
      <c r="A1004" s="6">
        <v>65739</v>
      </c>
    </row>
    <row r="1005" spans="1:1" x14ac:dyDescent="0.3">
      <c r="A1005" s="7">
        <v>65746</v>
      </c>
    </row>
    <row r="1006" spans="1:1" x14ac:dyDescent="0.3">
      <c r="A1006" s="7">
        <v>65795</v>
      </c>
    </row>
    <row r="1007" spans="1:1" x14ac:dyDescent="0.3">
      <c r="A1007" s="7">
        <v>65796</v>
      </c>
    </row>
    <row r="1008" spans="1:1" x14ac:dyDescent="0.3">
      <c r="A1008" s="7">
        <v>65841</v>
      </c>
    </row>
    <row r="1009" spans="1:1" x14ac:dyDescent="0.3">
      <c r="A1009" s="7">
        <v>65857</v>
      </c>
    </row>
    <row r="1010" spans="1:1" x14ac:dyDescent="0.3">
      <c r="A1010" s="7">
        <v>65867</v>
      </c>
    </row>
    <row r="1011" spans="1:1" x14ac:dyDescent="0.3">
      <c r="A1011" s="7">
        <v>65903</v>
      </c>
    </row>
    <row r="1012" spans="1:1" x14ac:dyDescent="0.3">
      <c r="A1012" s="7">
        <v>65996</v>
      </c>
    </row>
    <row r="1013" spans="1:1" x14ac:dyDescent="0.3">
      <c r="A1013" s="7">
        <v>66031</v>
      </c>
    </row>
    <row r="1014" spans="1:1" x14ac:dyDescent="0.3">
      <c r="A1014" s="7">
        <v>66052</v>
      </c>
    </row>
    <row r="1015" spans="1:1" x14ac:dyDescent="0.3">
      <c r="A1015" s="7">
        <v>66065</v>
      </c>
    </row>
    <row r="1016" spans="1:1" x14ac:dyDescent="0.3">
      <c r="A1016" s="7">
        <v>66070</v>
      </c>
    </row>
    <row r="1017" spans="1:1" x14ac:dyDescent="0.3">
      <c r="A1017" s="7">
        <v>66105</v>
      </c>
    </row>
    <row r="1018" spans="1:1" x14ac:dyDescent="0.3">
      <c r="A1018" s="6">
        <v>66112</v>
      </c>
    </row>
    <row r="1019" spans="1:1" x14ac:dyDescent="0.3">
      <c r="A1019" s="6">
        <v>66152</v>
      </c>
    </row>
    <row r="1020" spans="1:1" x14ac:dyDescent="0.3">
      <c r="A1020" s="6">
        <v>66153</v>
      </c>
    </row>
    <row r="1021" spans="1:1" x14ac:dyDescent="0.3">
      <c r="A1021" s="6">
        <v>66198</v>
      </c>
    </row>
    <row r="1022" spans="1:1" x14ac:dyDescent="0.3">
      <c r="A1022" s="6">
        <v>66222</v>
      </c>
    </row>
    <row r="1023" spans="1:1" x14ac:dyDescent="0.3">
      <c r="A1023" s="6">
        <v>66232</v>
      </c>
    </row>
    <row r="1024" spans="1:1" x14ac:dyDescent="0.3">
      <c r="A1024" s="6">
        <v>66260</v>
      </c>
    </row>
    <row r="1025" spans="1:1" x14ac:dyDescent="0.3">
      <c r="A1025" s="6">
        <v>66361</v>
      </c>
    </row>
    <row r="1026" spans="1:1" x14ac:dyDescent="0.3">
      <c r="A1026" s="6">
        <v>66396</v>
      </c>
    </row>
    <row r="1027" spans="1:1" x14ac:dyDescent="0.3">
      <c r="A1027" s="6">
        <v>66417</v>
      </c>
    </row>
    <row r="1028" spans="1:1" x14ac:dyDescent="0.3">
      <c r="A1028" s="6">
        <v>66430</v>
      </c>
    </row>
    <row r="1029" spans="1:1" x14ac:dyDescent="0.3">
      <c r="A1029" s="6">
        <v>66435</v>
      </c>
    </row>
    <row r="1030" spans="1:1" x14ac:dyDescent="0.3">
      <c r="A1030" s="6">
        <v>66470</v>
      </c>
    </row>
    <row r="1031" spans="1:1" x14ac:dyDescent="0.3">
      <c r="A1031" s="7">
        <v>66477</v>
      </c>
    </row>
    <row r="1032" spans="1:1" x14ac:dyDescent="0.3">
      <c r="A1032" s="7">
        <v>66537</v>
      </c>
    </row>
    <row r="1033" spans="1:1" x14ac:dyDescent="0.3">
      <c r="A1033" s="7">
        <v>66538</v>
      </c>
    </row>
    <row r="1034" spans="1:1" x14ac:dyDescent="0.3">
      <c r="A1034" s="7">
        <v>66583</v>
      </c>
    </row>
    <row r="1035" spans="1:1" x14ac:dyDescent="0.3">
      <c r="A1035" s="7">
        <v>66587</v>
      </c>
    </row>
    <row r="1036" spans="1:1" x14ac:dyDescent="0.3">
      <c r="A1036" s="7">
        <v>66597</v>
      </c>
    </row>
    <row r="1037" spans="1:1" x14ac:dyDescent="0.3">
      <c r="A1037" s="7">
        <v>66645</v>
      </c>
    </row>
    <row r="1038" spans="1:1" x14ac:dyDescent="0.3">
      <c r="A1038" s="7">
        <v>66726</v>
      </c>
    </row>
    <row r="1039" spans="1:1" x14ac:dyDescent="0.3">
      <c r="A1039" s="7">
        <v>66761</v>
      </c>
    </row>
    <row r="1040" spans="1:1" x14ac:dyDescent="0.3">
      <c r="A1040" s="7">
        <v>66782</v>
      </c>
    </row>
    <row r="1041" spans="1:1" x14ac:dyDescent="0.3">
      <c r="A1041" s="7">
        <v>66795</v>
      </c>
    </row>
    <row r="1042" spans="1:1" x14ac:dyDescent="0.3">
      <c r="A1042" s="7">
        <v>66800</v>
      </c>
    </row>
    <row r="1043" spans="1:1" x14ac:dyDescent="0.3">
      <c r="A1043" s="7">
        <v>66835</v>
      </c>
    </row>
    <row r="1044" spans="1:1" x14ac:dyDescent="0.3">
      <c r="A1044" s="6">
        <v>66842</v>
      </c>
    </row>
    <row r="1045" spans="1:1" x14ac:dyDescent="0.3">
      <c r="A1045" s="6">
        <v>66887</v>
      </c>
    </row>
    <row r="1046" spans="1:1" x14ac:dyDescent="0.3">
      <c r="A1046" s="6">
        <v>66888</v>
      </c>
    </row>
    <row r="1047" spans="1:1" x14ac:dyDescent="0.3">
      <c r="A1047" s="6">
        <v>66933</v>
      </c>
    </row>
    <row r="1048" spans="1:1" x14ac:dyDescent="0.3">
      <c r="A1048" s="6">
        <v>66952</v>
      </c>
    </row>
    <row r="1049" spans="1:1" x14ac:dyDescent="0.3">
      <c r="A1049" s="6">
        <v>66962</v>
      </c>
    </row>
    <row r="1050" spans="1:1" x14ac:dyDescent="0.3">
      <c r="A1050" s="6">
        <v>66995</v>
      </c>
    </row>
    <row r="1051" spans="1:1" x14ac:dyDescent="0.3">
      <c r="A1051" s="6">
        <v>67091</v>
      </c>
    </row>
    <row r="1052" spans="1:1" x14ac:dyDescent="0.3">
      <c r="A1052" s="6">
        <v>67126</v>
      </c>
    </row>
    <row r="1053" spans="1:1" x14ac:dyDescent="0.3">
      <c r="A1053" s="6">
        <v>67147</v>
      </c>
    </row>
    <row r="1054" spans="1:1" x14ac:dyDescent="0.3">
      <c r="A1054" s="6">
        <v>67160</v>
      </c>
    </row>
    <row r="1055" spans="1:1" x14ac:dyDescent="0.3">
      <c r="A1055" s="6">
        <v>67165</v>
      </c>
    </row>
    <row r="1056" spans="1:1" x14ac:dyDescent="0.3">
      <c r="A1056" s="6">
        <v>67200</v>
      </c>
    </row>
    <row r="1057" spans="1:1" x14ac:dyDescent="0.3">
      <c r="A1057" s="7">
        <v>67207</v>
      </c>
    </row>
    <row r="1058" spans="1:1" x14ac:dyDescent="0.3">
      <c r="A1058" s="7">
        <v>67244</v>
      </c>
    </row>
    <row r="1059" spans="1:1" x14ac:dyDescent="0.3">
      <c r="A1059" s="7">
        <v>67245</v>
      </c>
    </row>
    <row r="1060" spans="1:1" x14ac:dyDescent="0.3">
      <c r="A1060" s="7">
        <v>67290</v>
      </c>
    </row>
    <row r="1061" spans="1:1" x14ac:dyDescent="0.3">
      <c r="A1061" s="7">
        <v>67318</v>
      </c>
    </row>
    <row r="1062" spans="1:1" x14ac:dyDescent="0.3">
      <c r="A1062" s="7">
        <v>67328</v>
      </c>
    </row>
    <row r="1063" spans="1:1" x14ac:dyDescent="0.3">
      <c r="A1063" s="7">
        <v>67352</v>
      </c>
    </row>
    <row r="1064" spans="1:1" x14ac:dyDescent="0.3">
      <c r="A1064" s="7">
        <v>67457</v>
      </c>
    </row>
    <row r="1065" spans="1:1" x14ac:dyDescent="0.3">
      <c r="A1065" s="7">
        <v>67492</v>
      </c>
    </row>
    <row r="1066" spans="1:1" x14ac:dyDescent="0.3">
      <c r="A1066" s="7">
        <v>67513</v>
      </c>
    </row>
    <row r="1067" spans="1:1" x14ac:dyDescent="0.3">
      <c r="A1067" s="7">
        <v>67526</v>
      </c>
    </row>
    <row r="1068" spans="1:1" x14ac:dyDescent="0.3">
      <c r="A1068" s="7">
        <v>67531</v>
      </c>
    </row>
    <row r="1069" spans="1:1" x14ac:dyDescent="0.3">
      <c r="A1069" s="7">
        <v>67566</v>
      </c>
    </row>
    <row r="1070" spans="1:1" x14ac:dyDescent="0.3">
      <c r="A1070" s="6">
        <v>67573</v>
      </c>
    </row>
    <row r="1071" spans="1:1" x14ac:dyDescent="0.3">
      <c r="A1071" s="6">
        <v>67629</v>
      </c>
    </row>
    <row r="1072" spans="1:1" x14ac:dyDescent="0.3">
      <c r="A1072" s="6">
        <v>67630</v>
      </c>
    </row>
    <row r="1073" spans="1:1" x14ac:dyDescent="0.3">
      <c r="A1073" s="6">
        <v>67675</v>
      </c>
    </row>
    <row r="1074" spans="1:1" x14ac:dyDescent="0.3">
      <c r="A1074" s="6">
        <v>67683</v>
      </c>
    </row>
    <row r="1075" spans="1:1" x14ac:dyDescent="0.3">
      <c r="A1075" s="6">
        <v>67693</v>
      </c>
    </row>
    <row r="1076" spans="1:1" x14ac:dyDescent="0.3">
      <c r="A1076" s="6">
        <v>67737</v>
      </c>
    </row>
    <row r="1077" spans="1:1" x14ac:dyDescent="0.3">
      <c r="A1077" s="6">
        <v>67822</v>
      </c>
    </row>
    <row r="1078" spans="1:1" x14ac:dyDescent="0.3">
      <c r="A1078" s="6">
        <v>67857</v>
      </c>
    </row>
    <row r="1079" spans="1:1" x14ac:dyDescent="0.3">
      <c r="A1079" s="6">
        <v>67878</v>
      </c>
    </row>
    <row r="1080" spans="1:1" x14ac:dyDescent="0.3">
      <c r="A1080" s="6">
        <v>67891</v>
      </c>
    </row>
    <row r="1081" spans="1:1" x14ac:dyDescent="0.3">
      <c r="A1081" s="6">
        <v>67896</v>
      </c>
    </row>
    <row r="1082" spans="1:1" x14ac:dyDescent="0.3">
      <c r="A1082" s="6">
        <v>67931</v>
      </c>
    </row>
    <row r="1083" spans="1:1" x14ac:dyDescent="0.3">
      <c r="A1083" s="7">
        <v>67938</v>
      </c>
    </row>
    <row r="1084" spans="1:1" x14ac:dyDescent="0.3">
      <c r="A1084" s="7">
        <v>67979</v>
      </c>
    </row>
    <row r="1085" spans="1:1" x14ac:dyDescent="0.3">
      <c r="A1085" s="7">
        <v>67980</v>
      </c>
    </row>
    <row r="1086" spans="1:1" x14ac:dyDescent="0.3">
      <c r="A1086" s="7">
        <v>68025</v>
      </c>
    </row>
    <row r="1087" spans="1:1" x14ac:dyDescent="0.3">
      <c r="A1087" s="7">
        <v>68048</v>
      </c>
    </row>
    <row r="1088" spans="1:1" x14ac:dyDescent="0.3">
      <c r="A1088" s="7">
        <v>68058</v>
      </c>
    </row>
    <row r="1089" spans="1:1" x14ac:dyDescent="0.3">
      <c r="A1089" s="7">
        <v>68087</v>
      </c>
    </row>
    <row r="1090" spans="1:1" x14ac:dyDescent="0.3">
      <c r="A1090" s="7">
        <v>68187</v>
      </c>
    </row>
    <row r="1091" spans="1:1" x14ac:dyDescent="0.3">
      <c r="A1091" s="7">
        <v>68222</v>
      </c>
    </row>
    <row r="1092" spans="1:1" x14ac:dyDescent="0.3">
      <c r="A1092" s="7">
        <v>68243</v>
      </c>
    </row>
    <row r="1093" spans="1:1" x14ac:dyDescent="0.3">
      <c r="A1093" s="7">
        <v>68256</v>
      </c>
    </row>
    <row r="1094" spans="1:1" x14ac:dyDescent="0.3">
      <c r="A1094" s="7">
        <v>68261</v>
      </c>
    </row>
    <row r="1095" spans="1:1" x14ac:dyDescent="0.3">
      <c r="A1095" s="7">
        <v>68296</v>
      </c>
    </row>
    <row r="1096" spans="1:1" x14ac:dyDescent="0.3">
      <c r="A1096" s="6">
        <v>68303</v>
      </c>
    </row>
    <row r="1097" spans="1:1" x14ac:dyDescent="0.3">
      <c r="A1097" s="6">
        <v>68364</v>
      </c>
    </row>
    <row r="1098" spans="1:1" x14ac:dyDescent="0.3">
      <c r="A1098" s="6">
        <v>68365</v>
      </c>
    </row>
    <row r="1099" spans="1:1" x14ac:dyDescent="0.3">
      <c r="A1099" s="6">
        <v>68410</v>
      </c>
    </row>
    <row r="1100" spans="1:1" x14ac:dyDescent="0.3">
      <c r="A1100" s="6">
        <v>68413</v>
      </c>
    </row>
    <row r="1101" spans="1:1" x14ac:dyDescent="0.3">
      <c r="A1101" s="6">
        <v>68423</v>
      </c>
    </row>
    <row r="1102" spans="1:1" x14ac:dyDescent="0.3">
      <c r="A1102" s="6">
        <v>68472</v>
      </c>
    </row>
    <row r="1103" spans="1:1" x14ac:dyDescent="0.3">
      <c r="A1103" s="6">
        <v>68552</v>
      </c>
    </row>
    <row r="1104" spans="1:1" x14ac:dyDescent="0.3">
      <c r="A1104" s="6">
        <v>68587</v>
      </c>
    </row>
    <row r="1105" spans="1:1" x14ac:dyDescent="0.3">
      <c r="A1105" s="6">
        <v>68608</v>
      </c>
    </row>
    <row r="1106" spans="1:1" x14ac:dyDescent="0.3">
      <c r="A1106" s="6">
        <v>68621</v>
      </c>
    </row>
    <row r="1107" spans="1:1" x14ac:dyDescent="0.3">
      <c r="A1107" s="6">
        <v>68626</v>
      </c>
    </row>
    <row r="1108" spans="1:1" x14ac:dyDescent="0.3">
      <c r="A1108" s="6">
        <v>68661</v>
      </c>
    </row>
    <row r="1109" spans="1:1" x14ac:dyDescent="0.3">
      <c r="A1109" s="7">
        <v>68668</v>
      </c>
    </row>
    <row r="1110" spans="1:1" x14ac:dyDescent="0.3">
      <c r="A1110" s="7">
        <v>68721</v>
      </c>
    </row>
    <row r="1111" spans="1:1" x14ac:dyDescent="0.3">
      <c r="A1111" s="7">
        <v>68722</v>
      </c>
    </row>
    <row r="1112" spans="1:1" x14ac:dyDescent="0.3">
      <c r="A1112" s="7">
        <v>68767</v>
      </c>
    </row>
    <row r="1113" spans="1:1" x14ac:dyDescent="0.3">
      <c r="A1113" s="7">
        <v>68779</v>
      </c>
    </row>
    <row r="1114" spans="1:1" x14ac:dyDescent="0.3">
      <c r="A1114" s="7">
        <v>68789</v>
      </c>
    </row>
    <row r="1115" spans="1:1" x14ac:dyDescent="0.3">
      <c r="A1115" s="7">
        <v>68829</v>
      </c>
    </row>
    <row r="1116" spans="1:1" x14ac:dyDescent="0.3">
      <c r="A1116" s="7">
        <v>68918</v>
      </c>
    </row>
    <row r="1117" spans="1:1" x14ac:dyDescent="0.3">
      <c r="A1117" s="7">
        <v>68953</v>
      </c>
    </row>
    <row r="1118" spans="1:1" x14ac:dyDescent="0.3">
      <c r="A1118" s="7">
        <v>68974</v>
      </c>
    </row>
    <row r="1119" spans="1:1" x14ac:dyDescent="0.3">
      <c r="A1119" s="7">
        <v>68987</v>
      </c>
    </row>
    <row r="1120" spans="1:1" x14ac:dyDescent="0.3">
      <c r="A1120" s="7">
        <v>68992</v>
      </c>
    </row>
    <row r="1121" spans="1:1" x14ac:dyDescent="0.3">
      <c r="A1121" s="7">
        <v>69027</v>
      </c>
    </row>
    <row r="1122" spans="1:1" x14ac:dyDescent="0.3">
      <c r="A1122" s="6">
        <v>69034</v>
      </c>
    </row>
    <row r="1123" spans="1:1" x14ac:dyDescent="0.3">
      <c r="A1123" s="6">
        <v>69078</v>
      </c>
    </row>
    <row r="1124" spans="1:1" x14ac:dyDescent="0.3">
      <c r="A1124" s="6">
        <v>69079</v>
      </c>
    </row>
    <row r="1125" spans="1:1" x14ac:dyDescent="0.3">
      <c r="A1125" s="6">
        <v>69124</v>
      </c>
    </row>
    <row r="1126" spans="1:1" x14ac:dyDescent="0.3">
      <c r="A1126" s="6">
        <v>69144</v>
      </c>
    </row>
    <row r="1127" spans="1:1" x14ac:dyDescent="0.3">
      <c r="A1127" s="6">
        <v>69154</v>
      </c>
    </row>
    <row r="1128" spans="1:1" x14ac:dyDescent="0.3">
      <c r="A1128" s="6">
        <v>69186</v>
      </c>
    </row>
    <row r="1129" spans="1:1" x14ac:dyDescent="0.3">
      <c r="A1129" s="6">
        <v>69283</v>
      </c>
    </row>
    <row r="1130" spans="1:1" x14ac:dyDescent="0.3">
      <c r="A1130" s="6">
        <v>69318</v>
      </c>
    </row>
    <row r="1131" spans="1:1" x14ac:dyDescent="0.3">
      <c r="A1131" s="6">
        <v>69339</v>
      </c>
    </row>
    <row r="1132" spans="1:1" x14ac:dyDescent="0.3">
      <c r="A1132" s="6">
        <v>69352</v>
      </c>
    </row>
    <row r="1133" spans="1:1" x14ac:dyDescent="0.3">
      <c r="A1133" s="6">
        <v>69357</v>
      </c>
    </row>
    <row r="1134" spans="1:1" x14ac:dyDescent="0.3">
      <c r="A1134" s="6">
        <v>69392</v>
      </c>
    </row>
    <row r="1135" spans="1:1" x14ac:dyDescent="0.3">
      <c r="A1135" s="7">
        <v>69399</v>
      </c>
    </row>
    <row r="1136" spans="1:1" x14ac:dyDescent="0.3">
      <c r="A1136" s="7">
        <v>69456</v>
      </c>
    </row>
    <row r="1137" spans="1:1" x14ac:dyDescent="0.3">
      <c r="A1137" s="7">
        <v>69457</v>
      </c>
    </row>
    <row r="1138" spans="1:1" x14ac:dyDescent="0.3">
      <c r="A1138" s="7">
        <v>69502</v>
      </c>
    </row>
    <row r="1139" spans="1:1" x14ac:dyDescent="0.3">
      <c r="A1139" s="7">
        <v>69509</v>
      </c>
    </row>
    <row r="1140" spans="1:1" x14ac:dyDescent="0.3">
      <c r="A1140" s="7">
        <v>69519</v>
      </c>
    </row>
    <row r="1141" spans="1:1" x14ac:dyDescent="0.3">
      <c r="A1141" s="7">
        <v>69564</v>
      </c>
    </row>
    <row r="1142" spans="1:1" x14ac:dyDescent="0.3">
      <c r="A1142" s="7">
        <v>69648</v>
      </c>
    </row>
    <row r="1143" spans="1:1" x14ac:dyDescent="0.3">
      <c r="A1143" s="7">
        <v>69683</v>
      </c>
    </row>
    <row r="1144" spans="1:1" x14ac:dyDescent="0.3">
      <c r="A1144" s="7">
        <v>69704</v>
      </c>
    </row>
    <row r="1145" spans="1:1" x14ac:dyDescent="0.3">
      <c r="A1145" s="7">
        <v>69717</v>
      </c>
    </row>
    <row r="1146" spans="1:1" x14ac:dyDescent="0.3">
      <c r="A1146" s="7">
        <v>69722</v>
      </c>
    </row>
    <row r="1147" spans="1:1" x14ac:dyDescent="0.3">
      <c r="A1147" s="7">
        <v>69757</v>
      </c>
    </row>
    <row r="1148" spans="1:1" x14ac:dyDescent="0.3">
      <c r="A1148" s="6">
        <v>69764</v>
      </c>
    </row>
    <row r="1149" spans="1:1" x14ac:dyDescent="0.3">
      <c r="A1149" s="6">
        <v>69813</v>
      </c>
    </row>
    <row r="1150" spans="1:1" x14ac:dyDescent="0.3">
      <c r="A1150" s="6">
        <v>69814</v>
      </c>
    </row>
    <row r="1151" spans="1:1" x14ac:dyDescent="0.3">
      <c r="A1151" s="6">
        <v>69859</v>
      </c>
    </row>
    <row r="1152" spans="1:1" x14ac:dyDescent="0.3">
      <c r="A1152" s="6">
        <v>69874</v>
      </c>
    </row>
    <row r="1153" spans="1:1" x14ac:dyDescent="0.3">
      <c r="A1153" s="6">
        <v>69884</v>
      </c>
    </row>
    <row r="1154" spans="1:1" x14ac:dyDescent="0.3">
      <c r="A1154" s="6">
        <v>69921</v>
      </c>
    </row>
    <row r="1155" spans="1:1" x14ac:dyDescent="0.3">
      <c r="A1155" s="6">
        <v>70013</v>
      </c>
    </row>
    <row r="1156" spans="1:1" x14ac:dyDescent="0.3">
      <c r="A1156" s="6">
        <v>70048</v>
      </c>
    </row>
    <row r="1157" spans="1:1" x14ac:dyDescent="0.3">
      <c r="A1157" s="6">
        <v>70069</v>
      </c>
    </row>
    <row r="1158" spans="1:1" x14ac:dyDescent="0.3">
      <c r="A1158" s="6">
        <v>70082</v>
      </c>
    </row>
    <row r="1159" spans="1:1" x14ac:dyDescent="0.3">
      <c r="A1159" s="6">
        <v>70087</v>
      </c>
    </row>
    <row r="1160" spans="1:1" x14ac:dyDescent="0.3">
      <c r="A1160" s="6">
        <v>70122</v>
      </c>
    </row>
    <row r="1161" spans="1:1" x14ac:dyDescent="0.3">
      <c r="A1161" s="7">
        <v>70129</v>
      </c>
    </row>
    <row r="1162" spans="1:1" x14ac:dyDescent="0.3">
      <c r="A1162" s="7">
        <v>70170</v>
      </c>
    </row>
    <row r="1163" spans="1:1" x14ac:dyDescent="0.3">
      <c r="A1163" s="7">
        <v>70171</v>
      </c>
    </row>
    <row r="1164" spans="1:1" x14ac:dyDescent="0.3">
      <c r="A1164" s="7">
        <v>70216</v>
      </c>
    </row>
    <row r="1165" spans="1:1" x14ac:dyDescent="0.3">
      <c r="A1165" s="7">
        <v>70240</v>
      </c>
    </row>
    <row r="1166" spans="1:1" x14ac:dyDescent="0.3">
      <c r="A1166" s="7">
        <v>70250</v>
      </c>
    </row>
    <row r="1167" spans="1:1" x14ac:dyDescent="0.3">
      <c r="A1167" s="7">
        <v>70278</v>
      </c>
    </row>
    <row r="1168" spans="1:1" x14ac:dyDescent="0.3">
      <c r="A1168" s="7">
        <v>70379</v>
      </c>
    </row>
    <row r="1169" spans="1:1" x14ac:dyDescent="0.3">
      <c r="A1169" s="7">
        <v>70414</v>
      </c>
    </row>
    <row r="1170" spans="1:1" x14ac:dyDescent="0.3">
      <c r="A1170" s="7">
        <v>70435</v>
      </c>
    </row>
    <row r="1171" spans="1:1" x14ac:dyDescent="0.3">
      <c r="A1171" s="7">
        <v>70448</v>
      </c>
    </row>
    <row r="1172" spans="1:1" x14ac:dyDescent="0.3">
      <c r="A1172" s="7">
        <v>70453</v>
      </c>
    </row>
    <row r="1173" spans="1:1" x14ac:dyDescent="0.3">
      <c r="A1173" s="7">
        <v>70488</v>
      </c>
    </row>
    <row r="1174" spans="1:1" x14ac:dyDescent="0.3">
      <c r="A1174" s="6">
        <v>70495</v>
      </c>
    </row>
    <row r="1175" spans="1:1" x14ac:dyDescent="0.3">
      <c r="A1175" s="6">
        <v>70548</v>
      </c>
    </row>
    <row r="1176" spans="1:1" x14ac:dyDescent="0.3">
      <c r="A1176" s="6">
        <v>70549</v>
      </c>
    </row>
    <row r="1177" spans="1:1" x14ac:dyDescent="0.3">
      <c r="A1177" s="6">
        <v>70594</v>
      </c>
    </row>
    <row r="1178" spans="1:1" x14ac:dyDescent="0.3">
      <c r="A1178" s="6">
        <v>70605</v>
      </c>
    </row>
    <row r="1179" spans="1:1" x14ac:dyDescent="0.3">
      <c r="A1179" s="6">
        <v>70615</v>
      </c>
    </row>
    <row r="1180" spans="1:1" x14ac:dyDescent="0.3">
      <c r="A1180" s="6">
        <v>70656</v>
      </c>
    </row>
    <row r="1181" spans="1:1" x14ac:dyDescent="0.3">
      <c r="A1181" s="6">
        <v>70744</v>
      </c>
    </row>
    <row r="1182" spans="1:1" x14ac:dyDescent="0.3">
      <c r="A1182" s="6">
        <v>70779</v>
      </c>
    </row>
    <row r="1183" spans="1:1" x14ac:dyDescent="0.3">
      <c r="A1183" s="6">
        <v>70800</v>
      </c>
    </row>
    <row r="1184" spans="1:1" x14ac:dyDescent="0.3">
      <c r="A1184" s="6">
        <v>70813</v>
      </c>
    </row>
    <row r="1185" spans="1:1" x14ac:dyDescent="0.3">
      <c r="A1185" s="6">
        <v>70818</v>
      </c>
    </row>
    <row r="1186" spans="1:1" x14ac:dyDescent="0.3">
      <c r="A1186" s="6">
        <v>70853</v>
      </c>
    </row>
    <row r="1187" spans="1:1" x14ac:dyDescent="0.3">
      <c r="A1187" s="7">
        <v>70860</v>
      </c>
    </row>
    <row r="1188" spans="1:1" x14ac:dyDescent="0.3">
      <c r="A1188" s="7">
        <v>70905</v>
      </c>
    </row>
    <row r="1189" spans="1:1" x14ac:dyDescent="0.3">
      <c r="A1189" s="7">
        <v>70906</v>
      </c>
    </row>
    <row r="1190" spans="1:1" x14ac:dyDescent="0.3">
      <c r="A1190" s="7">
        <v>70951</v>
      </c>
    </row>
    <row r="1191" spans="1:1" x14ac:dyDescent="0.3">
      <c r="A1191" s="7">
        <v>70970</v>
      </c>
    </row>
    <row r="1192" spans="1:1" x14ac:dyDescent="0.3">
      <c r="A1192" s="7">
        <v>70980</v>
      </c>
    </row>
    <row r="1193" spans="1:1" x14ac:dyDescent="0.3">
      <c r="A1193" s="7">
        <v>71013</v>
      </c>
    </row>
    <row r="1194" spans="1:1" x14ac:dyDescent="0.3">
      <c r="A1194" s="7">
        <v>71109</v>
      </c>
    </row>
    <row r="1195" spans="1:1" x14ac:dyDescent="0.3">
      <c r="A1195" s="7">
        <v>71144</v>
      </c>
    </row>
    <row r="1196" spans="1:1" x14ac:dyDescent="0.3">
      <c r="A1196" s="7">
        <v>71165</v>
      </c>
    </row>
    <row r="1197" spans="1:1" x14ac:dyDescent="0.3">
      <c r="A1197" s="7">
        <v>71178</v>
      </c>
    </row>
    <row r="1198" spans="1:1" x14ac:dyDescent="0.3">
      <c r="A1198" s="7">
        <v>71183</v>
      </c>
    </row>
    <row r="1199" spans="1:1" x14ac:dyDescent="0.3">
      <c r="A1199" s="7">
        <v>71218</v>
      </c>
    </row>
    <row r="1200" spans="1:1" x14ac:dyDescent="0.3">
      <c r="A1200" s="6">
        <v>71225</v>
      </c>
    </row>
    <row r="1201" spans="1:1" x14ac:dyDescent="0.3">
      <c r="A1201" s="6">
        <v>71290</v>
      </c>
    </row>
    <row r="1202" spans="1:1" x14ac:dyDescent="0.3">
      <c r="A1202" s="6">
        <v>71291</v>
      </c>
    </row>
    <row r="1203" spans="1:1" x14ac:dyDescent="0.3">
      <c r="A1203" s="6">
        <v>71335</v>
      </c>
    </row>
    <row r="1204" spans="1:1" x14ac:dyDescent="0.3">
      <c r="A1204" s="6">
        <v>71336</v>
      </c>
    </row>
    <row r="1205" spans="1:1" x14ac:dyDescent="0.3">
      <c r="A1205" s="6">
        <v>71345</v>
      </c>
    </row>
    <row r="1206" spans="1:1" x14ac:dyDescent="0.3">
      <c r="A1206" s="6">
        <v>71398</v>
      </c>
    </row>
    <row r="1207" spans="1:1" x14ac:dyDescent="0.3">
      <c r="A1207" s="6">
        <v>71474</v>
      </c>
    </row>
    <row r="1208" spans="1:1" x14ac:dyDescent="0.3">
      <c r="A1208" s="6">
        <v>71509</v>
      </c>
    </row>
    <row r="1209" spans="1:1" x14ac:dyDescent="0.3">
      <c r="A1209" s="6">
        <v>71530</v>
      </c>
    </row>
    <row r="1210" spans="1:1" x14ac:dyDescent="0.3">
      <c r="A1210" s="6">
        <v>71543</v>
      </c>
    </row>
    <row r="1211" spans="1:1" x14ac:dyDescent="0.3">
      <c r="A1211" s="6">
        <v>71548</v>
      </c>
    </row>
    <row r="1212" spans="1:1" x14ac:dyDescent="0.3">
      <c r="A1212" s="6">
        <v>71583</v>
      </c>
    </row>
    <row r="1213" spans="1:1" x14ac:dyDescent="0.3">
      <c r="A1213" s="7">
        <v>71590</v>
      </c>
    </row>
    <row r="1214" spans="1:1" x14ac:dyDescent="0.3">
      <c r="A1214" s="7">
        <v>71647</v>
      </c>
    </row>
    <row r="1215" spans="1:1" x14ac:dyDescent="0.3">
      <c r="A1215" s="7">
        <v>71648</v>
      </c>
    </row>
    <row r="1216" spans="1:1" x14ac:dyDescent="0.3">
      <c r="A1216" s="7">
        <v>71693</v>
      </c>
    </row>
    <row r="1217" spans="1:1" x14ac:dyDescent="0.3">
      <c r="A1217" s="7">
        <v>71701</v>
      </c>
    </row>
    <row r="1218" spans="1:1" x14ac:dyDescent="0.3">
      <c r="A1218" s="7">
        <v>71711</v>
      </c>
    </row>
    <row r="1219" spans="1:1" x14ac:dyDescent="0.3">
      <c r="A1219" s="7">
        <v>71755</v>
      </c>
    </row>
    <row r="1220" spans="1:1" x14ac:dyDescent="0.3">
      <c r="A1220" s="7">
        <v>71840</v>
      </c>
    </row>
    <row r="1221" spans="1:1" x14ac:dyDescent="0.3">
      <c r="A1221" s="7">
        <v>71875</v>
      </c>
    </row>
    <row r="1222" spans="1:1" x14ac:dyDescent="0.3">
      <c r="A1222" s="7">
        <v>71896</v>
      </c>
    </row>
    <row r="1223" spans="1:1" x14ac:dyDescent="0.3">
      <c r="A1223" s="7">
        <v>71909</v>
      </c>
    </row>
    <row r="1224" spans="1:1" x14ac:dyDescent="0.3">
      <c r="A1224" s="7">
        <v>71914</v>
      </c>
    </row>
    <row r="1225" spans="1:1" x14ac:dyDescent="0.3">
      <c r="A1225" s="7">
        <v>71949</v>
      </c>
    </row>
    <row r="1226" spans="1:1" x14ac:dyDescent="0.3">
      <c r="A1226" s="6">
        <v>71956</v>
      </c>
    </row>
    <row r="1227" spans="1:1" x14ac:dyDescent="0.3">
      <c r="A1227" s="6">
        <v>71997</v>
      </c>
    </row>
    <row r="1228" spans="1:1" x14ac:dyDescent="0.3">
      <c r="A1228" s="6">
        <v>71998</v>
      </c>
    </row>
    <row r="1229" spans="1:1" x14ac:dyDescent="0.3">
      <c r="A1229" s="6">
        <v>72043</v>
      </c>
    </row>
    <row r="1230" spans="1:1" x14ac:dyDescent="0.3">
      <c r="A1230" s="6">
        <v>72066</v>
      </c>
    </row>
    <row r="1231" spans="1:1" x14ac:dyDescent="0.3">
      <c r="A1231" s="6">
        <v>72076</v>
      </c>
    </row>
    <row r="1232" spans="1:1" x14ac:dyDescent="0.3">
      <c r="A1232" s="6">
        <v>72105</v>
      </c>
    </row>
    <row r="1233" spans="1:1" x14ac:dyDescent="0.3">
      <c r="A1233" s="6">
        <v>72205</v>
      </c>
    </row>
    <row r="1234" spans="1:1" x14ac:dyDescent="0.3">
      <c r="A1234" s="6">
        <v>72240</v>
      </c>
    </row>
    <row r="1235" spans="1:1" x14ac:dyDescent="0.3">
      <c r="A1235" s="6">
        <v>72261</v>
      </c>
    </row>
    <row r="1236" spans="1:1" x14ac:dyDescent="0.3">
      <c r="A1236" s="6">
        <v>72274</v>
      </c>
    </row>
    <row r="1237" spans="1:1" x14ac:dyDescent="0.3">
      <c r="A1237" s="6">
        <v>72279</v>
      </c>
    </row>
    <row r="1238" spans="1:1" x14ac:dyDescent="0.3">
      <c r="A1238" s="6">
        <v>72314</v>
      </c>
    </row>
    <row r="1239" spans="1:1" x14ac:dyDescent="0.3">
      <c r="A1239" s="7">
        <v>72321</v>
      </c>
    </row>
    <row r="1240" spans="1:1" x14ac:dyDescent="0.3">
      <c r="A1240" s="7">
        <v>72382</v>
      </c>
    </row>
    <row r="1241" spans="1:1" x14ac:dyDescent="0.3">
      <c r="A1241" s="7">
        <v>72383</v>
      </c>
    </row>
    <row r="1242" spans="1:1" x14ac:dyDescent="0.3">
      <c r="A1242" s="7">
        <v>72428</v>
      </c>
    </row>
    <row r="1243" spans="1:1" x14ac:dyDescent="0.3">
      <c r="A1243" s="7">
        <v>72431</v>
      </c>
    </row>
    <row r="1244" spans="1:1" x14ac:dyDescent="0.3">
      <c r="A1244" s="7">
        <v>72441</v>
      </c>
    </row>
    <row r="1245" spans="1:1" x14ac:dyDescent="0.3">
      <c r="A1245" s="7">
        <v>72490</v>
      </c>
    </row>
    <row r="1246" spans="1:1" x14ac:dyDescent="0.3">
      <c r="A1246" s="7">
        <v>72570</v>
      </c>
    </row>
    <row r="1247" spans="1:1" x14ac:dyDescent="0.3">
      <c r="A1247" s="7">
        <v>72605</v>
      </c>
    </row>
    <row r="1248" spans="1:1" x14ac:dyDescent="0.3">
      <c r="A1248" s="7">
        <v>72626</v>
      </c>
    </row>
    <row r="1249" spans="1:1" x14ac:dyDescent="0.3">
      <c r="A1249" s="7">
        <v>72639</v>
      </c>
    </row>
    <row r="1250" spans="1:1" x14ac:dyDescent="0.3">
      <c r="A1250" s="7">
        <v>72644</v>
      </c>
    </row>
    <row r="1251" spans="1:1" x14ac:dyDescent="0.3">
      <c r="A1251" s="7">
        <v>72679</v>
      </c>
    </row>
    <row r="1252" spans="1:1" x14ac:dyDescent="0.3">
      <c r="A1252" s="6">
        <v>72686</v>
      </c>
    </row>
    <row r="1253" spans="1:1" x14ac:dyDescent="0.3">
      <c r="A1253" s="6">
        <v>72739</v>
      </c>
    </row>
    <row r="1254" spans="1:1" x14ac:dyDescent="0.3">
      <c r="A1254" s="6">
        <v>72740</v>
      </c>
    </row>
    <row r="1255" spans="1:1" x14ac:dyDescent="0.3">
      <c r="A1255" s="6">
        <v>72785</v>
      </c>
    </row>
    <row r="1256" spans="1:1" x14ac:dyDescent="0.3">
      <c r="A1256" s="6">
        <v>72796</v>
      </c>
    </row>
    <row r="1257" spans="1:1" x14ac:dyDescent="0.3">
      <c r="A1257" s="6">
        <v>72806</v>
      </c>
    </row>
    <row r="1258" spans="1:1" x14ac:dyDescent="0.3">
      <c r="A1258" s="6">
        <v>72847</v>
      </c>
    </row>
    <row r="1259" spans="1:1" x14ac:dyDescent="0.3">
      <c r="A1259" s="6">
        <v>72935</v>
      </c>
    </row>
    <row r="1260" spans="1:1" x14ac:dyDescent="0.3">
      <c r="A1260" s="6">
        <v>72970</v>
      </c>
    </row>
    <row r="1261" spans="1:1" x14ac:dyDescent="0.3">
      <c r="A1261" s="6">
        <v>72991</v>
      </c>
    </row>
    <row r="1262" spans="1:1" x14ac:dyDescent="0.3">
      <c r="A1262" s="6">
        <v>73004</v>
      </c>
    </row>
    <row r="1263" spans="1:1" x14ac:dyDescent="0.3">
      <c r="A1263" s="6">
        <v>73009</v>
      </c>
    </row>
    <row r="1264" spans="1:1" x14ac:dyDescent="0.3">
      <c r="A1264" s="6">
        <v>73044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14</vt:i4>
      </vt:variant>
    </vt:vector>
  </HeadingPairs>
  <TitlesOfParts>
    <vt:vector size="19" baseType="lpstr">
      <vt:lpstr>Base de dados</vt:lpstr>
      <vt:lpstr>Curvas</vt:lpstr>
      <vt:lpstr>PnL</vt:lpstr>
      <vt:lpstr>NI_IPCA</vt:lpstr>
      <vt:lpstr>Feriados</vt:lpstr>
      <vt:lpstr>contrato</vt:lpstr>
      <vt:lpstr>data_ref</vt:lpstr>
      <vt:lpstr>data_ref_ant1</vt:lpstr>
      <vt:lpstr>data_ref_ant2</vt:lpstr>
      <vt:lpstr>data_ref_post1</vt:lpstr>
      <vt:lpstr>data_ref_post2</vt:lpstr>
      <vt:lpstr>DCL</vt:lpstr>
      <vt:lpstr>di</vt:lpstr>
      <vt:lpstr>di_dia</vt:lpstr>
      <vt:lpstr>feriados</vt:lpstr>
      <vt:lpstr>pl</vt:lpstr>
      <vt:lpstr>ptax</vt:lpstr>
      <vt:lpstr>ptax_ant</vt:lpstr>
      <vt:lpstr>rs_dap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Freitas</dc:creator>
  <cp:lastModifiedBy>Marcos Freitas</cp:lastModifiedBy>
  <dcterms:created xsi:type="dcterms:W3CDTF">2025-10-22T14:24:08Z</dcterms:created>
  <dcterms:modified xsi:type="dcterms:W3CDTF">2026-07-29T23:21:07Z</dcterms:modified>
</cp:coreProperties>
</file>